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360" windowWidth="15600" windowHeight="11280" tabRatio="499" firstSheet="1" activeTab="1"/>
  </bookViews>
  <sheets>
    <sheet name="TARIF" sheetId="1" state="hidden" r:id="rId1"/>
    <sheet name="Des" sheetId="3" r:id="rId2"/>
    <sheet name="Jan'24" sheetId="9" state="hidden" r:id="rId3"/>
    <sheet name="Feb'24" sheetId="10" state="hidden" r:id="rId4"/>
    <sheet name="Feb'24 THR" sheetId="22" state="hidden" r:id="rId5"/>
    <sheet name="Maret'24" sheetId="11" state="hidden" r:id="rId6"/>
    <sheet name="April '24" sheetId="25" state="hidden" r:id="rId7"/>
    <sheet name="PPH EXGRATIA" sheetId="32" state="hidden" r:id="rId8"/>
    <sheet name="Mei '24" sheetId="24" state="hidden" r:id="rId9"/>
    <sheet name="Juni '24 " sheetId="26" state="hidden" r:id="rId10"/>
    <sheet name="Juli '24" sheetId="27" state="hidden" r:id="rId11"/>
    <sheet name="Agust '24 " sheetId="28" state="hidden" r:id="rId12"/>
    <sheet name="Sept '24" sheetId="29" state="hidden" r:id="rId13"/>
    <sheet name="Okt '24 " sheetId="30" state="hidden" r:id="rId14"/>
    <sheet name="Nop '24 " sheetId="31" state="hidden" r:id="rId15"/>
    <sheet name="Sheet1" sheetId="20" state="hidden" r:id="rId16"/>
    <sheet name="PERBULAN" sheetId="33" r:id="rId17"/>
    <sheet name="SETAHUN" sheetId="34" r:id="rId18"/>
    <sheet name="PAJAK JAN-NOV" sheetId="36" r:id="rId19"/>
    <sheet name="BPJS" sheetId="35" r:id="rId20"/>
    <sheet name="ASTEK+PENSIUN" sheetId="3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februari" localSheetId="11">TARIF!#REF!</definedName>
    <definedName name="februari" localSheetId="6">TARIF!#REF!</definedName>
    <definedName name="februari" localSheetId="10">TARIF!#REF!</definedName>
    <definedName name="februari" localSheetId="9">TARIF!#REF!</definedName>
    <definedName name="februari" localSheetId="8">TARIF!#REF!</definedName>
    <definedName name="februari" localSheetId="14">TARIF!#REF!</definedName>
    <definedName name="februari" localSheetId="13">TARIF!#REF!</definedName>
    <definedName name="februari" localSheetId="7">TARIF!#REF!</definedName>
    <definedName name="februari" localSheetId="12">TARIF!#REF!</definedName>
    <definedName name="februari">TARIF!#REF!</definedName>
    <definedName name="PH" localSheetId="11">[1]TARIF!#REF!</definedName>
    <definedName name="PH" localSheetId="6">[1]TARIF!#REF!</definedName>
    <definedName name="PH" localSheetId="3">[1]TARIF!#REF!</definedName>
    <definedName name="PH" localSheetId="4">[1]TARIF!#REF!</definedName>
    <definedName name="PH" localSheetId="10">[1]TARIF!#REF!</definedName>
    <definedName name="PH" localSheetId="9">[1]TARIF!#REF!</definedName>
    <definedName name="PH" localSheetId="5">[1]TARIF!#REF!</definedName>
    <definedName name="PH" localSheetId="8">[1]TARIF!#REF!</definedName>
    <definedName name="PH" localSheetId="14">[1]TARIF!#REF!</definedName>
    <definedName name="PH" localSheetId="13">[1]TARIF!#REF!</definedName>
    <definedName name="PH" localSheetId="7">[1]TARIF!#REF!</definedName>
    <definedName name="PH" localSheetId="12">[1]TARIF!#REF!</definedName>
    <definedName name="PH">TARIF!#REF!</definedName>
    <definedName name="_xlnm.Print_Area" localSheetId="3">'Feb''24'!$A$1:$AI$51</definedName>
    <definedName name="_xlnm.Print_Area" localSheetId="4">'Feb''24 THR'!$A$1:$AJ$51</definedName>
    <definedName name="PTKP" localSheetId="11">[1]TARIF!#REF!</definedName>
    <definedName name="PTKP" localSheetId="6">[1]TARIF!#REF!</definedName>
    <definedName name="PTKP" localSheetId="3">[1]TARIF!#REF!</definedName>
    <definedName name="PTKP" localSheetId="4">[1]TARIF!#REF!</definedName>
    <definedName name="PTKP" localSheetId="10">[1]TARIF!#REF!</definedName>
    <definedName name="PTKP" localSheetId="9">[1]TARIF!#REF!</definedName>
    <definedName name="PTKP" localSheetId="5">[1]TARIF!#REF!</definedName>
    <definedName name="PTKP" localSheetId="8">[1]TARIF!#REF!</definedName>
    <definedName name="PTKP" localSheetId="14">[1]TARIF!#REF!</definedName>
    <definedName name="PTKP" localSheetId="13">[1]TARIF!#REF!</definedName>
    <definedName name="PTKP" localSheetId="7">[1]TARIF!#REF!</definedName>
    <definedName name="PTKP" localSheetId="12">[1]TARIF!#REF!</definedName>
    <definedName name="PTKP">TARIF!#REF!</definedName>
    <definedName name="TARIF">[2]TARIF!$S$18:$U$25</definedName>
    <definedName name="Ter_A" localSheetId="11">[1]TARIF!$B$3:$E$46</definedName>
    <definedName name="Ter_A" localSheetId="6">[1]TARIF!$B$3:$E$46</definedName>
    <definedName name="Ter_A" localSheetId="3">[1]TARIF!$B$3:$E$46</definedName>
    <definedName name="Ter_A" localSheetId="4">[1]TARIF!$B$3:$E$46</definedName>
    <definedName name="Ter_A" localSheetId="10">[1]TARIF!$B$3:$E$46</definedName>
    <definedName name="Ter_A" localSheetId="9">[1]TARIF!$B$3:$E$46</definedName>
    <definedName name="Ter_A" localSheetId="5">[1]TARIF!$B$3:$E$46</definedName>
    <definedName name="Ter_A" localSheetId="8">[1]TARIF!$B$3:$E$46</definedName>
    <definedName name="Ter_A" localSheetId="14">[1]TARIF!$B$3:$E$46</definedName>
    <definedName name="Ter_A" localSheetId="13">[1]TARIF!$B$3:$E$46</definedName>
    <definedName name="Ter_A" localSheetId="7">[1]TARIF!$B$3:$E$46</definedName>
    <definedName name="Ter_A" localSheetId="12">[1]TARIF!$B$3:$E$46</definedName>
    <definedName name="Ter_A">TARIF!$B$3:$E$46</definedName>
    <definedName name="Ter_B" localSheetId="11">[1]TARIF!$H$3:$K$42</definedName>
    <definedName name="Ter_B" localSheetId="6">[1]TARIF!$H$3:$K$42</definedName>
    <definedName name="Ter_B" localSheetId="3">[1]TARIF!$H$3:$K$42</definedName>
    <definedName name="Ter_B" localSheetId="4">[1]TARIF!$H$3:$K$42</definedName>
    <definedName name="Ter_B" localSheetId="10">[1]TARIF!$H$3:$K$42</definedName>
    <definedName name="Ter_B" localSheetId="9">[1]TARIF!$H$3:$K$42</definedName>
    <definedName name="Ter_B" localSheetId="5">[1]TARIF!$H$3:$K$42</definedName>
    <definedName name="Ter_B" localSheetId="8">[1]TARIF!$H$3:$K$42</definedName>
    <definedName name="Ter_B" localSheetId="14">[1]TARIF!$H$3:$K$42</definedName>
    <definedName name="Ter_B" localSheetId="13">[1]TARIF!$H$3:$K$42</definedName>
    <definedName name="Ter_B" localSheetId="7">[1]TARIF!$H$3:$K$42</definedName>
    <definedName name="Ter_B" localSheetId="12">[1]TARIF!$H$3:$K$42</definedName>
    <definedName name="Ter_B">TARIF!$H$3:$K$42</definedName>
    <definedName name="Ter_C" localSheetId="11">[1]TARIF!$N$3:$Q$43</definedName>
    <definedName name="Ter_C" localSheetId="6">[1]TARIF!$N$3:$Q$43</definedName>
    <definedName name="Ter_C" localSheetId="3">[1]TARIF!$N$3:$Q$43</definedName>
    <definedName name="Ter_C" localSheetId="4">[1]TARIF!$N$3:$Q$43</definedName>
    <definedName name="Ter_C" localSheetId="10">[1]TARIF!$N$3:$Q$43</definedName>
    <definedName name="Ter_C" localSheetId="9">[1]TARIF!$N$3:$Q$43</definedName>
    <definedName name="Ter_C" localSheetId="5">[1]TARIF!$N$3:$Q$43</definedName>
    <definedName name="Ter_C" localSheetId="8">[1]TARIF!$N$3:$Q$43</definedName>
    <definedName name="Ter_C" localSheetId="14">[1]TARIF!$N$3:$Q$43</definedName>
    <definedName name="Ter_C" localSheetId="13">[1]TARIF!$N$3:$Q$43</definedName>
    <definedName name="Ter_C" localSheetId="7">[1]TARIF!$N$3:$Q$43</definedName>
    <definedName name="Ter_C" localSheetId="12">[1]TARIF!$N$3:$Q$43</definedName>
    <definedName name="Ter_C">TARIF!$N$3:$Q$43</definedName>
  </definedNames>
  <calcPr calcId="144525" iterate="1"/>
</workbook>
</file>

<file path=xl/calcChain.xml><?xml version="1.0" encoding="utf-8"?>
<calcChain xmlns="http://schemas.openxmlformats.org/spreadsheetml/2006/main">
  <c r="M21" i="3" l="1"/>
  <c r="AC7" i="3" l="1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Q21" i="3" s="1"/>
  <c r="O6" i="3"/>
  <c r="W6" i="3" s="1"/>
  <c r="U6" i="3" l="1"/>
  <c r="Q6" i="3"/>
  <c r="Q41" i="3"/>
  <c r="U7" i="3" l="1"/>
  <c r="H66" i="37" l="1"/>
  <c r="G66" i="37"/>
  <c r="F66" i="37"/>
  <c r="E66" i="37"/>
  <c r="D66" i="37"/>
  <c r="C66" i="37"/>
  <c r="H65" i="37"/>
  <c r="G65" i="37"/>
  <c r="F65" i="37"/>
  <c r="E65" i="37"/>
  <c r="D65" i="37"/>
  <c r="C65" i="37"/>
  <c r="H64" i="37"/>
  <c r="G64" i="37"/>
  <c r="F64" i="37"/>
  <c r="E64" i="37"/>
  <c r="D64" i="37"/>
  <c r="C64" i="37"/>
  <c r="H63" i="37"/>
  <c r="G63" i="37"/>
  <c r="F63" i="37"/>
  <c r="E63" i="37"/>
  <c r="D63" i="37"/>
  <c r="C63" i="37"/>
  <c r="H62" i="37"/>
  <c r="G62" i="37"/>
  <c r="F62" i="37"/>
  <c r="E62" i="37"/>
  <c r="D62" i="37"/>
  <c r="C62" i="37"/>
  <c r="H61" i="37"/>
  <c r="G61" i="37"/>
  <c r="F61" i="37"/>
  <c r="E61" i="37"/>
  <c r="D61" i="37"/>
  <c r="C61" i="37"/>
  <c r="H60" i="37"/>
  <c r="G60" i="37"/>
  <c r="F60" i="37"/>
  <c r="E60" i="37"/>
  <c r="D60" i="37"/>
  <c r="C60" i="37"/>
  <c r="H59" i="37"/>
  <c r="G59" i="37"/>
  <c r="F59" i="37"/>
  <c r="E59" i="37"/>
  <c r="D59" i="37"/>
  <c r="C59" i="37"/>
  <c r="H58" i="37"/>
  <c r="G58" i="37"/>
  <c r="F58" i="37"/>
  <c r="E58" i="37"/>
  <c r="D58" i="37"/>
  <c r="C58" i="37"/>
  <c r="H57" i="37"/>
  <c r="G57" i="37"/>
  <c r="F57" i="37"/>
  <c r="E57" i="37"/>
  <c r="D57" i="37"/>
  <c r="C57" i="37"/>
  <c r="H56" i="37"/>
  <c r="G56" i="37"/>
  <c r="F56" i="37"/>
  <c r="E56" i="37"/>
  <c r="D56" i="37"/>
  <c r="C56" i="37"/>
  <c r="H55" i="37"/>
  <c r="G55" i="37"/>
  <c r="F55" i="37"/>
  <c r="E55" i="37"/>
  <c r="D55" i="37"/>
  <c r="C55" i="37"/>
  <c r="H89" i="37"/>
  <c r="G89" i="37"/>
  <c r="F89" i="37"/>
  <c r="E89" i="37"/>
  <c r="D89" i="37"/>
  <c r="C89" i="37"/>
  <c r="H54" i="37"/>
  <c r="G54" i="37"/>
  <c r="F54" i="37"/>
  <c r="E54" i="37"/>
  <c r="D54" i="37"/>
  <c r="C54" i="37"/>
  <c r="H53" i="37"/>
  <c r="G53" i="37"/>
  <c r="F53" i="37"/>
  <c r="E53" i="37"/>
  <c r="D53" i="37"/>
  <c r="C53" i="37"/>
  <c r="H52" i="37"/>
  <c r="G52" i="37"/>
  <c r="F52" i="37"/>
  <c r="E52" i="37"/>
  <c r="D52" i="37"/>
  <c r="C52" i="37"/>
  <c r="H51" i="37"/>
  <c r="G51" i="37"/>
  <c r="F51" i="37"/>
  <c r="E51" i="37"/>
  <c r="D51" i="37"/>
  <c r="C51" i="37"/>
  <c r="H88" i="37"/>
  <c r="G88" i="37"/>
  <c r="F88" i="37"/>
  <c r="E88" i="37"/>
  <c r="D88" i="37"/>
  <c r="C88" i="37"/>
  <c r="H23" i="37"/>
  <c r="G23" i="37"/>
  <c r="F23" i="37"/>
  <c r="E23" i="37"/>
  <c r="D23" i="37"/>
  <c r="C23" i="37"/>
  <c r="H22" i="37"/>
  <c r="G22" i="37"/>
  <c r="F22" i="37"/>
  <c r="E22" i="37"/>
  <c r="D22" i="37"/>
  <c r="C22" i="37"/>
  <c r="H21" i="37"/>
  <c r="G21" i="37"/>
  <c r="F21" i="37"/>
  <c r="E21" i="37"/>
  <c r="D21" i="37"/>
  <c r="C21" i="37"/>
  <c r="H20" i="37"/>
  <c r="G20" i="37"/>
  <c r="F20" i="37"/>
  <c r="E20" i="37"/>
  <c r="D20" i="37"/>
  <c r="C20" i="37"/>
  <c r="H19" i="37"/>
  <c r="G19" i="37"/>
  <c r="F19" i="37"/>
  <c r="E19" i="37"/>
  <c r="D19" i="37"/>
  <c r="C19" i="37"/>
  <c r="H18" i="37"/>
  <c r="G18" i="37"/>
  <c r="F18" i="37"/>
  <c r="E18" i="37"/>
  <c r="D18" i="37"/>
  <c r="C18" i="37"/>
  <c r="H17" i="37"/>
  <c r="G17" i="37"/>
  <c r="F17" i="37"/>
  <c r="E17" i="37"/>
  <c r="D17" i="37"/>
  <c r="C17" i="37"/>
  <c r="H16" i="37"/>
  <c r="G16" i="37"/>
  <c r="F16" i="37"/>
  <c r="E16" i="37"/>
  <c r="D16" i="37"/>
  <c r="C16" i="37"/>
  <c r="H15" i="37"/>
  <c r="G15" i="37"/>
  <c r="F15" i="37"/>
  <c r="E15" i="37"/>
  <c r="D15" i="37"/>
  <c r="C15" i="37"/>
  <c r="H14" i="37"/>
  <c r="G14" i="37"/>
  <c r="F14" i="37"/>
  <c r="E14" i="37"/>
  <c r="D14" i="37"/>
  <c r="C14" i="37"/>
  <c r="H13" i="37"/>
  <c r="G13" i="37"/>
  <c r="F13" i="37"/>
  <c r="E13" i="37"/>
  <c r="D13" i="37"/>
  <c r="C13" i="37"/>
  <c r="H12" i="37"/>
  <c r="G12" i="37"/>
  <c r="F12" i="37"/>
  <c r="E12" i="37"/>
  <c r="D12" i="37"/>
  <c r="C12" i="37"/>
  <c r="H44" i="37"/>
  <c r="G44" i="37"/>
  <c r="F44" i="37"/>
  <c r="E44" i="37"/>
  <c r="D44" i="37"/>
  <c r="C44" i="37"/>
  <c r="H11" i="37"/>
  <c r="G11" i="37"/>
  <c r="F11" i="37"/>
  <c r="E11" i="37"/>
  <c r="D11" i="37"/>
  <c r="C11" i="37"/>
  <c r="H10" i="37"/>
  <c r="G10" i="37"/>
  <c r="F10" i="37"/>
  <c r="E10" i="37"/>
  <c r="D10" i="37"/>
  <c r="C10" i="37"/>
  <c r="H9" i="37"/>
  <c r="G9" i="37"/>
  <c r="F9" i="37"/>
  <c r="E9" i="37"/>
  <c r="D9" i="37"/>
  <c r="C9" i="37"/>
  <c r="H8" i="37"/>
  <c r="G8" i="37"/>
  <c r="F8" i="37"/>
  <c r="E8" i="37"/>
  <c r="D8" i="37"/>
  <c r="C8" i="37"/>
  <c r="H43" i="37"/>
  <c r="G43" i="37"/>
  <c r="F43" i="37"/>
  <c r="E43" i="37"/>
  <c r="D43" i="37"/>
  <c r="C43" i="37"/>
  <c r="C18" i="36"/>
  <c r="J6" i="3" l="1"/>
  <c r="J7" i="3"/>
  <c r="J8" i="3"/>
  <c r="J9" i="3"/>
  <c r="J54" i="3"/>
  <c r="J10" i="3"/>
  <c r="J11" i="3"/>
  <c r="J12" i="3"/>
  <c r="J13" i="3"/>
  <c r="J14" i="3"/>
  <c r="J15" i="3"/>
  <c r="J16" i="3"/>
  <c r="J17" i="3"/>
  <c r="J18" i="3"/>
  <c r="J19" i="3"/>
  <c r="J20" i="3"/>
  <c r="J53" i="3"/>
  <c r="C6" i="33" l="1"/>
  <c r="D6" i="33"/>
  <c r="C7" i="33"/>
  <c r="D7" i="33"/>
  <c r="C8" i="33"/>
  <c r="D8" i="33"/>
  <c r="C9" i="33"/>
  <c r="D9" i="33"/>
  <c r="C121" i="33"/>
  <c r="D121" i="33"/>
  <c r="C10" i="33"/>
  <c r="D10" i="33"/>
  <c r="C11" i="33"/>
  <c r="D11" i="33"/>
  <c r="C12" i="33"/>
  <c r="D12" i="33"/>
  <c r="C13" i="33"/>
  <c r="D13" i="33"/>
  <c r="C14" i="33"/>
  <c r="D14" i="33"/>
  <c r="C15" i="33"/>
  <c r="D15" i="33"/>
  <c r="C16" i="33"/>
  <c r="D16" i="33"/>
  <c r="C17" i="33"/>
  <c r="D17" i="33"/>
  <c r="C18" i="33"/>
  <c r="D18" i="33"/>
  <c r="C19" i="33"/>
  <c r="D19" i="33"/>
  <c r="C20" i="33"/>
  <c r="D20" i="33"/>
  <c r="D120" i="33"/>
  <c r="C120" i="33"/>
  <c r="C3" i="36"/>
  <c r="C4" i="36"/>
  <c r="C5" i="36"/>
  <c r="C6" i="36"/>
  <c r="C49" i="36"/>
  <c r="C7" i="36"/>
  <c r="C8" i="36"/>
  <c r="C9" i="36"/>
  <c r="C10" i="36"/>
  <c r="C11" i="36"/>
  <c r="C12" i="36"/>
  <c r="C13" i="36"/>
  <c r="C14" i="36"/>
  <c r="C15" i="36"/>
  <c r="C16" i="36"/>
  <c r="C17" i="36"/>
  <c r="C48" i="36"/>
  <c r="N89" i="35" l="1"/>
  <c r="M89" i="35"/>
  <c r="L89" i="35"/>
  <c r="K89" i="35"/>
  <c r="J89" i="35"/>
  <c r="I89" i="35"/>
  <c r="O88" i="35"/>
  <c r="H39" i="34" s="1"/>
  <c r="O87" i="35"/>
  <c r="H38" i="34" s="1"/>
  <c r="O86" i="35"/>
  <c r="H37" i="34" s="1"/>
  <c r="O85" i="35"/>
  <c r="H36" i="34" s="1"/>
  <c r="O84" i="35"/>
  <c r="H35" i="34" s="1"/>
  <c r="O83" i="35"/>
  <c r="H34" i="34" s="1"/>
  <c r="D89" i="35" l="1"/>
  <c r="H89" i="35"/>
  <c r="E89" i="35"/>
  <c r="O58" i="35"/>
  <c r="H9" i="34" s="1"/>
  <c r="O93" i="35"/>
  <c r="H116" i="34" s="1"/>
  <c r="O61" i="35"/>
  <c r="H12" i="34" s="1"/>
  <c r="O65" i="35"/>
  <c r="H16" i="34" s="1"/>
  <c r="O69" i="35"/>
  <c r="H20" i="34" s="1"/>
  <c r="O71" i="35"/>
  <c r="H22" i="34" s="1"/>
  <c r="O79" i="35"/>
  <c r="H30" i="34" s="1"/>
  <c r="O56" i="35"/>
  <c r="H7" i="34" s="1"/>
  <c r="O63" i="35"/>
  <c r="H14" i="34" s="1"/>
  <c r="O67" i="35"/>
  <c r="H18" i="34" s="1"/>
  <c r="O73" i="35"/>
  <c r="H24" i="34" s="1"/>
  <c r="O75" i="35"/>
  <c r="H26" i="34" s="1"/>
  <c r="O77" i="35"/>
  <c r="H28" i="34" s="1"/>
  <c r="O80" i="35"/>
  <c r="H31" i="34" s="1"/>
  <c r="O81" i="35"/>
  <c r="H32" i="34" s="1"/>
  <c r="C89" i="35"/>
  <c r="G89" i="35"/>
  <c r="O57" i="35"/>
  <c r="H8" i="34" s="1"/>
  <c r="O59" i="35"/>
  <c r="H10" i="34" s="1"/>
  <c r="O60" i="35"/>
  <c r="H11" i="34" s="1"/>
  <c r="O62" i="35"/>
  <c r="H13" i="34" s="1"/>
  <c r="O64" i="35"/>
  <c r="H15" i="34" s="1"/>
  <c r="O66" i="35"/>
  <c r="H17" i="34" s="1"/>
  <c r="O68" i="35"/>
  <c r="H19" i="34" s="1"/>
  <c r="O70" i="35"/>
  <c r="H21" i="34" s="1"/>
  <c r="O72" i="35"/>
  <c r="H23" i="34" s="1"/>
  <c r="O74" i="35"/>
  <c r="H25" i="34" s="1"/>
  <c r="O76" i="35"/>
  <c r="H27" i="34" s="1"/>
  <c r="O78" i="35"/>
  <c r="H29" i="34" s="1"/>
  <c r="F89" i="35"/>
  <c r="O82" i="35"/>
  <c r="H33" i="34" s="1"/>
  <c r="O92" i="35"/>
  <c r="AF33" i="3"/>
  <c r="AG33" i="3" s="1"/>
  <c r="AF34" i="3"/>
  <c r="AG34" i="3" s="1"/>
  <c r="AH34" i="3" s="1"/>
  <c r="AF35" i="3"/>
  <c r="AG35" i="3" s="1"/>
  <c r="AF36" i="3"/>
  <c r="AG36" i="3" s="1"/>
  <c r="AF37" i="3"/>
  <c r="AG37" i="3" s="1"/>
  <c r="AE33" i="3"/>
  <c r="AE34" i="3"/>
  <c r="AE35" i="3"/>
  <c r="AE36" i="3"/>
  <c r="AE37" i="3"/>
  <c r="R33" i="3"/>
  <c r="Z33" i="3" s="1"/>
  <c r="R34" i="3"/>
  <c r="Z34" i="3" s="1"/>
  <c r="R35" i="3"/>
  <c r="Z35" i="3" s="1"/>
  <c r="R36" i="3"/>
  <c r="Z36" i="3" s="1"/>
  <c r="R37" i="3"/>
  <c r="Z37" i="3" s="1"/>
  <c r="J40" i="34"/>
  <c r="F39" i="33"/>
  <c r="G39" i="33"/>
  <c r="H39" i="33"/>
  <c r="I39" i="33"/>
  <c r="J39" i="33"/>
  <c r="K39" i="33"/>
  <c r="L39" i="33"/>
  <c r="M39" i="33"/>
  <c r="N39" i="33"/>
  <c r="O39" i="33"/>
  <c r="P39" i="33"/>
  <c r="Q39" i="33"/>
  <c r="S39" i="33"/>
  <c r="T39" i="33"/>
  <c r="U39" i="33"/>
  <c r="X39" i="33"/>
  <c r="N39" i="3"/>
  <c r="O39" i="3"/>
  <c r="P39" i="3"/>
  <c r="T39" i="3"/>
  <c r="V39" i="3"/>
  <c r="X39" i="3"/>
  <c r="Y39" i="3"/>
  <c r="M39" i="3"/>
  <c r="AI33" i="3"/>
  <c r="AI34" i="3"/>
  <c r="AI35" i="3"/>
  <c r="AI36" i="3"/>
  <c r="AI37" i="3"/>
  <c r="U46" i="36"/>
  <c r="R46" i="36"/>
  <c r="T46" i="36" s="1"/>
  <c r="AJ36" i="3" l="1"/>
  <c r="AL34" i="3"/>
  <c r="O89" i="35"/>
  <c r="H115" i="34"/>
  <c r="H40" i="34" s="1"/>
  <c r="AH35" i="3"/>
  <c r="AL35" i="3" s="1"/>
  <c r="AJ35" i="3"/>
  <c r="AH37" i="3"/>
  <c r="AL37" i="3" s="1"/>
  <c r="AJ37" i="3"/>
  <c r="AH33" i="3"/>
  <c r="AL33" i="3" s="1"/>
  <c r="AJ33" i="3"/>
  <c r="AJ34" i="3"/>
  <c r="AH36" i="3"/>
  <c r="AL36" i="3" s="1"/>
  <c r="D41" i="37" l="1"/>
  <c r="C32" i="3"/>
  <c r="C33" i="3"/>
  <c r="C34" i="3"/>
  <c r="C35" i="3"/>
  <c r="C36" i="3"/>
  <c r="C37" i="3"/>
  <c r="I41" i="37"/>
  <c r="J41" i="37"/>
  <c r="K41" i="37"/>
  <c r="L41" i="37"/>
  <c r="M41" i="37"/>
  <c r="N41" i="37"/>
  <c r="O35" i="37"/>
  <c r="O36" i="37"/>
  <c r="O37" i="37"/>
  <c r="O38" i="37"/>
  <c r="O39" i="37"/>
  <c r="O40" i="37"/>
  <c r="M39" i="34" s="1"/>
  <c r="O78" i="37"/>
  <c r="O34" i="34" s="1"/>
  <c r="O79" i="37"/>
  <c r="O35" i="34" s="1"/>
  <c r="O80" i="37"/>
  <c r="O36" i="34" s="1"/>
  <c r="O81" i="37"/>
  <c r="O37" i="34" s="1"/>
  <c r="O82" i="37"/>
  <c r="O38" i="34" s="1"/>
  <c r="O83" i="37"/>
  <c r="O39" i="34" s="1"/>
  <c r="B46" i="36"/>
  <c r="B30" i="36"/>
  <c r="B31" i="36"/>
  <c r="B32" i="36"/>
  <c r="B33" i="36"/>
  <c r="B34" i="36"/>
  <c r="B35" i="36"/>
  <c r="D41" i="35"/>
  <c r="E41" i="35"/>
  <c r="F41" i="35"/>
  <c r="G41" i="35"/>
  <c r="H41" i="35"/>
  <c r="I41" i="35"/>
  <c r="J41" i="35"/>
  <c r="K41" i="35"/>
  <c r="L41" i="35"/>
  <c r="M41" i="35"/>
  <c r="N41" i="35"/>
  <c r="C41" i="35"/>
  <c r="O35" i="35"/>
  <c r="G34" i="34" s="1"/>
  <c r="U34" i="34" s="1"/>
  <c r="W33" i="3" s="1"/>
  <c r="O36" i="35"/>
  <c r="G35" i="34" s="1"/>
  <c r="U35" i="34" s="1"/>
  <c r="W34" i="3" s="1"/>
  <c r="O37" i="35"/>
  <c r="G36" i="34" s="1"/>
  <c r="U36" i="34" s="1"/>
  <c r="W35" i="3" s="1"/>
  <c r="O38" i="35"/>
  <c r="G37" i="34" s="1"/>
  <c r="U37" i="34" s="1"/>
  <c r="W36" i="3" s="1"/>
  <c r="O39" i="35"/>
  <c r="G38" i="34" s="1"/>
  <c r="U38" i="34" s="1"/>
  <c r="W37" i="3" s="1"/>
  <c r="O40" i="35"/>
  <c r="G39" i="34" s="1"/>
  <c r="U39" i="34" s="1"/>
  <c r="B35" i="35"/>
  <c r="B36" i="35"/>
  <c r="B37" i="35"/>
  <c r="B38" i="35"/>
  <c r="B39" i="35"/>
  <c r="B40" i="35"/>
  <c r="B34" i="34"/>
  <c r="C34" i="34"/>
  <c r="D34" i="34"/>
  <c r="R34" i="34" s="1"/>
  <c r="I34" i="34"/>
  <c r="K34" i="34"/>
  <c r="B35" i="34"/>
  <c r="C35" i="34"/>
  <c r="D35" i="34"/>
  <c r="R35" i="34" s="1"/>
  <c r="I35" i="34"/>
  <c r="K35" i="34"/>
  <c r="B36" i="34"/>
  <c r="C36" i="34"/>
  <c r="D36" i="34"/>
  <c r="R36" i="34" s="1"/>
  <c r="I36" i="34"/>
  <c r="K36" i="34"/>
  <c r="B37" i="34"/>
  <c r="C37" i="34"/>
  <c r="D37" i="34"/>
  <c r="R37" i="34" s="1"/>
  <c r="I37" i="34"/>
  <c r="K37" i="34"/>
  <c r="B38" i="34"/>
  <c r="C38" i="34"/>
  <c r="D38" i="34"/>
  <c r="R38" i="34" s="1"/>
  <c r="I38" i="34"/>
  <c r="K38" i="34"/>
  <c r="B39" i="34"/>
  <c r="C39" i="34"/>
  <c r="D39" i="34"/>
  <c r="R39" i="34" s="1"/>
  <c r="I39" i="34"/>
  <c r="K39" i="34"/>
  <c r="E33" i="33"/>
  <c r="E34" i="34" s="1"/>
  <c r="E34" i="33"/>
  <c r="E35" i="34" s="1"/>
  <c r="E35" i="33"/>
  <c r="E36" i="34" s="1"/>
  <c r="E36" i="33"/>
  <c r="E37" i="34" s="1"/>
  <c r="E37" i="33"/>
  <c r="E38" i="34" s="1"/>
  <c r="E38" i="33"/>
  <c r="E39" i="34" s="1"/>
  <c r="W33" i="33"/>
  <c r="W34" i="33"/>
  <c r="W35" i="33"/>
  <c r="W36" i="33"/>
  <c r="W37" i="33"/>
  <c r="W38" i="33"/>
  <c r="R33" i="33"/>
  <c r="V33" i="33" s="1"/>
  <c r="R34" i="33"/>
  <c r="F35" i="34" s="1"/>
  <c r="U34" i="3" s="1"/>
  <c r="R35" i="33"/>
  <c r="F36" i="34" s="1"/>
  <c r="R36" i="33"/>
  <c r="F37" i="34" s="1"/>
  <c r="U36" i="3" s="1"/>
  <c r="R37" i="33"/>
  <c r="V37" i="33" s="1"/>
  <c r="R38" i="33"/>
  <c r="V38" i="33" s="1"/>
  <c r="E41" i="37" l="1"/>
  <c r="AA36" i="3"/>
  <c r="AB36" i="3" s="1"/>
  <c r="AA34" i="3"/>
  <c r="AB34" i="3" s="1"/>
  <c r="V36" i="33"/>
  <c r="V35" i="33"/>
  <c r="F38" i="34"/>
  <c r="B40" i="37"/>
  <c r="B83" i="37" s="1"/>
  <c r="B88" i="35"/>
  <c r="F39" i="34"/>
  <c r="L39" i="34" s="1"/>
  <c r="N39" i="34" s="1"/>
  <c r="B87" i="35"/>
  <c r="B39" i="37"/>
  <c r="B82" i="37" s="1"/>
  <c r="B83" i="35"/>
  <c r="B35" i="37"/>
  <c r="B78" i="37" s="1"/>
  <c r="V34" i="33"/>
  <c r="F34" i="34"/>
  <c r="B86" i="35"/>
  <c r="B38" i="37"/>
  <c r="B81" i="37" s="1"/>
  <c r="B36" i="37"/>
  <c r="B79" i="37" s="1"/>
  <c r="B84" i="35"/>
  <c r="L36" i="34"/>
  <c r="N36" i="34" s="1"/>
  <c r="U35" i="3"/>
  <c r="AA35" i="3" s="1"/>
  <c r="AB35" i="3" s="1"/>
  <c r="B37" i="37"/>
  <c r="B80" i="37" s="1"/>
  <c r="B85" i="35"/>
  <c r="H41" i="37"/>
  <c r="M38" i="34"/>
  <c r="V38" i="34" s="1"/>
  <c r="AC37" i="3"/>
  <c r="V39" i="34"/>
  <c r="M35" i="34"/>
  <c r="V35" i="34" s="1"/>
  <c r="AC34" i="3"/>
  <c r="F41" i="37"/>
  <c r="M34" i="34"/>
  <c r="V34" i="34" s="1"/>
  <c r="AC33" i="3"/>
  <c r="M37" i="34"/>
  <c r="V37" i="34" s="1"/>
  <c r="AC36" i="3"/>
  <c r="AC35" i="3"/>
  <c r="M36" i="34"/>
  <c r="V36" i="34" s="1"/>
  <c r="G41" i="37"/>
  <c r="C41" i="37"/>
  <c r="L35" i="34"/>
  <c r="N35" i="34" s="1"/>
  <c r="L37" i="34"/>
  <c r="AD36" i="3" l="1"/>
  <c r="AD35" i="3"/>
  <c r="AD34" i="3"/>
  <c r="L34" i="34"/>
  <c r="N34" i="34" s="1"/>
  <c r="P34" i="34" s="1"/>
  <c r="Q34" i="34" s="1"/>
  <c r="S34" i="34" s="1"/>
  <c r="U33" i="3"/>
  <c r="AA33" i="3" s="1"/>
  <c r="AB33" i="3" s="1"/>
  <c r="L38" i="34"/>
  <c r="N38" i="34" s="1"/>
  <c r="P38" i="34" s="1"/>
  <c r="Q38" i="34" s="1"/>
  <c r="S38" i="34" s="1"/>
  <c r="U37" i="3"/>
  <c r="AA37" i="3" s="1"/>
  <c r="AB37" i="3" s="1"/>
  <c r="P36" i="34"/>
  <c r="Q36" i="34" s="1"/>
  <c r="S36" i="34" s="1"/>
  <c r="P35" i="34"/>
  <c r="Q35" i="34" s="1"/>
  <c r="S35" i="34" s="1"/>
  <c r="P39" i="34"/>
  <c r="Q39" i="34" s="1"/>
  <c r="S39" i="34" s="1"/>
  <c r="N37" i="34"/>
  <c r="P37" i="34" s="1"/>
  <c r="Q37" i="34" s="1"/>
  <c r="S37" i="34" s="1"/>
  <c r="AD37" i="3" l="1"/>
  <c r="AD33" i="3"/>
  <c r="N84" i="37"/>
  <c r="M84" i="37"/>
  <c r="L84" i="37"/>
  <c r="K84" i="37"/>
  <c r="J84" i="37"/>
  <c r="I84" i="37"/>
  <c r="H84" i="37"/>
  <c r="G84" i="37"/>
  <c r="F84" i="37"/>
  <c r="E84" i="37"/>
  <c r="D84" i="37"/>
  <c r="C84" i="37"/>
  <c r="O77" i="37"/>
  <c r="O33" i="34" s="1"/>
  <c r="O76" i="37"/>
  <c r="O32" i="34" s="1"/>
  <c r="O75" i="37"/>
  <c r="O31" i="34" s="1"/>
  <c r="O74" i="37"/>
  <c r="O30" i="34" s="1"/>
  <c r="O73" i="37"/>
  <c r="O29" i="34" s="1"/>
  <c r="O72" i="37"/>
  <c r="O28" i="34" s="1"/>
  <c r="O71" i="37"/>
  <c r="O27" i="34" s="1"/>
  <c r="O70" i="37"/>
  <c r="O26" i="34" s="1"/>
  <c r="O69" i="37"/>
  <c r="O25" i="34" s="1"/>
  <c r="O68" i="37"/>
  <c r="O24" i="34" s="1"/>
  <c r="O67" i="37"/>
  <c r="O23" i="34" s="1"/>
  <c r="O66" i="37"/>
  <c r="O22" i="34" s="1"/>
  <c r="O65" i="37"/>
  <c r="O21" i="34" s="1"/>
  <c r="O64" i="37"/>
  <c r="O20" i="34" s="1"/>
  <c r="O63" i="37"/>
  <c r="O19" i="34" s="1"/>
  <c r="O62" i="37"/>
  <c r="O18" i="34" s="1"/>
  <c r="O61" i="37"/>
  <c r="O17" i="34" s="1"/>
  <c r="O60" i="37"/>
  <c r="O16" i="34" s="1"/>
  <c r="O59" i="37"/>
  <c r="O15" i="34" s="1"/>
  <c r="O58" i="37"/>
  <c r="O14" i="34" s="1"/>
  <c r="O57" i="37"/>
  <c r="O13" i="34" s="1"/>
  <c r="O56" i="37"/>
  <c r="O12" i="34" s="1"/>
  <c r="O55" i="37"/>
  <c r="O11" i="34" s="1"/>
  <c r="O89" i="37"/>
  <c r="O116" i="34" s="1"/>
  <c r="O54" i="37"/>
  <c r="O10" i="34" s="1"/>
  <c r="O53" i="37"/>
  <c r="O9" i="34" s="1"/>
  <c r="O52" i="37"/>
  <c r="O8" i="34" s="1"/>
  <c r="O51" i="37"/>
  <c r="O7" i="34" s="1"/>
  <c r="O88" i="37"/>
  <c r="O115" i="34" s="1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44" i="37"/>
  <c r="O11" i="37"/>
  <c r="O10" i="37"/>
  <c r="O9" i="37"/>
  <c r="O8" i="37"/>
  <c r="O43" i="37"/>
  <c r="AC53" i="3" l="1"/>
  <c r="M115" i="34"/>
  <c r="M10" i="34"/>
  <c r="M13" i="34"/>
  <c r="M17" i="34"/>
  <c r="M21" i="34"/>
  <c r="M25" i="34"/>
  <c r="AC24" i="3"/>
  <c r="AC28" i="3"/>
  <c r="M29" i="34"/>
  <c r="M32" i="34"/>
  <c r="AC31" i="3"/>
  <c r="M7" i="34"/>
  <c r="M116" i="34"/>
  <c r="AC54" i="3"/>
  <c r="M14" i="34"/>
  <c r="M18" i="34"/>
  <c r="M22" i="34"/>
  <c r="M26" i="34"/>
  <c r="AC25" i="3"/>
  <c r="AC29" i="3"/>
  <c r="M30" i="34"/>
  <c r="M33" i="34"/>
  <c r="AC32" i="3"/>
  <c r="M8" i="34"/>
  <c r="M11" i="34"/>
  <c r="M15" i="34"/>
  <c r="M19" i="34"/>
  <c r="M23" i="34"/>
  <c r="AC22" i="3"/>
  <c r="M27" i="34"/>
  <c r="AC26" i="3"/>
  <c r="AC30" i="3"/>
  <c r="M31" i="34"/>
  <c r="O40" i="34"/>
  <c r="M9" i="34"/>
  <c r="M12" i="34"/>
  <c r="M16" i="34"/>
  <c r="M20" i="34"/>
  <c r="M24" i="34"/>
  <c r="AC23" i="3"/>
  <c r="M28" i="34"/>
  <c r="AC27" i="3"/>
  <c r="O84" i="37"/>
  <c r="O41" i="37"/>
  <c r="B14" i="36"/>
  <c r="M40" i="34" l="1"/>
  <c r="AC39" i="3"/>
  <c r="W12" i="33"/>
  <c r="K8" i="34" l="1"/>
  <c r="S7" i="3" s="1"/>
  <c r="K9" i="34"/>
  <c r="S8" i="3" s="1"/>
  <c r="K10" i="34"/>
  <c r="S9" i="3" s="1"/>
  <c r="K116" i="34"/>
  <c r="S54" i="3" s="1"/>
  <c r="K11" i="34"/>
  <c r="S10" i="3" s="1"/>
  <c r="K12" i="34"/>
  <c r="S11" i="3" s="1"/>
  <c r="K13" i="34"/>
  <c r="S12" i="3" s="1"/>
  <c r="K14" i="34"/>
  <c r="S13" i="3" s="1"/>
  <c r="K15" i="34"/>
  <c r="S14" i="3" s="1"/>
  <c r="K16" i="34"/>
  <c r="S15" i="3" s="1"/>
  <c r="K17" i="34"/>
  <c r="S16" i="3" s="1"/>
  <c r="K18" i="34"/>
  <c r="S17" i="3" s="1"/>
  <c r="K19" i="34"/>
  <c r="S18" i="3" s="1"/>
  <c r="K20" i="34"/>
  <c r="S19" i="3" s="1"/>
  <c r="K21" i="34"/>
  <c r="S20" i="3" s="1"/>
  <c r="K22" i="34"/>
  <c r="S21" i="3" s="1"/>
  <c r="K23" i="34"/>
  <c r="S22" i="3" s="1"/>
  <c r="K24" i="34"/>
  <c r="S23" i="3" s="1"/>
  <c r="K25" i="34"/>
  <c r="S24" i="3" s="1"/>
  <c r="K26" i="34"/>
  <c r="S25" i="3" s="1"/>
  <c r="K27" i="34"/>
  <c r="S26" i="3" s="1"/>
  <c r="K28" i="34"/>
  <c r="S27" i="3" s="1"/>
  <c r="K29" i="34"/>
  <c r="S28" i="3" s="1"/>
  <c r="K30" i="34"/>
  <c r="S29" i="3" s="1"/>
  <c r="K31" i="34"/>
  <c r="S30" i="3" s="1"/>
  <c r="K32" i="34"/>
  <c r="K33" i="34"/>
  <c r="K7" i="34"/>
  <c r="S6" i="3" s="1"/>
  <c r="K115" i="34"/>
  <c r="I8" i="34"/>
  <c r="I9" i="34"/>
  <c r="I10" i="34"/>
  <c r="I116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7" i="34"/>
  <c r="I115" i="34"/>
  <c r="S53" i="3" l="1"/>
  <c r="S39" i="3" s="1"/>
  <c r="K40" i="34"/>
  <c r="I40" i="34"/>
  <c r="R7" i="3"/>
  <c r="R8" i="3"/>
  <c r="R9" i="3"/>
  <c r="R54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6" i="3"/>
  <c r="R53" i="3"/>
  <c r="R39" i="3" l="1"/>
  <c r="C29" i="3"/>
  <c r="C30" i="3"/>
  <c r="C31" i="3"/>
  <c r="AF30" i="3"/>
  <c r="AG30" i="3" s="1"/>
  <c r="AH30" i="3" s="1"/>
  <c r="AF31" i="3"/>
  <c r="AG31" i="3" s="1"/>
  <c r="AH31" i="3" s="1"/>
  <c r="AF32" i="3"/>
  <c r="AG32" i="3" s="1"/>
  <c r="AH32" i="3" s="1"/>
  <c r="AE30" i="3"/>
  <c r="AE31" i="3"/>
  <c r="AE32" i="3"/>
  <c r="Z32" i="3"/>
  <c r="Z31" i="3"/>
  <c r="Z30" i="3"/>
  <c r="J29" i="3"/>
  <c r="J30" i="3"/>
  <c r="J31" i="3"/>
  <c r="J32" i="3"/>
  <c r="U26" i="36"/>
  <c r="U27" i="36"/>
  <c r="U45" i="36"/>
  <c r="U28" i="36"/>
  <c r="U29" i="36"/>
  <c r="R26" i="36"/>
  <c r="T26" i="36" s="1"/>
  <c r="R27" i="36"/>
  <c r="AI30" i="3" s="1"/>
  <c r="R45" i="36"/>
  <c r="R28" i="36"/>
  <c r="AI31" i="3" s="1"/>
  <c r="R29" i="36"/>
  <c r="T29" i="36" s="1"/>
  <c r="E38" i="36"/>
  <c r="F38" i="36"/>
  <c r="G38" i="36"/>
  <c r="H38" i="36"/>
  <c r="I38" i="36"/>
  <c r="J38" i="36"/>
  <c r="K38" i="36"/>
  <c r="L38" i="36"/>
  <c r="M38" i="36"/>
  <c r="N38" i="36"/>
  <c r="O38" i="36"/>
  <c r="P38" i="36"/>
  <c r="D38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D36" i="36"/>
  <c r="B27" i="36"/>
  <c r="B45" i="36"/>
  <c r="B28" i="36"/>
  <c r="B29" i="36"/>
  <c r="O32" i="35"/>
  <c r="G31" i="34" s="1"/>
  <c r="O33" i="35"/>
  <c r="G32" i="34" s="1"/>
  <c r="O34" i="35"/>
  <c r="G33" i="34" s="1"/>
  <c r="B32" i="35"/>
  <c r="B33" i="35"/>
  <c r="B34" i="35"/>
  <c r="B31" i="34"/>
  <c r="C31" i="34"/>
  <c r="D31" i="34"/>
  <c r="R31" i="34" s="1"/>
  <c r="B32" i="34"/>
  <c r="C32" i="34"/>
  <c r="D32" i="34"/>
  <c r="R32" i="34" s="1"/>
  <c r="B33" i="34"/>
  <c r="C33" i="34"/>
  <c r="D33" i="34"/>
  <c r="R33" i="34" s="1"/>
  <c r="E30" i="33"/>
  <c r="E31" i="34" s="1"/>
  <c r="E31" i="33"/>
  <c r="E32" i="34" s="1"/>
  <c r="E32" i="33"/>
  <c r="E33" i="34" s="1"/>
  <c r="W30" i="33"/>
  <c r="W31" i="33"/>
  <c r="W32" i="33"/>
  <c r="R30" i="33"/>
  <c r="V30" i="33" s="1"/>
  <c r="R31" i="33"/>
  <c r="F32" i="34" s="1"/>
  <c r="U31" i="3" s="1"/>
  <c r="R32" i="33"/>
  <c r="F33" i="34" s="1"/>
  <c r="B34" i="37" l="1"/>
  <c r="B77" i="37" s="1"/>
  <c r="B82" i="35"/>
  <c r="B33" i="37"/>
  <c r="B76" i="37" s="1"/>
  <c r="B81" i="35"/>
  <c r="B80" i="35"/>
  <c r="B32" i="37"/>
  <c r="B75" i="37" s="1"/>
  <c r="T28" i="36"/>
  <c r="AI32" i="3"/>
  <c r="AJ32" i="3" s="1"/>
  <c r="AL31" i="3"/>
  <c r="AJ30" i="3"/>
  <c r="AJ31" i="3"/>
  <c r="U32" i="34"/>
  <c r="W31" i="3" s="1"/>
  <c r="AA31" i="3" s="1"/>
  <c r="AB31" i="3" s="1"/>
  <c r="AD31" i="3" s="1"/>
  <c r="V32" i="34"/>
  <c r="U32" i="3"/>
  <c r="V32" i="33"/>
  <c r="V31" i="33"/>
  <c r="V33" i="34"/>
  <c r="L33" i="34"/>
  <c r="N33" i="34" s="1"/>
  <c r="T45" i="36"/>
  <c r="F31" i="34"/>
  <c r="U30" i="3" s="1"/>
  <c r="T27" i="36"/>
  <c r="AL30" i="3"/>
  <c r="U31" i="34"/>
  <c r="W30" i="3" s="1"/>
  <c r="AL32" i="3" l="1"/>
  <c r="L32" i="34"/>
  <c r="N32" i="34" s="1"/>
  <c r="P32" i="34" s="1"/>
  <c r="Q32" i="34" s="1"/>
  <c r="S32" i="34" s="1"/>
  <c r="U33" i="34"/>
  <c r="W32" i="3" s="1"/>
  <c r="AA32" i="3" s="1"/>
  <c r="P33" i="34"/>
  <c r="Q33" i="34" s="1"/>
  <c r="S33" i="34" s="1"/>
  <c r="V31" i="34"/>
  <c r="C7" i="3"/>
  <c r="C8" i="3"/>
  <c r="C9" i="3"/>
  <c r="C54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6" i="3"/>
  <c r="C53" i="3"/>
  <c r="AB32" i="3" l="1"/>
  <c r="AD32" i="3" s="1"/>
  <c r="B3" i="36"/>
  <c r="B4" i="36"/>
  <c r="B5" i="36"/>
  <c r="B6" i="36"/>
  <c r="B49" i="36"/>
  <c r="B7" i="36"/>
  <c r="B8" i="36"/>
  <c r="B9" i="36"/>
  <c r="B10" i="36"/>
  <c r="B11" i="36"/>
  <c r="B12" i="36"/>
  <c r="B13" i="36"/>
  <c r="B4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48" i="36"/>
  <c r="B8" i="35"/>
  <c r="B9" i="35"/>
  <c r="B10" i="35"/>
  <c r="B45" i="35"/>
  <c r="B12" i="35"/>
  <c r="B13" i="35"/>
  <c r="B14" i="35"/>
  <c r="B15" i="35"/>
  <c r="B16" i="35"/>
  <c r="B17" i="35"/>
  <c r="B18" i="35"/>
  <c r="B46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7" i="35"/>
  <c r="B44" i="35"/>
  <c r="B8" i="34"/>
  <c r="C8" i="34"/>
  <c r="D8" i="34"/>
  <c r="B9" i="34"/>
  <c r="C9" i="34"/>
  <c r="D9" i="34"/>
  <c r="B10" i="34"/>
  <c r="C10" i="34"/>
  <c r="D10" i="34"/>
  <c r="B116" i="34"/>
  <c r="C116" i="34"/>
  <c r="D116" i="34"/>
  <c r="B11" i="34"/>
  <c r="C11" i="34"/>
  <c r="D11" i="34"/>
  <c r="B12" i="34"/>
  <c r="C12" i="34"/>
  <c r="D12" i="34"/>
  <c r="B13" i="34"/>
  <c r="C13" i="34"/>
  <c r="D13" i="34"/>
  <c r="B14" i="34"/>
  <c r="C14" i="34"/>
  <c r="D14" i="34"/>
  <c r="B15" i="34"/>
  <c r="C15" i="34"/>
  <c r="D15" i="34"/>
  <c r="B16" i="34"/>
  <c r="C16" i="34"/>
  <c r="D16" i="34"/>
  <c r="B17" i="34"/>
  <c r="C17" i="34"/>
  <c r="D17" i="34"/>
  <c r="B18" i="34"/>
  <c r="C18" i="34"/>
  <c r="D18" i="34"/>
  <c r="B19" i="34"/>
  <c r="C19" i="34"/>
  <c r="D19" i="34"/>
  <c r="B20" i="34"/>
  <c r="C20" i="34"/>
  <c r="D20" i="34"/>
  <c r="B21" i="34"/>
  <c r="C21" i="34"/>
  <c r="D21" i="34"/>
  <c r="B22" i="34"/>
  <c r="C22" i="34"/>
  <c r="D22" i="34"/>
  <c r="B23" i="34"/>
  <c r="C23" i="34"/>
  <c r="D23" i="34"/>
  <c r="B24" i="34"/>
  <c r="C24" i="34"/>
  <c r="D24" i="34"/>
  <c r="B25" i="34"/>
  <c r="C25" i="34"/>
  <c r="D25" i="34"/>
  <c r="B26" i="34"/>
  <c r="C26" i="34"/>
  <c r="D26" i="34"/>
  <c r="B27" i="34"/>
  <c r="C27" i="34"/>
  <c r="D27" i="34"/>
  <c r="B28" i="34"/>
  <c r="C28" i="34"/>
  <c r="D28" i="34"/>
  <c r="B29" i="34"/>
  <c r="C29" i="34"/>
  <c r="D29" i="34"/>
  <c r="B30" i="34"/>
  <c r="C30" i="34"/>
  <c r="D30" i="34"/>
  <c r="C7" i="34"/>
  <c r="D7" i="34"/>
  <c r="B7" i="34"/>
  <c r="C115" i="34"/>
  <c r="D115" i="34"/>
  <c r="B115" i="34"/>
  <c r="Z14" i="3"/>
  <c r="AE14" i="3"/>
  <c r="Q14" i="3"/>
  <c r="B31" i="37" l="1"/>
  <c r="B74" i="37" s="1"/>
  <c r="B79" i="35"/>
  <c r="B27" i="37"/>
  <c r="B70" i="37" s="1"/>
  <c r="B75" i="35"/>
  <c r="B23" i="37"/>
  <c r="B66" i="37" s="1"/>
  <c r="B71" i="35"/>
  <c r="B19" i="37"/>
  <c r="B62" i="37" s="1"/>
  <c r="B67" i="35"/>
  <c r="B64" i="35"/>
  <c r="B16" i="37"/>
  <c r="B59" i="37" s="1"/>
  <c r="B60" i="35"/>
  <c r="B12" i="37"/>
  <c r="B55" i="37" s="1"/>
  <c r="B57" i="35"/>
  <c r="B9" i="37"/>
  <c r="B52" i="37" s="1"/>
  <c r="B30" i="37"/>
  <c r="B73" i="37" s="1"/>
  <c r="B78" i="35"/>
  <c r="B26" i="37"/>
  <c r="B69" i="37" s="1"/>
  <c r="B74" i="35"/>
  <c r="B22" i="37"/>
  <c r="B65" i="37" s="1"/>
  <c r="B70" i="35"/>
  <c r="B15" i="37"/>
  <c r="B58" i="37" s="1"/>
  <c r="B63" i="35"/>
  <c r="B44" i="37"/>
  <c r="B89" i="37" s="1"/>
  <c r="B93" i="35"/>
  <c r="B92" i="35"/>
  <c r="B43" i="37"/>
  <c r="B88" i="37" s="1"/>
  <c r="B77" i="35"/>
  <c r="B29" i="37"/>
  <c r="B72" i="37" s="1"/>
  <c r="B73" i="35"/>
  <c r="B25" i="37"/>
  <c r="B68" i="37" s="1"/>
  <c r="B69" i="35"/>
  <c r="B21" i="37"/>
  <c r="B64" i="37" s="1"/>
  <c r="B18" i="37"/>
  <c r="B61" i="37" s="1"/>
  <c r="B66" i="35"/>
  <c r="B14" i="37"/>
  <c r="B57" i="37" s="1"/>
  <c r="B62" i="35"/>
  <c r="B11" i="37"/>
  <c r="B54" i="37" s="1"/>
  <c r="B59" i="35"/>
  <c r="B8" i="37"/>
  <c r="B51" i="37" s="1"/>
  <c r="B56" i="35"/>
  <c r="B76" i="35"/>
  <c r="B28" i="37"/>
  <c r="B71" i="37" s="1"/>
  <c r="B72" i="35"/>
  <c r="B24" i="37"/>
  <c r="B67" i="37" s="1"/>
  <c r="B68" i="35"/>
  <c r="B20" i="37"/>
  <c r="B63" i="37" s="1"/>
  <c r="B65" i="35"/>
  <c r="B17" i="37"/>
  <c r="B60" i="37" s="1"/>
  <c r="B61" i="35"/>
  <c r="B13" i="37"/>
  <c r="B56" i="37" s="1"/>
  <c r="B58" i="35"/>
  <c r="B10" i="37"/>
  <c r="B53" i="37" s="1"/>
  <c r="AI29" i="3"/>
  <c r="R30" i="34"/>
  <c r="R49" i="36" l="1"/>
  <c r="AI54" i="3" s="1"/>
  <c r="R44" i="36"/>
  <c r="R19" i="36"/>
  <c r="AI22" i="3" s="1"/>
  <c r="R20" i="36"/>
  <c r="T20" i="36" s="1"/>
  <c r="R21" i="36"/>
  <c r="AI24" i="3" s="1"/>
  <c r="R22" i="36"/>
  <c r="AI25" i="3" s="1"/>
  <c r="R23" i="36"/>
  <c r="AI26" i="3" s="1"/>
  <c r="R24" i="36"/>
  <c r="T24" i="36" s="1"/>
  <c r="R25" i="36"/>
  <c r="AI28" i="3" s="1"/>
  <c r="U25" i="36"/>
  <c r="U24" i="36"/>
  <c r="U23" i="36"/>
  <c r="U22" i="36"/>
  <c r="U21" i="36"/>
  <c r="U20" i="36"/>
  <c r="U19" i="36"/>
  <c r="U44" i="36"/>
  <c r="U49" i="36"/>
  <c r="U48" i="36"/>
  <c r="R48" i="36"/>
  <c r="T48" i="36" s="1"/>
  <c r="T49" i="36" l="1"/>
  <c r="T44" i="36"/>
  <c r="T25" i="36"/>
  <c r="T19" i="36"/>
  <c r="T22" i="36"/>
  <c r="T21" i="36"/>
  <c r="T23" i="36"/>
  <c r="AI27" i="3"/>
  <c r="AI23" i="3"/>
  <c r="AI53" i="3"/>
  <c r="E6" i="33" l="1"/>
  <c r="E7" i="34" s="1"/>
  <c r="E7" i="33"/>
  <c r="E8" i="34" s="1"/>
  <c r="E8" i="33"/>
  <c r="E9" i="33"/>
  <c r="E10" i="34" s="1"/>
  <c r="E121" i="33"/>
  <c r="E116" i="34" s="1"/>
  <c r="E10" i="33"/>
  <c r="E11" i="34" s="1"/>
  <c r="E11" i="33"/>
  <c r="E12" i="33"/>
  <c r="E13" i="34" s="1"/>
  <c r="E13" i="33"/>
  <c r="E14" i="34" s="1"/>
  <c r="E14" i="33"/>
  <c r="E15" i="33"/>
  <c r="E16" i="33"/>
  <c r="E17" i="34" s="1"/>
  <c r="E17" i="33"/>
  <c r="E18" i="34" s="1"/>
  <c r="E18" i="33"/>
  <c r="E19" i="33"/>
  <c r="E20" i="34" s="1"/>
  <c r="E20" i="33"/>
  <c r="E21" i="34" s="1"/>
  <c r="E21" i="33"/>
  <c r="E22" i="34" s="1"/>
  <c r="E22" i="33"/>
  <c r="E23" i="33"/>
  <c r="E24" i="34" s="1"/>
  <c r="E24" i="33"/>
  <c r="E25" i="34" s="1"/>
  <c r="E25" i="33"/>
  <c r="E26" i="33"/>
  <c r="E27" i="33"/>
  <c r="E28" i="34" s="1"/>
  <c r="E28" i="33"/>
  <c r="E29" i="34" s="1"/>
  <c r="E120" i="33"/>
  <c r="O31" i="35"/>
  <c r="G30" i="34" s="1"/>
  <c r="O30" i="35"/>
  <c r="G29" i="34" s="1"/>
  <c r="O29" i="35"/>
  <c r="G28" i="34" s="1"/>
  <c r="O28" i="35"/>
  <c r="G27" i="34" s="1"/>
  <c r="O27" i="35"/>
  <c r="G26" i="34" s="1"/>
  <c r="O26" i="35"/>
  <c r="G25" i="34" s="1"/>
  <c r="O25" i="35"/>
  <c r="G24" i="34" s="1"/>
  <c r="O24" i="35"/>
  <c r="G23" i="34" s="1"/>
  <c r="O23" i="35"/>
  <c r="G22" i="34" s="1"/>
  <c r="O22" i="35"/>
  <c r="G21" i="34" s="1"/>
  <c r="O21" i="35"/>
  <c r="G20" i="34" s="1"/>
  <c r="O20" i="35"/>
  <c r="G19" i="34" s="1"/>
  <c r="O19" i="35"/>
  <c r="G18" i="34" s="1"/>
  <c r="O46" i="35"/>
  <c r="O18" i="35"/>
  <c r="G17" i="34" s="1"/>
  <c r="O17" i="35"/>
  <c r="G16" i="34" s="1"/>
  <c r="O16" i="35"/>
  <c r="G15" i="34" s="1"/>
  <c r="O15" i="35"/>
  <c r="G14" i="34" s="1"/>
  <c r="O14" i="35"/>
  <c r="G13" i="34" s="1"/>
  <c r="O13" i="35"/>
  <c r="G12" i="34" s="1"/>
  <c r="O12" i="35"/>
  <c r="G11" i="34" s="1"/>
  <c r="O45" i="35"/>
  <c r="G116" i="34" s="1"/>
  <c r="O10" i="35"/>
  <c r="G10" i="34" s="1"/>
  <c r="O9" i="35"/>
  <c r="G9" i="34" s="1"/>
  <c r="O8" i="35"/>
  <c r="G8" i="34" s="1"/>
  <c r="O7" i="35"/>
  <c r="G7" i="34" s="1"/>
  <c r="O44" i="35"/>
  <c r="J111" i="34"/>
  <c r="E111" i="34"/>
  <c r="D111" i="34"/>
  <c r="C111" i="34"/>
  <c r="B111" i="34"/>
  <c r="J110" i="34"/>
  <c r="E110" i="34"/>
  <c r="D110" i="34"/>
  <c r="C110" i="34"/>
  <c r="B110" i="34"/>
  <c r="J109" i="34"/>
  <c r="E109" i="34"/>
  <c r="D109" i="34"/>
  <c r="C109" i="34"/>
  <c r="B109" i="34"/>
  <c r="J108" i="34"/>
  <c r="E108" i="34"/>
  <c r="D108" i="34"/>
  <c r="C108" i="34"/>
  <c r="B108" i="34"/>
  <c r="J107" i="34"/>
  <c r="E107" i="34"/>
  <c r="D107" i="34"/>
  <c r="C107" i="34"/>
  <c r="B107" i="34"/>
  <c r="J106" i="34"/>
  <c r="E106" i="34"/>
  <c r="D106" i="34"/>
  <c r="C106" i="34"/>
  <c r="B106" i="34"/>
  <c r="J105" i="34"/>
  <c r="E105" i="34"/>
  <c r="D105" i="34"/>
  <c r="C105" i="34"/>
  <c r="B105" i="34"/>
  <c r="J94" i="34"/>
  <c r="F94" i="34"/>
  <c r="G94" i="34" s="1"/>
  <c r="H94" i="34" s="1"/>
  <c r="I94" i="34" s="1"/>
  <c r="E94" i="34"/>
  <c r="D94" i="34"/>
  <c r="C94" i="34"/>
  <c r="J93" i="34"/>
  <c r="F93" i="34"/>
  <c r="G93" i="34" s="1"/>
  <c r="H93" i="34" s="1"/>
  <c r="I93" i="34" s="1"/>
  <c r="E93" i="34"/>
  <c r="D93" i="34"/>
  <c r="C93" i="34"/>
  <c r="J92" i="34"/>
  <c r="F92" i="34"/>
  <c r="G92" i="34" s="1"/>
  <c r="H92" i="34" s="1"/>
  <c r="I92" i="34" s="1"/>
  <c r="E92" i="34"/>
  <c r="D92" i="34"/>
  <c r="C92" i="34"/>
  <c r="J91" i="34"/>
  <c r="F91" i="34"/>
  <c r="G91" i="34" s="1"/>
  <c r="H91" i="34" s="1"/>
  <c r="I91" i="34" s="1"/>
  <c r="E91" i="34"/>
  <c r="D91" i="34"/>
  <c r="C91" i="34"/>
  <c r="J88" i="34"/>
  <c r="J86" i="34"/>
  <c r="E86" i="34"/>
  <c r="D86" i="34"/>
  <c r="C86" i="34"/>
  <c r="B86" i="34"/>
  <c r="J85" i="34"/>
  <c r="E85" i="34"/>
  <c r="D85" i="34"/>
  <c r="C85" i="34"/>
  <c r="B85" i="34"/>
  <c r="M85" i="34" s="1"/>
  <c r="J84" i="34"/>
  <c r="E84" i="34"/>
  <c r="D84" i="34"/>
  <c r="C84" i="34"/>
  <c r="B84" i="34"/>
  <c r="M84" i="34" s="1"/>
  <c r="J83" i="34"/>
  <c r="E83" i="34"/>
  <c r="D83" i="34"/>
  <c r="C83" i="34"/>
  <c r="B83" i="34"/>
  <c r="M83" i="34" s="1"/>
  <c r="J82" i="34"/>
  <c r="E82" i="34"/>
  <c r="D82" i="34"/>
  <c r="C82" i="34"/>
  <c r="B82" i="34"/>
  <c r="M82" i="34" s="1"/>
  <c r="J81" i="34"/>
  <c r="E81" i="34"/>
  <c r="D81" i="34"/>
  <c r="C81" i="34"/>
  <c r="B81" i="34"/>
  <c r="M81" i="34" s="1"/>
  <c r="J80" i="34"/>
  <c r="E80" i="34"/>
  <c r="D80" i="34"/>
  <c r="C80" i="34"/>
  <c r="B80" i="34"/>
  <c r="M80" i="34" s="1"/>
  <c r="J79" i="34"/>
  <c r="E79" i="34"/>
  <c r="D79" i="34"/>
  <c r="C79" i="34"/>
  <c r="B79" i="34"/>
  <c r="M79" i="34" s="1"/>
  <c r="J78" i="34"/>
  <c r="E78" i="34"/>
  <c r="D78" i="34"/>
  <c r="C78" i="34"/>
  <c r="B78" i="34"/>
  <c r="M78" i="34" s="1"/>
  <c r="J77" i="34"/>
  <c r="E77" i="34"/>
  <c r="D77" i="34"/>
  <c r="C77" i="34"/>
  <c r="B77" i="34"/>
  <c r="M77" i="34" s="1"/>
  <c r="J76" i="34"/>
  <c r="E76" i="34"/>
  <c r="D76" i="34"/>
  <c r="C76" i="34"/>
  <c r="B76" i="34"/>
  <c r="M76" i="34" s="1"/>
  <c r="J75" i="34"/>
  <c r="E75" i="34"/>
  <c r="D75" i="34"/>
  <c r="C75" i="34"/>
  <c r="B75" i="34"/>
  <c r="M75" i="34" s="1"/>
  <c r="J74" i="34"/>
  <c r="E74" i="34"/>
  <c r="D74" i="34"/>
  <c r="C74" i="34"/>
  <c r="B74" i="34"/>
  <c r="M74" i="34" s="1"/>
  <c r="J73" i="34"/>
  <c r="E73" i="34"/>
  <c r="D73" i="34"/>
  <c r="C73" i="34"/>
  <c r="B73" i="34"/>
  <c r="M73" i="34" s="1"/>
  <c r="J72" i="34"/>
  <c r="E72" i="34"/>
  <c r="D72" i="34"/>
  <c r="C72" i="34"/>
  <c r="B72" i="34"/>
  <c r="M72" i="34" s="1"/>
  <c r="J71" i="34"/>
  <c r="E71" i="34"/>
  <c r="D71" i="34"/>
  <c r="C71" i="34"/>
  <c r="B71" i="34"/>
  <c r="M71" i="34" s="1"/>
  <c r="J70" i="34"/>
  <c r="E70" i="34"/>
  <c r="D70" i="34"/>
  <c r="C70" i="34"/>
  <c r="B70" i="34"/>
  <c r="M70" i="34" s="1"/>
  <c r="J69" i="34"/>
  <c r="E69" i="34"/>
  <c r="D69" i="34"/>
  <c r="C69" i="34"/>
  <c r="B69" i="34"/>
  <c r="M69" i="34" s="1"/>
  <c r="J68" i="34"/>
  <c r="E68" i="34"/>
  <c r="D68" i="34"/>
  <c r="C68" i="34"/>
  <c r="B68" i="34"/>
  <c r="M68" i="34" s="1"/>
  <c r="J67" i="34"/>
  <c r="E67" i="34"/>
  <c r="D67" i="34"/>
  <c r="C67" i="34"/>
  <c r="B67" i="34"/>
  <c r="M67" i="34" s="1"/>
  <c r="J66" i="34"/>
  <c r="E66" i="34"/>
  <c r="D66" i="34"/>
  <c r="C66" i="34"/>
  <c r="B66" i="34"/>
  <c r="M66" i="34" s="1"/>
  <c r="J65" i="34"/>
  <c r="E65" i="34"/>
  <c r="D65" i="34"/>
  <c r="C65" i="34"/>
  <c r="B65" i="34"/>
  <c r="M65" i="34" s="1"/>
  <c r="J64" i="34"/>
  <c r="E64" i="34"/>
  <c r="D64" i="34"/>
  <c r="C64" i="34"/>
  <c r="B64" i="34"/>
  <c r="M64" i="34" s="1"/>
  <c r="J63" i="34"/>
  <c r="E63" i="34"/>
  <c r="D63" i="34"/>
  <c r="C63" i="34"/>
  <c r="B63" i="34"/>
  <c r="M63" i="34" s="1"/>
  <c r="J62" i="34"/>
  <c r="E62" i="34"/>
  <c r="D62" i="34"/>
  <c r="C62" i="34"/>
  <c r="B62" i="34"/>
  <c r="M62" i="34" s="1"/>
  <c r="J61" i="34"/>
  <c r="E61" i="34"/>
  <c r="D61" i="34"/>
  <c r="C61" i="34"/>
  <c r="B61" i="34"/>
  <c r="M61" i="34" s="1"/>
  <c r="J60" i="34"/>
  <c r="E60" i="34"/>
  <c r="D60" i="34"/>
  <c r="C60" i="34"/>
  <c r="B60" i="34"/>
  <c r="M60" i="34" s="1"/>
  <c r="K48" i="34"/>
  <c r="I48" i="34"/>
  <c r="G48" i="34"/>
  <c r="F48" i="34"/>
  <c r="E48" i="34"/>
  <c r="D48" i="34"/>
  <c r="R48" i="34" s="1"/>
  <c r="C48" i="34"/>
  <c r="B48" i="34"/>
  <c r="K47" i="34"/>
  <c r="I47" i="34"/>
  <c r="G47" i="34"/>
  <c r="F47" i="34"/>
  <c r="E47" i="34"/>
  <c r="M47" i="34" s="1"/>
  <c r="D47" i="34"/>
  <c r="R47" i="34" s="1"/>
  <c r="C47" i="34"/>
  <c r="B47" i="34"/>
  <c r="K46" i="34"/>
  <c r="I46" i="34"/>
  <c r="G46" i="34"/>
  <c r="F46" i="34"/>
  <c r="E46" i="34"/>
  <c r="D46" i="34"/>
  <c r="R46" i="34" s="1"/>
  <c r="C46" i="34"/>
  <c r="B46" i="34"/>
  <c r="K45" i="34"/>
  <c r="I45" i="34"/>
  <c r="G45" i="34"/>
  <c r="F45" i="34"/>
  <c r="E45" i="34"/>
  <c r="O45" i="34" s="1"/>
  <c r="D45" i="34"/>
  <c r="R45" i="34" s="1"/>
  <c r="C45" i="34"/>
  <c r="B45" i="34"/>
  <c r="K44" i="34"/>
  <c r="I44" i="34"/>
  <c r="G44" i="34"/>
  <c r="F44" i="34"/>
  <c r="E44" i="34"/>
  <c r="D44" i="34"/>
  <c r="R44" i="34" s="1"/>
  <c r="C44" i="34"/>
  <c r="B44" i="34"/>
  <c r="K43" i="34"/>
  <c r="I43" i="34"/>
  <c r="G43" i="34"/>
  <c r="F43" i="34"/>
  <c r="E43" i="34"/>
  <c r="O43" i="34" s="1"/>
  <c r="D43" i="34"/>
  <c r="R43" i="34" s="1"/>
  <c r="C43" i="34"/>
  <c r="B43" i="34"/>
  <c r="K42" i="34"/>
  <c r="I42" i="34"/>
  <c r="G42" i="34"/>
  <c r="F42" i="34"/>
  <c r="E42" i="34"/>
  <c r="D42" i="34"/>
  <c r="R42" i="34" s="1"/>
  <c r="C42" i="34"/>
  <c r="B42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2" i="34"/>
  <c r="R11" i="34"/>
  <c r="R116" i="34"/>
  <c r="R10" i="34"/>
  <c r="R9" i="34"/>
  <c r="R8" i="34"/>
  <c r="R7" i="34"/>
  <c r="R115" i="34"/>
  <c r="R120" i="33"/>
  <c r="U81" i="33"/>
  <c r="T81" i="33"/>
  <c r="S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W80" i="33"/>
  <c r="R80" i="33"/>
  <c r="V80" i="33" s="1"/>
  <c r="D80" i="33"/>
  <c r="C80" i="33"/>
  <c r="B80" i="33"/>
  <c r="W79" i="33"/>
  <c r="R79" i="33"/>
  <c r="V79" i="33" s="1"/>
  <c r="D79" i="33"/>
  <c r="C79" i="33"/>
  <c r="B79" i="33"/>
  <c r="W78" i="33"/>
  <c r="R78" i="33"/>
  <c r="V78" i="33" s="1"/>
  <c r="D78" i="33"/>
  <c r="C78" i="33"/>
  <c r="B78" i="33"/>
  <c r="W77" i="33"/>
  <c r="R77" i="33"/>
  <c r="V77" i="33" s="1"/>
  <c r="D77" i="33"/>
  <c r="C77" i="33"/>
  <c r="B77" i="33"/>
  <c r="W76" i="33"/>
  <c r="R76" i="33"/>
  <c r="V76" i="33" s="1"/>
  <c r="D76" i="33"/>
  <c r="C76" i="33"/>
  <c r="B76" i="33"/>
  <c r="W75" i="33"/>
  <c r="R75" i="33"/>
  <c r="V75" i="33" s="1"/>
  <c r="X75" i="33" s="1"/>
  <c r="D75" i="33"/>
  <c r="C75" i="33"/>
  <c r="B75" i="33"/>
  <c r="W74" i="33"/>
  <c r="R74" i="33"/>
  <c r="V74" i="33" s="1"/>
  <c r="X74" i="33" s="1"/>
  <c r="D74" i="33"/>
  <c r="C74" i="33"/>
  <c r="B74" i="33"/>
  <c r="W73" i="33"/>
  <c r="R73" i="33"/>
  <c r="V73" i="33" s="1"/>
  <c r="X73" i="33" s="1"/>
  <c r="D73" i="33"/>
  <c r="C73" i="33"/>
  <c r="B73" i="33"/>
  <c r="W72" i="33"/>
  <c r="R72" i="33"/>
  <c r="V72" i="33" s="1"/>
  <c r="X72" i="33" s="1"/>
  <c r="D72" i="33"/>
  <c r="C72" i="33"/>
  <c r="B72" i="33"/>
  <c r="W71" i="33"/>
  <c r="R71" i="33"/>
  <c r="V71" i="33" s="1"/>
  <c r="X71" i="33" s="1"/>
  <c r="D71" i="33"/>
  <c r="C71" i="33"/>
  <c r="B71" i="33"/>
  <c r="W70" i="33"/>
  <c r="R70" i="33"/>
  <c r="V70" i="33" s="1"/>
  <c r="X70" i="33" s="1"/>
  <c r="D70" i="33"/>
  <c r="C70" i="33"/>
  <c r="B70" i="33"/>
  <c r="W69" i="33"/>
  <c r="R69" i="33"/>
  <c r="V69" i="33" s="1"/>
  <c r="X69" i="33" s="1"/>
  <c r="D69" i="33"/>
  <c r="C69" i="33"/>
  <c r="B69" i="33"/>
  <c r="W68" i="33"/>
  <c r="R68" i="33"/>
  <c r="V68" i="33" s="1"/>
  <c r="X68" i="33" s="1"/>
  <c r="D68" i="33"/>
  <c r="C68" i="33"/>
  <c r="B68" i="33"/>
  <c r="W67" i="33"/>
  <c r="R67" i="33"/>
  <c r="V67" i="33" s="1"/>
  <c r="X67" i="33" s="1"/>
  <c r="D67" i="33"/>
  <c r="C67" i="33"/>
  <c r="B67" i="33"/>
  <c r="W66" i="33"/>
  <c r="R66" i="33"/>
  <c r="V66" i="33" s="1"/>
  <c r="X66" i="33" s="1"/>
  <c r="D66" i="33"/>
  <c r="C66" i="33"/>
  <c r="B66" i="33"/>
  <c r="W65" i="33"/>
  <c r="R65" i="33"/>
  <c r="V65" i="33" s="1"/>
  <c r="X65" i="33" s="1"/>
  <c r="D65" i="33"/>
  <c r="C65" i="33"/>
  <c r="B65" i="33"/>
  <c r="W64" i="33"/>
  <c r="R64" i="33"/>
  <c r="V64" i="33" s="1"/>
  <c r="X64" i="33" s="1"/>
  <c r="D64" i="33"/>
  <c r="C64" i="33"/>
  <c r="B64" i="33"/>
  <c r="W63" i="33"/>
  <c r="R63" i="33"/>
  <c r="V63" i="33" s="1"/>
  <c r="X63" i="33" s="1"/>
  <c r="D63" i="33"/>
  <c r="C63" i="33"/>
  <c r="B63" i="33"/>
  <c r="W62" i="33"/>
  <c r="R62" i="33"/>
  <c r="V62" i="33" s="1"/>
  <c r="X62" i="33" s="1"/>
  <c r="D62" i="33"/>
  <c r="C62" i="33"/>
  <c r="B62" i="33"/>
  <c r="W61" i="33"/>
  <c r="R61" i="33"/>
  <c r="V61" i="33" s="1"/>
  <c r="X61" i="33" s="1"/>
  <c r="D61" i="33"/>
  <c r="C61" i="33"/>
  <c r="B61" i="33"/>
  <c r="W60" i="33"/>
  <c r="R60" i="33"/>
  <c r="V60" i="33" s="1"/>
  <c r="X60" i="33" s="1"/>
  <c r="D60" i="33"/>
  <c r="C60" i="33"/>
  <c r="B60" i="33"/>
  <c r="W59" i="33"/>
  <c r="R59" i="33"/>
  <c r="V59" i="33" s="1"/>
  <c r="X59" i="33" s="1"/>
  <c r="D59" i="33"/>
  <c r="C59" i="33"/>
  <c r="B59" i="33"/>
  <c r="W58" i="33"/>
  <c r="R58" i="33"/>
  <c r="V58" i="33" s="1"/>
  <c r="X58" i="33" s="1"/>
  <c r="D58" i="33"/>
  <c r="C58" i="33"/>
  <c r="B58" i="33"/>
  <c r="W57" i="33"/>
  <c r="R57" i="33"/>
  <c r="V57" i="33" s="1"/>
  <c r="X57" i="33" s="1"/>
  <c r="D57" i="33"/>
  <c r="C57" i="33"/>
  <c r="B57" i="33"/>
  <c r="W56" i="33"/>
  <c r="R56" i="33"/>
  <c r="V56" i="33" s="1"/>
  <c r="X56" i="33" s="1"/>
  <c r="D56" i="33"/>
  <c r="C56" i="33"/>
  <c r="B56" i="33"/>
  <c r="W55" i="33"/>
  <c r="R55" i="33"/>
  <c r="V55" i="33" s="1"/>
  <c r="X55" i="33" s="1"/>
  <c r="D55" i="33"/>
  <c r="C55" i="33"/>
  <c r="B55" i="33"/>
  <c r="W54" i="33"/>
  <c r="R54" i="33"/>
  <c r="V54" i="33" s="1"/>
  <c r="D54" i="33"/>
  <c r="C54" i="33"/>
  <c r="B54" i="33"/>
  <c r="W47" i="33"/>
  <c r="R47" i="33"/>
  <c r="V47" i="33" s="1"/>
  <c r="E47" i="33"/>
  <c r="W46" i="33"/>
  <c r="R46" i="33"/>
  <c r="V46" i="33" s="1"/>
  <c r="E46" i="33"/>
  <c r="W45" i="33"/>
  <c r="R45" i="33"/>
  <c r="V45" i="33" s="1"/>
  <c r="E45" i="33"/>
  <c r="W44" i="33"/>
  <c r="R44" i="33"/>
  <c r="V44" i="33" s="1"/>
  <c r="E44" i="33"/>
  <c r="W43" i="33"/>
  <c r="R43" i="33"/>
  <c r="V43" i="33" s="1"/>
  <c r="E43" i="33"/>
  <c r="W42" i="33"/>
  <c r="R42" i="33"/>
  <c r="V42" i="33" s="1"/>
  <c r="E42" i="33"/>
  <c r="W41" i="33"/>
  <c r="R41" i="33"/>
  <c r="V41" i="33" s="1"/>
  <c r="E41" i="33"/>
  <c r="W29" i="33"/>
  <c r="R29" i="33"/>
  <c r="E29" i="33"/>
  <c r="W28" i="33"/>
  <c r="R28" i="33"/>
  <c r="W27" i="33"/>
  <c r="R27" i="33"/>
  <c r="W26" i="33"/>
  <c r="R26" i="33"/>
  <c r="W25" i="33"/>
  <c r="R25" i="33"/>
  <c r="W24" i="33"/>
  <c r="R24" i="33"/>
  <c r="W23" i="33"/>
  <c r="R23" i="33"/>
  <c r="W22" i="33"/>
  <c r="R22" i="33"/>
  <c r="W21" i="33"/>
  <c r="R21" i="33"/>
  <c r="W20" i="33"/>
  <c r="R20" i="33"/>
  <c r="W19" i="33"/>
  <c r="R19" i="33"/>
  <c r="W18" i="33"/>
  <c r="R18" i="33"/>
  <c r="W17" i="33"/>
  <c r="R17" i="33"/>
  <c r="W16" i="33"/>
  <c r="R16" i="33"/>
  <c r="W15" i="33"/>
  <c r="R15" i="33"/>
  <c r="W14" i="33"/>
  <c r="R14" i="33"/>
  <c r="W13" i="33"/>
  <c r="R13" i="33"/>
  <c r="R12" i="33"/>
  <c r="W11" i="33"/>
  <c r="R11" i="33"/>
  <c r="W10" i="33"/>
  <c r="R10" i="33"/>
  <c r="W121" i="33"/>
  <c r="R121" i="33"/>
  <c r="W9" i="33"/>
  <c r="R9" i="33"/>
  <c r="W8" i="33"/>
  <c r="R8" i="33"/>
  <c r="W7" i="33"/>
  <c r="R7" i="33"/>
  <c r="W6" i="33"/>
  <c r="R6" i="33"/>
  <c r="W120" i="33"/>
  <c r="K91" i="34" l="1"/>
  <c r="K94" i="34"/>
  <c r="L45" i="34"/>
  <c r="L46" i="34"/>
  <c r="N46" i="34" s="1"/>
  <c r="R40" i="34"/>
  <c r="W39" i="33"/>
  <c r="R39" i="33"/>
  <c r="E39" i="33"/>
  <c r="O41" i="35"/>
  <c r="L47" i="34"/>
  <c r="N47" i="34" s="1"/>
  <c r="P47" i="34" s="1"/>
  <c r="Q47" i="34" s="1"/>
  <c r="S47" i="34" s="1"/>
  <c r="F110" i="34" s="1"/>
  <c r="G110" i="34" s="1"/>
  <c r="H110" i="34" s="1"/>
  <c r="I110" i="34" s="1"/>
  <c r="K110" i="34" s="1"/>
  <c r="L43" i="34"/>
  <c r="N43" i="34" s="1"/>
  <c r="H47" i="34"/>
  <c r="K93" i="34"/>
  <c r="G115" i="34"/>
  <c r="E30" i="34"/>
  <c r="O47" i="34"/>
  <c r="L42" i="34"/>
  <c r="N42" i="34" s="1"/>
  <c r="L44" i="34"/>
  <c r="N44" i="34" s="1"/>
  <c r="M43" i="34"/>
  <c r="M45" i="34"/>
  <c r="L48" i="34"/>
  <c r="N48" i="34" s="1"/>
  <c r="J87" i="34"/>
  <c r="H43" i="34"/>
  <c r="H45" i="34"/>
  <c r="U25" i="34"/>
  <c r="W24" i="3" s="1"/>
  <c r="E75" i="33"/>
  <c r="U24" i="34"/>
  <c r="W23" i="3" s="1"/>
  <c r="U116" i="34"/>
  <c r="W54" i="3" s="1"/>
  <c r="E59" i="33"/>
  <c r="E23" i="34"/>
  <c r="E12" i="34"/>
  <c r="E115" i="34"/>
  <c r="E26" i="34"/>
  <c r="E15" i="34"/>
  <c r="E27" i="34"/>
  <c r="E19" i="34"/>
  <c r="E16" i="34"/>
  <c r="E9" i="34"/>
  <c r="E57" i="33"/>
  <c r="E60" i="33"/>
  <c r="V29" i="33"/>
  <c r="F30" i="34"/>
  <c r="E54" i="33"/>
  <c r="E56" i="33"/>
  <c r="E64" i="33"/>
  <c r="V14" i="33"/>
  <c r="F15" i="34"/>
  <c r="U14" i="3" s="1"/>
  <c r="E80" i="33"/>
  <c r="V16" i="33"/>
  <c r="F17" i="34"/>
  <c r="U16" i="3" s="1"/>
  <c r="V22" i="33"/>
  <c r="F23" i="34"/>
  <c r="V25" i="33"/>
  <c r="F26" i="34"/>
  <c r="U25" i="3" s="1"/>
  <c r="E65" i="33"/>
  <c r="V21" i="33"/>
  <c r="F22" i="34"/>
  <c r="U21" i="3" s="1"/>
  <c r="V24" i="33"/>
  <c r="F25" i="34"/>
  <c r="U24" i="3" s="1"/>
  <c r="E68" i="33"/>
  <c r="V15" i="33"/>
  <c r="F16" i="34"/>
  <c r="U15" i="3" s="1"/>
  <c r="V18" i="33"/>
  <c r="F19" i="34"/>
  <c r="U18" i="3" s="1"/>
  <c r="V20" i="33"/>
  <c r="F21" i="34"/>
  <c r="U20" i="3" s="1"/>
  <c r="E73" i="33"/>
  <c r="E76" i="33"/>
  <c r="E78" i="33"/>
  <c r="E74" i="33"/>
  <c r="E70" i="33"/>
  <c r="E66" i="33"/>
  <c r="V17" i="33"/>
  <c r="F18" i="34"/>
  <c r="U17" i="3" s="1"/>
  <c r="V27" i="33"/>
  <c r="F28" i="34"/>
  <c r="U27" i="3" s="1"/>
  <c r="V19" i="33"/>
  <c r="F20" i="34"/>
  <c r="U19" i="3" s="1"/>
  <c r="E72" i="33"/>
  <c r="E69" i="33"/>
  <c r="V23" i="33"/>
  <c r="F24" i="34"/>
  <c r="U23" i="3" s="1"/>
  <c r="V26" i="33"/>
  <c r="F27" i="34"/>
  <c r="U26" i="3" s="1"/>
  <c r="V28" i="33"/>
  <c r="F29" i="34"/>
  <c r="U28" i="3" s="1"/>
  <c r="E77" i="33"/>
  <c r="E79" i="33"/>
  <c r="E71" i="33"/>
  <c r="E67" i="33"/>
  <c r="V13" i="33"/>
  <c r="F14" i="34"/>
  <c r="U13" i="3" s="1"/>
  <c r="V8" i="33"/>
  <c r="F9" i="34"/>
  <c r="U8" i="3" s="1"/>
  <c r="V10" i="33"/>
  <c r="F11" i="34"/>
  <c r="U10" i="3" s="1"/>
  <c r="V121" i="33"/>
  <c r="F116" i="34"/>
  <c r="U54" i="3" s="1"/>
  <c r="V12" i="33"/>
  <c r="F13" i="34"/>
  <c r="U12" i="3" s="1"/>
  <c r="V6" i="33"/>
  <c r="F7" i="34"/>
  <c r="V9" i="33"/>
  <c r="F10" i="34"/>
  <c r="U9" i="3" s="1"/>
  <c r="E61" i="33"/>
  <c r="V120" i="33"/>
  <c r="F115" i="34"/>
  <c r="E62" i="33"/>
  <c r="E58" i="33"/>
  <c r="V11" i="33"/>
  <c r="F12" i="34"/>
  <c r="U11" i="3" s="1"/>
  <c r="V7" i="33"/>
  <c r="F8" i="34"/>
  <c r="E63" i="33"/>
  <c r="E55" i="33"/>
  <c r="M48" i="34"/>
  <c r="H48" i="34"/>
  <c r="O48" i="34"/>
  <c r="E87" i="34"/>
  <c r="O46" i="34"/>
  <c r="M46" i="34"/>
  <c r="H46" i="34"/>
  <c r="N45" i="34"/>
  <c r="O42" i="34"/>
  <c r="M42" i="34"/>
  <c r="H42" i="34"/>
  <c r="M44" i="34"/>
  <c r="H44" i="34"/>
  <c r="O44" i="34"/>
  <c r="K92" i="34"/>
  <c r="W81" i="33"/>
  <c r="V81" i="33"/>
  <c r="X54" i="33"/>
  <c r="R81" i="33"/>
  <c r="AI14" i="10"/>
  <c r="AH14" i="10"/>
  <c r="AH15" i="10"/>
  <c r="U115" i="34" l="1"/>
  <c r="W53" i="3" s="1"/>
  <c r="G40" i="34"/>
  <c r="E40" i="34"/>
  <c r="V39" i="33"/>
  <c r="U53" i="3"/>
  <c r="F40" i="34"/>
  <c r="P43" i="34"/>
  <c r="Q43" i="34" s="1"/>
  <c r="S43" i="34" s="1"/>
  <c r="F106" i="34" s="1"/>
  <c r="G106" i="34" s="1"/>
  <c r="H106" i="34" s="1"/>
  <c r="I106" i="34" s="1"/>
  <c r="K106" i="34" s="1"/>
  <c r="AA30" i="3"/>
  <c r="L31" i="34"/>
  <c r="N31" i="34" s="1"/>
  <c r="P31" i="34" s="1"/>
  <c r="Q31" i="34" s="1"/>
  <c r="S31" i="34" s="1"/>
  <c r="U29" i="3"/>
  <c r="P42" i="34"/>
  <c r="Q42" i="34" s="1"/>
  <c r="S42" i="34" s="1"/>
  <c r="F105" i="34" s="1"/>
  <c r="G105" i="34" s="1"/>
  <c r="H105" i="34" s="1"/>
  <c r="I105" i="34" s="1"/>
  <c r="K105" i="34" s="1"/>
  <c r="V20" i="34"/>
  <c r="V18" i="34"/>
  <c r="V24" i="34"/>
  <c r="V28" i="34"/>
  <c r="V25" i="34"/>
  <c r="P45" i="34"/>
  <c r="Q45" i="34" s="1"/>
  <c r="S45" i="34" s="1"/>
  <c r="F108" i="34" s="1"/>
  <c r="G108" i="34" s="1"/>
  <c r="H108" i="34" s="1"/>
  <c r="I108" i="34" s="1"/>
  <c r="K108" i="34" s="1"/>
  <c r="P44" i="34"/>
  <c r="Q44" i="34" s="1"/>
  <c r="S44" i="34" s="1"/>
  <c r="F107" i="34" s="1"/>
  <c r="G107" i="34" s="1"/>
  <c r="H107" i="34" s="1"/>
  <c r="I107" i="34" s="1"/>
  <c r="K107" i="34" s="1"/>
  <c r="P48" i="34"/>
  <c r="Q48" i="34" s="1"/>
  <c r="S48" i="34" s="1"/>
  <c r="F111" i="34" s="1"/>
  <c r="G111" i="34" s="1"/>
  <c r="H111" i="34" s="1"/>
  <c r="I111" i="34" s="1"/>
  <c r="K111" i="34" s="1"/>
  <c r="V17" i="34"/>
  <c r="U27" i="34"/>
  <c r="W26" i="3" s="1"/>
  <c r="U22" i="3"/>
  <c r="U23" i="34"/>
  <c r="W22" i="3" s="1"/>
  <c r="V29" i="34"/>
  <c r="V22" i="34"/>
  <c r="U26" i="34"/>
  <c r="W25" i="3" s="1"/>
  <c r="V21" i="34"/>
  <c r="U15" i="34"/>
  <c r="W14" i="3" s="1"/>
  <c r="AA14" i="3" s="1"/>
  <c r="AB14" i="3" s="1"/>
  <c r="AD14" i="3" s="1"/>
  <c r="AF14" i="3" s="1"/>
  <c r="AG14" i="3" s="1"/>
  <c r="L16" i="34"/>
  <c r="N16" i="34" s="1"/>
  <c r="V13" i="34"/>
  <c r="V14" i="34"/>
  <c r="U19" i="34"/>
  <c r="W18" i="3" s="1"/>
  <c r="U9" i="34"/>
  <c r="W8" i="3" s="1"/>
  <c r="V10" i="34"/>
  <c r="V11" i="34"/>
  <c r="V7" i="34"/>
  <c r="U12" i="34"/>
  <c r="W11" i="3" s="1"/>
  <c r="V8" i="34"/>
  <c r="V116" i="34"/>
  <c r="L8" i="34"/>
  <c r="N8" i="34" s="1"/>
  <c r="P8" i="34" s="1"/>
  <c r="Q8" i="34" s="1"/>
  <c r="S8" i="34" s="1"/>
  <c r="F62" i="34" s="1"/>
  <c r="G62" i="34" s="1"/>
  <c r="H62" i="34" s="1"/>
  <c r="I62" i="34" s="1"/>
  <c r="K62" i="34" s="1"/>
  <c r="L116" i="34"/>
  <c r="N116" i="34" s="1"/>
  <c r="P116" i="34" s="1"/>
  <c r="Q116" i="34" s="1"/>
  <c r="S116" i="34" s="1"/>
  <c r="F65" i="34" s="1"/>
  <c r="G65" i="34" s="1"/>
  <c r="H65" i="34" s="1"/>
  <c r="I65" i="34" s="1"/>
  <c r="K65" i="34" s="1"/>
  <c r="T10" i="34"/>
  <c r="T116" i="34"/>
  <c r="E81" i="33"/>
  <c r="U21" i="34"/>
  <c r="W20" i="3" s="1"/>
  <c r="U17" i="34"/>
  <c r="W16" i="3" s="1"/>
  <c r="L24" i="34"/>
  <c r="N24" i="34" s="1"/>
  <c r="L25" i="34"/>
  <c r="N25" i="34" s="1"/>
  <c r="P25" i="34" s="1"/>
  <c r="Q25" i="34" s="1"/>
  <c r="S25" i="34" s="1"/>
  <c r="F81" i="34" s="1"/>
  <c r="G81" i="34" s="1"/>
  <c r="H81" i="34" s="1"/>
  <c r="I81" i="34" s="1"/>
  <c r="K81" i="34" s="1"/>
  <c r="T25" i="34"/>
  <c r="L10" i="34"/>
  <c r="N10" i="34" s="1"/>
  <c r="P10" i="34" s="1"/>
  <c r="Q10" i="34" s="1"/>
  <c r="S10" i="34" s="1"/>
  <c r="F64" i="34" s="1"/>
  <c r="G64" i="34" s="1"/>
  <c r="H64" i="34" s="1"/>
  <c r="I64" i="34" s="1"/>
  <c r="K64" i="34" s="1"/>
  <c r="L14" i="34"/>
  <c r="N14" i="34" s="1"/>
  <c r="U10" i="34"/>
  <c r="W9" i="3" s="1"/>
  <c r="U7" i="34"/>
  <c r="P46" i="34"/>
  <c r="Q46" i="34" s="1"/>
  <c r="S46" i="34" s="1"/>
  <c r="F109" i="34" s="1"/>
  <c r="G109" i="34" s="1"/>
  <c r="H109" i="34" s="1"/>
  <c r="I109" i="34" s="1"/>
  <c r="K109" i="34" s="1"/>
  <c r="U28" i="34"/>
  <c r="W27" i="3" s="1"/>
  <c r="L28" i="34"/>
  <c r="T24" i="34"/>
  <c r="T8" i="34"/>
  <c r="T11" i="34"/>
  <c r="L11" i="34"/>
  <c r="U11" i="34"/>
  <c r="W10" i="3" s="1"/>
  <c r="U8" i="34"/>
  <c r="W7" i="3" s="1"/>
  <c r="T14" i="34"/>
  <c r="U29" i="34"/>
  <c r="W28" i="3" s="1"/>
  <c r="L29" i="34"/>
  <c r="U39" i="3" l="1"/>
  <c r="AB30" i="3"/>
  <c r="AD30" i="3" s="1"/>
  <c r="U30" i="34"/>
  <c r="W29" i="3" s="1"/>
  <c r="V30" i="34"/>
  <c r="T27" i="34"/>
  <c r="V23" i="34"/>
  <c r="T12" i="34"/>
  <c r="V9" i="34"/>
  <c r="V15" i="34"/>
  <c r="V26" i="34"/>
  <c r="T115" i="34"/>
  <c r="L19" i="34"/>
  <c r="N19" i="34" s="1"/>
  <c r="P19" i="34" s="1"/>
  <c r="Q19" i="34" s="1"/>
  <c r="S19" i="34" s="1"/>
  <c r="F75" i="34" s="1"/>
  <c r="G75" i="34" s="1"/>
  <c r="H75" i="34" s="1"/>
  <c r="I75" i="34" s="1"/>
  <c r="K75" i="34" s="1"/>
  <c r="L15" i="34"/>
  <c r="N15" i="34" s="1"/>
  <c r="P15" i="34" s="1"/>
  <c r="Q15" i="34" s="1"/>
  <c r="S15" i="34" s="1"/>
  <c r="F70" i="34" s="1"/>
  <c r="G70" i="34" s="1"/>
  <c r="H70" i="34" s="1"/>
  <c r="I70" i="34" s="1"/>
  <c r="K70" i="34" s="1"/>
  <c r="L115" i="34"/>
  <c r="L9" i="34"/>
  <c r="N9" i="34" s="1"/>
  <c r="P9" i="34" s="1"/>
  <c r="Q9" i="34" s="1"/>
  <c r="S9" i="34" s="1"/>
  <c r="F63" i="34" s="1"/>
  <c r="G63" i="34" s="1"/>
  <c r="H63" i="34" s="1"/>
  <c r="I63" i="34" s="1"/>
  <c r="K63" i="34" s="1"/>
  <c r="T16" i="34"/>
  <c r="L30" i="34"/>
  <c r="N30" i="34" s="1"/>
  <c r="P30" i="34" s="1"/>
  <c r="Q30" i="34" s="1"/>
  <c r="S30" i="34" s="1"/>
  <c r="F86" i="34" s="1"/>
  <c r="G86" i="34" s="1"/>
  <c r="H86" i="34" s="1"/>
  <c r="I86" i="34" s="1"/>
  <c r="K86" i="34" s="1"/>
  <c r="L27" i="34"/>
  <c r="N27" i="34" s="1"/>
  <c r="P27" i="34" s="1"/>
  <c r="Q27" i="34" s="1"/>
  <c r="S27" i="34" s="1"/>
  <c r="F83" i="34" s="1"/>
  <c r="G83" i="34" s="1"/>
  <c r="H83" i="34" s="1"/>
  <c r="I83" i="34" s="1"/>
  <c r="K83" i="34" s="1"/>
  <c r="U16" i="34"/>
  <c r="W15" i="3" s="1"/>
  <c r="V115" i="34"/>
  <c r="V16" i="34"/>
  <c r="V27" i="34"/>
  <c r="T23" i="34"/>
  <c r="L23" i="34"/>
  <c r="N23" i="34" s="1"/>
  <c r="P23" i="34" s="1"/>
  <c r="Q23" i="34" s="1"/>
  <c r="S23" i="34" s="1"/>
  <c r="F79" i="34" s="1"/>
  <c r="G79" i="34" s="1"/>
  <c r="H79" i="34" s="1"/>
  <c r="I79" i="34" s="1"/>
  <c r="K79" i="34" s="1"/>
  <c r="T26" i="34"/>
  <c r="L26" i="34"/>
  <c r="N26" i="34" s="1"/>
  <c r="P26" i="34" s="1"/>
  <c r="Q26" i="34" s="1"/>
  <c r="S26" i="34" s="1"/>
  <c r="F82" i="34" s="1"/>
  <c r="G82" i="34" s="1"/>
  <c r="H82" i="34" s="1"/>
  <c r="I82" i="34" s="1"/>
  <c r="K82" i="34" s="1"/>
  <c r="T15" i="34"/>
  <c r="V19" i="34"/>
  <c r="T19" i="34"/>
  <c r="T9" i="34"/>
  <c r="V12" i="34"/>
  <c r="L12" i="34"/>
  <c r="N12" i="34" s="1"/>
  <c r="P12" i="34" s="1"/>
  <c r="Q12" i="34" s="1"/>
  <c r="S12" i="34" s="1"/>
  <c r="F67" i="34" s="1"/>
  <c r="G67" i="34" s="1"/>
  <c r="H67" i="34" s="1"/>
  <c r="I67" i="34" s="1"/>
  <c r="K67" i="34" s="1"/>
  <c r="P16" i="34"/>
  <c r="Q16" i="34" s="1"/>
  <c r="S16" i="34" s="1"/>
  <c r="F71" i="34" s="1"/>
  <c r="G71" i="34" s="1"/>
  <c r="H71" i="34" s="1"/>
  <c r="I71" i="34" s="1"/>
  <c r="K71" i="34" s="1"/>
  <c r="U14" i="34"/>
  <c r="W13" i="3" s="1"/>
  <c r="P24" i="34"/>
  <c r="Q24" i="34" s="1"/>
  <c r="S24" i="34" s="1"/>
  <c r="F80" i="34" s="1"/>
  <c r="G80" i="34" s="1"/>
  <c r="H80" i="34" s="1"/>
  <c r="I80" i="34" s="1"/>
  <c r="K80" i="34" s="1"/>
  <c r="T21" i="34"/>
  <c r="L21" i="34"/>
  <c r="N21" i="34" s="1"/>
  <c r="P21" i="34" s="1"/>
  <c r="Q21" i="34" s="1"/>
  <c r="S21" i="34" s="1"/>
  <c r="F77" i="34" s="1"/>
  <c r="G77" i="34" s="1"/>
  <c r="H77" i="34" s="1"/>
  <c r="I77" i="34" s="1"/>
  <c r="K77" i="34" s="1"/>
  <c r="P14" i="34"/>
  <c r="Q14" i="34" s="1"/>
  <c r="S14" i="34" s="1"/>
  <c r="F69" i="34" s="1"/>
  <c r="G69" i="34" s="1"/>
  <c r="H69" i="34" s="1"/>
  <c r="I69" i="34" s="1"/>
  <c r="K69" i="34" s="1"/>
  <c r="AH14" i="3"/>
  <c r="S11" i="36" s="1"/>
  <c r="U20" i="34"/>
  <c r="W19" i="3" s="1"/>
  <c r="L20" i="34"/>
  <c r="T20" i="34"/>
  <c r="U18" i="34"/>
  <c r="W17" i="3" s="1"/>
  <c r="T18" i="34"/>
  <c r="L18" i="34"/>
  <c r="N18" i="34" s="1"/>
  <c r="P18" i="34" s="1"/>
  <c r="Q18" i="34" s="1"/>
  <c r="S18" i="34" s="1"/>
  <c r="F74" i="34" s="1"/>
  <c r="G74" i="34" s="1"/>
  <c r="H74" i="34" s="1"/>
  <c r="I74" i="34" s="1"/>
  <c r="K74" i="34" s="1"/>
  <c r="L17" i="34"/>
  <c r="N17" i="34" s="1"/>
  <c r="P17" i="34" s="1"/>
  <c r="Q17" i="34" s="1"/>
  <c r="S17" i="34" s="1"/>
  <c r="F72" i="34" s="1"/>
  <c r="G72" i="34" s="1"/>
  <c r="H72" i="34" s="1"/>
  <c r="I72" i="34" s="1"/>
  <c r="K72" i="34" s="1"/>
  <c r="T17" i="34"/>
  <c r="U22" i="34"/>
  <c r="W21" i="3" s="1"/>
  <c r="T22" i="34"/>
  <c r="L22" i="34"/>
  <c r="N22" i="34" s="1"/>
  <c r="P22" i="34" s="1"/>
  <c r="Q22" i="34" s="1"/>
  <c r="S22" i="34" s="1"/>
  <c r="F78" i="34" s="1"/>
  <c r="G78" i="34" s="1"/>
  <c r="H78" i="34" s="1"/>
  <c r="I78" i="34" s="1"/>
  <c r="K78" i="34" s="1"/>
  <c r="T7" i="34"/>
  <c r="L7" i="34"/>
  <c r="U13" i="34"/>
  <c r="W12" i="3" s="1"/>
  <c r="T13" i="34"/>
  <c r="L13" i="34"/>
  <c r="N13" i="34" s="1"/>
  <c r="P13" i="34" s="1"/>
  <c r="Q13" i="34" s="1"/>
  <c r="S13" i="34" s="1"/>
  <c r="F68" i="34" s="1"/>
  <c r="G68" i="34" s="1"/>
  <c r="H68" i="34" s="1"/>
  <c r="I68" i="34" s="1"/>
  <c r="K68" i="34" s="1"/>
  <c r="N29" i="34"/>
  <c r="P29" i="34" s="1"/>
  <c r="Q29" i="34" s="1"/>
  <c r="S29" i="34" s="1"/>
  <c r="F85" i="34" s="1"/>
  <c r="G85" i="34" s="1"/>
  <c r="H85" i="34" s="1"/>
  <c r="I85" i="34" s="1"/>
  <c r="K85" i="34" s="1"/>
  <c r="F73" i="34"/>
  <c r="G73" i="34" s="1"/>
  <c r="H73" i="34" s="1"/>
  <c r="I73" i="34" s="1"/>
  <c r="K73" i="34" s="1"/>
  <c r="N11" i="34"/>
  <c r="P11" i="34" s="1"/>
  <c r="Q11" i="34" s="1"/>
  <c r="S11" i="34" s="1"/>
  <c r="F66" i="34" s="1"/>
  <c r="G66" i="34" s="1"/>
  <c r="H66" i="34" s="1"/>
  <c r="I66" i="34" s="1"/>
  <c r="K66" i="34" s="1"/>
  <c r="N28" i="34"/>
  <c r="P28" i="34" s="1"/>
  <c r="Q28" i="34" s="1"/>
  <c r="S28" i="34" s="1"/>
  <c r="F84" i="34" s="1"/>
  <c r="G84" i="34" s="1"/>
  <c r="H84" i="34" s="1"/>
  <c r="I84" i="34" s="1"/>
  <c r="K84" i="34" s="1"/>
  <c r="W39" i="3" l="1"/>
  <c r="N7" i="34"/>
  <c r="L40" i="34"/>
  <c r="N115" i="34"/>
  <c r="P115" i="34" s="1"/>
  <c r="V40" i="34"/>
  <c r="U40" i="34"/>
  <c r="N20" i="34"/>
  <c r="P20" i="34" s="1"/>
  <c r="Q20" i="34" s="1"/>
  <c r="S20" i="34" s="1"/>
  <c r="F76" i="34" s="1"/>
  <c r="G76" i="34" s="1"/>
  <c r="H76" i="34" s="1"/>
  <c r="I76" i="34" s="1"/>
  <c r="K76" i="34" s="1"/>
  <c r="P7" i="34" l="1"/>
  <c r="N40" i="34"/>
  <c r="Q115" i="34"/>
  <c r="AH6" i="10"/>
  <c r="AE6" i="10"/>
  <c r="AD6" i="9"/>
  <c r="AH6" i="29"/>
  <c r="AF6" i="29"/>
  <c r="Q7" i="34" l="1"/>
  <c r="P40" i="34"/>
  <c r="S115" i="34"/>
  <c r="Z6" i="28"/>
  <c r="AG6" i="28"/>
  <c r="S7" i="34" l="1"/>
  <c r="Q40" i="34"/>
  <c r="F60" i="34"/>
  <c r="AF29" i="3"/>
  <c r="F61" i="34" l="1"/>
  <c r="G61" i="34" s="1"/>
  <c r="H61" i="34" s="1"/>
  <c r="I61" i="34" s="1"/>
  <c r="K61" i="34" s="1"/>
  <c r="S40" i="34"/>
  <c r="G60" i="34"/>
  <c r="J26" i="9"/>
  <c r="W26" i="9"/>
  <c r="AD26" i="9"/>
  <c r="F87" i="34" l="1"/>
  <c r="G87" i="34"/>
  <c r="H60" i="34"/>
  <c r="X26" i="9"/>
  <c r="Y26" i="9" s="1"/>
  <c r="AA26" i="9" s="1"/>
  <c r="H87" i="34" l="1"/>
  <c r="I60" i="34"/>
  <c r="AE28" i="3"/>
  <c r="AE27" i="3"/>
  <c r="Z28" i="3"/>
  <c r="AA28" i="3" s="1"/>
  <c r="AB28" i="3" s="1"/>
  <c r="AD28" i="3" s="1"/>
  <c r="Z27" i="3"/>
  <c r="AA27" i="3" s="1"/>
  <c r="Q28" i="3"/>
  <c r="Q27" i="3"/>
  <c r="J28" i="3"/>
  <c r="J27" i="3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/>
  <c r="AH7" i="29"/>
  <c r="AG30" i="28"/>
  <c r="AG29" i="28"/>
  <c r="AG28" i="28"/>
  <c r="AG27" i="28"/>
  <c r="AG26" i="28"/>
  <c r="AG25" i="28"/>
  <c r="AG24" i="28"/>
  <c r="AG23" i="28"/>
  <c r="AG22" i="28"/>
  <c r="AG21" i="28"/>
  <c r="AG20" i="28"/>
  <c r="AG19" i="28"/>
  <c r="AG18" i="28"/>
  <c r="AG17" i="28"/>
  <c r="AG16" i="28"/>
  <c r="AG15" i="28"/>
  <c r="AG14" i="28"/>
  <c r="AG13" i="28"/>
  <c r="AG12" i="28"/>
  <c r="AG11" i="28"/>
  <c r="AG10" i="28"/>
  <c r="AG9" i="28"/>
  <c r="AG8" i="28"/>
  <c r="AG7" i="28"/>
  <c r="AG30" i="27"/>
  <c r="AG29" i="27"/>
  <c r="AG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15" i="27"/>
  <c r="AG14" i="27"/>
  <c r="AG13" i="27"/>
  <c r="AG12" i="27"/>
  <c r="AG11" i="27"/>
  <c r="AG10" i="27"/>
  <c r="AG9" i="27"/>
  <c r="AG8" i="27"/>
  <c r="AG7" i="27"/>
  <c r="AG6" i="27"/>
  <c r="AG30" i="26"/>
  <c r="AD30" i="26"/>
  <c r="AG29" i="26"/>
  <c r="AG28" i="26"/>
  <c r="AG27" i="26"/>
  <c r="AG26" i="26"/>
  <c r="AG25" i="26"/>
  <c r="AG24" i="26"/>
  <c r="AG23" i="26"/>
  <c r="AG22" i="26"/>
  <c r="AG21" i="26"/>
  <c r="AG20" i="26"/>
  <c r="AG19" i="26"/>
  <c r="AG18" i="26"/>
  <c r="AG17" i="26"/>
  <c r="AG16" i="26"/>
  <c r="AG15" i="26"/>
  <c r="AG14" i="26"/>
  <c r="AG13" i="26"/>
  <c r="AG12" i="26"/>
  <c r="AG11" i="26"/>
  <c r="AG10" i="26"/>
  <c r="AG9" i="26"/>
  <c r="AG8" i="26"/>
  <c r="AG7" i="26"/>
  <c r="AG6" i="26"/>
  <c r="AG29" i="24"/>
  <c r="AG30" i="24"/>
  <c r="AG28" i="24"/>
  <c r="AG27" i="24"/>
  <c r="AG26" i="24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9" i="24"/>
  <c r="AG8" i="24"/>
  <c r="AG7" i="24"/>
  <c r="AG6" i="24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3" i="10"/>
  <c r="AH12" i="10"/>
  <c r="AH11" i="10"/>
  <c r="AH10" i="10"/>
  <c r="AH9" i="10"/>
  <c r="AH8" i="10"/>
  <c r="AH7" i="10"/>
  <c r="AH30" i="10" s="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G30" i="25"/>
  <c r="AG32" i="25" s="1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AD6" i="25"/>
  <c r="AF29" i="11"/>
  <c r="AF28" i="11"/>
  <c r="AF27" i="11"/>
  <c r="AF26" i="11"/>
  <c r="AF25" i="11"/>
  <c r="AF24" i="11"/>
  <c r="AF23" i="11"/>
  <c r="AF22" i="11"/>
  <c r="AF21" i="11"/>
  <c r="AF20" i="11"/>
  <c r="AF19" i="11"/>
  <c r="AF18" i="11"/>
  <c r="AF17" i="11"/>
  <c r="AF16" i="11"/>
  <c r="AF15" i="11"/>
  <c r="AF14" i="11"/>
  <c r="AF13" i="11"/>
  <c r="AF12" i="11"/>
  <c r="AF11" i="11"/>
  <c r="AF10" i="11"/>
  <c r="AF9" i="11"/>
  <c r="AF8" i="11"/>
  <c r="AF7" i="11"/>
  <c r="AF6" i="11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D23" i="9"/>
  <c r="AD29" i="9"/>
  <c r="AD28" i="9"/>
  <c r="AD22" i="9"/>
  <c r="AD21" i="9"/>
  <c r="AD27" i="9"/>
  <c r="AD20" i="9"/>
  <c r="AD25" i="9"/>
  <c r="AD19" i="9"/>
  <c r="AD17" i="9"/>
  <c r="AD16" i="9"/>
  <c r="AD15" i="9"/>
  <c r="AD14" i="9"/>
  <c r="AD24" i="9"/>
  <c r="AD18" i="9"/>
  <c r="AD13" i="9"/>
  <c r="AD12" i="9"/>
  <c r="AD11" i="9"/>
  <c r="AD10" i="9"/>
  <c r="AD9" i="9"/>
  <c r="AD8" i="9"/>
  <c r="AD7" i="9"/>
  <c r="AF28" i="3" l="1"/>
  <c r="AG28" i="3" s="1"/>
  <c r="AJ28" i="3" s="1"/>
  <c r="K60" i="34"/>
  <c r="K87" i="34" s="1"/>
  <c r="I87" i="34"/>
  <c r="AB27" i="3"/>
  <c r="AD27" i="3" s="1"/>
  <c r="AF27" i="3" s="1"/>
  <c r="AG27" i="3" s="1"/>
  <c r="AD31" i="9"/>
  <c r="AI30" i="11"/>
  <c r="Z32" i="9"/>
  <c r="W32" i="9"/>
  <c r="T32" i="9"/>
  <c r="R32" i="9"/>
  <c r="Q32" i="9"/>
  <c r="P32" i="9"/>
  <c r="O32" i="9"/>
  <c r="N32" i="9"/>
  <c r="M32" i="9"/>
  <c r="L32" i="9"/>
  <c r="K32" i="9"/>
  <c r="Z31" i="9"/>
  <c r="T31" i="9"/>
  <c r="R31" i="9"/>
  <c r="Q31" i="9"/>
  <c r="P31" i="9"/>
  <c r="O31" i="9"/>
  <c r="N31" i="9"/>
  <c r="M31" i="9"/>
  <c r="L31" i="9"/>
  <c r="K31" i="9"/>
  <c r="J30" i="9"/>
  <c r="W23" i="9"/>
  <c r="J23" i="9"/>
  <c r="W29" i="9"/>
  <c r="J29" i="9"/>
  <c r="W28" i="9"/>
  <c r="J28" i="9"/>
  <c r="W22" i="9"/>
  <c r="J22" i="9"/>
  <c r="W21" i="9"/>
  <c r="J21" i="9"/>
  <c r="X21" i="9" s="1"/>
  <c r="Y21" i="9" s="1"/>
  <c r="AA21" i="9" s="1"/>
  <c r="W27" i="9"/>
  <c r="J27" i="9"/>
  <c r="W20" i="9"/>
  <c r="J20" i="9"/>
  <c r="X20" i="9" s="1"/>
  <c r="Y20" i="9" s="1"/>
  <c r="AA20" i="9" s="1"/>
  <c r="W25" i="9"/>
  <c r="J25" i="9"/>
  <c r="W19" i="9"/>
  <c r="J19" i="9"/>
  <c r="W17" i="9"/>
  <c r="J17" i="9"/>
  <c r="W16" i="9"/>
  <c r="J16" i="9"/>
  <c r="W15" i="9"/>
  <c r="J15" i="9"/>
  <c r="W14" i="9"/>
  <c r="J14" i="9"/>
  <c r="W24" i="9"/>
  <c r="J24" i="9"/>
  <c r="W18" i="9"/>
  <c r="J18" i="9"/>
  <c r="W13" i="9"/>
  <c r="J13" i="9"/>
  <c r="W12" i="9"/>
  <c r="J12" i="9"/>
  <c r="W11" i="9"/>
  <c r="J11" i="9"/>
  <c r="W10" i="9"/>
  <c r="J10" i="9"/>
  <c r="W9" i="9"/>
  <c r="J9" i="9"/>
  <c r="W8" i="9"/>
  <c r="J8" i="9"/>
  <c r="W7" i="9"/>
  <c r="J7" i="9"/>
  <c r="W6" i="9"/>
  <c r="J6" i="9"/>
  <c r="AH28" i="3" l="1"/>
  <c r="AL28" i="3" s="1"/>
  <c r="AH27" i="3"/>
  <c r="AL27" i="3" s="1"/>
  <c r="AJ27" i="3"/>
  <c r="X22" i="9"/>
  <c r="Y22" i="9" s="1"/>
  <c r="AA22" i="9" s="1"/>
  <c r="X9" i="9"/>
  <c r="Y9" i="9" s="1"/>
  <c r="AA9" i="9" s="1"/>
  <c r="X25" i="9"/>
  <c r="Y25" i="9" s="1"/>
  <c r="AA25" i="9" s="1"/>
  <c r="X6" i="9"/>
  <c r="Y6" i="9" s="1"/>
  <c r="X12" i="9"/>
  <c r="Y12" i="9" s="1"/>
  <c r="AA12" i="9" s="1"/>
  <c r="X18" i="9"/>
  <c r="Y18" i="9" s="1"/>
  <c r="AA18" i="9" s="1"/>
  <c r="X14" i="9"/>
  <c r="Y14" i="9" s="1"/>
  <c r="AA14" i="9" s="1"/>
  <c r="X16" i="9"/>
  <c r="Y16" i="9" s="1"/>
  <c r="AA16" i="9" s="1"/>
  <c r="X10" i="9"/>
  <c r="Y10" i="9" s="1"/>
  <c r="AA10" i="9" s="1"/>
  <c r="X29" i="9"/>
  <c r="Y29" i="9" s="1"/>
  <c r="AA29" i="9" s="1"/>
  <c r="X13" i="9"/>
  <c r="Y13" i="9" s="1"/>
  <c r="AA13" i="9" s="1"/>
  <c r="X19" i="9"/>
  <c r="Y19" i="9" s="1"/>
  <c r="AA19" i="9" s="1"/>
  <c r="X23" i="9"/>
  <c r="Y23" i="9" s="1"/>
  <c r="AA23" i="9" s="1"/>
  <c r="X8" i="9"/>
  <c r="Y8" i="9" s="1"/>
  <c r="AA8" i="9" s="1"/>
  <c r="X15" i="9"/>
  <c r="Y15" i="9" s="1"/>
  <c r="AA15" i="9" s="1"/>
  <c r="X27" i="9"/>
  <c r="Y27" i="9" s="1"/>
  <c r="AA27" i="9" s="1"/>
  <c r="X7" i="9"/>
  <c r="Y7" i="9" s="1"/>
  <c r="AA7" i="9" s="1"/>
  <c r="X11" i="9"/>
  <c r="Y11" i="9" s="1"/>
  <c r="AA11" i="9" s="1"/>
  <c r="X24" i="9"/>
  <c r="Y24" i="9" s="1"/>
  <c r="AA24" i="9" s="1"/>
  <c r="X17" i="9"/>
  <c r="Y17" i="9" s="1"/>
  <c r="AA17" i="9" s="1"/>
  <c r="X28" i="9"/>
  <c r="Y28" i="9" s="1"/>
  <c r="AA28" i="9" s="1"/>
  <c r="AA6" i="9" l="1"/>
  <c r="Z25" i="3" l="1"/>
  <c r="AA25" i="3" s="1"/>
  <c r="AB25" i="3" s="1"/>
  <c r="AD25" i="3" s="1"/>
  <c r="Z24" i="3"/>
  <c r="AA24" i="3" s="1"/>
  <c r="AB24" i="3" s="1"/>
  <c r="Z20" i="3"/>
  <c r="AA20" i="3" s="1"/>
  <c r="Z17" i="3"/>
  <c r="AA17" i="3" s="1"/>
  <c r="AB17" i="3" s="1"/>
  <c r="AD17" i="3" s="1"/>
  <c r="Z13" i="3"/>
  <c r="AA13" i="3" s="1"/>
  <c r="AB13" i="3" s="1"/>
  <c r="Z10" i="3"/>
  <c r="AA10" i="3" s="1"/>
  <c r="AB10" i="3" s="1"/>
  <c r="AD10" i="3" s="1"/>
  <c r="Z54" i="3"/>
  <c r="AA54" i="3" s="1"/>
  <c r="AB54" i="3" s="1"/>
  <c r="Z6" i="3"/>
  <c r="AA6" i="3" s="1"/>
  <c r="Z9" i="3"/>
  <c r="AA9" i="3" s="1"/>
  <c r="Z11" i="3"/>
  <c r="AA11" i="3" s="1"/>
  <c r="Z12" i="3"/>
  <c r="AA12" i="3" s="1"/>
  <c r="Z15" i="3"/>
  <c r="AA15" i="3" s="1"/>
  <c r="Z16" i="3"/>
  <c r="AA16" i="3" s="1"/>
  <c r="Z18" i="3"/>
  <c r="AA18" i="3" s="1"/>
  <c r="Z19" i="3"/>
  <c r="AA19" i="3" s="1"/>
  <c r="Z22" i="3"/>
  <c r="AA22" i="3" s="1"/>
  <c r="AB22" i="3" s="1"/>
  <c r="Z23" i="3"/>
  <c r="AA23" i="3" s="1"/>
  <c r="Z26" i="3"/>
  <c r="AA26" i="3" s="1"/>
  <c r="Z29" i="3"/>
  <c r="AA29" i="3" s="1"/>
  <c r="Z8" i="3"/>
  <c r="AA8" i="3" s="1"/>
  <c r="AB8" i="3" s="1"/>
  <c r="Z53" i="3"/>
  <c r="AE7" i="3"/>
  <c r="AE8" i="3"/>
  <c r="AE9" i="3"/>
  <c r="AE54" i="3"/>
  <c r="AE10" i="3"/>
  <c r="AE11" i="3"/>
  <c r="AE12" i="3"/>
  <c r="AE13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9" i="3"/>
  <c r="AE6" i="3"/>
  <c r="AE53" i="3"/>
  <c r="Z21" i="3"/>
  <c r="AA21" i="3" s="1"/>
  <c r="AB21" i="3" s="1"/>
  <c r="AD21" i="3" s="1"/>
  <c r="Z7" i="3"/>
  <c r="AA7" i="3" s="1"/>
  <c r="AB7" i="3" s="1"/>
  <c r="AD7" i="3" s="1"/>
  <c r="Q29" i="3"/>
  <c r="Q26" i="3"/>
  <c r="Q25" i="3"/>
  <c r="Q24" i="3"/>
  <c r="Q23" i="3"/>
  <c r="Q22" i="3"/>
  <c r="Q20" i="3"/>
  <c r="Q19" i="3"/>
  <c r="Q18" i="3"/>
  <c r="Q17" i="3"/>
  <c r="Q16" i="3"/>
  <c r="Q15" i="3"/>
  <c r="Q13" i="3"/>
  <c r="Q12" i="3"/>
  <c r="Q11" i="3"/>
  <c r="Q10" i="3"/>
  <c r="Q54" i="3"/>
  <c r="Q9" i="3"/>
  <c r="Q8" i="3"/>
  <c r="Q7" i="3"/>
  <c r="J26" i="3"/>
  <c r="J25" i="3"/>
  <c r="J24" i="3"/>
  <c r="J23" i="3"/>
  <c r="J22" i="3"/>
  <c r="J21" i="3"/>
  <c r="AF7" i="3" l="1"/>
  <c r="AE39" i="3"/>
  <c r="Z39" i="3"/>
  <c r="AB6" i="3"/>
  <c r="AA53" i="3"/>
  <c r="AA39" i="3" s="1"/>
  <c r="AF21" i="3"/>
  <c r="AG21" i="3" s="1"/>
  <c r="AH21" i="3" s="1"/>
  <c r="S18" i="36" s="1"/>
  <c r="AF10" i="3"/>
  <c r="AG10" i="3" s="1"/>
  <c r="AF17" i="3"/>
  <c r="AG17" i="3" s="1"/>
  <c r="AF25" i="3"/>
  <c r="AG25" i="3" s="1"/>
  <c r="AB20" i="3"/>
  <c r="AD20" i="3" s="1"/>
  <c r="AF20" i="3" s="1"/>
  <c r="AG20" i="3" s="1"/>
  <c r="AB26" i="3"/>
  <c r="AD26" i="3" s="1"/>
  <c r="AF26" i="3" s="1"/>
  <c r="AG26" i="3" s="1"/>
  <c r="AB18" i="3"/>
  <c r="AD18" i="3" s="1"/>
  <c r="AF18" i="3" s="1"/>
  <c r="AG18" i="3" s="1"/>
  <c r="AB15" i="3"/>
  <c r="AD15" i="3" s="1"/>
  <c r="AF15" i="3" s="1"/>
  <c r="AG15" i="3" s="1"/>
  <c r="AB11" i="3"/>
  <c r="AD11" i="3" s="1"/>
  <c r="AF11" i="3" s="1"/>
  <c r="AG11" i="3" s="1"/>
  <c r="AB9" i="3"/>
  <c r="AD9" i="3" s="1"/>
  <c r="AF9" i="3" s="1"/>
  <c r="AG9" i="3" s="1"/>
  <c r="AB12" i="3"/>
  <c r="AD12" i="3" s="1"/>
  <c r="AF12" i="3" s="1"/>
  <c r="AG12" i="3" s="1"/>
  <c r="AB16" i="3"/>
  <c r="AD16" i="3" s="1"/>
  <c r="AF16" i="3" s="1"/>
  <c r="AG16" i="3" s="1"/>
  <c r="AB19" i="3"/>
  <c r="AD19" i="3" s="1"/>
  <c r="AF19" i="3" s="1"/>
  <c r="AG19" i="3" s="1"/>
  <c r="AB23" i="3"/>
  <c r="AD23" i="3" s="1"/>
  <c r="AF23" i="3" s="1"/>
  <c r="AG23" i="3" s="1"/>
  <c r="AB29" i="3"/>
  <c r="AD29" i="3" s="1"/>
  <c r="AD8" i="3"/>
  <c r="AF8" i="3" s="1"/>
  <c r="AD22" i="3"/>
  <c r="AF22" i="3" s="1"/>
  <c r="AG22" i="3" s="1"/>
  <c r="AD54" i="3"/>
  <c r="AF54" i="3" s="1"/>
  <c r="AG54" i="3" s="1"/>
  <c r="AD13" i="3"/>
  <c r="AF13" i="3" s="1"/>
  <c r="AG13" i="3" s="1"/>
  <c r="AD24" i="3"/>
  <c r="AF24" i="3" s="1"/>
  <c r="AG24" i="3" s="1"/>
  <c r="AD6" i="3" l="1"/>
  <c r="AH22" i="3"/>
  <c r="AL22" i="3" s="1"/>
  <c r="AJ22" i="3"/>
  <c r="AH23" i="3"/>
  <c r="AL23" i="3" s="1"/>
  <c r="AJ23" i="3"/>
  <c r="AH26" i="3"/>
  <c r="AL26" i="3" s="1"/>
  <c r="AJ26" i="3"/>
  <c r="AH19" i="3"/>
  <c r="S16" i="36" s="1"/>
  <c r="AH20" i="3"/>
  <c r="S17" i="36" s="1"/>
  <c r="AH13" i="3"/>
  <c r="S10" i="36" s="1"/>
  <c r="AH15" i="3"/>
  <c r="S12" i="36" s="1"/>
  <c r="AH10" i="3"/>
  <c r="S7" i="36" s="1"/>
  <c r="AH54" i="3"/>
  <c r="AL54" i="3" s="1"/>
  <c r="AJ54" i="3"/>
  <c r="AH12" i="3"/>
  <c r="S9" i="36" s="1"/>
  <c r="AH18" i="3"/>
  <c r="S15" i="36" s="1"/>
  <c r="AH24" i="3"/>
  <c r="AL24" i="3" s="1"/>
  <c r="AJ24" i="3"/>
  <c r="AH9" i="3"/>
  <c r="S6" i="36" s="1"/>
  <c r="AH25" i="3"/>
  <c r="AL25" i="3" s="1"/>
  <c r="AJ25" i="3"/>
  <c r="AH11" i="3"/>
  <c r="S8" i="36" s="1"/>
  <c r="AH17" i="3"/>
  <c r="S14" i="36" s="1"/>
  <c r="AH16" i="3"/>
  <c r="S13" i="36" s="1"/>
  <c r="Z33" i="29"/>
  <c r="Z34" i="29" s="1"/>
  <c r="K33" i="29"/>
  <c r="K34" i="29" s="1"/>
  <c r="AF6" i="3" l="1"/>
  <c r="AF7" i="29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C13" i="29" l="1"/>
  <c r="AD31" i="29"/>
  <c r="AC25" i="29"/>
  <c r="AB47" i="29" l="1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6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7" i="29"/>
  <c r="Z6" i="29"/>
  <c r="Z48" i="29"/>
  <c r="Z32" i="29" l="1"/>
  <c r="Z47" i="29" s="1"/>
  <c r="Z49" i="29" s="1"/>
  <c r="W32" i="29"/>
  <c r="S32" i="29"/>
  <c r="R32" i="29"/>
  <c r="P32" i="29"/>
  <c r="AE7" i="29" l="1"/>
  <c r="AE8" i="29"/>
  <c r="AE10" i="29"/>
  <c r="AE11" i="29"/>
  <c r="AE12" i="29"/>
  <c r="AE14" i="29"/>
  <c r="AE15" i="29"/>
  <c r="AE16" i="29"/>
  <c r="AE18" i="29"/>
  <c r="AE19" i="29"/>
  <c r="AE20" i="29"/>
  <c r="AE22" i="29"/>
  <c r="AE23" i="29"/>
  <c r="AE30" i="29"/>
  <c r="AC7" i="29"/>
  <c r="AC8" i="29"/>
  <c r="AC9" i="29"/>
  <c r="AE9" i="29" s="1"/>
  <c r="AC10" i="29"/>
  <c r="AC11" i="29"/>
  <c r="AC12" i="29"/>
  <c r="AE13" i="29"/>
  <c r="AC14" i="29"/>
  <c r="AC15" i="29"/>
  <c r="AC16" i="29"/>
  <c r="AC17" i="29"/>
  <c r="AE17" i="29" s="1"/>
  <c r="AC18" i="29"/>
  <c r="AC19" i="29"/>
  <c r="AC20" i="29"/>
  <c r="AC21" i="29"/>
  <c r="AE21" i="29" s="1"/>
  <c r="AC22" i="29"/>
  <c r="AC23" i="29"/>
  <c r="AC30" i="29"/>
  <c r="AC31" i="29"/>
  <c r="AE31" i="29" s="1"/>
  <c r="AC6" i="29"/>
  <c r="AE6" i="29" s="1"/>
  <c r="AD32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6" i="29"/>
  <c r="Q32" i="29"/>
  <c r="O32" i="29"/>
  <c r="N32" i="29"/>
  <c r="M32" i="29" l="1"/>
  <c r="L32" i="29"/>
  <c r="K32" i="29"/>
  <c r="M31" i="29"/>
  <c r="M30" i="29"/>
  <c r="M29" i="29"/>
  <c r="M28" i="29"/>
  <c r="M23" i="29"/>
  <c r="M22" i="29"/>
  <c r="M19" i="29"/>
  <c r="M10" i="29"/>
  <c r="M8" i="29"/>
  <c r="M6" i="29"/>
  <c r="M7" i="29"/>
  <c r="M9" i="29"/>
  <c r="M11" i="29"/>
  <c r="M12" i="29"/>
  <c r="M13" i="29"/>
  <c r="M14" i="29"/>
  <c r="M15" i="29"/>
  <c r="M17" i="29"/>
  <c r="M18" i="29"/>
  <c r="M20" i="29"/>
  <c r="M21" i="29"/>
  <c r="M24" i="29"/>
  <c r="M25" i="29"/>
  <c r="M26" i="29"/>
  <c r="M27" i="29"/>
  <c r="L24" i="29"/>
  <c r="L25" i="29"/>
  <c r="L26" i="29"/>
  <c r="L27" i="29"/>
  <c r="L28" i="29"/>
  <c r="L29" i="29"/>
  <c r="L30" i="29"/>
  <c r="L31" i="29"/>
  <c r="L7" i="29"/>
  <c r="L8" i="29"/>
  <c r="L9" i="29"/>
  <c r="L10" i="29"/>
  <c r="L11" i="29"/>
  <c r="L12" i="29"/>
  <c r="L13" i="29"/>
  <c r="L14" i="29"/>
  <c r="L15" i="29"/>
  <c r="L17" i="29"/>
  <c r="L18" i="29"/>
  <c r="L19" i="29"/>
  <c r="L20" i="29"/>
  <c r="L21" i="29"/>
  <c r="K24" i="29"/>
  <c r="K25" i="29"/>
  <c r="K26" i="29"/>
  <c r="K27" i="29"/>
  <c r="K28" i="29"/>
  <c r="K29" i="29"/>
  <c r="K30" i="29"/>
  <c r="K31" i="29"/>
  <c r="K23" i="29"/>
  <c r="K22" i="29"/>
  <c r="K7" i="29"/>
  <c r="K8" i="29"/>
  <c r="K9" i="29"/>
  <c r="K10" i="29"/>
  <c r="K11" i="29"/>
  <c r="K12" i="29"/>
  <c r="K13" i="29"/>
  <c r="K14" i="29"/>
  <c r="K15" i="29"/>
  <c r="K17" i="29"/>
  <c r="K18" i="29"/>
  <c r="K19" i="29"/>
  <c r="K20" i="29"/>
  <c r="K21" i="29"/>
  <c r="K6" i="29"/>
  <c r="J31" i="29"/>
  <c r="J30" i="29"/>
  <c r="J32" i="29"/>
  <c r="AA30" i="29" l="1"/>
  <c r="AA31" i="29"/>
  <c r="AB30" i="24"/>
  <c r="AE7" i="28" l="1"/>
  <c r="AE8" i="28"/>
  <c r="AE9" i="28"/>
  <c r="AE10" i="28"/>
  <c r="AE11" i="28"/>
  <c r="AE12" i="28"/>
  <c r="AE13" i="28"/>
  <c r="AE14" i="28"/>
  <c r="AE15" i="28"/>
  <c r="AE16" i="28"/>
  <c r="AE17" i="28"/>
  <c r="AE18" i="28"/>
  <c r="AE19" i="28"/>
  <c r="AE20" i="28"/>
  <c r="AE21" i="28"/>
  <c r="AE22" i="28"/>
  <c r="AE23" i="28"/>
  <c r="AE24" i="28"/>
  <c r="AE25" i="28"/>
  <c r="AE26" i="28"/>
  <c r="AE27" i="28"/>
  <c r="AE28" i="28"/>
  <c r="AE29" i="28"/>
  <c r="AD30" i="28"/>
  <c r="AC7" i="28"/>
  <c r="AC8" i="28"/>
  <c r="AC9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6" i="28"/>
  <c r="AE6" i="28" s="1"/>
  <c r="AD7" i="28"/>
  <c r="AD8" i="28"/>
  <c r="AD9" i="28"/>
  <c r="AD10" i="28"/>
  <c r="AD11" i="28"/>
  <c r="AD12" i="28"/>
  <c r="AD13" i="28"/>
  <c r="AD14" i="28"/>
  <c r="AD15" i="28"/>
  <c r="AD16" i="28"/>
  <c r="AD17" i="28"/>
  <c r="AD18" i="28"/>
  <c r="AD19" i="28"/>
  <c r="AD20" i="28"/>
  <c r="AD21" i="28"/>
  <c r="AD22" i="28"/>
  <c r="AD23" i="28"/>
  <c r="AD24" i="28"/>
  <c r="AD25" i="28"/>
  <c r="AD26" i="28"/>
  <c r="AD27" i="28"/>
  <c r="AD28" i="28"/>
  <c r="AD29" i="28"/>
  <c r="AD6" i="28"/>
  <c r="AE30" i="27"/>
  <c r="AE7" i="27"/>
  <c r="AE8" i="27"/>
  <c r="AE9" i="27"/>
  <c r="AE10" i="27"/>
  <c r="AE11" i="27"/>
  <c r="AE12" i="27"/>
  <c r="AE13" i="27"/>
  <c r="AE14" i="27"/>
  <c r="AE15" i="27"/>
  <c r="AE16" i="27"/>
  <c r="AE17" i="27"/>
  <c r="AE18" i="27"/>
  <c r="AE19" i="27"/>
  <c r="AE20" i="27"/>
  <c r="AE21" i="27"/>
  <c r="AE22" i="27"/>
  <c r="AE23" i="27"/>
  <c r="AE24" i="27"/>
  <c r="AE25" i="27"/>
  <c r="AE26" i="27"/>
  <c r="AE27" i="27"/>
  <c r="AE28" i="27"/>
  <c r="AE29" i="27"/>
  <c r="AE6" i="27"/>
  <c r="AD30" i="27"/>
  <c r="AC30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6" i="27"/>
  <c r="AC30" i="28" l="1"/>
  <c r="AE30" i="28" s="1"/>
  <c r="P30" i="28"/>
  <c r="R30" i="28" l="1"/>
  <c r="W30" i="28" l="1"/>
  <c r="S30" i="28"/>
  <c r="Q30" i="28"/>
  <c r="O30" i="28" l="1"/>
  <c r="N30" i="28"/>
  <c r="J6" i="28" l="1"/>
  <c r="K6" i="28"/>
  <c r="L6" i="28"/>
  <c r="M6" i="28"/>
  <c r="J7" i="28"/>
  <c r="K7" i="28"/>
  <c r="Z7" i="28" s="1"/>
  <c r="L7" i="28"/>
  <c r="M7" i="28"/>
  <c r="J8" i="28"/>
  <c r="K8" i="28"/>
  <c r="L8" i="28"/>
  <c r="M8" i="28"/>
  <c r="Z8" i="28"/>
  <c r="J9" i="28"/>
  <c r="K9" i="28"/>
  <c r="Z9" i="28" s="1"/>
  <c r="L9" i="28"/>
  <c r="M9" i="28"/>
  <c r="J10" i="28"/>
  <c r="K10" i="28"/>
  <c r="L10" i="28"/>
  <c r="M10" i="28"/>
  <c r="Z10" i="28"/>
  <c r="J11" i="28"/>
  <c r="K11" i="28"/>
  <c r="Z11" i="28" s="1"/>
  <c r="L11" i="28"/>
  <c r="M11" i="28"/>
  <c r="J12" i="28"/>
  <c r="K12" i="28"/>
  <c r="L12" i="28"/>
  <c r="M12" i="28"/>
  <c r="Z12" i="28"/>
  <c r="J13" i="28"/>
  <c r="K13" i="28"/>
  <c r="Z13" i="28" s="1"/>
  <c r="L13" i="28"/>
  <c r="M13" i="28"/>
  <c r="J14" i="28"/>
  <c r="K14" i="28"/>
  <c r="L14" i="28"/>
  <c r="M14" i="28"/>
  <c r="Z14" i="28"/>
  <c r="J15" i="28"/>
  <c r="K15" i="28"/>
  <c r="Z15" i="28" s="1"/>
  <c r="L15" i="28"/>
  <c r="M15" i="28"/>
  <c r="J16" i="28"/>
  <c r="Z16" i="28"/>
  <c r="AA16" i="28" s="1"/>
  <c r="AB16" i="28" s="1"/>
  <c r="J17" i="28"/>
  <c r="K17" i="28"/>
  <c r="L17" i="28"/>
  <c r="M17" i="28"/>
  <c r="Z17" i="28"/>
  <c r="J18" i="28"/>
  <c r="K18" i="28"/>
  <c r="Z18" i="28" s="1"/>
  <c r="L18" i="28"/>
  <c r="M18" i="28"/>
  <c r="J19" i="28"/>
  <c r="K19" i="28"/>
  <c r="L19" i="28"/>
  <c r="M19" i="28"/>
  <c r="Z19" i="28"/>
  <c r="J20" i="28"/>
  <c r="K20" i="28"/>
  <c r="Z20" i="28" s="1"/>
  <c r="L20" i="28"/>
  <c r="M20" i="28"/>
  <c r="J21" i="28"/>
  <c r="K21" i="28"/>
  <c r="L21" i="28"/>
  <c r="M21" i="28"/>
  <c r="Z21" i="28"/>
  <c r="J22" i="28"/>
  <c r="K22" i="28"/>
  <c r="Z22" i="28" s="1"/>
  <c r="L22" i="28"/>
  <c r="M22" i="28"/>
  <c r="AA21" i="28" l="1"/>
  <c r="AB21" i="28" s="1"/>
  <c r="AA19" i="28"/>
  <c r="AB19" i="28" s="1"/>
  <c r="AA12" i="28"/>
  <c r="AB12" i="28" s="1"/>
  <c r="AA8" i="28"/>
  <c r="AB8" i="28" s="1"/>
  <c r="AA17" i="28"/>
  <c r="AB17" i="28" s="1"/>
  <c r="AA14" i="28"/>
  <c r="AB14" i="28" s="1"/>
  <c r="AA10" i="28"/>
  <c r="AB10" i="28" s="1"/>
  <c r="AA6" i="28"/>
  <c r="AB6" i="28" s="1"/>
  <c r="AA22" i="28"/>
  <c r="AB22" i="28" s="1"/>
  <c r="AA20" i="28"/>
  <c r="AB20" i="28" s="1"/>
  <c r="AA13" i="28"/>
  <c r="AB13" i="28" s="1"/>
  <c r="AA9" i="28"/>
  <c r="AB9" i="28" s="1"/>
  <c r="AA18" i="28"/>
  <c r="AB18" i="28" s="1"/>
  <c r="AA15" i="28"/>
  <c r="AB15" i="28" s="1"/>
  <c r="AA11" i="28"/>
  <c r="AB11" i="28" s="1"/>
  <c r="AA7" i="28"/>
  <c r="AB7" i="28" s="1"/>
  <c r="AB30" i="28" l="1"/>
  <c r="M23" i="28" l="1"/>
  <c r="M24" i="28"/>
  <c r="M25" i="28"/>
  <c r="M26" i="28"/>
  <c r="M27" i="28"/>
  <c r="M28" i="28"/>
  <c r="M29" i="28"/>
  <c r="K30" i="27"/>
  <c r="M30" i="28" l="1"/>
  <c r="AB30" i="27"/>
  <c r="W30" i="27"/>
  <c r="R30" i="27"/>
  <c r="Q30" i="27"/>
  <c r="P30" i="27"/>
  <c r="N30" i="27" l="1"/>
  <c r="O30" i="27"/>
  <c r="M30" i="27" l="1"/>
  <c r="L30" i="27"/>
  <c r="S30" i="27" l="1"/>
  <c r="M28" i="27" l="1"/>
  <c r="M29" i="27"/>
  <c r="M27" i="27"/>
  <c r="M26" i="27"/>
  <c r="M25" i="27"/>
  <c r="M24" i="27"/>
  <c r="M23" i="27"/>
  <c r="M22" i="27"/>
  <c r="M21" i="27"/>
  <c r="M20" i="27"/>
  <c r="M19" i="27"/>
  <c r="M18" i="27"/>
  <c r="M17" i="27"/>
  <c r="M15" i="27"/>
  <c r="M14" i="27"/>
  <c r="M13" i="27"/>
  <c r="M12" i="27"/>
  <c r="M11" i="27"/>
  <c r="M10" i="27"/>
  <c r="M9" i="27"/>
  <c r="M8" i="27"/>
  <c r="M7" i="27"/>
  <c r="M6" i="27"/>
  <c r="K24" i="27"/>
  <c r="K25" i="27"/>
  <c r="K26" i="27"/>
  <c r="K27" i="27"/>
  <c r="K28" i="27"/>
  <c r="K29" i="27"/>
  <c r="K18" i="27"/>
  <c r="K19" i="27"/>
  <c r="K20" i="27"/>
  <c r="K21" i="27"/>
  <c r="K7" i="27"/>
  <c r="K8" i="27"/>
  <c r="K9" i="27"/>
  <c r="K10" i="27"/>
  <c r="K11" i="27"/>
  <c r="K12" i="27"/>
  <c r="K13" i="27"/>
  <c r="K14" i="27"/>
  <c r="K15" i="27"/>
  <c r="AE45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30" i="26" l="1"/>
  <c r="AB29" i="24"/>
  <c r="AB6" i="24"/>
  <c r="AE30" i="26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B7" i="26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6" i="26"/>
  <c r="Z30" i="26" l="1"/>
  <c r="AC30" i="26"/>
  <c r="W30" i="26"/>
  <c r="S30" i="26"/>
  <c r="R30" i="26"/>
  <c r="Q30" i="26"/>
  <c r="P30" i="26"/>
  <c r="O30" i="26" l="1"/>
  <c r="N30" i="26"/>
  <c r="AE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6" i="26"/>
  <c r="L30" i="26" l="1"/>
  <c r="K30" i="26"/>
  <c r="M30" i="26"/>
  <c r="M29" i="26"/>
  <c r="M23" i="26"/>
  <c r="M22" i="26"/>
  <c r="M19" i="26"/>
  <c r="K24" i="26" l="1"/>
  <c r="K25" i="26"/>
  <c r="K26" i="26"/>
  <c r="K27" i="26"/>
  <c r="K28" i="26"/>
  <c r="K29" i="26"/>
  <c r="K23" i="26"/>
  <c r="K22" i="26"/>
  <c r="K7" i="26"/>
  <c r="K8" i="26"/>
  <c r="K9" i="26"/>
  <c r="K10" i="26"/>
  <c r="K11" i="26"/>
  <c r="K12" i="26"/>
  <c r="K13" i="26"/>
  <c r="K14" i="26"/>
  <c r="K15" i="26"/>
  <c r="K17" i="26"/>
  <c r="K18" i="26"/>
  <c r="K19" i="26"/>
  <c r="K20" i="26"/>
  <c r="K21" i="26"/>
  <c r="K6" i="26"/>
  <c r="Z30" i="24" l="1"/>
  <c r="M30" i="24"/>
  <c r="S30" i="24" l="1"/>
  <c r="R30" i="24"/>
  <c r="Q30" i="24"/>
  <c r="P30" i="24"/>
  <c r="O30" i="24"/>
  <c r="N30" i="24"/>
  <c r="L30" i="24"/>
  <c r="K30" i="24"/>
  <c r="AF30" i="24"/>
  <c r="AE30" i="24"/>
  <c r="AD30" i="24"/>
  <c r="AC30" i="24"/>
  <c r="W30" i="24" l="1"/>
  <c r="Y30" i="24" l="1"/>
  <c r="AD30" i="32" l="1"/>
  <c r="AC30" i="32"/>
  <c r="AD7" i="32"/>
  <c r="AD8" i="32"/>
  <c r="AD9" i="32"/>
  <c r="AD10" i="32"/>
  <c r="AD11" i="32"/>
  <c r="AD12" i="32"/>
  <c r="AD13" i="32"/>
  <c r="AD14" i="32"/>
  <c r="AD15" i="32"/>
  <c r="AD16" i="32"/>
  <c r="AD17" i="32"/>
  <c r="AD18" i="32"/>
  <c r="AD19" i="32"/>
  <c r="AD20" i="32"/>
  <c r="AD21" i="32"/>
  <c r="AD22" i="32"/>
  <c r="AD23" i="32"/>
  <c r="AD24" i="32"/>
  <c r="AD25" i="32"/>
  <c r="AD26" i="32"/>
  <c r="AD27" i="32"/>
  <c r="AD28" i="32"/>
  <c r="AD29" i="32"/>
  <c r="AD6" i="32"/>
  <c r="Y30" i="32" l="1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AF28" i="32" s="1"/>
  <c r="AG28" i="32" s="1"/>
  <c r="L28" i="32"/>
  <c r="K28" i="32"/>
  <c r="Z28" i="32" s="1"/>
  <c r="AH28" i="32" s="1"/>
  <c r="J28" i="32"/>
  <c r="M27" i="32"/>
  <c r="L27" i="32"/>
  <c r="K27" i="32"/>
  <c r="J27" i="32"/>
  <c r="M26" i="32"/>
  <c r="AF26" i="32" s="1"/>
  <c r="AG26" i="32" s="1"/>
  <c r="L26" i="32"/>
  <c r="K26" i="32"/>
  <c r="Z26" i="32" s="1"/>
  <c r="J26" i="32"/>
  <c r="M25" i="32"/>
  <c r="L25" i="32"/>
  <c r="K25" i="32"/>
  <c r="J25" i="32"/>
  <c r="M24" i="32"/>
  <c r="AF24" i="32" s="1"/>
  <c r="AG24" i="32" s="1"/>
  <c r="L24" i="32"/>
  <c r="K24" i="32"/>
  <c r="Z24" i="32" s="1"/>
  <c r="AH24" i="32" s="1"/>
  <c r="J24" i="32"/>
  <c r="M23" i="32"/>
  <c r="L23" i="32"/>
  <c r="K23" i="32"/>
  <c r="J23" i="32"/>
  <c r="M22" i="32"/>
  <c r="AF22" i="32" s="1"/>
  <c r="AG22" i="32" s="1"/>
  <c r="L22" i="32"/>
  <c r="K22" i="32"/>
  <c r="Z22" i="32" s="1"/>
  <c r="AH22" i="32" s="1"/>
  <c r="J22" i="32"/>
  <c r="M21" i="32"/>
  <c r="L21" i="32"/>
  <c r="K21" i="32"/>
  <c r="J21" i="32"/>
  <c r="M20" i="32"/>
  <c r="AF20" i="32" s="1"/>
  <c r="AG20" i="32" s="1"/>
  <c r="L20" i="32"/>
  <c r="K20" i="32"/>
  <c r="Z20" i="32" s="1"/>
  <c r="AH20" i="32" s="1"/>
  <c r="J20" i="32"/>
  <c r="M19" i="32"/>
  <c r="L19" i="32"/>
  <c r="K19" i="32"/>
  <c r="J19" i="32"/>
  <c r="M18" i="32"/>
  <c r="AF18" i="32" s="1"/>
  <c r="AG18" i="32" s="1"/>
  <c r="L18" i="32"/>
  <c r="K18" i="32"/>
  <c r="Z18" i="32" s="1"/>
  <c r="AH18" i="32" s="1"/>
  <c r="J18" i="32"/>
  <c r="M17" i="32"/>
  <c r="L17" i="32"/>
  <c r="K17" i="32"/>
  <c r="J17" i="32"/>
  <c r="AF16" i="32"/>
  <c r="AG16" i="32" s="1"/>
  <c r="Z16" i="32"/>
  <c r="J16" i="32"/>
  <c r="AA16" i="32" s="1"/>
  <c r="M15" i="32"/>
  <c r="L15" i="32"/>
  <c r="AF15" i="32" s="1"/>
  <c r="AG15" i="32" s="1"/>
  <c r="K15" i="32"/>
  <c r="J15" i="32"/>
  <c r="M14" i="32"/>
  <c r="L14" i="32"/>
  <c r="K14" i="32"/>
  <c r="J14" i="32"/>
  <c r="M13" i="32"/>
  <c r="L13" i="32"/>
  <c r="AF13" i="32" s="1"/>
  <c r="AG13" i="32" s="1"/>
  <c r="K13" i="32"/>
  <c r="J13" i="32"/>
  <c r="M12" i="32"/>
  <c r="L12" i="32"/>
  <c r="AF12" i="32" s="1"/>
  <c r="AG12" i="32" s="1"/>
  <c r="K12" i="32"/>
  <c r="J12" i="32"/>
  <c r="M11" i="32"/>
  <c r="L11" i="32"/>
  <c r="K11" i="32"/>
  <c r="J11" i="32"/>
  <c r="M10" i="32"/>
  <c r="L10" i="32"/>
  <c r="AF10" i="32" s="1"/>
  <c r="AG10" i="32" s="1"/>
  <c r="K10" i="32"/>
  <c r="J10" i="32"/>
  <c r="M9" i="32"/>
  <c r="L9" i="32"/>
  <c r="K9" i="32"/>
  <c r="J9" i="32"/>
  <c r="M8" i="32"/>
  <c r="L8" i="32"/>
  <c r="AF8" i="32" s="1"/>
  <c r="AG8" i="32" s="1"/>
  <c r="K8" i="32"/>
  <c r="J8" i="32"/>
  <c r="M7" i="32"/>
  <c r="L7" i="32"/>
  <c r="K7" i="32"/>
  <c r="J7" i="32"/>
  <c r="M6" i="32"/>
  <c r="L6" i="32"/>
  <c r="L30" i="32" s="1"/>
  <c r="K6" i="32"/>
  <c r="J6" i="32"/>
  <c r="K30" i="32" l="1"/>
  <c r="M30" i="32"/>
  <c r="Z7" i="32"/>
  <c r="AH7" i="32" s="1"/>
  <c r="AF7" i="32"/>
  <c r="AG7" i="32" s="1"/>
  <c r="Z9" i="32"/>
  <c r="AH9" i="32" s="1"/>
  <c r="AF9" i="32"/>
  <c r="AG9" i="32" s="1"/>
  <c r="Z11" i="32"/>
  <c r="AH11" i="32" s="1"/>
  <c r="AF11" i="32"/>
  <c r="AG11" i="32" s="1"/>
  <c r="Z14" i="32"/>
  <c r="AH14" i="32" s="1"/>
  <c r="AF14" i="32"/>
  <c r="AG14" i="32" s="1"/>
  <c r="Z15" i="32"/>
  <c r="AH15" i="32" s="1"/>
  <c r="AB16" i="32"/>
  <c r="Z17" i="32"/>
  <c r="Z19" i="32"/>
  <c r="AA21" i="32"/>
  <c r="Z21" i="32"/>
  <c r="Z23" i="32"/>
  <c r="Z25" i="32"/>
  <c r="AA27" i="32"/>
  <c r="Z27" i="32"/>
  <c r="Z29" i="32"/>
  <c r="AH26" i="32"/>
  <c r="AA29" i="32"/>
  <c r="AB29" i="32" s="1"/>
  <c r="AA25" i="32"/>
  <c r="AA23" i="32"/>
  <c r="AB23" i="32" s="1"/>
  <c r="AA19" i="32"/>
  <c r="AB19" i="32" s="1"/>
  <c r="AA17" i="32"/>
  <c r="AB17" i="32" s="1"/>
  <c r="AA7" i="32"/>
  <c r="AB7" i="32" s="1"/>
  <c r="AA14" i="32"/>
  <c r="AB14" i="32" s="1"/>
  <c r="AB27" i="32"/>
  <c r="AA9" i="32"/>
  <c r="AB9" i="32" s="1"/>
  <c r="AA11" i="32"/>
  <c r="AB11" i="32" s="1"/>
  <c r="AB21" i="32"/>
  <c r="AA15" i="32"/>
  <c r="AB15" i="32" s="1"/>
  <c r="AA18" i="32"/>
  <c r="AB18" i="32" s="1"/>
  <c r="AA20" i="32"/>
  <c r="AB20" i="32" s="1"/>
  <c r="AA22" i="32"/>
  <c r="AB22" i="32" s="1"/>
  <c r="AA24" i="32"/>
  <c r="AB24" i="32" s="1"/>
  <c r="AA26" i="32"/>
  <c r="AB26" i="32" s="1"/>
  <c r="AA28" i="32"/>
  <c r="AB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H29" i="32" l="1"/>
  <c r="AH23" i="32"/>
  <c r="AH17" i="32"/>
  <c r="AH27" i="32"/>
  <c r="AB25" i="32"/>
  <c r="AH25" i="32"/>
  <c r="AH21" i="32"/>
  <c r="AH19" i="32"/>
  <c r="AA12" i="32"/>
  <c r="AB12" i="32" s="1"/>
  <c r="AA8" i="32"/>
  <c r="AB8" i="32" s="1"/>
  <c r="AG6" i="32"/>
  <c r="AG30" i="32" s="1"/>
  <c r="AF30" i="32"/>
  <c r="Z30" i="32"/>
  <c r="AA13" i="32"/>
  <c r="AB13" i="32" s="1"/>
  <c r="AA10" i="32"/>
  <c r="AB10" i="32" s="1"/>
  <c r="AA6" i="32"/>
  <c r="M29" i="24"/>
  <c r="M23" i="24"/>
  <c r="M22" i="24"/>
  <c r="M6" i="24"/>
  <c r="M7" i="24"/>
  <c r="M8" i="24"/>
  <c r="M9" i="24"/>
  <c r="M10" i="24"/>
  <c r="M11" i="24"/>
  <c r="M12" i="24"/>
  <c r="M13" i="24"/>
  <c r="M14" i="24"/>
  <c r="M15" i="24"/>
  <c r="M17" i="24"/>
  <c r="M18" i="24"/>
  <c r="M19" i="24"/>
  <c r="M20" i="24"/>
  <c r="M21" i="24"/>
  <c r="M24" i="24"/>
  <c r="M25" i="24"/>
  <c r="M26" i="24"/>
  <c r="M27" i="24"/>
  <c r="M28" i="24"/>
  <c r="AH6" i="32" l="1"/>
  <c r="AH30" i="32" s="1"/>
  <c r="AA30" i="32"/>
  <c r="AB6" i="32"/>
  <c r="AB30" i="32" s="1"/>
  <c r="AD30" i="25"/>
  <c r="AC30" i="25"/>
  <c r="K22" i="25"/>
  <c r="W30" i="25" l="1"/>
  <c r="P30" i="25"/>
  <c r="O30" i="25" l="1"/>
  <c r="N30" i="25"/>
  <c r="S30" i="25"/>
  <c r="R30" i="25"/>
  <c r="Q30" i="25"/>
  <c r="AE7" i="25" l="1"/>
  <c r="AE8" i="25"/>
  <c r="AE9" i="25"/>
  <c r="AE10" i="25"/>
  <c r="AE11" i="25"/>
  <c r="AE12" i="25"/>
  <c r="AF12" i="25" s="1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8" i="25"/>
  <c r="AE29" i="25"/>
  <c r="AE6" i="25"/>
  <c r="AE30" i="25" l="1"/>
  <c r="M30" i="25"/>
  <c r="K30" i="25" l="1"/>
  <c r="K25" i="25"/>
  <c r="K26" i="25"/>
  <c r="K27" i="25"/>
  <c r="K28" i="25"/>
  <c r="K29" i="25"/>
  <c r="K24" i="25"/>
  <c r="K23" i="25"/>
  <c r="K19" i="25"/>
  <c r="K20" i="25"/>
  <c r="K21" i="25"/>
  <c r="K18" i="25"/>
  <c r="K17" i="25"/>
  <c r="K8" i="25"/>
  <c r="K9" i="25"/>
  <c r="K10" i="25"/>
  <c r="K11" i="25"/>
  <c r="K12" i="25"/>
  <c r="K13" i="25"/>
  <c r="K14" i="25"/>
  <c r="K15" i="25"/>
  <c r="K7" i="25"/>
  <c r="K6" i="25"/>
  <c r="M29" i="25"/>
  <c r="M22" i="25"/>
  <c r="O30" i="11" l="1"/>
  <c r="AG25" i="11"/>
  <c r="AG26" i="11"/>
  <c r="AG27" i="11"/>
  <c r="AG28" i="11"/>
  <c r="AG29" i="11"/>
  <c r="AE30" i="11" l="1"/>
  <c r="W30" i="11" l="1"/>
  <c r="P30" i="11"/>
  <c r="Q30" i="11"/>
  <c r="N30" i="11"/>
  <c r="AG7" i="11" l="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6" i="11"/>
  <c r="AF30" i="11"/>
  <c r="AG30" i="11" l="1"/>
  <c r="R30" i="11"/>
  <c r="L30" i="11"/>
  <c r="M30" i="11"/>
  <c r="S30" i="11" l="1"/>
  <c r="Y30" i="22" l="1"/>
  <c r="X6" i="11" l="1"/>
  <c r="AJ6" i="11" s="1"/>
  <c r="X10" i="11"/>
  <c r="AJ10" i="11" s="1"/>
  <c r="K30" i="11"/>
  <c r="X7" i="11"/>
  <c r="AJ7" i="11" s="1"/>
  <c r="X8" i="11"/>
  <c r="AJ8" i="11" s="1"/>
  <c r="X9" i="11"/>
  <c r="AJ9" i="11" s="1"/>
  <c r="X11" i="11"/>
  <c r="AJ11" i="11" s="1"/>
  <c r="X12" i="11"/>
  <c r="AJ12" i="11" s="1"/>
  <c r="X13" i="11"/>
  <c r="AJ13" i="11" s="1"/>
  <c r="X14" i="11"/>
  <c r="AJ14" i="11" s="1"/>
  <c r="X15" i="11"/>
  <c r="AJ15" i="11" s="1"/>
  <c r="X16" i="11"/>
  <c r="AJ16" i="11" s="1"/>
  <c r="X17" i="11"/>
  <c r="AJ17" i="11" s="1"/>
  <c r="X18" i="11"/>
  <c r="AJ18" i="11" s="1"/>
  <c r="X19" i="11"/>
  <c r="AJ19" i="11" s="1"/>
  <c r="X20" i="11"/>
  <c r="AJ20" i="11" s="1"/>
  <c r="X21" i="11"/>
  <c r="AJ21" i="11" s="1"/>
  <c r="X22" i="11"/>
  <c r="AJ22" i="11" s="1"/>
  <c r="X23" i="11"/>
  <c r="X24" i="11"/>
  <c r="AJ24" i="11" s="1"/>
  <c r="X25" i="11"/>
  <c r="AJ25" i="11" s="1"/>
  <c r="X26" i="11"/>
  <c r="AJ26" i="11" s="1"/>
  <c r="X27" i="11"/>
  <c r="AJ27" i="11" s="1"/>
  <c r="X28" i="11"/>
  <c r="AJ28" i="11" s="1"/>
  <c r="X29" i="11"/>
  <c r="AJ29" i="11" s="1"/>
  <c r="X30" i="11" l="1"/>
  <c r="AJ23" i="11"/>
  <c r="AJ30" i="11"/>
  <c r="Z34" i="31"/>
  <c r="M34" i="31"/>
  <c r="L34" i="31"/>
  <c r="K34" i="31"/>
  <c r="R33" i="31"/>
  <c r="Z32" i="31"/>
  <c r="J32" i="31"/>
  <c r="AA32" i="31" s="1"/>
  <c r="Z31" i="31"/>
  <c r="J31" i="31"/>
  <c r="AA31" i="31" s="1"/>
  <c r="Z30" i="31"/>
  <c r="J30" i="31"/>
  <c r="AA30" i="31" s="1"/>
  <c r="M29" i="31"/>
  <c r="L29" i="31"/>
  <c r="K29" i="31"/>
  <c r="Z29" i="31" s="1"/>
  <c r="J29" i="31"/>
  <c r="AA29" i="31" s="1"/>
  <c r="M28" i="31"/>
  <c r="L28" i="31"/>
  <c r="K28" i="31"/>
  <c r="Z28" i="31" s="1"/>
  <c r="J28" i="31"/>
  <c r="M27" i="31"/>
  <c r="L27" i="31"/>
  <c r="Z27" i="31" s="1"/>
  <c r="K27" i="31"/>
  <c r="J27" i="31"/>
  <c r="AA27" i="31" s="1"/>
  <c r="M26" i="31"/>
  <c r="L26" i="31"/>
  <c r="K26" i="31"/>
  <c r="Z26" i="31" s="1"/>
  <c r="J26" i="31"/>
  <c r="M25" i="31"/>
  <c r="L25" i="31"/>
  <c r="Z25" i="31" s="1"/>
  <c r="K25" i="31"/>
  <c r="J25" i="31"/>
  <c r="AA25" i="31" s="1"/>
  <c r="M24" i="31"/>
  <c r="L24" i="31"/>
  <c r="K24" i="31"/>
  <c r="Z24" i="31" s="1"/>
  <c r="J24" i="31"/>
  <c r="M23" i="31"/>
  <c r="L23" i="31"/>
  <c r="Z23" i="31" s="1"/>
  <c r="K23" i="31"/>
  <c r="J23" i="31"/>
  <c r="AA23" i="31" s="1"/>
  <c r="M22" i="31"/>
  <c r="L22" i="31"/>
  <c r="K22" i="31"/>
  <c r="Z22" i="31" s="1"/>
  <c r="J22" i="31"/>
  <c r="M21" i="31"/>
  <c r="L21" i="31"/>
  <c r="Z21" i="31" s="1"/>
  <c r="K21" i="31"/>
  <c r="J21" i="31"/>
  <c r="AA21" i="31" s="1"/>
  <c r="M20" i="31"/>
  <c r="L20" i="31"/>
  <c r="K20" i="31"/>
  <c r="Z20" i="31" s="1"/>
  <c r="J20" i="31"/>
  <c r="M19" i="31"/>
  <c r="L19" i="31"/>
  <c r="Z19" i="31" s="1"/>
  <c r="K19" i="31"/>
  <c r="J19" i="31"/>
  <c r="AA19" i="31" s="1"/>
  <c r="M18" i="31"/>
  <c r="L18" i="31"/>
  <c r="K18" i="31"/>
  <c r="Z18" i="31" s="1"/>
  <c r="J18" i="31"/>
  <c r="M17" i="31"/>
  <c r="L17" i="31"/>
  <c r="Z17" i="31" s="1"/>
  <c r="K17" i="31"/>
  <c r="J17" i="31"/>
  <c r="AA17" i="31" s="1"/>
  <c r="L16" i="31"/>
  <c r="K16" i="31"/>
  <c r="Z16" i="31" s="1"/>
  <c r="J16" i="31"/>
  <c r="M15" i="31"/>
  <c r="L15" i="31"/>
  <c r="K15" i="31"/>
  <c r="Z15" i="31" s="1"/>
  <c r="J15" i="31"/>
  <c r="M14" i="31"/>
  <c r="L14" i="31"/>
  <c r="Z14" i="31" s="1"/>
  <c r="K14" i="31"/>
  <c r="J14" i="31"/>
  <c r="AA14" i="31" s="1"/>
  <c r="M13" i="31"/>
  <c r="L13" i="31"/>
  <c r="K13" i="31"/>
  <c r="Z13" i="31" s="1"/>
  <c r="J13" i="31"/>
  <c r="M12" i="31"/>
  <c r="L12" i="31"/>
  <c r="Z12" i="31" s="1"/>
  <c r="K12" i="31"/>
  <c r="J12" i="31"/>
  <c r="AA12" i="31" s="1"/>
  <c r="M11" i="31"/>
  <c r="L11" i="31"/>
  <c r="K11" i="31"/>
  <c r="Z11" i="31" s="1"/>
  <c r="J11" i="31"/>
  <c r="M10" i="31"/>
  <c r="L10" i="31"/>
  <c r="Z10" i="31" s="1"/>
  <c r="K10" i="31"/>
  <c r="J10" i="31"/>
  <c r="AA10" i="31" s="1"/>
  <c r="M9" i="31"/>
  <c r="L9" i="31"/>
  <c r="K9" i="31"/>
  <c r="Z9" i="31" s="1"/>
  <c r="J9" i="31"/>
  <c r="M8" i="31"/>
  <c r="L8" i="31"/>
  <c r="Z8" i="31" s="1"/>
  <c r="K8" i="31"/>
  <c r="J8" i="31"/>
  <c r="AA8" i="31" s="1"/>
  <c r="M7" i="31"/>
  <c r="L7" i="31"/>
  <c r="K7" i="31"/>
  <c r="Z7" i="31" s="1"/>
  <c r="J7" i="31"/>
  <c r="M6" i="31"/>
  <c r="M33" i="31" s="1"/>
  <c r="L6" i="31"/>
  <c r="L33" i="31" s="1"/>
  <c r="K6" i="31"/>
  <c r="K33" i="31" s="1"/>
  <c r="J6" i="31"/>
  <c r="Z34" i="30"/>
  <c r="M34" i="30"/>
  <c r="L34" i="30"/>
  <c r="K34" i="30"/>
  <c r="R33" i="30"/>
  <c r="Z32" i="30"/>
  <c r="J32" i="30"/>
  <c r="AA32" i="30" s="1"/>
  <c r="Z31" i="30"/>
  <c r="J31" i="30"/>
  <c r="AA31" i="30" s="1"/>
  <c r="Z30" i="30"/>
  <c r="J30" i="30"/>
  <c r="AA30" i="30" s="1"/>
  <c r="M29" i="30"/>
  <c r="L29" i="30"/>
  <c r="K29" i="30"/>
  <c r="Z29" i="30" s="1"/>
  <c r="J29" i="30"/>
  <c r="M28" i="30"/>
  <c r="L28" i="30"/>
  <c r="K28" i="30"/>
  <c r="Z28" i="30" s="1"/>
  <c r="J28" i="30"/>
  <c r="M27" i="30"/>
  <c r="L27" i="30"/>
  <c r="Z27" i="30" s="1"/>
  <c r="K27" i="30"/>
  <c r="J27" i="30"/>
  <c r="AA27" i="30" s="1"/>
  <c r="M26" i="30"/>
  <c r="L26" i="30"/>
  <c r="K26" i="30"/>
  <c r="Z26" i="30" s="1"/>
  <c r="J26" i="30"/>
  <c r="M25" i="30"/>
  <c r="L25" i="30"/>
  <c r="Z25" i="30" s="1"/>
  <c r="K25" i="30"/>
  <c r="J25" i="30"/>
  <c r="AA25" i="30" s="1"/>
  <c r="M24" i="30"/>
  <c r="L24" i="30"/>
  <c r="K24" i="30"/>
  <c r="Z24" i="30" s="1"/>
  <c r="J24" i="30"/>
  <c r="M23" i="30"/>
  <c r="L23" i="30"/>
  <c r="Z23" i="30" s="1"/>
  <c r="K23" i="30"/>
  <c r="J23" i="30"/>
  <c r="AA23" i="30" s="1"/>
  <c r="M22" i="30"/>
  <c r="L22" i="30"/>
  <c r="K22" i="30"/>
  <c r="Z22" i="30" s="1"/>
  <c r="J22" i="30"/>
  <c r="M21" i="30"/>
  <c r="L21" i="30"/>
  <c r="Z21" i="30" s="1"/>
  <c r="K21" i="30"/>
  <c r="J21" i="30"/>
  <c r="AA21" i="30" s="1"/>
  <c r="M20" i="30"/>
  <c r="L20" i="30"/>
  <c r="K20" i="30"/>
  <c r="Z20" i="30" s="1"/>
  <c r="J20" i="30"/>
  <c r="M19" i="30"/>
  <c r="L19" i="30"/>
  <c r="Z19" i="30" s="1"/>
  <c r="K19" i="30"/>
  <c r="J19" i="30"/>
  <c r="AA19" i="30" s="1"/>
  <c r="M18" i="30"/>
  <c r="L18" i="30"/>
  <c r="K18" i="30"/>
  <c r="Z18" i="30" s="1"/>
  <c r="J18" i="30"/>
  <c r="M17" i="30"/>
  <c r="L17" i="30"/>
  <c r="Z17" i="30" s="1"/>
  <c r="K17" i="30"/>
  <c r="J17" i="30"/>
  <c r="AA17" i="30" s="1"/>
  <c r="L16" i="30"/>
  <c r="K16" i="30"/>
  <c r="Z16" i="30" s="1"/>
  <c r="J16" i="30"/>
  <c r="M15" i="30"/>
  <c r="L15" i="30"/>
  <c r="K15" i="30"/>
  <c r="Z15" i="30" s="1"/>
  <c r="J15" i="30"/>
  <c r="M14" i="30"/>
  <c r="L14" i="30"/>
  <c r="Z14" i="30" s="1"/>
  <c r="K14" i="30"/>
  <c r="J14" i="30"/>
  <c r="AA14" i="30" s="1"/>
  <c r="M13" i="30"/>
  <c r="L13" i="30"/>
  <c r="K13" i="30"/>
  <c r="Z13" i="30" s="1"/>
  <c r="J13" i="30"/>
  <c r="M12" i="30"/>
  <c r="L12" i="30"/>
  <c r="Z12" i="30" s="1"/>
  <c r="K12" i="30"/>
  <c r="J12" i="30"/>
  <c r="AA12" i="30" s="1"/>
  <c r="M11" i="30"/>
  <c r="L11" i="30"/>
  <c r="K11" i="30"/>
  <c r="Z11" i="30" s="1"/>
  <c r="J11" i="30"/>
  <c r="M10" i="30"/>
  <c r="L10" i="30"/>
  <c r="Z10" i="30" s="1"/>
  <c r="K10" i="30"/>
  <c r="J10" i="30"/>
  <c r="AA10" i="30" s="1"/>
  <c r="M9" i="30"/>
  <c r="L9" i="30"/>
  <c r="K9" i="30"/>
  <c r="Z9" i="30" s="1"/>
  <c r="J9" i="30"/>
  <c r="M8" i="30"/>
  <c r="L8" i="30"/>
  <c r="Z8" i="30" s="1"/>
  <c r="K8" i="30"/>
  <c r="J8" i="30"/>
  <c r="AA8" i="30" s="1"/>
  <c r="M7" i="30"/>
  <c r="L7" i="30"/>
  <c r="K7" i="30"/>
  <c r="Z7" i="30" s="1"/>
  <c r="J7" i="30"/>
  <c r="M6" i="30"/>
  <c r="M33" i="30" s="1"/>
  <c r="L6" i="30"/>
  <c r="L33" i="30" s="1"/>
  <c r="K6" i="30"/>
  <c r="K33" i="30" s="1"/>
  <c r="J6" i="30"/>
  <c r="J29" i="29"/>
  <c r="J28" i="29"/>
  <c r="J27" i="29"/>
  <c r="J26" i="29"/>
  <c r="J25" i="29"/>
  <c r="J24" i="29"/>
  <c r="L23" i="29"/>
  <c r="J23" i="29"/>
  <c r="L22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L6" i="29"/>
  <c r="J6" i="29"/>
  <c r="L29" i="28"/>
  <c r="K29" i="28"/>
  <c r="J29" i="28"/>
  <c r="L28" i="28"/>
  <c r="K28" i="28"/>
  <c r="J28" i="28"/>
  <c r="L27" i="28"/>
  <c r="K27" i="28"/>
  <c r="J27" i="28"/>
  <c r="L26" i="28"/>
  <c r="K26" i="28"/>
  <c r="J26" i="28"/>
  <c r="L25" i="28"/>
  <c r="K25" i="28"/>
  <c r="J25" i="28"/>
  <c r="L24" i="28"/>
  <c r="K24" i="28"/>
  <c r="J24" i="28"/>
  <c r="L23" i="28"/>
  <c r="L30" i="28" s="1"/>
  <c r="K23" i="28"/>
  <c r="K30" i="28" s="1"/>
  <c r="J23" i="28"/>
  <c r="M22" i="22"/>
  <c r="AC27" i="29" l="1"/>
  <c r="AE27" i="29" s="1"/>
  <c r="AE25" i="29"/>
  <c r="AA25" i="29"/>
  <c r="AA27" i="29"/>
  <c r="AA23" i="29"/>
  <c r="AA17" i="29"/>
  <c r="AA19" i="29"/>
  <c r="AA21" i="29"/>
  <c r="Z24" i="28"/>
  <c r="Z26" i="28"/>
  <c r="Z28" i="28"/>
  <c r="AA28" i="28" s="1"/>
  <c r="AB28" i="28" s="1"/>
  <c r="AA20" i="29"/>
  <c r="AA22" i="29"/>
  <c r="AA24" i="28"/>
  <c r="AB24" i="28" s="1"/>
  <c r="Z23" i="28"/>
  <c r="AA23" i="28" s="1"/>
  <c r="Z25" i="28"/>
  <c r="AA25" i="28" s="1"/>
  <c r="Z27" i="28"/>
  <c r="AA27" i="28" s="1"/>
  <c r="Z29" i="28"/>
  <c r="AA29" i="28" s="1"/>
  <c r="AB8" i="31"/>
  <c r="AB10" i="31"/>
  <c r="AB12" i="31"/>
  <c r="AB14" i="31"/>
  <c r="AA16" i="31"/>
  <c r="AA18" i="31"/>
  <c r="AB18" i="31" s="1"/>
  <c r="AA20" i="31"/>
  <c r="AB20" i="31" s="1"/>
  <c r="AA22" i="31"/>
  <c r="AB22" i="31" s="1"/>
  <c r="AA24" i="31"/>
  <c r="AB24" i="31" s="1"/>
  <c r="AA26" i="31"/>
  <c r="AB26" i="31" s="1"/>
  <c r="AA28" i="31"/>
  <c r="AB28" i="31" s="1"/>
  <c r="AB29" i="31"/>
  <c r="AB30" i="31"/>
  <c r="AB31" i="31"/>
  <c r="AB32" i="31"/>
  <c r="AA7" i="31"/>
  <c r="AB7" i="31" s="1"/>
  <c r="AA9" i="31"/>
  <c r="AB9" i="31" s="1"/>
  <c r="AA11" i="31"/>
  <c r="AB11" i="31" s="1"/>
  <c r="AA13" i="31"/>
  <c r="AB13" i="31" s="1"/>
  <c r="AA15" i="31"/>
  <c r="AB15" i="31" s="1"/>
  <c r="AB16" i="31"/>
  <c r="AB17" i="31"/>
  <c r="AB19" i="31"/>
  <c r="AB21" i="31"/>
  <c r="AB23" i="31"/>
  <c r="AB25" i="31"/>
  <c r="AB27" i="31"/>
  <c r="Z6" i="31"/>
  <c r="AB8" i="30"/>
  <c r="AB10" i="30"/>
  <c r="AB12" i="30"/>
  <c r="AB14" i="30"/>
  <c r="AA16" i="30"/>
  <c r="AB16" i="30" s="1"/>
  <c r="AA18" i="30"/>
  <c r="AB18" i="30" s="1"/>
  <c r="AA20" i="30"/>
  <c r="AB20" i="30" s="1"/>
  <c r="AA22" i="30"/>
  <c r="AB22" i="30" s="1"/>
  <c r="AA24" i="30"/>
  <c r="AB24" i="30" s="1"/>
  <c r="AA26" i="30"/>
  <c r="AB26" i="30" s="1"/>
  <c r="AA28" i="30"/>
  <c r="AB28" i="30" s="1"/>
  <c r="AB30" i="30"/>
  <c r="AB31" i="30"/>
  <c r="AB32" i="30"/>
  <c r="AA7" i="30"/>
  <c r="AB7" i="30" s="1"/>
  <c r="AA9" i="30"/>
  <c r="AB9" i="30" s="1"/>
  <c r="AA11" i="30"/>
  <c r="AB11" i="30" s="1"/>
  <c r="AA13" i="30"/>
  <c r="AB13" i="30" s="1"/>
  <c r="AA15" i="30"/>
  <c r="AB15" i="30" s="1"/>
  <c r="AB17" i="30"/>
  <c r="AB19" i="30"/>
  <c r="AB21" i="30"/>
  <c r="AB23" i="30"/>
  <c r="AB25" i="30"/>
  <c r="AB27" i="30"/>
  <c r="AA29" i="30"/>
  <c r="AB29" i="30" s="1"/>
  <c r="Z6" i="30"/>
  <c r="AA7" i="29"/>
  <c r="AA9" i="29"/>
  <c r="AA11" i="29"/>
  <c r="AA13" i="29"/>
  <c r="AA15" i="29"/>
  <c r="AA16" i="29"/>
  <c r="AA18" i="29"/>
  <c r="AA26" i="29"/>
  <c r="AA28" i="29"/>
  <c r="S30" i="22"/>
  <c r="R30" i="22"/>
  <c r="Q30" i="22"/>
  <c r="P30" i="22"/>
  <c r="O30" i="22"/>
  <c r="N30" i="22"/>
  <c r="AA29" i="29" l="1"/>
  <c r="AC29" i="29"/>
  <c r="AE29" i="29" s="1"/>
  <c r="AC26" i="29"/>
  <c r="AE26" i="29" s="1"/>
  <c r="AC28" i="29"/>
  <c r="AE28" i="29" s="1"/>
  <c r="AA24" i="29"/>
  <c r="AC24" i="29"/>
  <c r="AA14" i="29"/>
  <c r="AA10" i="29"/>
  <c r="AA12" i="29"/>
  <c r="AA8" i="29"/>
  <c r="AA26" i="28"/>
  <c r="AB26" i="28" s="1"/>
  <c r="Z30" i="28"/>
  <c r="AB29" i="28"/>
  <c r="AB25" i="28"/>
  <c r="AB27" i="28"/>
  <c r="AB23" i="28"/>
  <c r="Z33" i="31"/>
  <c r="AA6" i="31"/>
  <c r="AA33" i="31" s="1"/>
  <c r="Z33" i="30"/>
  <c r="AA6" i="30"/>
  <c r="AA33" i="30" s="1"/>
  <c r="AA6" i="29"/>
  <c r="Y30" i="10"/>
  <c r="L29" i="27"/>
  <c r="Z29" i="27" s="1"/>
  <c r="J29" i="27"/>
  <c r="L28" i="27"/>
  <c r="Z28" i="27" s="1"/>
  <c r="J28" i="27"/>
  <c r="L27" i="27"/>
  <c r="Z27" i="27"/>
  <c r="J27" i="27"/>
  <c r="L26" i="27"/>
  <c r="J26" i="27"/>
  <c r="L25" i="27"/>
  <c r="Z25" i="27" s="1"/>
  <c r="J25" i="27"/>
  <c r="L24" i="27"/>
  <c r="J24" i="27"/>
  <c r="L23" i="27"/>
  <c r="K23" i="27"/>
  <c r="J23" i="27"/>
  <c r="L22" i="27"/>
  <c r="K22" i="27"/>
  <c r="J22" i="27"/>
  <c r="L21" i="27"/>
  <c r="Z21" i="27" s="1"/>
  <c r="J21" i="27"/>
  <c r="L20" i="27"/>
  <c r="Z20" i="27" s="1"/>
  <c r="J20" i="27"/>
  <c r="L19" i="27"/>
  <c r="J19" i="27"/>
  <c r="L18" i="27"/>
  <c r="Z18" i="27" s="1"/>
  <c r="J18" i="27"/>
  <c r="L17" i="27"/>
  <c r="K17" i="27"/>
  <c r="Z17" i="27" s="1"/>
  <c r="J17" i="27"/>
  <c r="Z16" i="27"/>
  <c r="J16" i="27"/>
  <c r="L15" i="27"/>
  <c r="J15" i="27"/>
  <c r="L14" i="27"/>
  <c r="Z14" i="27" s="1"/>
  <c r="J14" i="27"/>
  <c r="L13" i="27"/>
  <c r="J13" i="27"/>
  <c r="L12" i="27"/>
  <c r="Z12" i="27" s="1"/>
  <c r="J12" i="27"/>
  <c r="L11" i="27"/>
  <c r="J11" i="27"/>
  <c r="L10" i="27"/>
  <c r="J10" i="27"/>
  <c r="L9" i="27"/>
  <c r="Z9" i="27" s="1"/>
  <c r="J9" i="27"/>
  <c r="L8" i="27"/>
  <c r="Z8" i="27"/>
  <c r="J8" i="27"/>
  <c r="L7" i="27"/>
  <c r="J7" i="27"/>
  <c r="L6" i="27"/>
  <c r="K6" i="27"/>
  <c r="J6" i="27"/>
  <c r="L29" i="26"/>
  <c r="J29" i="26"/>
  <c r="M28" i="26"/>
  <c r="L28" i="26"/>
  <c r="Z28" i="26" s="1"/>
  <c r="J28" i="26"/>
  <c r="M27" i="26"/>
  <c r="L27" i="26"/>
  <c r="J27" i="26"/>
  <c r="M26" i="26"/>
  <c r="L26" i="26"/>
  <c r="Z26" i="26" s="1"/>
  <c r="J26" i="26"/>
  <c r="M25" i="26"/>
  <c r="L25" i="26"/>
  <c r="J25" i="26"/>
  <c r="M24" i="26"/>
  <c r="L24" i="26"/>
  <c r="Z24" i="26" s="1"/>
  <c r="J24" i="26"/>
  <c r="L23" i="26"/>
  <c r="J23" i="26"/>
  <c r="L22" i="26"/>
  <c r="Z22" i="26" s="1"/>
  <c r="J22" i="26"/>
  <c r="M21" i="26"/>
  <c r="L21" i="26"/>
  <c r="J21" i="26"/>
  <c r="M20" i="26"/>
  <c r="L20" i="26"/>
  <c r="Z20" i="26" s="1"/>
  <c r="J20" i="26"/>
  <c r="L19" i="26"/>
  <c r="J19" i="26"/>
  <c r="M18" i="26"/>
  <c r="L18" i="26"/>
  <c r="Z18" i="26" s="1"/>
  <c r="J18" i="26"/>
  <c r="M17" i="26"/>
  <c r="L17" i="26"/>
  <c r="J17" i="26"/>
  <c r="Z16" i="26"/>
  <c r="J16" i="26"/>
  <c r="M15" i="26"/>
  <c r="L15" i="26"/>
  <c r="J15" i="26"/>
  <c r="M14" i="26"/>
  <c r="L14" i="26"/>
  <c r="Z14" i="26"/>
  <c r="J14" i="26"/>
  <c r="M13" i="26"/>
  <c r="L13" i="26"/>
  <c r="J13" i="26"/>
  <c r="M12" i="26"/>
  <c r="L12" i="26"/>
  <c r="Z12" i="26"/>
  <c r="J12" i="26"/>
  <c r="M11" i="26"/>
  <c r="L11" i="26"/>
  <c r="J11" i="26"/>
  <c r="M10" i="26"/>
  <c r="L10" i="26"/>
  <c r="Z10" i="26"/>
  <c r="J10" i="26"/>
  <c r="M9" i="26"/>
  <c r="L9" i="26"/>
  <c r="J9" i="26"/>
  <c r="M8" i="26"/>
  <c r="L8" i="26"/>
  <c r="Z8" i="26"/>
  <c r="J8" i="26"/>
  <c r="M7" i="26"/>
  <c r="L7" i="26"/>
  <c r="J7" i="26"/>
  <c r="M6" i="26"/>
  <c r="L6" i="26"/>
  <c r="Z6" i="26"/>
  <c r="J6" i="26"/>
  <c r="L29" i="25"/>
  <c r="J29" i="25"/>
  <c r="M28" i="25"/>
  <c r="L28" i="25"/>
  <c r="Z28" i="25" s="1"/>
  <c r="J28" i="25"/>
  <c r="M27" i="25"/>
  <c r="L27" i="25"/>
  <c r="J27" i="25"/>
  <c r="M26" i="25"/>
  <c r="L26" i="25"/>
  <c r="Z26" i="25" s="1"/>
  <c r="J26" i="25"/>
  <c r="M25" i="25"/>
  <c r="L25" i="25"/>
  <c r="J25" i="25"/>
  <c r="M24" i="25"/>
  <c r="L24" i="25"/>
  <c r="Z24" i="25" s="1"/>
  <c r="J24" i="25"/>
  <c r="M23" i="25"/>
  <c r="L23" i="25"/>
  <c r="J23" i="25"/>
  <c r="L22" i="25"/>
  <c r="Z22" i="25" s="1"/>
  <c r="J22" i="25"/>
  <c r="M21" i="25"/>
  <c r="L21" i="25"/>
  <c r="J21" i="25"/>
  <c r="M20" i="25"/>
  <c r="L20" i="25"/>
  <c r="Z20" i="25" s="1"/>
  <c r="J20" i="25"/>
  <c r="M19" i="25"/>
  <c r="L19" i="25"/>
  <c r="J19" i="25"/>
  <c r="M18" i="25"/>
  <c r="L18" i="25"/>
  <c r="Z18" i="25" s="1"/>
  <c r="J18" i="25"/>
  <c r="M17" i="25"/>
  <c r="L17" i="25"/>
  <c r="J17" i="25"/>
  <c r="Z16" i="25"/>
  <c r="J16" i="25"/>
  <c r="M15" i="25"/>
  <c r="L15" i="25"/>
  <c r="Z15" i="25" s="1"/>
  <c r="J15" i="25"/>
  <c r="M14" i="25"/>
  <c r="L14" i="25"/>
  <c r="J14" i="25"/>
  <c r="M13" i="25"/>
  <c r="L13" i="25"/>
  <c r="Z13" i="25" s="1"/>
  <c r="J13" i="25"/>
  <c r="M12" i="25"/>
  <c r="L12" i="25"/>
  <c r="J12" i="25"/>
  <c r="M11" i="25"/>
  <c r="L11" i="25"/>
  <c r="Z11" i="25" s="1"/>
  <c r="J11" i="25"/>
  <c r="M10" i="25"/>
  <c r="L10" i="25"/>
  <c r="J10" i="25"/>
  <c r="M9" i="25"/>
  <c r="L9" i="25"/>
  <c r="Z9" i="25" s="1"/>
  <c r="J9" i="25"/>
  <c r="M8" i="25"/>
  <c r="L8" i="25"/>
  <c r="J8" i="25"/>
  <c r="M7" i="25"/>
  <c r="L7" i="25"/>
  <c r="Z7" i="25" s="1"/>
  <c r="J7" i="25"/>
  <c r="M6" i="25"/>
  <c r="L6" i="25"/>
  <c r="L30" i="25" s="1"/>
  <c r="J6" i="25"/>
  <c r="L29" i="24"/>
  <c r="AD29" i="24" s="1"/>
  <c r="AE29" i="24" s="1"/>
  <c r="K29" i="24"/>
  <c r="J29" i="24"/>
  <c r="L28" i="24"/>
  <c r="K28" i="24"/>
  <c r="J28" i="24"/>
  <c r="L27" i="24"/>
  <c r="AD27" i="24" s="1"/>
  <c r="AE27" i="24" s="1"/>
  <c r="K27" i="24"/>
  <c r="J27" i="24"/>
  <c r="L26" i="24"/>
  <c r="K26" i="24"/>
  <c r="J26" i="24"/>
  <c r="L25" i="24"/>
  <c r="AD25" i="24" s="1"/>
  <c r="AE25" i="24" s="1"/>
  <c r="K25" i="24"/>
  <c r="J25" i="24"/>
  <c r="L24" i="24"/>
  <c r="K24" i="24"/>
  <c r="J24" i="24"/>
  <c r="L23" i="24"/>
  <c r="AD23" i="24" s="1"/>
  <c r="AE23" i="24" s="1"/>
  <c r="K23" i="24"/>
  <c r="J23" i="24"/>
  <c r="L22" i="24"/>
  <c r="K22" i="24"/>
  <c r="J22" i="24"/>
  <c r="L21" i="24"/>
  <c r="AD21" i="24" s="1"/>
  <c r="AE21" i="24" s="1"/>
  <c r="K21" i="24"/>
  <c r="J21" i="24"/>
  <c r="L20" i="24"/>
  <c r="K20" i="24"/>
  <c r="J20" i="24"/>
  <c r="L19" i="24"/>
  <c r="AD19" i="24" s="1"/>
  <c r="AE19" i="24" s="1"/>
  <c r="K19" i="24"/>
  <c r="J19" i="24"/>
  <c r="L18" i="24"/>
  <c r="K18" i="24"/>
  <c r="J18" i="24"/>
  <c r="L17" i="24"/>
  <c r="AD17" i="24" s="1"/>
  <c r="AE17" i="24" s="1"/>
  <c r="K17" i="24"/>
  <c r="J17" i="24"/>
  <c r="Z16" i="24"/>
  <c r="J16" i="24"/>
  <c r="L15" i="24"/>
  <c r="K15" i="24"/>
  <c r="J15" i="24"/>
  <c r="L14" i="24"/>
  <c r="AD14" i="24" s="1"/>
  <c r="AE14" i="24" s="1"/>
  <c r="K14" i="24"/>
  <c r="J14" i="24"/>
  <c r="L13" i="24"/>
  <c r="K13" i="24"/>
  <c r="J13" i="24"/>
  <c r="L12" i="24"/>
  <c r="AD12" i="24" s="1"/>
  <c r="AE12" i="24" s="1"/>
  <c r="K12" i="24"/>
  <c r="J12" i="24"/>
  <c r="L11" i="24"/>
  <c r="K11" i="24"/>
  <c r="J11" i="24"/>
  <c r="L10" i="24"/>
  <c r="AD10" i="24" s="1"/>
  <c r="AE10" i="24" s="1"/>
  <c r="K10" i="24"/>
  <c r="J10" i="24"/>
  <c r="L9" i="24"/>
  <c r="K9" i="24"/>
  <c r="J9" i="24"/>
  <c r="L8" i="24"/>
  <c r="AD8" i="24" s="1"/>
  <c r="AE8" i="24" s="1"/>
  <c r="K8" i="24"/>
  <c r="J8" i="24"/>
  <c r="L7" i="24"/>
  <c r="K7" i="24"/>
  <c r="J7" i="24"/>
  <c r="L6" i="24"/>
  <c r="K6" i="24"/>
  <c r="J6" i="24"/>
  <c r="AE24" i="29" l="1"/>
  <c r="AE32" i="29" s="1"/>
  <c r="AC32" i="29"/>
  <c r="AA32" i="29"/>
  <c r="AB32" i="29"/>
  <c r="AA30" i="28"/>
  <c r="Z10" i="27"/>
  <c r="AA10" i="27" s="1"/>
  <c r="AB10" i="27" s="1"/>
  <c r="Z13" i="27"/>
  <c r="AA13" i="27" s="1"/>
  <c r="AB13" i="27" s="1"/>
  <c r="Z19" i="27"/>
  <c r="AA20" i="27"/>
  <c r="AB20" i="27" s="1"/>
  <c r="Z23" i="27"/>
  <c r="Z24" i="27"/>
  <c r="AA24" i="27" s="1"/>
  <c r="Z6" i="27"/>
  <c r="Z7" i="27"/>
  <c r="AA7" i="27" s="1"/>
  <c r="AB7" i="27" s="1"/>
  <c r="AA9" i="27"/>
  <c r="AB9" i="27" s="1"/>
  <c r="Z11" i="27"/>
  <c r="Z15" i="27"/>
  <c r="Z22" i="27"/>
  <c r="AA22" i="27" s="1"/>
  <c r="Z26" i="27"/>
  <c r="AA28" i="27"/>
  <c r="AB28" i="27" s="1"/>
  <c r="AA26" i="27"/>
  <c r="AB26" i="27" s="1"/>
  <c r="AA18" i="27"/>
  <c r="AB18" i="27" s="1"/>
  <c r="AA11" i="27"/>
  <c r="AB11" i="27" s="1"/>
  <c r="AA15" i="27"/>
  <c r="AB15" i="27" s="1"/>
  <c r="AA24" i="26"/>
  <c r="AA26" i="26"/>
  <c r="AA28" i="26"/>
  <c r="AA20" i="26"/>
  <c r="AA18" i="26"/>
  <c r="AA22" i="26"/>
  <c r="AD6" i="24"/>
  <c r="Z7" i="24"/>
  <c r="AF7" i="24" s="1"/>
  <c r="AD7" i="24"/>
  <c r="AE7" i="24" s="1"/>
  <c r="Z9" i="24"/>
  <c r="AF9" i="24" s="1"/>
  <c r="AD9" i="24"/>
  <c r="AE9" i="24" s="1"/>
  <c r="AA11" i="24"/>
  <c r="Z11" i="24"/>
  <c r="AD11" i="24"/>
  <c r="AE11" i="24" s="1"/>
  <c r="Z13" i="24"/>
  <c r="AD13" i="24"/>
  <c r="AE13" i="24" s="1"/>
  <c r="Z15" i="24"/>
  <c r="AD15" i="24"/>
  <c r="AE15" i="24" s="1"/>
  <c r="Z18" i="24"/>
  <c r="AD18" i="24"/>
  <c r="AE18" i="24" s="1"/>
  <c r="Z20" i="24"/>
  <c r="AD20" i="24"/>
  <c r="AE20" i="24" s="1"/>
  <c r="Z22" i="24"/>
  <c r="AD22" i="24"/>
  <c r="AE22" i="24" s="1"/>
  <c r="Z24" i="24"/>
  <c r="AD24" i="24"/>
  <c r="AE24" i="24" s="1"/>
  <c r="Z26" i="24"/>
  <c r="AF26" i="24" s="1"/>
  <c r="AD26" i="24"/>
  <c r="AE26" i="24" s="1"/>
  <c r="Z28" i="24"/>
  <c r="AF28" i="24" s="1"/>
  <c r="AD28" i="24"/>
  <c r="AE28" i="24" s="1"/>
  <c r="AA13" i="24"/>
  <c r="AA9" i="24"/>
  <c r="AA15" i="24"/>
  <c r="AA18" i="24"/>
  <c r="AA22" i="24"/>
  <c r="AA24" i="24"/>
  <c r="AA20" i="24"/>
  <c r="Z6" i="24"/>
  <c r="Z8" i="24"/>
  <c r="AF8" i="24" s="1"/>
  <c r="Z10" i="24"/>
  <c r="Z12" i="24"/>
  <c r="Z14" i="24"/>
  <c r="AF14" i="24" s="1"/>
  <c r="Z17" i="24"/>
  <c r="Z19" i="24"/>
  <c r="AF19" i="24" s="1"/>
  <c r="Z21" i="24"/>
  <c r="AF21" i="24" s="1"/>
  <c r="Z23" i="24"/>
  <c r="AF23" i="24" s="1"/>
  <c r="Z25" i="24"/>
  <c r="AF25" i="24" s="1"/>
  <c r="Z27" i="24"/>
  <c r="AF27" i="24" s="1"/>
  <c r="Z29" i="24"/>
  <c r="Z7" i="26"/>
  <c r="AA7" i="26" s="1"/>
  <c r="Z9" i="26"/>
  <c r="AA9" i="26" s="1"/>
  <c r="Z11" i="26"/>
  <c r="AA11" i="26" s="1"/>
  <c r="Z13" i="26"/>
  <c r="AA13" i="26" s="1"/>
  <c r="Z15" i="26"/>
  <c r="AA15" i="26" s="1"/>
  <c r="Z17" i="26"/>
  <c r="Z19" i="26"/>
  <c r="AA19" i="26" s="1"/>
  <c r="Z21" i="26"/>
  <c r="Z23" i="26"/>
  <c r="AA23" i="26" s="1"/>
  <c r="Z25" i="26"/>
  <c r="Z27" i="26"/>
  <c r="AA27" i="26" s="1"/>
  <c r="Z29" i="26"/>
  <c r="AA26" i="25"/>
  <c r="AB26" i="25" s="1"/>
  <c r="AA28" i="25"/>
  <c r="AB28" i="25" s="1"/>
  <c r="AA24" i="25"/>
  <c r="AB24" i="25" s="1"/>
  <c r="AA20" i="25"/>
  <c r="AB20" i="25" s="1"/>
  <c r="AA18" i="25"/>
  <c r="AB18" i="25" s="1"/>
  <c r="AA9" i="25"/>
  <c r="AB9" i="25" s="1"/>
  <c r="AA11" i="25"/>
  <c r="AB11" i="25" s="1"/>
  <c r="AA13" i="25"/>
  <c r="AB13" i="25" s="1"/>
  <c r="AA15" i="25"/>
  <c r="AB15" i="25" s="1"/>
  <c r="AA7" i="25"/>
  <c r="AB7" i="25" s="1"/>
  <c r="AA22" i="25"/>
  <c r="AB22" i="25" s="1"/>
  <c r="Z6" i="25"/>
  <c r="Z8" i="25"/>
  <c r="Z10" i="25"/>
  <c r="AA10" i="25" s="1"/>
  <c r="Z12" i="25"/>
  <c r="AA12" i="25" s="1"/>
  <c r="Z14" i="25"/>
  <c r="AA14" i="25" s="1"/>
  <c r="Z17" i="25"/>
  <c r="AA17" i="25" s="1"/>
  <c r="Z19" i="25"/>
  <c r="AA19" i="25" s="1"/>
  <c r="Z21" i="25"/>
  <c r="Z23" i="25"/>
  <c r="Z25" i="25"/>
  <c r="AA25" i="25" s="1"/>
  <c r="Z27" i="25"/>
  <c r="AA27" i="25" s="1"/>
  <c r="Z29" i="25"/>
  <c r="AA29" i="25" s="1"/>
  <c r="AB6" i="31"/>
  <c r="AB33" i="31" s="1"/>
  <c r="AB6" i="30"/>
  <c r="AB33" i="30" s="1"/>
  <c r="AA16" i="27"/>
  <c r="AB16" i="27" s="1"/>
  <c r="AA17" i="27"/>
  <c r="AB17" i="27" s="1"/>
  <c r="AA19" i="27"/>
  <c r="AB19" i="27" s="1"/>
  <c r="AA21" i="27"/>
  <c r="AB21" i="27" s="1"/>
  <c r="AA23" i="27"/>
  <c r="AB23" i="27" s="1"/>
  <c r="AA25" i="27"/>
  <c r="AB25" i="27" s="1"/>
  <c r="AA27" i="27"/>
  <c r="AB27" i="27" s="1"/>
  <c r="AA29" i="27"/>
  <c r="AB29" i="27" s="1"/>
  <c r="AA6" i="27"/>
  <c r="AA8" i="27"/>
  <c r="AB8" i="27" s="1"/>
  <c r="AA12" i="27"/>
  <c r="AB12" i="27" s="1"/>
  <c r="AA14" i="27"/>
  <c r="AB14" i="27" s="1"/>
  <c r="AA6" i="26"/>
  <c r="AA16" i="26"/>
  <c r="AA17" i="26"/>
  <c r="AA25" i="26"/>
  <c r="AA29" i="26"/>
  <c r="AA8" i="26"/>
  <c r="AA10" i="26"/>
  <c r="AA12" i="26"/>
  <c r="AA14" i="26"/>
  <c r="AA8" i="25"/>
  <c r="AA16" i="25"/>
  <c r="AB16" i="25" s="1"/>
  <c r="AA21" i="25"/>
  <c r="AA23" i="25"/>
  <c r="AA6" i="24"/>
  <c r="AA8" i="24"/>
  <c r="AA16" i="24"/>
  <c r="AA23" i="24"/>
  <c r="AA29" i="24"/>
  <c r="AA14" i="24"/>
  <c r="Z30" i="27" l="1"/>
  <c r="AB24" i="27"/>
  <c r="AB22" i="27"/>
  <c r="AB6" i="27"/>
  <c r="AA21" i="26"/>
  <c r="AF29" i="24"/>
  <c r="AF6" i="24"/>
  <c r="AA28" i="24"/>
  <c r="AA26" i="24"/>
  <c r="AF24" i="24"/>
  <c r="AF22" i="24"/>
  <c r="AF20" i="24"/>
  <c r="AF18" i="24"/>
  <c r="AF15" i="24"/>
  <c r="AF13" i="24"/>
  <c r="AF11" i="24"/>
  <c r="AA7" i="24"/>
  <c r="AE6" i="24"/>
  <c r="AA19" i="24"/>
  <c r="AA27" i="24"/>
  <c r="AA25" i="24"/>
  <c r="AA17" i="24"/>
  <c r="AF17" i="24"/>
  <c r="AA21" i="24"/>
  <c r="AA12" i="24"/>
  <c r="AF12" i="24"/>
  <c r="AF10" i="24"/>
  <c r="AA10" i="24"/>
  <c r="AA6" i="25"/>
  <c r="AA30" i="25" s="1"/>
  <c r="Z30" i="25"/>
  <c r="AB27" i="25"/>
  <c r="AB25" i="25"/>
  <c r="AB23" i="25"/>
  <c r="AB19" i="25"/>
  <c r="AB21" i="25"/>
  <c r="AB17" i="25"/>
  <c r="AB12" i="25"/>
  <c r="AB8" i="25"/>
  <c r="AB14" i="25"/>
  <c r="AB10" i="25"/>
  <c r="AB6" i="25"/>
  <c r="AB30" i="25" s="1"/>
  <c r="AB29" i="25"/>
  <c r="AA30" i="27"/>
  <c r="AA30" i="26" l="1"/>
  <c r="AA30" i="24"/>
  <c r="AF30" i="22"/>
  <c r="T30" i="22"/>
  <c r="X29" i="22"/>
  <c r="M29" i="22"/>
  <c r="L29" i="22"/>
  <c r="K29" i="22"/>
  <c r="J29" i="22"/>
  <c r="X28" i="22"/>
  <c r="M28" i="22"/>
  <c r="L28" i="22"/>
  <c r="K28" i="22"/>
  <c r="J28" i="22"/>
  <c r="X27" i="22"/>
  <c r="M27" i="22"/>
  <c r="L27" i="22"/>
  <c r="AG27" i="22" s="1"/>
  <c r="AH27" i="22" s="1"/>
  <c r="K27" i="22"/>
  <c r="AA27" i="22" s="1"/>
  <c r="J27" i="22"/>
  <c r="X26" i="22"/>
  <c r="M26" i="22"/>
  <c r="L26" i="22"/>
  <c r="AG26" i="22" s="1"/>
  <c r="AH26" i="22" s="1"/>
  <c r="K26" i="22"/>
  <c r="J26" i="22"/>
  <c r="X25" i="22"/>
  <c r="M25" i="22"/>
  <c r="L25" i="22"/>
  <c r="K25" i="22"/>
  <c r="AA25" i="22" s="1"/>
  <c r="J25" i="22"/>
  <c r="X24" i="22"/>
  <c r="M24" i="22"/>
  <c r="L24" i="22"/>
  <c r="AG24" i="22" s="1"/>
  <c r="AH24" i="22" s="1"/>
  <c r="K24" i="22"/>
  <c r="J24" i="22"/>
  <c r="X23" i="22"/>
  <c r="M23" i="22"/>
  <c r="L23" i="22"/>
  <c r="K23" i="22"/>
  <c r="AA23" i="22" s="1"/>
  <c r="J23" i="22"/>
  <c r="X22" i="22"/>
  <c r="L22" i="22"/>
  <c r="AG22" i="22" s="1"/>
  <c r="AH22" i="22" s="1"/>
  <c r="K22" i="22"/>
  <c r="J22" i="22"/>
  <c r="X21" i="22"/>
  <c r="M21" i="22"/>
  <c r="L21" i="22"/>
  <c r="AG21" i="22" s="1"/>
  <c r="AH21" i="22" s="1"/>
  <c r="K21" i="22"/>
  <c r="J21" i="22"/>
  <c r="X20" i="22"/>
  <c r="M20" i="22"/>
  <c r="L20" i="22"/>
  <c r="K20" i="22"/>
  <c r="J20" i="22"/>
  <c r="X19" i="22"/>
  <c r="M19" i="22"/>
  <c r="L19" i="22"/>
  <c r="AG19" i="22" s="1"/>
  <c r="AH19" i="22" s="1"/>
  <c r="K19" i="22"/>
  <c r="J19" i="22"/>
  <c r="X18" i="22"/>
  <c r="M18" i="22"/>
  <c r="L18" i="22"/>
  <c r="K18" i="22"/>
  <c r="J18" i="22"/>
  <c r="X17" i="22"/>
  <c r="M17" i="22"/>
  <c r="L17" i="22"/>
  <c r="AG17" i="22" s="1"/>
  <c r="AH17" i="22" s="1"/>
  <c r="K17" i="22"/>
  <c r="J17" i="22"/>
  <c r="X16" i="22"/>
  <c r="M16" i="22"/>
  <c r="L16" i="22"/>
  <c r="K16" i="22"/>
  <c r="J16" i="22"/>
  <c r="X15" i="22"/>
  <c r="M15" i="22"/>
  <c r="L15" i="22"/>
  <c r="AG15" i="22" s="1"/>
  <c r="AH15" i="22" s="1"/>
  <c r="K15" i="22"/>
  <c r="J15" i="22"/>
  <c r="X14" i="22"/>
  <c r="M14" i="22"/>
  <c r="L14" i="22"/>
  <c r="K14" i="22"/>
  <c r="J14" i="22"/>
  <c r="X13" i="22"/>
  <c r="M13" i="22"/>
  <c r="L13" i="22"/>
  <c r="AG13" i="22" s="1"/>
  <c r="AH13" i="22" s="1"/>
  <c r="K13" i="22"/>
  <c r="J13" i="22"/>
  <c r="X12" i="22"/>
  <c r="M12" i="22"/>
  <c r="L12" i="22"/>
  <c r="K12" i="22"/>
  <c r="J12" i="22"/>
  <c r="X11" i="22"/>
  <c r="M11" i="22"/>
  <c r="L11" i="22"/>
  <c r="AG11" i="22" s="1"/>
  <c r="AH11" i="22" s="1"/>
  <c r="K11" i="22"/>
  <c r="J11" i="22"/>
  <c r="X10" i="22"/>
  <c r="M10" i="22"/>
  <c r="L10" i="22"/>
  <c r="K10" i="22"/>
  <c r="J10" i="22"/>
  <c r="X9" i="22"/>
  <c r="M9" i="22"/>
  <c r="L9" i="22"/>
  <c r="AG9" i="22" s="1"/>
  <c r="AH9" i="22" s="1"/>
  <c r="K9" i="22"/>
  <c r="J9" i="22"/>
  <c r="X8" i="22"/>
  <c r="M8" i="22"/>
  <c r="L8" i="22"/>
  <c r="K8" i="22"/>
  <c r="J8" i="22"/>
  <c r="X7" i="22"/>
  <c r="M7" i="22"/>
  <c r="L7" i="22"/>
  <c r="AG7" i="22" s="1"/>
  <c r="AH7" i="22" s="1"/>
  <c r="K7" i="22"/>
  <c r="J7" i="22"/>
  <c r="X6" i="22"/>
  <c r="M6" i="22"/>
  <c r="M30" i="22" s="1"/>
  <c r="L6" i="22"/>
  <c r="K6" i="22"/>
  <c r="K30" i="22" s="1"/>
  <c r="J6" i="22"/>
  <c r="M29" i="11"/>
  <c r="M28" i="11"/>
  <c r="M26" i="11"/>
  <c r="M25" i="11"/>
  <c r="M24" i="11"/>
  <c r="M23" i="11"/>
  <c r="M22" i="11"/>
  <c r="M20" i="11"/>
  <c r="M19" i="11"/>
  <c r="M18" i="11"/>
  <c r="M17" i="11"/>
  <c r="M15" i="11"/>
  <c r="M14" i="11"/>
  <c r="M13" i="11"/>
  <c r="M12" i="11"/>
  <c r="M11" i="11"/>
  <c r="M10" i="11"/>
  <c r="M9" i="11"/>
  <c r="M8" i="11"/>
  <c r="M6" i="11"/>
  <c r="M7" i="11"/>
  <c r="M21" i="11"/>
  <c r="M27" i="11"/>
  <c r="AG28" i="22" l="1"/>
  <c r="AH28" i="22" s="1"/>
  <c r="L30" i="22"/>
  <c r="AG8" i="22"/>
  <c r="AH8" i="22" s="1"/>
  <c r="AG10" i="22"/>
  <c r="AH10" i="22" s="1"/>
  <c r="AG12" i="22"/>
  <c r="AH12" i="22" s="1"/>
  <c r="AG14" i="22"/>
  <c r="AH14" i="22" s="1"/>
  <c r="AG16" i="22"/>
  <c r="AH16" i="22" s="1"/>
  <c r="AG18" i="22"/>
  <c r="AH18" i="22" s="1"/>
  <c r="AG20" i="22"/>
  <c r="AH20" i="22" s="1"/>
  <c r="AG23" i="22"/>
  <c r="AH23" i="22" s="1"/>
  <c r="AG25" i="22"/>
  <c r="AH25" i="22" s="1"/>
  <c r="X30" i="22"/>
  <c r="AA9" i="22"/>
  <c r="AA11" i="22"/>
  <c r="AB11" i="22" s="1"/>
  <c r="AA13" i="22"/>
  <c r="AA15" i="22"/>
  <c r="AB15" i="22" s="1"/>
  <c r="AA17" i="22"/>
  <c r="AA19" i="22"/>
  <c r="AB19" i="22" s="1"/>
  <c r="AA21" i="22"/>
  <c r="AA29" i="22"/>
  <c r="AI17" i="22"/>
  <c r="AI27" i="22"/>
  <c r="AI9" i="22"/>
  <c r="AI13" i="22"/>
  <c r="AI21" i="22"/>
  <c r="AI23" i="22"/>
  <c r="AI25" i="22"/>
  <c r="AB9" i="22"/>
  <c r="AB17" i="22"/>
  <c r="AB21" i="22"/>
  <c r="AB23" i="22"/>
  <c r="AC23" i="22" s="1"/>
  <c r="AB25" i="22"/>
  <c r="AC25" i="22" s="1"/>
  <c r="AB27" i="22"/>
  <c r="AC27" i="22" s="1"/>
  <c r="AG29" i="22"/>
  <c r="AH29" i="22" s="1"/>
  <c r="AI29" i="22" s="1"/>
  <c r="AG6" i="22"/>
  <c r="AB13" i="22"/>
  <c r="AA6" i="22"/>
  <c r="AA7" i="22"/>
  <c r="AA8" i="22"/>
  <c r="AA10" i="22"/>
  <c r="AA12" i="22"/>
  <c r="AA14" i="22"/>
  <c r="AA16" i="22"/>
  <c r="AA18" i="22"/>
  <c r="AA20" i="22"/>
  <c r="AA22" i="22"/>
  <c r="AA24" i="22"/>
  <c r="AA26" i="22"/>
  <c r="AA28" i="22"/>
  <c r="AB28" i="22" l="1"/>
  <c r="AC28" i="22" s="1"/>
  <c r="AB24" i="22"/>
  <c r="AC24" i="22" s="1"/>
  <c r="AB16" i="22"/>
  <c r="AC16" i="22" s="1"/>
  <c r="AB6" i="22"/>
  <c r="AC6" i="22" s="1"/>
  <c r="AB29" i="22"/>
  <c r="AC29" i="22" s="1"/>
  <c r="AI19" i="22"/>
  <c r="AC19" i="22"/>
  <c r="AI15" i="22"/>
  <c r="AC15" i="22"/>
  <c r="AI11" i="22"/>
  <c r="AC11" i="22"/>
  <c r="AI22" i="22"/>
  <c r="AC21" i="22"/>
  <c r="AC17" i="22"/>
  <c r="AC13" i="22"/>
  <c r="AC9" i="22"/>
  <c r="AI26" i="22"/>
  <c r="AI18" i="22"/>
  <c r="AI14" i="22"/>
  <c r="AI10" i="22"/>
  <c r="AI7" i="22"/>
  <c r="AB7" i="22"/>
  <c r="AC7" i="22" s="1"/>
  <c r="AB18" i="22"/>
  <c r="AC18" i="22" s="1"/>
  <c r="AB10" i="22"/>
  <c r="AC10" i="22" s="1"/>
  <c r="AI28" i="22"/>
  <c r="AI24" i="22"/>
  <c r="AI20" i="22"/>
  <c r="AI16" i="22"/>
  <c r="AI12" i="22"/>
  <c r="AI8" i="22"/>
  <c r="AA30" i="22"/>
  <c r="AG30" i="22"/>
  <c r="AH6" i="22"/>
  <c r="AH30" i="22" s="1"/>
  <c r="AB26" i="22"/>
  <c r="AC26" i="22" s="1"/>
  <c r="AB20" i="22"/>
  <c r="AC20" i="22" s="1"/>
  <c r="AB12" i="22"/>
  <c r="AC12" i="22" s="1"/>
  <c r="AB22" i="22"/>
  <c r="AC22" i="22" s="1"/>
  <c r="AB14" i="22"/>
  <c r="AC14" i="22" s="1"/>
  <c r="AB8" i="22"/>
  <c r="AC8" i="22" s="1"/>
  <c r="L24" i="11"/>
  <c r="L25" i="11"/>
  <c r="L26" i="11"/>
  <c r="L27" i="11"/>
  <c r="L28" i="11"/>
  <c r="L29" i="11"/>
  <c r="L23" i="11"/>
  <c r="L22" i="11"/>
  <c r="L7" i="11"/>
  <c r="L8" i="11"/>
  <c r="L9" i="11"/>
  <c r="L10" i="11"/>
  <c r="L11" i="11"/>
  <c r="L12" i="11"/>
  <c r="L13" i="11"/>
  <c r="L14" i="11"/>
  <c r="L15" i="11"/>
  <c r="L17" i="11"/>
  <c r="L18" i="11"/>
  <c r="L19" i="11"/>
  <c r="L20" i="11"/>
  <c r="L21" i="11"/>
  <c r="L6" i="11"/>
  <c r="K24" i="11"/>
  <c r="K25" i="11"/>
  <c r="K26" i="11"/>
  <c r="K27" i="11"/>
  <c r="K28" i="11"/>
  <c r="K29" i="11"/>
  <c r="K23" i="11"/>
  <c r="K22" i="11"/>
  <c r="K7" i="11"/>
  <c r="K8" i="11"/>
  <c r="K9" i="11"/>
  <c r="K10" i="11"/>
  <c r="K11" i="11"/>
  <c r="K12" i="11"/>
  <c r="K13" i="11"/>
  <c r="K14" i="11"/>
  <c r="K15" i="11"/>
  <c r="K17" i="11"/>
  <c r="K18" i="11"/>
  <c r="K19" i="11"/>
  <c r="K20" i="11"/>
  <c r="K21" i="11"/>
  <c r="K6" i="11"/>
  <c r="AC30" i="22" l="1"/>
  <c r="AB30" i="22"/>
  <c r="AI6" i="22"/>
  <c r="AI30" i="22" s="1"/>
  <c r="AC31" i="10"/>
  <c r="AD30" i="10" l="1"/>
  <c r="P30" i="10"/>
  <c r="K16" i="10" l="1"/>
  <c r="X25" i="10" l="1"/>
  <c r="X26" i="10"/>
  <c r="X27" i="10"/>
  <c r="X28" i="10"/>
  <c r="X29" i="10"/>
  <c r="X24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6" i="10"/>
  <c r="S30" i="10"/>
  <c r="R30" i="10"/>
  <c r="Q30" i="10"/>
  <c r="O30" i="10"/>
  <c r="N30" i="10"/>
  <c r="K24" i="10"/>
  <c r="K25" i="10"/>
  <c r="K26" i="10"/>
  <c r="K27" i="10"/>
  <c r="K28" i="10"/>
  <c r="K29" i="10"/>
  <c r="K7" i="10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X30" i="10" l="1"/>
  <c r="K22" i="10"/>
  <c r="K23" i="10"/>
  <c r="M18" i="10"/>
  <c r="L18" i="10"/>
  <c r="AF18" i="10" s="1"/>
  <c r="J18" i="10"/>
  <c r="M17" i="10"/>
  <c r="L17" i="10"/>
  <c r="J17" i="10"/>
  <c r="M16" i="10"/>
  <c r="L16" i="10"/>
  <c r="J16" i="10"/>
  <c r="M15" i="10"/>
  <c r="L15" i="10"/>
  <c r="J15" i="10"/>
  <c r="M14" i="10"/>
  <c r="L14" i="10"/>
  <c r="AF14" i="10" s="1"/>
  <c r="J14" i="10"/>
  <c r="M29" i="10"/>
  <c r="L29" i="10"/>
  <c r="J29" i="10"/>
  <c r="M28" i="10"/>
  <c r="L28" i="10"/>
  <c r="AF28" i="10" s="1"/>
  <c r="J28" i="10"/>
  <c r="M27" i="10"/>
  <c r="L27" i="10"/>
  <c r="J27" i="10"/>
  <c r="M26" i="10"/>
  <c r="L26" i="10"/>
  <c r="AF26" i="10" s="1"/>
  <c r="J26" i="10"/>
  <c r="M25" i="10"/>
  <c r="L25" i="10"/>
  <c r="J25" i="10"/>
  <c r="M24" i="10"/>
  <c r="L24" i="10"/>
  <c r="AF24" i="10" s="1"/>
  <c r="J24" i="10"/>
  <c r="AF16" i="10" l="1"/>
  <c r="AF25" i="10"/>
  <c r="AF27" i="10"/>
  <c r="AF29" i="10"/>
  <c r="AA15" i="10"/>
  <c r="AG15" i="10" s="1"/>
  <c r="AF15" i="10"/>
  <c r="AA17" i="10"/>
  <c r="AF17" i="10"/>
  <c r="AA24" i="10"/>
  <c r="AG24" i="10" s="1"/>
  <c r="AA26" i="10"/>
  <c r="AG26" i="10" s="1"/>
  <c r="AA28" i="10"/>
  <c r="AG28" i="10" s="1"/>
  <c r="AA14" i="10"/>
  <c r="AG14" i="10" s="1"/>
  <c r="AA16" i="10"/>
  <c r="AG16" i="10" s="1"/>
  <c r="AA18" i="10"/>
  <c r="AG18" i="10" s="1"/>
  <c r="AA29" i="10"/>
  <c r="AA25" i="10"/>
  <c r="AG25" i="10" s="1"/>
  <c r="AA27" i="10"/>
  <c r="K6" i="10"/>
  <c r="AG17" i="10" l="1"/>
  <c r="K30" i="10"/>
  <c r="AB15" i="10"/>
  <c r="AC15" i="10" s="1"/>
  <c r="AD15" i="22" s="1"/>
  <c r="AE15" i="22" s="1"/>
  <c r="AC15" i="11" s="1"/>
  <c r="AB17" i="10"/>
  <c r="AC17" i="10" s="1"/>
  <c r="AD17" i="22" s="1"/>
  <c r="AE17" i="22" s="1"/>
  <c r="AC17" i="11" s="1"/>
  <c r="AG29" i="10"/>
  <c r="AG27" i="10"/>
  <c r="AB24" i="10"/>
  <c r="AC24" i="10" s="1"/>
  <c r="AD24" i="22" s="1"/>
  <c r="AE24" i="22" s="1"/>
  <c r="AC24" i="11" s="1"/>
  <c r="AB25" i="10"/>
  <c r="AC25" i="10" s="1"/>
  <c r="AD25" i="22" s="1"/>
  <c r="AE25" i="22" s="1"/>
  <c r="AC25" i="11" s="1"/>
  <c r="AB14" i="10"/>
  <c r="AC14" i="10" s="1"/>
  <c r="AD14" i="22" s="1"/>
  <c r="AE14" i="22" s="1"/>
  <c r="AC14" i="11" s="1"/>
  <c r="AB26" i="10"/>
  <c r="AC26" i="10" s="1"/>
  <c r="AD26" i="22" s="1"/>
  <c r="AE26" i="22" s="1"/>
  <c r="AC26" i="11" s="1"/>
  <c r="AB27" i="10"/>
  <c r="AC27" i="10" s="1"/>
  <c r="AD27" i="22" s="1"/>
  <c r="AE27" i="22" s="1"/>
  <c r="AC27" i="11" s="1"/>
  <c r="AB29" i="10"/>
  <c r="AB18" i="10"/>
  <c r="AC18" i="10" s="1"/>
  <c r="AD18" i="22" s="1"/>
  <c r="AE18" i="22" s="1"/>
  <c r="AC18" i="11" s="1"/>
  <c r="AB16" i="10"/>
  <c r="AC16" i="10" s="1"/>
  <c r="AD16" i="22" s="1"/>
  <c r="AE16" i="22" s="1"/>
  <c r="AC16" i="11" s="1"/>
  <c r="AB28" i="10"/>
  <c r="AC28" i="10" s="1"/>
  <c r="AD28" i="22" s="1"/>
  <c r="AE28" i="22" s="1"/>
  <c r="AC28" i="11" s="1"/>
  <c r="T30" i="10"/>
  <c r="J19" i="10"/>
  <c r="L19" i="10"/>
  <c r="M19" i="10"/>
  <c r="M23" i="10"/>
  <c r="M22" i="10"/>
  <c r="M21" i="10"/>
  <c r="M20" i="10"/>
  <c r="M13" i="10"/>
  <c r="M12" i="10"/>
  <c r="M11" i="10"/>
  <c r="M10" i="10"/>
  <c r="M9" i="10"/>
  <c r="M8" i="10"/>
  <c r="M7" i="10"/>
  <c r="M6" i="10"/>
  <c r="L23" i="10"/>
  <c r="AF23" i="10" s="1"/>
  <c r="L22" i="10"/>
  <c r="AF22" i="10" s="1"/>
  <c r="L7" i="10"/>
  <c r="AF7" i="10" s="1"/>
  <c r="L8" i="10"/>
  <c r="L9" i="10"/>
  <c r="AF9" i="10" s="1"/>
  <c r="L10" i="10"/>
  <c r="AF10" i="10" s="1"/>
  <c r="L11" i="10"/>
  <c r="AF11" i="10" s="1"/>
  <c r="L12" i="10"/>
  <c r="L13" i="10"/>
  <c r="AF13" i="10" s="1"/>
  <c r="L20" i="10"/>
  <c r="AF20" i="10" s="1"/>
  <c r="L21" i="10"/>
  <c r="AF21" i="10" s="1"/>
  <c r="L6" i="10"/>
  <c r="AF12" i="10" l="1"/>
  <c r="AF8" i="10"/>
  <c r="M30" i="10"/>
  <c r="L30" i="10"/>
  <c r="AA31" i="10" s="1"/>
  <c r="AF19" i="10"/>
  <c r="AA19" i="10"/>
  <c r="AF6" i="10" l="1"/>
  <c r="AF30" i="10" s="1"/>
  <c r="AE30" i="10"/>
  <c r="AB53" i="3"/>
  <c r="AB39" i="3" s="1"/>
  <c r="AG19" i="10"/>
  <c r="AB19" i="10"/>
  <c r="AC19" i="10" s="1"/>
  <c r="AD19" i="22" s="1"/>
  <c r="AE19" i="22" s="1"/>
  <c r="AC19" i="11" s="1"/>
  <c r="Z29" i="11"/>
  <c r="J29" i="11"/>
  <c r="Z28" i="11"/>
  <c r="J28" i="11"/>
  <c r="Z27" i="11"/>
  <c r="J27" i="11"/>
  <c r="Z26" i="11"/>
  <c r="J26" i="11"/>
  <c r="Z25" i="11"/>
  <c r="J25" i="11"/>
  <c r="Z24" i="11"/>
  <c r="J24" i="11"/>
  <c r="Z23" i="11"/>
  <c r="J23" i="11"/>
  <c r="Z22" i="11"/>
  <c r="J22" i="11"/>
  <c r="Z21" i="11"/>
  <c r="J21" i="11"/>
  <c r="Z20" i="11"/>
  <c r="J20" i="11"/>
  <c r="Z19" i="11"/>
  <c r="J19" i="11"/>
  <c r="Z18" i="11"/>
  <c r="J18" i="11"/>
  <c r="Z17" i="11"/>
  <c r="J17" i="11"/>
  <c r="Z16" i="11"/>
  <c r="J16" i="11"/>
  <c r="Z15" i="11"/>
  <c r="J15" i="11"/>
  <c r="Z14" i="11"/>
  <c r="J14" i="11"/>
  <c r="Z13" i="11"/>
  <c r="J13" i="11"/>
  <c r="Z12" i="11"/>
  <c r="J12" i="11"/>
  <c r="Z11" i="11"/>
  <c r="J11" i="11"/>
  <c r="Z10" i="11"/>
  <c r="J10" i="11"/>
  <c r="Z9" i="11"/>
  <c r="J9" i="11"/>
  <c r="Z8" i="11"/>
  <c r="J8" i="11"/>
  <c r="Z7" i="11"/>
  <c r="J7" i="11"/>
  <c r="Z6" i="11"/>
  <c r="J6" i="11"/>
  <c r="AA7" i="10"/>
  <c r="AG7" i="10" s="1"/>
  <c r="AC29" i="10"/>
  <c r="AD29" i="22" s="1"/>
  <c r="AE29" i="22" s="1"/>
  <c r="AC29" i="11" s="1"/>
  <c r="AA23" i="10"/>
  <c r="AG23" i="10" s="1"/>
  <c r="J23" i="10"/>
  <c r="AA22" i="10"/>
  <c r="AG22" i="10" s="1"/>
  <c r="J22" i="10"/>
  <c r="AA21" i="10"/>
  <c r="AG21" i="10" s="1"/>
  <c r="J21" i="10"/>
  <c r="AA20" i="10"/>
  <c r="AG20" i="10" s="1"/>
  <c r="J20" i="10"/>
  <c r="AA13" i="10"/>
  <c r="AG13" i="10" s="1"/>
  <c r="J13" i="10"/>
  <c r="AA12" i="10"/>
  <c r="AG12" i="10" s="1"/>
  <c r="J12" i="10"/>
  <c r="AA11" i="10"/>
  <c r="AG11" i="10" s="1"/>
  <c r="J11" i="10"/>
  <c r="AA10" i="10"/>
  <c r="AG10" i="10" s="1"/>
  <c r="J10" i="10"/>
  <c r="AA9" i="10"/>
  <c r="AG9" i="10" s="1"/>
  <c r="J9" i="10"/>
  <c r="AA8" i="10"/>
  <c r="J8" i="10"/>
  <c r="J7" i="10"/>
  <c r="AA6" i="10"/>
  <c r="J6" i="10"/>
  <c r="AD53" i="3" l="1"/>
  <c r="AD39" i="3" s="1"/>
  <c r="Z30" i="11"/>
  <c r="AA23" i="11"/>
  <c r="AB23" i="11" s="1"/>
  <c r="AA25" i="11"/>
  <c r="AB25" i="11" s="1"/>
  <c r="AD25" i="11" s="1"/>
  <c r="AA27" i="11"/>
  <c r="AB27" i="11" s="1"/>
  <c r="AD27" i="11" s="1"/>
  <c r="AA29" i="11"/>
  <c r="AB29" i="11" s="1"/>
  <c r="AD29" i="11" s="1"/>
  <c r="AA7" i="11"/>
  <c r="AB7" i="11" s="1"/>
  <c r="AA9" i="11"/>
  <c r="AB9" i="11" s="1"/>
  <c r="AA11" i="11"/>
  <c r="AB11" i="11" s="1"/>
  <c r="AA13" i="11"/>
  <c r="AB13" i="11" s="1"/>
  <c r="AA15" i="11"/>
  <c r="AB15" i="11" s="1"/>
  <c r="AD15" i="11" s="1"/>
  <c r="AA17" i="11"/>
  <c r="AB17" i="11" s="1"/>
  <c r="AD17" i="11" s="1"/>
  <c r="AA19" i="11"/>
  <c r="AB19" i="11" s="1"/>
  <c r="AD19" i="11" s="1"/>
  <c r="AA21" i="11"/>
  <c r="AB21" i="11" s="1"/>
  <c r="AG8" i="10"/>
  <c r="AA30" i="10"/>
  <c r="AA45" i="10" s="1"/>
  <c r="AG6" i="10"/>
  <c r="AB8" i="10"/>
  <c r="AC8" i="10" s="1"/>
  <c r="AD8" i="22" s="1"/>
  <c r="AE8" i="22" s="1"/>
  <c r="AC8" i="11" s="1"/>
  <c r="AB9" i="10"/>
  <c r="AC9" i="10" s="1"/>
  <c r="AD9" i="22" s="1"/>
  <c r="AE9" i="22" s="1"/>
  <c r="AC9" i="11" s="1"/>
  <c r="AB10" i="10"/>
  <c r="AC10" i="10" s="1"/>
  <c r="AD10" i="22" s="1"/>
  <c r="AE10" i="22" s="1"/>
  <c r="AC10" i="11" s="1"/>
  <c r="AB11" i="10"/>
  <c r="AC11" i="10" s="1"/>
  <c r="AD11" i="22" s="1"/>
  <c r="AE11" i="22" s="1"/>
  <c r="AC11" i="11" s="1"/>
  <c r="AB12" i="10"/>
  <c r="AC12" i="10" s="1"/>
  <c r="AD12" i="22" s="1"/>
  <c r="AE12" i="22" s="1"/>
  <c r="AC12" i="11" s="1"/>
  <c r="AB13" i="10"/>
  <c r="AC13" i="10" s="1"/>
  <c r="AD13" i="22" s="1"/>
  <c r="AE13" i="22" s="1"/>
  <c r="AC13" i="11" s="1"/>
  <c r="AB20" i="10"/>
  <c r="AC20" i="10" s="1"/>
  <c r="AD20" i="22" s="1"/>
  <c r="AE20" i="22" s="1"/>
  <c r="AC20" i="11" s="1"/>
  <c r="AB21" i="10"/>
  <c r="AC21" i="10" s="1"/>
  <c r="AD21" i="22" s="1"/>
  <c r="AE21" i="22" s="1"/>
  <c r="AC21" i="11" s="1"/>
  <c r="AB22" i="10"/>
  <c r="AC22" i="10" s="1"/>
  <c r="AD22" i="22" s="1"/>
  <c r="AE22" i="22" s="1"/>
  <c r="AC22" i="11" s="1"/>
  <c r="AB23" i="10"/>
  <c r="AC23" i="10" s="1"/>
  <c r="AD23" i="22" s="1"/>
  <c r="AE23" i="22" s="1"/>
  <c r="AC23" i="11" s="1"/>
  <c r="AB7" i="10"/>
  <c r="AC7" i="10" s="1"/>
  <c r="AD7" i="22" s="1"/>
  <c r="AE7" i="22" s="1"/>
  <c r="AC7" i="11" s="1"/>
  <c r="AA8" i="11"/>
  <c r="AB8" i="11" s="1"/>
  <c r="AA12" i="11"/>
  <c r="AB12" i="11" s="1"/>
  <c r="AD12" i="11" s="1"/>
  <c r="AA16" i="11"/>
  <c r="AB16" i="11" s="1"/>
  <c r="AD16" i="11" s="1"/>
  <c r="AA20" i="11"/>
  <c r="AB20" i="11" s="1"/>
  <c r="AD20" i="11" s="1"/>
  <c r="AA24" i="11"/>
  <c r="AB24" i="11" s="1"/>
  <c r="AD24" i="11" s="1"/>
  <c r="AA28" i="11"/>
  <c r="AB28" i="11" s="1"/>
  <c r="AD28" i="11" s="1"/>
  <c r="AA6" i="11"/>
  <c r="AB6" i="11" s="1"/>
  <c r="AA10" i="11"/>
  <c r="AB10" i="11" s="1"/>
  <c r="AA14" i="11"/>
  <c r="AB14" i="11" s="1"/>
  <c r="AD14" i="11" s="1"/>
  <c r="AA18" i="11"/>
  <c r="AB18" i="11" s="1"/>
  <c r="AD18" i="11" s="1"/>
  <c r="AA22" i="11"/>
  <c r="AB22" i="11" s="1"/>
  <c r="AA26" i="11"/>
  <c r="AB26" i="11" s="1"/>
  <c r="AD26" i="11" s="1"/>
  <c r="AB6" i="10"/>
  <c r="AC6" i="10" s="1"/>
  <c r="AF53" i="3" l="1"/>
  <c r="AF39" i="3" s="1"/>
  <c r="AD6" i="22"/>
  <c r="AD30" i="22" s="1"/>
  <c r="AG30" i="10"/>
  <c r="AD8" i="11"/>
  <c r="AD11" i="11"/>
  <c r="AD7" i="11"/>
  <c r="AD23" i="11"/>
  <c r="AD22" i="11"/>
  <c r="AD21" i="11"/>
  <c r="AD13" i="11"/>
  <c r="AD9" i="11"/>
  <c r="AD10" i="11"/>
  <c r="AB30" i="11"/>
  <c r="AC30" i="10"/>
  <c r="AA30" i="11"/>
  <c r="AB30" i="10"/>
  <c r="AE6" i="22" l="1"/>
  <c r="AE30" i="22" s="1"/>
  <c r="AG53" i="3"/>
  <c r="AC6" i="11"/>
  <c r="AJ53" i="3" l="1"/>
  <c r="AH53" i="3"/>
  <c r="AD6" i="11"/>
  <c r="AC30" i="11"/>
  <c r="AL53" i="3" l="1"/>
  <c r="AD30" i="11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H46" i="3" l="1"/>
  <c r="AG8" i="3" l="1"/>
  <c r="AG29" i="3"/>
  <c r="AG7" i="3"/>
  <c r="AG6" i="3"/>
  <c r="AG39" i="3" l="1"/>
  <c r="AH29" i="3"/>
  <c r="AL29" i="3" s="1"/>
  <c r="AJ29" i="3"/>
  <c r="AH6" i="3"/>
  <c r="S3" i="36" s="1"/>
  <c r="AH8" i="3"/>
  <c r="S5" i="36" s="1"/>
  <c r="AH7" i="3"/>
  <c r="S4" i="36" s="1"/>
  <c r="Q53" i="3"/>
  <c r="Q39" i="3" s="1"/>
  <c r="S37" i="36" l="1"/>
  <c r="AH39" i="3"/>
  <c r="AI6" i="3" l="1"/>
  <c r="AJ6" i="3"/>
  <c r="AL6" i="3"/>
  <c r="AI7" i="3"/>
  <c r="AJ7" i="3"/>
  <c r="AL7" i="3"/>
  <c r="AI8" i="3"/>
  <c r="AJ8" i="3"/>
  <c r="AL8" i="3"/>
  <c r="AI9" i="3"/>
  <c r="AJ9" i="3"/>
  <c r="AL9" i="3"/>
  <c r="AI10" i="3"/>
  <c r="AJ10" i="3"/>
  <c r="AL10" i="3"/>
  <c r="AI11" i="3"/>
  <c r="AJ11" i="3"/>
  <c r="AL11" i="3"/>
  <c r="AI12" i="3"/>
  <c r="AJ12" i="3"/>
  <c r="AL12" i="3"/>
  <c r="AI13" i="3"/>
  <c r="AJ13" i="3"/>
  <c r="AL13" i="3"/>
  <c r="AI14" i="3"/>
  <c r="AJ14" i="3"/>
  <c r="AL14" i="3"/>
  <c r="AI15" i="3"/>
  <c r="AJ15" i="3"/>
  <c r="AL15" i="3"/>
  <c r="AI16" i="3"/>
  <c r="AJ16" i="3"/>
  <c r="AL16" i="3"/>
  <c r="AI17" i="3"/>
  <c r="AJ17" i="3"/>
  <c r="AL17" i="3"/>
  <c r="AI18" i="3"/>
  <c r="AJ18" i="3"/>
  <c r="AL18" i="3"/>
  <c r="AI19" i="3"/>
  <c r="AJ19" i="3"/>
  <c r="AL19" i="3"/>
  <c r="AI20" i="3"/>
  <c r="AJ20" i="3"/>
  <c r="AL20" i="3"/>
  <c r="AI21" i="3"/>
  <c r="AJ21" i="3"/>
  <c r="AL21" i="3"/>
  <c r="AI39" i="3"/>
  <c r="AJ39" i="3"/>
  <c r="AL39" i="3"/>
  <c r="S30" i="9"/>
  <c r="W30" i="9"/>
  <c r="X30" i="9"/>
  <c r="Y30" i="9"/>
  <c r="S31" i="9"/>
  <c r="W31" i="9"/>
  <c r="X31" i="9"/>
  <c r="Y31" i="9"/>
  <c r="AA31" i="9"/>
  <c r="Q3" i="36"/>
  <c r="R3" i="36"/>
  <c r="T3" i="36"/>
  <c r="U3" i="36"/>
  <c r="Q4" i="36"/>
  <c r="R4" i="36"/>
  <c r="T4" i="36"/>
  <c r="U4" i="36"/>
  <c r="Q5" i="36"/>
  <c r="R5" i="36"/>
  <c r="T5" i="36"/>
  <c r="U5" i="36"/>
  <c r="Q6" i="36"/>
  <c r="R6" i="36"/>
  <c r="T6" i="36"/>
  <c r="U6" i="36"/>
  <c r="Q7" i="36"/>
  <c r="R7" i="36"/>
  <c r="T7" i="36"/>
  <c r="U7" i="36"/>
  <c r="Q8" i="36"/>
  <c r="R8" i="36"/>
  <c r="T8" i="36"/>
  <c r="U8" i="36"/>
  <c r="Q9" i="36"/>
  <c r="R9" i="36"/>
  <c r="T9" i="36"/>
  <c r="U9" i="36"/>
  <c r="Q10" i="36"/>
  <c r="R10" i="36"/>
  <c r="T10" i="36"/>
  <c r="U10" i="36"/>
  <c r="Q11" i="36"/>
  <c r="R11" i="36"/>
  <c r="T11" i="36"/>
  <c r="U11" i="36"/>
  <c r="Q12" i="36"/>
  <c r="R12" i="36"/>
  <c r="T12" i="36"/>
  <c r="U12" i="36"/>
  <c r="Q13" i="36"/>
  <c r="R13" i="36"/>
  <c r="T13" i="36"/>
  <c r="U13" i="36"/>
  <c r="Q14" i="36"/>
  <c r="R14" i="36"/>
  <c r="T14" i="36"/>
  <c r="U14" i="36"/>
  <c r="Q15" i="36"/>
  <c r="R15" i="36"/>
  <c r="T15" i="36"/>
  <c r="U15" i="36"/>
  <c r="Q16" i="36"/>
  <c r="R16" i="36"/>
  <c r="T16" i="36"/>
  <c r="U16" i="36"/>
  <c r="Q17" i="36"/>
  <c r="R17" i="36"/>
  <c r="T17" i="36"/>
  <c r="U17" i="36"/>
  <c r="Q18" i="36"/>
  <c r="R18" i="36"/>
  <c r="T18" i="36"/>
  <c r="U18" i="36"/>
  <c r="Q36" i="36"/>
  <c r="R37" i="36"/>
  <c r="T37" i="36"/>
  <c r="U37" i="36"/>
  <c r="Q38" i="36"/>
  <c r="J56" i="1"/>
  <c r="J57" i="1"/>
  <c r="J61" i="1"/>
</calcChain>
</file>

<file path=xl/comments1.xml><?xml version="1.0" encoding="utf-8"?>
<comments xmlns="http://schemas.openxmlformats.org/spreadsheetml/2006/main">
  <authors>
    <author>NSP</author>
  </authors>
  <commentList>
    <comment ref="O400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sharedStrings.xml><?xml version="1.0" encoding="utf-8"?>
<sst xmlns="http://schemas.openxmlformats.org/spreadsheetml/2006/main" count="3260" uniqueCount="424">
  <si>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</si>
  <si>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</si>
  <si>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</si>
  <si>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</si>
  <si>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</si>
  <si>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</si>
  <si>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</si>
  <si>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</si>
  <si>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</si>
  <si>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</si>
  <si>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</si>
  <si>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</si>
  <si>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</si>
  <si>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</si>
  <si>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</si>
  <si>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</si>
  <si>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</si>
  <si>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</si>
  <si>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</si>
  <si>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</si>
  <si>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</si>
  <si>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</si>
  <si>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</si>
  <si>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</si>
  <si>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</si>
  <si>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</si>
  <si>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</si>
  <si>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</si>
  <si>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</si>
  <si>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</si>
  <si>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</si>
  <si>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</si>
  <si>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</si>
  <si>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</si>
  <si>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</si>
  <si>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</si>
  <si>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</si>
  <si>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</si>
  <si>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</si>
  <si>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</si>
  <si>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</si>
  <si>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</si>
  <si>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</si>
  <si>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PPh 21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</si>
  <si>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</si>
  <si>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</si>
  <si>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</si>
  <si>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</si>
  <si>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</si>
  <si>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</si>
  <si>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</si>
  <si>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</si>
  <si>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</si>
  <si>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</si>
  <si>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</si>
  <si>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</si>
  <si>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</si>
  <si>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</si>
  <si>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</si>
  <si>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</si>
  <si>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</si>
  <si>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</si>
  <si>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</si>
  <si>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</si>
  <si>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</si>
  <si>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</si>
  <si>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</si>
  <si>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</si>
  <si>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</si>
  <si>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PPh 21 Pot Jan'24</t>
  </si>
  <si>
    <t>Selisih</t>
  </si>
  <si>
    <t>PT. REBINMAS JAYA</t>
  </si>
  <si>
    <t>INCOME TAX ARTICLE 21 FOR JAN  2024</t>
  </si>
  <si>
    <t>-</t>
  </si>
  <si>
    <t>JL KOPERASI RT. 004 RW. 002 DESA PEMBAHARUAN KEC. KELAPA KAMPIT</t>
  </si>
  <si>
    <t>INCOME TAX ARTICLE 21 FOR FEB 2024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</si>
  <si>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</si>
  <si>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</si>
  <si>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</si>
  <si>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</si>
  <si>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</si>
  <si>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</si>
  <si>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</si>
  <si>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</si>
  <si>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</si>
  <si>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</si>
  <si>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</si>
  <si>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</si>
  <si>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</si>
  <si>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POT. alpa &amp; POT. CTH ( CUTI TANPA HK )</t>
  </si>
  <si>
    <t>lembur</t>
  </si>
  <si>
    <t>jabatan</t>
  </si>
  <si>
    <t>beras</t>
  </si>
  <si>
    <t>PGE 1A (INFRASTRUKTUR)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</si>
  <si>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</si>
  <si>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</si>
  <si>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</si>
  <si>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</si>
  <si>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</si>
  <si>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</si>
  <si>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</si>
  <si>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</si>
  <si>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</si>
  <si>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</si>
  <si>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</si>
  <si>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</si>
  <si>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</si>
  <si>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</si>
  <si>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</si>
  <si>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</si>
  <si>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</si>
  <si>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</si>
  <si>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</si>
  <si>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</si>
  <si>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</si>
  <si>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</si>
  <si>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</si>
  <si>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</si>
  <si>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</si>
  <si>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</si>
  <si>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</si>
  <si>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</si>
  <si>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</si>
  <si>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</si>
  <si>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</si>
  <si>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</si>
  <si>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</si>
  <si>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</si>
  <si>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</si>
  <si>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</si>
  <si>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</si>
  <si>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</si>
  <si>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</si>
  <si>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</si>
  <si>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</si>
  <si>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</si>
  <si>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</si>
  <si>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</si>
  <si>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</si>
  <si>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</si>
  <si>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</si>
  <si>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</si>
  <si>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</si>
  <si>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</si>
  <si>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</si>
  <si>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</si>
  <si>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</si>
  <si>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</si>
  <si>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</si>
  <si>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</si>
  <si>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</si>
  <si>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</si>
  <si>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</si>
  <si>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</si>
  <si>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</si>
  <si>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</si>
  <si>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</si>
  <si>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</si>
  <si>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</si>
  <si>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</si>
  <si>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</si>
  <si>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</si>
  <si>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</si>
  <si>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</si>
  <si>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</si>
  <si>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</si>
  <si>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</si>
  <si>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</si>
  <si>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</si>
  <si>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</si>
  <si>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</si>
  <si>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</si>
  <si>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INCOME TAX ARTICLE 21 FOR MARET 2024</t>
  </si>
  <si>
    <t>PG 1A (INFRASTRUKTUR)</t>
  </si>
  <si>
    <t>PPH FEB'24</t>
  </si>
  <si>
    <t>PPH THR</t>
  </si>
  <si>
    <t>PPh 21 Gaji + THR</t>
  </si>
  <si>
    <t>PPh 21 THR</t>
  </si>
  <si>
    <t>PPH 21 MARET</t>
  </si>
  <si>
    <t>PPh 21 Gaji Maret + THR</t>
  </si>
  <si>
    <t>upah kotor</t>
  </si>
  <si>
    <t>astek+bpjs</t>
  </si>
  <si>
    <t>total</t>
  </si>
  <si>
    <t>INCOME TAX ARTICLE 21 FOR APRIL 2024</t>
  </si>
  <si>
    <t>INCOME TAX ARTICLE 21 FOR MEI 2024</t>
  </si>
  <si>
    <t>astek + bpjs</t>
  </si>
  <si>
    <t>PPh 21 gaji + bonus</t>
  </si>
  <si>
    <t>pph Exgratia</t>
  </si>
  <si>
    <t>pph april '24</t>
  </si>
  <si>
    <t>PPh 21 Mei</t>
  </si>
  <si>
    <t>INCOME TAX ARTICLE 21 FOR JUNI  2024</t>
  </si>
  <si>
    <t>INCOME TAX ARTICLE 21 FOR JULI 2024</t>
  </si>
  <si>
    <t>INCOME TAX ARTICLE 21 FOR AGUSTUS  2024</t>
  </si>
  <si>
    <t>INCOME TAX ARTICLE 21 FOR SEPTEMBER 2024</t>
  </si>
  <si>
    <t>SARTONO</t>
  </si>
  <si>
    <t>972375018305000</t>
  </si>
  <si>
    <t>1902051210800001</t>
  </si>
  <si>
    <t>1902052010820004</t>
  </si>
  <si>
    <t>JL.MANGGAR RT.011 RW.004 DESA KACANG BUTOR KEC. BADAU</t>
  </si>
  <si>
    <t>DSN. PARIT GUNUNG RT.005 RW.003 DESA AIR BATU BUDING KEC. BADAU</t>
  </si>
  <si>
    <t>ANTON GIANTO NUGROHO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</si>
  <si>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</si>
  <si>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</si>
  <si>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</si>
  <si>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</si>
  <si>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</si>
  <si>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</si>
  <si>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</si>
  <si>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</si>
  <si>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</si>
  <si>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</si>
  <si>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</si>
  <si>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</si>
  <si>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</si>
  <si>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</si>
  <si>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</si>
  <si>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INFRASTRUKTUR</t>
  </si>
  <si>
    <t>Transport Allow</t>
  </si>
  <si>
    <t xml:space="preserve"> Rice Allow</t>
  </si>
  <si>
    <t>Structural Allow</t>
  </si>
  <si>
    <t>Tunjangan Stand - By</t>
  </si>
  <si>
    <t>Others Kinerja</t>
  </si>
  <si>
    <t>EX-GRATIA</t>
  </si>
  <si>
    <t>Keterangan</t>
  </si>
  <si>
    <t>Lebih Pot</t>
  </si>
  <si>
    <t>Kurang Pot</t>
  </si>
  <si>
    <t>MEGI EPRISA</t>
  </si>
  <si>
    <t>TUNJANGAN</t>
  </si>
  <si>
    <t>Tunjangan</t>
  </si>
  <si>
    <t>tunjangan</t>
  </si>
  <si>
    <t>BPJS</t>
  </si>
  <si>
    <t>Name</t>
  </si>
  <si>
    <t>Stat</t>
  </si>
  <si>
    <t>BL</t>
  </si>
  <si>
    <t>PENGHASILAN SETAHUN</t>
  </si>
  <si>
    <t xml:space="preserve">Total </t>
  </si>
  <si>
    <t>Penghasilan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</si>
  <si>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</si>
  <si>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</si>
  <si>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</si>
  <si>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</si>
  <si>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</si>
  <si>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</si>
  <si>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</si>
  <si>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</si>
  <si>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</si>
  <si>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</si>
  <si>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</si>
  <si>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</si>
  <si>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</si>
  <si>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BONUS</t>
  </si>
  <si>
    <t>Medical</t>
  </si>
  <si>
    <t xml:space="preserve">Penghasilan </t>
  </si>
  <si>
    <t>Kena</t>
  </si>
  <si>
    <t>Jan s/d Des</t>
  </si>
  <si>
    <t>Claim</t>
  </si>
  <si>
    <t>Setahun</t>
  </si>
  <si>
    <t>Pajak</t>
  </si>
  <si>
    <t>ROSADI</t>
  </si>
  <si>
    <t>K1</t>
  </si>
  <si>
    <t>FEBRIANSYAH</t>
  </si>
  <si>
    <t>K2</t>
  </si>
  <si>
    <t>SAYUTI</t>
  </si>
  <si>
    <t>SAINA</t>
  </si>
  <si>
    <t>TK</t>
  </si>
  <si>
    <t>NUR AINI</t>
  </si>
  <si>
    <t>NOVIANTI</t>
  </si>
  <si>
    <t>PERHITUNGAN PPh 21 Tahun 2024</t>
  </si>
  <si>
    <t xml:space="preserve">Pajak </t>
  </si>
  <si>
    <t xml:space="preserve">TOTAL </t>
  </si>
  <si>
    <t>sudah</t>
  </si>
  <si>
    <t xml:space="preserve">Jan-Nov </t>
  </si>
  <si>
    <t>dibayar</t>
  </si>
  <si>
    <t>PT.REBINMAS JAYA</t>
  </si>
  <si>
    <t>Perhitungan PPh 21 SETAHUN 2024</t>
  </si>
  <si>
    <t>PENGHASILAN  SETAHUN</t>
  </si>
  <si>
    <t>Total</t>
  </si>
  <si>
    <t>POTONGAN</t>
  </si>
  <si>
    <t>GAJI</t>
  </si>
  <si>
    <t>Astek Ins</t>
  </si>
  <si>
    <t xml:space="preserve">PENGHASILAN </t>
  </si>
  <si>
    <t xml:space="preserve">Astek Ins </t>
  </si>
  <si>
    <t>Bi.Jabatan</t>
  </si>
  <si>
    <t>PENSIUN</t>
  </si>
  <si>
    <t>Neto Setahun/</t>
  </si>
  <si>
    <t>KESEHATAN (4%)</t>
  </si>
  <si>
    <t>LAIN-LAIN</t>
  </si>
  <si>
    <t>2% from Inc</t>
  </si>
  <si>
    <t>5%per year</t>
  </si>
  <si>
    <t>Astek &amp; B. Jabatan</t>
  </si>
  <si>
    <t>disetahunkan</t>
  </si>
  <si>
    <t>PENGANTAR NPWP</t>
  </si>
  <si>
    <t>Nama</t>
  </si>
  <si>
    <t>NPWP</t>
  </si>
  <si>
    <t xml:space="preserve">Kena </t>
  </si>
  <si>
    <t>setahun</t>
  </si>
  <si>
    <t>Terutang</t>
  </si>
  <si>
    <t>Jan-Nov</t>
  </si>
  <si>
    <t>Des</t>
  </si>
  <si>
    <t>Pajak (PEMBULATAN)</t>
  </si>
  <si>
    <t>JL MANGGAR RT. 011 RW. 004 DESA KACANG BUTOR KEC. BADAU</t>
  </si>
  <si>
    <t>PARIT GUNUNG RT 005/003 DESA AIR BATU BUDING KEC. BADAU</t>
  </si>
  <si>
    <t>SUHARMAN</t>
  </si>
  <si>
    <t>SAPRIANTO</t>
  </si>
  <si>
    <t>YANSA</t>
  </si>
  <si>
    <t>SAMSUL HAMDI</t>
  </si>
  <si>
    <t>DIPERIKSA OLEH</t>
  </si>
  <si>
    <t>DIPERIKSA  &amp; DIKETAHUI OLEH</t>
  </si>
  <si>
    <t>HUSHAR</t>
  </si>
  <si>
    <t>DWIJO SUSANTO</t>
  </si>
  <si>
    <t>KERANI DIVISI</t>
  </si>
  <si>
    <t>ESTATE MANAGER</t>
  </si>
  <si>
    <t>97.228.299.0-305.000</t>
  </si>
  <si>
    <t>1902052403700001</t>
  </si>
  <si>
    <t>JL MANGGAR RT. 009 RW. 003 DS KACANG BUTOR KEC. BADAU</t>
  </si>
  <si>
    <t>97.228.294.1-305.000</t>
  </si>
  <si>
    <t>SAINA SEBA</t>
  </si>
  <si>
    <t>1902055208680001</t>
  </si>
  <si>
    <t>97.228.027.5-305.000</t>
  </si>
  <si>
    <t>1902012702880003</t>
  </si>
  <si>
    <t>JL PEMUDA RT. 009 RW. 004 DS. PERAWAS  TANJUNGPANDAN</t>
  </si>
  <si>
    <t>97.228.023.4-305.000</t>
  </si>
  <si>
    <t>1902050509810003</t>
  </si>
  <si>
    <t>DSN AIR BATU BUDING RT. 002 RW. 001 DS AIR BATU BUDING KEC.BADAU</t>
  </si>
  <si>
    <t>97.228.019.2-305.000</t>
  </si>
  <si>
    <t>97.237.836.8-305.000</t>
  </si>
  <si>
    <t>NURAINI</t>
  </si>
  <si>
    <t>1902056607790002</t>
  </si>
  <si>
    <t>DSN AIR BATU BUDING RT. 001 RW. 001 DS AIR BATU BUDING KEC.BADAU</t>
  </si>
  <si>
    <t>97.228.396.4-305.000</t>
  </si>
  <si>
    <t>1902054101820001</t>
  </si>
  <si>
    <t>DSN AIR BATU BUDING RT.002 RW.001 DESA AIR BATU BUDING KEC. BADAU</t>
  </si>
  <si>
    <t>NAMA</t>
  </si>
  <si>
    <t>NO.NPWP</t>
  </si>
  <si>
    <t>PAJAK SUDAH DIBAYAR</t>
  </si>
  <si>
    <t>PAJAK TERUTANG</t>
  </si>
  <si>
    <t>SELISIH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</si>
  <si>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</si>
  <si>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</si>
  <si>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</si>
  <si>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</si>
  <si>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</si>
  <si>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</si>
  <si>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</si>
  <si>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</si>
  <si>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</si>
  <si>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</si>
  <si>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</si>
  <si>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PPh 21 Januari s/d Desember Tahun 2025</t>
  </si>
  <si>
    <t>Perhitungan PPh 21 SETAHUN 2025</t>
  </si>
  <si>
    <t>PPH 21 TAHUN 2025</t>
  </si>
  <si>
    <t>ASTEK 0,84%</t>
  </si>
  <si>
    <t>ASTEK 2%</t>
  </si>
  <si>
    <t>PENSIUN 1%</t>
  </si>
  <si>
    <t>97.237.531.5.305.000</t>
  </si>
  <si>
    <t>NURANI</t>
  </si>
  <si>
    <t>SARWANDI</t>
  </si>
  <si>
    <t>DARMAWAN</t>
  </si>
  <si>
    <t>SUMARDI</t>
  </si>
  <si>
    <t>UJANG SANUSI</t>
  </si>
  <si>
    <t>EKI SUMANTRI</t>
  </si>
  <si>
    <t>SULISTIYANI SAPUTRI</t>
  </si>
  <si>
    <t>TRISNAWATI</t>
  </si>
  <si>
    <t>ELNI</t>
  </si>
  <si>
    <t>YUSTIANA</t>
  </si>
  <si>
    <t>YULIANA</t>
  </si>
  <si>
    <t>SALMIA</t>
  </si>
  <si>
    <t>SISWANDI</t>
  </si>
  <si>
    <t>ERWIN HAZANI</t>
  </si>
  <si>
    <t>SERIHAN</t>
  </si>
  <si>
    <t>IMAM ROHMANU,SIP</t>
  </si>
  <si>
    <t>1902015506780006</t>
  </si>
  <si>
    <t>97.228.711.4-305.000</t>
  </si>
  <si>
    <t>JL JEND SUDIRMAN AIK RAYAK TIMUR II RT. 036 RW. 012 DESA PERAWAS KEC. TANJUNGPANDAN</t>
  </si>
  <si>
    <t>MANDOR</t>
  </si>
  <si>
    <t>1902050708780007</t>
  </si>
  <si>
    <t>97.228.383.2-305.000</t>
  </si>
  <si>
    <t>DSN AIR BEGANTUNG RT. 009 RW. 003 DESA KACANG BUTOR KEC. BADAU</t>
  </si>
  <si>
    <t>1902051909730001</t>
  </si>
  <si>
    <t>97.228.314.7-305.000</t>
  </si>
  <si>
    <t>DSN. AIR BEGANTUNG RT.009 RW.003 DESA KACANG BUTOR KEC. BADAU</t>
  </si>
  <si>
    <t>1902050708720001</t>
  </si>
  <si>
    <t>97.237.829.3-305.000</t>
  </si>
  <si>
    <t>DSN AIR BATU BUDING RT. 004 RW. 002 DESA AIR BATU BUDING KEC. BADAU</t>
  </si>
  <si>
    <t>1902050109770001</t>
  </si>
  <si>
    <t>97.228.327.9-305.000</t>
  </si>
  <si>
    <t>1906040404840003</t>
  </si>
  <si>
    <t>75.749.196.4-305.000</t>
  </si>
  <si>
    <t>DSN AIR LANCI RT. 013 RW. 005 DESA AIR KELIK KEC. DAMAR KAB. BELITUNG</t>
  </si>
  <si>
    <t>1607051709920004</t>
  </si>
  <si>
    <t>DESA TAJA RAYA I RT 008 RW 003 KEC. BETUNG KAB. BANYUASIN</t>
  </si>
  <si>
    <t>97.228.324.6-305.000</t>
  </si>
  <si>
    <t>DSN PESARAKAN RT. 008 RW. 003 DESA CENDIL KEC. KELAPA KAMPIT</t>
  </si>
  <si>
    <t>1906046011770002</t>
  </si>
  <si>
    <t>DSN KOPERASI RT. 005 RW. 002 DESA PEMBAHARUAN KEC. KELAPA KAMPIT</t>
  </si>
  <si>
    <t>1906046603820002</t>
  </si>
  <si>
    <t>55.166.633.2-305.000</t>
  </si>
  <si>
    <t>DSN LALANG RT. 002 RW. 001 DESA MENTAWAK KEC. KELAPA KAMPIT</t>
  </si>
  <si>
    <t>1906046609780003</t>
  </si>
  <si>
    <t>97.228.361.8-305.000</t>
  </si>
  <si>
    <t>DSN BUDING RT. 003 RW. 001 DESA BUDING KEC. KELAPA KAMPIT</t>
  </si>
  <si>
    <t>1906044807940004</t>
  </si>
  <si>
    <t>55.166.797.5.305.000</t>
  </si>
  <si>
    <t>JL TANJUNG KELAYANG RT. 030 RW. 006 DESA TANJUNG BINGA KEC. SIJUK</t>
  </si>
  <si>
    <t>1906044210780002</t>
  </si>
  <si>
    <t>97.228.362.6-305.000</t>
  </si>
  <si>
    <t>DSN BUDING RT. 001 RW. 001 DESA BUDING KEC. KELAPA KAMPIT</t>
  </si>
  <si>
    <t>1906042509710002</t>
  </si>
  <si>
    <t>97.228.330.3-305.000</t>
  </si>
  <si>
    <t>DSN PADANG RT. 002 RW. 001 DESA MENTAWAK KEC. KELAPA KAMPIT</t>
  </si>
  <si>
    <t>1902042907780002</t>
  </si>
  <si>
    <t>55.161.754.1-305.000</t>
  </si>
  <si>
    <t>JL SEKOLAH RT. 015 RW. 008 DESA SIJUK KEC. SIJUK</t>
  </si>
  <si>
    <t>1902050701710001</t>
  </si>
  <si>
    <t>97.387.469.6-305.000</t>
  </si>
  <si>
    <t>JL MANGGAR RT. 005 RW. 003 DESA AIR BATU BUDING KEC. BADAU</t>
  </si>
  <si>
    <t>3503021809910001</t>
  </si>
  <si>
    <t>JL PESANTREN RT. 013 RW. 004 DESA BADAU KEC. BADAU</t>
  </si>
  <si>
    <t>ARLINI</t>
  </si>
  <si>
    <t>1902016004770002</t>
  </si>
  <si>
    <t>97.228.571.2-305.000</t>
  </si>
  <si>
    <t>JL SIJUK RT. 017 RW. 005 DESA AIR KETEKOK KEC. TANJUNGPANDAN</t>
  </si>
  <si>
    <t>KERANI</t>
  </si>
  <si>
    <t>1906046307740004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</si>
</sst>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  <numFmt numFmtId="171" formatCode="0_);\(0\)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8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sz val="9"/>
      <name val="Calibri Light"/>
      <family val="1"/>
      <scheme val="major"/>
    </font>
    <font>
      <sz val="9"/>
      <color theme="1"/>
      <name val="Calibri"/>
      <family val="2"/>
      <scheme val="minor"/>
    </font>
    <font>
      <sz val="1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5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0"/>
      <name val="Tahoma"/>
      <family val="2"/>
    </font>
    <font>
      <sz val="5"/>
      <name val="Tahoma"/>
      <family val="2"/>
    </font>
    <font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7"/>
      <name val="Calibri Light"/>
      <family val="1"/>
      <scheme val="major"/>
    </font>
    <font>
      <sz val="12"/>
      <name val="Tahoma"/>
      <family val="2"/>
    </font>
    <font>
      <sz val="7"/>
      <name val="Tahoma"/>
      <family val="2"/>
    </font>
    <font>
      <sz val="12"/>
      <color theme="1"/>
      <name val="Calibri"/>
      <family val="2"/>
      <scheme val="minor"/>
    </font>
    <font>
      <sz val="6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7"/>
      <color rgb="FFFF0000"/>
      <name val="Tahoma"/>
      <family val="2"/>
    </font>
    <font>
      <sz val="8"/>
      <color theme="1"/>
      <name val="Calibri Light"/>
      <family val="1"/>
      <scheme val="major"/>
    </font>
    <font>
      <u/>
      <sz val="8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b/>
      <sz val="11"/>
      <name val="Calibri"/>
      <family val="2"/>
      <scheme val="minor"/>
    </font>
    <font>
      <sz val="10"/>
      <color rgb="FFFF0000"/>
      <name val="Calibri Light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2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>
      <alignment vertical="top"/>
    </xf>
  </cellStyleXfs>
  <cellXfs count="78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1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1" fontId="7" fillId="0" borderId="1" xfId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164" fontId="10" fillId="0" borderId="0" xfId="6" applyFont="1" applyFill="1" applyAlignment="1">
      <alignment vertical="center"/>
    </xf>
    <xf numFmtId="164" fontId="10" fillId="0" borderId="0" xfId="6" applyFont="1" applyFill="1" applyAlignment="1">
      <alignment horizontal="center"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0" borderId="0" xfId="5" applyAlignment="1">
      <alignment horizontal="center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164" fontId="10" fillId="0" borderId="0" xfId="9" applyFont="1" applyFill="1" applyAlignment="1">
      <alignment vertical="center"/>
    </xf>
    <xf numFmtId="166" fontId="10" fillId="0" borderId="0" xfId="8" applyNumberFormat="1" applyFont="1" applyAlignment="1">
      <alignment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8" xfId="5" applyFont="1" applyFill="1" applyBorder="1" applyAlignment="1">
      <alignment horizontal="center"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164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164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164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164" fontId="12" fillId="0" borderId="0" xfId="9" applyFont="1" applyFill="1" applyAlignment="1">
      <alignment vertical="center"/>
    </xf>
    <xf numFmtId="166" fontId="12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 applyAlignment="1">
      <alignment vertical="center"/>
    </xf>
    <xf numFmtId="0" fontId="10" fillId="0" borderId="0" xfId="11"/>
    <xf numFmtId="0" fontId="10" fillId="0" borderId="0" xfId="11" applyAlignment="1">
      <alignment horizontal="left"/>
    </xf>
    <xf numFmtId="1" fontId="14" fillId="3" borderId="0" xfId="12" applyNumberFormat="1" applyFont="1" applyFill="1" applyAlignment="1">
      <alignment horizontal="left" vertical="center"/>
    </xf>
    <xf numFmtId="0" fontId="14" fillId="3" borderId="0" xfId="13" applyFont="1" applyFill="1"/>
    <xf numFmtId="0" fontId="14" fillId="3" borderId="0" xfId="5" applyFont="1" applyFill="1" applyAlignment="1">
      <alignment horizontal="left"/>
    </xf>
    <xf numFmtId="0" fontId="14" fillId="3" borderId="0" xfId="13" applyFont="1" applyFill="1" applyAlignment="1">
      <alignment vertical="center"/>
    </xf>
    <xf numFmtId="0" fontId="14" fillId="4" borderId="0" xfId="5" applyFont="1" applyFill="1"/>
    <xf numFmtId="0" fontId="14" fillId="3" borderId="0" xfId="5" applyFont="1" applyFill="1"/>
    <xf numFmtId="0" fontId="14" fillId="3" borderId="0" xfId="14" applyFont="1" applyFill="1"/>
    <xf numFmtId="0" fontId="14" fillId="4" borderId="0" xfId="14" applyFont="1" applyFill="1"/>
    <xf numFmtId="0" fontId="14" fillId="3" borderId="0" xfId="15" applyFill="1" applyAlignment="1">
      <alignment vertical="center"/>
    </xf>
    <xf numFmtId="0" fontId="14" fillId="3" borderId="0" xfId="16" applyFont="1" applyFill="1"/>
    <xf numFmtId="0" fontId="14" fillId="5" borderId="0" xfId="5" applyFont="1" applyFill="1"/>
    <xf numFmtId="0" fontId="14" fillId="3" borderId="0" xfId="13" applyFont="1" applyFill="1" applyAlignment="1" applyProtection="1">
      <alignment vertical="center"/>
      <protection locked="0"/>
    </xf>
    <xf numFmtId="0" fontId="14" fillId="3" borderId="0" xfId="17" applyFont="1" applyFill="1" applyAlignment="1" applyProtection="1">
      <alignment vertical="center"/>
      <protection locked="0"/>
    </xf>
    <xf numFmtId="0" fontId="14" fillId="6" borderId="0" xfId="13" applyFont="1" applyFill="1"/>
    <xf numFmtId="0" fontId="17" fillId="3" borderId="0" xfId="14" applyFont="1" applyFill="1"/>
    <xf numFmtId="0" fontId="14" fillId="3" borderId="0" xfId="14" applyFont="1" applyFill="1" applyAlignment="1">
      <alignment horizontal="left"/>
    </xf>
    <xf numFmtId="0" fontId="14" fillId="3" borderId="0" xfId="5" applyFont="1" applyFill="1" applyAlignment="1">
      <alignment vertical="center"/>
    </xf>
    <xf numFmtId="0" fontId="14" fillId="3" borderId="0" xfId="13" applyFont="1" applyFill="1" applyAlignment="1">
      <alignment horizontal="left"/>
    </xf>
    <xf numFmtId="0" fontId="14" fillId="7" borderId="0" xfId="5" applyFont="1" applyFill="1"/>
    <xf numFmtId="0" fontId="10" fillId="3" borderId="0" xfId="5" applyFill="1" applyAlignment="1" applyProtection="1">
      <alignment horizontal="left" vertical="center"/>
      <protection locked="0"/>
    </xf>
    <xf numFmtId="0" fontId="14" fillId="3" borderId="0" xfId="5" applyFont="1" applyFill="1" applyAlignment="1" applyProtection="1">
      <alignment vertical="center"/>
      <protection locked="0"/>
    </xf>
    <xf numFmtId="0" fontId="14" fillId="3" borderId="0" xfId="13" applyFont="1" applyFill="1" applyAlignment="1" applyProtection="1">
      <alignment horizontal="left" vertical="center"/>
      <protection locked="0"/>
    </xf>
    <xf numFmtId="0" fontId="10" fillId="8" borderId="19" xfId="10" applyFill="1" applyBorder="1" applyAlignment="1">
      <alignment horizontal="center" vertical="center"/>
    </xf>
    <xf numFmtId="164" fontId="12" fillId="8" borderId="0" xfId="6" applyFont="1" applyFill="1" applyAlignment="1">
      <alignment vertical="center"/>
    </xf>
    <xf numFmtId="170" fontId="14" fillId="0" borderId="20" xfId="5" quotePrefix="1" applyNumberFormat="1" applyFont="1" applyBorder="1" applyAlignment="1">
      <alignment horizontal="center" vertical="center"/>
    </xf>
    <xf numFmtId="10" fontId="10" fillId="0" borderId="0" xfId="6" applyNumberFormat="1" applyFont="1" applyFill="1" applyAlignment="1">
      <alignment horizontal="center" vertical="center"/>
    </xf>
    <xf numFmtId="0" fontId="12" fillId="2" borderId="29" xfId="5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164" fontId="14" fillId="0" borderId="32" xfId="6" applyFont="1" applyFill="1" applyBorder="1" applyAlignment="1" applyProtection="1">
      <alignment horizontal="left" vertical="center"/>
    </xf>
    <xf numFmtId="164" fontId="14" fillId="0" borderId="33" xfId="6" applyFont="1" applyFill="1" applyBorder="1" applyAlignment="1" applyProtection="1">
      <alignment horizontal="left" vertical="center"/>
    </xf>
    <xf numFmtId="164" fontId="14" fillId="8" borderId="19" xfId="6" applyFont="1" applyFill="1" applyBorder="1" applyAlignment="1" applyProtection="1">
      <alignment horizontal="left" vertical="center"/>
    </xf>
    <xf numFmtId="164" fontId="14" fillId="8" borderId="20" xfId="6" applyFont="1" applyFill="1" applyBorder="1" applyAlignment="1" applyProtection="1">
      <alignment horizontal="left" vertical="center"/>
    </xf>
    <xf numFmtId="10" fontId="14" fillId="8" borderId="20" xfId="6" applyNumberFormat="1" applyFont="1" applyFill="1" applyBorder="1" applyAlignment="1" applyProtection="1">
      <alignment horizontal="center" vertical="center"/>
    </xf>
    <xf numFmtId="164" fontId="14" fillId="8" borderId="22" xfId="6" applyFont="1" applyFill="1" applyBorder="1" applyAlignment="1" applyProtection="1">
      <alignment horizontal="left" vertical="center"/>
    </xf>
    <xf numFmtId="0" fontId="20" fillId="9" borderId="3" xfId="5" applyFont="1" applyFill="1" applyBorder="1" applyAlignment="1">
      <alignment horizontal="center" vertical="center"/>
    </xf>
    <xf numFmtId="0" fontId="20" fillId="9" borderId="3" xfId="6" applyNumberFormat="1" applyFont="1" applyFill="1" applyBorder="1" applyAlignment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0" fontId="21" fillId="0" borderId="0" xfId="8" applyNumberFormat="1" applyFont="1" applyAlignment="1">
      <alignment horizontal="center" vertical="center"/>
    </xf>
    <xf numFmtId="0" fontId="21" fillId="0" borderId="0" xfId="5" applyFont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8" borderId="21" xfId="10" applyFill="1" applyBorder="1" applyAlignment="1">
      <alignment horizontal="center" vertical="center"/>
    </xf>
    <xf numFmtId="164" fontId="14" fillId="8" borderId="21" xfId="6" applyFont="1" applyFill="1" applyBorder="1" applyAlignment="1" applyProtection="1">
      <alignment horizontal="left" vertical="center"/>
    </xf>
    <xf numFmtId="0" fontId="12" fillId="2" borderId="34" xfId="5" quotePrefix="1" applyFont="1" applyFill="1" applyBorder="1" applyAlignment="1">
      <alignment vertical="center"/>
    </xf>
    <xf numFmtId="166" fontId="12" fillId="2" borderId="34" xfId="3" applyNumberFormat="1" applyFont="1" applyFill="1" applyBorder="1" applyAlignment="1">
      <alignment vertical="center"/>
    </xf>
    <xf numFmtId="164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41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70" fontId="14" fillId="0" borderId="31" xfId="5" quotePrefix="1" applyNumberFormat="1" applyFont="1" applyBorder="1" applyAlignment="1">
      <alignment horizontal="center" vertical="center"/>
    </xf>
    <xf numFmtId="0" fontId="12" fillId="2" borderId="36" xfId="5" quotePrefix="1" applyFont="1" applyFill="1" applyBorder="1" applyAlignment="1">
      <alignment vertical="center"/>
    </xf>
    <xf numFmtId="9" fontId="10" fillId="0" borderId="0" xfId="6" applyNumberFormat="1" applyFont="1" applyFill="1" applyAlignment="1">
      <alignment vertical="center"/>
    </xf>
    <xf numFmtId="164" fontId="12" fillId="2" borderId="11" xfId="6" applyFont="1" applyFill="1" applyBorder="1" applyAlignment="1">
      <alignment horizontal="center" vertical="center"/>
    </xf>
    <xf numFmtId="10" fontId="12" fillId="2" borderId="26" xfId="6" applyNumberFormat="1" applyFont="1" applyFill="1" applyBorder="1" applyAlignment="1">
      <alignment horizontal="center" vertical="center" wrapText="1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0" fontId="12" fillId="2" borderId="4" xfId="6" applyNumberFormat="1" applyFont="1" applyFill="1" applyBorder="1" applyAlignment="1">
      <alignment horizontal="center" vertical="center"/>
    </xf>
    <xf numFmtId="164" fontId="14" fillId="8" borderId="31" xfId="6" applyFont="1" applyFill="1" applyBorder="1" applyAlignment="1" applyProtection="1">
      <alignment horizontal="left" vertical="center"/>
    </xf>
    <xf numFmtId="166" fontId="12" fillId="2" borderId="2" xfId="3" applyNumberFormat="1" applyFont="1" applyFill="1" applyBorder="1" applyAlignment="1">
      <alignment vertical="center"/>
    </xf>
    <xf numFmtId="164" fontId="10" fillId="0" borderId="20" xfId="6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10" fillId="0" borderId="0" xfId="1" applyFont="1" applyAlignment="1">
      <alignment vertical="center"/>
    </xf>
    <xf numFmtId="164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38" fontId="14" fillId="0" borderId="33" xfId="6" applyNumberFormat="1" applyFont="1" applyFill="1" applyBorder="1" applyAlignment="1" applyProtection="1">
      <alignment horizontal="right" vertical="center"/>
    </xf>
    <xf numFmtId="38" fontId="14" fillId="0" borderId="33" xfId="6" applyNumberFormat="1" applyFont="1" applyFill="1" applyBorder="1" applyAlignment="1" applyProtection="1">
      <alignment horizontal="left" vertical="center"/>
    </xf>
    <xf numFmtId="0" fontId="10" fillId="0" borderId="37" xfId="5" quotePrefix="1" applyBorder="1" applyAlignment="1">
      <alignment horizontal="center" vertical="center"/>
    </xf>
    <xf numFmtId="167" fontId="14" fillId="0" borderId="37" xfId="5" applyNumberFormat="1" applyFont="1" applyBorder="1" applyAlignment="1">
      <alignment horizontal="left" vertical="center"/>
    </xf>
    <xf numFmtId="0" fontId="14" fillId="0" borderId="37" xfId="10" applyFont="1" applyBorder="1" applyAlignment="1">
      <alignment horizontal="center" vertical="center"/>
    </xf>
    <xf numFmtId="0" fontId="10" fillId="0" borderId="37" xfId="10" applyBorder="1" applyAlignment="1">
      <alignment horizontal="center" vertical="center"/>
    </xf>
    <xf numFmtId="164" fontId="14" fillId="0" borderId="37" xfId="6" applyFont="1" applyFill="1" applyBorder="1" applyAlignment="1" applyProtection="1">
      <alignment horizontal="left" vertical="center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0" fontId="12" fillId="2" borderId="3" xfId="6" applyNumberFormat="1" applyFont="1" applyFill="1" applyBorder="1" applyAlignment="1">
      <alignment horizontal="center" vertical="center" wrapText="1"/>
    </xf>
    <xf numFmtId="0" fontId="12" fillId="2" borderId="3" xfId="6" applyNumberFormat="1" applyFont="1" applyFill="1" applyBorder="1" applyAlignment="1">
      <alignment horizontal="center" vertical="center"/>
    </xf>
    <xf numFmtId="164" fontId="14" fillId="8" borderId="37" xfId="6" applyFont="1" applyFill="1" applyBorder="1" applyAlignment="1" applyProtection="1">
      <alignment horizontal="left" vertical="center"/>
    </xf>
    <xf numFmtId="10" fontId="14" fillId="8" borderId="37" xfId="6" applyNumberFormat="1" applyFont="1" applyFill="1" applyBorder="1" applyAlignment="1" applyProtection="1">
      <alignment horizontal="center" vertical="center"/>
    </xf>
    <xf numFmtId="164" fontId="14" fillId="8" borderId="39" xfId="6" applyFont="1" applyFill="1" applyBorder="1" applyAlignment="1" applyProtection="1">
      <alignment horizontal="left" vertical="center"/>
    </xf>
    <xf numFmtId="167" fontId="14" fillId="0" borderId="37" xfId="5" applyNumberFormat="1" applyFont="1" applyBorder="1" applyAlignment="1">
      <alignment horizontal="center" vertical="center"/>
    </xf>
    <xf numFmtId="164" fontId="14" fillId="8" borderId="40" xfId="6" applyFont="1" applyFill="1" applyBorder="1" applyAlignment="1" applyProtection="1">
      <alignment horizontal="left" vertical="center"/>
    </xf>
    <xf numFmtId="0" fontId="12" fillId="2" borderId="7" xfId="6" applyNumberFormat="1" applyFont="1" applyFill="1" applyBorder="1" applyAlignment="1">
      <alignment horizontal="center" vertical="center"/>
    </xf>
    <xf numFmtId="166" fontId="23" fillId="10" borderId="19" xfId="3" applyNumberFormat="1" applyFont="1" applyFill="1" applyBorder="1" applyAlignment="1">
      <alignment horizontal="left" wrapText="1"/>
    </xf>
    <xf numFmtId="166" fontId="23" fillId="10" borderId="20" xfId="3" applyNumberFormat="1" applyFont="1" applyFill="1" applyBorder="1" applyAlignment="1">
      <alignment horizontal="center"/>
    </xf>
    <xf numFmtId="166" fontId="23" fillId="10" borderId="20" xfId="3" applyNumberFormat="1" applyFont="1" applyFill="1" applyBorder="1" applyAlignment="1">
      <alignment horizontal="left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6" xfId="6" applyNumberFormat="1" applyFont="1" applyFill="1" applyBorder="1" applyAlignment="1">
      <alignment horizontal="center" vertical="center" wrapText="1"/>
    </xf>
    <xf numFmtId="166" fontId="23" fillId="10" borderId="37" xfId="3" applyNumberFormat="1" applyFont="1" applyFill="1" applyBorder="1" applyAlignment="1">
      <alignment horizontal="left"/>
    </xf>
    <xf numFmtId="0" fontId="10" fillId="10" borderId="19" xfId="5" quotePrefix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left" vertical="center"/>
    </xf>
    <xf numFmtId="166" fontId="22" fillId="3" borderId="19" xfId="3" applyNumberFormat="1" applyFont="1" applyFill="1" applyBorder="1" applyAlignment="1">
      <alignment horizontal="right" vertical="center"/>
    </xf>
    <xf numFmtId="169" fontId="22" fillId="3" borderId="19" xfId="3" applyNumberFormat="1" applyFont="1" applyFill="1" applyBorder="1" applyAlignment="1">
      <alignment horizontal="right" vertical="center"/>
    </xf>
    <xf numFmtId="0" fontId="24" fillId="0" borderId="7" xfId="0" applyFont="1" applyFill="1" applyBorder="1" applyAlignment="1">
      <alignment vertical="center"/>
    </xf>
    <xf numFmtId="0" fontId="10" fillId="10" borderId="20" xfId="5" quotePrefix="1" applyFill="1" applyBorder="1" applyAlignment="1">
      <alignment horizontal="center" vertical="center"/>
    </xf>
    <xf numFmtId="0" fontId="22" fillId="10" borderId="20" xfId="0" applyFont="1" applyFill="1" applyBorder="1" applyAlignment="1">
      <alignment vertical="center"/>
    </xf>
    <xf numFmtId="166" fontId="22" fillId="3" borderId="20" xfId="3" applyNumberFormat="1" applyFont="1" applyFill="1" applyBorder="1" applyAlignment="1">
      <alignment horizontal="right" vertical="center"/>
    </xf>
    <xf numFmtId="169" fontId="22" fillId="3" borderId="20" xfId="3" applyNumberFormat="1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vertical="center"/>
    </xf>
    <xf numFmtId="0" fontId="23" fillId="10" borderId="20" xfId="0" applyFont="1" applyFill="1" applyBorder="1" applyAlignment="1">
      <alignment vertical="center"/>
    </xf>
    <xf numFmtId="169" fontId="22" fillId="10" borderId="20" xfId="3" applyNumberFormat="1" applyFont="1" applyFill="1" applyBorder="1" applyAlignment="1">
      <alignment horizontal="right" vertical="center"/>
    </xf>
    <xf numFmtId="166" fontId="22" fillId="10" borderId="20" xfId="3" applyNumberFormat="1" applyFont="1" applyFill="1" applyBorder="1" applyAlignment="1">
      <alignment horizontal="right" vertical="center"/>
    </xf>
    <xf numFmtId="0" fontId="22" fillId="10" borderId="21" xfId="0" applyFont="1" applyFill="1" applyBorder="1" applyAlignment="1">
      <alignment vertical="center"/>
    </xf>
    <xf numFmtId="166" fontId="22" fillId="3" borderId="21" xfId="3" applyNumberFormat="1" applyFont="1" applyFill="1" applyBorder="1" applyAlignment="1">
      <alignment horizontal="right" vertical="center"/>
    </xf>
    <xf numFmtId="169" fontId="22" fillId="10" borderId="21" xfId="3" applyNumberFormat="1" applyFont="1" applyFill="1" applyBorder="1" applyAlignment="1">
      <alignment horizontal="right" vertical="center"/>
    </xf>
    <xf numFmtId="0" fontId="22" fillId="3" borderId="20" xfId="0" applyFont="1" applyFill="1" applyBorder="1" applyAlignment="1">
      <alignment vertical="center"/>
    </xf>
    <xf numFmtId="0" fontId="10" fillId="10" borderId="42" xfId="5" quotePrefix="1" applyFill="1" applyBorder="1" applyAlignment="1">
      <alignment horizontal="center" vertical="center"/>
    </xf>
    <xf numFmtId="0" fontId="10" fillId="10" borderId="41" xfId="5" quotePrefix="1" applyFill="1" applyBorder="1" applyAlignment="1">
      <alignment horizontal="center" vertical="center"/>
    </xf>
    <xf numFmtId="164" fontId="25" fillId="0" borderId="19" xfId="6" applyFont="1" applyFill="1" applyBorder="1" applyAlignment="1" applyProtection="1">
      <alignment horizontal="left" vertical="center"/>
    </xf>
    <xf numFmtId="166" fontId="27" fillId="3" borderId="19" xfId="3" applyNumberFormat="1" applyFont="1" applyFill="1" applyBorder="1" applyAlignment="1">
      <alignment vertical="center"/>
    </xf>
    <xf numFmtId="166" fontId="23" fillId="10" borderId="19" xfId="3" applyNumberFormat="1" applyFont="1" applyFill="1" applyBorder="1" applyAlignment="1">
      <alignment horizontal="left" vertical="center" wrapText="1"/>
    </xf>
    <xf numFmtId="164" fontId="25" fillId="0" borderId="20" xfId="6" applyFont="1" applyFill="1" applyBorder="1" applyAlignment="1" applyProtection="1">
      <alignment horizontal="left" vertical="center"/>
    </xf>
    <xf numFmtId="166" fontId="27" fillId="3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center" vertical="center"/>
    </xf>
    <xf numFmtId="166" fontId="27" fillId="10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left" vertical="center"/>
    </xf>
    <xf numFmtId="166" fontId="23" fillId="11" borderId="20" xfId="3" applyNumberFormat="1" applyFont="1" applyFill="1" applyBorder="1" applyAlignment="1">
      <alignment horizontal="left" vertical="center"/>
    </xf>
    <xf numFmtId="164" fontId="26" fillId="0" borderId="20" xfId="6" applyFont="1" applyFill="1" applyBorder="1" applyAlignment="1" applyProtection="1">
      <alignment horizontal="left" vertical="center"/>
    </xf>
    <xf numFmtId="166" fontId="27" fillId="3" borderId="21" xfId="3" applyNumberFormat="1" applyFont="1" applyFill="1" applyBorder="1" applyAlignment="1">
      <alignment vertical="center"/>
    </xf>
    <xf numFmtId="164" fontId="28" fillId="0" borderId="20" xfId="6" applyFont="1" applyFill="1" applyBorder="1" applyAlignment="1" applyProtection="1">
      <alignment horizontal="left" vertical="center"/>
    </xf>
    <xf numFmtId="166" fontId="29" fillId="10" borderId="20" xfId="3" applyNumberFormat="1" applyFont="1" applyFill="1" applyBorder="1" applyAlignment="1">
      <alignment vertical="center"/>
    </xf>
    <xf numFmtId="166" fontId="12" fillId="12" borderId="3" xfId="3" applyNumberFormat="1" applyFont="1" applyFill="1" applyBorder="1" applyAlignment="1">
      <alignment vertical="center"/>
    </xf>
    <xf numFmtId="164" fontId="14" fillId="0" borderId="7" xfId="6" applyFont="1" applyFill="1" applyBorder="1" applyAlignment="1" applyProtection="1">
      <alignment horizontal="left" vertical="center"/>
    </xf>
    <xf numFmtId="37" fontId="10" fillId="0" borderId="0" xfId="5" applyNumberFormat="1" applyAlignment="1">
      <alignment vertical="center"/>
    </xf>
    <xf numFmtId="3" fontId="10" fillId="0" borderId="0" xfId="5" applyNumberFormat="1" applyAlignment="1">
      <alignment vertical="center"/>
    </xf>
    <xf numFmtId="37" fontId="12" fillId="0" borderId="0" xfId="5" applyNumberFormat="1" applyFont="1" applyAlignment="1">
      <alignment vertical="center"/>
    </xf>
    <xf numFmtId="37" fontId="10" fillId="12" borderId="0" xfId="5" applyNumberFormat="1" applyFill="1" applyAlignment="1">
      <alignment vertical="center"/>
    </xf>
    <xf numFmtId="0" fontId="10" fillId="12" borderId="0" xfId="5" applyFill="1" applyAlignment="1">
      <alignment vertical="center"/>
    </xf>
    <xf numFmtId="164" fontId="12" fillId="2" borderId="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9" fontId="22" fillId="10" borderId="20" xfId="3" quotePrefix="1" applyNumberFormat="1" applyFont="1" applyFill="1" applyBorder="1" applyAlignment="1">
      <alignment horizontal="center" vertical="center"/>
    </xf>
    <xf numFmtId="0" fontId="30" fillId="10" borderId="19" xfId="0" applyFont="1" applyFill="1" applyBorder="1" applyAlignment="1">
      <alignment horizontal="left" vertical="center"/>
    </xf>
    <xf numFmtId="0" fontId="30" fillId="10" borderId="20" xfId="0" applyFont="1" applyFill="1" applyBorder="1" applyAlignment="1">
      <alignment vertical="center"/>
    </xf>
    <xf numFmtId="0" fontId="31" fillId="10" borderId="20" xfId="0" applyFont="1" applyFill="1" applyBorder="1" applyAlignment="1">
      <alignment vertical="center"/>
    </xf>
    <xf numFmtId="0" fontId="30" fillId="10" borderId="21" xfId="0" applyFont="1" applyFill="1" applyBorder="1" applyAlignment="1">
      <alignment vertical="center"/>
    </xf>
    <xf numFmtId="0" fontId="30" fillId="3" borderId="20" xfId="0" applyFont="1" applyFill="1" applyBorder="1" applyAlignment="1">
      <alignment vertical="center"/>
    </xf>
    <xf numFmtId="0" fontId="30" fillId="0" borderId="19" xfId="5" quotePrefix="1" applyFont="1" applyBorder="1" applyAlignment="1">
      <alignment horizontal="center" vertical="center"/>
    </xf>
    <xf numFmtId="0" fontId="30" fillId="8" borderId="19" xfId="10" applyFont="1" applyFill="1" applyBorder="1" applyAlignment="1">
      <alignment horizontal="center" vertical="center"/>
    </xf>
    <xf numFmtId="0" fontId="30" fillId="0" borderId="37" xfId="5" quotePrefix="1" applyFont="1" applyBorder="1" applyAlignment="1">
      <alignment horizontal="center" vertical="center"/>
    </xf>
    <xf numFmtId="167" fontId="32" fillId="0" borderId="37" xfId="5" applyNumberFormat="1" applyFont="1" applyBorder="1" applyAlignment="1">
      <alignment horizontal="left" vertical="center"/>
    </xf>
    <xf numFmtId="167" fontId="32" fillId="0" borderId="37" xfId="5" applyNumberFormat="1" applyFont="1" applyBorder="1" applyAlignment="1">
      <alignment horizontal="center" vertical="center"/>
    </xf>
    <xf numFmtId="0" fontId="30" fillId="8" borderId="20" xfId="10" applyFont="1" applyFill="1" applyBorder="1" applyAlignment="1">
      <alignment horizontal="center" vertical="center"/>
    </xf>
    <xf numFmtId="168" fontId="32" fillId="0" borderId="20" xfId="5" applyNumberFormat="1" applyFont="1" applyBorder="1" applyAlignment="1">
      <alignment horizontal="center" vertical="center"/>
    </xf>
    <xf numFmtId="169" fontId="32" fillId="0" borderId="20" xfId="6" quotePrefix="1" applyNumberFormat="1" applyFont="1" applyFill="1" applyBorder="1" applyAlignment="1" applyProtection="1">
      <alignment horizontal="center" vertical="center"/>
    </xf>
    <xf numFmtId="167" fontId="32" fillId="0" borderId="20" xfId="5" applyNumberFormat="1" applyFont="1" applyBorder="1" applyAlignment="1">
      <alignment horizontal="left" vertical="center"/>
    </xf>
    <xf numFmtId="0" fontId="32" fillId="0" borderId="20" xfId="10" applyFont="1" applyBorder="1" applyAlignment="1">
      <alignment horizontal="center" vertical="center"/>
    </xf>
    <xf numFmtId="0" fontId="30" fillId="0" borderId="20" xfId="10" applyFont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28" fillId="0" borderId="38" xfId="6" applyFont="1" applyFill="1" applyBorder="1" applyAlignment="1" applyProtection="1">
      <alignment horizontal="left" vertical="center"/>
    </xf>
    <xf numFmtId="164" fontId="28" fillId="0" borderId="37" xfId="6" applyFont="1" applyFill="1" applyBorder="1" applyAlignment="1" applyProtection="1">
      <alignment horizontal="left" vertical="center"/>
    </xf>
    <xf numFmtId="164" fontId="12" fillId="0" borderId="0" xfId="5" applyNumberFormat="1" applyFont="1" applyAlignment="1">
      <alignment vertical="center"/>
    </xf>
    <xf numFmtId="164" fontId="14" fillId="13" borderId="20" xfId="6" applyFont="1" applyFill="1" applyBorder="1" applyAlignment="1" applyProtection="1">
      <alignment horizontal="left" vertical="center"/>
    </xf>
    <xf numFmtId="164" fontId="14" fillId="14" borderId="19" xfId="6" applyFont="1" applyFill="1" applyBorder="1" applyAlignment="1" applyProtection="1">
      <alignment horizontal="left" vertical="center"/>
    </xf>
    <xf numFmtId="164" fontId="14" fillId="14" borderId="20" xfId="6" applyFont="1" applyFill="1" applyBorder="1" applyAlignment="1" applyProtection="1">
      <alignment horizontal="left" vertical="center"/>
    </xf>
    <xf numFmtId="1" fontId="12" fillId="0" borderId="0" xfId="5" applyNumberFormat="1" applyFont="1" applyAlignment="1">
      <alignment vertical="center"/>
    </xf>
    <xf numFmtId="3" fontId="12" fillId="0" borderId="0" xfId="5" applyNumberFormat="1" applyFont="1" applyAlignment="1">
      <alignment vertical="center"/>
    </xf>
    <xf numFmtId="0" fontId="10" fillId="10" borderId="21" xfId="5" quotePrefix="1" applyFill="1" applyBorder="1" applyAlignment="1">
      <alignment horizontal="center" vertical="center"/>
    </xf>
    <xf numFmtId="0" fontId="10" fillId="10" borderId="22" xfId="5" quotePrefix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10" fillId="10" borderId="0" xfId="5" applyNumberFormat="1" applyFill="1" applyAlignment="1">
      <alignment vertical="center"/>
    </xf>
    <xf numFmtId="0" fontId="10" fillId="10" borderId="0" xfId="5" applyFill="1" applyAlignment="1">
      <alignment vertical="center"/>
    </xf>
    <xf numFmtId="164" fontId="14" fillId="8" borderId="43" xfId="6" applyFont="1" applyFill="1" applyBorder="1" applyAlignment="1" applyProtection="1">
      <alignment horizontal="left" vertical="center"/>
    </xf>
    <xf numFmtId="0" fontId="10" fillId="0" borderId="44" xfId="5" applyBorder="1" applyAlignment="1">
      <alignment horizontal="center" vertical="center" wrapText="1"/>
    </xf>
    <xf numFmtId="0" fontId="10" fillId="0" borderId="45" xfId="5" applyBorder="1" applyAlignment="1">
      <alignment horizontal="center" vertical="center"/>
    </xf>
    <xf numFmtId="164" fontId="14" fillId="0" borderId="22" xfId="6" applyFont="1" applyFill="1" applyBorder="1" applyAlignment="1" applyProtection="1">
      <alignment horizontal="left" vertical="center"/>
    </xf>
    <xf numFmtId="164" fontId="10" fillId="0" borderId="46" xfId="5" applyNumberFormat="1" applyBorder="1" applyAlignment="1">
      <alignment vertical="center"/>
    </xf>
    <xf numFmtId="164" fontId="10" fillId="0" borderId="47" xfId="5" applyNumberFormat="1" applyBorder="1" applyAlignment="1">
      <alignment vertical="center"/>
    </xf>
    <xf numFmtId="164" fontId="10" fillId="0" borderId="48" xfId="5" applyNumberFormat="1" applyBorder="1" applyAlignment="1">
      <alignment vertical="center"/>
    </xf>
    <xf numFmtId="164" fontId="10" fillId="0" borderId="40" xfId="5" applyNumberFormat="1" applyBorder="1" applyAlignment="1">
      <alignment vertical="center"/>
    </xf>
    <xf numFmtId="164" fontId="14" fillId="8" borderId="49" xfId="6" applyFont="1" applyFill="1" applyBorder="1" applyAlignment="1" applyProtection="1">
      <alignment horizontal="left" vertical="center"/>
    </xf>
    <xf numFmtId="164" fontId="14" fillId="8" borderId="50" xfId="6" applyFont="1" applyFill="1" applyBorder="1" applyAlignment="1" applyProtection="1">
      <alignment horizontal="left" vertical="center"/>
    </xf>
    <xf numFmtId="164" fontId="10" fillId="0" borderId="51" xfId="5" applyNumberFormat="1" applyBorder="1" applyAlignment="1">
      <alignment vertical="center"/>
    </xf>
    <xf numFmtId="164" fontId="10" fillId="0" borderId="52" xfId="5" applyNumberFormat="1" applyBorder="1" applyAlignment="1">
      <alignment vertical="center"/>
    </xf>
    <xf numFmtId="164" fontId="12" fillId="0" borderId="53" xfId="5" applyNumberFormat="1" applyFont="1" applyBorder="1" applyAlignment="1">
      <alignment vertical="center"/>
    </xf>
    <xf numFmtId="164" fontId="12" fillId="0" borderId="12" xfId="5" applyNumberFormat="1" applyFont="1" applyBorder="1" applyAlignment="1">
      <alignment vertical="center"/>
    </xf>
    <xf numFmtId="0" fontId="10" fillId="0" borderId="0" xfId="5" applyAlignment="1">
      <alignment horizontal="center" vertical="center"/>
    </xf>
    <xf numFmtId="166" fontId="10" fillId="0" borderId="0" xfId="11" applyNumberFormat="1"/>
    <xf numFmtId="166" fontId="10" fillId="0" borderId="0" xfId="5" applyNumberFormat="1" applyAlignment="1">
      <alignment vertical="center"/>
    </xf>
    <xf numFmtId="164" fontId="14" fillId="10" borderId="19" xfId="6" applyFont="1" applyFill="1" applyBorder="1" applyAlignment="1" applyProtection="1">
      <alignment horizontal="left" vertical="center"/>
    </xf>
    <xf numFmtId="164" fontId="14" fillId="10" borderId="20" xfId="6" applyFont="1" applyFill="1" applyBorder="1" applyAlignment="1" applyProtection="1">
      <alignment horizontal="left" vertical="center"/>
    </xf>
    <xf numFmtId="164" fontId="14" fillId="15" borderId="19" xfId="6" applyFont="1" applyFill="1" applyBorder="1" applyAlignment="1" applyProtection="1">
      <alignment horizontal="left" vertical="center"/>
    </xf>
    <xf numFmtId="164" fontId="14" fillId="15" borderId="20" xfId="6" applyFont="1" applyFill="1" applyBorder="1" applyAlignment="1" applyProtection="1">
      <alignment horizontal="left" vertical="center"/>
    </xf>
    <xf numFmtId="0" fontId="33" fillId="0" borderId="0" xfId="5" applyFont="1" applyAlignment="1">
      <alignment horizontal="center" vertical="center"/>
    </xf>
    <xf numFmtId="164" fontId="12" fillId="0" borderId="3" xfId="5" applyNumberFormat="1" applyFont="1" applyBorder="1" applyAlignment="1">
      <alignment vertical="center"/>
    </xf>
    <xf numFmtId="164" fontId="12" fillId="0" borderId="0" xfId="5" applyNumberFormat="1" applyFont="1"/>
    <xf numFmtId="164" fontId="14" fillId="0" borderId="0" xfId="6" applyFont="1" applyFill="1" applyBorder="1" applyAlignment="1" applyProtection="1">
      <alignment horizontal="left" vertical="center"/>
    </xf>
    <xf numFmtId="3" fontId="12" fillId="0" borderId="3" xfId="5" applyNumberFormat="1" applyFont="1" applyBorder="1" applyAlignment="1">
      <alignment vertical="center"/>
    </xf>
    <xf numFmtId="164" fontId="14" fillId="12" borderId="20" xfId="6" applyFont="1" applyFill="1" applyBorder="1" applyAlignment="1" applyProtection="1">
      <alignment horizontal="left" vertical="center"/>
    </xf>
    <xf numFmtId="164" fontId="14" fillId="12" borderId="37" xfId="6" applyFont="1" applyFill="1" applyBorder="1" applyAlignment="1" applyProtection="1">
      <alignment horizontal="left" vertical="center"/>
    </xf>
    <xf numFmtId="164" fontId="10" fillId="12" borderId="0" xfId="5" applyNumberFormat="1" applyFill="1" applyAlignment="1">
      <alignment vertical="center"/>
    </xf>
    <xf numFmtId="164" fontId="14" fillId="16" borderId="20" xfId="6" applyFont="1" applyFill="1" applyBorder="1" applyAlignment="1" applyProtection="1">
      <alignment horizontal="left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33" fillId="0" borderId="0" xfId="5" applyFont="1" applyAlignment="1">
      <alignment vertical="center"/>
    </xf>
    <xf numFmtId="164" fontId="12" fillId="0" borderId="3" xfId="5" applyNumberFormat="1" applyFont="1" applyBorder="1" applyAlignment="1">
      <alignment horizontal="center" vertical="center"/>
    </xf>
    <xf numFmtId="0" fontId="12" fillId="2" borderId="54" xfId="6" applyNumberFormat="1" applyFont="1" applyFill="1" applyBorder="1" applyAlignment="1">
      <alignment horizontal="center" vertical="center" wrapText="1"/>
    </xf>
    <xf numFmtId="164" fontId="14" fillId="8" borderId="55" xfId="6" applyFont="1" applyFill="1" applyBorder="1" applyAlignment="1" applyProtection="1">
      <alignment horizontal="left" vertical="center"/>
    </xf>
    <xf numFmtId="164" fontId="14" fillId="8" borderId="56" xfId="6" applyFont="1" applyFill="1" applyBorder="1" applyAlignment="1" applyProtection="1">
      <alignment horizontal="left" vertical="center"/>
    </xf>
    <xf numFmtId="164" fontId="14" fillId="8" borderId="57" xfId="6" applyFont="1" applyFill="1" applyBorder="1" applyAlignment="1" applyProtection="1">
      <alignment horizontal="left" vertical="center"/>
    </xf>
    <xf numFmtId="0" fontId="12" fillId="2" borderId="58" xfId="6" applyNumberFormat="1" applyFont="1" applyFill="1" applyBorder="1" applyAlignment="1">
      <alignment horizontal="center" vertical="center" wrapText="1"/>
    </xf>
    <xf numFmtId="164" fontId="14" fillId="8" borderId="59" xfId="6" applyFont="1" applyFill="1" applyBorder="1" applyAlignment="1" applyProtection="1">
      <alignment horizontal="left" vertical="center"/>
    </xf>
    <xf numFmtId="164" fontId="14" fillId="8" borderId="60" xfId="6" applyFont="1" applyFill="1" applyBorder="1" applyAlignment="1" applyProtection="1">
      <alignment horizontal="left" vertical="center"/>
    </xf>
    <xf numFmtId="164" fontId="14" fillId="8" borderId="61" xfId="6" applyFont="1" applyFill="1" applyBorder="1" applyAlignment="1" applyProtection="1">
      <alignment horizontal="left" vertical="center"/>
    </xf>
    <xf numFmtId="166" fontId="12" fillId="16" borderId="3" xfId="3" applyNumberFormat="1" applyFont="1" applyFill="1" applyBorder="1" applyAlignment="1">
      <alignment vertical="center"/>
    </xf>
    <xf numFmtId="3" fontId="12" fillId="10" borderId="62" xfId="5" applyNumberFormat="1" applyFont="1" applyFill="1" applyBorder="1" applyAlignment="1">
      <alignment vertical="center"/>
    </xf>
    <xf numFmtId="164" fontId="14" fillId="0" borderId="63" xfId="6" applyFont="1" applyFill="1" applyBorder="1" applyAlignment="1" applyProtection="1">
      <alignment horizontal="left" vertical="center"/>
    </xf>
    <xf numFmtId="164" fontId="14" fillId="0" borderId="42" xfId="6" applyFont="1" applyFill="1" applyBorder="1" applyAlignment="1" applyProtection="1">
      <alignment horizontal="left" vertical="center"/>
    </xf>
    <xf numFmtId="0" fontId="30" fillId="12" borderId="20" xfId="0" applyFont="1" applyFill="1" applyBorder="1" applyAlignment="1">
      <alignment vertical="center"/>
    </xf>
    <xf numFmtId="166" fontId="12" fillId="10" borderId="3" xfId="3" applyNumberFormat="1" applyFont="1" applyFill="1" applyBorder="1" applyAlignment="1">
      <alignment vertical="center"/>
    </xf>
    <xf numFmtId="164" fontId="12" fillId="0" borderId="1" xfId="5" applyNumberFormat="1" applyFont="1" applyBorder="1" applyAlignment="1">
      <alignment vertical="center"/>
    </xf>
    <xf numFmtId="3" fontId="12" fillId="0" borderId="64" xfId="5" applyNumberFormat="1" applyFont="1" applyBorder="1" applyAlignment="1">
      <alignment vertical="center"/>
    </xf>
    <xf numFmtId="0" fontId="30" fillId="12" borderId="37" xfId="5" quotePrefix="1" applyFont="1" applyFill="1" applyBorder="1" applyAlignment="1">
      <alignment horizontal="center" vertical="center"/>
    </xf>
    <xf numFmtId="164" fontId="14" fillId="10" borderId="37" xfId="6" applyFont="1" applyFill="1" applyBorder="1" applyAlignment="1" applyProtection="1">
      <alignment horizontal="left" vertical="center"/>
    </xf>
    <xf numFmtId="164" fontId="28" fillId="10" borderId="20" xfId="6" applyFont="1" applyFill="1" applyBorder="1" applyAlignment="1" applyProtection="1">
      <alignment horizontal="left" vertical="center"/>
    </xf>
    <xf numFmtId="0" fontId="30" fillId="3" borderId="21" xfId="0" applyFont="1" applyFill="1" applyBorder="1" applyAlignment="1">
      <alignment vertical="center"/>
    </xf>
    <xf numFmtId="167" fontId="14" fillId="0" borderId="14" xfId="5" applyNumberFormat="1" applyFont="1" applyBorder="1" applyAlignment="1">
      <alignment horizontal="center" vertical="center"/>
    </xf>
    <xf numFmtId="0" fontId="30" fillId="8" borderId="21" xfId="10" applyFont="1" applyFill="1" applyBorder="1" applyAlignment="1">
      <alignment horizontal="center" vertical="center"/>
    </xf>
    <xf numFmtId="164" fontId="14" fillId="0" borderId="21" xfId="6" applyFont="1" applyFill="1" applyBorder="1" applyAlignment="1" applyProtection="1">
      <alignment horizontal="left" vertical="center"/>
    </xf>
    <xf numFmtId="10" fontId="14" fillId="8" borderId="21" xfId="6" applyNumberFormat="1" applyFont="1" applyFill="1" applyBorder="1" applyAlignment="1" applyProtection="1">
      <alignment horizontal="center" vertical="center"/>
    </xf>
    <xf numFmtId="166" fontId="12" fillId="2" borderId="27" xfId="3" applyNumberFormat="1" applyFont="1" applyFill="1" applyBorder="1" applyAlignment="1">
      <alignment vertical="center"/>
    </xf>
    <xf numFmtId="0" fontId="30" fillId="0" borderId="20" xfId="5" quotePrefix="1" applyFont="1" applyBorder="1" applyAlignment="1">
      <alignment horizontal="center" vertical="center"/>
    </xf>
    <xf numFmtId="164" fontId="14" fillId="10" borderId="21" xfId="6" applyFont="1" applyFill="1" applyBorder="1" applyAlignment="1" applyProtection="1">
      <alignment horizontal="left" vertical="center"/>
    </xf>
    <xf numFmtId="0" fontId="30" fillId="3" borderId="35" xfId="0" applyFont="1" applyFill="1" applyBorder="1" applyAlignment="1">
      <alignment vertical="center"/>
    </xf>
    <xf numFmtId="0" fontId="12" fillId="2" borderId="66" xfId="5" quotePrefix="1" applyFont="1" applyFill="1" applyBorder="1" applyAlignment="1">
      <alignment vertical="center"/>
    </xf>
    <xf numFmtId="0" fontId="12" fillId="2" borderId="67" xfId="5" quotePrefix="1" applyFont="1" applyFill="1" applyBorder="1" applyAlignment="1">
      <alignment vertical="center"/>
    </xf>
    <xf numFmtId="0" fontId="30" fillId="8" borderId="68" xfId="10" applyFont="1" applyFill="1" applyBorder="1" applyAlignment="1">
      <alignment horizontal="center" vertical="center"/>
    </xf>
    <xf numFmtId="166" fontId="12" fillId="2" borderId="65" xfId="3" applyNumberFormat="1" applyFont="1" applyFill="1" applyBorder="1" applyAlignment="1">
      <alignment vertical="center"/>
    </xf>
    <xf numFmtId="164" fontId="10" fillId="0" borderId="0" xfId="6" applyFont="1" applyFill="1" applyAlignment="1">
      <alignment horizontal="center" vertical="center"/>
    </xf>
    <xf numFmtId="166" fontId="22" fillId="3" borderId="21" xfId="3" quotePrefix="1" applyNumberFormat="1" applyFont="1" applyFill="1" applyBorder="1" applyAlignment="1">
      <alignment horizontal="right" vertical="center"/>
    </xf>
    <xf numFmtId="0" fontId="10" fillId="0" borderId="70" xfId="10" applyBorder="1" applyAlignment="1">
      <alignment horizontal="center" vertical="center"/>
    </xf>
    <xf numFmtId="0" fontId="12" fillId="2" borderId="15" xfId="5" quotePrefix="1" applyFont="1" applyFill="1" applyBorder="1" applyAlignment="1">
      <alignment vertical="center"/>
    </xf>
    <xf numFmtId="0" fontId="10" fillId="0" borderId="0" xfId="5" applyFont="1" applyAlignment="1">
      <alignment vertical="center"/>
    </xf>
    <xf numFmtId="0" fontId="34" fillId="0" borderId="7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164" fontId="12" fillId="0" borderId="65" xfId="5" applyNumberFormat="1" applyFont="1" applyBorder="1" applyAlignment="1">
      <alignment vertical="center"/>
    </xf>
    <xf numFmtId="164" fontId="14" fillId="10" borderId="42" xfId="6" applyFont="1" applyFill="1" applyBorder="1" applyAlignment="1" applyProtection="1">
      <alignment horizontal="left" vertical="center"/>
    </xf>
    <xf numFmtId="0" fontId="34" fillId="10" borderId="20" xfId="0" applyFont="1" applyFill="1" applyBorder="1" applyAlignment="1">
      <alignment vertical="center"/>
    </xf>
    <xf numFmtId="0" fontId="34" fillId="0" borderId="20" xfId="0" applyFont="1" applyBorder="1" applyAlignment="1">
      <alignment vertical="center"/>
    </xf>
    <xf numFmtId="169" fontId="22" fillId="10" borderId="35" xfId="3" quotePrefix="1" applyNumberFormat="1" applyFont="1" applyFill="1" applyBorder="1" applyAlignment="1">
      <alignment horizontal="center" vertical="center"/>
    </xf>
    <xf numFmtId="169" fontId="22" fillId="3" borderId="19" xfId="3" applyNumberFormat="1" applyFont="1" applyFill="1" applyBorder="1" applyAlignment="1">
      <alignment horizontal="center" vertical="center"/>
    </xf>
    <xf numFmtId="169" fontId="22" fillId="3" borderId="20" xfId="3" applyNumberFormat="1" applyFont="1" applyFill="1" applyBorder="1" applyAlignment="1">
      <alignment horizontal="center" vertical="center"/>
    </xf>
    <xf numFmtId="169" fontId="22" fillId="10" borderId="20" xfId="3" applyNumberFormat="1" applyFont="1" applyFill="1" applyBorder="1" applyAlignment="1">
      <alignment horizontal="center" vertical="center"/>
    </xf>
    <xf numFmtId="169" fontId="22" fillId="10" borderId="21" xfId="3" applyNumberFormat="1" applyFont="1" applyFill="1" applyBorder="1" applyAlignment="1">
      <alignment horizontal="center" vertical="center"/>
    </xf>
    <xf numFmtId="0" fontId="22" fillId="10" borderId="69" xfId="3" applyNumberFormat="1" applyFont="1" applyFill="1" applyBorder="1" applyAlignment="1">
      <alignment horizontal="center" vertical="center"/>
    </xf>
    <xf numFmtId="0" fontId="35" fillId="10" borderId="20" xfId="0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0" fillId="17" borderId="20" xfId="5" quotePrefix="1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vertical="center"/>
    </xf>
    <xf numFmtId="166" fontId="22" fillId="17" borderId="20" xfId="3" applyNumberFormat="1" applyFont="1" applyFill="1" applyBorder="1" applyAlignment="1">
      <alignment horizontal="right" vertical="center"/>
    </xf>
    <xf numFmtId="169" fontId="22" fillId="17" borderId="20" xfId="3" applyNumberFormat="1" applyFont="1" applyFill="1" applyBorder="1" applyAlignment="1">
      <alignment horizontal="center" vertical="center"/>
    </xf>
    <xf numFmtId="0" fontId="34" fillId="17" borderId="14" xfId="0" applyFont="1" applyFill="1" applyBorder="1" applyAlignment="1">
      <alignment vertical="center"/>
    </xf>
    <xf numFmtId="167" fontId="14" fillId="17" borderId="37" xfId="5" applyNumberFormat="1" applyFont="1" applyFill="1" applyBorder="1" applyAlignment="1">
      <alignment horizontal="center" vertical="center"/>
    </xf>
    <xf numFmtId="0" fontId="14" fillId="17" borderId="37" xfId="10" applyFont="1" applyFill="1" applyBorder="1" applyAlignment="1">
      <alignment horizontal="center" vertical="center"/>
    </xf>
    <xf numFmtId="0" fontId="10" fillId="17" borderId="37" xfId="10" applyFill="1" applyBorder="1" applyAlignment="1">
      <alignment horizontal="center" vertical="center"/>
    </xf>
    <xf numFmtId="0" fontId="30" fillId="17" borderId="20" xfId="10" applyFont="1" applyFill="1" applyBorder="1" applyAlignment="1">
      <alignment horizontal="center" vertical="center"/>
    </xf>
    <xf numFmtId="164" fontId="14" fillId="17" borderId="20" xfId="6" applyFont="1" applyFill="1" applyBorder="1" applyAlignment="1" applyProtection="1">
      <alignment horizontal="left" vertical="center"/>
    </xf>
    <xf numFmtId="164" fontId="14" fillId="17" borderId="37" xfId="6" applyFont="1" applyFill="1" applyBorder="1" applyAlignment="1" applyProtection="1">
      <alignment horizontal="left" vertical="center"/>
    </xf>
    <xf numFmtId="10" fontId="14" fillId="17" borderId="20" xfId="6" applyNumberFormat="1" applyFont="1" applyFill="1" applyBorder="1" applyAlignment="1" applyProtection="1">
      <alignment horizontal="center" vertical="center"/>
    </xf>
    <xf numFmtId="0" fontId="10" fillId="17" borderId="33" xfId="10" applyFill="1" applyBorder="1" applyAlignment="1">
      <alignment horizontal="center" vertical="center"/>
    </xf>
    <xf numFmtId="0" fontId="27" fillId="3" borderId="31" xfId="0" applyFont="1" applyFill="1" applyBorder="1" applyAlignment="1">
      <alignment vertical="center"/>
    </xf>
    <xf numFmtId="0" fontId="27" fillId="10" borderId="20" xfId="0" applyFont="1" applyFill="1" applyBorder="1" applyAlignment="1">
      <alignment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 wrapText="1"/>
    </xf>
    <xf numFmtId="164" fontId="12" fillId="2" borderId="11" xfId="6" applyFont="1" applyFill="1" applyBorder="1" applyAlignment="1">
      <alignment horizontal="center" vertical="center" wrapText="1"/>
    </xf>
    <xf numFmtId="169" fontId="14" fillId="0" borderId="19" xfId="5" applyNumberFormat="1" applyFont="1" applyBorder="1" applyAlignment="1">
      <alignment horizontal="center" vertical="center"/>
    </xf>
    <xf numFmtId="10" fontId="14" fillId="8" borderId="19" xfId="6" applyNumberFormat="1" applyFont="1" applyFill="1" applyBorder="1" applyAlignment="1" applyProtection="1">
      <alignment horizontal="center" vertical="center"/>
    </xf>
    <xf numFmtId="164" fontId="14" fillId="8" borderId="30" xfId="6" applyFont="1" applyFill="1" applyBorder="1" applyAlignment="1" applyProtection="1">
      <alignment horizontal="left" vertical="center"/>
    </xf>
    <xf numFmtId="38" fontId="14" fillId="0" borderId="32" xfId="6" applyNumberFormat="1" applyFont="1" applyFill="1" applyBorder="1" applyAlignment="1" applyProtection="1">
      <alignment horizontal="right" vertical="center"/>
    </xf>
    <xf numFmtId="10" fontId="10" fillId="0" borderId="0" xfId="5" applyNumberFormat="1" applyAlignment="1">
      <alignment vertical="center"/>
    </xf>
    <xf numFmtId="169" fontId="14" fillId="0" borderId="20" xfId="5" applyNumberFormat="1" applyFont="1" applyBorder="1" applyAlignment="1">
      <alignment horizontal="center" vertical="center"/>
    </xf>
    <xf numFmtId="164" fontId="10" fillId="0" borderId="70" xfId="6" applyFont="1" applyFill="1" applyBorder="1" applyAlignment="1">
      <alignment vertical="center"/>
    </xf>
    <xf numFmtId="164" fontId="14" fillId="8" borderId="35" xfId="6" applyFont="1" applyFill="1" applyBorder="1" applyAlignment="1" applyProtection="1">
      <alignment horizontal="left" vertical="center"/>
    </xf>
    <xf numFmtId="164" fontId="10" fillId="0" borderId="0" xfId="5" applyNumberFormat="1"/>
    <xf numFmtId="0" fontId="36" fillId="0" borderId="0" xfId="0" applyFont="1" applyFill="1"/>
    <xf numFmtId="0" fontId="24" fillId="0" borderId="0" xfId="0" applyFont="1" applyFill="1"/>
    <xf numFmtId="0" fontId="37" fillId="0" borderId="0" xfId="0" applyFont="1" applyFill="1"/>
    <xf numFmtId="0" fontId="0" fillId="0" borderId="0" xfId="0" applyFill="1"/>
    <xf numFmtId="0" fontId="38" fillId="0" borderId="0" xfId="0" applyFont="1" applyFill="1" applyAlignment="1"/>
    <xf numFmtId="0" fontId="39" fillId="0" borderId="0" xfId="0" applyFont="1" applyFill="1" applyAlignment="1"/>
    <xf numFmtId="0" fontId="40" fillId="0" borderId="7" xfId="0" applyFont="1" applyFill="1" applyBorder="1" applyAlignment="1">
      <alignment horizontal="center" vertical="center"/>
    </xf>
    <xf numFmtId="0" fontId="36" fillId="0" borderId="78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center" vertical="center"/>
    </xf>
    <xf numFmtId="0" fontId="36" fillId="0" borderId="80" xfId="0" applyFont="1" applyFill="1" applyBorder="1" applyAlignment="1">
      <alignment horizontal="center" vertical="center"/>
    </xf>
    <xf numFmtId="0" fontId="41" fillId="0" borderId="0" xfId="0" applyFont="1" applyFill="1" applyAlignment="1"/>
    <xf numFmtId="0" fontId="0" fillId="0" borderId="0" xfId="0" applyFill="1" applyAlignment="1"/>
    <xf numFmtId="0" fontId="40" fillId="0" borderId="82" xfId="0" applyFont="1" applyFill="1" applyBorder="1" applyAlignment="1">
      <alignment horizontal="center" vertical="center"/>
    </xf>
    <xf numFmtId="0" fontId="36" fillId="0" borderId="83" xfId="0" applyFont="1" applyFill="1" applyBorder="1" applyAlignment="1">
      <alignment horizontal="center" vertical="center"/>
    </xf>
    <xf numFmtId="0" fontId="41" fillId="0" borderId="0" xfId="0" applyFont="1" applyFill="1"/>
    <xf numFmtId="0" fontId="36" fillId="0" borderId="84" xfId="0" applyFont="1" applyFill="1" applyBorder="1" applyAlignment="1">
      <alignment horizontal="center"/>
    </xf>
    <xf numFmtId="0" fontId="42" fillId="0" borderId="85" xfId="0" applyFont="1" applyFill="1" applyBorder="1" applyAlignment="1">
      <alignment horizontal="left" vertical="center"/>
    </xf>
    <xf numFmtId="0" fontId="43" fillId="0" borderId="85" xfId="0" applyFont="1" applyFill="1" applyBorder="1" applyAlignment="1">
      <alignment horizontal="center" vertical="center"/>
    </xf>
    <xf numFmtId="3" fontId="36" fillId="0" borderId="85" xfId="0" applyNumberFormat="1" applyFont="1" applyFill="1" applyBorder="1"/>
    <xf numFmtId="166" fontId="22" fillId="0" borderId="85" xfId="3" applyNumberFormat="1" applyFont="1" applyFill="1" applyBorder="1" applyAlignment="1">
      <alignment vertical="center"/>
    </xf>
    <xf numFmtId="3" fontId="22" fillId="0" borderId="85" xfId="0" applyNumberFormat="1" applyFont="1" applyFill="1" applyBorder="1"/>
    <xf numFmtId="166" fontId="43" fillId="0" borderId="85" xfId="3" applyNumberFormat="1" applyFont="1" applyFill="1" applyBorder="1" applyAlignment="1">
      <alignment vertical="center"/>
    </xf>
    <xf numFmtId="166" fontId="43" fillId="0" borderId="21" xfId="3" applyNumberFormat="1" applyFont="1" applyFill="1" applyBorder="1" applyAlignment="1">
      <alignment vertical="center"/>
    </xf>
    <xf numFmtId="166" fontId="22" fillId="0" borderId="20" xfId="3" applyNumberFormat="1" applyFont="1" applyFill="1" applyBorder="1"/>
    <xf numFmtId="3" fontId="36" fillId="0" borderId="86" xfId="0" applyNumberFormat="1" applyFont="1" applyFill="1" applyBorder="1"/>
    <xf numFmtId="0" fontId="36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/>
    </xf>
    <xf numFmtId="166" fontId="43" fillId="0" borderId="1" xfId="0" applyNumberFormat="1" applyFont="1" applyFill="1" applyBorder="1" applyAlignment="1">
      <alignment horizontal="center" vertical="center"/>
    </xf>
    <xf numFmtId="3" fontId="36" fillId="0" borderId="1" xfId="0" applyNumberFormat="1" applyFont="1" applyFill="1" applyBorder="1"/>
    <xf numFmtId="166" fontId="22" fillId="0" borderId="1" xfId="3" applyNumberFormat="1" applyFont="1" applyFill="1" applyBorder="1" applyAlignment="1">
      <alignment vertical="center"/>
    </xf>
    <xf numFmtId="3" fontId="22" fillId="0" borderId="1" xfId="0" applyNumberFormat="1" applyFont="1" applyFill="1" applyBorder="1"/>
    <xf numFmtId="166" fontId="43" fillId="0" borderId="1" xfId="3" applyNumberFormat="1" applyFont="1" applyFill="1" applyBorder="1" applyAlignment="1">
      <alignment vertical="center"/>
    </xf>
    <xf numFmtId="3" fontId="36" fillId="0" borderId="40" xfId="0" applyNumberFormat="1" applyFont="1" applyFill="1" applyBorder="1"/>
    <xf numFmtId="0" fontId="42" fillId="0" borderId="1" xfId="0" applyFont="1" applyFill="1" applyBorder="1" applyAlignment="1">
      <alignment horizontal="center" vertical="center"/>
    </xf>
    <xf numFmtId="3" fontId="36" fillId="0" borderId="20" xfId="0" applyNumberFormat="1" applyFont="1" applyFill="1" applyBorder="1"/>
    <xf numFmtId="0" fontId="43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vertical="center"/>
    </xf>
    <xf numFmtId="0" fontId="36" fillId="0" borderId="79" xfId="0" applyFont="1" applyFill="1" applyBorder="1" applyAlignment="1">
      <alignment horizontal="center"/>
    </xf>
    <xf numFmtId="0" fontId="43" fillId="0" borderId="79" xfId="0" applyFont="1" applyFill="1" applyBorder="1" applyAlignment="1">
      <alignment vertical="center"/>
    </xf>
    <xf numFmtId="0" fontId="43" fillId="0" borderId="79" xfId="0" applyFont="1" applyFill="1" applyBorder="1" applyAlignment="1">
      <alignment horizontal="center" vertical="center"/>
    </xf>
    <xf numFmtId="3" fontId="36" fillId="0" borderId="79" xfId="0" applyNumberFormat="1" applyFont="1" applyFill="1" applyBorder="1"/>
    <xf numFmtId="166" fontId="22" fillId="0" borderId="79" xfId="3" applyNumberFormat="1" applyFont="1" applyFill="1" applyBorder="1" applyAlignment="1">
      <alignment vertical="center"/>
    </xf>
    <xf numFmtId="3" fontId="22" fillId="0" borderId="79" xfId="0" applyNumberFormat="1" applyFont="1" applyFill="1" applyBorder="1"/>
    <xf numFmtId="166" fontId="43" fillId="0" borderId="79" xfId="3" applyNumberFormat="1" applyFont="1" applyFill="1" applyBorder="1" applyAlignment="1">
      <alignment vertical="center"/>
    </xf>
    <xf numFmtId="3" fontId="36" fillId="0" borderId="52" xfId="0" applyNumberFormat="1" applyFont="1" applyFill="1" applyBorder="1"/>
    <xf numFmtId="0" fontId="36" fillId="0" borderId="72" xfId="0" applyFont="1" applyFill="1" applyBorder="1" applyAlignment="1">
      <alignment horizontal="center"/>
    </xf>
    <xf numFmtId="3" fontId="36" fillId="0" borderId="14" xfId="0" applyNumberFormat="1" applyFont="1" applyFill="1" applyBorder="1"/>
    <xf numFmtId="0" fontId="43" fillId="0" borderId="14" xfId="0" applyFont="1" applyFill="1" applyBorder="1" applyAlignment="1">
      <alignment vertical="center"/>
    </xf>
    <xf numFmtId="0" fontId="43" fillId="0" borderId="14" xfId="0" applyFont="1" applyFill="1" applyBorder="1" applyAlignment="1">
      <alignment horizontal="center" vertical="center"/>
    </xf>
    <xf numFmtId="0" fontId="36" fillId="0" borderId="53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vertical="center"/>
    </xf>
    <xf numFmtId="166" fontId="38" fillId="0" borderId="8" xfId="0" applyNumberFormat="1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3" fontId="24" fillId="0" borderId="0" xfId="0" applyNumberFormat="1" applyFont="1" applyFill="1"/>
    <xf numFmtId="0" fontId="40" fillId="0" borderId="75" xfId="0" applyFont="1" applyFill="1" applyBorder="1" applyAlignment="1"/>
    <xf numFmtId="0" fontId="40" fillId="0" borderId="76" xfId="0" applyFont="1" applyFill="1" applyBorder="1" applyAlignment="1"/>
    <xf numFmtId="0" fontId="40" fillId="0" borderId="77" xfId="0" applyFont="1" applyFill="1" applyBorder="1" applyAlignment="1"/>
    <xf numFmtId="0" fontId="45" fillId="0" borderId="78" xfId="0" applyFont="1" applyFill="1" applyBorder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36" fillId="0" borderId="89" xfId="0" applyFont="1" applyFill="1" applyBorder="1" applyAlignment="1">
      <alignment horizontal="center" vertical="center"/>
    </xf>
    <xf numFmtId="0" fontId="45" fillId="0" borderId="80" xfId="0" applyFont="1" applyFill="1" applyBorder="1" applyAlignment="1">
      <alignment horizontal="center" vertical="center"/>
    </xf>
    <xf numFmtId="0" fontId="45" fillId="0" borderId="90" xfId="0" applyFont="1" applyFill="1" applyBorder="1" applyAlignment="1">
      <alignment horizontal="center" vertical="center"/>
    </xf>
    <xf numFmtId="0" fontId="36" fillId="0" borderId="73" xfId="0" applyFont="1" applyFill="1" applyBorder="1" applyAlignment="1">
      <alignment horizontal="center" vertical="center"/>
    </xf>
    <xf numFmtId="0" fontId="36" fillId="0" borderId="93" xfId="0" applyFont="1" applyFill="1" applyBorder="1" applyAlignment="1">
      <alignment horizontal="center" vertical="center"/>
    </xf>
    <xf numFmtId="9" fontId="45" fillId="0" borderId="80" xfId="0" applyNumberFormat="1" applyFont="1" applyFill="1" applyBorder="1" applyAlignment="1">
      <alignment horizontal="center"/>
    </xf>
    <xf numFmtId="9" fontId="45" fillId="0" borderId="27" xfId="0" applyNumberFormat="1" applyFont="1" applyFill="1" applyBorder="1" applyAlignment="1">
      <alignment horizontal="center"/>
    </xf>
    <xf numFmtId="0" fontId="36" fillId="0" borderId="94" xfId="0" applyFont="1" applyFill="1" applyBorder="1" applyAlignment="1">
      <alignment horizontal="center"/>
    </xf>
    <xf numFmtId="164" fontId="14" fillId="0" borderId="23" xfId="6" applyFont="1" applyFill="1" applyBorder="1" applyAlignment="1" applyProtection="1">
      <alignment horizontal="left" vertical="center"/>
    </xf>
    <xf numFmtId="166" fontId="43" fillId="0" borderId="85" xfId="3" applyNumberFormat="1" applyFont="1" applyFill="1" applyBorder="1" applyAlignment="1">
      <alignment horizontal="right"/>
    </xf>
    <xf numFmtId="3" fontId="45" fillId="0" borderId="85" xfId="0" applyNumberFormat="1" applyFont="1" applyFill="1" applyBorder="1" applyAlignment="1"/>
    <xf numFmtId="3" fontId="45" fillId="0" borderId="1" xfId="0" applyNumberFormat="1" applyFont="1" applyFill="1" applyBorder="1" applyAlignment="1"/>
    <xf numFmtId="3" fontId="45" fillId="0" borderId="95" xfId="0" applyNumberFormat="1" applyFont="1" applyFill="1" applyBorder="1" applyAlignment="1"/>
    <xf numFmtId="3" fontId="0" fillId="0" borderId="0" xfId="0" applyNumberFormat="1" applyFill="1"/>
    <xf numFmtId="164" fontId="14" fillId="0" borderId="1" xfId="6" applyFont="1" applyFill="1" applyBorder="1" applyAlignment="1" applyProtection="1">
      <alignment horizontal="left" vertical="center"/>
    </xf>
    <xf numFmtId="166" fontId="43" fillId="0" borderId="1" xfId="3" applyNumberFormat="1" applyFont="1" applyFill="1" applyBorder="1" applyAlignment="1">
      <alignment horizontal="right"/>
    </xf>
    <xf numFmtId="3" fontId="45" fillId="0" borderId="96" xfId="0" applyNumberFormat="1" applyFont="1" applyFill="1" applyBorder="1" applyAlignment="1"/>
    <xf numFmtId="0" fontId="42" fillId="0" borderId="79" xfId="0" applyFont="1" applyFill="1" applyBorder="1" applyAlignment="1">
      <alignment horizontal="left" vertical="center"/>
    </xf>
    <xf numFmtId="3" fontId="45" fillId="0" borderId="79" xfId="0" applyNumberFormat="1" applyFont="1" applyFill="1" applyBorder="1" applyAlignment="1"/>
    <xf numFmtId="3" fontId="45" fillId="0" borderId="97" xfId="0" applyNumberFormat="1" applyFont="1" applyFill="1" applyBorder="1" applyAlignment="1"/>
    <xf numFmtId="0" fontId="42" fillId="0" borderId="14" xfId="0" applyFont="1" applyFill="1" applyBorder="1" applyAlignment="1">
      <alignment horizontal="left" vertical="center"/>
    </xf>
    <xf numFmtId="3" fontId="36" fillId="0" borderId="87" xfId="0" applyNumberFormat="1" applyFont="1" applyFill="1" applyBorder="1"/>
    <xf numFmtId="3" fontId="45" fillId="0" borderId="14" xfId="0" applyNumberFormat="1" applyFont="1" applyFill="1" applyBorder="1" applyAlignment="1"/>
    <xf numFmtId="3" fontId="45" fillId="0" borderId="87" xfId="0" applyNumberFormat="1" applyFont="1" applyFill="1" applyBorder="1" applyAlignment="1"/>
    <xf numFmtId="0" fontId="24" fillId="0" borderId="8" xfId="0" applyFont="1" applyFill="1" applyBorder="1"/>
    <xf numFmtId="41" fontId="38" fillId="0" borderId="8" xfId="1" applyFont="1" applyFill="1" applyBorder="1"/>
    <xf numFmtId="164" fontId="0" fillId="0" borderId="0" xfId="0" applyNumberFormat="1" applyFill="1"/>
    <xf numFmtId="3" fontId="45" fillId="0" borderId="0" xfId="0" applyNumberFormat="1" applyFont="1" applyFill="1" applyBorder="1" applyAlignment="1"/>
    <xf numFmtId="3" fontId="37" fillId="0" borderId="0" xfId="0" applyNumberFormat="1" applyFont="1" applyFill="1"/>
    <xf numFmtId="0" fontId="46" fillId="0" borderId="0" xfId="0" applyFont="1" applyFill="1"/>
    <xf numFmtId="0" fontId="23" fillId="0" borderId="0" xfId="0" applyFont="1" applyFill="1"/>
    <xf numFmtId="0" fontId="47" fillId="0" borderId="0" xfId="0" applyFont="1" applyFill="1"/>
    <xf numFmtId="0" fontId="48" fillId="0" borderId="0" xfId="0" applyFont="1" applyFill="1"/>
    <xf numFmtId="0" fontId="49" fillId="0" borderId="0" xfId="0" applyFont="1" applyFill="1"/>
    <xf numFmtId="3" fontId="49" fillId="0" borderId="0" xfId="0" applyNumberFormat="1" applyFont="1" applyFill="1"/>
    <xf numFmtId="0" fontId="50" fillId="0" borderId="0" xfId="0" applyFont="1" applyFill="1"/>
    <xf numFmtId="0" fontId="23" fillId="0" borderId="7" xfId="0" applyFont="1" applyFill="1" applyBorder="1" applyAlignment="1">
      <alignment horizontal="center"/>
    </xf>
    <xf numFmtId="0" fontId="23" fillId="0" borderId="78" xfId="0" applyFont="1" applyFill="1" applyBorder="1" applyAlignment="1">
      <alignment horizontal="center"/>
    </xf>
    <xf numFmtId="0" fontId="23" fillId="0" borderId="79" xfId="0" applyFont="1" applyFill="1" applyBorder="1" applyAlignment="1">
      <alignment horizontal="center"/>
    </xf>
    <xf numFmtId="0" fontId="23" fillId="0" borderId="88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/>
    </xf>
    <xf numFmtId="0" fontId="23" fillId="0" borderId="80" xfId="0" applyFont="1" applyFill="1" applyBorder="1" applyAlignment="1">
      <alignment horizontal="center"/>
    </xf>
    <xf numFmtId="10" fontId="23" fillId="0" borderId="14" xfId="0" applyNumberFormat="1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 vertical="center"/>
    </xf>
    <xf numFmtId="9" fontId="23" fillId="0" borderId="14" xfId="0" applyNumberFormat="1" applyFont="1" applyFill="1" applyBorder="1" applyAlignment="1">
      <alignment horizontal="center"/>
    </xf>
    <xf numFmtId="9" fontId="23" fillId="0" borderId="73" xfId="0" applyNumberFormat="1" applyFont="1" applyFill="1" applyBorder="1" applyAlignment="1">
      <alignment horizontal="center"/>
    </xf>
    <xf numFmtId="0" fontId="36" fillId="0" borderId="98" xfId="0" applyFont="1" applyFill="1" applyBorder="1" applyAlignment="1">
      <alignment horizontal="center"/>
    </xf>
    <xf numFmtId="3" fontId="51" fillId="0" borderId="85" xfId="0" applyNumberFormat="1" applyFont="1" applyFill="1" applyBorder="1"/>
    <xf numFmtId="3" fontId="45" fillId="0" borderId="85" xfId="0" applyNumberFormat="1" applyFont="1" applyFill="1" applyBorder="1"/>
    <xf numFmtId="3" fontId="45" fillId="0" borderId="99" xfId="0" applyNumberFormat="1" applyFont="1" applyFill="1" applyBorder="1"/>
    <xf numFmtId="3" fontId="51" fillId="0" borderId="1" xfId="0" applyNumberFormat="1" applyFont="1" applyFill="1" applyBorder="1"/>
    <xf numFmtId="3" fontId="45" fillId="0" borderId="1" xfId="0" applyNumberFormat="1" applyFont="1" applyFill="1" applyBorder="1"/>
    <xf numFmtId="166" fontId="22" fillId="0" borderId="1" xfId="3" applyNumberFormat="1" applyFont="1" applyFill="1" applyBorder="1"/>
    <xf numFmtId="3" fontId="45" fillId="0" borderId="100" xfId="0" applyNumberFormat="1" applyFont="1" applyFill="1" applyBorder="1"/>
    <xf numFmtId="3" fontId="42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/>
    <xf numFmtId="0" fontId="0" fillId="0" borderId="0" xfId="0" applyFont="1" applyFill="1"/>
    <xf numFmtId="0" fontId="36" fillId="0" borderId="101" xfId="0" applyFont="1" applyFill="1" applyBorder="1" applyAlignment="1">
      <alignment horizontal="center"/>
    </xf>
    <xf numFmtId="0" fontId="52" fillId="0" borderId="0" xfId="0" applyFont="1" applyFill="1"/>
    <xf numFmtId="0" fontId="42" fillId="0" borderId="0" xfId="0" applyFont="1" applyFill="1" applyBorder="1" applyAlignment="1">
      <alignment horizontal="left" vertical="center"/>
    </xf>
    <xf numFmtId="0" fontId="38" fillId="0" borderId="8" xfId="0" applyFont="1" applyFill="1" applyBorder="1"/>
    <xf numFmtId="0" fontId="24" fillId="0" borderId="0" xfId="0" applyFont="1" applyFill="1" applyBorder="1"/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/>
    <xf numFmtId="3" fontId="40" fillId="0" borderId="0" xfId="0" applyNumberFormat="1" applyFont="1" applyFill="1" applyBorder="1"/>
    <xf numFmtId="3" fontId="40" fillId="0" borderId="0" xfId="0" applyNumberFormat="1" applyFont="1" applyFill="1" applyBorder="1" applyAlignment="1">
      <alignment vertical="center"/>
    </xf>
    <xf numFmtId="0" fontId="43" fillId="0" borderId="0" xfId="0" applyFont="1" applyFill="1" applyBorder="1" applyAlignment="1">
      <alignment horizontal="left" vertical="center"/>
    </xf>
    <xf numFmtId="0" fontId="46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48" fillId="0" borderId="0" xfId="0" applyFont="1" applyFill="1" applyAlignment="1">
      <alignment vertical="center"/>
    </xf>
    <xf numFmtId="0" fontId="54" fillId="0" borderId="0" xfId="0" applyFont="1" applyFill="1"/>
    <xf numFmtId="0" fontId="55" fillId="0" borderId="0" xfId="0" applyFont="1" applyFill="1"/>
    <xf numFmtId="0" fontId="56" fillId="0" borderId="0" xfId="0" applyFont="1" applyFill="1"/>
    <xf numFmtId="0" fontId="45" fillId="0" borderId="7" xfId="0" applyFont="1" applyFill="1" applyBorder="1" applyAlignment="1">
      <alignment horizontal="center"/>
    </xf>
    <xf numFmtId="0" fontId="45" fillId="0" borderId="23" xfId="0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45" fillId="0" borderId="14" xfId="0" applyFont="1" applyFill="1" applyBorder="1" applyAlignment="1">
      <alignment horizontal="center"/>
    </xf>
    <xf numFmtId="0" fontId="45" fillId="0" borderId="73" xfId="0" applyFont="1" applyFill="1" applyBorder="1" applyAlignment="1">
      <alignment horizontal="center" vertical="center"/>
    </xf>
    <xf numFmtId="0" fontId="55" fillId="0" borderId="0" xfId="0" applyFont="1" applyFill="1" applyBorder="1"/>
    <xf numFmtId="0" fontId="45" fillId="0" borderId="82" xfId="0" applyFont="1" applyFill="1" applyBorder="1" applyAlignment="1">
      <alignment horizontal="center"/>
    </xf>
    <xf numFmtId="9" fontId="45" fillId="0" borderId="82" xfId="0" applyNumberFormat="1" applyFont="1" applyFill="1" applyBorder="1" applyAlignment="1">
      <alignment horizontal="center"/>
    </xf>
    <xf numFmtId="0" fontId="45" fillId="0" borderId="92" xfId="0" applyFont="1" applyFill="1" applyBorder="1" applyAlignment="1">
      <alignment horizontal="center" vertical="center"/>
    </xf>
    <xf numFmtId="9" fontId="57" fillId="0" borderId="0" xfId="0" applyNumberFormat="1" applyFont="1" applyFill="1" applyBorder="1" applyAlignment="1">
      <alignment horizontal="center"/>
    </xf>
    <xf numFmtId="3" fontId="45" fillId="0" borderId="99" xfId="0" applyNumberFormat="1" applyFont="1" applyFill="1" applyBorder="1" applyAlignment="1"/>
    <xf numFmtId="3" fontId="45" fillId="0" borderId="102" xfId="0" applyNumberFormat="1" applyFont="1" applyFill="1" applyBorder="1" applyAlignment="1"/>
    <xf numFmtId="1" fontId="36" fillId="0" borderId="87" xfId="0" applyNumberFormat="1" applyFont="1" applyFill="1" applyBorder="1" applyAlignment="1">
      <alignment horizontal="center" vertical="center"/>
    </xf>
    <xf numFmtId="0" fontId="58" fillId="0" borderId="0" xfId="0" applyFont="1" applyFill="1" applyBorder="1"/>
    <xf numFmtId="3" fontId="45" fillId="0" borderId="103" xfId="0" applyNumberFormat="1" applyFont="1" applyFill="1" applyBorder="1" applyAlignment="1"/>
    <xf numFmtId="1" fontId="36" fillId="0" borderId="1" xfId="0" applyNumberFormat="1" applyFont="1" applyFill="1" applyBorder="1" applyAlignment="1">
      <alignment horizontal="center" vertical="center"/>
    </xf>
    <xf numFmtId="166" fontId="58" fillId="0" borderId="0" xfId="0" applyNumberFormat="1" applyFont="1" applyFill="1" applyBorder="1"/>
    <xf numFmtId="1" fontId="36" fillId="0" borderId="1" xfId="0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 vertical="center"/>
    </xf>
    <xf numFmtId="166" fontId="58" fillId="0" borderId="0" xfId="3" applyNumberFormat="1" applyFont="1" applyFill="1" applyBorder="1"/>
    <xf numFmtId="1" fontId="51" fillId="0" borderId="1" xfId="0" applyNumberFormat="1" applyFont="1" applyFill="1" applyBorder="1" applyAlignment="1"/>
    <xf numFmtId="1" fontId="45" fillId="0" borderId="1" xfId="3" applyNumberFormat="1" applyFont="1" applyFill="1" applyBorder="1" applyAlignment="1">
      <alignment vertical="center"/>
    </xf>
    <xf numFmtId="1" fontId="45" fillId="0" borderId="1" xfId="3" applyNumberFormat="1" applyFont="1" applyFill="1" applyBorder="1" applyAlignment="1"/>
    <xf numFmtId="1" fontId="51" fillId="0" borderId="1" xfId="0" applyNumberFormat="1" applyFont="1" applyFill="1" applyBorder="1" applyAlignment="1">
      <alignment horizontal="center"/>
    </xf>
    <xf numFmtId="1" fontId="45" fillId="0" borderId="1" xfId="3" applyNumberFormat="1" applyFont="1" applyFill="1" applyBorder="1" applyAlignment="1">
      <alignment horizontal="center" vertical="center"/>
    </xf>
    <xf numFmtId="166" fontId="45" fillId="0" borderId="1" xfId="3" applyNumberFormat="1" applyFont="1" applyFill="1" applyBorder="1" applyAlignment="1">
      <alignment horizontal="center" vertical="center"/>
    </xf>
    <xf numFmtId="166" fontId="45" fillId="0" borderId="1" xfId="3" quotePrefix="1" applyNumberFormat="1" applyFont="1" applyFill="1" applyBorder="1" applyAlignment="1">
      <alignment horizontal="center" vertical="center"/>
    </xf>
    <xf numFmtId="166" fontId="45" fillId="0" borderId="79" xfId="3" applyNumberFormat="1" applyFont="1" applyFill="1" applyBorder="1" applyAlignment="1">
      <alignment horizontal="center" vertical="center"/>
    </xf>
    <xf numFmtId="0" fontId="0" fillId="0" borderId="53" xfId="0" applyFill="1" applyBorder="1"/>
    <xf numFmtId="0" fontId="48" fillId="0" borderId="8" xfId="0" applyFont="1" applyFill="1" applyBorder="1" applyAlignment="1">
      <alignment horizontal="center"/>
    </xf>
    <xf numFmtId="0" fontId="0" fillId="0" borderId="8" xfId="0" applyFill="1" applyBorder="1"/>
    <xf numFmtId="41" fontId="59" fillId="0" borderId="8" xfId="1" applyFont="1" applyFill="1" applyBorder="1"/>
    <xf numFmtId="3" fontId="60" fillId="0" borderId="3" xfId="0" applyNumberFormat="1" applyFont="1" applyFill="1" applyBorder="1"/>
    <xf numFmtId="0" fontId="0" fillId="0" borderId="0" xfId="0" applyFill="1" applyBorder="1"/>
    <xf numFmtId="0" fontId="48" fillId="0" borderId="0" xfId="0" applyFont="1" applyFill="1" applyBorder="1" applyAlignment="1">
      <alignment horizontal="center"/>
    </xf>
    <xf numFmtId="3" fontId="60" fillId="0" borderId="0" xfId="0" applyNumberFormat="1" applyFont="1" applyFill="1" applyBorder="1"/>
    <xf numFmtId="166" fontId="45" fillId="0" borderId="103" xfId="3" applyNumberFormat="1" applyFont="1" applyFill="1" applyBorder="1" applyAlignment="1">
      <alignment horizontal="center"/>
    </xf>
    <xf numFmtId="3" fontId="49" fillId="0" borderId="1" xfId="0" applyNumberFormat="1" applyFont="1" applyFill="1" applyBorder="1"/>
    <xf numFmtId="166" fontId="49" fillId="0" borderId="1" xfId="3" applyNumberFormat="1" applyFont="1" applyFill="1" applyBorder="1" applyAlignment="1">
      <alignment horizontal="center"/>
    </xf>
    <xf numFmtId="166" fontId="49" fillId="0" borderId="100" xfId="3" applyNumberFormat="1" applyFont="1" applyFill="1" applyBorder="1" applyAlignment="1">
      <alignment horizontal="center"/>
    </xf>
    <xf numFmtId="166" fontId="55" fillId="0" borderId="0" xfId="3" applyNumberFormat="1" applyFont="1" applyFill="1" applyBorder="1" applyAlignment="1">
      <alignment horizontal="right"/>
    </xf>
    <xf numFmtId="3" fontId="55" fillId="0" borderId="0" xfId="0" applyNumberFormat="1" applyFont="1" applyFill="1" applyBorder="1"/>
    <xf numFmtId="166" fontId="55" fillId="0" borderId="0" xfId="0" applyNumberFormat="1" applyFont="1" applyFill="1" applyBorder="1"/>
    <xf numFmtId="166" fontId="61" fillId="0" borderId="0" xfId="3" applyNumberFormat="1" applyFont="1" applyFill="1" applyBorder="1" applyAlignment="1">
      <alignment horizontal="right"/>
    </xf>
    <xf numFmtId="3" fontId="61" fillId="0" borderId="0" xfId="0" applyNumberFormat="1" applyFont="1" applyFill="1" applyBorder="1"/>
    <xf numFmtId="166" fontId="61" fillId="0" borderId="0" xfId="0" applyNumberFormat="1" applyFont="1" applyFill="1" applyBorder="1"/>
    <xf numFmtId="0" fontId="61" fillId="0" borderId="0" xfId="0" applyFont="1" applyFill="1" applyBorder="1"/>
    <xf numFmtId="0" fontId="36" fillId="0" borderId="0" xfId="0" applyFont="1" applyFill="1" applyBorder="1" applyAlignment="1">
      <alignment horizontal="center"/>
    </xf>
    <xf numFmtId="0" fontId="43" fillId="0" borderId="0" xfId="0" applyFont="1" applyFill="1" applyBorder="1" applyAlignment="1">
      <alignment horizontal="center" vertical="center"/>
    </xf>
    <xf numFmtId="166" fontId="45" fillId="0" borderId="0" xfId="3" applyNumberFormat="1" applyFont="1" applyFill="1" applyBorder="1" applyAlignment="1">
      <alignment horizontal="center"/>
    </xf>
    <xf numFmtId="3" fontId="49" fillId="0" borderId="0" xfId="0" applyNumberFormat="1" applyFont="1" applyFill="1" applyBorder="1"/>
    <xf numFmtId="166" fontId="49" fillId="0" borderId="0" xfId="3" applyNumberFormat="1" applyFont="1" applyFill="1" applyBorder="1" applyAlignment="1">
      <alignment horizontal="center"/>
    </xf>
    <xf numFmtId="0" fontId="51" fillId="0" borderId="0" xfId="0" applyFont="1" applyFill="1"/>
    <xf numFmtId="0" fontId="51" fillId="0" borderId="0" xfId="0" applyFont="1" applyFill="1" applyAlignment="1">
      <alignment horizontal="right"/>
    </xf>
    <xf numFmtId="3" fontId="51" fillId="0" borderId="0" xfId="0" applyNumberFormat="1" applyFont="1" applyFill="1" applyAlignment="1">
      <alignment horizontal="right"/>
    </xf>
    <xf numFmtId="3" fontId="42" fillId="0" borderId="0" xfId="0" applyNumberFormat="1" applyFont="1" applyFill="1" applyAlignment="1">
      <alignment horizontal="right"/>
    </xf>
    <xf numFmtId="0" fontId="49" fillId="0" borderId="1" xfId="4" applyFont="1" applyFill="1" applyBorder="1" applyAlignment="1">
      <alignment horizontal="center" vertical="center"/>
    </xf>
    <xf numFmtId="166" fontId="22" fillId="0" borderId="1" xfId="3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/>
    <xf numFmtId="166" fontId="45" fillId="0" borderId="1" xfId="3" applyNumberFormat="1" applyFont="1" applyFill="1" applyBorder="1" applyAlignment="1">
      <alignment vertical="center"/>
    </xf>
    <xf numFmtId="0" fontId="36" fillId="0" borderId="104" xfId="0" applyFont="1" applyFill="1" applyBorder="1" applyAlignment="1">
      <alignment horizontal="center" vertical="center"/>
    </xf>
    <xf numFmtId="3" fontId="36" fillId="0" borderId="21" xfId="0" applyNumberFormat="1" applyFont="1" applyFill="1" applyBorder="1"/>
    <xf numFmtId="166" fontId="43" fillId="0" borderId="105" xfId="3" applyNumberFormat="1" applyFont="1" applyFill="1" applyBorder="1" applyAlignment="1">
      <alignment vertical="center"/>
    </xf>
    <xf numFmtId="3" fontId="40" fillId="0" borderId="8" xfId="0" applyNumberFormat="1" applyFont="1" applyFill="1" applyBorder="1" applyAlignment="1">
      <alignment vertical="center"/>
    </xf>
    <xf numFmtId="166" fontId="64" fillId="0" borderId="0" xfId="0" applyNumberFormat="1" applyFont="1" applyFill="1" applyBorder="1" applyAlignment="1">
      <alignment horizontal="center" vertical="center"/>
    </xf>
    <xf numFmtId="41" fontId="52" fillId="0" borderId="1" xfId="1" applyFont="1" applyFill="1" applyBorder="1"/>
    <xf numFmtId="41" fontId="52" fillId="0" borderId="0" xfId="1" applyFont="1" applyFill="1"/>
    <xf numFmtId="0" fontId="22" fillId="0" borderId="1" xfId="0" applyFont="1" applyFill="1" applyBorder="1"/>
    <xf numFmtId="164" fontId="52" fillId="0" borderId="0" xfId="0" applyNumberFormat="1" applyFont="1" applyFill="1"/>
    <xf numFmtId="171" fontId="52" fillId="0" borderId="103" xfId="3" applyNumberFormat="1" applyFont="1" applyFill="1" applyBorder="1" applyAlignment="1">
      <alignment horizontal="center"/>
    </xf>
    <xf numFmtId="171" fontId="52" fillId="0" borderId="1" xfId="3" applyNumberFormat="1" applyFont="1" applyFill="1" applyBorder="1" applyAlignment="1">
      <alignment horizontal="center"/>
    </xf>
    <xf numFmtId="164" fontId="14" fillId="0" borderId="43" xfId="6" applyFont="1" applyFill="1" applyBorder="1" applyAlignment="1" applyProtection="1">
      <alignment horizontal="left" vertical="center"/>
    </xf>
    <xf numFmtId="41" fontId="65" fillId="0" borderId="1" xfId="1" applyFont="1" applyFill="1" applyBorder="1"/>
    <xf numFmtId="3" fontId="36" fillId="18" borderId="78" xfId="0" applyNumberFormat="1" applyFont="1" applyFill="1" applyBorder="1"/>
    <xf numFmtId="3" fontId="36" fillId="18" borderId="40" xfId="0" applyNumberFormat="1" applyFont="1" applyFill="1" applyBorder="1"/>
    <xf numFmtId="0" fontId="24" fillId="0" borderId="20" xfId="0" applyFont="1" applyFill="1" applyBorder="1" applyAlignment="1">
      <alignment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10" fillId="0" borderId="20" xfId="5" quotePrefix="1" applyFill="1" applyBorder="1" applyAlignment="1">
      <alignment horizontal="center" vertical="center"/>
    </xf>
    <xf numFmtId="166" fontId="22" fillId="0" borderId="20" xfId="3" applyNumberFormat="1" applyFont="1" applyFill="1" applyBorder="1" applyAlignment="1">
      <alignment horizontal="right" vertical="center"/>
    </xf>
    <xf numFmtId="167" fontId="14" fillId="0" borderId="37" xfId="5" applyNumberFormat="1" applyFont="1" applyFill="1" applyBorder="1" applyAlignment="1">
      <alignment horizontal="center" vertical="center"/>
    </xf>
    <xf numFmtId="0" fontId="14" fillId="0" borderId="37" xfId="10" applyFont="1" applyFill="1" applyBorder="1" applyAlignment="1">
      <alignment horizontal="center" vertical="center"/>
    </xf>
    <xf numFmtId="0" fontId="10" fillId="0" borderId="37" xfId="10" applyFill="1" applyBorder="1" applyAlignment="1">
      <alignment horizontal="center" vertical="center"/>
    </xf>
    <xf numFmtId="170" fontId="14" fillId="0" borderId="20" xfId="5" quotePrefix="1" applyNumberFormat="1" applyFont="1" applyFill="1" applyBorder="1" applyAlignment="1">
      <alignment horizontal="center" vertical="center"/>
    </xf>
    <xf numFmtId="170" fontId="14" fillId="0" borderId="31" xfId="5" quotePrefix="1" applyNumberFormat="1" applyFont="1" applyFill="1" applyBorder="1" applyAlignment="1">
      <alignment horizontal="center" vertical="center"/>
    </xf>
    <xf numFmtId="0" fontId="10" fillId="0" borderId="0" xfId="5" applyFill="1" applyAlignment="1">
      <alignment vertical="center"/>
    </xf>
    <xf numFmtId="166" fontId="22" fillId="0" borderId="14" xfId="3" applyNumberFormat="1" applyFont="1" applyFill="1" applyBorder="1" applyAlignment="1">
      <alignment vertical="center"/>
    </xf>
    <xf numFmtId="3" fontId="22" fillId="0" borderId="14" xfId="0" applyNumberFormat="1" applyFont="1" applyFill="1" applyBorder="1"/>
    <xf numFmtId="166" fontId="45" fillId="0" borderId="1" xfId="3" applyNumberFormat="1" applyFont="1" applyFill="1" applyBorder="1"/>
    <xf numFmtId="164" fontId="14" fillId="0" borderId="31" xfId="6" applyFont="1" applyFill="1" applyBorder="1" applyAlignment="1" applyProtection="1">
      <alignment horizontal="left" vertical="center"/>
    </xf>
    <xf numFmtId="0" fontId="10" fillId="0" borderId="33" xfId="10" applyFill="1" applyBorder="1" applyAlignment="1">
      <alignment horizontal="center" vertical="center"/>
    </xf>
    <xf numFmtId="169" fontId="22" fillId="0" borderId="20" xfId="3" applyNumberFormat="1" applyFont="1" applyFill="1" applyBorder="1" applyAlignment="1">
      <alignment horizontal="center" vertical="center"/>
    </xf>
    <xf numFmtId="166" fontId="0" fillId="0" borderId="0" xfId="0" applyNumberFormat="1" applyFont="1" applyFill="1"/>
    <xf numFmtId="3" fontId="38" fillId="0" borderId="0" xfId="0" applyNumberFormat="1" applyFont="1" applyFill="1"/>
    <xf numFmtId="166" fontId="43" fillId="0" borderId="79" xfId="0" applyNumberFormat="1" applyFont="1" applyFill="1" applyBorder="1" applyAlignment="1">
      <alignment horizontal="center" vertical="center"/>
    </xf>
    <xf numFmtId="166" fontId="22" fillId="0" borderId="21" xfId="3" applyNumberFormat="1" applyFont="1" applyFill="1" applyBorder="1"/>
    <xf numFmtId="168" fontId="10" fillId="0" borderId="20" xfId="6" applyNumberFormat="1" applyFont="1" applyFill="1" applyBorder="1" applyAlignment="1">
      <alignment horizontal="center" vertical="center"/>
    </xf>
    <xf numFmtId="0" fontId="22" fillId="0" borderId="87" xfId="0" applyFont="1" applyFill="1" applyBorder="1"/>
    <xf numFmtId="164" fontId="52" fillId="0" borderId="102" xfId="3" quotePrefix="1" applyNumberFormat="1" applyFont="1" applyFill="1" applyBorder="1" applyAlignment="1">
      <alignment horizontal="center"/>
    </xf>
    <xf numFmtId="164" fontId="14" fillId="0" borderId="73" xfId="6" applyFont="1" applyFill="1" applyBorder="1" applyAlignment="1" applyProtection="1">
      <alignment horizontal="left" vertical="center"/>
    </xf>
    <xf numFmtId="41" fontId="52" fillId="0" borderId="87" xfId="1" applyFont="1" applyFill="1" applyBorder="1"/>
    <xf numFmtId="41" fontId="52" fillId="0" borderId="41" xfId="1" applyFont="1" applyFill="1" applyBorder="1"/>
    <xf numFmtId="164" fontId="10" fillId="0" borderId="0" xfId="6" applyFont="1" applyFill="1" applyBorder="1" applyAlignment="1">
      <alignment vertical="center"/>
    </xf>
    <xf numFmtId="168" fontId="10" fillId="0" borderId="0" xfId="6" applyNumberFormat="1" applyFont="1" applyFill="1" applyBorder="1" applyAlignment="1">
      <alignment horizontal="center" vertical="center"/>
    </xf>
    <xf numFmtId="169" fontId="14" fillId="0" borderId="0" xfId="6" quotePrefix="1" applyNumberFormat="1" applyFont="1" applyFill="1" applyBorder="1" applyAlignment="1" applyProtection="1">
      <alignment horizontal="center" vertical="center"/>
    </xf>
    <xf numFmtId="3" fontId="51" fillId="0" borderId="79" xfId="0" applyNumberFormat="1" applyFont="1" applyFill="1" applyBorder="1"/>
    <xf numFmtId="3" fontId="45" fillId="0" borderId="79" xfId="0" applyNumberFormat="1" applyFont="1" applyFill="1" applyBorder="1"/>
    <xf numFmtId="166" fontId="22" fillId="0" borderId="79" xfId="3" applyNumberFormat="1" applyFont="1" applyFill="1" applyBorder="1"/>
    <xf numFmtId="3" fontId="45" fillId="0" borderId="104" xfId="0" applyNumberFormat="1" applyFont="1" applyFill="1" applyBorder="1"/>
    <xf numFmtId="166" fontId="43" fillId="0" borderId="87" xfId="3" applyNumberFormat="1" applyFont="1" applyFill="1" applyBorder="1" applyAlignment="1">
      <alignment vertical="center"/>
    </xf>
    <xf numFmtId="0" fontId="36" fillId="0" borderId="88" xfId="0" applyFont="1" applyFill="1" applyBorder="1" applyAlignment="1">
      <alignment horizontal="center" vertic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vertical="center"/>
    </xf>
    <xf numFmtId="164" fontId="14" fillId="18" borderId="20" xfId="6" applyFont="1" applyFill="1" applyBorder="1" applyAlignment="1" applyProtection="1">
      <alignment horizontal="left" vertical="center"/>
    </xf>
    <xf numFmtId="164" fontId="10" fillId="18" borderId="20" xfId="6" applyFont="1" applyFill="1" applyBorder="1" applyAlignment="1">
      <alignment vertical="center"/>
    </xf>
    <xf numFmtId="166" fontId="10" fillId="18" borderId="20" xfId="8" applyNumberFormat="1" applyFont="1" applyFill="1" applyBorder="1" applyAlignment="1">
      <alignment vertical="center"/>
    </xf>
    <xf numFmtId="0" fontId="66" fillId="10" borderId="20" xfId="0" applyFont="1" applyFill="1" applyBorder="1" applyAlignment="1">
      <alignment vertical="center"/>
    </xf>
    <xf numFmtId="166" fontId="66" fillId="3" borderId="20" xfId="3" quotePrefix="1" applyNumberFormat="1" applyFont="1" applyFill="1" applyBorder="1" applyAlignment="1">
      <alignment horizontal="right" vertical="center"/>
    </xf>
    <xf numFmtId="0" fontId="10" fillId="0" borderId="20" xfId="10" applyFill="1" applyBorder="1" applyAlignment="1">
      <alignment horizontal="center" vertical="center"/>
    </xf>
    <xf numFmtId="166" fontId="10" fillId="0" borderId="20" xfId="8" applyNumberFormat="1" applyFont="1" applyFill="1" applyBorder="1" applyAlignment="1">
      <alignment vertical="center"/>
    </xf>
    <xf numFmtId="0" fontId="14" fillId="0" borderId="20" xfId="10" applyFont="1" applyFill="1" applyBorder="1" applyAlignment="1">
      <alignment horizontal="center" vertical="center"/>
    </xf>
    <xf numFmtId="166" fontId="22" fillId="0" borderId="21" xfId="3" quotePrefix="1" applyNumberFormat="1" applyFont="1" applyFill="1" applyBorder="1" applyAlignment="1">
      <alignment horizontal="right" vertical="center"/>
    </xf>
    <xf numFmtId="169" fontId="22" fillId="0" borderId="35" xfId="3" quotePrefix="1" applyNumberFormat="1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vertical="center"/>
    </xf>
    <xf numFmtId="0" fontId="35" fillId="0" borderId="20" xfId="0" applyFont="1" applyFill="1" applyBorder="1" applyAlignment="1">
      <alignment horizontal="center" vertical="center"/>
    </xf>
    <xf numFmtId="170" fontId="14" fillId="0" borderId="21" xfId="5" quotePrefix="1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vertical="center"/>
    </xf>
    <xf numFmtId="0" fontId="22" fillId="0" borderId="21" xfId="3" applyNumberFormat="1" applyFont="1" applyFill="1" applyBorder="1" applyAlignment="1">
      <alignment horizontal="center" vertical="center"/>
    </xf>
    <xf numFmtId="0" fontId="34" fillId="0" borderId="21" xfId="0" applyFont="1" applyFill="1" applyBorder="1" applyAlignment="1">
      <alignment vertical="center"/>
    </xf>
    <xf numFmtId="167" fontId="14" fillId="0" borderId="14" xfId="5" applyNumberFormat="1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/>
    </xf>
    <xf numFmtId="0" fontId="10" fillId="0" borderId="70" xfId="10" applyFill="1" applyBorder="1" applyAlignment="1">
      <alignment horizontal="center" vertical="center"/>
    </xf>
    <xf numFmtId="0" fontId="10" fillId="0" borderId="21" xfId="10" applyFill="1" applyBorder="1" applyAlignment="1">
      <alignment horizontal="center" vertical="center"/>
    </xf>
    <xf numFmtId="170" fontId="14" fillId="0" borderId="35" xfId="5" quotePrefix="1" applyNumberFormat="1" applyFont="1" applyFill="1" applyBorder="1" applyAlignment="1">
      <alignment horizontal="center" vertical="center"/>
    </xf>
    <xf numFmtId="166" fontId="10" fillId="0" borderId="21" xfId="8" applyNumberFormat="1" applyFont="1" applyFill="1" applyBorder="1" applyAlignment="1">
      <alignment vertical="center"/>
    </xf>
    <xf numFmtId="167" fontId="14" fillId="0" borderId="20" xfId="5" applyNumberFormat="1" applyFont="1" applyFill="1" applyBorder="1" applyAlignment="1">
      <alignment horizontal="left" vertical="center"/>
    </xf>
    <xf numFmtId="167" fontId="14" fillId="0" borderId="20" xfId="5" applyNumberFormat="1" applyFont="1" applyFill="1" applyBorder="1" applyAlignment="1">
      <alignment horizontal="center" vertical="center"/>
    </xf>
    <xf numFmtId="167" fontId="14" fillId="0" borderId="21" xfId="5" applyNumberFormat="1" applyFont="1" applyFill="1" applyBorder="1" applyAlignment="1">
      <alignment horizontal="left" vertical="center"/>
    </xf>
    <xf numFmtId="167" fontId="14" fillId="0" borderId="21" xfId="5" applyNumberFormat="1" applyFont="1" applyFill="1" applyBorder="1" applyAlignment="1">
      <alignment horizontal="center" vertical="center"/>
    </xf>
    <xf numFmtId="0" fontId="14" fillId="0" borderId="21" xfId="10" applyFont="1" applyFill="1" applyBorder="1" applyAlignment="1">
      <alignment horizontal="center" vertical="center"/>
    </xf>
    <xf numFmtId="167" fontId="14" fillId="0" borderId="0" xfId="5" applyNumberFormat="1" applyFont="1" applyFill="1" applyBorder="1" applyAlignment="1">
      <alignment horizontal="left" vertical="center"/>
    </xf>
    <xf numFmtId="167" fontId="14" fillId="0" borderId="0" xfId="5" applyNumberFormat="1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horizontal="center" vertical="center"/>
    </xf>
    <xf numFmtId="0" fontId="10" fillId="0" borderId="0" xfId="10" applyFill="1" applyBorder="1" applyAlignment="1">
      <alignment horizontal="center" vertical="center"/>
    </xf>
    <xf numFmtId="170" fontId="14" fillId="0" borderId="0" xfId="5" quotePrefix="1" applyNumberFormat="1" applyFont="1" applyFill="1" applyBorder="1" applyAlignment="1">
      <alignment horizontal="center" vertical="center"/>
    </xf>
    <xf numFmtId="166" fontId="10" fillId="0" borderId="0" xfId="8" applyNumberFormat="1" applyFont="1" applyFill="1" applyBorder="1" applyAlignment="1">
      <alignment vertical="center"/>
    </xf>
    <xf numFmtId="3" fontId="36" fillId="0" borderId="106" xfId="0" applyNumberFormat="1" applyFont="1" applyFill="1" applyBorder="1"/>
    <xf numFmtId="0" fontId="36" fillId="12" borderId="84" xfId="0" applyFont="1" applyFill="1" applyBorder="1" applyAlignment="1">
      <alignment horizontal="center"/>
    </xf>
    <xf numFmtId="0" fontId="42" fillId="12" borderId="85" xfId="0" applyFont="1" applyFill="1" applyBorder="1" applyAlignment="1">
      <alignment horizontal="left" vertical="center"/>
    </xf>
    <xf numFmtId="3" fontId="36" fillId="12" borderId="85" xfId="0" applyNumberFormat="1" applyFont="1" applyFill="1" applyBorder="1"/>
    <xf numFmtId="3" fontId="36" fillId="12" borderId="1" xfId="0" applyNumberFormat="1" applyFont="1" applyFill="1" applyBorder="1"/>
    <xf numFmtId="3" fontId="36" fillId="12" borderId="21" xfId="0" applyNumberFormat="1" applyFont="1" applyFill="1" applyBorder="1"/>
    <xf numFmtId="166" fontId="43" fillId="12" borderId="105" xfId="3" applyNumberFormat="1" applyFont="1" applyFill="1" applyBorder="1" applyAlignment="1">
      <alignment vertical="center"/>
    </xf>
    <xf numFmtId="0" fontId="0" fillId="12" borderId="0" xfId="0" applyFill="1"/>
    <xf numFmtId="0" fontId="36" fillId="12" borderId="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left" vertical="center"/>
    </xf>
    <xf numFmtId="166" fontId="43" fillId="12" borderId="1" xfId="3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2" borderId="23" xfId="6" applyNumberFormat="1" applyFont="1" applyFill="1" applyBorder="1" applyAlignment="1">
      <alignment horizontal="center" vertical="center" wrapText="1"/>
    </xf>
    <xf numFmtId="0" fontId="12" fillId="2" borderId="73" xfId="6" applyNumberFormat="1" applyFont="1" applyFill="1" applyBorder="1" applyAlignment="1">
      <alignment horizontal="center" vertical="center" wrapText="1"/>
    </xf>
    <xf numFmtId="0" fontId="12" fillId="2" borderId="18" xfId="6" applyNumberFormat="1" applyFont="1" applyFill="1" applyBorder="1" applyAlignment="1">
      <alignment horizontal="center" vertical="center" wrapText="1"/>
    </xf>
    <xf numFmtId="0" fontId="12" fillId="2" borderId="4" xfId="6" applyNumberFormat="1" applyFont="1" applyFill="1" applyBorder="1" applyAlignment="1">
      <alignment horizontal="center" vertical="center" wrapText="1"/>
    </xf>
    <xf numFmtId="0" fontId="12" fillId="2" borderId="11" xfId="6" applyNumberFormat="1" applyFont="1" applyFill="1" applyBorder="1" applyAlignment="1">
      <alignment horizontal="center" vertical="center" wrapText="1"/>
    </xf>
    <xf numFmtId="0" fontId="12" fillId="2" borderId="5" xfId="6" applyNumberFormat="1" applyFont="1" applyFill="1" applyBorder="1" applyAlignment="1">
      <alignment horizontal="center" vertical="center" wrapText="1"/>
    </xf>
    <xf numFmtId="0" fontId="12" fillId="2" borderId="74" xfId="6" applyNumberFormat="1" applyFont="1" applyFill="1" applyBorder="1" applyAlignment="1">
      <alignment horizontal="center" vertical="center" wrapText="1"/>
    </xf>
    <xf numFmtId="0" fontId="12" fillId="2" borderId="71" xfId="6" applyNumberFormat="1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24" xfId="6" applyNumberFormat="1" applyFont="1" applyFill="1" applyBorder="1" applyAlignment="1">
      <alignment horizontal="center" vertical="center" wrapText="1"/>
    </xf>
    <xf numFmtId="0" fontId="12" fillId="2" borderId="72" xfId="6" applyNumberFormat="1" applyFont="1" applyFill="1" applyBorder="1" applyAlignment="1">
      <alignment horizontal="center" vertical="center" wrapText="1"/>
    </xf>
    <xf numFmtId="0" fontId="12" fillId="2" borderId="28" xfId="6" applyNumberFormat="1" applyFont="1" applyFill="1" applyBorder="1" applyAlignment="1">
      <alignment horizontal="center" vertical="center" wrapText="1"/>
    </xf>
    <xf numFmtId="0" fontId="12" fillId="2" borderId="7" xfId="6" applyNumberFormat="1" applyFont="1" applyFill="1" applyBorder="1" applyAlignment="1">
      <alignment horizontal="center" vertical="center" wrapText="1"/>
    </xf>
    <xf numFmtId="0" fontId="12" fillId="2" borderId="14" xfId="6" applyNumberFormat="1" applyFont="1" applyFill="1" applyBorder="1" applyAlignment="1">
      <alignment horizontal="center" vertical="center" wrapText="1"/>
    </xf>
    <xf numFmtId="0" fontId="12" fillId="2" borderId="2" xfId="6" applyNumberFormat="1" applyFont="1" applyFill="1" applyBorder="1" applyAlignment="1">
      <alignment horizontal="center" vertical="center"/>
    </xf>
    <xf numFmtId="0" fontId="12" fillId="2" borderId="16" xfId="6" applyNumberFormat="1" applyFont="1" applyFill="1" applyBorder="1" applyAlignment="1">
      <alignment horizontal="center" vertical="center"/>
    </xf>
    <xf numFmtId="0" fontId="12" fillId="2" borderId="6" xfId="6" applyNumberFormat="1" applyFont="1" applyFill="1" applyBorder="1" applyAlignment="1">
      <alignment horizontal="center" vertical="center"/>
    </xf>
    <xf numFmtId="0" fontId="12" fillId="2" borderId="17" xfId="6" applyNumberFormat="1" applyFont="1" applyFill="1" applyBorder="1" applyAlignment="1">
      <alignment horizontal="center" vertical="center"/>
    </xf>
    <xf numFmtId="0" fontId="12" fillId="2" borderId="7" xfId="6" applyNumberFormat="1" applyFont="1" applyFill="1" applyBorder="1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/>
    </xf>
    <xf numFmtId="0" fontId="12" fillId="2" borderId="23" xfId="6" applyNumberFormat="1" applyFont="1" applyFill="1" applyBorder="1" applyAlignment="1">
      <alignment horizontal="center" vertical="center"/>
    </xf>
    <xf numFmtId="0" fontId="12" fillId="2" borderId="25" xfId="6" applyNumberFormat="1" applyFont="1" applyFill="1" applyBorder="1" applyAlignment="1">
      <alignment horizontal="center"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2" fillId="2" borderId="4" xfId="5" applyFont="1" applyFill="1" applyBorder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15" xfId="5" applyFont="1" applyFill="1" applyBorder="1" applyAlignment="1">
      <alignment horizontal="center" vertical="center"/>
    </xf>
    <xf numFmtId="0" fontId="13" fillId="2" borderId="2" xfId="6" applyNumberFormat="1" applyFont="1" applyFill="1" applyBorder="1" applyAlignment="1">
      <alignment horizontal="center" vertical="center"/>
    </xf>
    <xf numFmtId="0" fontId="13" fillId="2" borderId="16" xfId="6" applyNumberFormat="1" applyFont="1" applyFill="1" applyBorder="1" applyAlignment="1">
      <alignment horizontal="center" vertical="center"/>
    </xf>
    <xf numFmtId="164" fontId="12" fillId="2" borderId="26" xfId="6" applyFont="1" applyFill="1" applyBorder="1" applyAlignment="1">
      <alignment horizontal="center" vertical="center"/>
    </xf>
    <xf numFmtId="164" fontId="12" fillId="2" borderId="2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7" xfId="6" applyNumberFormat="1" applyFont="1" applyFill="1" applyBorder="1" applyAlignment="1">
      <alignment horizontal="center" vertical="center"/>
    </xf>
    <xf numFmtId="0" fontId="12" fillId="2" borderId="10" xfId="6" applyNumberFormat="1" applyFont="1" applyFill="1" applyBorder="1" applyAlignment="1">
      <alignment horizontal="center" vertical="center" wrapText="1"/>
    </xf>
    <xf numFmtId="0" fontId="12" fillId="2" borderId="15" xfId="6" applyNumberFormat="1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 wrapText="1"/>
    </xf>
    <xf numFmtId="0" fontId="12" fillId="2" borderId="16" xfId="5" applyFont="1" applyFill="1" applyBorder="1" applyAlignment="1">
      <alignment horizontal="center" vertical="center" wrapText="1"/>
    </xf>
    <xf numFmtId="0" fontId="12" fillId="2" borderId="12" xfId="6" applyNumberFormat="1" applyFont="1" applyFill="1" applyBorder="1" applyAlignment="1">
      <alignment horizontal="center" vertical="center" wrapText="1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center" vertical="center" wrapText="1"/>
    </xf>
    <xf numFmtId="0" fontId="12" fillId="2" borderId="6" xfId="5" applyFont="1" applyFill="1" applyBorder="1" applyAlignment="1">
      <alignment horizontal="center" vertical="center" textRotation="90" wrapText="1"/>
    </xf>
    <xf numFmtId="0" fontId="12" fillId="2" borderId="13" xfId="5" applyFont="1" applyFill="1" applyBorder="1" applyAlignment="1">
      <alignment horizontal="center" vertical="center" textRotation="90" wrapText="1"/>
    </xf>
    <xf numFmtId="0" fontId="12" fillId="2" borderId="17" xfId="5" applyFont="1" applyFill="1" applyBorder="1" applyAlignment="1">
      <alignment horizontal="center" vertical="center" textRotation="90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14" xfId="6" applyFont="1" applyFill="1" applyBorder="1" applyAlignment="1">
      <alignment horizontal="center" vertical="center"/>
    </xf>
    <xf numFmtId="164" fontId="12" fillId="2" borderId="18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9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91" xfId="0" applyFont="1" applyFill="1" applyBorder="1" applyAlignment="1">
      <alignment horizontal="center" vertical="center"/>
    </xf>
    <xf numFmtId="0" fontId="36" fillId="0" borderId="88" xfId="0" applyFont="1" applyFill="1" applyBorder="1" applyAlignment="1">
      <alignment horizontal="center" vertical="center"/>
    </xf>
    <xf numFmtId="0" fontId="36" fillId="0" borderId="92" xfId="0" applyFont="1" applyFill="1" applyBorder="1" applyAlignment="1">
      <alignment horizontal="center" vertic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40" fillId="0" borderId="75" xfId="0" applyFont="1" applyFill="1" applyBorder="1" applyAlignment="1">
      <alignment horizontal="center"/>
    </xf>
    <xf numFmtId="0" fontId="40" fillId="0" borderId="76" xfId="0" applyFont="1" applyFill="1" applyBorder="1" applyAlignment="1">
      <alignment horizontal="center"/>
    </xf>
    <xf numFmtId="0" fontId="40" fillId="0" borderId="77" xfId="0" applyFont="1" applyFill="1" applyBorder="1" applyAlignment="1">
      <alignment horizontal="center"/>
    </xf>
    <xf numFmtId="0" fontId="22" fillId="0" borderId="79" xfId="0" applyFont="1" applyFill="1" applyBorder="1" applyAlignment="1">
      <alignment horizontal="center" vertical="center"/>
    </xf>
    <xf numFmtId="0" fontId="22" fillId="0" borderId="82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81" xfId="0" applyFont="1" applyFill="1" applyBorder="1" applyAlignment="1">
      <alignment horizontal="center" vertical="center"/>
    </xf>
    <xf numFmtId="0" fontId="40" fillId="0" borderId="53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5" xfId="0" applyFont="1" applyFill="1" applyBorder="1" applyAlignment="1">
      <alignment horizontal="center"/>
    </xf>
    <xf numFmtId="0" fontId="23" fillId="0" borderId="76" xfId="0" applyFont="1" applyFill="1" applyBorder="1" applyAlignment="1">
      <alignment horizontal="center"/>
    </xf>
    <xf numFmtId="0" fontId="23" fillId="0" borderId="77" xfId="0" applyFont="1" applyFill="1" applyBorder="1" applyAlignment="1">
      <alignment horizontal="center"/>
    </xf>
    <xf numFmtId="0" fontId="40" fillId="0" borderId="53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3" fillId="0" borderId="72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/>
    </xf>
    <xf numFmtId="0" fontId="54" fillId="0" borderId="15" xfId="0" applyFont="1" applyFill="1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0" fontId="45" fillId="0" borderId="6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91" xfId="0" applyFont="1" applyFill="1" applyBorder="1" applyAlignment="1">
      <alignment horizontal="center"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41" fontId="52" fillId="0" borderId="1" xfId="1" applyFont="1" applyFill="1" applyBorder="1" applyAlignment="1">
      <alignment horizontal="center" vertical="center"/>
    </xf>
    <xf numFmtId="41" fontId="52" fillId="0" borderId="41" xfId="1" applyFont="1" applyFill="1" applyBorder="1" applyAlignment="1">
      <alignment horizontal="center" vertical="center"/>
    </xf>
    <xf numFmtId="41" fontId="52" fillId="0" borderId="79" xfId="1" applyFont="1" applyFill="1" applyBorder="1" applyAlignment="1">
      <alignment horizontal="center" vertical="center"/>
    </xf>
    <xf numFmtId="41" fontId="52" fillId="0" borderId="18" xfId="1" applyFont="1" applyFill="1" applyBorder="1" applyAlignment="1">
      <alignment horizontal="center" vertical="center"/>
    </xf>
    <xf numFmtId="41" fontId="52" fillId="0" borderId="1" xfId="1" applyFont="1" applyFill="1" applyBorder="1" applyAlignment="1">
      <alignment horizontal="center"/>
    </xf>
    <xf numFmtId="0" fontId="40" fillId="0" borderId="23" xfId="0" applyFont="1" applyFill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0" fillId="0" borderId="11" xfId="0" applyFont="1" applyFill="1" applyBorder="1" applyAlignment="1">
      <alignment horizontal="center"/>
    </xf>
    <xf numFmtId="3" fontId="36" fillId="0" borderId="79" xfId="0" applyNumberFormat="1" applyFont="1" applyFill="1" applyBorder="1" applyAlignment="1">
      <alignment horizontal="center" vertical="center"/>
    </xf>
    <xf numFmtId="3" fontId="36" fillId="0" borderId="82" xfId="0" applyNumberFormat="1" applyFont="1" applyFill="1" applyBorder="1" applyAlignment="1">
      <alignment horizontal="center" vertical="center"/>
    </xf>
  </cellXfs>
  <cellStyles count="22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Comma 4" xfId="20"/>
    <cellStyle name="Normal" xfId="0" builtinId="0"/>
    <cellStyle name="Normal 2" xfId="4"/>
    <cellStyle name="Normal 2 2" xfId="21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99FFCC"/>
      <color rgb="FFC4E77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jak\Downloads\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SEMBER%202025/DAFTAR%20GAJI%20NURSERY%20DESEMBER%20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!%20TAX/01.%20TAX%20COMPLIANCE/PPH%20&amp;%20PPN/2024/01.%20JANUARI%202024/PPH%2021/GAJI%20JANUARI%202024/INFRA/JANUARI%202024%20INF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!%20TAX/01.%20TAX%20COMPLIANCE/PPH%20&amp;%20PPN/2024/01.%20JANUARI%202024/PPH%2021/RJ/GAJI%20JANUARI%202024%20VERSI%20BARU/INFRA/STAFF/PPh%2021Salaries%20-%20Jan'24%20Ass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ECKROLL%20INFRA/DAFTAR%20UPAH%202024/FEBRUARI%202024%20INF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EBRUARI%202024%20INF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EPTEMBER%202024%20INF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GAJI%20JANUARI%202024/STAFF/SALARY_JANUARI_2024%20PT%20RJ%20-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SETAHUN%202024%20INFR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RSERY"/>
      <sheetName val="BRI"/>
      <sheetName val="RECON"/>
    </sheetNames>
    <sheetDataSet>
      <sheetData sheetId="0">
        <row r="10">
          <cell r="AJ10">
            <v>9310268.8800000008</v>
          </cell>
          <cell r="BK10">
            <v>54000</v>
          </cell>
          <cell r="BM10">
            <v>162392.80000000002</v>
          </cell>
        </row>
        <row r="11">
          <cell r="AJ11">
            <v>5977013.25</v>
          </cell>
          <cell r="BK11">
            <v>89000</v>
          </cell>
          <cell r="BM11">
            <v>163792.80000000002</v>
          </cell>
        </row>
        <row r="12">
          <cell r="AJ12">
            <v>6169565.8399999999</v>
          </cell>
          <cell r="BK12">
            <v>92500</v>
          </cell>
          <cell r="BM12">
            <v>163932.80000000002</v>
          </cell>
        </row>
        <row r="13">
          <cell r="AJ13">
            <v>6718564.0700000003</v>
          </cell>
          <cell r="BK13">
            <v>92500</v>
          </cell>
          <cell r="BM13">
            <v>163932.80000000002</v>
          </cell>
        </row>
        <row r="14">
          <cell r="AJ14">
            <v>8111794.1299999999</v>
          </cell>
          <cell r="BK14">
            <v>18000</v>
          </cell>
          <cell r="BM14">
            <v>160952.80000000002</v>
          </cell>
        </row>
        <row r="15">
          <cell r="AJ15">
            <v>4050620.23</v>
          </cell>
          <cell r="BK15">
            <v>50500</v>
          </cell>
          <cell r="BM15">
            <v>162252.80000000002</v>
          </cell>
        </row>
        <row r="16">
          <cell r="AJ16">
            <v>4152590.23</v>
          </cell>
          <cell r="BK16">
            <v>21000</v>
          </cell>
          <cell r="BM16">
            <v>161072.80000000002</v>
          </cell>
        </row>
        <row r="17">
          <cell r="AJ17">
            <v>4168090.23</v>
          </cell>
          <cell r="BK17">
            <v>36500</v>
          </cell>
          <cell r="BM17">
            <v>161692.80000000002</v>
          </cell>
        </row>
        <row r="18">
          <cell r="AJ18">
            <v>4189090.23</v>
          </cell>
          <cell r="BK18">
            <v>57500</v>
          </cell>
          <cell r="BM18">
            <v>162532.80000000002</v>
          </cell>
        </row>
        <row r="19">
          <cell r="AJ19">
            <v>4168090.23</v>
          </cell>
          <cell r="BK19">
            <v>36500</v>
          </cell>
          <cell r="BM19">
            <v>161692.80000000002</v>
          </cell>
        </row>
        <row r="20">
          <cell r="AJ20">
            <v>4189090.23</v>
          </cell>
          <cell r="BK20">
            <v>57500</v>
          </cell>
          <cell r="BM20">
            <v>162532.80000000002</v>
          </cell>
        </row>
        <row r="21">
          <cell r="AJ21">
            <v>3919150.23</v>
          </cell>
          <cell r="BK21">
            <v>50500</v>
          </cell>
          <cell r="BM21">
            <v>162252.80000000002</v>
          </cell>
        </row>
        <row r="22">
          <cell r="AJ22">
            <v>7491663.5199999996</v>
          </cell>
          <cell r="BK22">
            <v>36500</v>
          </cell>
          <cell r="BM22">
            <v>161692.80000000002</v>
          </cell>
        </row>
        <row r="23">
          <cell r="AJ23">
            <v>3948150.23</v>
          </cell>
          <cell r="BK23">
            <v>50500</v>
          </cell>
          <cell r="BM23">
            <v>162252.80000000002</v>
          </cell>
        </row>
        <row r="24">
          <cell r="AJ24">
            <v>4587368.72</v>
          </cell>
          <cell r="BK24">
            <v>18000</v>
          </cell>
          <cell r="BM24">
            <v>160952.80000000002</v>
          </cell>
        </row>
        <row r="25">
          <cell r="AJ25">
            <v>4505987.3499999996</v>
          </cell>
          <cell r="BK25">
            <v>50500</v>
          </cell>
          <cell r="BM25">
            <v>162252.80000000002</v>
          </cell>
        </row>
        <row r="26">
          <cell r="AJ26">
            <v>85657097.599999979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PAJAK  "/>
      <sheetName val="REK  "/>
      <sheetName val="REKON JAN '24"/>
      <sheetName val="Sheet1"/>
      <sheetName val="Sheet2"/>
      <sheetName val="Sheet3"/>
    </sheetNames>
    <sheetDataSet>
      <sheetData sheetId="0" refreshError="1"/>
      <sheetData sheetId="1" refreshError="1"/>
      <sheetData sheetId="2" refreshError="1">
        <row r="32">
          <cell r="F32">
            <v>126649628.80333336</v>
          </cell>
          <cell r="G32">
            <v>734453.99999999988</v>
          </cell>
          <cell r="H32">
            <v>3540820</v>
          </cell>
          <cell r="I32">
            <v>0</v>
          </cell>
          <cell r="J32">
            <v>0</v>
          </cell>
          <cell r="K32">
            <v>0</v>
          </cell>
          <cell r="L32">
            <v>130924902.80333336</v>
          </cell>
          <cell r="M32">
            <v>1748700</v>
          </cell>
        </row>
        <row r="67">
          <cell r="L67">
            <v>781332.99687500007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'21"/>
      <sheetName val="Dec'22"/>
      <sheetName val="Jan'23"/>
      <sheetName val="Feb'23"/>
      <sheetName val="Mar'23"/>
      <sheetName val="Apr;23"/>
      <sheetName val="THR"/>
      <sheetName val="Ex-Gratia"/>
      <sheetName val="May'23"/>
      <sheetName val="Jun'23"/>
      <sheetName val="Jul'23"/>
      <sheetName val="Aug'23"/>
      <sheetName val="Sep'23"/>
      <sheetName val="Oct'23"/>
      <sheetName val="Nov'23"/>
      <sheetName val="THR-Dec'23"/>
      <sheetName val="Dec'23"/>
      <sheetName val="Jan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7">
          <cell r="H7">
            <v>88082.4</v>
          </cell>
        </row>
        <row r="35">
          <cell r="O35">
            <v>2250000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11">
          <cell r="BC11">
            <v>0</v>
          </cell>
        </row>
        <row r="12">
          <cell r="BC12">
            <v>0</v>
          </cell>
        </row>
        <row r="13">
          <cell r="BC13">
            <v>0</v>
          </cell>
        </row>
        <row r="14">
          <cell r="BC14">
            <v>0</v>
          </cell>
        </row>
        <row r="15">
          <cell r="BC15">
            <v>0</v>
          </cell>
        </row>
        <row r="16">
          <cell r="BC16">
            <v>0</v>
          </cell>
        </row>
        <row r="17">
          <cell r="BC17">
            <v>0</v>
          </cell>
        </row>
        <row r="18">
          <cell r="BC18">
            <v>0</v>
          </cell>
        </row>
        <row r="19">
          <cell r="BC19">
            <v>-121333.33</v>
          </cell>
        </row>
        <row r="20">
          <cell r="BC20">
            <v>-121333.33</v>
          </cell>
        </row>
        <row r="21">
          <cell r="BC21">
            <v>0</v>
          </cell>
        </row>
        <row r="22">
          <cell r="BC22">
            <v>0</v>
          </cell>
        </row>
        <row r="23">
          <cell r="BC23">
            <v>-121333.33</v>
          </cell>
        </row>
        <row r="24">
          <cell r="BC24">
            <v>-121333.33</v>
          </cell>
        </row>
        <row r="25">
          <cell r="BC25">
            <v>0</v>
          </cell>
        </row>
        <row r="26">
          <cell r="BC26">
            <v>-242666.66</v>
          </cell>
        </row>
        <row r="27">
          <cell r="BC27">
            <v>0</v>
          </cell>
        </row>
        <row r="28">
          <cell r="BC28">
            <v>0</v>
          </cell>
        </row>
        <row r="53">
          <cell r="BC53">
            <v>0</v>
          </cell>
        </row>
        <row r="54">
          <cell r="BC54">
            <v>0</v>
          </cell>
        </row>
        <row r="55">
          <cell r="BC55">
            <v>0</v>
          </cell>
        </row>
        <row r="56">
          <cell r="BC56">
            <v>0</v>
          </cell>
        </row>
        <row r="57">
          <cell r="BC57">
            <v>0</v>
          </cell>
        </row>
        <row r="58">
          <cell r="BC58">
            <v>-121333.33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29">
          <cell r="AH29">
            <v>76238179.433333352</v>
          </cell>
          <cell r="AT29">
            <v>60539</v>
          </cell>
        </row>
        <row r="59">
          <cell r="AH59">
            <v>37537204.036666676</v>
          </cell>
          <cell r="AT59">
            <v>254123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SEPTEMBER '24"/>
      <sheetName val="GAJI  (2)"/>
      <sheetName val="Sheet1"/>
      <sheetName val="Sheet2"/>
      <sheetName val="Sheet3"/>
    </sheetNames>
    <sheetDataSet>
      <sheetData sheetId="0">
        <row r="30">
          <cell r="AH30">
            <v>90404140.089999989</v>
          </cell>
          <cell r="AT30">
            <v>250994</v>
          </cell>
        </row>
        <row r="31">
          <cell r="G31">
            <v>68506999.999999985</v>
          </cell>
        </row>
        <row r="60">
          <cell r="AH60">
            <v>37750027.876666665</v>
          </cell>
          <cell r="AT60">
            <v>247588</v>
          </cell>
        </row>
        <row r="61">
          <cell r="G61">
            <v>21718666.666666664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F81">
            <v>118230083.31999999</v>
          </cell>
          <cell r="G81">
            <v>1055149.8998880002</v>
          </cell>
          <cell r="H81">
            <v>5024523.3328</v>
          </cell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ULAN"/>
      <sheetName val="SETAHUN"/>
      <sheetName val="BPJS 4%"/>
      <sheetName val="FORMULIR 2015"/>
      <sheetName val="REV SETAHUN"/>
      <sheetName val="PERBULAN REV"/>
      <sheetName val="SELISIH"/>
    </sheetNames>
    <sheetDataSet>
      <sheetData sheetId="0">
        <row r="6">
          <cell r="B6" t="str">
            <v>YOYO</v>
          </cell>
          <cell r="C6" t="str">
            <v>L</v>
          </cell>
          <cell r="D6" t="str">
            <v>K/0</v>
          </cell>
          <cell r="E6">
            <v>9</v>
          </cell>
        </row>
        <row r="7">
          <cell r="B7" t="str">
            <v>JAMILA</v>
          </cell>
          <cell r="C7" t="str">
            <v>P</v>
          </cell>
          <cell r="D7" t="str">
            <v>TK/0</v>
          </cell>
          <cell r="E7">
            <v>9</v>
          </cell>
        </row>
        <row r="8">
          <cell r="B8" t="str">
            <v xml:space="preserve">JUNI </v>
          </cell>
          <cell r="C8" t="str">
            <v>L</v>
          </cell>
          <cell r="D8" t="str">
            <v>K/1</v>
          </cell>
          <cell r="E8">
            <v>9</v>
          </cell>
        </row>
        <row r="9">
          <cell r="B9" t="str">
            <v>SUHANDI</v>
          </cell>
          <cell r="C9" t="str">
            <v>L</v>
          </cell>
          <cell r="D9" t="str">
            <v>K/1</v>
          </cell>
          <cell r="E9">
            <v>9</v>
          </cell>
        </row>
        <row r="10">
          <cell r="B10" t="str">
            <v>MINARNI</v>
          </cell>
          <cell r="C10" t="str">
            <v>P</v>
          </cell>
          <cell r="D10" t="str">
            <v>TK/0</v>
          </cell>
          <cell r="E10">
            <v>9</v>
          </cell>
        </row>
        <row r="11">
          <cell r="B11" t="str">
            <v>SUPRIADI</v>
          </cell>
          <cell r="C11" t="str">
            <v>L</v>
          </cell>
          <cell r="D11" t="str">
            <v>K/2</v>
          </cell>
          <cell r="E11">
            <v>9</v>
          </cell>
        </row>
        <row r="12">
          <cell r="B12" t="str">
            <v>HARIAH</v>
          </cell>
          <cell r="C12" t="str">
            <v>P</v>
          </cell>
          <cell r="D12" t="str">
            <v>TK/0</v>
          </cell>
          <cell r="E12">
            <v>9</v>
          </cell>
        </row>
        <row r="13">
          <cell r="B13" t="str">
            <v>YUSMARDIAN</v>
          </cell>
          <cell r="C13" t="str">
            <v>L</v>
          </cell>
          <cell r="D13" t="str">
            <v>K/2</v>
          </cell>
          <cell r="E13">
            <v>9</v>
          </cell>
        </row>
        <row r="14">
          <cell r="B14" t="str">
            <v>YULHANI</v>
          </cell>
          <cell r="C14" t="str">
            <v>L</v>
          </cell>
          <cell r="D14" t="str">
            <v>K/0</v>
          </cell>
          <cell r="E14">
            <v>9</v>
          </cell>
        </row>
        <row r="15">
          <cell r="B15" t="str">
            <v>HENDRIX</v>
          </cell>
          <cell r="C15" t="str">
            <v>L</v>
          </cell>
          <cell r="D15" t="str">
            <v>K/1</v>
          </cell>
          <cell r="E15">
            <v>9</v>
          </cell>
        </row>
        <row r="16">
          <cell r="B16" t="str">
            <v>ARIANTO.B</v>
          </cell>
          <cell r="C16" t="str">
            <v>L</v>
          </cell>
          <cell r="D16" t="str">
            <v>K/1</v>
          </cell>
          <cell r="E16">
            <v>2</v>
          </cell>
        </row>
        <row r="17">
          <cell r="B17" t="str">
            <v>NANDI</v>
          </cell>
          <cell r="C17" t="str">
            <v>L</v>
          </cell>
          <cell r="D17" t="str">
            <v>K/1</v>
          </cell>
          <cell r="E17">
            <v>9</v>
          </cell>
        </row>
        <row r="18">
          <cell r="B18" t="str">
            <v>KAMELIA</v>
          </cell>
          <cell r="C18" t="str">
            <v>L</v>
          </cell>
          <cell r="D18" t="str">
            <v>K/0</v>
          </cell>
          <cell r="E18">
            <v>9</v>
          </cell>
        </row>
        <row r="19">
          <cell r="B19" t="str">
            <v>SISWANTO</v>
          </cell>
          <cell r="C19" t="str">
            <v>L</v>
          </cell>
          <cell r="D19" t="str">
            <v>K/1</v>
          </cell>
          <cell r="E19">
            <v>9</v>
          </cell>
        </row>
        <row r="20">
          <cell r="B20" t="str">
            <v>DARMA JAYA</v>
          </cell>
          <cell r="C20" t="str">
            <v>L</v>
          </cell>
          <cell r="D20" t="str">
            <v>K/2</v>
          </cell>
          <cell r="E20">
            <v>9</v>
          </cell>
        </row>
        <row r="21">
          <cell r="B21" t="str">
            <v>YUSMARNO</v>
          </cell>
          <cell r="C21" t="str">
            <v>L</v>
          </cell>
          <cell r="D21" t="str">
            <v>K/1</v>
          </cell>
          <cell r="E21">
            <v>9</v>
          </cell>
        </row>
        <row r="22">
          <cell r="B22" t="str">
            <v>MEGI EFRISA</v>
          </cell>
          <cell r="C22" t="str">
            <v>L</v>
          </cell>
          <cell r="D22" t="str">
            <v>TK/0</v>
          </cell>
          <cell r="E22">
            <v>9</v>
          </cell>
        </row>
        <row r="23">
          <cell r="B23" t="str">
            <v>SURATMAN</v>
          </cell>
          <cell r="C23" t="str">
            <v>L</v>
          </cell>
          <cell r="D23" t="str">
            <v>K/0</v>
          </cell>
          <cell r="E23">
            <v>9</v>
          </cell>
        </row>
        <row r="24">
          <cell r="B24" t="str">
            <v>ARDI</v>
          </cell>
          <cell r="C24" t="str">
            <v>L</v>
          </cell>
          <cell r="D24" t="str">
            <v>K/2</v>
          </cell>
          <cell r="E24">
            <v>9</v>
          </cell>
        </row>
        <row r="25">
          <cell r="B25" t="str">
            <v xml:space="preserve">EDI </v>
          </cell>
          <cell r="C25" t="str">
            <v>L</v>
          </cell>
          <cell r="D25" t="str">
            <v>K/2</v>
          </cell>
          <cell r="E25">
            <v>9</v>
          </cell>
        </row>
        <row r="26">
          <cell r="B26" t="str">
            <v>SUDIRMAN</v>
          </cell>
          <cell r="C26" t="str">
            <v>L</v>
          </cell>
          <cell r="D26" t="str">
            <v>K/0</v>
          </cell>
          <cell r="E26">
            <v>9</v>
          </cell>
        </row>
        <row r="27">
          <cell r="B27" t="str">
            <v>APRIYADI</v>
          </cell>
          <cell r="C27" t="str">
            <v>L</v>
          </cell>
          <cell r="D27" t="str">
            <v>K/1</v>
          </cell>
          <cell r="E27">
            <v>9</v>
          </cell>
        </row>
        <row r="28">
          <cell r="B28" t="str">
            <v>MAHADI</v>
          </cell>
          <cell r="C28" t="str">
            <v>L</v>
          </cell>
          <cell r="D28" t="str">
            <v>K/1</v>
          </cell>
          <cell r="E28">
            <v>9</v>
          </cell>
        </row>
        <row r="29">
          <cell r="B29" t="str">
            <v>SISWANTO</v>
          </cell>
          <cell r="C29" t="str">
            <v>L</v>
          </cell>
          <cell r="D29" t="str">
            <v>K/1</v>
          </cell>
          <cell r="E29">
            <v>9</v>
          </cell>
        </row>
        <row r="30">
          <cell r="B30" t="str">
            <v>ANTON GIANTO NUGROHO</v>
          </cell>
          <cell r="C30" t="str">
            <v>L</v>
          </cell>
          <cell r="D30" t="str">
            <v>K/0</v>
          </cell>
          <cell r="E30">
            <v>9</v>
          </cell>
        </row>
        <row r="31">
          <cell r="B31" t="str">
            <v>SARTONO</v>
          </cell>
          <cell r="C31" t="str">
            <v>L</v>
          </cell>
          <cell r="D31" t="str">
            <v>K/1</v>
          </cell>
          <cell r="E31">
            <v>9</v>
          </cell>
        </row>
        <row r="32">
          <cell r="E32">
            <v>0</v>
          </cell>
        </row>
        <row r="35">
          <cell r="B35" t="str">
            <v>ROSADI</v>
          </cell>
          <cell r="C35" t="str">
            <v>L</v>
          </cell>
          <cell r="D35" t="str">
            <v>K1</v>
          </cell>
          <cell r="E35">
            <v>3</v>
          </cell>
          <cell r="R35">
            <v>11171937.300000001</v>
          </cell>
          <cell r="S35">
            <v>3676979</v>
          </cell>
        </row>
        <row r="36">
          <cell r="B36" t="str">
            <v>FEBRIANSYAH</v>
          </cell>
          <cell r="C36" t="str">
            <v>L</v>
          </cell>
          <cell r="D36" t="str">
            <v>K2</v>
          </cell>
          <cell r="E36">
            <v>3</v>
          </cell>
          <cell r="R36">
            <v>18058338.57</v>
          </cell>
          <cell r="S36">
            <v>3703979</v>
          </cell>
        </row>
        <row r="37">
          <cell r="B37" t="str">
            <v>SAYUTI</v>
          </cell>
          <cell r="C37" t="str">
            <v>L</v>
          </cell>
          <cell r="D37" t="str">
            <v>K2</v>
          </cell>
          <cell r="E37">
            <v>3</v>
          </cell>
          <cell r="R37">
            <v>13602237.130000001</v>
          </cell>
          <cell r="S37">
            <v>3707479</v>
          </cell>
        </row>
        <row r="38">
          <cell r="B38" t="str">
            <v>MAHADI</v>
          </cell>
          <cell r="C38" t="str">
            <v>L</v>
          </cell>
          <cell r="D38" t="str">
            <v>K1</v>
          </cell>
          <cell r="E38">
            <v>3</v>
          </cell>
          <cell r="R38">
            <v>19059513.84</v>
          </cell>
          <cell r="S38">
            <v>3673479</v>
          </cell>
        </row>
        <row r="39">
          <cell r="B39" t="str">
            <v>SAINA</v>
          </cell>
          <cell r="C39" t="str">
            <v>P</v>
          </cell>
          <cell r="D39" t="str">
            <v>TK</v>
          </cell>
          <cell r="E39">
            <v>3</v>
          </cell>
          <cell r="R39">
            <v>10880937.300000001</v>
          </cell>
          <cell r="S39">
            <v>3626979</v>
          </cell>
        </row>
        <row r="40">
          <cell r="B40" t="str">
            <v>NUR AINI</v>
          </cell>
          <cell r="C40" t="str">
            <v>P</v>
          </cell>
          <cell r="D40" t="str">
            <v>TK</v>
          </cell>
          <cell r="E40">
            <v>3</v>
          </cell>
          <cell r="R40">
            <v>10880937.300000001</v>
          </cell>
          <cell r="S40">
            <v>3626979</v>
          </cell>
        </row>
        <row r="41">
          <cell r="B41" t="str">
            <v>NOVIANTI</v>
          </cell>
          <cell r="C41" t="str">
            <v>P</v>
          </cell>
          <cell r="D41" t="str">
            <v>TK</v>
          </cell>
          <cell r="E41">
            <v>3</v>
          </cell>
          <cell r="R41">
            <v>10835437.300000001</v>
          </cell>
          <cell r="S41">
            <v>3612979</v>
          </cell>
        </row>
        <row r="48">
          <cell r="W48">
            <v>118823</v>
          </cell>
        </row>
        <row r="49">
          <cell r="W49">
            <v>646505</v>
          </cell>
        </row>
        <row r="50">
          <cell r="W50">
            <v>183411</v>
          </cell>
        </row>
        <row r="51">
          <cell r="W51">
            <v>89762</v>
          </cell>
        </row>
        <row r="52">
          <cell r="W52">
            <v>233699</v>
          </cell>
        </row>
        <row r="53">
          <cell r="W53">
            <v>78760</v>
          </cell>
        </row>
        <row r="54">
          <cell r="W54">
            <v>779732</v>
          </cell>
        </row>
        <row r="55">
          <cell r="W55">
            <v>83954</v>
          </cell>
        </row>
        <row r="56">
          <cell r="W56">
            <v>116949</v>
          </cell>
        </row>
        <row r="57">
          <cell r="W57">
            <v>77873</v>
          </cell>
        </row>
        <row r="58">
          <cell r="W58">
            <v>0</v>
          </cell>
        </row>
        <row r="59">
          <cell r="W59">
            <v>80306</v>
          </cell>
        </row>
        <row r="60">
          <cell r="W60">
            <v>116520</v>
          </cell>
        </row>
        <row r="61">
          <cell r="W61">
            <v>79095</v>
          </cell>
        </row>
        <row r="62">
          <cell r="W62">
            <v>562039</v>
          </cell>
        </row>
        <row r="63">
          <cell r="W63">
            <v>78194</v>
          </cell>
        </row>
        <row r="64">
          <cell r="W64">
            <v>510688</v>
          </cell>
        </row>
        <row r="65">
          <cell r="W65">
            <v>126115</v>
          </cell>
        </row>
        <row r="66">
          <cell r="W66">
            <v>734104</v>
          </cell>
        </row>
        <row r="67">
          <cell r="W67">
            <v>700287</v>
          </cell>
        </row>
        <row r="68">
          <cell r="W68">
            <v>1201718</v>
          </cell>
        </row>
        <row r="69">
          <cell r="W69">
            <v>262627</v>
          </cell>
        </row>
        <row r="70">
          <cell r="W70">
            <v>941142</v>
          </cell>
        </row>
        <row r="71">
          <cell r="W71">
            <v>587160</v>
          </cell>
        </row>
        <row r="72">
          <cell r="W72">
            <v>117262</v>
          </cell>
        </row>
        <row r="73">
          <cell r="W73">
            <v>80914</v>
          </cell>
        </row>
        <row r="74">
          <cell r="W74">
            <v>0</v>
          </cell>
        </row>
        <row r="75">
          <cell r="W75">
            <v>8587639</v>
          </cell>
        </row>
      </sheetData>
      <sheetData sheetId="1" refreshError="1"/>
      <sheetData sheetId="2">
        <row r="6">
          <cell r="O6">
            <v>1332360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D4" workbookViewId="0">
      <selection activeCell="U18" sqref="U18"/>
    </sheetView>
  </sheetViews>
  <sheetFormatPr defaultColWidth="8.7109375" defaultRowHeight="15" customHeight="1"/>
  <cols>
    <col min="1" max="1" width="4.7109375" style="131" customWidth="1"/>
    <col min="2" max="2" width="13.7109375" style="9" customWidth="1"/>
    <col min="3" max="3" width="4.7109375" style="131" customWidth="1"/>
    <col min="4" max="4" width="14.7109375" style="9" customWidth="1"/>
    <col min="5" max="5" width="8.7109375" style="16" customWidth="1"/>
    <col min="6" max="7" width="4.7109375" style="131" customWidth="1"/>
    <col min="8" max="8" width="13.7109375" style="131" customWidth="1"/>
    <col min="9" max="9" width="4.7109375" style="131" customWidth="1"/>
    <col min="10" max="10" width="14.7109375" style="131" customWidth="1"/>
    <col min="11" max="11" width="8.7109375" style="14" customWidth="1"/>
    <col min="12" max="13" width="4.7109375" style="131" customWidth="1"/>
    <col min="14" max="14" width="13.7109375" style="131" customWidth="1"/>
    <col min="15" max="15" width="4.7109375" style="131" customWidth="1"/>
    <col min="16" max="16" width="14.7109375" style="131" customWidth="1"/>
    <col min="17" max="17" width="8.7109375" style="14" customWidth="1"/>
    <col min="18" max="18" width="4.7109375" style="131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131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132" t="s">
        <v>0</v>
      </c>
      <c r="B2" s="674" t="s">
        <v>3</v>
      </c>
      <c r="C2" s="674"/>
      <c r="D2" s="674"/>
      <c r="E2" s="5" t="s">
        <v>1</v>
      </c>
      <c r="G2" s="132" t="s">
        <v>0</v>
      </c>
      <c r="H2" s="674" t="s">
        <v>3</v>
      </c>
      <c r="I2" s="674"/>
      <c r="J2" s="674"/>
      <c r="K2" s="5" t="s">
        <v>4</v>
      </c>
      <c r="M2" s="132" t="s">
        <v>0</v>
      </c>
      <c r="N2" s="674" t="s">
        <v>3</v>
      </c>
      <c r="O2" s="674"/>
      <c r="P2" s="674"/>
      <c r="Q2" s="5" t="s">
        <v>5</v>
      </c>
      <c r="S2" s="674" t="s">
        <v>14</v>
      </c>
      <c r="T2" s="674"/>
      <c r="U2" s="674"/>
      <c r="V2" s="132" t="s">
        <v>13</v>
      </c>
      <c r="X2" s="26"/>
    </row>
    <row r="3" spans="1:25" ht="15" customHeight="1">
      <c r="A3" s="133">
        <v>1</v>
      </c>
      <c r="B3" s="19">
        <v>0</v>
      </c>
      <c r="C3" s="133" t="s">
        <v>2</v>
      </c>
      <c r="D3" s="7">
        <v>5400000</v>
      </c>
      <c r="E3" s="13">
        <v>0</v>
      </c>
      <c r="G3" s="133">
        <v>1</v>
      </c>
      <c r="H3" s="19">
        <v>0</v>
      </c>
      <c r="I3" s="133" t="s">
        <v>2</v>
      </c>
      <c r="J3" s="7">
        <v>6200000</v>
      </c>
      <c r="K3" s="13">
        <v>0</v>
      </c>
      <c r="M3" s="133">
        <v>1</v>
      </c>
      <c r="N3" s="19">
        <v>0</v>
      </c>
      <c r="O3" s="133" t="s">
        <v>2</v>
      </c>
      <c r="P3" s="7">
        <v>6600000</v>
      </c>
      <c r="Q3" s="13">
        <v>0</v>
      </c>
      <c r="S3" s="19">
        <v>0</v>
      </c>
      <c r="T3" s="133" t="s">
        <v>2</v>
      </c>
      <c r="U3" s="4">
        <v>450000</v>
      </c>
      <c r="V3" s="17">
        <v>0</v>
      </c>
      <c r="X3" s="26"/>
    </row>
    <row r="4" spans="1:25" ht="15" customHeight="1">
      <c r="A4" s="133">
        <f>A3+1</f>
        <v>2</v>
      </c>
      <c r="B4" s="7">
        <f>D3+1</f>
        <v>5400001</v>
      </c>
      <c r="C4" s="133" t="s">
        <v>2</v>
      </c>
      <c r="D4" s="7">
        <v>5650000</v>
      </c>
      <c r="E4" s="13">
        <v>2.5000000000000001E-3</v>
      </c>
      <c r="G4" s="133">
        <f>G3+1</f>
        <v>2</v>
      </c>
      <c r="H4" s="7">
        <f>J3+1</f>
        <v>6200001</v>
      </c>
      <c r="I4" s="133" t="s">
        <v>2</v>
      </c>
      <c r="J4" s="7">
        <v>6500000</v>
      </c>
      <c r="K4" s="13">
        <v>2.5000000000000001E-3</v>
      </c>
      <c r="M4" s="133">
        <f>M3+1</f>
        <v>2</v>
      </c>
      <c r="N4" s="7">
        <f>P3+1</f>
        <v>6600001</v>
      </c>
      <c r="O4" s="133" t="s">
        <v>2</v>
      </c>
      <c r="P4" s="7">
        <v>6950000</v>
      </c>
      <c r="Q4" s="13">
        <v>2.5000000000000001E-3</v>
      </c>
      <c r="S4" s="4">
        <v>450001</v>
      </c>
      <c r="T4" s="133" t="s">
        <v>2</v>
      </c>
      <c r="U4" s="4">
        <v>2500000</v>
      </c>
      <c r="V4" s="18">
        <v>5.0000000000000001E-3</v>
      </c>
      <c r="X4" s="26"/>
    </row>
    <row r="5" spans="1:25" ht="15" customHeight="1">
      <c r="A5" s="133">
        <f t="shared" ref="A5:A46" si="0">A4+1</f>
        <v>3</v>
      </c>
      <c r="B5" s="7">
        <f t="shared" ref="B5:B46" si="1">D4+1</f>
        <v>5650001</v>
      </c>
      <c r="C5" s="133" t="s">
        <v>2</v>
      </c>
      <c r="D5" s="7">
        <v>5950000</v>
      </c>
      <c r="E5" s="13">
        <v>5.0000000000000001E-3</v>
      </c>
      <c r="G5" s="133">
        <f t="shared" ref="G5:G42" si="2">G4+1</f>
        <v>3</v>
      </c>
      <c r="H5" s="7">
        <f t="shared" ref="H5:H42" si="3">J4+1</f>
        <v>6500001</v>
      </c>
      <c r="I5" s="133" t="s">
        <v>2</v>
      </c>
      <c r="J5" s="7">
        <v>6850000</v>
      </c>
      <c r="K5" s="13">
        <v>5.0000000000000001E-3</v>
      </c>
      <c r="M5" s="133">
        <f t="shared" ref="M5:M42" si="4">M4+1</f>
        <v>3</v>
      </c>
      <c r="N5" s="7">
        <f t="shared" ref="N5:N43" si="5">P4+1</f>
        <v>6950001</v>
      </c>
      <c r="O5" s="133" t="s">
        <v>2</v>
      </c>
      <c r="P5" s="7">
        <v>7350000</v>
      </c>
      <c r="Q5" s="13">
        <v>5.0000000000000001E-3</v>
      </c>
    </row>
    <row r="6" spans="1:25" ht="15" customHeight="1">
      <c r="A6" s="133">
        <f t="shared" si="0"/>
        <v>4</v>
      </c>
      <c r="B6" s="7">
        <f t="shared" si="1"/>
        <v>5950001</v>
      </c>
      <c r="C6" s="133" t="s">
        <v>2</v>
      </c>
      <c r="D6" s="7">
        <v>6300000</v>
      </c>
      <c r="E6" s="13">
        <v>7.4999999999999997E-3</v>
      </c>
      <c r="G6" s="133">
        <f t="shared" si="2"/>
        <v>4</v>
      </c>
      <c r="H6" s="7">
        <f t="shared" si="3"/>
        <v>6850001</v>
      </c>
      <c r="I6" s="133" t="s">
        <v>2</v>
      </c>
      <c r="J6" s="7">
        <v>7300000</v>
      </c>
      <c r="K6" s="13">
        <v>7.4999999999999997E-3</v>
      </c>
      <c r="M6" s="133">
        <f t="shared" si="4"/>
        <v>4</v>
      </c>
      <c r="N6" s="7">
        <f t="shared" si="5"/>
        <v>7350001</v>
      </c>
      <c r="O6" s="133" t="s">
        <v>2</v>
      </c>
      <c r="P6" s="7">
        <v>7800000</v>
      </c>
      <c r="Q6" s="13">
        <v>7.4999999999999997E-3</v>
      </c>
    </row>
    <row r="7" spans="1:25" ht="15" customHeight="1">
      <c r="A7" s="133">
        <f t="shared" si="0"/>
        <v>5</v>
      </c>
      <c r="B7" s="7">
        <f t="shared" si="1"/>
        <v>6300001</v>
      </c>
      <c r="C7" s="133" t="s">
        <v>2</v>
      </c>
      <c r="D7" s="7">
        <v>6750000</v>
      </c>
      <c r="E7" s="13">
        <v>0.01</v>
      </c>
      <c r="G7" s="133">
        <f t="shared" si="2"/>
        <v>5</v>
      </c>
      <c r="H7" s="7">
        <f t="shared" si="3"/>
        <v>7300001</v>
      </c>
      <c r="I7" s="133" t="s">
        <v>2</v>
      </c>
      <c r="J7" s="7">
        <v>9200000</v>
      </c>
      <c r="K7" s="13">
        <v>0.01</v>
      </c>
      <c r="M7" s="133">
        <f t="shared" si="4"/>
        <v>5</v>
      </c>
      <c r="N7" s="7">
        <f t="shared" si="5"/>
        <v>7800001</v>
      </c>
      <c r="O7" s="133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133">
        <f t="shared" si="0"/>
        <v>6</v>
      </c>
      <c r="B8" s="7">
        <f t="shared" si="1"/>
        <v>6750001</v>
      </c>
      <c r="C8" s="133" t="s">
        <v>2</v>
      </c>
      <c r="D8" s="7">
        <v>7500000</v>
      </c>
      <c r="E8" s="13">
        <v>1.2500000000000001E-2</v>
      </c>
      <c r="G8" s="133">
        <f t="shared" si="2"/>
        <v>6</v>
      </c>
      <c r="H8" s="7">
        <f t="shared" si="3"/>
        <v>9200001</v>
      </c>
      <c r="I8" s="133" t="s">
        <v>2</v>
      </c>
      <c r="J8" s="7">
        <v>10750000</v>
      </c>
      <c r="K8" s="13">
        <v>1.4999999999999999E-2</v>
      </c>
      <c r="M8" s="133">
        <f t="shared" si="4"/>
        <v>6</v>
      </c>
      <c r="N8" s="7">
        <f t="shared" si="5"/>
        <v>8850001</v>
      </c>
      <c r="O8" s="133" t="s">
        <v>2</v>
      </c>
      <c r="P8" s="7">
        <v>9800000</v>
      </c>
      <c r="Q8" s="13">
        <v>1.2500000000000001E-2</v>
      </c>
      <c r="S8" s="674" t="s">
        <v>22</v>
      </c>
      <c r="T8" s="674"/>
      <c r="U8" s="674"/>
      <c r="V8" s="132" t="s">
        <v>13</v>
      </c>
    </row>
    <row r="9" spans="1:25" ht="15" customHeight="1">
      <c r="A9" s="133">
        <f t="shared" si="0"/>
        <v>7</v>
      </c>
      <c r="B9" s="7">
        <f t="shared" si="1"/>
        <v>7500001</v>
      </c>
      <c r="C9" s="133" t="s">
        <v>2</v>
      </c>
      <c r="D9" s="7">
        <v>8550000</v>
      </c>
      <c r="E9" s="13">
        <v>1.5000000000000001E-2</v>
      </c>
      <c r="G9" s="133">
        <f t="shared" si="2"/>
        <v>7</v>
      </c>
      <c r="H9" s="7">
        <f t="shared" si="3"/>
        <v>10750001</v>
      </c>
      <c r="I9" s="133" t="s">
        <v>2</v>
      </c>
      <c r="J9" s="7">
        <v>11250000</v>
      </c>
      <c r="K9" s="13">
        <v>0.02</v>
      </c>
      <c r="M9" s="133">
        <f t="shared" si="4"/>
        <v>7</v>
      </c>
      <c r="N9" s="7">
        <f t="shared" si="5"/>
        <v>9800001</v>
      </c>
      <c r="O9" s="133" t="s">
        <v>2</v>
      </c>
      <c r="P9" s="7">
        <v>10950000</v>
      </c>
      <c r="Q9" s="13">
        <v>1.5000000000000001E-2</v>
      </c>
      <c r="S9" s="19">
        <v>0</v>
      </c>
      <c r="T9" s="133" t="s">
        <v>2</v>
      </c>
      <c r="U9" s="4">
        <v>60000000</v>
      </c>
      <c r="V9" s="17">
        <v>0.05</v>
      </c>
    </row>
    <row r="10" spans="1:25" ht="15" customHeight="1">
      <c r="A10" s="133">
        <f t="shared" si="0"/>
        <v>8</v>
      </c>
      <c r="B10" s="7">
        <f t="shared" si="1"/>
        <v>8550001</v>
      </c>
      <c r="C10" s="133" t="s">
        <v>2</v>
      </c>
      <c r="D10" s="7">
        <v>9650000</v>
      </c>
      <c r="E10" s="13">
        <v>1.7500000000000002E-2</v>
      </c>
      <c r="G10" s="133">
        <f t="shared" si="2"/>
        <v>8</v>
      </c>
      <c r="H10" s="7">
        <f t="shared" si="3"/>
        <v>11250001</v>
      </c>
      <c r="I10" s="133" t="s">
        <v>2</v>
      </c>
      <c r="J10" s="7">
        <v>11600000</v>
      </c>
      <c r="K10" s="13">
        <v>2.5000000000000001E-2</v>
      </c>
      <c r="M10" s="133">
        <f t="shared" si="4"/>
        <v>8</v>
      </c>
      <c r="N10" s="7">
        <f t="shared" si="5"/>
        <v>10950001</v>
      </c>
      <c r="O10" s="133" t="s">
        <v>2</v>
      </c>
      <c r="P10" s="7">
        <v>11200000</v>
      </c>
      <c r="Q10" s="13">
        <v>1.7500000000000002E-2</v>
      </c>
      <c r="S10" s="4">
        <f>U9+1</f>
        <v>60000001</v>
      </c>
      <c r="T10" s="133" t="s">
        <v>2</v>
      </c>
      <c r="U10" s="4">
        <v>250000000</v>
      </c>
      <c r="V10" s="17">
        <v>0.15</v>
      </c>
    </row>
    <row r="11" spans="1:25" ht="15" customHeight="1">
      <c r="A11" s="133">
        <f t="shared" si="0"/>
        <v>9</v>
      </c>
      <c r="B11" s="7">
        <f t="shared" si="1"/>
        <v>9650001</v>
      </c>
      <c r="C11" s="133" t="s">
        <v>2</v>
      </c>
      <c r="D11" s="7">
        <v>10050000</v>
      </c>
      <c r="E11" s="13">
        <v>0.02</v>
      </c>
      <c r="G11" s="133">
        <f t="shared" si="2"/>
        <v>9</v>
      </c>
      <c r="H11" s="7">
        <f t="shared" si="3"/>
        <v>11600001</v>
      </c>
      <c r="I11" s="133" t="s">
        <v>2</v>
      </c>
      <c r="J11" s="7">
        <v>12600000</v>
      </c>
      <c r="K11" s="13">
        <v>3.0000000000000002E-2</v>
      </c>
      <c r="M11" s="133">
        <f t="shared" si="4"/>
        <v>9</v>
      </c>
      <c r="N11" s="7">
        <f t="shared" si="5"/>
        <v>11200001</v>
      </c>
      <c r="O11" s="133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133" t="s">
        <v>2</v>
      </c>
      <c r="U11" s="4">
        <v>500000000</v>
      </c>
      <c r="V11" s="17">
        <v>0.25</v>
      </c>
    </row>
    <row r="12" spans="1:25" ht="15" customHeight="1">
      <c r="A12" s="133">
        <f t="shared" si="0"/>
        <v>10</v>
      </c>
      <c r="B12" s="7">
        <f t="shared" si="1"/>
        <v>10050001</v>
      </c>
      <c r="C12" s="133" t="s">
        <v>2</v>
      </c>
      <c r="D12" s="7">
        <v>10350000</v>
      </c>
      <c r="E12" s="13">
        <v>2.2499999999999999E-2</v>
      </c>
      <c r="G12" s="133">
        <f t="shared" si="2"/>
        <v>10</v>
      </c>
      <c r="H12" s="7">
        <f t="shared" si="3"/>
        <v>12600001</v>
      </c>
      <c r="I12" s="133" t="s">
        <v>2</v>
      </c>
      <c r="J12" s="7">
        <v>13600000</v>
      </c>
      <c r="K12" s="13">
        <v>0.04</v>
      </c>
      <c r="M12" s="133">
        <f t="shared" si="4"/>
        <v>10</v>
      </c>
      <c r="N12" s="7">
        <f t="shared" si="5"/>
        <v>12050001</v>
      </c>
      <c r="O12" s="133" t="s">
        <v>2</v>
      </c>
      <c r="P12" s="7">
        <v>12950000</v>
      </c>
      <c r="Q12" s="13">
        <v>0.03</v>
      </c>
      <c r="S12" s="4">
        <f t="shared" si="6"/>
        <v>500000001</v>
      </c>
      <c r="T12" s="133" t="s">
        <v>2</v>
      </c>
      <c r="U12" s="4">
        <v>5000000000</v>
      </c>
      <c r="V12" s="17">
        <v>0.3</v>
      </c>
    </row>
    <row r="13" spans="1:25" ht="15" customHeight="1">
      <c r="A13" s="133">
        <f t="shared" si="0"/>
        <v>11</v>
      </c>
      <c r="B13" s="7">
        <f t="shared" si="1"/>
        <v>10350001</v>
      </c>
      <c r="C13" s="133" t="s">
        <v>2</v>
      </c>
      <c r="D13" s="7">
        <v>10700000</v>
      </c>
      <c r="E13" s="13">
        <v>2.4999999999999998E-2</v>
      </c>
      <c r="G13" s="133">
        <f t="shared" si="2"/>
        <v>11</v>
      </c>
      <c r="H13" s="7">
        <f t="shared" si="3"/>
        <v>13600001</v>
      </c>
      <c r="I13" s="133" t="s">
        <v>2</v>
      </c>
      <c r="J13" s="7">
        <v>14950000</v>
      </c>
      <c r="K13" s="13">
        <v>0.05</v>
      </c>
      <c r="M13" s="133">
        <f t="shared" si="4"/>
        <v>11</v>
      </c>
      <c r="N13" s="7">
        <f t="shared" si="5"/>
        <v>12950001</v>
      </c>
      <c r="O13" s="133" t="s">
        <v>2</v>
      </c>
      <c r="P13" s="7">
        <v>14150000</v>
      </c>
      <c r="Q13" s="13">
        <v>0.04</v>
      </c>
      <c r="S13" s="4">
        <f t="shared" si="6"/>
        <v>5000000001</v>
      </c>
      <c r="T13" s="133" t="s">
        <v>2</v>
      </c>
      <c r="U13" s="7" t="s">
        <v>18</v>
      </c>
      <c r="V13" s="17">
        <v>0.35</v>
      </c>
    </row>
    <row r="14" spans="1:25" ht="15" customHeight="1">
      <c r="A14" s="133">
        <f t="shared" si="0"/>
        <v>12</v>
      </c>
      <c r="B14" s="7">
        <f t="shared" si="1"/>
        <v>10700001</v>
      </c>
      <c r="C14" s="133" t="s">
        <v>2</v>
      </c>
      <c r="D14" s="7">
        <v>11050000</v>
      </c>
      <c r="E14" s="13">
        <v>0.03</v>
      </c>
      <c r="G14" s="133">
        <f t="shared" si="2"/>
        <v>12</v>
      </c>
      <c r="H14" s="7">
        <f t="shared" si="3"/>
        <v>14950001</v>
      </c>
      <c r="I14" s="133" t="s">
        <v>2</v>
      </c>
      <c r="J14" s="7">
        <v>16400000</v>
      </c>
      <c r="K14" s="13">
        <v>6.0000000000000005E-2</v>
      </c>
      <c r="M14" s="133">
        <f t="shared" si="4"/>
        <v>12</v>
      </c>
      <c r="N14" s="7">
        <f t="shared" si="5"/>
        <v>14150001</v>
      </c>
      <c r="O14" s="133" t="s">
        <v>2</v>
      </c>
      <c r="P14" s="7">
        <v>1550000</v>
      </c>
      <c r="Q14" s="13">
        <v>0.05</v>
      </c>
      <c r="T14" s="673"/>
      <c r="U14" s="673"/>
    </row>
    <row r="15" spans="1:25" ht="15" customHeight="1">
      <c r="A15" s="133">
        <f t="shared" si="0"/>
        <v>13</v>
      </c>
      <c r="B15" s="7">
        <f t="shared" si="1"/>
        <v>11050001</v>
      </c>
      <c r="C15" s="133" t="s">
        <v>2</v>
      </c>
      <c r="D15" s="7">
        <v>11600000</v>
      </c>
      <c r="E15" s="13">
        <v>3.5000000000000003E-2</v>
      </c>
      <c r="G15" s="133">
        <f t="shared" si="2"/>
        <v>13</v>
      </c>
      <c r="H15" s="7">
        <f t="shared" si="3"/>
        <v>16400001</v>
      </c>
      <c r="I15" s="133" t="s">
        <v>2</v>
      </c>
      <c r="J15" s="7">
        <v>18450000</v>
      </c>
      <c r="K15" s="13">
        <v>7.0000000000000007E-2</v>
      </c>
      <c r="M15" s="133">
        <f t="shared" si="4"/>
        <v>13</v>
      </c>
      <c r="N15" s="7">
        <f t="shared" si="5"/>
        <v>1550001</v>
      </c>
      <c r="O15" s="133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133">
        <f t="shared" si="0"/>
        <v>14</v>
      </c>
      <c r="B16" s="7">
        <f t="shared" si="1"/>
        <v>11600001</v>
      </c>
      <c r="C16" s="133" t="s">
        <v>2</v>
      </c>
      <c r="D16" s="7">
        <v>12500000</v>
      </c>
      <c r="E16" s="13">
        <v>0.04</v>
      </c>
      <c r="G16" s="133">
        <f t="shared" si="2"/>
        <v>14</v>
      </c>
      <c r="H16" s="7">
        <f t="shared" si="3"/>
        <v>18450001</v>
      </c>
      <c r="I16" s="133" t="s">
        <v>2</v>
      </c>
      <c r="J16" s="7">
        <v>21850000</v>
      </c>
      <c r="K16" s="13">
        <v>0.08</v>
      </c>
      <c r="M16" s="133">
        <f t="shared" si="4"/>
        <v>14</v>
      </c>
      <c r="N16" s="7">
        <f t="shared" si="5"/>
        <v>17050001</v>
      </c>
      <c r="O16" s="133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133">
        <f t="shared" si="0"/>
        <v>15</v>
      </c>
      <c r="B17" s="7">
        <f t="shared" si="1"/>
        <v>12500001</v>
      </c>
      <c r="C17" s="133" t="s">
        <v>2</v>
      </c>
      <c r="D17" s="7">
        <v>13750000</v>
      </c>
      <c r="E17" s="13">
        <v>0.05</v>
      </c>
      <c r="G17" s="133">
        <f t="shared" si="2"/>
        <v>15</v>
      </c>
      <c r="H17" s="7">
        <f t="shared" si="3"/>
        <v>21850001</v>
      </c>
      <c r="I17" s="133" t="s">
        <v>2</v>
      </c>
      <c r="J17" s="7">
        <v>26000000</v>
      </c>
      <c r="K17" s="13">
        <v>0.09</v>
      </c>
      <c r="M17" s="133">
        <f t="shared" si="4"/>
        <v>15</v>
      </c>
      <c r="N17" s="7">
        <f t="shared" si="5"/>
        <v>19500001</v>
      </c>
      <c r="O17" s="133" t="s">
        <v>2</v>
      </c>
      <c r="P17" s="7">
        <v>22700000</v>
      </c>
      <c r="Q17" s="13">
        <v>0.08</v>
      </c>
      <c r="S17" s="674" t="s">
        <v>19</v>
      </c>
      <c r="T17" s="674"/>
      <c r="U17" s="24" t="s">
        <v>20</v>
      </c>
      <c r="V17" s="131"/>
      <c r="W17" s="131"/>
      <c r="X17" s="131"/>
      <c r="Y17" s="131"/>
    </row>
    <row r="18" spans="1:25" ht="15" customHeight="1">
      <c r="A18" s="133">
        <f t="shared" si="0"/>
        <v>16</v>
      </c>
      <c r="B18" s="7">
        <f t="shared" si="1"/>
        <v>13750001</v>
      </c>
      <c r="C18" s="133" t="s">
        <v>2</v>
      </c>
      <c r="D18" s="7">
        <v>15100000</v>
      </c>
      <c r="E18" s="13">
        <v>6.0000000000000005E-2</v>
      </c>
      <c r="G18" s="133">
        <f t="shared" si="2"/>
        <v>16</v>
      </c>
      <c r="H18" s="7">
        <f t="shared" si="3"/>
        <v>26000001</v>
      </c>
      <c r="I18" s="133" t="s">
        <v>2</v>
      </c>
      <c r="J18" s="7">
        <v>27700000</v>
      </c>
      <c r="K18" s="13">
        <v>9.9999999999999992E-2</v>
      </c>
      <c r="M18" s="133">
        <f t="shared" si="4"/>
        <v>16</v>
      </c>
      <c r="N18" s="7">
        <f t="shared" si="5"/>
        <v>22700001</v>
      </c>
      <c r="O18" s="133" t="s">
        <v>2</v>
      </c>
      <c r="P18" s="7">
        <v>26600000</v>
      </c>
      <c r="Q18" s="13">
        <v>0.09</v>
      </c>
      <c r="S18" s="675" t="s">
        <v>7</v>
      </c>
      <c r="T18" s="675"/>
      <c r="U18" s="23">
        <v>54000000</v>
      </c>
      <c r="V18" s="131"/>
      <c r="W18" s="131"/>
      <c r="X18" s="131"/>
      <c r="Y18" s="131"/>
    </row>
    <row r="19" spans="1:25" ht="15" customHeight="1">
      <c r="A19" s="133">
        <f t="shared" si="0"/>
        <v>17</v>
      </c>
      <c r="B19" s="7">
        <f t="shared" si="1"/>
        <v>15100001</v>
      </c>
      <c r="C19" s="133" t="s">
        <v>2</v>
      </c>
      <c r="D19" s="7">
        <v>16950000</v>
      </c>
      <c r="E19" s="13">
        <v>7.0000000000000007E-2</v>
      </c>
      <c r="G19" s="133">
        <f t="shared" si="2"/>
        <v>17</v>
      </c>
      <c r="H19" s="7">
        <f t="shared" si="3"/>
        <v>27700001</v>
      </c>
      <c r="I19" s="133" t="s">
        <v>2</v>
      </c>
      <c r="J19" s="7">
        <v>29350000</v>
      </c>
      <c r="K19" s="13">
        <v>0.10999999999999999</v>
      </c>
      <c r="M19" s="133">
        <f t="shared" si="4"/>
        <v>17</v>
      </c>
      <c r="N19" s="7">
        <f t="shared" si="5"/>
        <v>26600001</v>
      </c>
      <c r="O19" s="133" t="s">
        <v>2</v>
      </c>
      <c r="P19" s="7">
        <v>28100000</v>
      </c>
      <c r="Q19" s="13">
        <v>9.9999999999999992E-2</v>
      </c>
      <c r="S19" s="675" t="s">
        <v>16</v>
      </c>
      <c r="T19" s="675"/>
      <c r="U19" s="23">
        <v>58500000</v>
      </c>
      <c r="V19" s="131"/>
      <c r="W19" s="131"/>
      <c r="X19" s="131"/>
      <c r="Y19" s="131"/>
    </row>
    <row r="20" spans="1:25" ht="15" customHeight="1">
      <c r="A20" s="133">
        <f t="shared" si="0"/>
        <v>18</v>
      </c>
      <c r="B20" s="7">
        <f t="shared" si="1"/>
        <v>16950001</v>
      </c>
      <c r="C20" s="133" t="s">
        <v>2</v>
      </c>
      <c r="D20" s="7">
        <v>19750000</v>
      </c>
      <c r="E20" s="13">
        <v>0.08</v>
      </c>
      <c r="G20" s="133">
        <f t="shared" si="2"/>
        <v>18</v>
      </c>
      <c r="H20" s="7">
        <f t="shared" si="3"/>
        <v>29350001</v>
      </c>
      <c r="I20" s="133" t="s">
        <v>2</v>
      </c>
      <c r="J20" s="7">
        <v>31450000</v>
      </c>
      <c r="K20" s="13">
        <v>0.11999999999999998</v>
      </c>
      <c r="M20" s="133">
        <f t="shared" si="4"/>
        <v>18</v>
      </c>
      <c r="N20" s="7">
        <f t="shared" si="5"/>
        <v>28100001</v>
      </c>
      <c r="O20" s="133" t="s">
        <v>2</v>
      </c>
      <c r="P20" s="7">
        <v>30100000</v>
      </c>
      <c r="Q20" s="13">
        <v>0.10999999999999999</v>
      </c>
      <c r="S20" s="675" t="s">
        <v>8</v>
      </c>
      <c r="T20" s="675"/>
      <c r="U20" s="23">
        <v>63000000</v>
      </c>
      <c r="V20" s="131"/>
      <c r="W20" s="131"/>
      <c r="X20" s="131"/>
      <c r="Y20" s="131"/>
    </row>
    <row r="21" spans="1:25" ht="15" customHeight="1">
      <c r="A21" s="133">
        <f t="shared" si="0"/>
        <v>19</v>
      </c>
      <c r="B21" s="7">
        <f t="shared" si="1"/>
        <v>19750001</v>
      </c>
      <c r="C21" s="133" t="s">
        <v>2</v>
      </c>
      <c r="D21" s="7">
        <v>24150000</v>
      </c>
      <c r="E21" s="13">
        <v>0.09</v>
      </c>
      <c r="G21" s="133">
        <f t="shared" si="2"/>
        <v>19</v>
      </c>
      <c r="H21" s="7">
        <f t="shared" si="3"/>
        <v>31450001</v>
      </c>
      <c r="I21" s="133" t="s">
        <v>2</v>
      </c>
      <c r="J21" s="7">
        <v>33950000</v>
      </c>
      <c r="K21" s="13">
        <v>0.12999999999999998</v>
      </c>
      <c r="M21" s="133">
        <f t="shared" si="4"/>
        <v>19</v>
      </c>
      <c r="N21" s="7">
        <f t="shared" si="5"/>
        <v>30100001</v>
      </c>
      <c r="O21" s="133" t="s">
        <v>2</v>
      </c>
      <c r="P21" s="7">
        <v>32600000</v>
      </c>
      <c r="Q21" s="13">
        <v>0.11999999999999998</v>
      </c>
      <c r="S21" s="675" t="s">
        <v>10</v>
      </c>
      <c r="T21" s="675"/>
      <c r="U21" s="23">
        <v>67500000</v>
      </c>
      <c r="V21" s="131"/>
      <c r="W21" s="131"/>
      <c r="X21" s="131"/>
      <c r="Y21" s="131"/>
    </row>
    <row r="22" spans="1:25" ht="15" customHeight="1">
      <c r="A22" s="133">
        <f t="shared" si="0"/>
        <v>20</v>
      </c>
      <c r="B22" s="7">
        <f t="shared" si="1"/>
        <v>24150001</v>
      </c>
      <c r="C22" s="133" t="s">
        <v>2</v>
      </c>
      <c r="D22" s="7">
        <v>26450000</v>
      </c>
      <c r="E22" s="13">
        <v>9.9999999999999992E-2</v>
      </c>
      <c r="G22" s="133">
        <f t="shared" si="2"/>
        <v>20</v>
      </c>
      <c r="H22" s="7">
        <f t="shared" si="3"/>
        <v>33950001</v>
      </c>
      <c r="I22" s="133" t="s">
        <v>2</v>
      </c>
      <c r="J22" s="7">
        <v>37100000</v>
      </c>
      <c r="K22" s="13">
        <v>0.13999999999999999</v>
      </c>
      <c r="M22" s="133">
        <f t="shared" si="4"/>
        <v>20</v>
      </c>
      <c r="N22" s="7">
        <f t="shared" si="5"/>
        <v>32600001</v>
      </c>
      <c r="O22" s="133" t="s">
        <v>2</v>
      </c>
      <c r="P22" s="7">
        <v>35400000</v>
      </c>
      <c r="Q22" s="13">
        <v>0.12999999999999998</v>
      </c>
      <c r="S22" s="675" t="s">
        <v>17</v>
      </c>
      <c r="T22" s="675"/>
      <c r="U22" s="23">
        <v>58500000</v>
      </c>
      <c r="V22" s="131"/>
      <c r="W22" s="131"/>
      <c r="X22" s="131"/>
      <c r="Y22" s="131"/>
    </row>
    <row r="23" spans="1:25" ht="15" customHeight="1">
      <c r="A23" s="133">
        <f t="shared" si="0"/>
        <v>21</v>
      </c>
      <c r="B23" s="7">
        <f t="shared" si="1"/>
        <v>26450001</v>
      </c>
      <c r="C23" s="133" t="s">
        <v>2</v>
      </c>
      <c r="D23" s="7">
        <v>28000000</v>
      </c>
      <c r="E23" s="13">
        <v>0.10999999999999999</v>
      </c>
      <c r="G23" s="133">
        <f t="shared" si="2"/>
        <v>21</v>
      </c>
      <c r="H23" s="7">
        <f t="shared" si="3"/>
        <v>37100001</v>
      </c>
      <c r="I23" s="133" t="s">
        <v>2</v>
      </c>
      <c r="J23" s="7">
        <v>41100000</v>
      </c>
      <c r="K23" s="13">
        <v>0.15</v>
      </c>
      <c r="M23" s="133">
        <f t="shared" si="4"/>
        <v>21</v>
      </c>
      <c r="N23" s="7">
        <f t="shared" si="5"/>
        <v>35400001</v>
      </c>
      <c r="O23" s="133" t="s">
        <v>2</v>
      </c>
      <c r="P23" s="7">
        <v>38900000</v>
      </c>
      <c r="Q23" s="13">
        <v>0.13999999999999999</v>
      </c>
      <c r="S23" s="675" t="s">
        <v>9</v>
      </c>
      <c r="T23" s="675"/>
      <c r="U23" s="23">
        <v>63000000</v>
      </c>
      <c r="V23" s="131"/>
      <c r="W23" s="131"/>
      <c r="X23" s="131"/>
      <c r="Y23" s="131"/>
    </row>
    <row r="24" spans="1:25" ht="15" customHeight="1">
      <c r="A24" s="133">
        <f t="shared" si="0"/>
        <v>22</v>
      </c>
      <c r="B24" s="7">
        <f t="shared" si="1"/>
        <v>28000001</v>
      </c>
      <c r="C24" s="133" t="s">
        <v>2</v>
      </c>
      <c r="D24" s="7">
        <v>30050000</v>
      </c>
      <c r="E24" s="13">
        <v>0.11999999999999998</v>
      </c>
      <c r="G24" s="133">
        <f t="shared" si="2"/>
        <v>22</v>
      </c>
      <c r="H24" s="7">
        <f t="shared" si="3"/>
        <v>41100001</v>
      </c>
      <c r="I24" s="133" t="s">
        <v>2</v>
      </c>
      <c r="J24" s="7">
        <v>45800000</v>
      </c>
      <c r="K24" s="13">
        <v>0.16</v>
      </c>
      <c r="M24" s="133">
        <f t="shared" si="4"/>
        <v>22</v>
      </c>
      <c r="N24" s="7">
        <f t="shared" si="5"/>
        <v>38900001</v>
      </c>
      <c r="O24" s="133" t="s">
        <v>2</v>
      </c>
      <c r="P24" s="7">
        <v>43000000</v>
      </c>
      <c r="Q24" s="13">
        <v>0.15</v>
      </c>
      <c r="S24" s="675" t="s">
        <v>11</v>
      </c>
      <c r="T24" s="675"/>
      <c r="U24" s="23">
        <v>67500000</v>
      </c>
      <c r="V24" s="131"/>
      <c r="W24" s="131"/>
      <c r="X24" s="131"/>
      <c r="Y24" s="131"/>
    </row>
    <row r="25" spans="1:25" ht="15" customHeight="1">
      <c r="A25" s="133">
        <f t="shared" si="0"/>
        <v>23</v>
      </c>
      <c r="B25" s="7">
        <f t="shared" si="1"/>
        <v>30050001</v>
      </c>
      <c r="C25" s="133" t="s">
        <v>2</v>
      </c>
      <c r="D25" s="7">
        <v>32400000</v>
      </c>
      <c r="E25" s="13">
        <v>0.12999999999999998</v>
      </c>
      <c r="G25" s="133">
        <f t="shared" si="2"/>
        <v>23</v>
      </c>
      <c r="H25" s="7">
        <f t="shared" si="3"/>
        <v>45800001</v>
      </c>
      <c r="I25" s="133" t="s">
        <v>2</v>
      </c>
      <c r="J25" s="7">
        <v>49500000</v>
      </c>
      <c r="K25" s="13">
        <v>0.17</v>
      </c>
      <c r="M25" s="133">
        <f t="shared" si="4"/>
        <v>23</v>
      </c>
      <c r="N25" s="7">
        <f t="shared" si="5"/>
        <v>43000001</v>
      </c>
      <c r="O25" s="133" t="s">
        <v>2</v>
      </c>
      <c r="P25" s="7">
        <v>47400000</v>
      </c>
      <c r="Q25" s="13">
        <v>0.16</v>
      </c>
      <c r="S25" s="675" t="s">
        <v>12</v>
      </c>
      <c r="T25" s="675"/>
      <c r="U25" s="23">
        <v>72000000</v>
      </c>
      <c r="V25" s="131"/>
      <c r="W25" s="131"/>
      <c r="X25" s="131"/>
      <c r="Y25" s="131"/>
    </row>
    <row r="26" spans="1:25" ht="15" customHeight="1">
      <c r="A26" s="133">
        <f t="shared" si="0"/>
        <v>24</v>
      </c>
      <c r="B26" s="7">
        <f t="shared" si="1"/>
        <v>32400001</v>
      </c>
      <c r="C26" s="133" t="s">
        <v>2</v>
      </c>
      <c r="D26" s="7">
        <v>35400000</v>
      </c>
      <c r="E26" s="13">
        <v>0.13999999999999999</v>
      </c>
      <c r="G26" s="133">
        <f t="shared" si="2"/>
        <v>24</v>
      </c>
      <c r="H26" s="7">
        <f t="shared" si="3"/>
        <v>49500001</v>
      </c>
      <c r="I26" s="133" t="s">
        <v>2</v>
      </c>
      <c r="J26" s="7">
        <v>53800000</v>
      </c>
      <c r="K26" s="13">
        <v>0.18000000000000002</v>
      </c>
      <c r="M26" s="133">
        <f t="shared" si="4"/>
        <v>24</v>
      </c>
      <c r="N26" s="7">
        <f t="shared" si="5"/>
        <v>47400001</v>
      </c>
      <c r="O26" s="133" t="s">
        <v>2</v>
      </c>
      <c r="P26" s="7">
        <v>51200000</v>
      </c>
      <c r="Q26" s="13">
        <v>0.17</v>
      </c>
      <c r="V26" s="131"/>
      <c r="W26" s="131"/>
      <c r="X26" s="131"/>
      <c r="Y26" s="131"/>
    </row>
    <row r="27" spans="1:25" ht="15" customHeight="1">
      <c r="A27" s="133">
        <f t="shared" si="0"/>
        <v>25</v>
      </c>
      <c r="B27" s="7">
        <f t="shared" si="1"/>
        <v>35400001</v>
      </c>
      <c r="C27" s="133" t="s">
        <v>2</v>
      </c>
      <c r="D27" s="7">
        <v>39100000</v>
      </c>
      <c r="E27" s="13">
        <v>0.15</v>
      </c>
      <c r="G27" s="133">
        <f t="shared" si="2"/>
        <v>25</v>
      </c>
      <c r="H27" s="7">
        <f t="shared" si="3"/>
        <v>53800001</v>
      </c>
      <c r="I27" s="133" t="s">
        <v>2</v>
      </c>
      <c r="J27" s="7">
        <v>58500000</v>
      </c>
      <c r="K27" s="13">
        <v>0.19000000000000003</v>
      </c>
      <c r="M27" s="133">
        <f t="shared" si="4"/>
        <v>25</v>
      </c>
      <c r="N27" s="7">
        <f t="shared" si="5"/>
        <v>51200001</v>
      </c>
      <c r="O27" s="133" t="s">
        <v>2</v>
      </c>
      <c r="P27" s="7">
        <v>55800000</v>
      </c>
      <c r="Q27" s="13">
        <v>0.18000000000000002</v>
      </c>
      <c r="V27" s="131"/>
      <c r="W27" s="131"/>
      <c r="X27" s="131"/>
      <c r="Y27" s="131"/>
    </row>
    <row r="28" spans="1:25" ht="15" customHeight="1">
      <c r="A28" s="133">
        <f t="shared" si="0"/>
        <v>26</v>
      </c>
      <c r="B28" s="7">
        <f t="shared" si="1"/>
        <v>39100001</v>
      </c>
      <c r="C28" s="133" t="s">
        <v>2</v>
      </c>
      <c r="D28" s="7">
        <v>43850000</v>
      </c>
      <c r="E28" s="13">
        <v>0.16</v>
      </c>
      <c r="G28" s="133">
        <f t="shared" si="2"/>
        <v>26</v>
      </c>
      <c r="H28" s="7">
        <f t="shared" si="3"/>
        <v>58500001</v>
      </c>
      <c r="I28" s="133" t="s">
        <v>2</v>
      </c>
      <c r="J28" s="7">
        <v>64000000</v>
      </c>
      <c r="K28" s="13">
        <v>0.20000000000000004</v>
      </c>
      <c r="M28" s="133">
        <f t="shared" si="4"/>
        <v>26</v>
      </c>
      <c r="N28" s="7">
        <f t="shared" si="5"/>
        <v>55800001</v>
      </c>
      <c r="O28" s="133" t="s">
        <v>2</v>
      </c>
      <c r="P28" s="7">
        <v>60400000</v>
      </c>
      <c r="Q28" s="13">
        <v>0.19000000000000003</v>
      </c>
      <c r="V28" s="131"/>
      <c r="W28" s="131"/>
      <c r="X28" s="131"/>
      <c r="Y28" s="131"/>
    </row>
    <row r="29" spans="1:25" ht="15" customHeight="1">
      <c r="A29" s="133">
        <f t="shared" si="0"/>
        <v>27</v>
      </c>
      <c r="B29" s="7">
        <f t="shared" si="1"/>
        <v>43850001</v>
      </c>
      <c r="C29" s="133" t="s">
        <v>2</v>
      </c>
      <c r="D29" s="7">
        <v>47800000</v>
      </c>
      <c r="E29" s="13">
        <v>0.17</v>
      </c>
      <c r="G29" s="133">
        <f t="shared" si="2"/>
        <v>27</v>
      </c>
      <c r="H29" s="7">
        <f t="shared" si="3"/>
        <v>64000001</v>
      </c>
      <c r="I29" s="133" t="s">
        <v>2</v>
      </c>
      <c r="J29" s="7">
        <v>71000000</v>
      </c>
      <c r="K29" s="13">
        <v>0.21000000000000005</v>
      </c>
      <c r="M29" s="133">
        <f t="shared" si="4"/>
        <v>27</v>
      </c>
      <c r="N29" s="7">
        <f t="shared" si="5"/>
        <v>60400001</v>
      </c>
      <c r="O29" s="133" t="s">
        <v>2</v>
      </c>
      <c r="P29" s="7">
        <v>66700000</v>
      </c>
      <c r="Q29" s="13">
        <v>0.20000000000000004</v>
      </c>
      <c r="V29" s="131"/>
      <c r="W29" s="131"/>
      <c r="X29" s="131"/>
      <c r="Y29" s="131"/>
    </row>
    <row r="30" spans="1:25" ht="15" customHeight="1">
      <c r="A30" s="133">
        <f t="shared" si="0"/>
        <v>28</v>
      </c>
      <c r="B30" s="7">
        <f t="shared" si="1"/>
        <v>47800001</v>
      </c>
      <c r="C30" s="133" t="s">
        <v>2</v>
      </c>
      <c r="D30" s="7">
        <v>51400000</v>
      </c>
      <c r="E30" s="13">
        <v>0.18000000000000002</v>
      </c>
      <c r="G30" s="133">
        <f t="shared" si="2"/>
        <v>28</v>
      </c>
      <c r="H30" s="7">
        <f t="shared" si="3"/>
        <v>71000001</v>
      </c>
      <c r="I30" s="133" t="s">
        <v>2</v>
      </c>
      <c r="J30" s="7">
        <v>80000000</v>
      </c>
      <c r="K30" s="13">
        <v>0.22000000000000006</v>
      </c>
      <c r="M30" s="133">
        <f t="shared" si="4"/>
        <v>28</v>
      </c>
      <c r="N30" s="7">
        <f t="shared" si="5"/>
        <v>66700001</v>
      </c>
      <c r="O30" s="133" t="s">
        <v>2</v>
      </c>
      <c r="P30" s="7">
        <v>74500000</v>
      </c>
      <c r="Q30" s="13">
        <v>0.21000000000000005</v>
      </c>
      <c r="V30" s="131"/>
      <c r="W30" s="131"/>
      <c r="X30" s="131"/>
      <c r="Y30" s="131"/>
    </row>
    <row r="31" spans="1:25" ht="15" customHeight="1">
      <c r="A31" s="133">
        <f t="shared" si="0"/>
        <v>29</v>
      </c>
      <c r="B31" s="7">
        <f t="shared" si="1"/>
        <v>51400001</v>
      </c>
      <c r="C31" s="133" t="s">
        <v>2</v>
      </c>
      <c r="D31" s="7">
        <v>56300000</v>
      </c>
      <c r="E31" s="13">
        <v>0.19000000000000003</v>
      </c>
      <c r="G31" s="133">
        <f t="shared" si="2"/>
        <v>29</v>
      </c>
      <c r="H31" s="7">
        <f t="shared" si="3"/>
        <v>80000001</v>
      </c>
      <c r="I31" s="133" t="s">
        <v>2</v>
      </c>
      <c r="J31" s="7">
        <v>93000000</v>
      </c>
      <c r="K31" s="13">
        <v>0.23000000000000007</v>
      </c>
      <c r="M31" s="133">
        <f t="shared" si="4"/>
        <v>29</v>
      </c>
      <c r="N31" s="7">
        <f t="shared" si="5"/>
        <v>74500001</v>
      </c>
      <c r="O31" s="133" t="s">
        <v>2</v>
      </c>
      <c r="P31" s="7">
        <v>83200000</v>
      </c>
      <c r="Q31" s="13">
        <v>0.22000000000000006</v>
      </c>
      <c r="S31" s="114"/>
      <c r="U31" s="115"/>
      <c r="V31" s="131"/>
      <c r="W31" s="131"/>
      <c r="X31" s="131"/>
      <c r="Y31" s="131"/>
    </row>
    <row r="32" spans="1:25" ht="15" customHeight="1">
      <c r="A32" s="133">
        <f t="shared" si="0"/>
        <v>30</v>
      </c>
      <c r="B32" s="7">
        <f t="shared" si="1"/>
        <v>56300001</v>
      </c>
      <c r="C32" s="133" t="s">
        <v>2</v>
      </c>
      <c r="D32" s="7">
        <v>62200000</v>
      </c>
      <c r="E32" s="13">
        <v>0.20000000000000004</v>
      </c>
      <c r="G32" s="133">
        <f t="shared" si="2"/>
        <v>30</v>
      </c>
      <c r="H32" s="7">
        <f t="shared" si="3"/>
        <v>93000001</v>
      </c>
      <c r="I32" s="133" t="s">
        <v>2</v>
      </c>
      <c r="J32" s="7">
        <v>109000000</v>
      </c>
      <c r="K32" s="13">
        <v>0.24000000000000007</v>
      </c>
      <c r="M32" s="133">
        <f t="shared" si="4"/>
        <v>30</v>
      </c>
      <c r="N32" s="7">
        <f t="shared" si="5"/>
        <v>83200001</v>
      </c>
      <c r="O32" s="133" t="s">
        <v>2</v>
      </c>
      <c r="P32" s="7">
        <v>95600000</v>
      </c>
      <c r="Q32" s="13">
        <v>0.23000000000000007</v>
      </c>
      <c r="V32" s="131"/>
      <c r="W32" s="131"/>
      <c r="X32" s="131"/>
      <c r="Y32" s="131"/>
    </row>
    <row r="33" spans="1:25" ht="15" customHeight="1">
      <c r="A33" s="133">
        <f t="shared" si="0"/>
        <v>31</v>
      </c>
      <c r="B33" s="7">
        <f t="shared" si="1"/>
        <v>62200001</v>
      </c>
      <c r="C33" s="133" t="s">
        <v>2</v>
      </c>
      <c r="D33" s="7">
        <v>68600000</v>
      </c>
      <c r="E33" s="13">
        <v>0.21000000000000005</v>
      </c>
      <c r="G33" s="133">
        <f t="shared" si="2"/>
        <v>31</v>
      </c>
      <c r="H33" s="7">
        <f t="shared" si="3"/>
        <v>109000001</v>
      </c>
      <c r="I33" s="133" t="s">
        <v>2</v>
      </c>
      <c r="J33" s="7">
        <v>129000000</v>
      </c>
      <c r="K33" s="13">
        <v>0.25000000000000006</v>
      </c>
      <c r="M33" s="133">
        <f t="shared" si="4"/>
        <v>31</v>
      </c>
      <c r="N33" s="7">
        <f t="shared" si="5"/>
        <v>95600001</v>
      </c>
      <c r="O33" s="133" t="s">
        <v>2</v>
      </c>
      <c r="P33" s="7">
        <v>110000000</v>
      </c>
      <c r="Q33" s="13">
        <v>0.24000000000000007</v>
      </c>
      <c r="S33" s="116"/>
      <c r="T33" s="131"/>
      <c r="U33" s="131"/>
      <c r="V33" s="131"/>
      <c r="W33" s="131"/>
      <c r="X33" s="131"/>
      <c r="Y33" s="131"/>
    </row>
    <row r="34" spans="1:25" ht="15" customHeight="1">
      <c r="A34" s="133">
        <f t="shared" si="0"/>
        <v>32</v>
      </c>
      <c r="B34" s="7">
        <f t="shared" si="1"/>
        <v>68600001</v>
      </c>
      <c r="C34" s="133" t="s">
        <v>2</v>
      </c>
      <c r="D34" s="7">
        <v>77500000</v>
      </c>
      <c r="E34" s="13">
        <v>0.22000000000000006</v>
      </c>
      <c r="G34" s="133">
        <f t="shared" si="2"/>
        <v>32</v>
      </c>
      <c r="H34" s="7">
        <f t="shared" si="3"/>
        <v>129000001</v>
      </c>
      <c r="I34" s="133" t="s">
        <v>2</v>
      </c>
      <c r="J34" s="7">
        <v>163000000</v>
      </c>
      <c r="K34" s="13">
        <v>0.26000000000000006</v>
      </c>
      <c r="M34" s="133">
        <f t="shared" si="4"/>
        <v>32</v>
      </c>
      <c r="N34" s="7">
        <f t="shared" si="5"/>
        <v>110000001</v>
      </c>
      <c r="O34" s="133" t="s">
        <v>2</v>
      </c>
      <c r="P34" s="7">
        <v>134000000</v>
      </c>
      <c r="Q34" s="13">
        <v>0.25000000000000006</v>
      </c>
      <c r="T34" s="131"/>
      <c r="U34" s="131"/>
      <c r="V34" s="131"/>
      <c r="W34" s="131"/>
      <c r="X34" s="131"/>
      <c r="Y34" s="131"/>
    </row>
    <row r="35" spans="1:25" ht="15" customHeight="1">
      <c r="A35" s="133">
        <f t="shared" si="0"/>
        <v>33</v>
      </c>
      <c r="B35" s="7">
        <f t="shared" si="1"/>
        <v>77500001</v>
      </c>
      <c r="C35" s="133" t="s">
        <v>2</v>
      </c>
      <c r="D35" s="7">
        <v>89000000</v>
      </c>
      <c r="E35" s="13">
        <v>0.23000000000000007</v>
      </c>
      <c r="G35" s="133">
        <f t="shared" si="2"/>
        <v>33</v>
      </c>
      <c r="H35" s="7">
        <f t="shared" si="3"/>
        <v>163000001</v>
      </c>
      <c r="I35" s="133" t="s">
        <v>2</v>
      </c>
      <c r="J35" s="7">
        <v>211000000</v>
      </c>
      <c r="K35" s="13">
        <v>0.27000000000000007</v>
      </c>
      <c r="M35" s="133">
        <f t="shared" si="4"/>
        <v>33</v>
      </c>
      <c r="N35" s="7">
        <f t="shared" si="5"/>
        <v>134000001</v>
      </c>
      <c r="O35" s="133" t="s">
        <v>2</v>
      </c>
      <c r="P35" s="7">
        <v>169000000</v>
      </c>
      <c r="Q35" s="13">
        <v>0.26000000000000006</v>
      </c>
      <c r="T35" s="131"/>
      <c r="U35" s="131"/>
      <c r="V35" s="131"/>
      <c r="W35" s="131"/>
      <c r="X35" s="131"/>
      <c r="Y35" s="131"/>
    </row>
    <row r="36" spans="1:25" ht="15" customHeight="1">
      <c r="A36" s="133">
        <f t="shared" si="0"/>
        <v>34</v>
      </c>
      <c r="B36" s="7">
        <f t="shared" si="1"/>
        <v>89000001</v>
      </c>
      <c r="C36" s="133" t="s">
        <v>2</v>
      </c>
      <c r="D36" s="7">
        <v>103000000</v>
      </c>
      <c r="E36" s="13">
        <v>0.24000000000000007</v>
      </c>
      <c r="G36" s="133">
        <f t="shared" si="2"/>
        <v>34</v>
      </c>
      <c r="H36" s="7">
        <f t="shared" si="3"/>
        <v>211000001</v>
      </c>
      <c r="I36" s="133" t="s">
        <v>2</v>
      </c>
      <c r="J36" s="7">
        <v>374000000</v>
      </c>
      <c r="K36" s="13">
        <v>0.28000000000000008</v>
      </c>
      <c r="M36" s="133">
        <f t="shared" si="4"/>
        <v>34</v>
      </c>
      <c r="N36" s="7">
        <f t="shared" si="5"/>
        <v>169000001</v>
      </c>
      <c r="O36" s="133" t="s">
        <v>2</v>
      </c>
      <c r="P36" s="7">
        <v>221000000</v>
      </c>
      <c r="Q36" s="13">
        <v>0.27000000000000007</v>
      </c>
      <c r="T36" s="131"/>
      <c r="U36" s="131"/>
      <c r="V36" s="131"/>
      <c r="W36" s="131"/>
      <c r="X36" s="131"/>
      <c r="Y36" s="131"/>
    </row>
    <row r="37" spans="1:25" ht="15" customHeight="1">
      <c r="A37" s="133">
        <f t="shared" si="0"/>
        <v>35</v>
      </c>
      <c r="B37" s="7">
        <f t="shared" si="1"/>
        <v>103000001</v>
      </c>
      <c r="C37" s="133" t="s">
        <v>2</v>
      </c>
      <c r="D37" s="7">
        <v>125000000</v>
      </c>
      <c r="E37" s="13">
        <v>0.25000000000000006</v>
      </c>
      <c r="G37" s="133">
        <f t="shared" si="2"/>
        <v>35</v>
      </c>
      <c r="H37" s="7">
        <f t="shared" si="3"/>
        <v>374000001</v>
      </c>
      <c r="I37" s="133" t="s">
        <v>2</v>
      </c>
      <c r="J37" s="7">
        <v>459000000</v>
      </c>
      <c r="K37" s="13">
        <v>0.29000000000000009</v>
      </c>
      <c r="M37" s="133">
        <f t="shared" si="4"/>
        <v>35</v>
      </c>
      <c r="N37" s="7">
        <f t="shared" si="5"/>
        <v>221000001</v>
      </c>
      <c r="O37" s="133" t="s">
        <v>2</v>
      </c>
      <c r="P37" s="7">
        <v>390000000</v>
      </c>
      <c r="Q37" s="13">
        <v>0.28000000000000008</v>
      </c>
      <c r="T37" s="131"/>
      <c r="U37" s="131"/>
      <c r="V37" s="131"/>
      <c r="W37" s="131"/>
      <c r="X37" s="131"/>
      <c r="Y37" s="131"/>
    </row>
    <row r="38" spans="1:25" ht="15" customHeight="1">
      <c r="A38" s="133">
        <f t="shared" si="0"/>
        <v>36</v>
      </c>
      <c r="B38" s="7">
        <f t="shared" si="1"/>
        <v>125000001</v>
      </c>
      <c r="C38" s="133" t="s">
        <v>2</v>
      </c>
      <c r="D38" s="7">
        <v>157000000</v>
      </c>
      <c r="E38" s="13">
        <v>0.26000000000000006</v>
      </c>
      <c r="G38" s="133">
        <f t="shared" si="2"/>
        <v>36</v>
      </c>
      <c r="H38" s="7">
        <f t="shared" si="3"/>
        <v>459000001</v>
      </c>
      <c r="I38" s="133" t="s">
        <v>2</v>
      </c>
      <c r="J38" s="7">
        <v>555000000</v>
      </c>
      <c r="K38" s="13">
        <v>0.3000000000000001</v>
      </c>
      <c r="M38" s="133">
        <f t="shared" si="4"/>
        <v>36</v>
      </c>
      <c r="N38" s="7">
        <f t="shared" si="5"/>
        <v>390000001</v>
      </c>
      <c r="O38" s="133" t="s">
        <v>2</v>
      </c>
      <c r="P38" s="7">
        <v>463000000</v>
      </c>
      <c r="Q38" s="13">
        <v>0.29000000000000009</v>
      </c>
      <c r="T38" s="131"/>
      <c r="U38" s="131"/>
      <c r="V38" s="131"/>
      <c r="W38" s="131"/>
      <c r="X38" s="131"/>
      <c r="Y38" s="131"/>
    </row>
    <row r="39" spans="1:25" ht="15" customHeight="1">
      <c r="A39" s="133">
        <f t="shared" si="0"/>
        <v>37</v>
      </c>
      <c r="B39" s="7">
        <f t="shared" si="1"/>
        <v>157000001</v>
      </c>
      <c r="C39" s="133" t="s">
        <v>2</v>
      </c>
      <c r="D39" s="7">
        <v>206000000</v>
      </c>
      <c r="E39" s="13">
        <v>0.27000000000000007</v>
      </c>
      <c r="G39" s="133">
        <f t="shared" si="2"/>
        <v>37</v>
      </c>
      <c r="H39" s="7">
        <f t="shared" si="3"/>
        <v>555000001</v>
      </c>
      <c r="I39" s="133" t="s">
        <v>2</v>
      </c>
      <c r="J39" s="7">
        <v>704000000</v>
      </c>
      <c r="K39" s="13">
        <v>0.31000000000000011</v>
      </c>
      <c r="M39" s="133">
        <f t="shared" si="4"/>
        <v>37</v>
      </c>
      <c r="N39" s="7">
        <f t="shared" si="5"/>
        <v>463000001</v>
      </c>
      <c r="O39" s="133" t="s">
        <v>2</v>
      </c>
      <c r="P39" s="7">
        <v>561000000</v>
      </c>
      <c r="Q39" s="13">
        <v>0.3000000000000001</v>
      </c>
      <c r="T39" s="131"/>
      <c r="U39" s="131"/>
      <c r="V39" s="131"/>
      <c r="W39" s="131"/>
      <c r="X39" s="131"/>
      <c r="Y39" s="131"/>
    </row>
    <row r="40" spans="1:25" ht="15" customHeight="1">
      <c r="A40" s="133">
        <f t="shared" si="0"/>
        <v>38</v>
      </c>
      <c r="B40" s="7">
        <f t="shared" si="1"/>
        <v>206000001</v>
      </c>
      <c r="C40" s="133" t="s">
        <v>2</v>
      </c>
      <c r="D40" s="7">
        <v>337000000</v>
      </c>
      <c r="E40" s="13">
        <v>0.28000000000000008</v>
      </c>
      <c r="G40" s="133">
        <f t="shared" si="2"/>
        <v>38</v>
      </c>
      <c r="H40" s="7">
        <f t="shared" si="3"/>
        <v>704000001</v>
      </c>
      <c r="I40" s="133" t="s">
        <v>2</v>
      </c>
      <c r="J40" s="7">
        <v>957000000</v>
      </c>
      <c r="K40" s="13">
        <v>0.32000000000000012</v>
      </c>
      <c r="M40" s="133">
        <f t="shared" si="4"/>
        <v>38</v>
      </c>
      <c r="N40" s="7">
        <f t="shared" si="5"/>
        <v>561000001</v>
      </c>
      <c r="O40" s="133" t="s">
        <v>2</v>
      </c>
      <c r="P40" s="7">
        <v>709000000</v>
      </c>
      <c r="Q40" s="13">
        <v>0.31000000000000011</v>
      </c>
      <c r="T40" s="131"/>
      <c r="U40" s="131"/>
      <c r="V40" s="131"/>
      <c r="W40" s="131"/>
      <c r="X40" s="131"/>
      <c r="Y40" s="131"/>
    </row>
    <row r="41" spans="1:25" ht="15" customHeight="1">
      <c r="A41" s="133">
        <f t="shared" si="0"/>
        <v>39</v>
      </c>
      <c r="B41" s="7">
        <f t="shared" si="1"/>
        <v>337000001</v>
      </c>
      <c r="C41" s="133" t="s">
        <v>2</v>
      </c>
      <c r="D41" s="7">
        <v>454000000</v>
      </c>
      <c r="E41" s="13">
        <v>0.29000000000000009</v>
      </c>
      <c r="G41" s="133">
        <f t="shared" si="2"/>
        <v>39</v>
      </c>
      <c r="H41" s="7">
        <f t="shared" si="3"/>
        <v>957000001</v>
      </c>
      <c r="I41" s="133" t="s">
        <v>2</v>
      </c>
      <c r="J41" s="7">
        <v>1405000000</v>
      </c>
      <c r="K41" s="13">
        <v>0.33000000000000013</v>
      </c>
      <c r="M41" s="133">
        <f t="shared" si="4"/>
        <v>39</v>
      </c>
      <c r="N41" s="7">
        <f t="shared" si="5"/>
        <v>709000001</v>
      </c>
      <c r="O41" s="133" t="s">
        <v>2</v>
      </c>
      <c r="P41" s="7">
        <v>965000000</v>
      </c>
      <c r="Q41" s="13">
        <v>0.32000000000000012</v>
      </c>
      <c r="T41" s="131"/>
      <c r="U41" s="131"/>
      <c r="V41" s="131"/>
      <c r="W41" s="131"/>
      <c r="X41" s="131"/>
      <c r="Y41" s="131"/>
    </row>
    <row r="42" spans="1:25" ht="15" customHeight="1">
      <c r="A42" s="133">
        <f t="shared" si="0"/>
        <v>40</v>
      </c>
      <c r="B42" s="7">
        <f t="shared" si="1"/>
        <v>454000001</v>
      </c>
      <c r="C42" s="133" t="s">
        <v>2</v>
      </c>
      <c r="D42" s="7">
        <v>550000000</v>
      </c>
      <c r="E42" s="13">
        <v>0.3000000000000001</v>
      </c>
      <c r="G42" s="133">
        <f t="shared" si="2"/>
        <v>40</v>
      </c>
      <c r="H42" s="7">
        <f t="shared" si="3"/>
        <v>1405000001</v>
      </c>
      <c r="I42" s="133" t="s">
        <v>2</v>
      </c>
      <c r="J42" s="7" t="s">
        <v>18</v>
      </c>
      <c r="K42" s="13">
        <v>0.34000000000000014</v>
      </c>
      <c r="M42" s="133">
        <f t="shared" si="4"/>
        <v>40</v>
      </c>
      <c r="N42" s="7">
        <f t="shared" si="5"/>
        <v>965000001</v>
      </c>
      <c r="O42" s="133" t="s">
        <v>2</v>
      </c>
      <c r="P42" s="7">
        <v>1419000000</v>
      </c>
      <c r="Q42" s="13">
        <v>0.33000000000000013</v>
      </c>
      <c r="T42" s="131"/>
      <c r="U42" s="131"/>
      <c r="V42" s="131"/>
      <c r="W42" s="131"/>
      <c r="X42" s="131"/>
      <c r="Y42" s="131"/>
    </row>
    <row r="43" spans="1:25" ht="15" customHeight="1">
      <c r="A43" s="133">
        <f t="shared" si="0"/>
        <v>41</v>
      </c>
      <c r="B43" s="7">
        <f t="shared" si="1"/>
        <v>550000001</v>
      </c>
      <c r="C43" s="133" t="s">
        <v>2</v>
      </c>
      <c r="D43" s="7">
        <v>695000000</v>
      </c>
      <c r="E43" s="13">
        <v>0.31000000000000011</v>
      </c>
      <c r="M43" s="133">
        <f>M42+1</f>
        <v>41</v>
      </c>
      <c r="N43" s="7">
        <f t="shared" si="5"/>
        <v>1419000001</v>
      </c>
      <c r="O43" s="133" t="s">
        <v>2</v>
      </c>
      <c r="P43" s="7" t="s">
        <v>18</v>
      </c>
      <c r="Q43" s="13">
        <v>0.34000000000000014</v>
      </c>
      <c r="T43" s="131"/>
      <c r="U43" s="131"/>
      <c r="V43" s="131"/>
      <c r="W43" s="131"/>
      <c r="X43" s="131"/>
      <c r="Y43" s="131"/>
    </row>
    <row r="44" spans="1:25" ht="15" customHeight="1">
      <c r="A44" s="133">
        <f t="shared" si="0"/>
        <v>42</v>
      </c>
      <c r="B44" s="7">
        <f t="shared" si="1"/>
        <v>695000001</v>
      </c>
      <c r="C44" s="133" t="s">
        <v>2</v>
      </c>
      <c r="D44" s="7">
        <v>910000000</v>
      </c>
      <c r="E44" s="13">
        <v>0.32000000000000012</v>
      </c>
      <c r="T44" s="131"/>
      <c r="U44" s="131"/>
      <c r="V44" s="131"/>
      <c r="W44" s="131"/>
      <c r="X44" s="131"/>
      <c r="Y44" s="131"/>
    </row>
    <row r="45" spans="1:25" ht="15" customHeight="1">
      <c r="A45" s="133">
        <f t="shared" si="0"/>
        <v>43</v>
      </c>
      <c r="B45" s="7">
        <f t="shared" si="1"/>
        <v>910000001</v>
      </c>
      <c r="C45" s="133" t="s">
        <v>2</v>
      </c>
      <c r="D45" s="7">
        <v>1400000000</v>
      </c>
      <c r="E45" s="13">
        <v>0.33000000000000013</v>
      </c>
      <c r="T45" s="131"/>
      <c r="U45" s="131"/>
      <c r="V45" s="131"/>
      <c r="W45" s="131"/>
      <c r="X45" s="131"/>
      <c r="Y45" s="131"/>
    </row>
    <row r="46" spans="1:25" ht="15" customHeight="1">
      <c r="A46" s="133">
        <f t="shared" si="0"/>
        <v>44</v>
      </c>
      <c r="B46" s="7">
        <f t="shared" si="1"/>
        <v>1400000001</v>
      </c>
      <c r="C46" s="133" t="s">
        <v>2</v>
      </c>
      <c r="D46" s="7" t="s">
        <v>18</v>
      </c>
      <c r="E46" s="13">
        <v>0.34000000000000014</v>
      </c>
      <c r="J46" s="8"/>
      <c r="T46" s="131"/>
      <c r="U46" s="131"/>
      <c r="V46" s="131"/>
      <c r="W46" s="131"/>
      <c r="X46" s="131"/>
      <c r="Y46" s="131"/>
    </row>
    <row r="47" spans="1:25" ht="15" customHeight="1">
      <c r="J47" s="10"/>
      <c r="T47" s="131"/>
      <c r="U47" s="131"/>
      <c r="V47" s="131"/>
      <c r="W47" s="131"/>
      <c r="X47" s="131"/>
      <c r="Y47" s="131"/>
    </row>
    <row r="48" spans="1:25" ht="15" customHeight="1">
      <c r="J48" s="10"/>
      <c r="T48" s="131"/>
      <c r="U48" s="131"/>
      <c r="V48" s="131"/>
      <c r="W48" s="131"/>
      <c r="X48" s="131"/>
      <c r="Y48" s="131"/>
    </row>
    <row r="54" spans="2:25" ht="15" customHeight="1">
      <c r="B54" s="131"/>
      <c r="D54" s="131"/>
      <c r="E54" s="131"/>
      <c r="J54" s="22"/>
      <c r="K54" s="131"/>
      <c r="Q54" s="131"/>
      <c r="S54" s="131"/>
      <c r="T54" s="131"/>
      <c r="U54" s="131"/>
      <c r="V54" s="131"/>
      <c r="W54" s="131"/>
      <c r="X54" s="131"/>
      <c r="Y54" s="131"/>
    </row>
    <row r="55" spans="2:25" ht="15" customHeight="1">
      <c r="B55" s="131"/>
      <c r="D55" s="131"/>
      <c r="E55" s="131"/>
      <c r="J55" s="22">
        <v>20000000</v>
      </c>
      <c r="K55" s="131"/>
      <c r="Q55" s="131"/>
      <c r="S55" s="131"/>
      <c r="T55" s="131"/>
      <c r="U55" s="131"/>
      <c r="V55" s="131"/>
      <c r="W55" s="131"/>
      <c r="X55" s="131"/>
      <c r="Y55" s="131"/>
    </row>
    <row r="56" spans="2:25" ht="15" customHeight="1">
      <c r="B56" s="131"/>
      <c r="D56" s="131"/>
      <c r="E56" s="131"/>
      <c r="J56" s="22">
        <f ca="1">J61</f>
        <v>1739130.4347826089</v>
      </c>
      <c r="K56" s="131"/>
      <c r="Q56" s="131"/>
      <c r="S56" s="131"/>
      <c r="T56" s="131"/>
      <c r="U56" s="131"/>
      <c r="V56" s="131"/>
      <c r="W56" s="131"/>
      <c r="X56" s="131"/>
      <c r="Y56" s="131"/>
    </row>
    <row r="57" spans="2:25" ht="15" customHeight="1">
      <c r="B57" s="131"/>
      <c r="D57" s="131"/>
      <c r="E57" s="131"/>
      <c r="J57" s="22">
        <f ca="1">SUM(J55:J56)</f>
        <v>21739130.434782609</v>
      </c>
      <c r="K57" s="131"/>
      <c r="Q57" s="131"/>
      <c r="S57" s="131"/>
      <c r="T57" s="131"/>
      <c r="U57" s="131"/>
      <c r="V57" s="131"/>
      <c r="W57" s="131"/>
      <c r="X57" s="131"/>
      <c r="Y57" s="131"/>
    </row>
    <row r="59" spans="2:25" ht="15" customHeight="1">
      <c r="B59" s="131"/>
      <c r="D59" s="131"/>
      <c r="E59" s="131"/>
      <c r="J59" s="22"/>
      <c r="K59" s="131"/>
      <c r="Q59" s="131"/>
      <c r="S59" s="131"/>
      <c r="T59" s="131"/>
      <c r="U59" s="131"/>
      <c r="V59" s="131"/>
      <c r="W59" s="131"/>
      <c r="X59" s="131"/>
      <c r="Y59" s="131"/>
    </row>
    <row r="60" spans="2:25" ht="15" customHeight="1">
      <c r="B60" s="131"/>
      <c r="D60" s="131"/>
      <c r="E60" s="131"/>
      <c r="J60" s="22"/>
      <c r="K60" s="131"/>
      <c r="Q60" s="131"/>
      <c r="S60" s="131"/>
      <c r="T60" s="131"/>
      <c r="U60" s="131"/>
      <c r="V60" s="131"/>
      <c r="W60" s="131"/>
      <c r="X60" s="131"/>
      <c r="Y60" s="131"/>
    </row>
    <row r="61" spans="2:25" ht="15" customHeight="1">
      <c r="B61" s="131"/>
      <c r="D61" s="131"/>
      <c r="E61" s="131"/>
      <c r="J61" s="22">
        <f ca="1">J57*8%</f>
        <v>1739130.4347826089</v>
      </c>
      <c r="K61" s="131"/>
      <c r="Q61" s="131"/>
      <c r="S61" s="131"/>
      <c r="T61" s="131"/>
      <c r="U61" s="131"/>
      <c r="V61" s="131"/>
      <c r="W61" s="131"/>
      <c r="X61" s="131"/>
      <c r="Y61" s="131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479"/>
  <sheetViews>
    <sheetView tabSelected="1" zoomScale="85" zoomScaleNormal="85" workbookViewId="0">
      <pane xSplit="12" ySplit="5" topLeftCell="M18" activePane="bottomRight" state="frozen"/>
      <selection pane="topRight" activeCell="M1" sqref="M1"/>
      <selection pane="bottomLeft" activeCell="A6" sqref="A6"/>
      <selection pane="bottomRight" activeCell="AJ39" sqref="AJ39"/>
    </sheetView>
  </sheetViews>
  <sheetFormatPr defaultRowHeight="12.75" outlineLevelCol="1"/>
  <cols>
    <col min="1" max="1" width="1.5703125" style="59" customWidth="1"/>
    <col min="2" max="2" width="5.7109375" style="27" customWidth="1"/>
    <col min="3" max="3" width="18.85546875" style="28" customWidth="1"/>
    <col min="4" max="4" width="19" style="29" customWidth="1" outlineLevel="1"/>
    <col min="5" max="5" width="21.5703125" style="30" customWidth="1" outlineLevel="1"/>
    <col min="6" max="6" width="21" style="28" customWidth="1" outlineLevel="1"/>
    <col min="7" max="7" width="24.85546875" style="31" customWidth="1" outlineLevel="1"/>
    <col min="8" max="8" width="5" style="32" customWidth="1" outlineLevel="1"/>
    <col min="9" max="9" width="6.7109375" style="32" customWidth="1" outlineLevel="1"/>
    <col min="10" max="10" width="7.85546875" style="32" customWidth="1" outlineLevel="1"/>
    <col min="11" max="12" width="5.28515625" style="32" customWidth="1" outlineLevel="1"/>
    <col min="13" max="16" width="12.7109375" style="28" customWidth="1"/>
    <col min="17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4" width="14.7109375" style="28" customWidth="1"/>
    <col min="35" max="36" width="14.7109375" style="33" customWidth="1"/>
    <col min="37" max="37" width="12.28515625" style="34" customWidth="1"/>
    <col min="38" max="38" width="12.28515625" style="35" customWidth="1"/>
    <col min="39" max="39" width="9.7109375" style="34" customWidth="1"/>
    <col min="40" max="40" width="12" style="35" customWidth="1"/>
    <col min="41" max="41" width="9.28515625" style="34" customWidth="1"/>
    <col min="42" max="42" width="9.28515625" style="36" customWidth="1"/>
    <col min="43" max="54" width="9.140625" style="27"/>
    <col min="55" max="16384" width="9.140625" style="59"/>
  </cols>
  <sheetData>
    <row r="1" spans="2:42" s="27" customFormat="1" ht="17.649999999999999" customHeight="1" thickBot="1">
      <c r="C1" s="86" t="s">
        <v>40</v>
      </c>
      <c r="D1" s="29"/>
      <c r="E1" s="30"/>
      <c r="F1" s="28"/>
      <c r="G1" s="31"/>
      <c r="H1" s="32"/>
      <c r="I1" s="32"/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3"/>
      <c r="AJ1" s="33"/>
      <c r="AK1" s="34"/>
      <c r="AL1" s="35"/>
      <c r="AM1" s="34"/>
      <c r="AN1" s="35"/>
      <c r="AO1" s="34"/>
      <c r="AP1" s="36"/>
    </row>
    <row r="2" spans="2:42" s="27" customFormat="1" ht="20.100000000000001" customHeight="1" thickBot="1">
      <c r="B2" s="717" t="s">
        <v>24</v>
      </c>
      <c r="C2" s="720" t="s">
        <v>25</v>
      </c>
      <c r="D2" s="723" t="s">
        <v>26</v>
      </c>
      <c r="E2" s="724" t="s">
        <v>27</v>
      </c>
      <c r="F2" s="720" t="s">
        <v>28</v>
      </c>
      <c r="G2" s="715" t="s">
        <v>29</v>
      </c>
      <c r="H2" s="699" t="s">
        <v>47</v>
      </c>
      <c r="I2" s="700"/>
      <c r="J2" s="700"/>
      <c r="K2" s="700"/>
      <c r="L2" s="700"/>
      <c r="M2" s="703" t="s">
        <v>31</v>
      </c>
      <c r="N2" s="704"/>
      <c r="O2" s="704"/>
      <c r="P2" s="704"/>
      <c r="Q2" s="704"/>
      <c r="R2" s="690" t="s">
        <v>201</v>
      </c>
      <c r="S2" s="691"/>
      <c r="T2" s="691"/>
      <c r="U2" s="698" t="s">
        <v>205</v>
      </c>
      <c r="V2" s="685" t="s">
        <v>206</v>
      </c>
      <c r="W2" s="688" t="s">
        <v>207</v>
      </c>
      <c r="X2" s="688" t="s">
        <v>208</v>
      </c>
      <c r="Y2" s="688" t="s">
        <v>209</v>
      </c>
      <c r="Z2" s="688" t="s">
        <v>210</v>
      </c>
      <c r="AA2" s="676" t="s">
        <v>211</v>
      </c>
      <c r="AB2" s="679" t="s">
        <v>212</v>
      </c>
      <c r="AC2" s="680"/>
      <c r="AD2" s="683" t="s">
        <v>213</v>
      </c>
      <c r="AE2" s="688" t="s">
        <v>32</v>
      </c>
      <c r="AF2" s="684" t="s">
        <v>33</v>
      </c>
      <c r="AG2" s="676" t="s">
        <v>56</v>
      </c>
      <c r="AH2" s="685"/>
      <c r="AI2" s="684" t="s">
        <v>34</v>
      </c>
      <c r="AJ2" s="713" t="s">
        <v>35</v>
      </c>
      <c r="AK2" s="34"/>
      <c r="AL2" s="35"/>
      <c r="AM2" s="34"/>
      <c r="AN2" s="35"/>
      <c r="AO2" s="34"/>
      <c r="AP2" s="36"/>
    </row>
    <row r="3" spans="2:42" s="27" customFormat="1" ht="13.9" customHeight="1" thickBot="1">
      <c r="B3" s="718"/>
      <c r="C3" s="721"/>
      <c r="D3" s="721"/>
      <c r="E3" s="724"/>
      <c r="F3" s="721"/>
      <c r="G3" s="715"/>
      <c r="H3" s="701"/>
      <c r="I3" s="702"/>
      <c r="J3" s="702"/>
      <c r="K3" s="702"/>
      <c r="L3" s="702"/>
      <c r="M3" s="705" t="s">
        <v>36</v>
      </c>
      <c r="N3" s="707" t="s">
        <v>44</v>
      </c>
      <c r="O3" s="707" t="s">
        <v>46</v>
      </c>
      <c r="P3" s="709" t="s">
        <v>45</v>
      </c>
      <c r="Q3" s="707" t="s">
        <v>41</v>
      </c>
      <c r="R3" s="692" t="s">
        <v>202</v>
      </c>
      <c r="S3" s="694" t="s">
        <v>203</v>
      </c>
      <c r="T3" s="696" t="s">
        <v>204</v>
      </c>
      <c r="U3" s="698"/>
      <c r="V3" s="686"/>
      <c r="W3" s="689"/>
      <c r="X3" s="689"/>
      <c r="Y3" s="689"/>
      <c r="Z3" s="689"/>
      <c r="AA3" s="677"/>
      <c r="AB3" s="681"/>
      <c r="AC3" s="682"/>
      <c r="AD3" s="683"/>
      <c r="AE3" s="689"/>
      <c r="AF3" s="684"/>
      <c r="AG3" s="714"/>
      <c r="AH3" s="687"/>
      <c r="AI3" s="684"/>
      <c r="AJ3" s="713"/>
      <c r="AK3" s="34"/>
      <c r="AL3" s="35"/>
      <c r="AM3" s="34"/>
      <c r="AN3" s="35"/>
      <c r="AO3" s="34"/>
      <c r="AP3" s="36"/>
    </row>
    <row r="4" spans="2:42" s="27" customFormat="1" ht="36.6" customHeight="1" thickBot="1">
      <c r="B4" s="719"/>
      <c r="C4" s="722"/>
      <c r="D4" s="722"/>
      <c r="E4" s="724"/>
      <c r="F4" s="722"/>
      <c r="G4" s="716"/>
      <c r="H4" s="38" t="s">
        <v>37</v>
      </c>
      <c r="I4" s="38" t="s">
        <v>6</v>
      </c>
      <c r="J4" s="89" t="s">
        <v>15</v>
      </c>
      <c r="K4" s="711" t="s">
        <v>30</v>
      </c>
      <c r="L4" s="712"/>
      <c r="M4" s="706"/>
      <c r="N4" s="708"/>
      <c r="O4" s="708"/>
      <c r="P4" s="710"/>
      <c r="Q4" s="708"/>
      <c r="R4" s="693"/>
      <c r="S4" s="695"/>
      <c r="T4" s="697"/>
      <c r="U4" s="698"/>
      <c r="V4" s="687"/>
      <c r="W4" s="678"/>
      <c r="X4" s="678"/>
      <c r="Y4" s="678"/>
      <c r="Z4" s="678"/>
      <c r="AA4" s="678"/>
      <c r="AB4" s="361" t="s">
        <v>214</v>
      </c>
      <c r="AC4" s="361" t="s">
        <v>215</v>
      </c>
      <c r="AD4" s="684"/>
      <c r="AE4" s="678"/>
      <c r="AF4" s="684"/>
      <c r="AG4" s="37" t="s">
        <v>55</v>
      </c>
      <c r="AH4" s="37" t="s">
        <v>54</v>
      </c>
      <c r="AI4" s="684"/>
      <c r="AJ4" s="713"/>
      <c r="AK4" s="34"/>
      <c r="AL4" s="35"/>
      <c r="AM4" s="34"/>
      <c r="AN4" s="35"/>
      <c r="AO4" s="34"/>
      <c r="AP4" s="36"/>
    </row>
    <row r="5" spans="2:42" s="102" customFormat="1" ht="21.4" customHeight="1" thickBot="1">
      <c r="B5" s="97">
        <v>1</v>
      </c>
      <c r="C5" s="98">
        <v>2</v>
      </c>
      <c r="D5" s="97">
        <v>3</v>
      </c>
      <c r="E5" s="98">
        <v>4</v>
      </c>
      <c r="F5" s="97">
        <v>5</v>
      </c>
      <c r="G5" s="98">
        <v>6</v>
      </c>
      <c r="H5" s="97">
        <v>7</v>
      </c>
      <c r="I5" s="98">
        <v>8</v>
      </c>
      <c r="J5" s="97">
        <v>9</v>
      </c>
      <c r="K5" s="98">
        <v>10</v>
      </c>
      <c r="L5" s="97">
        <v>11</v>
      </c>
      <c r="M5" s="98">
        <v>12</v>
      </c>
      <c r="N5" s="97">
        <v>13</v>
      </c>
      <c r="O5" s="98">
        <v>14</v>
      </c>
      <c r="P5" s="97">
        <v>15</v>
      </c>
      <c r="Q5" s="98">
        <v>16</v>
      </c>
      <c r="R5" s="97">
        <v>17</v>
      </c>
      <c r="S5" s="98">
        <v>18</v>
      </c>
      <c r="T5" s="97">
        <v>19</v>
      </c>
      <c r="U5" s="98">
        <v>20</v>
      </c>
      <c r="V5" s="97">
        <v>21</v>
      </c>
      <c r="W5" s="98">
        <v>22</v>
      </c>
      <c r="X5" s="97">
        <v>23</v>
      </c>
      <c r="Y5" s="98">
        <v>24</v>
      </c>
      <c r="Z5" s="97">
        <v>25</v>
      </c>
      <c r="AA5" s="98">
        <v>26</v>
      </c>
      <c r="AB5" s="97">
        <v>27</v>
      </c>
      <c r="AC5" s="98">
        <v>27</v>
      </c>
      <c r="AD5" s="97">
        <v>29</v>
      </c>
      <c r="AE5" s="98">
        <v>30</v>
      </c>
      <c r="AF5" s="97">
        <v>31</v>
      </c>
      <c r="AG5" s="98">
        <v>32</v>
      </c>
      <c r="AH5" s="97">
        <v>33</v>
      </c>
      <c r="AI5" s="98">
        <v>34</v>
      </c>
      <c r="AJ5" s="97">
        <v>35</v>
      </c>
      <c r="AK5" s="99"/>
      <c r="AL5" s="100"/>
      <c r="AM5" s="99"/>
      <c r="AN5" s="100"/>
      <c r="AO5" s="99"/>
      <c r="AP5" s="101"/>
    </row>
    <row r="6" spans="2:42" s="27" customFormat="1" ht="15" customHeight="1">
      <c r="B6" s="45">
        <v>1</v>
      </c>
      <c r="C6" s="169" t="str">
        <f>+PERBULAN!B6</f>
        <v>SARWANDI</v>
      </c>
      <c r="D6" s="170" t="s">
        <v>375</v>
      </c>
      <c r="E6" s="333" t="s">
        <v>376</v>
      </c>
      <c r="F6" s="584" t="s">
        <v>377</v>
      </c>
      <c r="G6" s="154" t="s">
        <v>88</v>
      </c>
      <c r="H6" s="141" t="s">
        <v>39</v>
      </c>
      <c r="I6" s="142" t="s">
        <v>9</v>
      </c>
      <c r="J6" s="90" t="str">
        <f t="shared" ref="J6:J20" si="0">IF(ISBLANK(I6),"",IF(OR(I6="TK/0",I6="TK/1",I6="K/0"),"TER A",IF(I6="K/3","TER C","TER B")))</f>
        <v>TER B</v>
      </c>
      <c r="K6" s="87">
        <v>1</v>
      </c>
      <c r="L6" s="117"/>
      <c r="M6" s="51">
        <f>[3]NURSERY!$AJ10-[3]NURSERY!$BK10</f>
        <v>9256268.8800000008</v>
      </c>
      <c r="N6" s="51"/>
      <c r="O6" s="51">
        <f>[3]NURSERY!$BK10</f>
        <v>54000</v>
      </c>
      <c r="P6" s="94">
        <v>0</v>
      </c>
      <c r="Q6" s="94">
        <f>SUM(M6:P6)</f>
        <v>9310268.8800000008</v>
      </c>
      <c r="R6" s="94">
        <f>+PERBULAN!S6</f>
        <v>4053100</v>
      </c>
      <c r="S6" s="94">
        <f>+SETAHUN!K7</f>
        <v>600000</v>
      </c>
      <c r="T6" s="94">
        <v>0</v>
      </c>
      <c r="U6" s="94">
        <f>+SETAHUN!F7+M6+N6</f>
        <v>101158670.03999999</v>
      </c>
      <c r="V6" s="94"/>
      <c r="W6" s="94">
        <f>+SETAHUN!U7+O6</f>
        <v>2142242.84</v>
      </c>
      <c r="X6" s="94">
        <v>0</v>
      </c>
      <c r="Y6" s="94">
        <v>0</v>
      </c>
      <c r="Z6" s="94">
        <f t="shared" ref="Z6:Z29" si="1">SUM(R6:T6)</f>
        <v>4653100</v>
      </c>
      <c r="AA6" s="94">
        <f t="shared" ref="AA6:AA37" si="2">SUM(U6:Z6)</f>
        <v>107954012.88</v>
      </c>
      <c r="AB6" s="94">
        <f t="shared" ref="AB6:AB37" si="3">ROUND(IF((AA6)*5%&gt;6000000,6000000,(AA6)*5%),0)</f>
        <v>5397701</v>
      </c>
      <c r="AC6" s="94">
        <f>('ASTEK+PENSIUN'!O8+'ASTEK+PENSIUN'!O51)+[3]NURSERY!$BM10</f>
        <v>1449245.8</v>
      </c>
      <c r="AD6" s="94">
        <f>AA6-AB6-AC6</f>
        <v>101107066.08</v>
      </c>
      <c r="AE6" s="112">
        <f t="shared" ref="AE6:AE37" si="4">IFERROR(VLOOKUP(I6,TARIF,3,FALSE),0)</f>
        <v>63000000</v>
      </c>
      <c r="AF6" s="112">
        <f>ROUNDDOWN(IF(AD6&lt;=AE6,0,IF(AD6&gt;AE6,AD6-AE6)),-3)</f>
        <v>38107000</v>
      </c>
      <c r="AG6" s="113">
        <f>IF(AF6&gt;5000000000,AF6*35%-306000000,IF(AF6&gt;500000000,AF6*30%-56000000,IF(AF6&gt;250000000,AF6*25%-31000000,IF(AF6&gt;60000000,AF6*15%-6000000,AF6*5%))))</f>
        <v>1905350</v>
      </c>
      <c r="AH6" s="113">
        <f>ROUND(IF(E6=0,AG6*120%,AG6),0)</f>
        <v>1905350</v>
      </c>
      <c r="AI6" s="130">
        <f ca="1">'PAJAK JAN-NOV'!R3-'PAJAK JAN-NOV'!Q3</f>
        <v>1582520</v>
      </c>
      <c r="AJ6" s="583">
        <f t="shared" ref="AJ6:AJ27" ca="1" si="5">IF(AG6&lt;=AI6,0,IF(AG6&gt;AI6,AG6-AI6))</f>
        <v>322830</v>
      </c>
      <c r="AK6" s="34"/>
      <c r="AL6" s="35">
        <f ca="1">AI6-AH6</f>
        <v>-322830</v>
      </c>
      <c r="AM6" s="34"/>
      <c r="AN6" s="35"/>
      <c r="AO6" s="34"/>
      <c r="AP6" s="36"/>
    </row>
    <row r="7" spans="2:42" s="599" customFormat="1" ht="15" customHeight="1">
      <c r="B7" s="592">
        <v>2</v>
      </c>
      <c r="C7" s="628" t="str">
        <f>+PERBULAN!B7</f>
        <v>SUHARMAN</v>
      </c>
      <c r="D7" s="593" t="s">
        <v>378</v>
      </c>
      <c r="E7" s="605" t="s">
        <v>379</v>
      </c>
      <c r="F7" s="584" t="s">
        <v>380</v>
      </c>
      <c r="G7" s="594" t="s">
        <v>88</v>
      </c>
      <c r="H7" s="595" t="s">
        <v>39</v>
      </c>
      <c r="I7" s="596" t="s">
        <v>17</v>
      </c>
      <c r="J7" s="90" t="str">
        <f t="shared" si="0"/>
        <v>TER A</v>
      </c>
      <c r="K7" s="597">
        <v>1</v>
      </c>
      <c r="L7" s="598"/>
      <c r="M7" s="51">
        <f>[3]NURSERY!$AJ11-[3]NURSERY!$BK11</f>
        <v>5888013.25</v>
      </c>
      <c r="N7" s="51"/>
      <c r="O7" s="51">
        <f>[3]NURSERY!$BK11</f>
        <v>89000</v>
      </c>
      <c r="P7" s="629">
        <v>0</v>
      </c>
      <c r="Q7" s="629">
        <f t="shared" ref="Q7:Q29" si="6">SUM(M7:P7)</f>
        <v>5977013.25</v>
      </c>
      <c r="R7" s="629">
        <f>+PERBULAN!S7</f>
        <v>4059600</v>
      </c>
      <c r="S7" s="629">
        <f>+SETAHUN!K8</f>
        <v>200000</v>
      </c>
      <c r="T7" s="629">
        <v>0</v>
      </c>
      <c r="U7" s="629">
        <f>+SETAHUN!F8+M7+N7</f>
        <v>67471593.409999996</v>
      </c>
      <c r="V7" s="629"/>
      <c r="W7" s="629">
        <f>+SETAHUN!U8+O7</f>
        <v>2194119.84</v>
      </c>
      <c r="X7" s="629">
        <v>0</v>
      </c>
      <c r="Y7" s="629">
        <v>0</v>
      </c>
      <c r="Z7" s="629">
        <f t="shared" si="1"/>
        <v>4259600</v>
      </c>
      <c r="AA7" s="629">
        <f t="shared" si="2"/>
        <v>73925313.25</v>
      </c>
      <c r="AB7" s="629">
        <f t="shared" si="3"/>
        <v>3696266</v>
      </c>
      <c r="AC7" s="94">
        <f>('ASTEK+PENSIUN'!O9+'ASTEK+PENSIUN'!O52)+[3]NURSERY!$BM11</f>
        <v>1456420.8</v>
      </c>
      <c r="AD7" s="629">
        <f t="shared" ref="AD7:AD26" si="7">AA7-AB7-AC7</f>
        <v>68772626.450000003</v>
      </c>
      <c r="AE7" s="630">
        <f t="shared" si="4"/>
        <v>58500000</v>
      </c>
      <c r="AF7" s="630">
        <f t="shared" ref="AF7:AF28" si="8">ROUNDDOWN(IF(AD7&lt;=AE7,0,IF(AD7&gt;AE7,AD7-AE7)),-3)</f>
        <v>10272000</v>
      </c>
      <c r="AG7" s="631">
        <f t="shared" ref="AG7:AG32" si="9">IF(AF7&gt;5000000000,AF7*35%-306000000,IF(AF7&gt;500000000,AF7*30%-56000000,IF(AF7&gt;250000000,AF7*25%-31000000,IF(AF7&gt;60000000,AF7*15%-6000000,AF7*5%))))</f>
        <v>513600</v>
      </c>
      <c r="AH7" s="631">
        <f>ROUND(IF(E7=0,AG7*120%,AG7),0)</f>
        <v>513600</v>
      </c>
      <c r="AI7" s="130">
        <f ca="1">'PAJAK JAN-NOV'!R4-'PAJAK JAN-NOV'!Q4</f>
        <v>563003</v>
      </c>
      <c r="AJ7" s="583">
        <f t="shared" ca="1" si="5"/>
        <v>0</v>
      </c>
      <c r="AK7" s="34"/>
      <c r="AL7" s="35">
        <f t="shared" ref="AL7:AL37" ca="1" si="10">AI7-AH7</f>
        <v>49403</v>
      </c>
      <c r="AM7" s="34"/>
      <c r="AN7" s="35"/>
      <c r="AO7" s="34"/>
      <c r="AP7" s="34"/>
    </row>
    <row r="8" spans="2:42" s="27" customFormat="1" ht="15" customHeight="1">
      <c r="B8" s="45">
        <v>3</v>
      </c>
      <c r="C8" s="169" t="str">
        <f>+PERBULAN!B8</f>
        <v>DARMAWAN</v>
      </c>
      <c r="D8" s="170" t="s">
        <v>381</v>
      </c>
      <c r="E8" s="333" t="s">
        <v>382</v>
      </c>
      <c r="F8" s="584" t="s">
        <v>383</v>
      </c>
      <c r="G8" s="154" t="s">
        <v>88</v>
      </c>
      <c r="H8" s="141" t="s">
        <v>39</v>
      </c>
      <c r="I8" s="142" t="s">
        <v>9</v>
      </c>
      <c r="J8" s="90" t="str">
        <f t="shared" si="0"/>
        <v>TER B</v>
      </c>
      <c r="K8" s="87">
        <v>1</v>
      </c>
      <c r="L8" s="117"/>
      <c r="M8" s="51">
        <f>[3]NURSERY!$AJ12-[3]NURSERY!$BK12</f>
        <v>6077065.8399999999</v>
      </c>
      <c r="N8" s="51"/>
      <c r="O8" s="51">
        <f>[3]NURSERY!$BK12</f>
        <v>92500</v>
      </c>
      <c r="P8" s="94">
        <v>0</v>
      </c>
      <c r="Q8" s="94">
        <f t="shared" si="6"/>
        <v>6169565.8399999999</v>
      </c>
      <c r="R8" s="94">
        <f>+PERBULAN!S8</f>
        <v>4105100</v>
      </c>
      <c r="S8" s="94">
        <f>+SETAHUN!K9</f>
        <v>600000</v>
      </c>
      <c r="T8" s="94">
        <v>0</v>
      </c>
      <c r="U8" s="94">
        <f>+SETAHUN!F9+M8+N8</f>
        <v>69191070</v>
      </c>
      <c r="V8" s="94"/>
      <c r="W8" s="94">
        <f>+SETAHUN!U9+O8</f>
        <v>2199166.84</v>
      </c>
      <c r="X8" s="94">
        <v>0</v>
      </c>
      <c r="Y8" s="94">
        <v>0</v>
      </c>
      <c r="Z8" s="94">
        <f t="shared" si="1"/>
        <v>4705100</v>
      </c>
      <c r="AA8" s="94">
        <f t="shared" si="2"/>
        <v>76095336.840000004</v>
      </c>
      <c r="AB8" s="94">
        <f t="shared" si="3"/>
        <v>3804767</v>
      </c>
      <c r="AC8" s="94">
        <f>('ASTEK+PENSIUN'!O10+'ASTEK+PENSIUN'!O53)+[3]NURSERY!$BM12</f>
        <v>1457085.8</v>
      </c>
      <c r="AD8" s="94">
        <f t="shared" si="7"/>
        <v>70833484.040000007</v>
      </c>
      <c r="AE8" s="112">
        <f t="shared" si="4"/>
        <v>63000000</v>
      </c>
      <c r="AF8" s="112">
        <f t="shared" si="8"/>
        <v>7833000</v>
      </c>
      <c r="AG8" s="113">
        <f t="shared" si="9"/>
        <v>391650</v>
      </c>
      <c r="AH8" s="113">
        <f>ROUND(IF(E8=0,AG8*120%,AG8),0)</f>
        <v>391650</v>
      </c>
      <c r="AI8" s="130">
        <f ca="1">'PAJAK JAN-NOV'!R5-'PAJAK JAN-NOV'!Q5</f>
        <v>318239</v>
      </c>
      <c r="AJ8" s="583">
        <f t="shared" ca="1" si="5"/>
        <v>73411</v>
      </c>
      <c r="AK8" s="34"/>
      <c r="AL8" s="35">
        <f t="shared" ca="1" si="10"/>
        <v>-73411</v>
      </c>
      <c r="AM8" s="34"/>
      <c r="AN8" s="35"/>
      <c r="AO8" s="34"/>
      <c r="AP8" s="36"/>
    </row>
    <row r="9" spans="2:42" s="27" customFormat="1" ht="15" customHeight="1">
      <c r="B9" s="592">
        <v>4</v>
      </c>
      <c r="C9" s="169" t="str">
        <f>+PERBULAN!B9</f>
        <v>SUMARDI</v>
      </c>
      <c r="D9" s="170" t="s">
        <v>384</v>
      </c>
      <c r="E9" s="333" t="s">
        <v>385</v>
      </c>
      <c r="F9" s="584" t="s">
        <v>383</v>
      </c>
      <c r="G9" s="154" t="s">
        <v>88</v>
      </c>
      <c r="H9" s="141" t="s">
        <v>39</v>
      </c>
      <c r="I9" s="142" t="s">
        <v>9</v>
      </c>
      <c r="J9" s="90" t="str">
        <f t="shared" si="0"/>
        <v>TER B</v>
      </c>
      <c r="K9" s="87">
        <v>1</v>
      </c>
      <c r="L9" s="117"/>
      <c r="M9" s="51">
        <f>[3]NURSERY!$AJ13-[3]NURSERY!$BK13</f>
        <v>6626064.0700000003</v>
      </c>
      <c r="N9" s="51"/>
      <c r="O9" s="51">
        <f>[3]NURSERY!$BK13</f>
        <v>92500</v>
      </c>
      <c r="P9" s="94">
        <v>0</v>
      </c>
      <c r="Q9" s="94">
        <f t="shared" si="6"/>
        <v>6718564.0700000003</v>
      </c>
      <c r="R9" s="94">
        <f>+PERBULAN!S9</f>
        <v>4105100</v>
      </c>
      <c r="S9" s="94">
        <f>+SETAHUN!K10</f>
        <v>600000</v>
      </c>
      <c r="T9" s="94">
        <v>0</v>
      </c>
      <c r="U9" s="94">
        <f>+SETAHUN!F10+M9+N9</f>
        <v>68055256.230000004</v>
      </c>
      <c r="V9" s="94"/>
      <c r="W9" s="94">
        <f>+SETAHUN!U10+O9</f>
        <v>2199446.84</v>
      </c>
      <c r="X9" s="94">
        <v>0</v>
      </c>
      <c r="Y9" s="94">
        <v>0</v>
      </c>
      <c r="Z9" s="94">
        <f t="shared" si="1"/>
        <v>4705100</v>
      </c>
      <c r="AA9" s="94">
        <f t="shared" si="2"/>
        <v>74959803.070000008</v>
      </c>
      <c r="AB9" s="94">
        <f t="shared" si="3"/>
        <v>3747990</v>
      </c>
      <c r="AC9" s="94">
        <f>('ASTEK+PENSIUN'!O11+'ASTEK+PENSIUN'!O54)+[3]NURSERY!$BM13</f>
        <v>1457085.8</v>
      </c>
      <c r="AD9" s="94">
        <f t="shared" si="7"/>
        <v>69754727.270000011</v>
      </c>
      <c r="AE9" s="112">
        <f t="shared" si="4"/>
        <v>63000000</v>
      </c>
      <c r="AF9" s="112">
        <f t="shared" si="8"/>
        <v>6754000</v>
      </c>
      <c r="AG9" s="113">
        <f t="shared" ref="AG9:AG26" si="11">IF(AF9&gt;5000000000,AF9*35%-306000000,IF(AF9&gt;500000000,AF9*30%-56000000,IF(AF9&gt;250000000,AF9*25%-31000000,IF(AF9&gt;60000000,AF9*15%-6000000,AF9*5%))))</f>
        <v>337700</v>
      </c>
      <c r="AH9" s="113">
        <f t="shared" ref="AH9:AH26" si="12">ROUND(IF(E9=0,AG9*120%,AG9),0)</f>
        <v>337700</v>
      </c>
      <c r="AI9" s="130">
        <f ca="1">'PAJAK JAN-NOV'!R6-'PAJAK JAN-NOV'!Q6</f>
        <v>292553</v>
      </c>
      <c r="AJ9" s="583">
        <f t="shared" ca="1" si="5"/>
        <v>45147</v>
      </c>
      <c r="AK9" s="34"/>
      <c r="AL9" s="35">
        <f t="shared" ca="1" si="10"/>
        <v>-45147</v>
      </c>
      <c r="AM9" s="34"/>
      <c r="AN9" s="35"/>
      <c r="AO9" s="34"/>
      <c r="AP9" s="36"/>
    </row>
    <row r="10" spans="2:42" s="27" customFormat="1" ht="15" customHeight="1">
      <c r="B10" s="45">
        <v>5</v>
      </c>
      <c r="C10" s="169" t="str">
        <f>+PERBULAN!B10</f>
        <v>EKI SUMANTRI</v>
      </c>
      <c r="D10" s="170" t="s">
        <v>389</v>
      </c>
      <c r="E10" s="333" t="s">
        <v>73</v>
      </c>
      <c r="F10" s="584" t="s">
        <v>390</v>
      </c>
      <c r="G10" s="154" t="s">
        <v>88</v>
      </c>
      <c r="H10" s="141" t="s">
        <v>39</v>
      </c>
      <c r="I10" s="142" t="s">
        <v>9</v>
      </c>
      <c r="J10" s="90" t="str">
        <f t="shared" si="0"/>
        <v>TER B</v>
      </c>
      <c r="K10" s="87">
        <v>1</v>
      </c>
      <c r="L10" s="117"/>
      <c r="M10" s="51">
        <f>[3]NURSERY!$AJ14-[3]NURSERY!$BK14</f>
        <v>8093794.1299999999</v>
      </c>
      <c r="N10" s="51"/>
      <c r="O10" s="51">
        <f>[3]NURSERY!$BK14</f>
        <v>18000</v>
      </c>
      <c r="P10" s="94">
        <v>0</v>
      </c>
      <c r="Q10" s="94">
        <f t="shared" si="6"/>
        <v>8111794.1299999999</v>
      </c>
      <c r="R10" s="94">
        <f>+PERBULAN!S10</f>
        <v>4031100</v>
      </c>
      <c r="S10" s="94">
        <f>+SETAHUN!K11</f>
        <v>600000</v>
      </c>
      <c r="T10" s="94">
        <v>0</v>
      </c>
      <c r="U10" s="94">
        <f>+SETAHUN!F11+M10+N10</f>
        <v>71882948.289999992</v>
      </c>
      <c r="V10" s="94"/>
      <c r="W10" s="94">
        <f>+SETAHUN!U11+O10</f>
        <v>2089857.84</v>
      </c>
      <c r="X10" s="94">
        <v>0</v>
      </c>
      <c r="Y10" s="94">
        <v>0</v>
      </c>
      <c r="Z10" s="94">
        <f t="shared" si="1"/>
        <v>4631100</v>
      </c>
      <c r="AA10" s="94">
        <f t="shared" si="2"/>
        <v>78603906.129999995</v>
      </c>
      <c r="AB10" s="94">
        <f t="shared" si="3"/>
        <v>3930195</v>
      </c>
      <c r="AC10" s="94">
        <f>('ASTEK+PENSIUN'!O12+'ASTEK+PENSIUN'!O55)+[3]NURSERY!$BM14</f>
        <v>1442930.8</v>
      </c>
      <c r="AD10" s="94">
        <f t="shared" si="7"/>
        <v>73230780.329999998</v>
      </c>
      <c r="AE10" s="112">
        <f t="shared" si="4"/>
        <v>63000000</v>
      </c>
      <c r="AF10" s="112">
        <f t="shared" si="8"/>
        <v>10230000</v>
      </c>
      <c r="AG10" s="113">
        <f t="shared" si="11"/>
        <v>511500</v>
      </c>
      <c r="AH10" s="113">
        <f t="shared" si="12"/>
        <v>511500</v>
      </c>
      <c r="AI10" s="130">
        <f ca="1">'PAJAK JAN-NOV'!R7-'PAJAK JAN-NOV'!Q7</f>
        <v>359120</v>
      </c>
      <c r="AJ10" s="583">
        <f ca="1">IF(AG10&lt;=AI10,0,IF(AG10&gt;AI10,AG10-AI10))</f>
        <v>152380</v>
      </c>
      <c r="AK10" s="34"/>
      <c r="AL10" s="35">
        <f t="shared" ca="1" si="10"/>
        <v>-152380</v>
      </c>
      <c r="AM10" s="34"/>
      <c r="AN10" s="35"/>
      <c r="AO10" s="34"/>
      <c r="AP10" s="36"/>
    </row>
    <row r="11" spans="2:42" s="27" customFormat="1" ht="13.5" customHeight="1">
      <c r="B11" s="592">
        <v>6</v>
      </c>
      <c r="C11" s="632" t="str">
        <f>+PERBULAN!B11</f>
        <v>SULISTIYANI SAPUTRI</v>
      </c>
      <c r="D11" s="633" t="s">
        <v>423</v>
      </c>
      <c r="E11" s="333" t="s">
        <v>391</v>
      </c>
      <c r="F11" s="584" t="s">
        <v>392</v>
      </c>
      <c r="G11" s="154" t="s">
        <v>88</v>
      </c>
      <c r="H11" s="141" t="s">
        <v>38</v>
      </c>
      <c r="I11" s="142" t="s">
        <v>7</v>
      </c>
      <c r="J11" s="90" t="str">
        <f t="shared" si="0"/>
        <v>TER A</v>
      </c>
      <c r="K11" s="87">
        <v>1</v>
      </c>
      <c r="L11" s="117"/>
      <c r="M11" s="51">
        <f>[3]NURSERY!$AJ15-[3]NURSERY!$BK15</f>
        <v>4000120.23</v>
      </c>
      <c r="N11" s="51"/>
      <c r="O11" s="51">
        <f>[3]NURSERY!$BK15</f>
        <v>50500</v>
      </c>
      <c r="P11" s="94">
        <v>0</v>
      </c>
      <c r="Q11" s="94">
        <f t="shared" si="6"/>
        <v>4050620.23</v>
      </c>
      <c r="R11" s="94">
        <f>+PERBULAN!S11</f>
        <v>3991100</v>
      </c>
      <c r="S11" s="94">
        <f>+SETAHUN!K12</f>
        <v>200000</v>
      </c>
      <c r="T11" s="94">
        <v>0</v>
      </c>
      <c r="U11" s="94">
        <f>+SETAHUN!F12+M11+N11</f>
        <v>47349211.789999992</v>
      </c>
      <c r="V11" s="94"/>
      <c r="W11" s="94">
        <f>+SETAHUN!U12+O11</f>
        <v>2137733.44</v>
      </c>
      <c r="X11" s="94">
        <v>0</v>
      </c>
      <c r="Y11" s="94">
        <v>0</v>
      </c>
      <c r="Z11" s="94">
        <f t="shared" si="1"/>
        <v>4191100</v>
      </c>
      <c r="AA11" s="94">
        <f t="shared" si="2"/>
        <v>53678045.229999989</v>
      </c>
      <c r="AB11" s="94">
        <f t="shared" si="3"/>
        <v>2683902</v>
      </c>
      <c r="AC11" s="94">
        <f>('ASTEK+PENSIUN'!O13+'ASTEK+PENSIUN'!O56)+[3]NURSERY!$BM15</f>
        <v>1449000.8</v>
      </c>
      <c r="AD11" s="94">
        <f t="shared" si="7"/>
        <v>49545142.429999992</v>
      </c>
      <c r="AE11" s="112">
        <f t="shared" si="4"/>
        <v>54000000</v>
      </c>
      <c r="AF11" s="112">
        <f t="shared" si="8"/>
        <v>0</v>
      </c>
      <c r="AG11" s="113">
        <f t="shared" si="11"/>
        <v>0</v>
      </c>
      <c r="AH11" s="113">
        <f t="shared" si="12"/>
        <v>0</v>
      </c>
      <c r="AI11" s="130">
        <f ca="1">'PAJAK JAN-NOV'!R8-'PAJAK JAN-NOV'!Q8</f>
        <v>122576</v>
      </c>
      <c r="AJ11" s="583">
        <f t="shared" ca="1" si="5"/>
        <v>0</v>
      </c>
      <c r="AK11" s="34"/>
      <c r="AL11" s="35">
        <f t="shared" ca="1" si="10"/>
        <v>122576</v>
      </c>
      <c r="AM11" s="34"/>
      <c r="AN11" s="35"/>
      <c r="AO11" s="34"/>
      <c r="AP11" s="36"/>
    </row>
    <row r="12" spans="2:42" s="27" customFormat="1" ht="15" customHeight="1">
      <c r="B12" s="45">
        <v>7</v>
      </c>
      <c r="C12" s="169" t="str">
        <f>+PERBULAN!B12</f>
        <v>TRISNAWATI</v>
      </c>
      <c r="D12" s="170" t="s">
        <v>393</v>
      </c>
      <c r="E12" s="333" t="s">
        <v>73</v>
      </c>
      <c r="F12" s="584" t="s">
        <v>394</v>
      </c>
      <c r="G12" s="154" t="s">
        <v>88</v>
      </c>
      <c r="H12" s="141" t="s">
        <v>38</v>
      </c>
      <c r="I12" s="142" t="s">
        <v>7</v>
      </c>
      <c r="J12" s="90" t="str">
        <f t="shared" si="0"/>
        <v>TER A</v>
      </c>
      <c r="K12" s="87">
        <v>1</v>
      </c>
      <c r="L12" s="117"/>
      <c r="M12" s="51">
        <f>[3]NURSERY!$AJ16-[3]NURSERY!$BK16</f>
        <v>4131590.23</v>
      </c>
      <c r="N12" s="51"/>
      <c r="O12" s="51">
        <f>[3]NURSERY!$BK16</f>
        <v>21000</v>
      </c>
      <c r="P12" s="94">
        <v>0</v>
      </c>
      <c r="Q12" s="94">
        <f t="shared" si="6"/>
        <v>4152590.23</v>
      </c>
      <c r="R12" s="94">
        <f>+PERBULAN!S12</f>
        <v>3962100</v>
      </c>
      <c r="S12" s="94">
        <f>+SETAHUN!K13</f>
        <v>200000</v>
      </c>
      <c r="T12" s="94">
        <v>0</v>
      </c>
      <c r="U12" s="94">
        <f>+SETAHUN!F13+M12+N12</f>
        <v>47749763.989999987</v>
      </c>
      <c r="V12" s="94"/>
      <c r="W12" s="94">
        <f>+SETAHUN!U13+O12</f>
        <v>2093868.24</v>
      </c>
      <c r="X12" s="94">
        <v>0</v>
      </c>
      <c r="Y12" s="94">
        <v>0</v>
      </c>
      <c r="Z12" s="94">
        <f t="shared" si="1"/>
        <v>4162100</v>
      </c>
      <c r="AA12" s="94">
        <f t="shared" si="2"/>
        <v>54005732.229999989</v>
      </c>
      <c r="AB12" s="94">
        <f t="shared" si="3"/>
        <v>2700287</v>
      </c>
      <c r="AC12" s="94">
        <f>('ASTEK+PENSIUN'!O14+'ASTEK+PENSIUN'!O57)+[3]NURSERY!$BM16</f>
        <v>1443230.8</v>
      </c>
      <c r="AD12" s="94">
        <f t="shared" si="7"/>
        <v>49862214.429999992</v>
      </c>
      <c r="AE12" s="112">
        <f t="shared" si="4"/>
        <v>54000000</v>
      </c>
      <c r="AF12" s="112">
        <f t="shared" si="8"/>
        <v>0</v>
      </c>
      <c r="AG12" s="113">
        <f t="shared" si="11"/>
        <v>0</v>
      </c>
      <c r="AH12" s="113">
        <f t="shared" si="12"/>
        <v>0</v>
      </c>
      <c r="AI12" s="130">
        <f ca="1">'PAJAK JAN-NOV'!R9-'PAJAK JAN-NOV'!Q9</f>
        <v>121688</v>
      </c>
      <c r="AJ12" s="583">
        <f t="shared" ca="1" si="5"/>
        <v>0</v>
      </c>
      <c r="AK12" s="34"/>
      <c r="AL12" s="35">
        <f t="shared" ca="1" si="10"/>
        <v>121688</v>
      </c>
      <c r="AM12" s="34"/>
      <c r="AN12" s="35"/>
      <c r="AO12" s="34"/>
      <c r="AP12" s="36"/>
    </row>
    <row r="13" spans="2:42" s="27" customFormat="1" ht="15" customHeight="1">
      <c r="B13" s="592">
        <v>8</v>
      </c>
      <c r="C13" s="169" t="str">
        <f>+PERBULAN!B13</f>
        <v>ELNI</v>
      </c>
      <c r="D13" s="170" t="s">
        <v>395</v>
      </c>
      <c r="E13" s="333" t="s">
        <v>396</v>
      </c>
      <c r="F13" s="584" t="s">
        <v>397</v>
      </c>
      <c r="G13" s="154" t="s">
        <v>88</v>
      </c>
      <c r="H13" s="141" t="s">
        <v>38</v>
      </c>
      <c r="I13" s="142" t="s">
        <v>7</v>
      </c>
      <c r="J13" s="90" t="str">
        <f t="shared" si="0"/>
        <v>TER A</v>
      </c>
      <c r="K13" s="87">
        <v>1</v>
      </c>
      <c r="L13" s="117"/>
      <c r="M13" s="51">
        <f>[3]NURSERY!$AJ17-[3]NURSERY!$BK17</f>
        <v>4131590.23</v>
      </c>
      <c r="N13" s="51"/>
      <c r="O13" s="51">
        <f>[3]NURSERY!$BK17</f>
        <v>36500</v>
      </c>
      <c r="P13" s="94">
        <v>0</v>
      </c>
      <c r="Q13" s="94">
        <f t="shared" si="6"/>
        <v>4168090.23</v>
      </c>
      <c r="R13" s="94">
        <f>+PERBULAN!S13</f>
        <v>3977100</v>
      </c>
      <c r="S13" s="94">
        <f>+SETAHUN!K14</f>
        <v>200000</v>
      </c>
      <c r="T13" s="94">
        <v>0</v>
      </c>
      <c r="U13" s="94">
        <f>+SETAHUN!F14+M13+N13</f>
        <v>48398053.389999993</v>
      </c>
      <c r="V13" s="94"/>
      <c r="W13" s="94">
        <f>+SETAHUN!U14+O13</f>
        <v>2116307.84</v>
      </c>
      <c r="X13" s="94">
        <v>0</v>
      </c>
      <c r="Y13" s="94">
        <v>0</v>
      </c>
      <c r="Z13" s="94">
        <f t="shared" si="1"/>
        <v>4177100</v>
      </c>
      <c r="AA13" s="94">
        <f t="shared" si="2"/>
        <v>54691461.229999989</v>
      </c>
      <c r="AB13" s="94">
        <f t="shared" si="3"/>
        <v>2734573</v>
      </c>
      <c r="AC13" s="94">
        <f>('ASTEK+PENSIUN'!O15+'ASTEK+PENSIUN'!O58)+[3]NURSERY!$BM17</f>
        <v>1445920.8</v>
      </c>
      <c r="AD13" s="94">
        <f t="shared" si="7"/>
        <v>50510967.429999992</v>
      </c>
      <c r="AE13" s="112">
        <f t="shared" si="4"/>
        <v>54000000</v>
      </c>
      <c r="AF13" s="112">
        <f t="shared" si="8"/>
        <v>0</v>
      </c>
      <c r="AG13" s="113">
        <f t="shared" si="11"/>
        <v>0</v>
      </c>
      <c r="AH13" s="113">
        <f t="shared" si="12"/>
        <v>0</v>
      </c>
      <c r="AI13" s="130">
        <f ca="1">'PAJAK JAN-NOV'!R10-'PAJAK JAN-NOV'!Q10</f>
        <v>122147</v>
      </c>
      <c r="AJ13" s="583">
        <f t="shared" ca="1" si="5"/>
        <v>0</v>
      </c>
      <c r="AK13" s="34"/>
      <c r="AL13" s="35">
        <f t="shared" ca="1" si="10"/>
        <v>122147</v>
      </c>
      <c r="AM13" s="34"/>
      <c r="AN13" s="35"/>
      <c r="AO13" s="34"/>
      <c r="AP13" s="36"/>
    </row>
    <row r="14" spans="2:42" s="599" customFormat="1" ht="15" customHeight="1">
      <c r="B14" s="45">
        <v>9</v>
      </c>
      <c r="C14" s="169" t="str">
        <f>+PERBULAN!B14</f>
        <v>YUSTIANA</v>
      </c>
      <c r="D14" s="593" t="s">
        <v>398</v>
      </c>
      <c r="E14" s="605" t="s">
        <v>399</v>
      </c>
      <c r="F14" s="584" t="s">
        <v>400</v>
      </c>
      <c r="G14" s="594" t="s">
        <v>88</v>
      </c>
      <c r="H14" s="595" t="s">
        <v>38</v>
      </c>
      <c r="I14" s="142" t="s">
        <v>7</v>
      </c>
      <c r="J14" s="90" t="str">
        <f t="shared" si="0"/>
        <v>TER A</v>
      </c>
      <c r="K14" s="597">
        <v>1</v>
      </c>
      <c r="L14" s="598"/>
      <c r="M14" s="51">
        <f>[3]NURSERY!$AJ18-[3]NURSERY!$BK18</f>
        <v>4131590.23</v>
      </c>
      <c r="N14" s="51"/>
      <c r="O14" s="51">
        <f>[3]NURSERY!$BK18</f>
        <v>57500</v>
      </c>
      <c r="P14" s="94">
        <v>0</v>
      </c>
      <c r="Q14" s="94">
        <f t="shared" ref="Q14" si="13">SUM(M14:P14)</f>
        <v>4189090.23</v>
      </c>
      <c r="R14" s="94">
        <f>+PERBULAN!S14</f>
        <v>3998100</v>
      </c>
      <c r="S14" s="94">
        <f>+SETAHUN!K15</f>
        <v>600000</v>
      </c>
      <c r="T14" s="94">
        <v>0</v>
      </c>
      <c r="U14" s="94">
        <f>+SETAHUN!F15+M14+N14</f>
        <v>49495076.590000004</v>
      </c>
      <c r="V14" s="94"/>
      <c r="W14" s="94">
        <f>+SETAHUN!U15+O14</f>
        <v>2147768.64</v>
      </c>
      <c r="X14" s="94">
        <v>0</v>
      </c>
      <c r="Y14" s="94">
        <v>0</v>
      </c>
      <c r="Z14" s="94">
        <f t="shared" ref="Z14" si="14">SUM(R14:T14)</f>
        <v>4598100</v>
      </c>
      <c r="AA14" s="94">
        <f t="shared" ref="AA14" si="15">SUM(U14:Z14)</f>
        <v>56240945.230000004</v>
      </c>
      <c r="AB14" s="94">
        <f t="shared" ref="AB14" si="16">ROUND(IF((AA14)*5%&gt;6000000,6000000,(AA14)*5%),0)</f>
        <v>2812047</v>
      </c>
      <c r="AC14" s="94">
        <f>('ASTEK+PENSIUN'!O16+'ASTEK+PENSIUN'!O59)+[3]NURSERY!$BM18</f>
        <v>1450120.8</v>
      </c>
      <c r="AD14" s="94">
        <f t="shared" ref="AD14" si="17">AA14-AB14-AC14</f>
        <v>51978777.430000007</v>
      </c>
      <c r="AE14" s="112">
        <f t="shared" ref="AE14" si="18">IFERROR(VLOOKUP(I14,TARIF,3,FALSE),0)</f>
        <v>54000000</v>
      </c>
      <c r="AF14" s="112">
        <f t="shared" ref="AF14" si="19">ROUNDDOWN(IF(AD14&lt;=AE14,0,IF(AD14&gt;AE14,AD14-AE14)),-3)</f>
        <v>0</v>
      </c>
      <c r="AG14" s="113">
        <f t="shared" ref="AG14" si="20">IF(AF14&gt;5000000000,AF14*35%-306000000,IF(AF14&gt;500000000,AF14*30%-56000000,IF(AF14&gt;250000000,AF14*25%-31000000,IF(AF14&gt;60000000,AF14*15%-6000000,AF14*5%))))</f>
        <v>0</v>
      </c>
      <c r="AH14" s="113">
        <f t="shared" si="12"/>
        <v>0</v>
      </c>
      <c r="AI14" s="130">
        <f ca="1">'PAJAK JAN-NOV'!R11-'PAJAK JAN-NOV'!Q11</f>
        <v>124762</v>
      </c>
      <c r="AJ14" s="583">
        <f t="shared" ca="1" si="5"/>
        <v>0</v>
      </c>
      <c r="AK14" s="34"/>
      <c r="AL14" s="35">
        <f t="shared" ca="1" si="10"/>
        <v>124762</v>
      </c>
      <c r="AM14" s="34"/>
      <c r="AN14" s="35"/>
      <c r="AO14" s="34"/>
      <c r="AP14" s="34"/>
    </row>
    <row r="15" spans="2:42" s="27" customFormat="1" ht="15" customHeight="1">
      <c r="B15" s="592">
        <v>10</v>
      </c>
      <c r="C15" s="169" t="str">
        <f>+PERBULAN!B15</f>
        <v>YULIANA</v>
      </c>
      <c r="D15" s="170" t="s">
        <v>401</v>
      </c>
      <c r="E15" s="334" t="s">
        <v>402</v>
      </c>
      <c r="F15" s="584" t="s">
        <v>403</v>
      </c>
      <c r="G15" s="154" t="s">
        <v>88</v>
      </c>
      <c r="H15" s="141" t="s">
        <v>38</v>
      </c>
      <c r="I15" s="142" t="s">
        <v>7</v>
      </c>
      <c r="J15" s="90" t="str">
        <f t="shared" si="0"/>
        <v>TER A</v>
      </c>
      <c r="K15" s="87">
        <v>1</v>
      </c>
      <c r="L15" s="117"/>
      <c r="M15" s="51">
        <f>[3]NURSERY!$AJ19-[3]NURSERY!$BK19</f>
        <v>4131590.23</v>
      </c>
      <c r="N15" s="51"/>
      <c r="O15" s="51">
        <f>[3]NURSERY!$BK19</f>
        <v>36500</v>
      </c>
      <c r="P15" s="94">
        <v>0</v>
      </c>
      <c r="Q15" s="94">
        <f t="shared" si="6"/>
        <v>4168090.23</v>
      </c>
      <c r="R15" s="94">
        <f>+PERBULAN!S15</f>
        <v>3977100</v>
      </c>
      <c r="S15" s="94">
        <f>+SETAHUN!K16</f>
        <v>600000</v>
      </c>
      <c r="T15" s="94">
        <v>0</v>
      </c>
      <c r="U15" s="94">
        <f>+SETAHUN!F16+M15+N15</f>
        <v>49290689.389999993</v>
      </c>
      <c r="V15" s="94"/>
      <c r="W15" s="94">
        <f>+SETAHUN!U16+O15</f>
        <v>2116307.84</v>
      </c>
      <c r="X15" s="94">
        <v>0</v>
      </c>
      <c r="Y15" s="94">
        <v>0</v>
      </c>
      <c r="Z15" s="94">
        <f t="shared" si="1"/>
        <v>4577100</v>
      </c>
      <c r="AA15" s="94">
        <f t="shared" si="2"/>
        <v>55984097.229999989</v>
      </c>
      <c r="AB15" s="94">
        <f t="shared" si="3"/>
        <v>2799205</v>
      </c>
      <c r="AC15" s="94">
        <f>('ASTEK+PENSIUN'!O17+'ASTEK+PENSIUN'!O60)+[3]NURSERY!$BM19</f>
        <v>1445920.8</v>
      </c>
      <c r="AD15" s="94">
        <f t="shared" si="7"/>
        <v>51738971.429999992</v>
      </c>
      <c r="AE15" s="112">
        <f t="shared" si="4"/>
        <v>54000000</v>
      </c>
      <c r="AF15" s="112">
        <f t="shared" si="8"/>
        <v>0</v>
      </c>
      <c r="AG15" s="113">
        <f t="shared" si="11"/>
        <v>0</v>
      </c>
      <c r="AH15" s="113">
        <f t="shared" si="12"/>
        <v>0</v>
      </c>
      <c r="AI15" s="130">
        <f ca="1">'PAJAK JAN-NOV'!R12-'PAJAK JAN-NOV'!Q12</f>
        <v>124119</v>
      </c>
      <c r="AJ15" s="583">
        <f t="shared" ca="1" si="5"/>
        <v>0</v>
      </c>
      <c r="AK15" s="34"/>
      <c r="AL15" s="35">
        <f t="shared" ca="1" si="10"/>
        <v>124119</v>
      </c>
      <c r="AM15" s="34"/>
      <c r="AN15" s="35"/>
      <c r="AO15" s="34"/>
      <c r="AP15" s="36"/>
    </row>
    <row r="16" spans="2:42" s="27" customFormat="1" ht="15" customHeight="1">
      <c r="B16" s="45">
        <v>11</v>
      </c>
      <c r="C16" s="169" t="str">
        <f>+PERBULAN!B16</f>
        <v>SALMIA</v>
      </c>
      <c r="D16" s="175" t="s">
        <v>404</v>
      </c>
      <c r="E16" s="333" t="s">
        <v>405</v>
      </c>
      <c r="F16" s="584" t="s">
        <v>406</v>
      </c>
      <c r="G16" s="154" t="s">
        <v>88</v>
      </c>
      <c r="H16" s="141" t="s">
        <v>38</v>
      </c>
      <c r="I16" s="142" t="s">
        <v>7</v>
      </c>
      <c r="J16" s="90" t="str">
        <f t="shared" si="0"/>
        <v>TER A</v>
      </c>
      <c r="K16" s="87">
        <v>1</v>
      </c>
      <c r="L16" s="117"/>
      <c r="M16" s="51">
        <f>[3]NURSERY!$AJ20-[3]NURSERY!$BK20</f>
        <v>4131590.23</v>
      </c>
      <c r="N16" s="51"/>
      <c r="O16" s="51">
        <f>[3]NURSERY!$BK20</f>
        <v>57500</v>
      </c>
      <c r="P16" s="94">
        <v>0</v>
      </c>
      <c r="Q16" s="94">
        <f t="shared" si="6"/>
        <v>4189090.23</v>
      </c>
      <c r="R16" s="94">
        <f>+PERBULAN!S16</f>
        <v>3998100</v>
      </c>
      <c r="S16" s="94">
        <f>+SETAHUN!K17</f>
        <v>600000</v>
      </c>
      <c r="T16" s="94">
        <v>0</v>
      </c>
      <c r="U16" s="94">
        <f>+SETAHUN!F17+M16+N16</f>
        <v>49528688.589999996</v>
      </c>
      <c r="V16" s="94"/>
      <c r="W16" s="94">
        <f>+SETAHUN!U17+O16</f>
        <v>2147768.64</v>
      </c>
      <c r="X16" s="94">
        <v>0</v>
      </c>
      <c r="Y16" s="94">
        <v>0</v>
      </c>
      <c r="Z16" s="94">
        <f t="shared" si="1"/>
        <v>4598100</v>
      </c>
      <c r="AA16" s="94">
        <f t="shared" si="2"/>
        <v>56274557.229999997</v>
      </c>
      <c r="AB16" s="94">
        <f t="shared" si="3"/>
        <v>2813728</v>
      </c>
      <c r="AC16" s="94">
        <f>('ASTEK+PENSIUN'!O18+'ASTEK+PENSIUN'!O61)+[3]NURSERY!$BM20</f>
        <v>1450120.8</v>
      </c>
      <c r="AD16" s="94">
        <f t="shared" si="7"/>
        <v>52010708.43</v>
      </c>
      <c r="AE16" s="112">
        <f t="shared" si="4"/>
        <v>54000000</v>
      </c>
      <c r="AF16" s="112">
        <f t="shared" si="8"/>
        <v>0</v>
      </c>
      <c r="AG16" s="113">
        <f t="shared" si="11"/>
        <v>0</v>
      </c>
      <c r="AH16" s="113">
        <f t="shared" si="12"/>
        <v>0</v>
      </c>
      <c r="AI16" s="130">
        <f ca="1">'PAJAK JAN-NOV'!R13-'PAJAK JAN-NOV'!Q13</f>
        <v>124762</v>
      </c>
      <c r="AJ16" s="583">
        <f t="shared" ca="1" si="5"/>
        <v>0</v>
      </c>
      <c r="AK16" s="34"/>
      <c r="AL16" s="35">
        <f t="shared" ca="1" si="10"/>
        <v>124762</v>
      </c>
      <c r="AM16" s="34"/>
      <c r="AN16" s="35"/>
      <c r="AO16" s="34"/>
      <c r="AP16" s="36"/>
    </row>
    <row r="17" spans="2:42" s="27" customFormat="1" ht="15" customHeight="1">
      <c r="B17" s="592">
        <v>12</v>
      </c>
      <c r="C17" s="169" t="str">
        <f>+PERBULAN!B17</f>
        <v>SISWANDI</v>
      </c>
      <c r="D17" s="170" t="s">
        <v>407</v>
      </c>
      <c r="E17" s="334" t="s">
        <v>408</v>
      </c>
      <c r="F17" s="584" t="s">
        <v>409</v>
      </c>
      <c r="G17" s="154" t="s">
        <v>88</v>
      </c>
      <c r="H17" s="141" t="s">
        <v>39</v>
      </c>
      <c r="I17" s="142" t="s">
        <v>17</v>
      </c>
      <c r="J17" s="90" t="str">
        <f t="shared" si="0"/>
        <v>TER A</v>
      </c>
      <c r="K17" s="87">
        <v>1</v>
      </c>
      <c r="L17" s="117"/>
      <c r="M17" s="51">
        <f>[3]NURSERY!$AJ21-[3]NURSERY!$BK21</f>
        <v>3868650.23</v>
      </c>
      <c r="N17" s="51"/>
      <c r="O17" s="51">
        <f>[3]NURSERY!$BK21</f>
        <v>50500</v>
      </c>
      <c r="P17" s="94">
        <v>0</v>
      </c>
      <c r="Q17" s="94">
        <f t="shared" si="6"/>
        <v>3919150.23</v>
      </c>
      <c r="R17" s="94">
        <f>+PERBULAN!S17</f>
        <v>4034600</v>
      </c>
      <c r="S17" s="94">
        <f>+SETAHUN!K18</f>
        <v>200000</v>
      </c>
      <c r="T17" s="94">
        <v>0</v>
      </c>
      <c r="U17" s="94">
        <f>+SETAHUN!F18+M17+N17</f>
        <v>48583332.989999987</v>
      </c>
      <c r="V17" s="94"/>
      <c r="W17" s="94">
        <f>+SETAHUN!U18+O17</f>
        <v>2137225.2400000002</v>
      </c>
      <c r="X17" s="94">
        <v>0</v>
      </c>
      <c r="Y17" s="94">
        <v>0</v>
      </c>
      <c r="Z17" s="94">
        <f t="shared" si="1"/>
        <v>4234600</v>
      </c>
      <c r="AA17" s="94">
        <f t="shared" si="2"/>
        <v>54955158.229999989</v>
      </c>
      <c r="AB17" s="94">
        <f t="shared" si="3"/>
        <v>2747758</v>
      </c>
      <c r="AC17" s="94">
        <f>('ASTEK+PENSIUN'!O19+'ASTEK+PENSIUN'!O62)+[3]NURSERY!$BM21</f>
        <v>1448685.8</v>
      </c>
      <c r="AD17" s="94">
        <f t="shared" si="7"/>
        <v>50758714.429999992</v>
      </c>
      <c r="AE17" s="112">
        <f t="shared" si="4"/>
        <v>58500000</v>
      </c>
      <c r="AF17" s="112">
        <f t="shared" si="8"/>
        <v>0</v>
      </c>
      <c r="AG17" s="113">
        <f t="shared" si="11"/>
        <v>0</v>
      </c>
      <c r="AH17" s="113">
        <f t="shared" si="12"/>
        <v>0</v>
      </c>
      <c r="AI17" s="130">
        <f ca="1">'PAJAK JAN-NOV'!R14-'PAJAK JAN-NOV'!Q14</f>
        <v>125874</v>
      </c>
      <c r="AJ17" s="583">
        <f t="shared" ca="1" si="5"/>
        <v>0</v>
      </c>
      <c r="AK17" s="34"/>
      <c r="AL17" s="35">
        <f t="shared" ca="1" si="10"/>
        <v>125874</v>
      </c>
      <c r="AM17" s="34"/>
      <c r="AN17" s="35"/>
      <c r="AO17" s="34"/>
      <c r="AP17" s="36"/>
    </row>
    <row r="18" spans="2:42" s="27" customFormat="1" ht="15" customHeight="1">
      <c r="B18" s="45">
        <v>13</v>
      </c>
      <c r="C18" s="169" t="str">
        <f>+PERBULAN!B18</f>
        <v>ERWIN HAZANI</v>
      </c>
      <c r="D18" s="170" t="s">
        <v>410</v>
      </c>
      <c r="E18" s="334" t="s">
        <v>411</v>
      </c>
      <c r="F18" s="584" t="s">
        <v>412</v>
      </c>
      <c r="G18" s="154" t="s">
        <v>88</v>
      </c>
      <c r="H18" s="49" t="s">
        <v>39</v>
      </c>
      <c r="I18" s="142" t="s">
        <v>9</v>
      </c>
      <c r="J18" s="90" t="str">
        <f t="shared" si="0"/>
        <v>TER B</v>
      </c>
      <c r="K18" s="87">
        <v>1</v>
      </c>
      <c r="L18" s="117"/>
      <c r="M18" s="51">
        <f>[3]NURSERY!$AJ22-[3]NURSERY!$BK22</f>
        <v>7455163.5199999996</v>
      </c>
      <c r="N18" s="51"/>
      <c r="O18" s="51">
        <f>[3]NURSERY!$BK22</f>
        <v>36500</v>
      </c>
      <c r="P18" s="94">
        <v>0</v>
      </c>
      <c r="Q18" s="94">
        <f t="shared" si="6"/>
        <v>7491663.5199999996</v>
      </c>
      <c r="R18" s="94">
        <f>+PERBULAN!S18</f>
        <v>4049100</v>
      </c>
      <c r="S18" s="94">
        <f>+SETAHUN!K19</f>
        <v>600000</v>
      </c>
      <c r="T18" s="94">
        <v>0</v>
      </c>
      <c r="U18" s="94">
        <f>+SETAHUN!F19+M18+N18</f>
        <v>70934339.679999992</v>
      </c>
      <c r="V18" s="94"/>
      <c r="W18" s="94">
        <f>+SETAHUN!U19+O18</f>
        <v>2116307.84</v>
      </c>
      <c r="X18" s="94">
        <v>0</v>
      </c>
      <c r="Y18" s="94">
        <v>0</v>
      </c>
      <c r="Z18" s="94">
        <f t="shared" si="1"/>
        <v>4649100</v>
      </c>
      <c r="AA18" s="94">
        <f t="shared" si="2"/>
        <v>77699747.519999996</v>
      </c>
      <c r="AB18" s="94">
        <f t="shared" si="3"/>
        <v>3884987</v>
      </c>
      <c r="AC18" s="94">
        <f>('ASTEK+PENSIUN'!O20+'ASTEK+PENSIUN'!O63)+[3]NURSERY!$BM22</f>
        <v>1445920.8</v>
      </c>
      <c r="AD18" s="94">
        <f t="shared" si="7"/>
        <v>72368839.719999999</v>
      </c>
      <c r="AE18" s="112">
        <f t="shared" si="4"/>
        <v>63000000</v>
      </c>
      <c r="AF18" s="112">
        <f t="shared" si="8"/>
        <v>9368000</v>
      </c>
      <c r="AG18" s="113">
        <f t="shared" si="11"/>
        <v>468400</v>
      </c>
      <c r="AH18" s="113">
        <f t="shared" si="12"/>
        <v>468400</v>
      </c>
      <c r="AI18" s="130">
        <f ca="1">'PAJAK JAN-NOV'!R15-'PAJAK JAN-NOV'!Q15</f>
        <v>299945</v>
      </c>
      <c r="AJ18" s="583">
        <f t="shared" ca="1" si="5"/>
        <v>168455</v>
      </c>
      <c r="AK18" s="34"/>
      <c r="AL18" s="35">
        <f t="shared" ca="1" si="10"/>
        <v>-168455</v>
      </c>
      <c r="AM18" s="34"/>
      <c r="AN18" s="35"/>
      <c r="AO18" s="34"/>
      <c r="AP18" s="36"/>
    </row>
    <row r="19" spans="2:42" s="27" customFormat="1" ht="15" customHeight="1">
      <c r="B19" s="592">
        <v>14</v>
      </c>
      <c r="C19" s="169" t="str">
        <f>+PERBULAN!B19</f>
        <v>SERIHAN</v>
      </c>
      <c r="D19" s="170" t="s">
        <v>413</v>
      </c>
      <c r="E19" s="206" t="s">
        <v>414</v>
      </c>
      <c r="F19" s="584" t="s">
        <v>415</v>
      </c>
      <c r="G19" s="154" t="s">
        <v>88</v>
      </c>
      <c r="H19" s="49" t="s">
        <v>39</v>
      </c>
      <c r="I19" s="50" t="s">
        <v>17</v>
      </c>
      <c r="J19" s="90" t="str">
        <f t="shared" si="0"/>
        <v>TER A</v>
      </c>
      <c r="K19" s="87">
        <v>1</v>
      </c>
      <c r="L19" s="117"/>
      <c r="M19" s="51">
        <f>[3]NURSERY!$AJ23-[3]NURSERY!$BK23</f>
        <v>3897650.23</v>
      </c>
      <c r="N19" s="51"/>
      <c r="O19" s="51">
        <f>[3]NURSERY!$BK23</f>
        <v>50500</v>
      </c>
      <c r="P19" s="94">
        <v>0</v>
      </c>
      <c r="Q19" s="94">
        <f t="shared" si="6"/>
        <v>3948150.23</v>
      </c>
      <c r="R19" s="94">
        <f>+PERBULAN!S19</f>
        <v>4024600</v>
      </c>
      <c r="S19" s="94">
        <f>+SETAHUN!K20</f>
        <v>200000</v>
      </c>
      <c r="T19" s="94">
        <v>0</v>
      </c>
      <c r="U19" s="94">
        <f>+SETAHUN!F20+M19+N19</f>
        <v>48852800.389999993</v>
      </c>
      <c r="V19" s="94"/>
      <c r="W19" s="94">
        <f>+SETAHUN!U20+O19</f>
        <v>2138462.84</v>
      </c>
      <c r="X19" s="94">
        <v>0</v>
      </c>
      <c r="Y19" s="94">
        <v>0</v>
      </c>
      <c r="Z19" s="94">
        <f t="shared" si="1"/>
        <v>4224600</v>
      </c>
      <c r="AA19" s="94">
        <f t="shared" si="2"/>
        <v>55215863.229999989</v>
      </c>
      <c r="AB19" s="94">
        <f t="shared" si="3"/>
        <v>2760793</v>
      </c>
      <c r="AC19" s="94">
        <f>('ASTEK+PENSIUN'!O21+'ASTEK+PENSIUN'!O64)+[3]NURSERY!$BM23</f>
        <v>1449105.8</v>
      </c>
      <c r="AD19" s="94">
        <f t="shared" si="7"/>
        <v>51005964.429999992</v>
      </c>
      <c r="AE19" s="112">
        <f t="shared" si="4"/>
        <v>58500000</v>
      </c>
      <c r="AF19" s="112">
        <f t="shared" si="8"/>
        <v>0</v>
      </c>
      <c r="AG19" s="113">
        <f t="shared" si="11"/>
        <v>0</v>
      </c>
      <c r="AH19" s="113">
        <f t="shared" si="12"/>
        <v>0</v>
      </c>
      <c r="AI19" s="130">
        <f ca="1">'PAJAK JAN-NOV'!R16-'PAJAK JAN-NOV'!Q16</f>
        <v>123583</v>
      </c>
      <c r="AJ19" s="583">
        <f t="shared" ca="1" si="5"/>
        <v>0</v>
      </c>
      <c r="AK19" s="34"/>
      <c r="AL19" s="35">
        <f t="shared" ca="1" si="10"/>
        <v>123583</v>
      </c>
      <c r="AM19" s="34"/>
      <c r="AN19" s="35"/>
      <c r="AO19" s="34"/>
      <c r="AP19" s="36"/>
    </row>
    <row r="20" spans="2:42" s="27" customFormat="1" ht="15" customHeight="1">
      <c r="B20" s="45">
        <v>15</v>
      </c>
      <c r="C20" s="169" t="str">
        <f>+PERBULAN!B20</f>
        <v>IMAM ROHMANU,SIP</v>
      </c>
      <c r="D20" s="177" t="s">
        <v>416</v>
      </c>
      <c r="E20" s="335" t="s">
        <v>73</v>
      </c>
      <c r="F20" s="584" t="s">
        <v>417</v>
      </c>
      <c r="G20" s="154" t="s">
        <v>88</v>
      </c>
      <c r="H20" s="49" t="s">
        <v>39</v>
      </c>
      <c r="I20" s="50" t="s">
        <v>11</v>
      </c>
      <c r="J20" s="90" t="str">
        <f t="shared" si="0"/>
        <v>TER B</v>
      </c>
      <c r="K20" s="87">
        <v>1</v>
      </c>
      <c r="L20" s="117"/>
      <c r="M20" s="51">
        <f>[3]NURSERY!$AJ24-[3]NURSERY!$BK24</f>
        <v>4569368.72</v>
      </c>
      <c r="N20" s="51"/>
      <c r="O20" s="51">
        <f>[3]NURSERY!$BK24</f>
        <v>18000</v>
      </c>
      <c r="P20" s="94">
        <v>0</v>
      </c>
      <c r="Q20" s="94">
        <f t="shared" si="6"/>
        <v>4587368.72</v>
      </c>
      <c r="R20" s="94">
        <f>+PERBULAN!S20</f>
        <v>4058100</v>
      </c>
      <c r="S20" s="94">
        <f>+SETAHUN!K21</f>
        <v>200000</v>
      </c>
      <c r="T20" s="94">
        <v>0</v>
      </c>
      <c r="U20" s="94">
        <f>+SETAHUN!F21+M20+N20</f>
        <v>51493429.879999995</v>
      </c>
      <c r="V20" s="94"/>
      <c r="W20" s="94">
        <f>+SETAHUN!U21+O20</f>
        <v>2090097.84</v>
      </c>
      <c r="X20" s="94">
        <v>0</v>
      </c>
      <c r="Y20" s="94">
        <v>0</v>
      </c>
      <c r="Z20" s="94">
        <f t="shared" si="1"/>
        <v>4258100</v>
      </c>
      <c r="AA20" s="94">
        <f t="shared" si="2"/>
        <v>57841627.719999999</v>
      </c>
      <c r="AB20" s="94">
        <f t="shared" si="3"/>
        <v>2892081</v>
      </c>
      <c r="AC20" s="94">
        <f>('ASTEK+PENSIUN'!O22+'ASTEK+PENSIUN'!O65)+[3]NURSERY!$BM24</f>
        <v>1442930.8</v>
      </c>
      <c r="AD20" s="94">
        <f t="shared" si="7"/>
        <v>53506615.920000002</v>
      </c>
      <c r="AE20" s="112">
        <f t="shared" si="4"/>
        <v>67500000</v>
      </c>
      <c r="AF20" s="112">
        <f t="shared" si="8"/>
        <v>0</v>
      </c>
      <c r="AG20" s="113">
        <f t="shared" si="11"/>
        <v>0</v>
      </c>
      <c r="AH20" s="113">
        <f t="shared" si="12"/>
        <v>0</v>
      </c>
      <c r="AI20" s="130">
        <f ca="1">'PAJAK JAN-NOV'!R17-'PAJAK JAN-NOV'!Q17</f>
        <v>81697</v>
      </c>
      <c r="AJ20" s="583">
        <f t="shared" ca="1" si="5"/>
        <v>0</v>
      </c>
      <c r="AK20" s="34"/>
      <c r="AL20" s="35">
        <f t="shared" ca="1" si="10"/>
        <v>81697</v>
      </c>
      <c r="AM20" s="34"/>
      <c r="AN20" s="35"/>
      <c r="AO20" s="34"/>
      <c r="AP20" s="36"/>
    </row>
    <row r="21" spans="2:42" s="27" customFormat="1" ht="15" customHeight="1">
      <c r="B21" s="592">
        <v>16</v>
      </c>
      <c r="C21" s="169" t="str">
        <f>+PERBULAN!B21</f>
        <v>ARLINI</v>
      </c>
      <c r="D21" s="175" t="s">
        <v>419</v>
      </c>
      <c r="E21" s="333" t="s">
        <v>420</v>
      </c>
      <c r="F21" s="584" t="s">
        <v>421</v>
      </c>
      <c r="G21" s="154" t="s">
        <v>422</v>
      </c>
      <c r="H21" s="141" t="s">
        <v>38</v>
      </c>
      <c r="I21" s="142" t="s">
        <v>7</v>
      </c>
      <c r="J21" s="90" t="str">
        <f t="shared" ref="J21:J32" si="21">IF(ISBLANK(I21),"",IF(OR(I21="TK/0",I21="TK/1",I21="K/0"),"TER A",IF(I21="K/3","TER C","TER B")))</f>
        <v>TER A</v>
      </c>
      <c r="K21" s="87">
        <v>1</v>
      </c>
      <c r="L21" s="117"/>
      <c r="M21" s="51">
        <f>[3]NURSERY!$AJ25-[3]NURSERY!$BK25</f>
        <v>4455487.3499999996</v>
      </c>
      <c r="N21" s="51"/>
      <c r="O21" s="51">
        <f>[3]NURSERY!$BK25</f>
        <v>50500</v>
      </c>
      <c r="P21" s="94">
        <v>0</v>
      </c>
      <c r="Q21" s="94">
        <f>SUM(M21:P21)</f>
        <v>4505987.3499999996</v>
      </c>
      <c r="R21" s="94">
        <f>+PERBULAN!S21</f>
        <v>3994600</v>
      </c>
      <c r="S21" s="94">
        <f>+SETAHUN!K22</f>
        <v>600000</v>
      </c>
      <c r="T21" s="94">
        <v>0</v>
      </c>
      <c r="U21" s="94">
        <f>+SETAHUN!F22+M21+N21</f>
        <v>64269509.509999998</v>
      </c>
      <c r="V21" s="94"/>
      <c r="W21" s="94">
        <f>+SETAHUN!U22+O21</f>
        <v>2138742.84</v>
      </c>
      <c r="X21" s="94">
        <v>0</v>
      </c>
      <c r="Y21" s="94">
        <v>0</v>
      </c>
      <c r="Z21" s="94">
        <f t="shared" si="1"/>
        <v>4594600</v>
      </c>
      <c r="AA21" s="94">
        <f t="shared" si="2"/>
        <v>71002852.349999994</v>
      </c>
      <c r="AB21" s="94">
        <f t="shared" si="3"/>
        <v>3550143</v>
      </c>
      <c r="AC21" s="94">
        <f>('ASTEK+PENSIUN'!O23+'ASTEK+PENSIUN'!O66)+[3]NURSERY!$BM25</f>
        <v>1449105.8</v>
      </c>
      <c r="AD21" s="94">
        <f t="shared" si="7"/>
        <v>66003603.549999997</v>
      </c>
      <c r="AE21" s="112">
        <f t="shared" si="4"/>
        <v>54000000</v>
      </c>
      <c r="AF21" s="112">
        <f t="shared" si="8"/>
        <v>12003000</v>
      </c>
      <c r="AG21" s="113">
        <f t="shared" si="11"/>
        <v>600150</v>
      </c>
      <c r="AH21" s="113">
        <f t="shared" si="12"/>
        <v>600150</v>
      </c>
      <c r="AI21" s="130">
        <f ca="1">'PAJAK JAN-NOV'!R18-'PAJAK JAN-NOV'!Q18</f>
        <v>455121</v>
      </c>
      <c r="AJ21" s="583">
        <f t="shared" ca="1" si="5"/>
        <v>145029</v>
      </c>
      <c r="AK21" s="34"/>
      <c r="AL21" s="35">
        <f ca="1">AI21-AH21</f>
        <v>-145029</v>
      </c>
      <c r="AM21" s="34"/>
      <c r="AN21" s="35"/>
      <c r="AO21" s="34"/>
      <c r="AP21" s="36"/>
    </row>
    <row r="22" spans="2:42" s="599" customFormat="1" ht="15" customHeight="1">
      <c r="B22" s="592">
        <v>17</v>
      </c>
      <c r="C22" s="628">
        <f>+PERBULAN!B22</f>
        <v>0</v>
      </c>
      <c r="D22" s="593"/>
      <c r="E22" s="605"/>
      <c r="F22" s="584"/>
      <c r="G22" s="594"/>
      <c r="H22" s="595"/>
      <c r="I22" s="596"/>
      <c r="J22" s="634" t="str">
        <f t="shared" si="21"/>
        <v/>
      </c>
      <c r="K22" s="597"/>
      <c r="L22" s="598"/>
      <c r="M22" s="51"/>
      <c r="N22" s="51"/>
      <c r="O22" s="51"/>
      <c r="P22" s="51">
        <v>0</v>
      </c>
      <c r="Q22" s="51">
        <f t="shared" si="6"/>
        <v>0</v>
      </c>
      <c r="R22" s="51">
        <f>+PERBULAN!S22</f>
        <v>0</v>
      </c>
      <c r="S22" s="51">
        <f>+SETAHUN!K23</f>
        <v>0</v>
      </c>
      <c r="T22" s="51">
        <v>0</v>
      </c>
      <c r="U22" s="51">
        <f>+SETAHUN!F23+M22+N22</f>
        <v>0</v>
      </c>
      <c r="V22" s="51"/>
      <c r="W22" s="51">
        <f>+SETAHUN!U23+O22</f>
        <v>0</v>
      </c>
      <c r="X22" s="51">
        <v>0</v>
      </c>
      <c r="Y22" s="51">
        <v>0</v>
      </c>
      <c r="Z22" s="51">
        <f t="shared" si="1"/>
        <v>0</v>
      </c>
      <c r="AA22" s="51">
        <f t="shared" si="2"/>
        <v>0</v>
      </c>
      <c r="AB22" s="51">
        <f t="shared" si="3"/>
        <v>0</v>
      </c>
      <c r="AC22" s="51">
        <f>('ASTEK+PENSIUN'!O24+'ASTEK+PENSIUN'!O67)</f>
        <v>0</v>
      </c>
      <c r="AD22" s="51">
        <f t="shared" si="7"/>
        <v>0</v>
      </c>
      <c r="AE22" s="130">
        <f t="shared" si="4"/>
        <v>0</v>
      </c>
      <c r="AF22" s="130">
        <f t="shared" si="8"/>
        <v>0</v>
      </c>
      <c r="AG22" s="635">
        <f t="shared" si="11"/>
        <v>0</v>
      </c>
      <c r="AH22" s="635">
        <f t="shared" si="12"/>
        <v>0</v>
      </c>
      <c r="AI22" s="130">
        <f>+'PAJAK JAN-NOV'!R19</f>
        <v>0</v>
      </c>
      <c r="AJ22" s="405">
        <f t="shared" si="5"/>
        <v>0</v>
      </c>
      <c r="AK22" s="34"/>
      <c r="AL22" s="35">
        <f t="shared" si="10"/>
        <v>0</v>
      </c>
      <c r="AM22" s="34"/>
      <c r="AN22" s="35"/>
      <c r="AO22" s="34"/>
      <c r="AP22" s="34"/>
    </row>
    <row r="23" spans="2:42" s="599" customFormat="1" ht="15" customHeight="1">
      <c r="B23" s="592">
        <v>18</v>
      </c>
      <c r="C23" s="628">
        <f>+PERBULAN!B23</f>
        <v>0</v>
      </c>
      <c r="D23" s="593"/>
      <c r="E23" s="605"/>
      <c r="F23" s="584"/>
      <c r="G23" s="594"/>
      <c r="H23" s="636"/>
      <c r="I23" s="634"/>
      <c r="J23" s="634" t="str">
        <f t="shared" si="21"/>
        <v/>
      </c>
      <c r="K23" s="597"/>
      <c r="L23" s="598"/>
      <c r="M23" s="51"/>
      <c r="N23" s="51"/>
      <c r="O23" s="51"/>
      <c r="P23" s="51">
        <v>0</v>
      </c>
      <c r="Q23" s="51">
        <f t="shared" si="6"/>
        <v>0</v>
      </c>
      <c r="R23" s="51">
        <f>+PERBULAN!S23</f>
        <v>0</v>
      </c>
      <c r="S23" s="51">
        <f>+SETAHUN!K24</f>
        <v>0</v>
      </c>
      <c r="T23" s="51">
        <v>0</v>
      </c>
      <c r="U23" s="51">
        <f>+SETAHUN!F24+M23+N23</f>
        <v>0</v>
      </c>
      <c r="V23" s="51"/>
      <c r="W23" s="51">
        <f>+SETAHUN!U24+O23</f>
        <v>0</v>
      </c>
      <c r="X23" s="51">
        <v>0</v>
      </c>
      <c r="Y23" s="51">
        <v>0</v>
      </c>
      <c r="Z23" s="51">
        <f t="shared" si="1"/>
        <v>0</v>
      </c>
      <c r="AA23" s="51">
        <f t="shared" si="2"/>
        <v>0</v>
      </c>
      <c r="AB23" s="51">
        <f t="shared" si="3"/>
        <v>0</v>
      </c>
      <c r="AC23" s="51">
        <f>('ASTEK+PENSIUN'!O25+'ASTEK+PENSIUN'!O68)</f>
        <v>0</v>
      </c>
      <c r="AD23" s="51">
        <f t="shared" si="7"/>
        <v>0</v>
      </c>
      <c r="AE23" s="130">
        <f t="shared" si="4"/>
        <v>0</v>
      </c>
      <c r="AF23" s="130">
        <f t="shared" si="8"/>
        <v>0</v>
      </c>
      <c r="AG23" s="635">
        <f t="shared" si="11"/>
        <v>0</v>
      </c>
      <c r="AH23" s="635">
        <f t="shared" si="12"/>
        <v>0</v>
      </c>
      <c r="AI23" s="130">
        <f>+'PAJAK JAN-NOV'!R20</f>
        <v>0</v>
      </c>
      <c r="AJ23" s="405">
        <f t="shared" si="5"/>
        <v>0</v>
      </c>
      <c r="AK23" s="34"/>
      <c r="AL23" s="35">
        <f t="shared" si="10"/>
        <v>0</v>
      </c>
      <c r="AM23" s="34"/>
      <c r="AN23" s="35"/>
      <c r="AO23" s="34"/>
      <c r="AP23" s="34"/>
    </row>
    <row r="24" spans="2:42" s="599" customFormat="1" ht="15" customHeight="1">
      <c r="B24" s="592">
        <v>19</v>
      </c>
      <c r="C24" s="628">
        <f>+PERBULAN!B24</f>
        <v>0</v>
      </c>
      <c r="D24" s="593"/>
      <c r="E24" s="605"/>
      <c r="F24" s="584"/>
      <c r="G24" s="594"/>
      <c r="H24" s="636"/>
      <c r="I24" s="634"/>
      <c r="J24" s="634" t="str">
        <f t="shared" si="21"/>
        <v/>
      </c>
      <c r="K24" s="597"/>
      <c r="L24" s="598"/>
      <c r="M24" s="51"/>
      <c r="N24" s="51"/>
      <c r="O24" s="51"/>
      <c r="P24" s="51">
        <v>0</v>
      </c>
      <c r="Q24" s="51">
        <f t="shared" si="6"/>
        <v>0</v>
      </c>
      <c r="R24" s="51">
        <f>+PERBULAN!S24</f>
        <v>0</v>
      </c>
      <c r="S24" s="51">
        <f>+SETAHUN!K25</f>
        <v>0</v>
      </c>
      <c r="T24" s="51">
        <v>0</v>
      </c>
      <c r="U24" s="51">
        <f>+SETAHUN!F25+M24+N24</f>
        <v>0</v>
      </c>
      <c r="V24" s="51"/>
      <c r="W24" s="51">
        <f>+SETAHUN!U25+O24</f>
        <v>0</v>
      </c>
      <c r="X24" s="51">
        <v>0</v>
      </c>
      <c r="Y24" s="51">
        <v>0</v>
      </c>
      <c r="Z24" s="51">
        <f t="shared" si="1"/>
        <v>0</v>
      </c>
      <c r="AA24" s="51">
        <f t="shared" si="2"/>
        <v>0</v>
      </c>
      <c r="AB24" s="51">
        <f t="shared" si="3"/>
        <v>0</v>
      </c>
      <c r="AC24" s="51">
        <f>('ASTEK+PENSIUN'!O26+'ASTEK+PENSIUN'!O69)</f>
        <v>0</v>
      </c>
      <c r="AD24" s="51">
        <f t="shared" si="7"/>
        <v>0</v>
      </c>
      <c r="AE24" s="130">
        <f t="shared" si="4"/>
        <v>0</v>
      </c>
      <c r="AF24" s="130">
        <f t="shared" si="8"/>
        <v>0</v>
      </c>
      <c r="AG24" s="635">
        <f t="shared" si="11"/>
        <v>0</v>
      </c>
      <c r="AH24" s="635">
        <f t="shared" si="12"/>
        <v>0</v>
      </c>
      <c r="AI24" s="130">
        <f>+'PAJAK JAN-NOV'!R21</f>
        <v>0</v>
      </c>
      <c r="AJ24" s="405">
        <f t="shared" si="5"/>
        <v>0</v>
      </c>
      <c r="AK24" s="34"/>
      <c r="AL24" s="35">
        <f t="shared" si="10"/>
        <v>0</v>
      </c>
      <c r="AM24" s="34"/>
      <c r="AN24" s="35"/>
      <c r="AO24" s="34"/>
      <c r="AP24" s="34"/>
    </row>
    <row r="25" spans="2:42" s="599" customFormat="1" ht="15" customHeight="1">
      <c r="B25" s="592">
        <v>20</v>
      </c>
      <c r="C25" s="628">
        <f>+PERBULAN!B25</f>
        <v>0</v>
      </c>
      <c r="D25" s="593"/>
      <c r="E25" s="605"/>
      <c r="F25" s="584"/>
      <c r="G25" s="594"/>
      <c r="H25" s="636"/>
      <c r="I25" s="634"/>
      <c r="J25" s="634" t="str">
        <f t="shared" si="21"/>
        <v/>
      </c>
      <c r="K25" s="597"/>
      <c r="L25" s="598"/>
      <c r="M25" s="51"/>
      <c r="N25" s="51"/>
      <c r="O25" s="51"/>
      <c r="P25" s="51">
        <v>0</v>
      </c>
      <c r="Q25" s="51">
        <f t="shared" si="6"/>
        <v>0</v>
      </c>
      <c r="R25" s="51">
        <f>+PERBULAN!S25</f>
        <v>0</v>
      </c>
      <c r="S25" s="51">
        <f>+SETAHUN!K26</f>
        <v>0</v>
      </c>
      <c r="T25" s="51">
        <v>0</v>
      </c>
      <c r="U25" s="51">
        <f>+SETAHUN!F26+M25+N25</f>
        <v>0</v>
      </c>
      <c r="V25" s="51"/>
      <c r="W25" s="51">
        <f>+SETAHUN!U26+O25</f>
        <v>0</v>
      </c>
      <c r="X25" s="51">
        <v>0</v>
      </c>
      <c r="Y25" s="51">
        <v>0</v>
      </c>
      <c r="Z25" s="51">
        <f t="shared" si="1"/>
        <v>0</v>
      </c>
      <c r="AA25" s="51">
        <f t="shared" si="2"/>
        <v>0</v>
      </c>
      <c r="AB25" s="51">
        <f t="shared" si="3"/>
        <v>0</v>
      </c>
      <c r="AC25" s="51">
        <f>('ASTEK+PENSIUN'!O27+'ASTEK+PENSIUN'!O70)</f>
        <v>0</v>
      </c>
      <c r="AD25" s="51">
        <f t="shared" si="7"/>
        <v>0</v>
      </c>
      <c r="AE25" s="130">
        <f t="shared" si="4"/>
        <v>0</v>
      </c>
      <c r="AF25" s="130">
        <f>ROUNDDOWN(IF(AD25&lt;=AE25,0,IF(AD25&gt;AE25,AD25-AE25)),-3)</f>
        <v>0</v>
      </c>
      <c r="AG25" s="635">
        <f>IF(AF25&gt;5000000000,AF25*35%-306000000,IF(AF25&gt;500000000,AF25*30%-56000000,IF(AF25&gt;250000000,AF25*25%-31000000,IF(AF25&gt;60000000,AF25*15%-6000000,AF25*5%))))</f>
        <v>0</v>
      </c>
      <c r="AH25" s="635">
        <f t="shared" si="12"/>
        <v>0</v>
      </c>
      <c r="AI25" s="130">
        <f>+'PAJAK JAN-NOV'!R22</f>
        <v>0</v>
      </c>
      <c r="AJ25" s="405">
        <f t="shared" si="5"/>
        <v>0</v>
      </c>
      <c r="AK25" s="34"/>
      <c r="AL25" s="35">
        <f t="shared" si="10"/>
        <v>0</v>
      </c>
      <c r="AM25" s="34"/>
      <c r="AN25" s="35"/>
      <c r="AO25" s="34"/>
      <c r="AP25" s="34"/>
    </row>
    <row r="26" spans="2:42" s="599" customFormat="1" ht="15" customHeight="1">
      <c r="B26" s="592">
        <v>21</v>
      </c>
      <c r="C26" s="628">
        <f>+PERBULAN!B26</f>
        <v>0</v>
      </c>
      <c r="D26" s="593"/>
      <c r="E26" s="605"/>
      <c r="F26" s="584"/>
      <c r="G26" s="594"/>
      <c r="H26" s="636"/>
      <c r="I26" s="634"/>
      <c r="J26" s="634" t="str">
        <f t="shared" si="21"/>
        <v/>
      </c>
      <c r="K26" s="597"/>
      <c r="L26" s="598"/>
      <c r="M26" s="51"/>
      <c r="N26" s="51"/>
      <c r="O26" s="51"/>
      <c r="P26" s="51">
        <v>0</v>
      </c>
      <c r="Q26" s="51">
        <f t="shared" si="6"/>
        <v>0</v>
      </c>
      <c r="R26" s="51">
        <f>+PERBULAN!S26</f>
        <v>0</v>
      </c>
      <c r="S26" s="51">
        <f>+SETAHUN!K27</f>
        <v>0</v>
      </c>
      <c r="T26" s="51">
        <v>0</v>
      </c>
      <c r="U26" s="51">
        <f>+SETAHUN!F27+M26+N26</f>
        <v>0</v>
      </c>
      <c r="V26" s="51"/>
      <c r="W26" s="51">
        <f>+SETAHUN!U27+O26</f>
        <v>0</v>
      </c>
      <c r="X26" s="51">
        <v>0</v>
      </c>
      <c r="Y26" s="51">
        <v>0</v>
      </c>
      <c r="Z26" s="51">
        <f t="shared" si="1"/>
        <v>0</v>
      </c>
      <c r="AA26" s="51">
        <f t="shared" si="2"/>
        <v>0</v>
      </c>
      <c r="AB26" s="51">
        <f t="shared" si="3"/>
        <v>0</v>
      </c>
      <c r="AC26" s="51">
        <f>('ASTEK+PENSIUN'!O28+'ASTEK+PENSIUN'!O71)</f>
        <v>0</v>
      </c>
      <c r="AD26" s="51">
        <f t="shared" si="7"/>
        <v>0</v>
      </c>
      <c r="AE26" s="130">
        <f t="shared" si="4"/>
        <v>0</v>
      </c>
      <c r="AF26" s="130">
        <f t="shared" si="8"/>
        <v>0</v>
      </c>
      <c r="AG26" s="635">
        <f t="shared" si="11"/>
        <v>0</v>
      </c>
      <c r="AH26" s="635">
        <f t="shared" si="12"/>
        <v>0</v>
      </c>
      <c r="AI26" s="130">
        <f>+'PAJAK JAN-NOV'!R23</f>
        <v>0</v>
      </c>
      <c r="AJ26" s="405">
        <f t="shared" si="5"/>
        <v>0</v>
      </c>
      <c r="AK26" s="34"/>
      <c r="AL26" s="35">
        <f t="shared" si="10"/>
        <v>0</v>
      </c>
      <c r="AM26" s="34"/>
      <c r="AN26" s="35"/>
      <c r="AO26" s="34"/>
      <c r="AP26" s="34"/>
    </row>
    <row r="27" spans="2:42" s="599" customFormat="1" ht="15" customHeight="1">
      <c r="B27" s="592">
        <v>22</v>
      </c>
      <c r="C27" s="628">
        <f>+PERBULAN!B27</f>
        <v>0</v>
      </c>
      <c r="D27" s="637"/>
      <c r="E27" s="638"/>
      <c r="F27" s="639"/>
      <c r="G27" s="594"/>
      <c r="H27" s="640"/>
      <c r="I27" s="604"/>
      <c r="J27" s="634" t="str">
        <f t="shared" si="21"/>
        <v/>
      </c>
      <c r="K27" s="641"/>
      <c r="L27" s="598"/>
      <c r="M27" s="310"/>
      <c r="N27" s="310"/>
      <c r="O27" s="310"/>
      <c r="P27" s="51">
        <v>0</v>
      </c>
      <c r="Q27" s="51">
        <f t="shared" ref="Q27:Q28" si="22">SUM(M27:P27)</f>
        <v>0</v>
      </c>
      <c r="R27" s="51">
        <f>+PERBULAN!S27</f>
        <v>0</v>
      </c>
      <c r="S27" s="51">
        <f>+SETAHUN!K28</f>
        <v>0</v>
      </c>
      <c r="T27" s="51">
        <v>0</v>
      </c>
      <c r="U27" s="51">
        <f>+SETAHUN!F28+M27+N27</f>
        <v>0</v>
      </c>
      <c r="V27" s="51"/>
      <c r="W27" s="51">
        <f>+SETAHUN!U28+O27</f>
        <v>0</v>
      </c>
      <c r="X27" s="51">
        <v>0</v>
      </c>
      <c r="Y27" s="51">
        <v>0</v>
      </c>
      <c r="Z27" s="51">
        <f t="shared" si="1"/>
        <v>0</v>
      </c>
      <c r="AA27" s="51">
        <f t="shared" si="2"/>
        <v>0</v>
      </c>
      <c r="AB27" s="51">
        <f t="shared" si="3"/>
        <v>0</v>
      </c>
      <c r="AC27" s="51">
        <f>('ASTEK+PENSIUN'!O29+'ASTEK+PENSIUN'!O72)</f>
        <v>0</v>
      </c>
      <c r="AD27" s="51">
        <f t="shared" ref="AD27:AD37" si="23">AA27-AB27-AC27</f>
        <v>0</v>
      </c>
      <c r="AE27" s="130">
        <f t="shared" si="4"/>
        <v>0</v>
      </c>
      <c r="AF27" s="130">
        <f t="shared" si="8"/>
        <v>0</v>
      </c>
      <c r="AG27" s="635">
        <f t="shared" ref="AG27:AG28" si="24">IF(AF27&gt;5000000000,AF27*35%-306000000,IF(AF27&gt;500000000,AF27*30%-56000000,IF(AF27&gt;250000000,AF27*25%-31000000,IF(AF27&gt;60000000,AF27*15%-6000000,AF27*5%))))</f>
        <v>0</v>
      </c>
      <c r="AH27" s="635">
        <f t="shared" ref="AH27:AH28" si="25">ROUND(IF(E27=0,AG27*120%,AG27),0)</f>
        <v>0</v>
      </c>
      <c r="AI27" s="130">
        <f>+'PAJAK JAN-NOV'!R24</f>
        <v>0</v>
      </c>
      <c r="AJ27" s="405">
        <f t="shared" si="5"/>
        <v>0</v>
      </c>
      <c r="AK27" s="34"/>
      <c r="AL27" s="35">
        <f t="shared" si="10"/>
        <v>0</v>
      </c>
      <c r="AM27" s="34"/>
      <c r="AN27" s="35"/>
      <c r="AO27" s="34"/>
      <c r="AP27" s="34"/>
    </row>
    <row r="28" spans="2:42" s="599" customFormat="1" ht="15" customHeight="1">
      <c r="B28" s="592">
        <v>23</v>
      </c>
      <c r="C28" s="642">
        <f>+PERBULAN!B28</f>
        <v>0</v>
      </c>
      <c r="D28" s="637"/>
      <c r="E28" s="643"/>
      <c r="F28" s="644"/>
      <c r="G28" s="645"/>
      <c r="H28" s="646"/>
      <c r="I28" s="647"/>
      <c r="J28" s="648" t="str">
        <f t="shared" si="21"/>
        <v/>
      </c>
      <c r="K28" s="641"/>
      <c r="L28" s="649"/>
      <c r="M28" s="310"/>
      <c r="N28" s="310"/>
      <c r="O28" s="310"/>
      <c r="P28" s="310">
        <v>0</v>
      </c>
      <c r="Q28" s="310">
        <f t="shared" si="22"/>
        <v>0</v>
      </c>
      <c r="R28" s="51">
        <f>+PERBULAN!S28</f>
        <v>0</v>
      </c>
      <c r="S28" s="51">
        <f>+SETAHUN!K29</f>
        <v>0</v>
      </c>
      <c r="T28" s="310">
        <v>0</v>
      </c>
      <c r="U28" s="310">
        <f>+SETAHUN!F29+M28+N28</f>
        <v>0</v>
      </c>
      <c r="V28" s="310"/>
      <c r="W28" s="310">
        <f>+SETAHUN!U29+O28</f>
        <v>0</v>
      </c>
      <c r="X28" s="310">
        <v>0</v>
      </c>
      <c r="Y28" s="310">
        <v>0</v>
      </c>
      <c r="Z28" s="310">
        <f t="shared" si="1"/>
        <v>0</v>
      </c>
      <c r="AA28" s="310">
        <f t="shared" si="2"/>
        <v>0</v>
      </c>
      <c r="AB28" s="310">
        <f t="shared" si="3"/>
        <v>0</v>
      </c>
      <c r="AC28" s="51">
        <f>('ASTEK+PENSIUN'!O30+'ASTEK+PENSIUN'!O73)</f>
        <v>0</v>
      </c>
      <c r="AD28" s="310">
        <f t="shared" si="23"/>
        <v>0</v>
      </c>
      <c r="AE28" s="53">
        <f t="shared" si="4"/>
        <v>0</v>
      </c>
      <c r="AF28" s="53">
        <f t="shared" si="8"/>
        <v>0</v>
      </c>
      <c r="AG28" s="650">
        <f t="shared" si="24"/>
        <v>0</v>
      </c>
      <c r="AH28" s="650">
        <f t="shared" si="25"/>
        <v>0</v>
      </c>
      <c r="AI28" s="53">
        <f>+'PAJAK JAN-NOV'!R25</f>
        <v>0</v>
      </c>
      <c r="AJ28" s="417">
        <f>IF(AG28&lt;=AI28,0,IF(AG28&gt;AI28,AG28-AI28))</f>
        <v>0</v>
      </c>
      <c r="AK28" s="34"/>
      <c r="AL28" s="35">
        <f t="shared" si="10"/>
        <v>0</v>
      </c>
      <c r="AM28" s="34"/>
      <c r="AN28" s="35"/>
      <c r="AO28" s="34"/>
      <c r="AP28" s="34"/>
    </row>
    <row r="29" spans="2:42" s="599" customFormat="1" ht="15" customHeight="1">
      <c r="B29" s="592">
        <v>24</v>
      </c>
      <c r="C29" s="642">
        <f>+PERBULAN!B29</f>
        <v>0</v>
      </c>
      <c r="D29" s="610"/>
      <c r="E29" s="48"/>
      <c r="F29" s="651"/>
      <c r="G29" s="645"/>
      <c r="H29" s="636"/>
      <c r="I29" s="634"/>
      <c r="J29" s="648" t="str">
        <f t="shared" si="21"/>
        <v/>
      </c>
      <c r="K29" s="641"/>
      <c r="L29" s="597"/>
      <c r="M29" s="130"/>
      <c r="N29" s="130"/>
      <c r="O29" s="130"/>
      <c r="P29" s="51">
        <v>0</v>
      </c>
      <c r="Q29" s="51">
        <f t="shared" si="6"/>
        <v>0</v>
      </c>
      <c r="R29" s="51">
        <f>+PERBULAN!S29</f>
        <v>0</v>
      </c>
      <c r="S29" s="51">
        <f>+SETAHUN!K30</f>
        <v>0</v>
      </c>
      <c r="T29" s="51"/>
      <c r="U29" s="51">
        <f>+SETAHUN!F30</f>
        <v>0</v>
      </c>
      <c r="V29" s="51"/>
      <c r="W29" s="51">
        <f>+SETAHUN!U30</f>
        <v>0</v>
      </c>
      <c r="X29" s="51">
        <v>0</v>
      </c>
      <c r="Y29" s="51">
        <v>0</v>
      </c>
      <c r="Z29" s="51">
        <f t="shared" si="1"/>
        <v>0</v>
      </c>
      <c r="AA29" s="51">
        <f t="shared" si="2"/>
        <v>0</v>
      </c>
      <c r="AB29" s="51">
        <f t="shared" si="3"/>
        <v>0</v>
      </c>
      <c r="AC29" s="51">
        <f>('ASTEK+PENSIUN'!O31+'ASTEK+PENSIUN'!O74)</f>
        <v>0</v>
      </c>
      <c r="AD29" s="310">
        <f t="shared" si="23"/>
        <v>0</v>
      </c>
      <c r="AE29" s="130">
        <f t="shared" si="4"/>
        <v>0</v>
      </c>
      <c r="AF29" s="130">
        <f t="shared" ref="AF29:AF32" si="26">ROUNDDOWN(IF(AQ29&gt;AR29,AQ29-AR29,0),-3)</f>
        <v>0</v>
      </c>
      <c r="AG29" s="635">
        <f t="shared" si="9"/>
        <v>0</v>
      </c>
      <c r="AH29" s="635">
        <f>ROUND(IF(E29=0,AG29*120%,AG29),0)</f>
        <v>0</v>
      </c>
      <c r="AI29" s="130">
        <f>+'PAJAK JAN-NOV'!R26</f>
        <v>0</v>
      </c>
      <c r="AJ29" s="417">
        <f t="shared" ref="AJ29:AJ37" si="27">IF(AG29&lt;=AI29,0,IF(AG29&gt;AI29,AG29-AI29))</f>
        <v>0</v>
      </c>
      <c r="AK29" s="34"/>
      <c r="AL29" s="35">
        <f t="shared" si="10"/>
        <v>0</v>
      </c>
      <c r="AM29" s="34"/>
      <c r="AN29" s="35"/>
      <c r="AO29" s="34"/>
      <c r="AP29" s="34"/>
    </row>
    <row r="30" spans="2:42" s="599" customFormat="1" ht="15" customHeight="1">
      <c r="B30" s="592">
        <v>25</v>
      </c>
      <c r="C30" s="642">
        <f>+PERBULAN!B30</f>
        <v>0</v>
      </c>
      <c r="D30" s="610"/>
      <c r="E30" s="48"/>
      <c r="F30" s="651"/>
      <c r="G30" s="652"/>
      <c r="H30" s="636"/>
      <c r="I30" s="634"/>
      <c r="J30" s="648" t="str">
        <f t="shared" si="21"/>
        <v/>
      </c>
      <c r="K30" s="641"/>
      <c r="L30" s="597"/>
      <c r="M30" s="130"/>
      <c r="N30" s="130"/>
      <c r="O30" s="130"/>
      <c r="P30" s="51"/>
      <c r="Q30" s="51"/>
      <c r="R30" s="51">
        <f>+PERBULAN!S30</f>
        <v>0</v>
      </c>
      <c r="S30" s="51">
        <f>+SETAHUN!K31</f>
        <v>0</v>
      </c>
      <c r="T30" s="51"/>
      <c r="U30" s="51">
        <f>+SETAHUN!F31</f>
        <v>0</v>
      </c>
      <c r="V30" s="51"/>
      <c r="W30" s="51">
        <f>+SETAHUN!U31</f>
        <v>0</v>
      </c>
      <c r="X30" s="51">
        <v>0</v>
      </c>
      <c r="Y30" s="51">
        <v>0</v>
      </c>
      <c r="Z30" s="51">
        <f t="shared" ref="Z30:Z37" si="28">SUM(R30:T30)</f>
        <v>0</v>
      </c>
      <c r="AA30" s="51">
        <f t="shared" si="2"/>
        <v>0</v>
      </c>
      <c r="AB30" s="51">
        <f t="shared" si="3"/>
        <v>0</v>
      </c>
      <c r="AC30" s="51">
        <f>('ASTEK+PENSIUN'!O32+'ASTEK+PENSIUN'!O75)</f>
        <v>0</v>
      </c>
      <c r="AD30" s="310">
        <f t="shared" si="23"/>
        <v>0</v>
      </c>
      <c r="AE30" s="130">
        <f t="shared" si="4"/>
        <v>0</v>
      </c>
      <c r="AF30" s="130">
        <f t="shared" si="26"/>
        <v>0</v>
      </c>
      <c r="AG30" s="635">
        <f t="shared" si="9"/>
        <v>0</v>
      </c>
      <c r="AH30" s="635">
        <f t="shared" ref="AH30:AH32" si="29">ROUND(IF(E30=0,AG30*120%,AG30),0)</f>
        <v>0</v>
      </c>
      <c r="AI30" s="130">
        <f>+'PAJAK JAN-NOV'!R27</f>
        <v>0</v>
      </c>
      <c r="AJ30" s="417">
        <f t="shared" si="27"/>
        <v>0</v>
      </c>
      <c r="AK30" s="34"/>
      <c r="AL30" s="35">
        <f t="shared" si="10"/>
        <v>0</v>
      </c>
      <c r="AM30" s="34"/>
      <c r="AN30" s="35"/>
      <c r="AO30" s="34"/>
      <c r="AP30" s="34"/>
    </row>
    <row r="31" spans="2:42" s="599" customFormat="1" ht="15" customHeight="1">
      <c r="B31" s="592">
        <v>26</v>
      </c>
      <c r="C31" s="642">
        <f>+PERBULAN!B31</f>
        <v>0</v>
      </c>
      <c r="D31" s="610"/>
      <c r="E31" s="48"/>
      <c r="F31" s="651"/>
      <c r="G31" s="652"/>
      <c r="H31" s="636"/>
      <c r="I31" s="634"/>
      <c r="J31" s="648" t="str">
        <f t="shared" si="21"/>
        <v/>
      </c>
      <c r="K31" s="641"/>
      <c r="L31" s="597"/>
      <c r="M31" s="130"/>
      <c r="N31" s="130"/>
      <c r="O31" s="130"/>
      <c r="P31" s="51"/>
      <c r="Q31" s="51"/>
      <c r="R31" s="51">
        <f>+PERBULAN!S31</f>
        <v>0</v>
      </c>
      <c r="S31" s="51"/>
      <c r="T31" s="51"/>
      <c r="U31" s="51">
        <f>+SETAHUN!F32</f>
        <v>0</v>
      </c>
      <c r="V31" s="51"/>
      <c r="W31" s="51">
        <f>+SETAHUN!U32</f>
        <v>0</v>
      </c>
      <c r="X31" s="51">
        <v>0</v>
      </c>
      <c r="Y31" s="51">
        <v>0</v>
      </c>
      <c r="Z31" s="51">
        <f t="shared" si="28"/>
        <v>0</v>
      </c>
      <c r="AA31" s="51">
        <f t="shared" si="2"/>
        <v>0</v>
      </c>
      <c r="AB31" s="51">
        <f t="shared" si="3"/>
        <v>0</v>
      </c>
      <c r="AC31" s="51">
        <f>('ASTEK+PENSIUN'!O33+'ASTEK+PENSIUN'!O76)</f>
        <v>0</v>
      </c>
      <c r="AD31" s="310">
        <f t="shared" si="23"/>
        <v>0</v>
      </c>
      <c r="AE31" s="130">
        <f t="shared" si="4"/>
        <v>0</v>
      </c>
      <c r="AF31" s="130">
        <f t="shared" si="26"/>
        <v>0</v>
      </c>
      <c r="AG31" s="635">
        <f t="shared" si="9"/>
        <v>0</v>
      </c>
      <c r="AH31" s="635">
        <f t="shared" si="29"/>
        <v>0</v>
      </c>
      <c r="AI31" s="130">
        <f>+'PAJAK JAN-NOV'!R28</f>
        <v>0</v>
      </c>
      <c r="AJ31" s="417">
        <f t="shared" si="27"/>
        <v>0</v>
      </c>
      <c r="AK31" s="34"/>
      <c r="AL31" s="35">
        <f t="shared" si="10"/>
        <v>0</v>
      </c>
      <c r="AM31" s="34"/>
      <c r="AN31" s="35"/>
      <c r="AO31" s="34"/>
      <c r="AP31" s="34"/>
    </row>
    <row r="32" spans="2:42" s="599" customFormat="1" ht="15" customHeight="1">
      <c r="B32" s="592">
        <v>27</v>
      </c>
      <c r="C32" s="642">
        <f>+PERBULAN!B32</f>
        <v>0</v>
      </c>
      <c r="D32" s="103"/>
      <c r="E32" s="104"/>
      <c r="F32" s="653"/>
      <c r="G32" s="654"/>
      <c r="H32" s="655"/>
      <c r="I32" s="648"/>
      <c r="J32" s="648" t="str">
        <f t="shared" si="21"/>
        <v/>
      </c>
      <c r="K32" s="641"/>
      <c r="L32" s="641"/>
      <c r="M32" s="53"/>
      <c r="N32" s="53"/>
      <c r="O32" s="53"/>
      <c r="P32" s="310"/>
      <c r="Q32" s="310"/>
      <c r="R32" s="310">
        <f>+PERBULAN!S32</f>
        <v>0</v>
      </c>
      <c r="S32" s="310"/>
      <c r="T32" s="310"/>
      <c r="U32" s="310">
        <f>+SETAHUN!F33</f>
        <v>0</v>
      </c>
      <c r="V32" s="310"/>
      <c r="W32" s="310">
        <f>+SETAHUN!U33</f>
        <v>0</v>
      </c>
      <c r="X32" s="310">
        <v>0</v>
      </c>
      <c r="Y32" s="310">
        <v>0</v>
      </c>
      <c r="Z32" s="310">
        <f t="shared" si="28"/>
        <v>0</v>
      </c>
      <c r="AA32" s="310">
        <f t="shared" si="2"/>
        <v>0</v>
      </c>
      <c r="AB32" s="310">
        <f t="shared" si="3"/>
        <v>0</v>
      </c>
      <c r="AC32" s="51">
        <f>('ASTEK+PENSIUN'!O34+'ASTEK+PENSIUN'!O77)</f>
        <v>0</v>
      </c>
      <c r="AD32" s="310">
        <f t="shared" si="23"/>
        <v>0</v>
      </c>
      <c r="AE32" s="53">
        <f t="shared" si="4"/>
        <v>0</v>
      </c>
      <c r="AF32" s="53">
        <f t="shared" si="26"/>
        <v>0</v>
      </c>
      <c r="AG32" s="650">
        <f t="shared" si="9"/>
        <v>0</v>
      </c>
      <c r="AH32" s="650">
        <f t="shared" si="29"/>
        <v>0</v>
      </c>
      <c r="AI32" s="53">
        <f>+'PAJAK JAN-NOV'!R29</f>
        <v>0</v>
      </c>
      <c r="AJ32" s="417">
        <f t="shared" si="27"/>
        <v>0</v>
      </c>
      <c r="AK32" s="34"/>
      <c r="AL32" s="35">
        <f t="shared" si="10"/>
        <v>0</v>
      </c>
      <c r="AM32" s="34"/>
      <c r="AN32" s="35"/>
      <c r="AO32" s="34"/>
      <c r="AP32" s="34"/>
    </row>
    <row r="33" spans="2:76" s="599" customFormat="1" ht="15" customHeight="1">
      <c r="B33" s="592">
        <v>28</v>
      </c>
      <c r="C33" s="642">
        <f>+PERBULAN!B33</f>
        <v>0</v>
      </c>
      <c r="D33" s="610"/>
      <c r="E33" s="48"/>
      <c r="F33" s="651"/>
      <c r="G33" s="652"/>
      <c r="H33" s="636"/>
      <c r="I33" s="634"/>
      <c r="J33" s="634"/>
      <c r="K33" s="597"/>
      <c r="L33" s="597"/>
      <c r="M33" s="130"/>
      <c r="N33" s="130"/>
      <c r="O33" s="130"/>
      <c r="P33" s="51"/>
      <c r="Q33" s="51"/>
      <c r="R33" s="310">
        <f>+PERBULAN!S33</f>
        <v>0</v>
      </c>
      <c r="S33" s="51"/>
      <c r="T33" s="51"/>
      <c r="U33" s="310">
        <f>+SETAHUN!F34</f>
        <v>0</v>
      </c>
      <c r="V33" s="51"/>
      <c r="W33" s="310">
        <f>+SETAHUN!U34</f>
        <v>0</v>
      </c>
      <c r="X33" s="310">
        <v>0</v>
      </c>
      <c r="Y33" s="310">
        <v>0</v>
      </c>
      <c r="Z33" s="310">
        <f t="shared" si="28"/>
        <v>0</v>
      </c>
      <c r="AA33" s="310">
        <f t="shared" si="2"/>
        <v>0</v>
      </c>
      <c r="AB33" s="310">
        <f t="shared" si="3"/>
        <v>0</v>
      </c>
      <c r="AC33" s="51">
        <f>('ASTEK+PENSIUN'!O35+'ASTEK+PENSIUN'!O78)</f>
        <v>0</v>
      </c>
      <c r="AD33" s="310">
        <f t="shared" si="23"/>
        <v>0</v>
      </c>
      <c r="AE33" s="53">
        <f t="shared" si="4"/>
        <v>0</v>
      </c>
      <c r="AF33" s="53">
        <f t="shared" ref="AF33:AF37" si="30">ROUNDDOWN(IF(AQ33&gt;AR33,AQ33-AR33,0),-3)</f>
        <v>0</v>
      </c>
      <c r="AG33" s="650">
        <f t="shared" ref="AG33:AG37" si="31">IF(AF33&gt;5000000000,AF33*35%-306000000,IF(AF33&gt;500000000,AF33*30%-56000000,IF(AF33&gt;250000000,AF33*25%-31000000,IF(AF33&gt;60000000,AF33*15%-6000000,AF33*5%))))</f>
        <v>0</v>
      </c>
      <c r="AH33" s="650">
        <f t="shared" ref="AH33:AH37" si="32">ROUND(IF(E33=0,AG33*120%,AG33),0)</f>
        <v>0</v>
      </c>
      <c r="AI33" s="53">
        <f>+'PAJAK JAN-NOV'!R30</f>
        <v>0</v>
      </c>
      <c r="AJ33" s="417">
        <f t="shared" si="27"/>
        <v>0</v>
      </c>
      <c r="AK33" s="34"/>
      <c r="AL33" s="35">
        <f t="shared" si="10"/>
        <v>0</v>
      </c>
      <c r="AM33" s="34"/>
      <c r="AN33" s="35"/>
      <c r="AO33" s="34"/>
      <c r="AP33" s="34"/>
    </row>
    <row r="34" spans="2:76" s="599" customFormat="1" ht="15" customHeight="1">
      <c r="B34" s="592">
        <v>29</v>
      </c>
      <c r="C34" s="642">
        <f>+PERBULAN!B34</f>
        <v>0</v>
      </c>
      <c r="D34" s="610"/>
      <c r="E34" s="48"/>
      <c r="F34" s="651"/>
      <c r="G34" s="652"/>
      <c r="H34" s="636"/>
      <c r="I34" s="634"/>
      <c r="J34" s="634"/>
      <c r="K34" s="597"/>
      <c r="L34" s="597"/>
      <c r="M34" s="130"/>
      <c r="N34" s="130"/>
      <c r="O34" s="130"/>
      <c r="P34" s="51"/>
      <c r="Q34" s="51"/>
      <c r="R34" s="310">
        <f>+PERBULAN!S34</f>
        <v>0</v>
      </c>
      <c r="S34" s="51"/>
      <c r="T34" s="51"/>
      <c r="U34" s="310">
        <f>+SETAHUN!F35</f>
        <v>0</v>
      </c>
      <c r="V34" s="51"/>
      <c r="W34" s="310">
        <f>+SETAHUN!U35</f>
        <v>0</v>
      </c>
      <c r="X34" s="310">
        <v>0</v>
      </c>
      <c r="Y34" s="310">
        <v>0</v>
      </c>
      <c r="Z34" s="310">
        <f t="shared" si="28"/>
        <v>0</v>
      </c>
      <c r="AA34" s="310">
        <f t="shared" si="2"/>
        <v>0</v>
      </c>
      <c r="AB34" s="310">
        <f t="shared" si="3"/>
        <v>0</v>
      </c>
      <c r="AC34" s="51">
        <f>('ASTEK+PENSIUN'!O36+'ASTEK+PENSIUN'!O79)</f>
        <v>0</v>
      </c>
      <c r="AD34" s="310">
        <f t="shared" si="23"/>
        <v>0</v>
      </c>
      <c r="AE34" s="53">
        <f t="shared" si="4"/>
        <v>0</v>
      </c>
      <c r="AF34" s="53">
        <f t="shared" si="30"/>
        <v>0</v>
      </c>
      <c r="AG34" s="650">
        <f t="shared" si="31"/>
        <v>0</v>
      </c>
      <c r="AH34" s="650">
        <f t="shared" si="32"/>
        <v>0</v>
      </c>
      <c r="AI34" s="53">
        <f>+'PAJAK JAN-NOV'!R31</f>
        <v>0</v>
      </c>
      <c r="AJ34" s="417">
        <f t="shared" si="27"/>
        <v>0</v>
      </c>
      <c r="AK34" s="34"/>
      <c r="AL34" s="35">
        <f t="shared" si="10"/>
        <v>0</v>
      </c>
      <c r="AM34" s="34"/>
      <c r="AN34" s="35"/>
      <c r="AO34" s="34"/>
      <c r="AP34" s="34"/>
    </row>
    <row r="35" spans="2:76" s="599" customFormat="1" ht="15" customHeight="1">
      <c r="B35" s="592">
        <v>30</v>
      </c>
      <c r="C35" s="642">
        <f>+PERBULAN!B35</f>
        <v>0</v>
      </c>
      <c r="D35" s="610"/>
      <c r="E35" s="48"/>
      <c r="F35" s="651"/>
      <c r="G35" s="652"/>
      <c r="H35" s="636"/>
      <c r="I35" s="634"/>
      <c r="J35" s="634"/>
      <c r="K35" s="597"/>
      <c r="L35" s="597"/>
      <c r="M35" s="130"/>
      <c r="N35" s="130"/>
      <c r="O35" s="130"/>
      <c r="P35" s="51"/>
      <c r="Q35" s="51"/>
      <c r="R35" s="310">
        <f>+PERBULAN!S35</f>
        <v>0</v>
      </c>
      <c r="S35" s="51"/>
      <c r="T35" s="51"/>
      <c r="U35" s="310">
        <f>+SETAHUN!F36</f>
        <v>0</v>
      </c>
      <c r="V35" s="51"/>
      <c r="W35" s="310">
        <f>+SETAHUN!U36</f>
        <v>0</v>
      </c>
      <c r="X35" s="310">
        <v>0</v>
      </c>
      <c r="Y35" s="310">
        <v>0</v>
      </c>
      <c r="Z35" s="310">
        <f t="shared" si="28"/>
        <v>0</v>
      </c>
      <c r="AA35" s="310">
        <f t="shared" si="2"/>
        <v>0</v>
      </c>
      <c r="AB35" s="310">
        <f t="shared" si="3"/>
        <v>0</v>
      </c>
      <c r="AC35" s="51">
        <f>('ASTEK+PENSIUN'!O37+'ASTEK+PENSIUN'!O80)</f>
        <v>0</v>
      </c>
      <c r="AD35" s="310">
        <f t="shared" si="23"/>
        <v>0</v>
      </c>
      <c r="AE35" s="53">
        <f t="shared" si="4"/>
        <v>0</v>
      </c>
      <c r="AF35" s="53">
        <f t="shared" si="30"/>
        <v>0</v>
      </c>
      <c r="AG35" s="650">
        <f t="shared" si="31"/>
        <v>0</v>
      </c>
      <c r="AH35" s="650">
        <f t="shared" si="32"/>
        <v>0</v>
      </c>
      <c r="AI35" s="53">
        <f>+'PAJAK JAN-NOV'!R32</f>
        <v>0</v>
      </c>
      <c r="AJ35" s="417">
        <f t="shared" si="27"/>
        <v>0</v>
      </c>
      <c r="AK35" s="34"/>
      <c r="AL35" s="35">
        <f t="shared" si="10"/>
        <v>0</v>
      </c>
      <c r="AM35" s="34"/>
      <c r="AN35" s="35"/>
      <c r="AO35" s="34"/>
      <c r="AP35" s="34"/>
    </row>
    <row r="36" spans="2:76" s="599" customFormat="1" ht="15" customHeight="1">
      <c r="B36" s="592">
        <v>31</v>
      </c>
      <c r="C36" s="642">
        <f>+PERBULAN!B36</f>
        <v>0</v>
      </c>
      <c r="D36" s="610"/>
      <c r="E36" s="48"/>
      <c r="F36" s="651"/>
      <c r="G36" s="652"/>
      <c r="H36" s="636"/>
      <c r="I36" s="634"/>
      <c r="J36" s="634"/>
      <c r="K36" s="597"/>
      <c r="L36" s="597"/>
      <c r="M36" s="130"/>
      <c r="N36" s="130"/>
      <c r="O36" s="130"/>
      <c r="P36" s="51"/>
      <c r="Q36" s="51"/>
      <c r="R36" s="310">
        <f>+PERBULAN!S36</f>
        <v>0</v>
      </c>
      <c r="S36" s="51"/>
      <c r="T36" s="51"/>
      <c r="U36" s="310">
        <f>+SETAHUN!F37</f>
        <v>0</v>
      </c>
      <c r="V36" s="51"/>
      <c r="W36" s="310">
        <f>+SETAHUN!U37</f>
        <v>0</v>
      </c>
      <c r="X36" s="310">
        <v>0</v>
      </c>
      <c r="Y36" s="310">
        <v>0</v>
      </c>
      <c r="Z36" s="310">
        <f t="shared" si="28"/>
        <v>0</v>
      </c>
      <c r="AA36" s="310">
        <f t="shared" si="2"/>
        <v>0</v>
      </c>
      <c r="AB36" s="310">
        <f t="shared" si="3"/>
        <v>0</v>
      </c>
      <c r="AC36" s="51">
        <f>('ASTEK+PENSIUN'!O38+'ASTEK+PENSIUN'!O81)</f>
        <v>0</v>
      </c>
      <c r="AD36" s="310">
        <f t="shared" si="23"/>
        <v>0</v>
      </c>
      <c r="AE36" s="53">
        <f t="shared" si="4"/>
        <v>0</v>
      </c>
      <c r="AF36" s="53">
        <f t="shared" si="30"/>
        <v>0</v>
      </c>
      <c r="AG36" s="650">
        <f t="shared" si="31"/>
        <v>0</v>
      </c>
      <c r="AH36" s="650">
        <f t="shared" si="32"/>
        <v>0</v>
      </c>
      <c r="AI36" s="53">
        <f>+'PAJAK JAN-NOV'!R33</f>
        <v>0</v>
      </c>
      <c r="AJ36" s="417">
        <f t="shared" si="27"/>
        <v>0</v>
      </c>
      <c r="AK36" s="34"/>
      <c r="AL36" s="35">
        <f t="shared" si="10"/>
        <v>0</v>
      </c>
      <c r="AM36" s="34"/>
      <c r="AN36" s="35"/>
      <c r="AO36" s="34"/>
      <c r="AP36" s="34"/>
    </row>
    <row r="37" spans="2:76" s="599" customFormat="1" ht="15" customHeight="1">
      <c r="B37" s="592">
        <v>32</v>
      </c>
      <c r="C37" s="642">
        <f>+PERBULAN!B37</f>
        <v>0</v>
      </c>
      <c r="D37" s="610"/>
      <c r="E37" s="48"/>
      <c r="F37" s="651"/>
      <c r="G37" s="652"/>
      <c r="H37" s="636"/>
      <c r="I37" s="634"/>
      <c r="J37" s="634"/>
      <c r="K37" s="597"/>
      <c r="L37" s="597"/>
      <c r="M37" s="130"/>
      <c r="N37" s="130"/>
      <c r="O37" s="130"/>
      <c r="P37" s="51"/>
      <c r="Q37" s="51"/>
      <c r="R37" s="310">
        <f>+PERBULAN!S37</f>
        <v>0</v>
      </c>
      <c r="S37" s="51"/>
      <c r="T37" s="51"/>
      <c r="U37" s="310">
        <f>+SETAHUN!F38</f>
        <v>0</v>
      </c>
      <c r="V37" s="51"/>
      <c r="W37" s="310">
        <f>+SETAHUN!U38</f>
        <v>0</v>
      </c>
      <c r="X37" s="310">
        <v>0</v>
      </c>
      <c r="Y37" s="310">
        <v>0</v>
      </c>
      <c r="Z37" s="310">
        <f t="shared" si="28"/>
        <v>0</v>
      </c>
      <c r="AA37" s="310">
        <f t="shared" si="2"/>
        <v>0</v>
      </c>
      <c r="AB37" s="310">
        <f t="shared" si="3"/>
        <v>0</v>
      </c>
      <c r="AC37" s="51">
        <f>('ASTEK+PENSIUN'!O39+'ASTEK+PENSIUN'!O82)</f>
        <v>0</v>
      </c>
      <c r="AD37" s="310">
        <f t="shared" si="23"/>
        <v>0</v>
      </c>
      <c r="AE37" s="53">
        <f t="shared" si="4"/>
        <v>0</v>
      </c>
      <c r="AF37" s="53">
        <f t="shared" si="30"/>
        <v>0</v>
      </c>
      <c r="AG37" s="650">
        <f t="shared" si="31"/>
        <v>0</v>
      </c>
      <c r="AH37" s="650">
        <f t="shared" si="32"/>
        <v>0</v>
      </c>
      <c r="AI37" s="53">
        <f>+'PAJAK JAN-NOV'!R34</f>
        <v>0</v>
      </c>
      <c r="AJ37" s="417">
        <f t="shared" si="27"/>
        <v>0</v>
      </c>
      <c r="AK37" s="34"/>
      <c r="AL37" s="35">
        <f t="shared" si="10"/>
        <v>0</v>
      </c>
      <c r="AM37" s="34"/>
      <c r="AN37" s="35"/>
      <c r="AO37" s="34"/>
      <c r="AP37" s="34"/>
    </row>
    <row r="38" spans="2:76" s="599" customFormat="1" ht="15" customHeight="1" thickBot="1">
      <c r="B38" s="592">
        <v>33</v>
      </c>
      <c r="C38" s="616"/>
      <c r="D38" s="617"/>
      <c r="E38" s="618"/>
      <c r="F38" s="656"/>
      <c r="G38" s="657"/>
      <c r="H38" s="658"/>
      <c r="I38" s="659"/>
      <c r="J38" s="659"/>
      <c r="K38" s="660"/>
      <c r="L38" s="660"/>
      <c r="M38" s="616"/>
      <c r="N38" s="616"/>
      <c r="O38" s="616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616"/>
      <c r="AF38" s="616"/>
      <c r="AG38" s="661"/>
      <c r="AH38" s="661"/>
      <c r="AI38" s="616"/>
      <c r="AJ38" s="662"/>
      <c r="AK38" s="34"/>
      <c r="AL38" s="35"/>
      <c r="AM38" s="34"/>
      <c r="AN38" s="35"/>
      <c r="AO38" s="34"/>
      <c r="AP38" s="34"/>
    </row>
    <row r="39" spans="2:76" s="58" customFormat="1" ht="22.15" customHeight="1" thickBot="1"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8"/>
      <c r="M39" s="111">
        <f t="shared" ref="M39:AJ39" si="33">SUM(M6:M37)</f>
        <v>84845597.599999979</v>
      </c>
      <c r="N39" s="111">
        <f t="shared" si="33"/>
        <v>0</v>
      </c>
      <c r="O39" s="111">
        <f t="shared" si="33"/>
        <v>811500</v>
      </c>
      <c r="P39" s="111">
        <f t="shared" si="33"/>
        <v>0</v>
      </c>
      <c r="Q39" s="111">
        <f t="shared" si="33"/>
        <v>85657097.599999979</v>
      </c>
      <c r="R39" s="111">
        <f t="shared" si="33"/>
        <v>64418600</v>
      </c>
      <c r="S39" s="111">
        <f t="shared" si="33"/>
        <v>6800000</v>
      </c>
      <c r="T39" s="111">
        <f t="shared" si="33"/>
        <v>0</v>
      </c>
      <c r="U39" s="111">
        <f t="shared" si="33"/>
        <v>953704434.15999997</v>
      </c>
      <c r="V39" s="111">
        <f t="shared" si="33"/>
        <v>0</v>
      </c>
      <c r="W39" s="111">
        <f t="shared" si="33"/>
        <v>34205425.439999998</v>
      </c>
      <c r="X39" s="111">
        <f t="shared" si="33"/>
        <v>0</v>
      </c>
      <c r="Y39" s="111">
        <f t="shared" si="33"/>
        <v>0</v>
      </c>
      <c r="Z39" s="111">
        <f t="shared" si="33"/>
        <v>71218600</v>
      </c>
      <c r="AA39" s="111">
        <f t="shared" si="33"/>
        <v>1059128459.6000001</v>
      </c>
      <c r="AB39" s="111">
        <f t="shared" si="33"/>
        <v>52956423</v>
      </c>
      <c r="AC39" s="111">
        <f t="shared" si="33"/>
        <v>23182832.800000008</v>
      </c>
      <c r="AD39" s="111">
        <f t="shared" si="33"/>
        <v>982989203.79999983</v>
      </c>
      <c r="AE39" s="111">
        <f t="shared" si="33"/>
        <v>936000000</v>
      </c>
      <c r="AF39" s="111">
        <f t="shared" si="33"/>
        <v>94567000</v>
      </c>
      <c r="AG39" s="111">
        <f t="shared" si="33"/>
        <v>4728350</v>
      </c>
      <c r="AH39" s="111">
        <f t="shared" si="33"/>
        <v>4728350</v>
      </c>
      <c r="AI39" s="111">
        <f t="shared" ca="1" si="33"/>
        <v>4941709</v>
      </c>
      <c r="AJ39" s="111">
        <f t="shared" ca="1" si="33"/>
        <v>907252</v>
      </c>
      <c r="AK39" s="54"/>
      <c r="AL39" s="55">
        <f ca="1">SUM(AL6:AL32)</f>
        <v>213359</v>
      </c>
      <c r="AM39" s="54"/>
      <c r="AN39" s="55"/>
      <c r="AO39" s="54"/>
      <c r="AP39" s="56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</row>
    <row r="40" spans="2:76" ht="15" customHeight="1" thickTop="1">
      <c r="AI40" s="130"/>
    </row>
    <row r="41" spans="2:76" ht="15" customHeight="1">
      <c r="B41" s="57" t="s">
        <v>48</v>
      </c>
      <c r="O41" s="61"/>
      <c r="Q41" s="28">
        <f>[3]NURSERY!$AJ$26</f>
        <v>85657097.599999979</v>
      </c>
      <c r="AG41" s="119"/>
      <c r="AI41" s="53"/>
    </row>
    <row r="42" spans="2:76" ht="15" customHeight="1">
      <c r="B42" s="27" t="s">
        <v>49</v>
      </c>
      <c r="O42" s="61"/>
      <c r="AG42" s="119"/>
    </row>
    <row r="43" spans="2:76" ht="15" customHeight="1">
      <c r="B43" s="27" t="s">
        <v>57</v>
      </c>
      <c r="O43" s="61"/>
      <c r="AG43" s="119"/>
    </row>
    <row r="44" spans="2:76" ht="15" customHeight="1">
      <c r="B44" s="27" t="s">
        <v>50</v>
      </c>
      <c r="O44" s="61"/>
      <c r="AG44" s="119"/>
    </row>
    <row r="45" spans="2:76" s="33" customFormat="1" ht="15" customHeight="1">
      <c r="B45" s="27" t="s">
        <v>58</v>
      </c>
      <c r="C45" s="28"/>
      <c r="D45" s="29"/>
      <c r="E45" s="30"/>
      <c r="F45" s="28"/>
      <c r="G45" s="31"/>
      <c r="H45" s="32"/>
      <c r="I45" s="32"/>
      <c r="J45" s="32"/>
      <c r="K45" s="32"/>
      <c r="L45" s="32"/>
      <c r="M45" s="28"/>
      <c r="N45" s="28"/>
      <c r="O45" s="61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119"/>
      <c r="AH45" s="28"/>
      <c r="AK45" s="34"/>
      <c r="AL45" s="35"/>
      <c r="AM45" s="34"/>
      <c r="AN45" s="35"/>
      <c r="AO45" s="34"/>
      <c r="AP45" s="36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</row>
    <row r="46" spans="2:76" s="33" customFormat="1" ht="15" customHeight="1">
      <c r="B46" s="27" t="s">
        <v>51</v>
      </c>
      <c r="C46" s="28"/>
      <c r="D46" s="29"/>
      <c r="E46" s="30"/>
      <c r="F46" s="28"/>
      <c r="G46" s="31"/>
      <c r="H46" s="32"/>
      <c r="I46" s="32"/>
      <c r="J46" s="32"/>
      <c r="K46" s="32"/>
      <c r="L46" s="32"/>
      <c r="M46" s="28"/>
      <c r="N46" s="28"/>
      <c r="O46" s="61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>
        <f>SUM(AH41:AH45)</f>
        <v>0</v>
      </c>
      <c r="AK46" s="34"/>
      <c r="AL46" s="35"/>
      <c r="AM46" s="34"/>
      <c r="AN46" s="35"/>
      <c r="AO46" s="34"/>
      <c r="AP46" s="36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</row>
    <row r="47" spans="2:76" s="33" customFormat="1" ht="15" customHeight="1">
      <c r="B47" s="27" t="s">
        <v>52</v>
      </c>
      <c r="C47" s="28"/>
      <c r="D47" s="29"/>
      <c r="E47" s="30"/>
      <c r="F47" s="28"/>
      <c r="G47" s="31"/>
      <c r="H47" s="32"/>
      <c r="I47" s="32"/>
      <c r="J47" s="32"/>
      <c r="K47" s="32"/>
      <c r="L47" s="32"/>
      <c r="M47" s="28"/>
      <c r="N47" s="28"/>
      <c r="O47" s="61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K47" s="34"/>
      <c r="AL47" s="35"/>
      <c r="AM47" s="34"/>
      <c r="AN47" s="35"/>
      <c r="AO47" s="34"/>
      <c r="AP47" s="36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</row>
    <row r="48" spans="2:76" s="33" customFormat="1" ht="15" customHeight="1">
      <c r="B48" s="27" t="s">
        <v>53</v>
      </c>
      <c r="C48" s="28"/>
      <c r="D48" s="29"/>
      <c r="E48" s="30"/>
      <c r="F48" s="28"/>
      <c r="G48" s="31"/>
      <c r="H48" s="32"/>
      <c r="I48" s="32"/>
      <c r="J48" s="32"/>
      <c r="K48" s="32"/>
      <c r="L48" s="32"/>
      <c r="M48" s="28"/>
      <c r="N48" s="28"/>
      <c r="O48" s="61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K48" s="34"/>
      <c r="AL48" s="35"/>
      <c r="AM48" s="34"/>
      <c r="AN48" s="35"/>
      <c r="AO48" s="34"/>
      <c r="AP48" s="36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</row>
    <row r="49" spans="2:76" s="33" customFormat="1" ht="15" customHeight="1">
      <c r="B49" s="27" t="s">
        <v>66</v>
      </c>
      <c r="C49" s="28"/>
      <c r="D49" s="29"/>
      <c r="E49" s="30"/>
      <c r="F49" s="28"/>
      <c r="G49" s="31"/>
      <c r="H49" s="32"/>
      <c r="I49" s="32"/>
      <c r="J49" s="32"/>
      <c r="K49" s="32"/>
      <c r="L49" s="32"/>
      <c r="M49" s="28"/>
      <c r="N49" s="28"/>
      <c r="O49" s="61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K49" s="34"/>
      <c r="AL49" s="35"/>
      <c r="AM49" s="34"/>
      <c r="AN49" s="35"/>
      <c r="AO49" s="34"/>
      <c r="AP49" s="36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</row>
    <row r="50" spans="2:76" s="33" customFormat="1" ht="15" customHeight="1">
      <c r="B50" s="27"/>
      <c r="C50" s="28"/>
      <c r="D50" s="29"/>
      <c r="E50" s="30"/>
      <c r="F50" s="28"/>
      <c r="G50" s="31"/>
      <c r="H50" s="32"/>
      <c r="I50" s="32"/>
      <c r="J50" s="32"/>
      <c r="K50" s="32"/>
      <c r="L50" s="32"/>
      <c r="M50" s="28"/>
      <c r="N50" s="28"/>
      <c r="O50" s="61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K50" s="34"/>
      <c r="AL50" s="35"/>
      <c r="AM50" s="34"/>
      <c r="AN50" s="35"/>
      <c r="AO50" s="34"/>
      <c r="AP50" s="36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</row>
    <row r="51" spans="2:76" s="33" customFormat="1" ht="15" customHeight="1">
      <c r="B51" s="27"/>
      <c r="C51" s="28"/>
      <c r="D51" s="29"/>
      <c r="E51" s="30"/>
      <c r="F51" s="28"/>
      <c r="G51" s="31"/>
      <c r="H51" s="32"/>
      <c r="I51" s="32"/>
      <c r="J51" s="32"/>
      <c r="K51" s="32"/>
      <c r="L51" s="32"/>
      <c r="M51" s="28"/>
      <c r="N51" s="28"/>
      <c r="O51" s="61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K51" s="34"/>
      <c r="AL51" s="35"/>
      <c r="AM51" s="34"/>
      <c r="AN51" s="35"/>
      <c r="AO51" s="34"/>
      <c r="AP51" s="36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</row>
    <row r="52" spans="2:76" s="33" customFormat="1" ht="15" customHeight="1" thickBot="1">
      <c r="B52" s="27"/>
      <c r="C52" s="28"/>
      <c r="D52" s="29"/>
      <c r="E52" s="30"/>
      <c r="F52" s="28"/>
      <c r="G52" s="31"/>
      <c r="H52" s="32"/>
      <c r="I52" s="32"/>
      <c r="J52" s="32"/>
      <c r="K52" s="32"/>
      <c r="L52" s="32"/>
      <c r="M52" s="28"/>
      <c r="N52" s="28"/>
      <c r="O52" s="61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K52" s="34"/>
      <c r="AL52" s="35"/>
      <c r="AM52" s="34"/>
      <c r="AN52" s="35"/>
      <c r="AO52" s="34"/>
      <c r="AP52" s="36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</row>
    <row r="53" spans="2:76" s="27" customFormat="1" ht="15" customHeight="1">
      <c r="B53" s="45">
        <v>1</v>
      </c>
      <c r="C53" s="164" t="str">
        <f>+PERBULAN!B120</f>
        <v>NURANI</v>
      </c>
      <c r="D53" s="165" t="s">
        <v>371</v>
      </c>
      <c r="E53" s="332" t="s">
        <v>372</v>
      </c>
      <c r="F53" s="167" t="s">
        <v>373</v>
      </c>
      <c r="G53" s="154" t="s">
        <v>374</v>
      </c>
      <c r="H53" s="42" t="s">
        <v>38</v>
      </c>
      <c r="I53" s="43" t="s">
        <v>7</v>
      </c>
      <c r="J53" s="90" t="str">
        <f>IF(ISBLANK(I53),"",IF(OR(I53="TK/0",I53="TK/1",I53="K/0"),"TER A",IF(I53="K/3","TER C","TER B")))</f>
        <v>TER A</v>
      </c>
      <c r="K53" s="87">
        <v>1</v>
      </c>
      <c r="L53" s="117"/>
      <c r="M53" s="51"/>
      <c r="N53" s="51"/>
      <c r="O53" s="51"/>
      <c r="P53" s="94">
        <v>0</v>
      </c>
      <c r="Q53" s="94">
        <f>SUM(M53:P53)</f>
        <v>0</v>
      </c>
      <c r="R53" s="94">
        <f>+PERBULAN!S120</f>
        <v>3987600</v>
      </c>
      <c r="S53" s="94">
        <f>+SETAHUN!K115</f>
        <v>900000</v>
      </c>
      <c r="T53" s="94">
        <v>0</v>
      </c>
      <c r="U53" s="94">
        <f>+SETAHUN!F115+M53+N53</f>
        <v>67193479.559999987</v>
      </c>
      <c r="V53" s="94"/>
      <c r="W53" s="94">
        <f>+SETAHUN!U115+O53</f>
        <v>2085546.44</v>
      </c>
      <c r="X53" s="94">
        <v>0</v>
      </c>
      <c r="Y53" s="94">
        <v>0</v>
      </c>
      <c r="Z53" s="94">
        <f>SUM(R53:T53)</f>
        <v>4887600</v>
      </c>
      <c r="AA53" s="94">
        <f>SUM(U53:Z53)</f>
        <v>74166625.999999985</v>
      </c>
      <c r="AB53" s="94">
        <f>ROUND(IF((AA53)*5%&gt;6000000,6000000,(AA53)*5%),0)</f>
        <v>3708331</v>
      </c>
      <c r="AC53" s="94">
        <f>('ASTEK+PENSIUN'!O43+'ASTEK+PENSIUN'!O88)</f>
        <v>1286223</v>
      </c>
      <c r="AD53" s="94">
        <f>AA53-AB53-AC53</f>
        <v>69172071.999999985</v>
      </c>
      <c r="AE53" s="112">
        <f>IFERROR(VLOOKUP(I53,TARIF,3,FALSE),0)</f>
        <v>54000000</v>
      </c>
      <c r="AF53" s="112">
        <f>ROUNDDOWN(IF(AD53&lt;=AE53,0,IF(AD53&gt;AE53,AD53-AE53)),-3)</f>
        <v>15172000</v>
      </c>
      <c r="AG53" s="113">
        <f>IF(AF53&gt;5000000000,AF53*35%-306000000,IF(AF53&gt;500000000,AF53*30%-56000000,IF(AF53&gt;250000000,AF53*25%-31000000,IF(AF53&gt;60000000,AF53*15%-6000000,AF53*5%))))</f>
        <v>758600</v>
      </c>
      <c r="AH53" s="113">
        <f t="shared" ref="AH53" si="34">ROUND(IF(E53=0,AG53*120%,AG53),0)</f>
        <v>758600</v>
      </c>
      <c r="AI53" s="130">
        <f>+'PAJAK JAN-NOV'!R48</f>
        <v>758511</v>
      </c>
      <c r="AJ53" s="582">
        <f>IF(AG53&lt;=AI53,0,IF(AG53&gt;AI53,AG53-AI53))</f>
        <v>89</v>
      </c>
      <c r="AK53" s="34"/>
      <c r="AL53" s="35">
        <f>AI53-AH53</f>
        <v>-89</v>
      </c>
      <c r="AM53" s="34"/>
      <c r="AN53" s="35"/>
      <c r="AO53" s="34"/>
      <c r="AP53" s="36"/>
    </row>
    <row r="54" spans="2:76" s="27" customFormat="1" ht="15" customHeight="1">
      <c r="B54" s="45">
        <v>6</v>
      </c>
      <c r="C54" s="169" t="str">
        <f>+PERBULAN!B121</f>
        <v>UJANG SANUSI</v>
      </c>
      <c r="D54" s="170" t="s">
        <v>386</v>
      </c>
      <c r="E54" s="333" t="s">
        <v>387</v>
      </c>
      <c r="F54" s="584" t="s">
        <v>388</v>
      </c>
      <c r="G54" s="154" t="s">
        <v>88</v>
      </c>
      <c r="H54" s="141" t="s">
        <v>39</v>
      </c>
      <c r="I54" s="142" t="s">
        <v>9</v>
      </c>
      <c r="J54" s="90" t="str">
        <f>IF(ISBLANK(I54),"",IF(OR(I54="TK/0",I54="TK/1",I54="K/0"),"TER A",IF(I54="K/3","TER C","TER B")))</f>
        <v>TER B</v>
      </c>
      <c r="K54" s="87">
        <v>1</v>
      </c>
      <c r="L54" s="117"/>
      <c r="M54" s="51"/>
      <c r="N54" s="51"/>
      <c r="O54" s="51"/>
      <c r="P54" s="94">
        <v>0</v>
      </c>
      <c r="Q54" s="94">
        <f>SUM(M54:P54)</f>
        <v>0</v>
      </c>
      <c r="R54" s="94">
        <f>+PERBULAN!S121</f>
        <v>4067100</v>
      </c>
      <c r="S54" s="94">
        <f>+SETAHUN!K116</f>
        <v>600000</v>
      </c>
      <c r="T54" s="94">
        <v>0</v>
      </c>
      <c r="U54" s="94">
        <f>+SETAHUN!F116+M54+N54</f>
        <v>75600472.159999996</v>
      </c>
      <c r="V54" s="94"/>
      <c r="W54" s="94">
        <f>+SETAHUN!U116+O54</f>
        <v>2076435.8399999999</v>
      </c>
      <c r="X54" s="94">
        <v>0</v>
      </c>
      <c r="Y54" s="94">
        <v>0</v>
      </c>
      <c r="Z54" s="94">
        <f>SUM(R54:T54)</f>
        <v>4667100</v>
      </c>
      <c r="AA54" s="94">
        <f>SUM(U54:Z54)</f>
        <v>82344008</v>
      </c>
      <c r="AB54" s="94">
        <f>ROUND(IF((AA54)*5%&gt;6000000,6000000,(AA54)*5%),0)</f>
        <v>4117200</v>
      </c>
      <c r="AC54" s="94">
        <f>('ASTEK+PENSIUN'!O44+'ASTEK+PENSIUN'!O89)</f>
        <v>1283328</v>
      </c>
      <c r="AD54" s="94">
        <f>AA54-AB54-AC54</f>
        <v>76943480</v>
      </c>
      <c r="AE54" s="112">
        <f>IFERROR(VLOOKUP(I54,TARIF,3,FALSE),0)</f>
        <v>63000000</v>
      </c>
      <c r="AF54" s="112">
        <f>ROUNDDOWN(IF(AD54&lt;=AE54,0,IF(AD54&gt;AE54,AD54-AE54)),-3)</f>
        <v>13943000</v>
      </c>
      <c r="AG54" s="113">
        <f>IF(AF54&gt;5000000000,AF54*35%-306000000,IF(AF54&gt;500000000,AF54*30%-56000000,IF(AF54&gt;250000000,AF54*25%-31000000,IF(AF54&gt;60000000,AF54*15%-6000000,AF54*5%))))</f>
        <v>697150</v>
      </c>
      <c r="AH54" s="113">
        <f>ROUND(IF(E54=0,AG54*120%,AG54),0)</f>
        <v>697150</v>
      </c>
      <c r="AI54" s="130">
        <f>+'PAJAK JAN-NOV'!R49</f>
        <v>707031</v>
      </c>
      <c r="AJ54" s="583">
        <f>IF(AG54&lt;=AI54,0,IF(AG54&gt;AI54,AG54-AI54))</f>
        <v>0</v>
      </c>
      <c r="AK54" s="34"/>
      <c r="AL54" s="35">
        <f>AI54-AH54</f>
        <v>9881</v>
      </c>
      <c r="AM54" s="34"/>
      <c r="AN54" s="35"/>
      <c r="AO54" s="34"/>
      <c r="AP54" s="36"/>
    </row>
    <row r="55" spans="2:76" s="33" customFormat="1" ht="15" customHeight="1">
      <c r="B55" s="27"/>
      <c r="C55" s="28"/>
      <c r="D55" s="29"/>
      <c r="E55" s="30"/>
      <c r="F55" s="28"/>
      <c r="G55" s="31"/>
      <c r="H55" s="32"/>
      <c r="I55" s="32"/>
      <c r="J55" s="32"/>
      <c r="K55" s="32"/>
      <c r="L55" s="32"/>
      <c r="M55" s="28"/>
      <c r="N55" s="28"/>
      <c r="O55" s="61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K55" s="34"/>
      <c r="AL55" s="35"/>
      <c r="AM55" s="34"/>
      <c r="AN55" s="35"/>
      <c r="AO55" s="34"/>
      <c r="AP55" s="36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</row>
    <row r="56" spans="2:76" s="33" customFormat="1" ht="15" customHeight="1">
      <c r="B56" s="27"/>
      <c r="C56" s="28"/>
      <c r="D56" s="29"/>
      <c r="E56" s="30"/>
      <c r="F56" s="28"/>
      <c r="G56" s="31"/>
      <c r="H56" s="32"/>
      <c r="I56" s="32"/>
      <c r="J56" s="32"/>
      <c r="K56" s="32"/>
      <c r="L56" s="32"/>
      <c r="M56" s="28"/>
      <c r="N56" s="28"/>
      <c r="O56" s="61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K56" s="34"/>
      <c r="AL56" s="35"/>
      <c r="AM56" s="34"/>
      <c r="AN56" s="35"/>
      <c r="AO56" s="34"/>
      <c r="AP56" s="36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</row>
    <row r="57" spans="2:76" s="33" customFormat="1" ht="15" customHeight="1">
      <c r="B57" s="27"/>
      <c r="C57" s="28"/>
      <c r="D57" s="29"/>
      <c r="E57" s="30"/>
      <c r="F57" s="28"/>
      <c r="G57" s="31"/>
      <c r="H57" s="32"/>
      <c r="I57" s="32"/>
      <c r="J57" s="32"/>
      <c r="K57" s="32"/>
      <c r="L57" s="32"/>
      <c r="M57" s="28"/>
      <c r="N57" s="28"/>
      <c r="O57" s="61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K57" s="34"/>
      <c r="AL57" s="35"/>
      <c r="AM57" s="34"/>
      <c r="AN57" s="35"/>
      <c r="AO57" s="34"/>
      <c r="AP57" s="36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</row>
    <row r="58" spans="2:76" s="28" customFormat="1">
      <c r="B58" s="27"/>
      <c r="D58" s="29"/>
      <c r="E58" s="30"/>
      <c r="G58" s="31"/>
      <c r="H58" s="32"/>
      <c r="I58" s="32"/>
      <c r="J58" s="32"/>
      <c r="K58" s="32"/>
      <c r="L58" s="32"/>
      <c r="O58" s="61"/>
      <c r="AI58" s="33"/>
      <c r="AJ58" s="33"/>
      <c r="AK58" s="34"/>
      <c r="AL58" s="35"/>
      <c r="AM58" s="34"/>
      <c r="AN58" s="35"/>
      <c r="AO58" s="34"/>
      <c r="AP58" s="36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</row>
    <row r="59" spans="2:76" s="28" customFormat="1">
      <c r="B59" s="27"/>
      <c r="D59" s="29"/>
      <c r="E59" s="30"/>
      <c r="G59" s="31"/>
      <c r="H59" s="32"/>
      <c r="I59" s="32"/>
      <c r="J59" s="32"/>
      <c r="K59" s="32"/>
      <c r="L59" s="32"/>
      <c r="O59" s="61"/>
      <c r="AI59" s="33"/>
      <c r="AJ59" s="33"/>
      <c r="AK59" s="34"/>
      <c r="AL59" s="35"/>
      <c r="AM59" s="34"/>
      <c r="AN59" s="35"/>
      <c r="AO59" s="34"/>
      <c r="AP59" s="36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</row>
    <row r="60" spans="2:76" s="28" customFormat="1">
      <c r="B60" s="27"/>
      <c r="D60" s="29"/>
      <c r="E60" s="30"/>
      <c r="G60" s="31"/>
      <c r="H60" s="32"/>
      <c r="I60" s="32"/>
      <c r="J60" s="32"/>
      <c r="K60" s="32"/>
      <c r="L60" s="32"/>
      <c r="O60" s="61"/>
      <c r="AI60" s="33"/>
      <c r="AJ60" s="33"/>
      <c r="AK60" s="34"/>
      <c r="AL60" s="35"/>
      <c r="AM60" s="34"/>
      <c r="AN60" s="35"/>
      <c r="AO60" s="34"/>
      <c r="AP60" s="36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</row>
    <row r="61" spans="2:76" s="28" customFormat="1">
      <c r="B61" s="27"/>
      <c r="D61" s="29"/>
      <c r="E61" s="30"/>
      <c r="G61" s="31"/>
      <c r="H61" s="32"/>
      <c r="I61" s="32"/>
      <c r="J61" s="32"/>
      <c r="K61" s="32"/>
      <c r="L61" s="32"/>
      <c r="O61" s="61"/>
      <c r="AI61" s="33"/>
      <c r="AJ61" s="33"/>
      <c r="AK61" s="34"/>
      <c r="AL61" s="35"/>
      <c r="AM61" s="34"/>
      <c r="AN61" s="35"/>
      <c r="AO61" s="34"/>
      <c r="AP61" s="36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</row>
    <row r="62" spans="2:76" s="28" customFormat="1">
      <c r="B62" s="27"/>
      <c r="D62" s="29"/>
      <c r="E62" s="30"/>
      <c r="G62" s="31"/>
      <c r="H62" s="32"/>
      <c r="I62" s="32"/>
      <c r="J62" s="32"/>
      <c r="K62" s="32"/>
      <c r="L62" s="32"/>
      <c r="O62" s="61"/>
      <c r="AI62" s="33"/>
      <c r="AJ62" s="33"/>
      <c r="AK62" s="34"/>
      <c r="AL62" s="35"/>
      <c r="AM62" s="34"/>
      <c r="AN62" s="35"/>
      <c r="AO62" s="34"/>
      <c r="AP62" s="36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</row>
    <row r="63" spans="2:76" s="28" customFormat="1">
      <c r="B63" s="27"/>
      <c r="D63" s="29"/>
      <c r="E63" s="30"/>
      <c r="G63" s="31"/>
      <c r="H63" s="32"/>
      <c r="I63" s="32"/>
      <c r="J63" s="32"/>
      <c r="K63" s="32"/>
      <c r="L63" s="32"/>
      <c r="O63" s="61"/>
      <c r="AI63" s="33"/>
      <c r="AJ63" s="33"/>
      <c r="AK63" s="34"/>
      <c r="AL63" s="35"/>
      <c r="AM63" s="34"/>
      <c r="AN63" s="35"/>
      <c r="AO63" s="34"/>
      <c r="AP63" s="36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</row>
    <row r="64" spans="2:76" s="28" customFormat="1">
      <c r="B64" s="27"/>
      <c r="D64" s="29"/>
      <c r="E64" s="30"/>
      <c r="G64" s="31"/>
      <c r="H64" s="32"/>
      <c r="I64" s="32"/>
      <c r="J64" s="32"/>
      <c r="K64" s="32"/>
      <c r="L64" s="32"/>
      <c r="O64" s="61"/>
      <c r="AI64" s="33"/>
      <c r="AJ64" s="33"/>
      <c r="AK64" s="34"/>
      <c r="AL64" s="35"/>
      <c r="AM64" s="34"/>
      <c r="AN64" s="35"/>
      <c r="AO64" s="34"/>
      <c r="AP64" s="36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</row>
    <row r="65" spans="2:76" s="28" customFormat="1">
      <c r="B65" s="27"/>
      <c r="D65" s="29"/>
      <c r="E65" s="30"/>
      <c r="G65" s="31"/>
      <c r="H65" s="32"/>
      <c r="I65" s="32"/>
      <c r="J65" s="32"/>
      <c r="K65" s="32"/>
      <c r="L65" s="32"/>
      <c r="O65" s="61"/>
      <c r="AI65" s="33"/>
      <c r="AJ65" s="33"/>
      <c r="AK65" s="34"/>
      <c r="AL65" s="35"/>
      <c r="AM65" s="34"/>
      <c r="AN65" s="35"/>
      <c r="AO65" s="34"/>
      <c r="AP65" s="36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</row>
    <row r="66" spans="2:76" s="28" customFormat="1">
      <c r="B66" s="27"/>
      <c r="D66" s="29"/>
      <c r="E66" s="30"/>
      <c r="G66" s="31"/>
      <c r="H66" s="32"/>
      <c r="I66" s="32"/>
      <c r="J66" s="32"/>
      <c r="K66" s="32"/>
      <c r="L66" s="32"/>
      <c r="O66" s="61"/>
      <c r="AI66" s="33"/>
      <c r="AJ66" s="33"/>
      <c r="AK66" s="34"/>
      <c r="AL66" s="35"/>
      <c r="AM66" s="34"/>
      <c r="AN66" s="35"/>
      <c r="AO66" s="34"/>
      <c r="AP66" s="36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</row>
    <row r="67" spans="2:76" s="28" customFormat="1">
      <c r="B67" s="27"/>
      <c r="D67" s="29"/>
      <c r="E67" s="30"/>
      <c r="G67" s="31"/>
      <c r="H67" s="32"/>
      <c r="I67" s="32"/>
      <c r="J67" s="32"/>
      <c r="K67" s="32"/>
      <c r="L67" s="32"/>
      <c r="O67" s="61"/>
      <c r="AI67" s="33"/>
      <c r="AJ67" s="33"/>
      <c r="AK67" s="34"/>
      <c r="AL67" s="35"/>
      <c r="AM67" s="34"/>
      <c r="AN67" s="35"/>
      <c r="AO67" s="34"/>
      <c r="AP67" s="36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</row>
    <row r="68" spans="2:76" s="28" customFormat="1">
      <c r="B68" s="27"/>
      <c r="D68" s="29"/>
      <c r="E68" s="30"/>
      <c r="G68" s="31"/>
      <c r="H68" s="32"/>
      <c r="I68" s="32"/>
      <c r="J68" s="32"/>
      <c r="K68" s="32"/>
      <c r="L68" s="32"/>
      <c r="O68" s="61"/>
      <c r="AI68" s="33"/>
      <c r="AJ68" s="33"/>
      <c r="AK68" s="34"/>
      <c r="AL68" s="35"/>
      <c r="AM68" s="34"/>
      <c r="AN68" s="35"/>
      <c r="AO68" s="34"/>
      <c r="AP68" s="36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</row>
    <row r="69" spans="2:76" s="28" customFormat="1">
      <c r="B69" s="27"/>
      <c r="D69" s="29"/>
      <c r="E69" s="30"/>
      <c r="G69" s="31"/>
      <c r="H69" s="32"/>
      <c r="I69" s="32"/>
      <c r="J69" s="32"/>
      <c r="K69" s="32"/>
      <c r="L69" s="32"/>
      <c r="O69" s="61"/>
      <c r="AI69" s="33"/>
      <c r="AJ69" s="33"/>
      <c r="AK69" s="34"/>
      <c r="AL69" s="35"/>
      <c r="AM69" s="34"/>
      <c r="AN69" s="35"/>
      <c r="AO69" s="34"/>
      <c r="AP69" s="36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</row>
    <row r="70" spans="2:76" s="28" customFormat="1">
      <c r="B70" s="27"/>
      <c r="D70" s="29"/>
      <c r="E70" s="30"/>
      <c r="G70" s="31"/>
      <c r="H70" s="32"/>
      <c r="I70" s="32"/>
      <c r="J70" s="32"/>
      <c r="K70" s="32"/>
      <c r="L70" s="32"/>
      <c r="O70" s="61"/>
      <c r="AI70" s="33"/>
      <c r="AJ70" s="33"/>
      <c r="AK70" s="34"/>
      <c r="AL70" s="35"/>
      <c r="AM70" s="34"/>
      <c r="AN70" s="35"/>
      <c r="AO70" s="34"/>
      <c r="AP70" s="36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</row>
    <row r="71" spans="2:76" s="28" customFormat="1">
      <c r="B71" s="27"/>
      <c r="D71" s="29"/>
      <c r="E71" s="30"/>
      <c r="G71" s="31"/>
      <c r="H71" s="32"/>
      <c r="I71" s="32"/>
      <c r="J71" s="32"/>
      <c r="K71" s="32"/>
      <c r="L71" s="32"/>
      <c r="O71" s="61"/>
      <c r="AI71" s="33"/>
      <c r="AJ71" s="33"/>
      <c r="AK71" s="34"/>
      <c r="AL71" s="35"/>
      <c r="AM71" s="34"/>
      <c r="AN71" s="35"/>
      <c r="AO71" s="34"/>
      <c r="AP71" s="36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</row>
    <row r="72" spans="2:76" s="28" customFormat="1">
      <c r="B72" s="27"/>
      <c r="D72" s="29"/>
      <c r="E72" s="30"/>
      <c r="G72" s="31"/>
      <c r="H72" s="32"/>
      <c r="I72" s="32"/>
      <c r="J72" s="32"/>
      <c r="K72" s="32"/>
      <c r="L72" s="32"/>
      <c r="O72" s="61"/>
      <c r="AI72" s="33"/>
      <c r="AJ72" s="33"/>
      <c r="AK72" s="34"/>
      <c r="AL72" s="35"/>
      <c r="AM72" s="34"/>
      <c r="AN72" s="35"/>
      <c r="AO72" s="34"/>
      <c r="AP72" s="36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</row>
    <row r="73" spans="2:76" s="28" customFormat="1">
      <c r="B73" s="27"/>
      <c r="D73" s="29"/>
      <c r="E73" s="30"/>
      <c r="G73" s="31"/>
      <c r="H73" s="32"/>
      <c r="I73" s="32"/>
      <c r="J73" s="32"/>
      <c r="K73" s="32"/>
      <c r="L73" s="32"/>
      <c r="O73" s="61"/>
      <c r="AI73" s="33"/>
      <c r="AJ73" s="33"/>
      <c r="AK73" s="34"/>
      <c r="AL73" s="35"/>
      <c r="AM73" s="34"/>
      <c r="AN73" s="35"/>
      <c r="AO73" s="34"/>
      <c r="AP73" s="36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</row>
    <row r="74" spans="2:76" s="28" customFormat="1">
      <c r="B74" s="27"/>
      <c r="D74" s="29"/>
      <c r="E74" s="30"/>
      <c r="G74" s="31"/>
      <c r="H74" s="32"/>
      <c r="I74" s="32"/>
      <c r="J74" s="32"/>
      <c r="K74" s="32"/>
      <c r="L74" s="32"/>
      <c r="O74" s="61"/>
      <c r="AI74" s="33"/>
      <c r="AJ74" s="33"/>
      <c r="AK74" s="34"/>
      <c r="AL74" s="35"/>
      <c r="AM74" s="34"/>
      <c r="AN74" s="35"/>
      <c r="AO74" s="34"/>
      <c r="AP74" s="36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</row>
    <row r="75" spans="2:76" s="28" customFormat="1">
      <c r="B75" s="27"/>
      <c r="D75" s="29"/>
      <c r="E75" s="30"/>
      <c r="G75" s="31"/>
      <c r="H75" s="32"/>
      <c r="I75" s="32"/>
      <c r="J75" s="32"/>
      <c r="K75" s="32"/>
      <c r="L75" s="32"/>
      <c r="O75" s="61"/>
      <c r="AI75" s="33"/>
      <c r="AJ75" s="33"/>
      <c r="AK75" s="34"/>
      <c r="AL75" s="35"/>
      <c r="AM75" s="34"/>
      <c r="AN75" s="35"/>
      <c r="AO75" s="34"/>
      <c r="AP75" s="36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</row>
    <row r="76" spans="2:76" s="28" customFormat="1">
      <c r="B76" s="27"/>
      <c r="D76" s="29"/>
      <c r="E76" s="30"/>
      <c r="G76" s="31"/>
      <c r="H76" s="32"/>
      <c r="I76" s="32"/>
      <c r="J76" s="32"/>
      <c r="K76" s="32"/>
      <c r="L76" s="32"/>
      <c r="O76" s="61"/>
      <c r="AI76" s="33"/>
      <c r="AJ76" s="33"/>
      <c r="AK76" s="34"/>
      <c r="AL76" s="35"/>
      <c r="AM76" s="34"/>
      <c r="AN76" s="35"/>
      <c r="AO76" s="34"/>
      <c r="AP76" s="36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</row>
    <row r="77" spans="2:76" s="28" customFormat="1">
      <c r="B77" s="27"/>
      <c r="D77" s="29"/>
      <c r="E77" s="30"/>
      <c r="G77" s="31"/>
      <c r="H77" s="32"/>
      <c r="I77" s="32"/>
      <c r="J77" s="32"/>
      <c r="K77" s="32"/>
      <c r="L77" s="32"/>
      <c r="O77" s="61"/>
      <c r="AI77" s="33"/>
      <c r="AJ77" s="33"/>
      <c r="AK77" s="34"/>
      <c r="AL77" s="35"/>
      <c r="AM77" s="34"/>
      <c r="AN77" s="35"/>
      <c r="AO77" s="34"/>
      <c r="AP77" s="36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</row>
    <row r="78" spans="2:76" s="28" customFormat="1">
      <c r="B78" s="27"/>
      <c r="D78" s="29"/>
      <c r="E78" s="30"/>
      <c r="G78" s="31"/>
      <c r="H78" s="32"/>
      <c r="I78" s="32"/>
      <c r="J78" s="32"/>
      <c r="K78" s="32"/>
      <c r="L78" s="32"/>
      <c r="O78" s="61"/>
      <c r="AI78" s="33"/>
      <c r="AJ78" s="33"/>
      <c r="AK78" s="34"/>
      <c r="AL78" s="35"/>
      <c r="AM78" s="34"/>
      <c r="AN78" s="35"/>
      <c r="AO78" s="34"/>
      <c r="AP78" s="36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</row>
    <row r="79" spans="2:76" s="28" customFormat="1">
      <c r="B79" s="27"/>
      <c r="D79" s="29"/>
      <c r="E79" s="30"/>
      <c r="G79" s="31"/>
      <c r="H79" s="32"/>
      <c r="I79" s="32"/>
      <c r="J79" s="32"/>
      <c r="K79" s="32"/>
      <c r="L79" s="32"/>
      <c r="O79" s="61"/>
      <c r="AI79" s="33"/>
      <c r="AJ79" s="33"/>
      <c r="AK79" s="34"/>
      <c r="AL79" s="35"/>
      <c r="AM79" s="34"/>
      <c r="AN79" s="35"/>
      <c r="AO79" s="34"/>
      <c r="AP79" s="36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</row>
    <row r="80" spans="2:76" s="28" customFormat="1">
      <c r="B80" s="27"/>
      <c r="D80" s="29"/>
      <c r="E80" s="30"/>
      <c r="G80" s="31"/>
      <c r="H80" s="32"/>
      <c r="I80" s="32"/>
      <c r="J80" s="32"/>
      <c r="K80" s="32"/>
      <c r="L80" s="32"/>
      <c r="O80" s="61"/>
      <c r="AI80" s="33"/>
      <c r="AJ80" s="33"/>
      <c r="AK80" s="34"/>
      <c r="AL80" s="35"/>
      <c r="AM80" s="34"/>
      <c r="AN80" s="35"/>
      <c r="AO80" s="34"/>
      <c r="AP80" s="36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</row>
    <row r="81" spans="2:76" s="28" customFormat="1">
      <c r="B81" s="27"/>
      <c r="D81" s="29"/>
      <c r="E81" s="30"/>
      <c r="G81" s="31"/>
      <c r="H81" s="32"/>
      <c r="I81" s="32"/>
      <c r="J81" s="32"/>
      <c r="K81" s="32"/>
      <c r="L81" s="32"/>
      <c r="O81" s="61"/>
      <c r="AI81" s="33"/>
      <c r="AJ81" s="33"/>
      <c r="AK81" s="34"/>
      <c r="AL81" s="35"/>
      <c r="AM81" s="34"/>
      <c r="AN81" s="35"/>
      <c r="AO81" s="34"/>
      <c r="AP81" s="36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</row>
    <row r="82" spans="2:76" s="28" customFormat="1">
      <c r="B82" s="27"/>
      <c r="D82" s="29"/>
      <c r="E82" s="30"/>
      <c r="G82" s="31"/>
      <c r="H82" s="32"/>
      <c r="I82" s="32"/>
      <c r="J82" s="32"/>
      <c r="K82" s="32"/>
      <c r="L82" s="32"/>
      <c r="O82" s="61"/>
      <c r="AI82" s="33"/>
      <c r="AJ82" s="33"/>
      <c r="AK82" s="34"/>
      <c r="AL82" s="35"/>
      <c r="AM82" s="34"/>
      <c r="AN82" s="35"/>
      <c r="AO82" s="34"/>
      <c r="AP82" s="36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</row>
    <row r="83" spans="2:76" s="28" customFormat="1">
      <c r="B83" s="27"/>
      <c r="D83" s="29"/>
      <c r="E83" s="30"/>
      <c r="G83" s="31"/>
      <c r="H83" s="32"/>
      <c r="I83" s="32"/>
      <c r="J83" s="32"/>
      <c r="K83" s="32"/>
      <c r="L83" s="32"/>
      <c r="O83" s="61"/>
      <c r="AI83" s="33"/>
      <c r="AJ83" s="33"/>
      <c r="AK83" s="34"/>
      <c r="AL83" s="35"/>
      <c r="AM83" s="34"/>
      <c r="AN83" s="35"/>
      <c r="AO83" s="34"/>
      <c r="AP83" s="36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</row>
    <row r="84" spans="2:76" s="28" customFormat="1">
      <c r="B84" s="27"/>
      <c r="D84" s="29"/>
      <c r="E84" s="30"/>
      <c r="G84" s="31"/>
      <c r="H84" s="32"/>
      <c r="I84" s="32"/>
      <c r="J84" s="32"/>
      <c r="K84" s="32"/>
      <c r="L84" s="32"/>
      <c r="O84" s="61"/>
      <c r="AI84" s="33"/>
      <c r="AJ84" s="33"/>
      <c r="AK84" s="34"/>
      <c r="AL84" s="35"/>
      <c r="AM84" s="34"/>
      <c r="AN84" s="35"/>
      <c r="AO84" s="34"/>
      <c r="AP84" s="36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</row>
    <row r="85" spans="2:76" s="28" customFormat="1">
      <c r="B85" s="27"/>
      <c r="D85" s="29"/>
      <c r="E85" s="30"/>
      <c r="G85" s="31"/>
      <c r="H85" s="32"/>
      <c r="I85" s="32"/>
      <c r="J85" s="32"/>
      <c r="K85" s="32"/>
      <c r="L85" s="32"/>
      <c r="O85" s="61"/>
      <c r="AI85" s="33"/>
      <c r="AJ85" s="33"/>
      <c r="AK85" s="34"/>
      <c r="AL85" s="35"/>
      <c r="AM85" s="34"/>
      <c r="AN85" s="35"/>
      <c r="AO85" s="34"/>
      <c r="AP85" s="36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</row>
    <row r="86" spans="2:76" s="28" customFormat="1">
      <c r="B86" s="27"/>
      <c r="D86" s="29"/>
      <c r="E86" s="30"/>
      <c r="G86" s="31"/>
      <c r="H86" s="32"/>
      <c r="I86" s="32"/>
      <c r="J86" s="32"/>
      <c r="K86" s="32"/>
      <c r="L86" s="32"/>
      <c r="O86" s="61"/>
      <c r="AI86" s="33"/>
      <c r="AJ86" s="33"/>
      <c r="AK86" s="34"/>
      <c r="AL86" s="35"/>
      <c r="AM86" s="34"/>
      <c r="AN86" s="35"/>
      <c r="AO86" s="34"/>
      <c r="AP86" s="36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</row>
    <row r="87" spans="2:76" s="28" customFormat="1">
      <c r="B87" s="27"/>
      <c r="D87" s="29"/>
      <c r="E87" s="30"/>
      <c r="G87" s="31"/>
      <c r="H87" s="32"/>
      <c r="I87" s="32"/>
      <c r="J87" s="32"/>
      <c r="K87" s="32"/>
      <c r="L87" s="32"/>
      <c r="O87" s="61"/>
      <c r="AI87" s="33"/>
      <c r="AJ87" s="33"/>
      <c r="AK87" s="34"/>
      <c r="AL87" s="35"/>
      <c r="AM87" s="34"/>
      <c r="AN87" s="35"/>
      <c r="AO87" s="34"/>
      <c r="AP87" s="36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</row>
    <row r="88" spans="2:76" s="28" customFormat="1">
      <c r="B88" s="27"/>
      <c r="D88" s="29"/>
      <c r="E88" s="30"/>
      <c r="G88" s="31"/>
      <c r="H88" s="32"/>
      <c r="I88" s="32"/>
      <c r="J88" s="32"/>
      <c r="K88" s="32"/>
      <c r="L88" s="32"/>
      <c r="O88" s="61"/>
      <c r="AI88" s="33"/>
      <c r="AJ88" s="33"/>
      <c r="AK88" s="34"/>
      <c r="AL88" s="35"/>
      <c r="AM88" s="34"/>
      <c r="AN88" s="35"/>
      <c r="AO88" s="34"/>
      <c r="AP88" s="36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</row>
    <row r="89" spans="2:76" s="28" customFormat="1">
      <c r="B89" s="27"/>
      <c r="D89" s="29"/>
      <c r="E89" s="30"/>
      <c r="G89" s="31"/>
      <c r="H89" s="32"/>
      <c r="I89" s="32"/>
      <c r="J89" s="32"/>
      <c r="K89" s="32"/>
      <c r="L89" s="32"/>
      <c r="O89" s="62"/>
      <c r="AI89" s="33"/>
      <c r="AJ89" s="33"/>
      <c r="AK89" s="34"/>
      <c r="AL89" s="35"/>
      <c r="AM89" s="34"/>
      <c r="AN89" s="35"/>
      <c r="AO89" s="34"/>
      <c r="AP89" s="36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</row>
    <row r="90" spans="2:76" s="28" customFormat="1">
      <c r="B90" s="27"/>
      <c r="D90" s="29"/>
      <c r="E90" s="30"/>
      <c r="G90" s="31"/>
      <c r="H90" s="32"/>
      <c r="I90" s="32"/>
      <c r="J90" s="32"/>
      <c r="K90" s="32"/>
      <c r="L90" s="32"/>
      <c r="O90" s="61"/>
      <c r="AI90" s="33"/>
      <c r="AJ90" s="33"/>
      <c r="AK90" s="34"/>
      <c r="AL90" s="35"/>
      <c r="AM90" s="34"/>
      <c r="AN90" s="35"/>
      <c r="AO90" s="34"/>
      <c r="AP90" s="36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</row>
    <row r="91" spans="2:76" s="28" customFormat="1">
      <c r="B91" s="27"/>
      <c r="D91" s="29"/>
      <c r="E91" s="30"/>
      <c r="G91" s="31"/>
      <c r="H91" s="32"/>
      <c r="I91" s="32"/>
      <c r="J91" s="32"/>
      <c r="K91" s="32"/>
      <c r="L91" s="32"/>
      <c r="O91" s="61"/>
      <c r="AI91" s="33"/>
      <c r="AJ91" s="33"/>
      <c r="AK91" s="34"/>
      <c r="AL91" s="35"/>
      <c r="AM91" s="34"/>
      <c r="AN91" s="35"/>
      <c r="AO91" s="34"/>
      <c r="AP91" s="36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</row>
    <row r="92" spans="2:76" s="28" customFormat="1">
      <c r="B92" s="27"/>
      <c r="D92" s="29"/>
      <c r="E92" s="30"/>
      <c r="G92" s="31"/>
      <c r="H92" s="32"/>
      <c r="I92" s="32"/>
      <c r="J92" s="32"/>
      <c r="K92" s="32"/>
      <c r="L92" s="32"/>
      <c r="O92" s="61"/>
      <c r="AI92" s="33"/>
      <c r="AJ92" s="33"/>
      <c r="AK92" s="34"/>
      <c r="AL92" s="35"/>
      <c r="AM92" s="34"/>
      <c r="AN92" s="35"/>
      <c r="AO92" s="34"/>
      <c r="AP92" s="36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</row>
    <row r="93" spans="2:76" s="28" customFormat="1">
      <c r="B93" s="27"/>
      <c r="D93" s="29"/>
      <c r="E93" s="30"/>
      <c r="G93" s="31"/>
      <c r="H93" s="32"/>
      <c r="I93" s="32"/>
      <c r="J93" s="32"/>
      <c r="K93" s="32"/>
      <c r="L93" s="32"/>
      <c r="O93" s="61"/>
      <c r="AI93" s="33"/>
      <c r="AJ93" s="33"/>
      <c r="AK93" s="34"/>
      <c r="AL93" s="35"/>
      <c r="AM93" s="34"/>
      <c r="AN93" s="35"/>
      <c r="AO93" s="34"/>
      <c r="AP93" s="36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</row>
    <row r="94" spans="2:76" s="28" customFormat="1">
      <c r="B94" s="27"/>
      <c r="D94" s="29"/>
      <c r="E94" s="30"/>
      <c r="G94" s="31"/>
      <c r="H94" s="32"/>
      <c r="I94" s="32"/>
      <c r="J94" s="32"/>
      <c r="K94" s="32"/>
      <c r="L94" s="32"/>
      <c r="O94" s="61"/>
      <c r="AI94" s="33"/>
      <c r="AJ94" s="33"/>
      <c r="AK94" s="34"/>
      <c r="AL94" s="35"/>
      <c r="AM94" s="34"/>
      <c r="AN94" s="35"/>
      <c r="AO94" s="34"/>
      <c r="AP94" s="36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</row>
    <row r="95" spans="2:76" s="28" customFormat="1">
      <c r="B95" s="27"/>
      <c r="D95" s="29"/>
      <c r="E95" s="30"/>
      <c r="G95" s="31"/>
      <c r="H95" s="32"/>
      <c r="I95" s="32"/>
      <c r="J95" s="32"/>
      <c r="K95" s="32"/>
      <c r="L95" s="32"/>
      <c r="O95" s="61"/>
      <c r="AI95" s="33"/>
      <c r="AJ95" s="33"/>
      <c r="AK95" s="34"/>
      <c r="AL95" s="35"/>
      <c r="AM95" s="34"/>
      <c r="AN95" s="35"/>
      <c r="AO95" s="34"/>
      <c r="AP95" s="36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</row>
    <row r="96" spans="2:76" s="28" customFormat="1">
      <c r="B96" s="27"/>
      <c r="D96" s="29"/>
      <c r="E96" s="30"/>
      <c r="G96" s="31"/>
      <c r="H96" s="32"/>
      <c r="I96" s="32"/>
      <c r="J96" s="32"/>
      <c r="K96" s="32"/>
      <c r="L96" s="32"/>
      <c r="O96" s="61"/>
      <c r="AI96" s="33"/>
      <c r="AJ96" s="33"/>
      <c r="AK96" s="34"/>
      <c r="AL96" s="35"/>
      <c r="AM96" s="34"/>
      <c r="AN96" s="35"/>
      <c r="AO96" s="34"/>
      <c r="AP96" s="36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</row>
    <row r="97" spans="2:76" s="28" customFormat="1">
      <c r="B97" s="27"/>
      <c r="D97" s="29"/>
      <c r="E97" s="30"/>
      <c r="G97" s="31"/>
      <c r="H97" s="32"/>
      <c r="I97" s="32"/>
      <c r="J97" s="32"/>
      <c r="K97" s="32"/>
      <c r="L97" s="32"/>
      <c r="O97" s="61"/>
      <c r="AI97" s="33"/>
      <c r="AJ97" s="33"/>
      <c r="AK97" s="34"/>
      <c r="AL97" s="35"/>
      <c r="AM97" s="34"/>
      <c r="AN97" s="35"/>
      <c r="AO97" s="34"/>
      <c r="AP97" s="36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</row>
    <row r="98" spans="2:76" s="28" customFormat="1">
      <c r="B98" s="27"/>
      <c r="D98" s="29"/>
      <c r="E98" s="30"/>
      <c r="G98" s="31"/>
      <c r="H98" s="32"/>
      <c r="I98" s="32"/>
      <c r="J98" s="32"/>
      <c r="K98" s="32"/>
      <c r="L98" s="32"/>
      <c r="O98" s="61"/>
      <c r="AI98" s="33"/>
      <c r="AJ98" s="33"/>
      <c r="AK98" s="34"/>
      <c r="AL98" s="35"/>
      <c r="AM98" s="34"/>
      <c r="AN98" s="35"/>
      <c r="AO98" s="34"/>
      <c r="AP98" s="36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</row>
    <row r="99" spans="2:76" s="28" customFormat="1">
      <c r="B99" s="27"/>
      <c r="D99" s="29"/>
      <c r="E99" s="30"/>
      <c r="G99" s="31"/>
      <c r="H99" s="32"/>
      <c r="I99" s="32"/>
      <c r="J99" s="32"/>
      <c r="K99" s="32"/>
      <c r="L99" s="32"/>
      <c r="O99" s="62"/>
      <c r="AI99" s="33"/>
      <c r="AJ99" s="33"/>
      <c r="AK99" s="34"/>
      <c r="AL99" s="35"/>
      <c r="AM99" s="34"/>
      <c r="AN99" s="35"/>
      <c r="AO99" s="34"/>
      <c r="AP99" s="36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</row>
    <row r="100" spans="2:76" s="28" customFormat="1">
      <c r="B100" s="27"/>
      <c r="D100" s="29"/>
      <c r="E100" s="30"/>
      <c r="G100" s="31"/>
      <c r="H100" s="32"/>
      <c r="I100" s="32"/>
      <c r="J100" s="32"/>
      <c r="K100" s="32"/>
      <c r="L100" s="32"/>
      <c r="O100" s="61"/>
      <c r="AI100" s="33"/>
      <c r="AJ100" s="33"/>
      <c r="AK100" s="34"/>
      <c r="AL100" s="35"/>
      <c r="AM100" s="34"/>
      <c r="AN100" s="35"/>
      <c r="AO100" s="34"/>
      <c r="AP100" s="36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</row>
    <row r="101" spans="2:76" s="28" customFormat="1">
      <c r="B101" s="27"/>
      <c r="D101" s="29"/>
      <c r="E101" s="30"/>
      <c r="G101" s="31"/>
      <c r="H101" s="32"/>
      <c r="I101" s="32"/>
      <c r="J101" s="32"/>
      <c r="K101" s="32"/>
      <c r="L101" s="32"/>
      <c r="O101" s="61"/>
      <c r="AI101" s="33"/>
      <c r="AJ101" s="33"/>
      <c r="AK101" s="34"/>
      <c r="AL101" s="35"/>
      <c r="AM101" s="34"/>
      <c r="AN101" s="35"/>
      <c r="AO101" s="34"/>
      <c r="AP101" s="36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</row>
    <row r="102" spans="2:76" s="28" customFormat="1">
      <c r="B102" s="27"/>
      <c r="D102" s="29"/>
      <c r="E102" s="30"/>
      <c r="G102" s="31"/>
      <c r="H102" s="32"/>
      <c r="I102" s="32"/>
      <c r="J102" s="32"/>
      <c r="K102" s="32"/>
      <c r="L102" s="32"/>
      <c r="O102" s="61"/>
      <c r="AI102" s="33"/>
      <c r="AJ102" s="33"/>
      <c r="AK102" s="34"/>
      <c r="AL102" s="35"/>
      <c r="AM102" s="34"/>
      <c r="AN102" s="35"/>
      <c r="AO102" s="34"/>
      <c r="AP102" s="36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</row>
    <row r="103" spans="2:76" s="28" customFormat="1">
      <c r="B103" s="27"/>
      <c r="D103" s="29"/>
      <c r="E103" s="30"/>
      <c r="G103" s="31"/>
      <c r="H103" s="32"/>
      <c r="I103" s="32"/>
      <c r="J103" s="32"/>
      <c r="K103" s="32"/>
      <c r="L103" s="32"/>
      <c r="O103" s="61"/>
      <c r="AI103" s="33"/>
      <c r="AJ103" s="33"/>
      <c r="AK103" s="34"/>
      <c r="AL103" s="35"/>
      <c r="AM103" s="34"/>
      <c r="AN103" s="35"/>
      <c r="AO103" s="34"/>
      <c r="AP103" s="36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</row>
    <row r="104" spans="2:76" s="28" customFormat="1">
      <c r="B104" s="27"/>
      <c r="D104" s="29"/>
      <c r="E104" s="30"/>
      <c r="G104" s="31"/>
      <c r="H104" s="32"/>
      <c r="I104" s="32"/>
      <c r="J104" s="32"/>
      <c r="K104" s="32"/>
      <c r="L104" s="32"/>
      <c r="O104" s="61"/>
      <c r="AI104" s="33"/>
      <c r="AJ104" s="33"/>
      <c r="AK104" s="34"/>
      <c r="AL104" s="35"/>
      <c r="AM104" s="34"/>
      <c r="AN104" s="35"/>
      <c r="AO104" s="34"/>
      <c r="AP104" s="36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</row>
    <row r="105" spans="2:76" s="28" customFormat="1">
      <c r="B105" s="27"/>
      <c r="D105" s="29"/>
      <c r="E105" s="30"/>
      <c r="G105" s="31"/>
      <c r="H105" s="32"/>
      <c r="I105" s="32"/>
      <c r="J105" s="32"/>
      <c r="K105" s="32"/>
      <c r="L105" s="32"/>
      <c r="O105" s="61"/>
      <c r="AI105" s="33"/>
      <c r="AJ105" s="33"/>
      <c r="AK105" s="34"/>
      <c r="AL105" s="35"/>
      <c r="AM105" s="34"/>
      <c r="AN105" s="35"/>
      <c r="AO105" s="34"/>
      <c r="AP105" s="36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</row>
    <row r="106" spans="2:76" s="28" customFormat="1">
      <c r="B106" s="27"/>
      <c r="D106" s="29"/>
      <c r="E106" s="30"/>
      <c r="G106" s="31"/>
      <c r="H106" s="32"/>
      <c r="I106" s="32"/>
      <c r="J106" s="32"/>
      <c r="K106" s="32"/>
      <c r="L106" s="32"/>
      <c r="O106" s="61"/>
      <c r="AI106" s="33"/>
      <c r="AJ106" s="33"/>
      <c r="AK106" s="34"/>
      <c r="AL106" s="35"/>
      <c r="AM106" s="34"/>
      <c r="AN106" s="35"/>
      <c r="AO106" s="34"/>
      <c r="AP106" s="36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</row>
    <row r="107" spans="2:76" s="28" customFormat="1">
      <c r="B107" s="27"/>
      <c r="D107" s="29"/>
      <c r="E107" s="30"/>
      <c r="G107" s="31"/>
      <c r="H107" s="32"/>
      <c r="I107" s="32"/>
      <c r="J107" s="32"/>
      <c r="K107" s="32"/>
      <c r="L107" s="32"/>
      <c r="O107" s="61"/>
      <c r="AI107" s="33"/>
      <c r="AJ107" s="33"/>
      <c r="AK107" s="34"/>
      <c r="AL107" s="35"/>
      <c r="AM107" s="34"/>
      <c r="AN107" s="35"/>
      <c r="AO107" s="34"/>
      <c r="AP107" s="36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</row>
    <row r="108" spans="2:76" s="28" customFormat="1">
      <c r="B108" s="27"/>
      <c r="D108" s="29"/>
      <c r="E108" s="30"/>
      <c r="G108" s="31"/>
      <c r="H108" s="32"/>
      <c r="I108" s="32"/>
      <c r="J108" s="32"/>
      <c r="K108" s="32"/>
      <c r="L108" s="32"/>
      <c r="O108" s="61"/>
      <c r="AI108" s="33"/>
      <c r="AJ108" s="33"/>
      <c r="AK108" s="34"/>
      <c r="AL108" s="35"/>
      <c r="AM108" s="34"/>
      <c r="AN108" s="35"/>
      <c r="AO108" s="34"/>
      <c r="AP108" s="36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</row>
    <row r="109" spans="2:76" s="28" customFormat="1">
      <c r="B109" s="27"/>
      <c r="D109" s="29"/>
      <c r="E109" s="30"/>
      <c r="G109" s="31"/>
      <c r="H109" s="32"/>
      <c r="I109" s="32"/>
      <c r="J109" s="32"/>
      <c r="K109" s="32"/>
      <c r="L109" s="32"/>
      <c r="O109" s="61"/>
      <c r="AI109" s="33"/>
      <c r="AJ109" s="33"/>
      <c r="AK109" s="34"/>
      <c r="AL109" s="35"/>
      <c r="AM109" s="34"/>
      <c r="AN109" s="35"/>
      <c r="AO109" s="34"/>
      <c r="AP109" s="36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</row>
    <row r="110" spans="2:76" s="28" customFormat="1">
      <c r="B110" s="27"/>
      <c r="D110" s="29"/>
      <c r="E110" s="30"/>
      <c r="G110" s="31"/>
      <c r="H110" s="32"/>
      <c r="I110" s="32"/>
      <c r="J110" s="32"/>
      <c r="K110" s="32"/>
      <c r="L110" s="32"/>
      <c r="O110" s="61"/>
      <c r="AI110" s="33"/>
      <c r="AJ110" s="33"/>
      <c r="AK110" s="34"/>
      <c r="AL110" s="35"/>
      <c r="AM110" s="34"/>
      <c r="AN110" s="35"/>
      <c r="AO110" s="34"/>
      <c r="AP110" s="36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</row>
    <row r="111" spans="2:76" s="28" customFormat="1">
      <c r="B111" s="27"/>
      <c r="D111" s="29"/>
      <c r="E111" s="30"/>
      <c r="G111" s="31"/>
      <c r="H111" s="32"/>
      <c r="I111" s="32"/>
      <c r="J111" s="32"/>
      <c r="K111" s="32"/>
      <c r="L111" s="32"/>
      <c r="O111" s="62"/>
      <c r="AI111" s="33"/>
      <c r="AJ111" s="33"/>
      <c r="AK111" s="34"/>
      <c r="AL111" s="35"/>
      <c r="AM111" s="34"/>
      <c r="AN111" s="35"/>
      <c r="AO111" s="34"/>
      <c r="AP111" s="36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</row>
    <row r="112" spans="2:76" s="28" customFormat="1">
      <c r="B112" s="27"/>
      <c r="D112" s="29"/>
      <c r="E112" s="30"/>
      <c r="G112" s="31"/>
      <c r="H112" s="32"/>
      <c r="I112" s="32"/>
      <c r="J112" s="32"/>
      <c r="K112" s="32"/>
      <c r="L112" s="32"/>
      <c r="O112" s="61"/>
      <c r="AI112" s="33"/>
      <c r="AJ112" s="33"/>
      <c r="AK112" s="34"/>
      <c r="AL112" s="35"/>
      <c r="AM112" s="34"/>
      <c r="AN112" s="35"/>
      <c r="AO112" s="34"/>
      <c r="AP112" s="36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</row>
    <row r="113" spans="2:76" s="28" customFormat="1">
      <c r="B113" s="27"/>
      <c r="D113" s="29"/>
      <c r="E113" s="30"/>
      <c r="G113" s="31"/>
      <c r="H113" s="32"/>
      <c r="I113" s="32"/>
      <c r="J113" s="32"/>
      <c r="K113" s="32"/>
      <c r="L113" s="32"/>
      <c r="O113" s="61"/>
      <c r="AI113" s="33"/>
      <c r="AJ113" s="33"/>
      <c r="AK113" s="34"/>
      <c r="AL113" s="35"/>
      <c r="AM113" s="34"/>
      <c r="AN113" s="35"/>
      <c r="AO113" s="34"/>
      <c r="AP113" s="36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</row>
    <row r="114" spans="2:76" s="28" customFormat="1">
      <c r="B114" s="27"/>
      <c r="D114" s="29"/>
      <c r="E114" s="30"/>
      <c r="G114" s="31"/>
      <c r="H114" s="32"/>
      <c r="I114" s="32"/>
      <c r="J114" s="32"/>
      <c r="K114" s="32"/>
      <c r="L114" s="32"/>
      <c r="O114" s="61"/>
      <c r="AI114" s="33"/>
      <c r="AJ114" s="33"/>
      <c r="AK114" s="34"/>
      <c r="AL114" s="35"/>
      <c r="AM114" s="34"/>
      <c r="AN114" s="35"/>
      <c r="AO114" s="34"/>
      <c r="AP114" s="36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</row>
    <row r="115" spans="2:76" s="28" customFormat="1">
      <c r="B115" s="27"/>
      <c r="D115" s="29"/>
      <c r="E115" s="30"/>
      <c r="G115" s="31"/>
      <c r="H115" s="32"/>
      <c r="I115" s="32"/>
      <c r="J115" s="32"/>
      <c r="K115" s="32"/>
      <c r="L115" s="32"/>
      <c r="O115" s="61"/>
      <c r="AI115" s="33"/>
      <c r="AJ115" s="33"/>
      <c r="AK115" s="34"/>
      <c r="AL115" s="35"/>
      <c r="AM115" s="34"/>
      <c r="AN115" s="35"/>
      <c r="AO115" s="34"/>
      <c r="AP115" s="36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</row>
    <row r="116" spans="2:76" s="28" customFormat="1">
      <c r="B116" s="27"/>
      <c r="D116" s="29"/>
      <c r="E116" s="30"/>
      <c r="G116" s="31"/>
      <c r="H116" s="32"/>
      <c r="I116" s="32"/>
      <c r="J116" s="32"/>
      <c r="K116" s="32"/>
      <c r="L116" s="32"/>
      <c r="O116" s="61"/>
      <c r="AI116" s="33"/>
      <c r="AJ116" s="33"/>
      <c r="AK116" s="34"/>
      <c r="AL116" s="35"/>
      <c r="AM116" s="34"/>
      <c r="AN116" s="35"/>
      <c r="AO116" s="34"/>
      <c r="AP116" s="36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</row>
    <row r="117" spans="2:76" s="28" customFormat="1">
      <c r="B117" s="27"/>
      <c r="D117" s="29"/>
      <c r="E117" s="30"/>
      <c r="G117" s="31"/>
      <c r="H117" s="32"/>
      <c r="I117" s="32"/>
      <c r="J117" s="32"/>
      <c r="K117" s="32"/>
      <c r="L117" s="32"/>
      <c r="O117" s="60"/>
      <c r="AI117" s="33"/>
      <c r="AJ117" s="33"/>
      <c r="AK117" s="34"/>
      <c r="AL117" s="35"/>
      <c r="AM117" s="34"/>
      <c r="AN117" s="35"/>
      <c r="AO117" s="34"/>
      <c r="AP117" s="36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</row>
    <row r="118" spans="2:76" s="28" customFormat="1">
      <c r="B118" s="27"/>
      <c r="D118" s="29"/>
      <c r="E118" s="30"/>
      <c r="G118" s="31"/>
      <c r="H118" s="32"/>
      <c r="I118" s="32"/>
      <c r="J118" s="32"/>
      <c r="K118" s="32"/>
      <c r="L118" s="32"/>
      <c r="O118" s="61"/>
      <c r="AI118" s="33"/>
      <c r="AJ118" s="33"/>
      <c r="AK118" s="34"/>
      <c r="AL118" s="35"/>
      <c r="AM118" s="34"/>
      <c r="AN118" s="35"/>
      <c r="AO118" s="34"/>
      <c r="AP118" s="36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</row>
    <row r="119" spans="2:76" s="28" customFormat="1">
      <c r="B119" s="27"/>
      <c r="D119" s="29"/>
      <c r="E119" s="30"/>
      <c r="G119" s="31"/>
      <c r="H119" s="32"/>
      <c r="I119" s="32"/>
      <c r="J119" s="32"/>
      <c r="K119" s="32"/>
      <c r="L119" s="32"/>
      <c r="O119" s="61"/>
      <c r="AI119" s="33"/>
      <c r="AJ119" s="33"/>
      <c r="AK119" s="34"/>
      <c r="AL119" s="35"/>
      <c r="AM119" s="34"/>
      <c r="AN119" s="35"/>
      <c r="AO119" s="34"/>
      <c r="AP119" s="36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</row>
    <row r="120" spans="2:76" s="28" customFormat="1">
      <c r="B120" s="27"/>
      <c r="D120" s="29"/>
      <c r="E120" s="30"/>
      <c r="G120" s="31"/>
      <c r="H120" s="32"/>
      <c r="I120" s="32"/>
      <c r="J120" s="32"/>
      <c r="K120" s="32"/>
      <c r="L120" s="32"/>
      <c r="O120" s="61"/>
      <c r="AI120" s="33"/>
      <c r="AJ120" s="33"/>
      <c r="AK120" s="34"/>
      <c r="AL120" s="35"/>
      <c r="AM120" s="34"/>
      <c r="AN120" s="35"/>
      <c r="AO120" s="34"/>
      <c r="AP120" s="36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</row>
    <row r="121" spans="2:76" s="28" customFormat="1">
      <c r="B121" s="27"/>
      <c r="D121" s="29"/>
      <c r="E121" s="30"/>
      <c r="G121" s="31"/>
      <c r="H121" s="32"/>
      <c r="I121" s="32"/>
      <c r="J121" s="32"/>
      <c r="K121" s="32"/>
      <c r="L121" s="32"/>
      <c r="O121" s="61"/>
      <c r="AI121" s="33"/>
      <c r="AJ121" s="33"/>
      <c r="AK121" s="34"/>
      <c r="AL121" s="35"/>
      <c r="AM121" s="34"/>
      <c r="AN121" s="35"/>
      <c r="AO121" s="34"/>
      <c r="AP121" s="36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</row>
    <row r="122" spans="2:76" s="28" customFormat="1">
      <c r="B122" s="27"/>
      <c r="D122" s="29"/>
      <c r="E122" s="30"/>
      <c r="G122" s="31"/>
      <c r="H122" s="32"/>
      <c r="I122" s="32"/>
      <c r="J122" s="32"/>
      <c r="K122" s="32"/>
      <c r="L122" s="32"/>
      <c r="O122" s="61"/>
      <c r="AI122" s="33"/>
      <c r="AJ122" s="33"/>
      <c r="AK122" s="34"/>
      <c r="AL122" s="35"/>
      <c r="AM122" s="34"/>
      <c r="AN122" s="35"/>
      <c r="AO122" s="34"/>
      <c r="AP122" s="36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</row>
    <row r="123" spans="2:76" s="28" customFormat="1">
      <c r="B123" s="27"/>
      <c r="D123" s="29"/>
      <c r="E123" s="30"/>
      <c r="G123" s="31"/>
      <c r="H123" s="32"/>
      <c r="I123" s="32"/>
      <c r="J123" s="32"/>
      <c r="K123" s="32"/>
      <c r="L123" s="32"/>
      <c r="O123" s="62"/>
      <c r="AI123" s="33"/>
      <c r="AJ123" s="33"/>
      <c r="AK123" s="34"/>
      <c r="AL123" s="35"/>
      <c r="AM123" s="34"/>
      <c r="AN123" s="35"/>
      <c r="AO123" s="34"/>
      <c r="AP123" s="36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</row>
    <row r="124" spans="2:76" s="28" customFormat="1">
      <c r="B124" s="27"/>
      <c r="D124" s="29"/>
      <c r="E124" s="30"/>
      <c r="G124" s="31"/>
      <c r="H124" s="32"/>
      <c r="I124" s="32"/>
      <c r="J124" s="32"/>
      <c r="K124" s="32"/>
      <c r="L124" s="32"/>
      <c r="O124" s="61"/>
      <c r="AI124" s="33"/>
      <c r="AJ124" s="33"/>
      <c r="AK124" s="34"/>
      <c r="AL124" s="35"/>
      <c r="AM124" s="34"/>
      <c r="AN124" s="35"/>
      <c r="AO124" s="34"/>
      <c r="AP124" s="36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</row>
    <row r="125" spans="2:76" s="28" customFormat="1">
      <c r="B125" s="27"/>
      <c r="D125" s="29"/>
      <c r="E125" s="30"/>
      <c r="G125" s="31"/>
      <c r="H125" s="32"/>
      <c r="I125" s="32"/>
      <c r="J125" s="32"/>
      <c r="K125" s="32"/>
      <c r="L125" s="32"/>
      <c r="O125" s="61"/>
      <c r="AI125" s="33"/>
      <c r="AJ125" s="33"/>
      <c r="AK125" s="34"/>
      <c r="AL125" s="35"/>
      <c r="AM125" s="34"/>
      <c r="AN125" s="35"/>
      <c r="AO125" s="34"/>
      <c r="AP125" s="36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</row>
    <row r="126" spans="2:76" s="28" customFormat="1">
      <c r="B126" s="27"/>
      <c r="D126" s="29"/>
      <c r="E126" s="30"/>
      <c r="G126" s="31"/>
      <c r="H126" s="32"/>
      <c r="I126" s="32"/>
      <c r="J126" s="32"/>
      <c r="K126" s="32"/>
      <c r="L126" s="32"/>
      <c r="O126" s="61"/>
      <c r="AI126" s="33"/>
      <c r="AJ126" s="33"/>
      <c r="AK126" s="34"/>
      <c r="AL126" s="35"/>
      <c r="AM126" s="34"/>
      <c r="AN126" s="35"/>
      <c r="AO126" s="34"/>
      <c r="AP126" s="36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</row>
    <row r="127" spans="2:76" s="28" customFormat="1">
      <c r="B127" s="27"/>
      <c r="D127" s="29"/>
      <c r="E127" s="30"/>
      <c r="G127" s="31"/>
      <c r="H127" s="32"/>
      <c r="I127" s="32"/>
      <c r="J127" s="32"/>
      <c r="K127" s="32"/>
      <c r="L127" s="32"/>
      <c r="O127" s="61"/>
      <c r="AI127" s="33"/>
      <c r="AJ127" s="33"/>
      <c r="AK127" s="34"/>
      <c r="AL127" s="35"/>
      <c r="AM127" s="34"/>
      <c r="AN127" s="35"/>
      <c r="AO127" s="34"/>
      <c r="AP127" s="36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</row>
    <row r="128" spans="2:76" s="28" customFormat="1">
      <c r="B128" s="27"/>
      <c r="D128" s="29"/>
      <c r="E128" s="30"/>
      <c r="G128" s="31"/>
      <c r="H128" s="32"/>
      <c r="I128" s="32"/>
      <c r="J128" s="32"/>
      <c r="K128" s="32"/>
      <c r="L128" s="32"/>
      <c r="O128" s="61"/>
      <c r="AI128" s="33"/>
      <c r="AJ128" s="33"/>
      <c r="AK128" s="34"/>
      <c r="AL128" s="35"/>
      <c r="AM128" s="34"/>
      <c r="AN128" s="35"/>
      <c r="AO128" s="34"/>
      <c r="AP128" s="36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</row>
    <row r="129" spans="2:76" s="28" customFormat="1">
      <c r="B129" s="27"/>
      <c r="D129" s="29"/>
      <c r="E129" s="30"/>
      <c r="G129" s="31"/>
      <c r="H129" s="32"/>
      <c r="I129" s="32"/>
      <c r="J129" s="32"/>
      <c r="K129" s="32"/>
      <c r="L129" s="32"/>
      <c r="O129" s="61"/>
      <c r="AI129" s="33"/>
      <c r="AJ129" s="33"/>
      <c r="AK129" s="34"/>
      <c r="AL129" s="35"/>
      <c r="AM129" s="34"/>
      <c r="AN129" s="35"/>
      <c r="AO129" s="34"/>
      <c r="AP129" s="36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</row>
    <row r="130" spans="2:76" s="28" customFormat="1">
      <c r="B130" s="27"/>
      <c r="D130" s="29"/>
      <c r="E130" s="30"/>
      <c r="G130" s="31"/>
      <c r="H130" s="32"/>
      <c r="I130" s="32"/>
      <c r="J130" s="32"/>
      <c r="K130" s="32"/>
      <c r="L130" s="32"/>
      <c r="O130" s="61"/>
      <c r="AI130" s="33"/>
      <c r="AJ130" s="33"/>
      <c r="AK130" s="34"/>
      <c r="AL130" s="35"/>
      <c r="AM130" s="34"/>
      <c r="AN130" s="35"/>
      <c r="AO130" s="34"/>
      <c r="AP130" s="36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</row>
    <row r="131" spans="2:76" s="28" customFormat="1">
      <c r="B131" s="27"/>
      <c r="D131" s="29"/>
      <c r="E131" s="30"/>
      <c r="G131" s="31"/>
      <c r="H131" s="32"/>
      <c r="I131" s="32"/>
      <c r="J131" s="32"/>
      <c r="K131" s="32"/>
      <c r="L131" s="32"/>
      <c r="O131" s="61"/>
      <c r="AI131" s="33"/>
      <c r="AJ131" s="33"/>
      <c r="AK131" s="34"/>
      <c r="AL131" s="35"/>
      <c r="AM131" s="34"/>
      <c r="AN131" s="35"/>
      <c r="AO131" s="34"/>
      <c r="AP131" s="36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</row>
    <row r="132" spans="2:76" s="28" customFormat="1">
      <c r="B132" s="27"/>
      <c r="D132" s="29"/>
      <c r="E132" s="30"/>
      <c r="G132" s="31"/>
      <c r="H132" s="32"/>
      <c r="I132" s="32"/>
      <c r="J132" s="32"/>
      <c r="K132" s="32"/>
      <c r="L132" s="32"/>
      <c r="O132" s="61"/>
      <c r="AI132" s="33"/>
      <c r="AJ132" s="33"/>
      <c r="AK132" s="34"/>
      <c r="AL132" s="35"/>
      <c r="AM132" s="34"/>
      <c r="AN132" s="35"/>
      <c r="AO132" s="34"/>
      <c r="AP132" s="36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</row>
    <row r="133" spans="2:76" s="28" customFormat="1">
      <c r="B133" s="27"/>
      <c r="D133" s="29"/>
      <c r="E133" s="30"/>
      <c r="G133" s="31"/>
      <c r="H133" s="32"/>
      <c r="I133" s="32"/>
      <c r="J133" s="32"/>
      <c r="K133" s="32"/>
      <c r="L133" s="32"/>
      <c r="O133" s="61"/>
      <c r="AI133" s="33"/>
      <c r="AJ133" s="33"/>
      <c r="AK133" s="34"/>
      <c r="AL133" s="35"/>
      <c r="AM133" s="34"/>
      <c r="AN133" s="35"/>
      <c r="AO133" s="34"/>
      <c r="AP133" s="36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</row>
    <row r="134" spans="2:76" s="28" customFormat="1">
      <c r="B134" s="27"/>
      <c r="D134" s="29"/>
      <c r="E134" s="30"/>
      <c r="G134" s="31"/>
      <c r="H134" s="32"/>
      <c r="I134" s="32"/>
      <c r="J134" s="32"/>
      <c r="K134" s="32"/>
      <c r="L134" s="32"/>
      <c r="O134" s="61"/>
      <c r="AI134" s="33"/>
      <c r="AJ134" s="33"/>
      <c r="AK134" s="34"/>
      <c r="AL134" s="35"/>
      <c r="AM134" s="34"/>
      <c r="AN134" s="35"/>
      <c r="AO134" s="34"/>
      <c r="AP134" s="36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</row>
    <row r="135" spans="2:76" s="28" customFormat="1">
      <c r="B135" s="27"/>
      <c r="D135" s="29"/>
      <c r="E135" s="30"/>
      <c r="G135" s="31"/>
      <c r="H135" s="32"/>
      <c r="I135" s="32"/>
      <c r="J135" s="32"/>
      <c r="K135" s="32"/>
      <c r="L135" s="32"/>
      <c r="O135" s="61"/>
      <c r="AI135" s="33"/>
      <c r="AJ135" s="33"/>
      <c r="AK135" s="34"/>
      <c r="AL135" s="35"/>
      <c r="AM135" s="34"/>
      <c r="AN135" s="35"/>
      <c r="AO135" s="34"/>
      <c r="AP135" s="36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</row>
    <row r="136" spans="2:76" s="28" customFormat="1">
      <c r="B136" s="27"/>
      <c r="D136" s="29"/>
      <c r="E136" s="30"/>
      <c r="G136" s="31"/>
      <c r="H136" s="32"/>
      <c r="I136" s="32"/>
      <c r="J136" s="32"/>
      <c r="K136" s="32"/>
      <c r="L136" s="32"/>
      <c r="O136" s="61"/>
      <c r="AI136" s="33"/>
      <c r="AJ136" s="33"/>
      <c r="AK136" s="34"/>
      <c r="AL136" s="35"/>
      <c r="AM136" s="34"/>
      <c r="AN136" s="35"/>
      <c r="AO136" s="34"/>
      <c r="AP136" s="36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</row>
    <row r="137" spans="2:76" s="28" customFormat="1">
      <c r="B137" s="27"/>
      <c r="D137" s="29"/>
      <c r="E137" s="30"/>
      <c r="G137" s="31"/>
      <c r="H137" s="32"/>
      <c r="I137" s="32"/>
      <c r="J137" s="32"/>
      <c r="K137" s="32"/>
      <c r="L137" s="32"/>
      <c r="O137" s="61"/>
      <c r="AI137" s="33"/>
      <c r="AJ137" s="33"/>
      <c r="AK137" s="34"/>
      <c r="AL137" s="35"/>
      <c r="AM137" s="34"/>
      <c r="AN137" s="35"/>
      <c r="AO137" s="34"/>
      <c r="AP137" s="36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</row>
    <row r="138" spans="2:76" s="28" customFormat="1">
      <c r="B138" s="27"/>
      <c r="D138" s="29"/>
      <c r="E138" s="30"/>
      <c r="G138" s="31"/>
      <c r="H138" s="32"/>
      <c r="I138" s="32"/>
      <c r="J138" s="32"/>
      <c r="K138" s="32"/>
      <c r="L138" s="32"/>
      <c r="O138" s="61"/>
      <c r="AI138" s="33"/>
      <c r="AJ138" s="33"/>
      <c r="AK138" s="34"/>
      <c r="AL138" s="35"/>
      <c r="AM138" s="34"/>
      <c r="AN138" s="35"/>
      <c r="AO138" s="34"/>
      <c r="AP138" s="36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</row>
    <row r="139" spans="2:76" s="28" customFormat="1">
      <c r="B139" s="27"/>
      <c r="D139" s="29"/>
      <c r="E139" s="30"/>
      <c r="G139" s="31"/>
      <c r="H139" s="32"/>
      <c r="I139" s="32"/>
      <c r="J139" s="32"/>
      <c r="K139" s="32"/>
      <c r="L139" s="32"/>
      <c r="O139" s="61"/>
      <c r="AI139" s="33"/>
      <c r="AJ139" s="33"/>
      <c r="AK139" s="34"/>
      <c r="AL139" s="35"/>
      <c r="AM139" s="34"/>
      <c r="AN139" s="35"/>
      <c r="AO139" s="34"/>
      <c r="AP139" s="36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</row>
    <row r="140" spans="2:76" s="28" customFormat="1">
      <c r="B140" s="27"/>
      <c r="D140" s="29"/>
      <c r="E140" s="30"/>
      <c r="G140" s="31"/>
      <c r="H140" s="32"/>
      <c r="I140" s="32"/>
      <c r="J140" s="32"/>
      <c r="K140" s="32"/>
      <c r="L140" s="32"/>
      <c r="O140" s="61"/>
      <c r="AI140" s="33"/>
      <c r="AJ140" s="33"/>
      <c r="AK140" s="34"/>
      <c r="AL140" s="35"/>
      <c r="AM140" s="34"/>
      <c r="AN140" s="35"/>
      <c r="AO140" s="34"/>
      <c r="AP140" s="36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</row>
    <row r="141" spans="2:76" s="28" customFormat="1">
      <c r="B141" s="27"/>
      <c r="D141" s="29"/>
      <c r="E141" s="30"/>
      <c r="G141" s="31"/>
      <c r="H141" s="32"/>
      <c r="I141" s="32"/>
      <c r="J141" s="32"/>
      <c r="K141" s="32"/>
      <c r="L141" s="32"/>
      <c r="O141" s="61"/>
      <c r="AI141" s="33"/>
      <c r="AJ141" s="33"/>
      <c r="AK141" s="34"/>
      <c r="AL141" s="35"/>
      <c r="AM141" s="34"/>
      <c r="AN141" s="35"/>
      <c r="AO141" s="34"/>
      <c r="AP141" s="36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</row>
    <row r="142" spans="2:76" s="28" customFormat="1">
      <c r="B142" s="27"/>
      <c r="D142" s="29"/>
      <c r="E142" s="30"/>
      <c r="G142" s="31"/>
      <c r="H142" s="32"/>
      <c r="I142" s="32"/>
      <c r="J142" s="32"/>
      <c r="K142" s="32"/>
      <c r="L142" s="32"/>
      <c r="O142" s="61"/>
      <c r="AI142" s="33"/>
      <c r="AJ142" s="33"/>
      <c r="AK142" s="34"/>
      <c r="AL142" s="35"/>
      <c r="AM142" s="34"/>
      <c r="AN142" s="35"/>
      <c r="AO142" s="34"/>
      <c r="AP142" s="36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</row>
    <row r="143" spans="2:76" s="28" customFormat="1">
      <c r="B143" s="27"/>
      <c r="D143" s="29"/>
      <c r="E143" s="30"/>
      <c r="G143" s="31"/>
      <c r="H143" s="32"/>
      <c r="I143" s="32"/>
      <c r="J143" s="32"/>
      <c r="K143" s="32"/>
      <c r="L143" s="32"/>
      <c r="O143" s="61"/>
      <c r="AI143" s="33"/>
      <c r="AJ143" s="33"/>
      <c r="AK143" s="34"/>
      <c r="AL143" s="35"/>
      <c r="AM143" s="34"/>
      <c r="AN143" s="35"/>
      <c r="AO143" s="34"/>
      <c r="AP143" s="36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</row>
    <row r="144" spans="2:76" s="28" customFormat="1">
      <c r="B144" s="27"/>
      <c r="D144" s="29"/>
      <c r="E144" s="30"/>
      <c r="G144" s="31"/>
      <c r="H144" s="32"/>
      <c r="I144" s="32"/>
      <c r="J144" s="32"/>
      <c r="K144" s="32"/>
      <c r="L144" s="32"/>
      <c r="O144" s="61"/>
      <c r="AI144" s="33"/>
      <c r="AJ144" s="33"/>
      <c r="AK144" s="34"/>
      <c r="AL144" s="35"/>
      <c r="AM144" s="34"/>
      <c r="AN144" s="35"/>
      <c r="AO144" s="34"/>
      <c r="AP144" s="36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</row>
    <row r="145" spans="2:76" s="28" customFormat="1">
      <c r="B145" s="27"/>
      <c r="D145" s="29"/>
      <c r="E145" s="30"/>
      <c r="G145" s="31"/>
      <c r="H145" s="32"/>
      <c r="I145" s="32"/>
      <c r="J145" s="32"/>
      <c r="K145" s="32"/>
      <c r="L145" s="32"/>
      <c r="O145" s="61"/>
      <c r="AI145" s="33"/>
      <c r="AJ145" s="33"/>
      <c r="AK145" s="34"/>
      <c r="AL145" s="35"/>
      <c r="AM145" s="34"/>
      <c r="AN145" s="35"/>
      <c r="AO145" s="34"/>
      <c r="AP145" s="36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</row>
    <row r="146" spans="2:76" s="28" customFormat="1">
      <c r="B146" s="27"/>
      <c r="D146" s="29"/>
      <c r="E146" s="30"/>
      <c r="G146" s="31"/>
      <c r="H146" s="32"/>
      <c r="I146" s="32"/>
      <c r="J146" s="32"/>
      <c r="K146" s="32"/>
      <c r="L146" s="32"/>
      <c r="O146" s="61"/>
      <c r="AI146" s="33"/>
      <c r="AJ146" s="33"/>
      <c r="AK146" s="34"/>
      <c r="AL146" s="35"/>
      <c r="AM146" s="34"/>
      <c r="AN146" s="35"/>
      <c r="AO146" s="34"/>
      <c r="AP146" s="36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</row>
    <row r="147" spans="2:76" s="28" customFormat="1">
      <c r="B147" s="27"/>
      <c r="D147" s="29"/>
      <c r="E147" s="30"/>
      <c r="G147" s="31"/>
      <c r="H147" s="32"/>
      <c r="I147" s="32"/>
      <c r="J147" s="32"/>
      <c r="K147" s="32"/>
      <c r="L147" s="32"/>
      <c r="O147" s="61"/>
      <c r="AI147" s="33"/>
      <c r="AJ147" s="33"/>
      <c r="AK147" s="34"/>
      <c r="AL147" s="35"/>
      <c r="AM147" s="34"/>
      <c r="AN147" s="35"/>
      <c r="AO147" s="34"/>
      <c r="AP147" s="36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</row>
    <row r="148" spans="2:76" s="28" customFormat="1">
      <c r="B148" s="27"/>
      <c r="D148" s="29"/>
      <c r="E148" s="30"/>
      <c r="G148" s="31"/>
      <c r="H148" s="32"/>
      <c r="I148" s="32"/>
      <c r="J148" s="32"/>
      <c r="K148" s="32"/>
      <c r="L148" s="32"/>
      <c r="O148" s="61"/>
      <c r="AI148" s="33"/>
      <c r="AJ148" s="33"/>
      <c r="AK148" s="34"/>
      <c r="AL148" s="35"/>
      <c r="AM148" s="34"/>
      <c r="AN148" s="35"/>
      <c r="AO148" s="34"/>
      <c r="AP148" s="36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</row>
    <row r="149" spans="2:76" s="28" customFormat="1">
      <c r="B149" s="27"/>
      <c r="D149" s="29"/>
      <c r="E149" s="30"/>
      <c r="G149" s="31"/>
      <c r="H149" s="32"/>
      <c r="I149" s="32"/>
      <c r="J149" s="32"/>
      <c r="K149" s="32"/>
      <c r="L149" s="32"/>
      <c r="O149" s="61"/>
      <c r="AI149" s="33"/>
      <c r="AJ149" s="33"/>
      <c r="AK149" s="34"/>
      <c r="AL149" s="35"/>
      <c r="AM149" s="34"/>
      <c r="AN149" s="35"/>
      <c r="AO149" s="34"/>
      <c r="AP149" s="36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</row>
    <row r="150" spans="2:76" s="28" customFormat="1">
      <c r="B150" s="27"/>
      <c r="D150" s="29"/>
      <c r="E150" s="30"/>
      <c r="G150" s="31"/>
      <c r="H150" s="32"/>
      <c r="I150" s="32"/>
      <c r="J150" s="32"/>
      <c r="K150" s="32"/>
      <c r="L150" s="32"/>
      <c r="O150" s="61"/>
      <c r="AI150" s="33"/>
      <c r="AJ150" s="33"/>
      <c r="AK150" s="34"/>
      <c r="AL150" s="35"/>
      <c r="AM150" s="34"/>
      <c r="AN150" s="35"/>
      <c r="AO150" s="34"/>
      <c r="AP150" s="36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</row>
    <row r="151" spans="2:76" s="28" customFormat="1">
      <c r="B151" s="27"/>
      <c r="D151" s="29"/>
      <c r="E151" s="30"/>
      <c r="G151" s="31"/>
      <c r="H151" s="32"/>
      <c r="I151" s="32"/>
      <c r="J151" s="32"/>
      <c r="K151" s="32"/>
      <c r="L151" s="32"/>
      <c r="O151" s="63"/>
      <c r="AI151" s="33"/>
      <c r="AJ151" s="33"/>
      <c r="AK151" s="34"/>
      <c r="AL151" s="35"/>
      <c r="AM151" s="34"/>
      <c r="AN151" s="35"/>
      <c r="AO151" s="34"/>
      <c r="AP151" s="36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</row>
    <row r="152" spans="2:76" s="28" customFormat="1">
      <c r="B152" s="27"/>
      <c r="D152" s="29"/>
      <c r="E152" s="30"/>
      <c r="G152" s="31"/>
      <c r="H152" s="32"/>
      <c r="I152" s="32"/>
      <c r="J152" s="32"/>
      <c r="K152" s="32"/>
      <c r="L152" s="32"/>
      <c r="O152" s="64"/>
      <c r="AI152" s="33"/>
      <c r="AJ152" s="33"/>
      <c r="AK152" s="34"/>
      <c r="AL152" s="35"/>
      <c r="AM152" s="34"/>
      <c r="AN152" s="35"/>
      <c r="AO152" s="34"/>
      <c r="AP152" s="36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</row>
    <row r="153" spans="2:76" s="28" customFormat="1">
      <c r="B153" s="27"/>
      <c r="D153" s="29"/>
      <c r="E153" s="30"/>
      <c r="G153" s="31"/>
      <c r="H153" s="32"/>
      <c r="I153" s="32"/>
      <c r="J153" s="32"/>
      <c r="K153" s="32"/>
      <c r="L153" s="32"/>
      <c r="O153" s="64"/>
      <c r="AI153" s="33"/>
      <c r="AJ153" s="33"/>
      <c r="AK153" s="34"/>
      <c r="AL153" s="35"/>
      <c r="AM153" s="34"/>
      <c r="AN153" s="35"/>
      <c r="AO153" s="34"/>
      <c r="AP153" s="36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</row>
    <row r="154" spans="2:76" s="28" customFormat="1">
      <c r="B154" s="27"/>
      <c r="D154" s="29"/>
      <c r="E154" s="30"/>
      <c r="G154" s="31"/>
      <c r="H154" s="32"/>
      <c r="I154" s="32"/>
      <c r="J154" s="32"/>
      <c r="K154" s="32"/>
      <c r="L154" s="32"/>
      <c r="O154" s="64"/>
      <c r="AI154" s="33"/>
      <c r="AJ154" s="33"/>
      <c r="AK154" s="34"/>
      <c r="AL154" s="35"/>
      <c r="AM154" s="34"/>
      <c r="AN154" s="35"/>
      <c r="AO154" s="34"/>
      <c r="AP154" s="36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</row>
    <row r="155" spans="2:76" s="28" customFormat="1">
      <c r="B155" s="27"/>
      <c r="D155" s="29"/>
      <c r="E155" s="30"/>
      <c r="G155" s="31"/>
      <c r="H155" s="32"/>
      <c r="I155" s="32"/>
      <c r="J155" s="32"/>
      <c r="K155" s="32"/>
      <c r="L155" s="32"/>
      <c r="O155" s="64"/>
      <c r="AI155" s="33"/>
      <c r="AJ155" s="33"/>
      <c r="AK155" s="34"/>
      <c r="AL155" s="35"/>
      <c r="AM155" s="34"/>
      <c r="AN155" s="35"/>
      <c r="AO155" s="34"/>
      <c r="AP155" s="36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</row>
    <row r="156" spans="2:76" s="28" customFormat="1">
      <c r="B156" s="27"/>
      <c r="D156" s="29"/>
      <c r="E156" s="30"/>
      <c r="G156" s="31"/>
      <c r="H156" s="32"/>
      <c r="I156" s="32"/>
      <c r="J156" s="32"/>
      <c r="K156" s="32"/>
      <c r="L156" s="32"/>
      <c r="O156" s="65"/>
      <c r="AI156" s="33"/>
      <c r="AJ156" s="33"/>
      <c r="AK156" s="34"/>
      <c r="AL156" s="35"/>
      <c r="AM156" s="34"/>
      <c r="AN156" s="35"/>
      <c r="AO156" s="34"/>
      <c r="AP156" s="36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</row>
    <row r="157" spans="2:76" s="28" customFormat="1">
      <c r="B157" s="27"/>
      <c r="D157" s="29"/>
      <c r="E157" s="30"/>
      <c r="G157" s="31"/>
      <c r="H157" s="32"/>
      <c r="I157" s="32"/>
      <c r="J157" s="32"/>
      <c r="K157" s="32"/>
      <c r="L157" s="32"/>
      <c r="O157" s="66"/>
      <c r="AI157" s="33"/>
      <c r="AJ157" s="33"/>
      <c r="AK157" s="34"/>
      <c r="AL157" s="35"/>
      <c r="AM157" s="34"/>
      <c r="AN157" s="35"/>
      <c r="AO157" s="34"/>
      <c r="AP157" s="36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</row>
    <row r="158" spans="2:76" s="28" customFormat="1">
      <c r="B158" s="27"/>
      <c r="D158" s="29"/>
      <c r="E158" s="30"/>
      <c r="G158" s="31"/>
      <c r="H158" s="32"/>
      <c r="I158" s="32"/>
      <c r="J158" s="32"/>
      <c r="K158" s="32"/>
      <c r="L158" s="32"/>
      <c r="O158" s="64"/>
      <c r="AI158" s="33"/>
      <c r="AJ158" s="33"/>
      <c r="AK158" s="34"/>
      <c r="AL158" s="35"/>
      <c r="AM158" s="34"/>
      <c r="AN158" s="35"/>
      <c r="AO158" s="34"/>
      <c r="AP158" s="36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</row>
    <row r="159" spans="2:76" s="28" customFormat="1">
      <c r="B159" s="27"/>
      <c r="D159" s="29"/>
      <c r="E159" s="30"/>
      <c r="G159" s="31"/>
      <c r="H159" s="32"/>
      <c r="I159" s="32"/>
      <c r="J159" s="32"/>
      <c r="K159" s="32"/>
      <c r="L159" s="32"/>
      <c r="O159" s="65"/>
      <c r="AI159" s="33"/>
      <c r="AJ159" s="33"/>
      <c r="AK159" s="34"/>
      <c r="AL159" s="35"/>
      <c r="AM159" s="34"/>
      <c r="AN159" s="35"/>
      <c r="AO159" s="34"/>
      <c r="AP159" s="36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</row>
    <row r="160" spans="2:76" s="28" customFormat="1">
      <c r="B160" s="27"/>
      <c r="D160" s="29"/>
      <c r="E160" s="30"/>
      <c r="G160" s="31"/>
      <c r="H160" s="32"/>
      <c r="I160" s="32"/>
      <c r="J160" s="32"/>
      <c r="K160" s="32"/>
      <c r="L160" s="32"/>
      <c r="O160" s="67"/>
      <c r="AI160" s="33"/>
      <c r="AJ160" s="33"/>
      <c r="AK160" s="34"/>
      <c r="AL160" s="35"/>
      <c r="AM160" s="34"/>
      <c r="AN160" s="35"/>
      <c r="AO160" s="34"/>
      <c r="AP160" s="36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</row>
    <row r="161" spans="2:76" s="28" customFormat="1">
      <c r="B161" s="27"/>
      <c r="D161" s="29"/>
      <c r="E161" s="30"/>
      <c r="G161" s="31"/>
      <c r="H161" s="32"/>
      <c r="I161" s="32"/>
      <c r="J161" s="32"/>
      <c r="K161" s="32"/>
      <c r="L161" s="32"/>
      <c r="O161" s="64"/>
      <c r="AI161" s="33"/>
      <c r="AJ161" s="33"/>
      <c r="AK161" s="34"/>
      <c r="AL161" s="35"/>
      <c r="AM161" s="34"/>
      <c r="AN161" s="35"/>
      <c r="AO161" s="34"/>
      <c r="AP161" s="36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</row>
    <row r="162" spans="2:76" s="28" customFormat="1">
      <c r="B162" s="27"/>
      <c r="D162" s="29"/>
      <c r="E162" s="30"/>
      <c r="G162" s="31"/>
      <c r="H162" s="32"/>
      <c r="I162" s="32"/>
      <c r="J162" s="32"/>
      <c r="K162" s="32"/>
      <c r="L162" s="32"/>
      <c r="O162" s="64"/>
      <c r="AI162" s="33"/>
      <c r="AJ162" s="33"/>
      <c r="AK162" s="34"/>
      <c r="AL162" s="35"/>
      <c r="AM162" s="34"/>
      <c r="AN162" s="35"/>
      <c r="AO162" s="34"/>
      <c r="AP162" s="36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</row>
    <row r="163" spans="2:76" s="28" customFormat="1">
      <c r="B163" s="27"/>
      <c r="D163" s="29"/>
      <c r="E163" s="30"/>
      <c r="G163" s="31"/>
      <c r="H163" s="32"/>
      <c r="I163" s="32"/>
      <c r="J163" s="32"/>
      <c r="K163" s="32"/>
      <c r="L163" s="32"/>
      <c r="O163" s="64"/>
      <c r="AI163" s="33"/>
      <c r="AJ163" s="33"/>
      <c r="AK163" s="34"/>
      <c r="AL163" s="35"/>
      <c r="AM163" s="34"/>
      <c r="AN163" s="35"/>
      <c r="AO163" s="34"/>
      <c r="AP163" s="36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</row>
    <row r="164" spans="2:76" s="28" customFormat="1">
      <c r="B164" s="27"/>
      <c r="D164" s="29"/>
      <c r="E164" s="30"/>
      <c r="G164" s="31"/>
      <c r="H164" s="32"/>
      <c r="I164" s="32"/>
      <c r="J164" s="32"/>
      <c r="K164" s="32"/>
      <c r="L164" s="32"/>
      <c r="O164" s="68"/>
      <c r="AI164" s="33"/>
      <c r="AJ164" s="33"/>
      <c r="AK164" s="34"/>
      <c r="AL164" s="35"/>
      <c r="AM164" s="34"/>
      <c r="AN164" s="35"/>
      <c r="AO164" s="34"/>
      <c r="AP164" s="36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</row>
    <row r="165" spans="2:76" s="28" customFormat="1">
      <c r="B165" s="27"/>
      <c r="D165" s="29"/>
      <c r="E165" s="30"/>
      <c r="G165" s="31"/>
      <c r="H165" s="32"/>
      <c r="I165" s="32"/>
      <c r="J165" s="32"/>
      <c r="K165" s="32"/>
      <c r="L165" s="32"/>
      <c r="O165" s="63"/>
      <c r="AI165" s="33"/>
      <c r="AJ165" s="33"/>
      <c r="AK165" s="34"/>
      <c r="AL165" s="35"/>
      <c r="AM165" s="34"/>
      <c r="AN165" s="35"/>
      <c r="AO165" s="34"/>
      <c r="AP165" s="36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</row>
    <row r="166" spans="2:76" s="28" customFormat="1">
      <c r="B166" s="27"/>
      <c r="D166" s="29"/>
      <c r="E166" s="30"/>
      <c r="G166" s="31"/>
      <c r="H166" s="32"/>
      <c r="I166" s="32"/>
      <c r="J166" s="32"/>
      <c r="K166" s="32"/>
      <c r="L166" s="32"/>
      <c r="O166" s="65"/>
      <c r="AI166" s="33"/>
      <c r="AJ166" s="33"/>
      <c r="AK166" s="34"/>
      <c r="AL166" s="35"/>
      <c r="AM166" s="34"/>
      <c r="AN166" s="35"/>
      <c r="AO166" s="34"/>
      <c r="AP166" s="36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</row>
    <row r="167" spans="2:76" s="28" customFormat="1">
      <c r="B167" s="27"/>
      <c r="D167" s="29"/>
      <c r="E167" s="30"/>
      <c r="G167" s="31"/>
      <c r="H167" s="32"/>
      <c r="I167" s="32"/>
      <c r="J167" s="32"/>
      <c r="K167" s="32"/>
      <c r="L167" s="32"/>
      <c r="O167" s="64"/>
      <c r="AI167" s="33"/>
      <c r="AJ167" s="33"/>
      <c r="AK167" s="34"/>
      <c r="AL167" s="35"/>
      <c r="AM167" s="34"/>
      <c r="AN167" s="35"/>
      <c r="AO167" s="34"/>
      <c r="AP167" s="36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</row>
    <row r="168" spans="2:76" s="28" customFormat="1">
      <c r="B168" s="27"/>
      <c r="D168" s="29"/>
      <c r="E168" s="30"/>
      <c r="G168" s="31"/>
      <c r="H168" s="32"/>
      <c r="I168" s="32"/>
      <c r="J168" s="32"/>
      <c r="K168" s="32"/>
      <c r="L168" s="32"/>
      <c r="O168" s="64"/>
      <c r="AI168" s="33"/>
      <c r="AJ168" s="33"/>
      <c r="AK168" s="34"/>
      <c r="AL168" s="35"/>
      <c r="AM168" s="34"/>
      <c r="AN168" s="35"/>
      <c r="AO168" s="34"/>
      <c r="AP168" s="36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</row>
    <row r="169" spans="2:76" s="28" customFormat="1">
      <c r="B169" s="27"/>
      <c r="D169" s="29"/>
      <c r="E169" s="30"/>
      <c r="G169" s="31"/>
      <c r="H169" s="32"/>
      <c r="I169" s="32"/>
      <c r="J169" s="32"/>
      <c r="K169" s="32"/>
      <c r="L169" s="32"/>
      <c r="O169" s="64"/>
      <c r="AI169" s="33"/>
      <c r="AJ169" s="33"/>
      <c r="AK169" s="34"/>
      <c r="AL169" s="35"/>
      <c r="AM169" s="34"/>
      <c r="AN169" s="35"/>
      <c r="AO169" s="34"/>
      <c r="AP169" s="36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</row>
    <row r="170" spans="2:76" s="28" customFormat="1">
      <c r="B170" s="27"/>
      <c r="D170" s="29"/>
      <c r="E170" s="30"/>
      <c r="G170" s="31"/>
      <c r="H170" s="32"/>
      <c r="I170" s="32"/>
      <c r="J170" s="32"/>
      <c r="K170" s="32"/>
      <c r="L170" s="32"/>
      <c r="O170" s="64"/>
      <c r="AI170" s="33"/>
      <c r="AJ170" s="33"/>
      <c r="AK170" s="34"/>
      <c r="AL170" s="35"/>
      <c r="AM170" s="34"/>
      <c r="AN170" s="35"/>
      <c r="AO170" s="34"/>
      <c r="AP170" s="36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</row>
    <row r="171" spans="2:76" s="28" customFormat="1">
      <c r="B171" s="27"/>
      <c r="D171" s="29"/>
      <c r="E171" s="30"/>
      <c r="G171" s="31"/>
      <c r="H171" s="32"/>
      <c r="I171" s="32"/>
      <c r="J171" s="32"/>
      <c r="K171" s="32"/>
      <c r="L171" s="32"/>
      <c r="O171" s="64"/>
      <c r="AI171" s="33"/>
      <c r="AJ171" s="33"/>
      <c r="AK171" s="34"/>
      <c r="AL171" s="35"/>
      <c r="AM171" s="34"/>
      <c r="AN171" s="35"/>
      <c r="AO171" s="34"/>
      <c r="AP171" s="36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</row>
    <row r="172" spans="2:76" s="28" customFormat="1">
      <c r="B172" s="27"/>
      <c r="D172" s="29"/>
      <c r="E172" s="30"/>
      <c r="G172" s="31"/>
      <c r="H172" s="32"/>
      <c r="I172" s="32"/>
      <c r="J172" s="32"/>
      <c r="K172" s="32"/>
      <c r="L172" s="32"/>
      <c r="O172" s="64"/>
      <c r="AI172" s="33"/>
      <c r="AJ172" s="33"/>
      <c r="AK172" s="34"/>
      <c r="AL172" s="35"/>
      <c r="AM172" s="34"/>
      <c r="AN172" s="35"/>
      <c r="AO172" s="34"/>
      <c r="AP172" s="36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</row>
    <row r="173" spans="2:76" s="28" customFormat="1">
      <c r="B173" s="27"/>
      <c r="D173" s="29"/>
      <c r="E173" s="30"/>
      <c r="G173" s="31"/>
      <c r="H173" s="32"/>
      <c r="I173" s="32"/>
      <c r="J173" s="32"/>
      <c r="K173" s="32"/>
      <c r="L173" s="32"/>
      <c r="O173" s="64"/>
      <c r="AI173" s="33"/>
      <c r="AJ173" s="33"/>
      <c r="AK173" s="34"/>
      <c r="AL173" s="35"/>
      <c r="AM173" s="34"/>
      <c r="AN173" s="35"/>
      <c r="AO173" s="34"/>
      <c r="AP173" s="36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</row>
    <row r="174" spans="2:76" s="28" customFormat="1">
      <c r="B174" s="27"/>
      <c r="D174" s="29"/>
      <c r="E174" s="30"/>
      <c r="G174" s="31"/>
      <c r="H174" s="32"/>
      <c r="I174" s="32"/>
      <c r="J174" s="32"/>
      <c r="K174" s="32"/>
      <c r="L174" s="32"/>
      <c r="O174" s="64"/>
      <c r="AI174" s="33"/>
      <c r="AJ174" s="33"/>
      <c r="AK174" s="34"/>
      <c r="AL174" s="35"/>
      <c r="AM174" s="34"/>
      <c r="AN174" s="35"/>
      <c r="AO174" s="34"/>
      <c r="AP174" s="36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</row>
    <row r="175" spans="2:76" s="28" customFormat="1">
      <c r="B175" s="27"/>
      <c r="D175" s="29"/>
      <c r="E175" s="30"/>
      <c r="G175" s="31"/>
      <c r="H175" s="32"/>
      <c r="I175" s="32"/>
      <c r="J175" s="32"/>
      <c r="K175" s="32"/>
      <c r="L175" s="32"/>
      <c r="O175" s="69"/>
      <c r="AI175" s="33"/>
      <c r="AJ175" s="33"/>
      <c r="AK175" s="34"/>
      <c r="AL175" s="35"/>
      <c r="AM175" s="34"/>
      <c r="AN175" s="35"/>
      <c r="AO175" s="34"/>
      <c r="AP175" s="36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</row>
    <row r="176" spans="2:76" s="28" customFormat="1">
      <c r="B176" s="27"/>
      <c r="D176" s="29"/>
      <c r="E176" s="30"/>
      <c r="G176" s="31"/>
      <c r="H176" s="32"/>
      <c r="I176" s="32"/>
      <c r="J176" s="32"/>
      <c r="K176" s="32"/>
      <c r="L176" s="32"/>
      <c r="O176" s="63"/>
      <c r="AI176" s="33"/>
      <c r="AJ176" s="33"/>
      <c r="AK176" s="34"/>
      <c r="AL176" s="35"/>
      <c r="AM176" s="34"/>
      <c r="AN176" s="35"/>
      <c r="AO176" s="34"/>
      <c r="AP176" s="36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</row>
    <row r="177" spans="2:76" s="28" customFormat="1">
      <c r="B177" s="27"/>
      <c r="D177" s="29"/>
      <c r="E177" s="30"/>
      <c r="G177" s="31"/>
      <c r="H177" s="32"/>
      <c r="I177" s="32"/>
      <c r="J177" s="32"/>
      <c r="K177" s="32"/>
      <c r="L177" s="32"/>
      <c r="O177" s="67"/>
      <c r="AI177" s="33"/>
      <c r="AJ177" s="33"/>
      <c r="AK177" s="34"/>
      <c r="AL177" s="35"/>
      <c r="AM177" s="34"/>
      <c r="AN177" s="35"/>
      <c r="AO177" s="34"/>
      <c r="AP177" s="36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</row>
    <row r="178" spans="2:76" s="28" customFormat="1">
      <c r="B178" s="27"/>
      <c r="D178" s="29"/>
      <c r="E178" s="30"/>
      <c r="G178" s="31"/>
      <c r="H178" s="32"/>
      <c r="I178" s="32"/>
      <c r="J178" s="32"/>
      <c r="K178" s="32"/>
      <c r="L178" s="32"/>
      <c r="O178" s="67"/>
      <c r="AI178" s="33"/>
      <c r="AJ178" s="33"/>
      <c r="AK178" s="34"/>
      <c r="AL178" s="35"/>
      <c r="AM178" s="34"/>
      <c r="AN178" s="35"/>
      <c r="AO178" s="34"/>
      <c r="AP178" s="36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</row>
    <row r="179" spans="2:76" s="28" customFormat="1">
      <c r="B179" s="27"/>
      <c r="D179" s="29"/>
      <c r="E179" s="30"/>
      <c r="G179" s="31"/>
      <c r="H179" s="32"/>
      <c r="I179" s="32"/>
      <c r="J179" s="32"/>
      <c r="K179" s="32"/>
      <c r="L179" s="32"/>
      <c r="O179" s="66"/>
      <c r="AI179" s="33"/>
      <c r="AJ179" s="33"/>
      <c r="AK179" s="34"/>
      <c r="AL179" s="35"/>
      <c r="AM179" s="34"/>
      <c r="AN179" s="35"/>
      <c r="AO179" s="34"/>
      <c r="AP179" s="36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</row>
    <row r="180" spans="2:76" s="28" customFormat="1">
      <c r="B180" s="27"/>
      <c r="D180" s="29"/>
      <c r="E180" s="30"/>
      <c r="G180" s="31"/>
      <c r="H180" s="32"/>
      <c r="I180" s="32"/>
      <c r="J180" s="32"/>
      <c r="K180" s="32"/>
      <c r="L180" s="32"/>
      <c r="O180" s="68"/>
      <c r="AI180" s="33"/>
      <c r="AJ180" s="33"/>
      <c r="AK180" s="34"/>
      <c r="AL180" s="35"/>
      <c r="AM180" s="34"/>
      <c r="AN180" s="35"/>
      <c r="AO180" s="34"/>
      <c r="AP180" s="36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</row>
    <row r="181" spans="2:76" s="28" customFormat="1">
      <c r="B181" s="27"/>
      <c r="D181" s="29"/>
      <c r="E181" s="30"/>
      <c r="G181" s="31"/>
      <c r="H181" s="32"/>
      <c r="I181" s="32"/>
      <c r="J181" s="32"/>
      <c r="K181" s="32"/>
      <c r="L181" s="32"/>
      <c r="O181" s="66"/>
      <c r="AI181" s="33"/>
      <c r="AJ181" s="33"/>
      <c r="AK181" s="34"/>
      <c r="AL181" s="35"/>
      <c r="AM181" s="34"/>
      <c r="AN181" s="35"/>
      <c r="AO181" s="34"/>
      <c r="AP181" s="36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</row>
    <row r="182" spans="2:76" s="28" customFormat="1">
      <c r="B182" s="27"/>
      <c r="D182" s="29"/>
      <c r="E182" s="30"/>
      <c r="G182" s="31"/>
      <c r="H182" s="32"/>
      <c r="I182" s="32"/>
      <c r="J182" s="32"/>
      <c r="K182" s="32"/>
      <c r="L182" s="32"/>
      <c r="O182" s="70"/>
      <c r="AI182" s="33"/>
      <c r="AJ182" s="33"/>
      <c r="AK182" s="34"/>
      <c r="AL182" s="35"/>
      <c r="AM182" s="34"/>
      <c r="AN182" s="35"/>
      <c r="AO182" s="34"/>
      <c r="AP182" s="36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</row>
    <row r="183" spans="2:76" s="28" customFormat="1">
      <c r="B183" s="27"/>
      <c r="D183" s="29"/>
      <c r="E183" s="30"/>
      <c r="G183" s="31"/>
      <c r="H183" s="32"/>
      <c r="I183" s="32"/>
      <c r="J183" s="32"/>
      <c r="K183" s="32"/>
      <c r="L183" s="32"/>
      <c r="O183" s="70"/>
      <c r="AI183" s="33"/>
      <c r="AJ183" s="33"/>
      <c r="AK183" s="34"/>
      <c r="AL183" s="35"/>
      <c r="AM183" s="34"/>
      <c r="AN183" s="35"/>
      <c r="AO183" s="34"/>
      <c r="AP183" s="36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</row>
    <row r="184" spans="2:76" s="28" customFormat="1">
      <c r="B184" s="27"/>
      <c r="D184" s="29"/>
      <c r="E184" s="30"/>
      <c r="G184" s="31"/>
      <c r="H184" s="32"/>
      <c r="I184" s="32"/>
      <c r="J184" s="32"/>
      <c r="K184" s="32"/>
      <c r="L184" s="32"/>
      <c r="O184" s="64"/>
      <c r="AI184" s="33"/>
      <c r="AJ184" s="33"/>
      <c r="AK184" s="34"/>
      <c r="AL184" s="35"/>
      <c r="AM184" s="34"/>
      <c r="AN184" s="35"/>
      <c r="AO184" s="34"/>
      <c r="AP184" s="36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</row>
    <row r="185" spans="2:76" s="28" customFormat="1">
      <c r="B185" s="27"/>
      <c r="D185" s="29"/>
      <c r="E185" s="30"/>
      <c r="G185" s="31"/>
      <c r="H185" s="32"/>
      <c r="I185" s="32"/>
      <c r="J185" s="32"/>
      <c r="K185" s="32"/>
      <c r="L185" s="32"/>
      <c r="O185" s="64"/>
      <c r="AI185" s="33"/>
      <c r="AJ185" s="33"/>
      <c r="AK185" s="34"/>
      <c r="AL185" s="35"/>
      <c r="AM185" s="34"/>
      <c r="AN185" s="35"/>
      <c r="AO185" s="34"/>
      <c r="AP185" s="36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</row>
    <row r="186" spans="2:76" s="28" customFormat="1">
      <c r="B186" s="27"/>
      <c r="D186" s="29"/>
      <c r="E186" s="30"/>
      <c r="G186" s="31"/>
      <c r="H186" s="32"/>
      <c r="I186" s="32"/>
      <c r="J186" s="32"/>
      <c r="K186" s="32"/>
      <c r="L186" s="32"/>
      <c r="O186" s="67"/>
      <c r="AI186" s="33"/>
      <c r="AJ186" s="33"/>
      <c r="AK186" s="34"/>
      <c r="AL186" s="35"/>
      <c r="AM186" s="34"/>
      <c r="AN186" s="35"/>
      <c r="AO186" s="34"/>
      <c r="AP186" s="36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</row>
    <row r="187" spans="2:76" s="28" customFormat="1">
      <c r="B187" s="27"/>
      <c r="D187" s="29"/>
      <c r="E187" s="30"/>
      <c r="G187" s="31"/>
      <c r="H187" s="32"/>
      <c r="I187" s="32"/>
      <c r="J187" s="32"/>
      <c r="K187" s="32"/>
      <c r="L187" s="32"/>
      <c r="O187" s="64"/>
      <c r="AI187" s="33"/>
      <c r="AJ187" s="33"/>
      <c r="AK187" s="34"/>
      <c r="AL187" s="35"/>
      <c r="AM187" s="34"/>
      <c r="AN187" s="35"/>
      <c r="AO187" s="34"/>
      <c r="AP187" s="36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</row>
    <row r="188" spans="2:76" s="28" customFormat="1">
      <c r="B188" s="27"/>
      <c r="D188" s="29"/>
      <c r="E188" s="30"/>
      <c r="G188" s="31"/>
      <c r="H188" s="32"/>
      <c r="I188" s="32"/>
      <c r="J188" s="32"/>
      <c r="K188" s="32"/>
      <c r="L188" s="32"/>
      <c r="O188" s="71"/>
      <c r="AI188" s="33"/>
      <c r="AJ188" s="33"/>
      <c r="AK188" s="34"/>
      <c r="AL188" s="35"/>
      <c r="AM188" s="34"/>
      <c r="AN188" s="35"/>
      <c r="AO188" s="34"/>
      <c r="AP188" s="36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</row>
    <row r="189" spans="2:76" s="28" customFormat="1">
      <c r="B189" s="27"/>
      <c r="D189" s="29"/>
      <c r="E189" s="30"/>
      <c r="G189" s="31"/>
      <c r="H189" s="32"/>
      <c r="I189" s="32"/>
      <c r="J189" s="32"/>
      <c r="K189" s="32"/>
      <c r="L189" s="32"/>
      <c r="O189" s="65"/>
      <c r="AI189" s="33"/>
      <c r="AJ189" s="33"/>
      <c r="AK189" s="34"/>
      <c r="AL189" s="35"/>
      <c r="AM189" s="34"/>
      <c r="AN189" s="35"/>
      <c r="AO189" s="34"/>
      <c r="AP189" s="36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</row>
    <row r="190" spans="2:76" s="28" customFormat="1">
      <c r="B190" s="27"/>
      <c r="D190" s="29"/>
      <c r="E190" s="30"/>
      <c r="G190" s="31"/>
      <c r="H190" s="32"/>
      <c r="I190" s="32"/>
      <c r="J190" s="32"/>
      <c r="K190" s="32"/>
      <c r="L190" s="32"/>
      <c r="O190" s="67"/>
      <c r="AI190" s="33"/>
      <c r="AJ190" s="33"/>
      <c r="AK190" s="34"/>
      <c r="AL190" s="35"/>
      <c r="AM190" s="34"/>
      <c r="AN190" s="35"/>
      <c r="AO190" s="34"/>
      <c r="AP190" s="36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</row>
    <row r="191" spans="2:76" s="28" customFormat="1">
      <c r="B191" s="27"/>
      <c r="D191" s="29"/>
      <c r="E191" s="30"/>
      <c r="G191" s="31"/>
      <c r="H191" s="32"/>
      <c r="I191" s="32"/>
      <c r="J191" s="32"/>
      <c r="K191" s="32"/>
      <c r="L191" s="32"/>
      <c r="O191" s="67"/>
      <c r="AI191" s="33"/>
      <c r="AJ191" s="33"/>
      <c r="AK191" s="34"/>
      <c r="AL191" s="35"/>
      <c r="AM191" s="34"/>
      <c r="AN191" s="35"/>
      <c r="AO191" s="34"/>
      <c r="AP191" s="36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</row>
    <row r="192" spans="2:76" s="28" customFormat="1">
      <c r="B192" s="27"/>
      <c r="D192" s="29"/>
      <c r="E192" s="30"/>
      <c r="G192" s="31"/>
      <c r="H192" s="32"/>
      <c r="I192" s="32"/>
      <c r="J192" s="32"/>
      <c r="K192" s="32"/>
      <c r="L192" s="32"/>
      <c r="O192" s="64"/>
      <c r="AI192" s="33"/>
      <c r="AJ192" s="33"/>
      <c r="AK192" s="34"/>
      <c r="AL192" s="35"/>
      <c r="AM192" s="34"/>
      <c r="AN192" s="35"/>
      <c r="AO192" s="34"/>
      <c r="AP192" s="36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</row>
    <row r="193" spans="2:76" s="28" customFormat="1">
      <c r="B193" s="27"/>
      <c r="D193" s="29"/>
      <c r="E193" s="30"/>
      <c r="G193" s="31"/>
      <c r="H193" s="32"/>
      <c r="I193" s="32"/>
      <c r="J193" s="32"/>
      <c r="K193" s="32"/>
      <c r="L193" s="32"/>
      <c r="O193" s="67"/>
      <c r="AI193" s="33"/>
      <c r="AJ193" s="33"/>
      <c r="AK193" s="34"/>
      <c r="AL193" s="35"/>
      <c r="AM193" s="34"/>
      <c r="AN193" s="35"/>
      <c r="AO193" s="34"/>
      <c r="AP193" s="36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</row>
    <row r="194" spans="2:76" s="28" customFormat="1">
      <c r="B194" s="27"/>
      <c r="D194" s="29"/>
      <c r="E194" s="30"/>
      <c r="G194" s="31"/>
      <c r="H194" s="32"/>
      <c r="I194" s="32"/>
      <c r="J194" s="32"/>
      <c r="K194" s="32"/>
      <c r="L194" s="32"/>
      <c r="O194" s="67"/>
      <c r="AI194" s="33"/>
      <c r="AJ194" s="33"/>
      <c r="AK194" s="34"/>
      <c r="AL194" s="35"/>
      <c r="AM194" s="34"/>
      <c r="AN194" s="35"/>
      <c r="AO194" s="34"/>
      <c r="AP194" s="36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</row>
    <row r="195" spans="2:76" s="28" customFormat="1">
      <c r="B195" s="27"/>
      <c r="D195" s="29"/>
      <c r="E195" s="30"/>
      <c r="G195" s="31"/>
      <c r="H195" s="32"/>
      <c r="I195" s="32"/>
      <c r="J195" s="32"/>
      <c r="K195" s="32"/>
      <c r="L195" s="32"/>
      <c r="O195" s="64"/>
      <c r="AI195" s="33"/>
      <c r="AJ195" s="33"/>
      <c r="AK195" s="34"/>
      <c r="AL195" s="35"/>
      <c r="AM195" s="34"/>
      <c r="AN195" s="35"/>
      <c r="AO195" s="34"/>
      <c r="AP195" s="36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</row>
    <row r="196" spans="2:76" s="28" customFormat="1">
      <c r="B196" s="27"/>
      <c r="D196" s="29"/>
      <c r="E196" s="30"/>
      <c r="G196" s="31"/>
      <c r="H196" s="32"/>
      <c r="I196" s="32"/>
      <c r="J196" s="32"/>
      <c r="K196" s="32"/>
      <c r="L196" s="32"/>
      <c r="O196" s="72"/>
      <c r="AI196" s="33"/>
      <c r="AJ196" s="33"/>
      <c r="AK196" s="34"/>
      <c r="AL196" s="35"/>
      <c r="AM196" s="34"/>
      <c r="AN196" s="35"/>
      <c r="AO196" s="34"/>
      <c r="AP196" s="36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</row>
    <row r="197" spans="2:76" s="28" customFormat="1">
      <c r="B197" s="27"/>
      <c r="D197" s="29"/>
      <c r="E197" s="30"/>
      <c r="G197" s="31"/>
      <c r="H197" s="32"/>
      <c r="I197" s="32"/>
      <c r="J197" s="32"/>
      <c r="K197" s="32"/>
      <c r="L197" s="32"/>
      <c r="O197" s="64"/>
      <c r="AI197" s="33"/>
      <c r="AJ197" s="33"/>
      <c r="AK197" s="34"/>
      <c r="AL197" s="35"/>
      <c r="AM197" s="34"/>
      <c r="AN197" s="35"/>
      <c r="AO197" s="34"/>
      <c r="AP197" s="36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</row>
    <row r="198" spans="2:76" s="28" customFormat="1">
      <c r="B198" s="27"/>
      <c r="D198" s="29"/>
      <c r="E198" s="30"/>
      <c r="G198" s="31"/>
      <c r="H198" s="32"/>
      <c r="I198" s="32"/>
      <c r="J198" s="32"/>
      <c r="K198" s="32"/>
      <c r="L198" s="32"/>
      <c r="O198" s="68"/>
      <c r="AI198" s="33"/>
      <c r="AJ198" s="33"/>
      <c r="AK198" s="34"/>
      <c r="AL198" s="35"/>
      <c r="AM198" s="34"/>
      <c r="AN198" s="35"/>
      <c r="AO198" s="34"/>
      <c r="AP198" s="36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</row>
    <row r="199" spans="2:76" s="28" customFormat="1">
      <c r="B199" s="27"/>
      <c r="D199" s="29"/>
      <c r="E199" s="30"/>
      <c r="G199" s="31"/>
      <c r="H199" s="32"/>
      <c r="I199" s="32"/>
      <c r="J199" s="32"/>
      <c r="K199" s="32"/>
      <c r="L199" s="32"/>
      <c r="O199" s="64"/>
      <c r="AI199" s="33"/>
      <c r="AJ199" s="33"/>
      <c r="AK199" s="34"/>
      <c r="AL199" s="35"/>
      <c r="AM199" s="34"/>
      <c r="AN199" s="35"/>
      <c r="AO199" s="34"/>
      <c r="AP199" s="36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</row>
    <row r="200" spans="2:76" s="28" customFormat="1">
      <c r="B200" s="27"/>
      <c r="D200" s="29"/>
      <c r="E200" s="30"/>
      <c r="G200" s="31"/>
      <c r="H200" s="32"/>
      <c r="I200" s="32"/>
      <c r="J200" s="32"/>
      <c r="K200" s="32"/>
      <c r="L200" s="32"/>
      <c r="O200" s="71"/>
      <c r="AI200" s="33"/>
      <c r="AJ200" s="33"/>
      <c r="AK200" s="34"/>
      <c r="AL200" s="35"/>
      <c r="AM200" s="34"/>
      <c r="AN200" s="35"/>
      <c r="AO200" s="34"/>
      <c r="AP200" s="36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</row>
    <row r="201" spans="2:76" s="28" customFormat="1">
      <c r="B201" s="27"/>
      <c r="D201" s="29"/>
      <c r="E201" s="30"/>
      <c r="G201" s="31"/>
      <c r="H201" s="32"/>
      <c r="I201" s="32"/>
      <c r="J201" s="32"/>
      <c r="K201" s="32"/>
      <c r="L201" s="32"/>
      <c r="O201" s="73"/>
      <c r="AI201" s="33"/>
      <c r="AJ201" s="33"/>
      <c r="AK201" s="34"/>
      <c r="AL201" s="35"/>
      <c r="AM201" s="34"/>
      <c r="AN201" s="35"/>
      <c r="AO201" s="34"/>
      <c r="AP201" s="36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</row>
    <row r="202" spans="2:76" s="28" customFormat="1">
      <c r="B202" s="27"/>
      <c r="D202" s="29"/>
      <c r="E202" s="30"/>
      <c r="G202" s="31"/>
      <c r="H202" s="32"/>
      <c r="I202" s="32"/>
      <c r="J202" s="32"/>
      <c r="K202" s="32"/>
      <c r="L202" s="32"/>
      <c r="O202" s="69"/>
      <c r="AI202" s="33"/>
      <c r="AJ202" s="33"/>
      <c r="AK202" s="34"/>
      <c r="AL202" s="35"/>
      <c r="AM202" s="34"/>
      <c r="AN202" s="35"/>
      <c r="AO202" s="34"/>
      <c r="AP202" s="36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</row>
    <row r="203" spans="2:76" s="28" customFormat="1">
      <c r="B203" s="27"/>
      <c r="D203" s="29"/>
      <c r="E203" s="30"/>
      <c r="G203" s="31"/>
      <c r="H203" s="32"/>
      <c r="I203" s="32"/>
      <c r="J203" s="32"/>
      <c r="K203" s="32"/>
      <c r="L203" s="32"/>
      <c r="O203" s="64"/>
      <c r="AI203" s="33"/>
      <c r="AJ203" s="33"/>
      <c r="AK203" s="34"/>
      <c r="AL203" s="35"/>
      <c r="AM203" s="34"/>
      <c r="AN203" s="35"/>
      <c r="AO203" s="34"/>
      <c r="AP203" s="36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</row>
    <row r="204" spans="2:76" s="28" customFormat="1">
      <c r="B204" s="27"/>
      <c r="D204" s="29"/>
      <c r="E204" s="30"/>
      <c r="G204" s="31"/>
      <c r="H204" s="32"/>
      <c r="I204" s="32"/>
      <c r="J204" s="32"/>
      <c r="K204" s="32"/>
      <c r="L204" s="32"/>
      <c r="O204" s="68"/>
      <c r="AI204" s="33"/>
      <c r="AJ204" s="33"/>
      <c r="AK204" s="34"/>
      <c r="AL204" s="35"/>
      <c r="AM204" s="34"/>
      <c r="AN204" s="35"/>
      <c r="AO204" s="34"/>
      <c r="AP204" s="36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</row>
    <row r="205" spans="2:76" s="28" customFormat="1">
      <c r="B205" s="27"/>
      <c r="D205" s="29"/>
      <c r="E205" s="30"/>
      <c r="G205" s="31"/>
      <c r="H205" s="32"/>
      <c r="I205" s="32"/>
      <c r="J205" s="32"/>
      <c r="K205" s="32"/>
      <c r="L205" s="32"/>
      <c r="O205" s="64"/>
      <c r="AI205" s="33"/>
      <c r="AJ205" s="33"/>
      <c r="AK205" s="34"/>
      <c r="AL205" s="35"/>
      <c r="AM205" s="34"/>
      <c r="AN205" s="35"/>
      <c r="AO205" s="34"/>
      <c r="AP205" s="36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</row>
    <row r="206" spans="2:76" s="28" customFormat="1">
      <c r="B206" s="27"/>
      <c r="D206" s="29"/>
      <c r="E206" s="30"/>
      <c r="G206" s="31"/>
      <c r="H206" s="32"/>
      <c r="I206" s="32"/>
      <c r="J206" s="32"/>
      <c r="K206" s="32"/>
      <c r="L206" s="32"/>
      <c r="O206" s="64"/>
      <c r="AI206" s="33"/>
      <c r="AJ206" s="33"/>
      <c r="AK206" s="34"/>
      <c r="AL206" s="35"/>
      <c r="AM206" s="34"/>
      <c r="AN206" s="35"/>
      <c r="AO206" s="34"/>
      <c r="AP206" s="36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</row>
    <row r="207" spans="2:76" s="28" customFormat="1">
      <c r="B207" s="27"/>
      <c r="D207" s="29"/>
      <c r="E207" s="30"/>
      <c r="G207" s="31"/>
      <c r="H207" s="32"/>
      <c r="I207" s="32"/>
      <c r="J207" s="32"/>
      <c r="K207" s="32"/>
      <c r="L207" s="32"/>
      <c r="O207" s="64"/>
      <c r="AI207" s="33"/>
      <c r="AJ207" s="33"/>
      <c r="AK207" s="34"/>
      <c r="AL207" s="35"/>
      <c r="AM207" s="34"/>
      <c r="AN207" s="35"/>
      <c r="AO207" s="34"/>
      <c r="AP207" s="36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</row>
    <row r="208" spans="2:76" s="28" customFormat="1">
      <c r="B208" s="27"/>
      <c r="D208" s="29"/>
      <c r="E208" s="30"/>
      <c r="G208" s="31"/>
      <c r="H208" s="32"/>
      <c r="I208" s="32"/>
      <c r="J208" s="32"/>
      <c r="K208" s="32"/>
      <c r="L208" s="32"/>
      <c r="O208" s="64"/>
      <c r="AI208" s="33"/>
      <c r="AJ208" s="33"/>
      <c r="AK208" s="34"/>
      <c r="AL208" s="35"/>
      <c r="AM208" s="34"/>
      <c r="AN208" s="35"/>
      <c r="AO208" s="34"/>
      <c r="AP208" s="36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</row>
    <row r="209" spans="2:76" s="28" customFormat="1">
      <c r="B209" s="27"/>
      <c r="D209" s="29"/>
      <c r="E209" s="30"/>
      <c r="G209" s="31"/>
      <c r="H209" s="32"/>
      <c r="I209" s="32"/>
      <c r="J209" s="32"/>
      <c r="K209" s="32"/>
      <c r="L209" s="32"/>
      <c r="O209" s="74"/>
      <c r="AI209" s="33"/>
      <c r="AJ209" s="33"/>
      <c r="AK209" s="34"/>
      <c r="AL209" s="35"/>
      <c r="AM209" s="34"/>
      <c r="AN209" s="35"/>
      <c r="AO209" s="34"/>
      <c r="AP209" s="36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</row>
    <row r="210" spans="2:76" s="28" customFormat="1">
      <c r="B210" s="27"/>
      <c r="D210" s="29"/>
      <c r="E210" s="30"/>
      <c r="G210" s="31"/>
      <c r="H210" s="32"/>
      <c r="I210" s="32"/>
      <c r="J210" s="32"/>
      <c r="K210" s="32"/>
      <c r="L210" s="32"/>
      <c r="O210" s="64"/>
      <c r="AI210" s="33"/>
      <c r="AJ210" s="33"/>
      <c r="AK210" s="34"/>
      <c r="AL210" s="35"/>
      <c r="AM210" s="34"/>
      <c r="AN210" s="35"/>
      <c r="AO210" s="34"/>
      <c r="AP210" s="36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</row>
    <row r="211" spans="2:76" s="28" customFormat="1">
      <c r="B211" s="27"/>
      <c r="D211" s="29"/>
      <c r="E211" s="30"/>
      <c r="G211" s="31"/>
      <c r="H211" s="32"/>
      <c r="I211" s="32"/>
      <c r="J211" s="32"/>
      <c r="K211" s="32"/>
      <c r="L211" s="32"/>
      <c r="O211" s="68"/>
      <c r="AI211" s="33"/>
      <c r="AJ211" s="33"/>
      <c r="AK211" s="34"/>
      <c r="AL211" s="35"/>
      <c r="AM211" s="34"/>
      <c r="AN211" s="35"/>
      <c r="AO211" s="34"/>
      <c r="AP211" s="36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</row>
    <row r="212" spans="2:76" s="28" customFormat="1">
      <c r="B212" s="27"/>
      <c r="D212" s="29"/>
      <c r="E212" s="30"/>
      <c r="G212" s="31"/>
      <c r="H212" s="32"/>
      <c r="I212" s="32"/>
      <c r="J212" s="32"/>
      <c r="K212" s="32"/>
      <c r="L212" s="32"/>
      <c r="O212" s="68"/>
      <c r="AI212" s="33"/>
      <c r="AJ212" s="33"/>
      <c r="AK212" s="34"/>
      <c r="AL212" s="35"/>
      <c r="AM212" s="34"/>
      <c r="AN212" s="35"/>
      <c r="AO212" s="34"/>
      <c r="AP212" s="36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</row>
    <row r="213" spans="2:76" s="28" customFormat="1">
      <c r="B213" s="27"/>
      <c r="D213" s="29"/>
      <c r="E213" s="30"/>
      <c r="G213" s="31"/>
      <c r="H213" s="32"/>
      <c r="I213" s="32"/>
      <c r="J213" s="32"/>
      <c r="K213" s="32"/>
      <c r="L213" s="32"/>
      <c r="O213" s="64"/>
      <c r="AI213" s="33"/>
      <c r="AJ213" s="33"/>
      <c r="AK213" s="34"/>
      <c r="AL213" s="35"/>
      <c r="AM213" s="34"/>
      <c r="AN213" s="35"/>
      <c r="AO213" s="34"/>
      <c r="AP213" s="36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</row>
    <row r="214" spans="2:76" s="28" customFormat="1">
      <c r="B214" s="27"/>
      <c r="D214" s="29"/>
      <c r="E214" s="30"/>
      <c r="G214" s="31"/>
      <c r="H214" s="32"/>
      <c r="I214" s="32"/>
      <c r="J214" s="32"/>
      <c r="K214" s="32"/>
      <c r="L214" s="32"/>
      <c r="O214" s="70"/>
      <c r="AI214" s="33"/>
      <c r="AJ214" s="33"/>
      <c r="AK214" s="34"/>
      <c r="AL214" s="35"/>
      <c r="AM214" s="34"/>
      <c r="AN214" s="35"/>
      <c r="AO214" s="34"/>
      <c r="AP214" s="36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</row>
    <row r="215" spans="2:76" s="28" customFormat="1">
      <c r="B215" s="27"/>
      <c r="D215" s="29"/>
      <c r="E215" s="30"/>
      <c r="G215" s="31"/>
      <c r="H215" s="32"/>
      <c r="I215" s="32"/>
      <c r="J215" s="32"/>
      <c r="K215" s="32"/>
      <c r="L215" s="32"/>
      <c r="O215" s="70"/>
      <c r="AI215" s="33"/>
      <c r="AJ215" s="33"/>
      <c r="AK215" s="34"/>
      <c r="AL215" s="35"/>
      <c r="AM215" s="34"/>
      <c r="AN215" s="35"/>
      <c r="AO215" s="34"/>
      <c r="AP215" s="36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</row>
    <row r="216" spans="2:76" s="28" customFormat="1">
      <c r="B216" s="27"/>
      <c r="D216" s="29"/>
      <c r="E216" s="30"/>
      <c r="G216" s="31"/>
      <c r="H216" s="32"/>
      <c r="I216" s="32"/>
      <c r="J216" s="32"/>
      <c r="K216" s="32"/>
      <c r="L216" s="32"/>
      <c r="O216" s="64"/>
      <c r="AI216" s="33"/>
      <c r="AJ216" s="33"/>
      <c r="AK216" s="34"/>
      <c r="AL216" s="35"/>
      <c r="AM216" s="34"/>
      <c r="AN216" s="35"/>
      <c r="AO216" s="34"/>
      <c r="AP216" s="36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</row>
    <row r="217" spans="2:76" s="28" customFormat="1">
      <c r="B217" s="27"/>
      <c r="D217" s="29"/>
      <c r="E217" s="30"/>
      <c r="G217" s="31"/>
      <c r="H217" s="32"/>
      <c r="I217" s="32"/>
      <c r="J217" s="32"/>
      <c r="K217" s="32"/>
      <c r="L217" s="32"/>
      <c r="O217" s="67"/>
      <c r="AI217" s="33"/>
      <c r="AJ217" s="33"/>
      <c r="AK217" s="34"/>
      <c r="AL217" s="35"/>
      <c r="AM217" s="34"/>
      <c r="AN217" s="35"/>
      <c r="AO217" s="34"/>
      <c r="AP217" s="36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</row>
    <row r="218" spans="2:76" s="28" customFormat="1">
      <c r="B218" s="27"/>
      <c r="D218" s="29"/>
      <c r="E218" s="30"/>
      <c r="G218" s="31"/>
      <c r="H218" s="32"/>
      <c r="I218" s="32"/>
      <c r="J218" s="32"/>
      <c r="K218" s="32"/>
      <c r="L218" s="32"/>
      <c r="O218" s="69"/>
      <c r="AI218" s="33"/>
      <c r="AJ218" s="33"/>
      <c r="AK218" s="34"/>
      <c r="AL218" s="35"/>
      <c r="AM218" s="34"/>
      <c r="AN218" s="35"/>
      <c r="AO218" s="34"/>
      <c r="AP218" s="36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</row>
    <row r="219" spans="2:76" s="28" customFormat="1">
      <c r="B219" s="27"/>
      <c r="D219" s="29"/>
      <c r="E219" s="30"/>
      <c r="G219" s="31"/>
      <c r="H219" s="32"/>
      <c r="I219" s="32"/>
      <c r="J219" s="32"/>
      <c r="K219" s="32"/>
      <c r="L219" s="32"/>
      <c r="O219" s="64"/>
      <c r="AI219" s="33"/>
      <c r="AJ219" s="33"/>
      <c r="AK219" s="34"/>
      <c r="AL219" s="35"/>
      <c r="AM219" s="34"/>
      <c r="AN219" s="35"/>
      <c r="AO219" s="34"/>
      <c r="AP219" s="36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</row>
    <row r="220" spans="2:76" s="28" customFormat="1">
      <c r="B220" s="27"/>
      <c r="D220" s="29"/>
      <c r="E220" s="30"/>
      <c r="G220" s="31"/>
      <c r="H220" s="32"/>
      <c r="I220" s="32"/>
      <c r="J220" s="32"/>
      <c r="K220" s="32"/>
      <c r="L220" s="32"/>
      <c r="O220" s="64"/>
      <c r="AI220" s="33"/>
      <c r="AJ220" s="33"/>
      <c r="AK220" s="34"/>
      <c r="AL220" s="35"/>
      <c r="AM220" s="34"/>
      <c r="AN220" s="35"/>
      <c r="AO220" s="34"/>
      <c r="AP220" s="36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</row>
    <row r="221" spans="2:76" s="28" customFormat="1">
      <c r="B221" s="27"/>
      <c r="D221" s="29"/>
      <c r="E221" s="30"/>
      <c r="G221" s="31"/>
      <c r="H221" s="32"/>
      <c r="I221" s="32"/>
      <c r="J221" s="32"/>
      <c r="K221" s="32"/>
      <c r="L221" s="32"/>
      <c r="O221" s="64"/>
      <c r="AI221" s="33"/>
      <c r="AJ221" s="33"/>
      <c r="AK221" s="34"/>
      <c r="AL221" s="35"/>
      <c r="AM221" s="34"/>
      <c r="AN221" s="35"/>
      <c r="AO221" s="34"/>
      <c r="AP221" s="36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</row>
    <row r="222" spans="2:76" s="28" customFormat="1">
      <c r="B222" s="27"/>
      <c r="D222" s="29"/>
      <c r="E222" s="30"/>
      <c r="G222" s="31"/>
      <c r="H222" s="32"/>
      <c r="I222" s="32"/>
      <c r="J222" s="32"/>
      <c r="K222" s="32"/>
      <c r="L222" s="32"/>
      <c r="O222" s="64"/>
      <c r="AI222" s="33"/>
      <c r="AJ222" s="33"/>
      <c r="AK222" s="34"/>
      <c r="AL222" s="35"/>
      <c r="AM222" s="34"/>
      <c r="AN222" s="35"/>
      <c r="AO222" s="34"/>
      <c r="AP222" s="36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</row>
    <row r="223" spans="2:76" s="28" customFormat="1">
      <c r="B223" s="27"/>
      <c r="D223" s="29"/>
      <c r="E223" s="30"/>
      <c r="G223" s="31"/>
      <c r="H223" s="32"/>
      <c r="I223" s="32"/>
      <c r="J223" s="32"/>
      <c r="K223" s="32"/>
      <c r="L223" s="32"/>
      <c r="O223" s="70"/>
      <c r="AI223" s="33"/>
      <c r="AJ223" s="33"/>
      <c r="AK223" s="34"/>
      <c r="AL223" s="35"/>
      <c r="AM223" s="34"/>
      <c r="AN223" s="35"/>
      <c r="AO223" s="34"/>
      <c r="AP223" s="36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</row>
    <row r="224" spans="2:76" s="28" customFormat="1">
      <c r="B224" s="27"/>
      <c r="D224" s="29"/>
      <c r="E224" s="30"/>
      <c r="G224" s="31"/>
      <c r="H224" s="32"/>
      <c r="I224" s="32"/>
      <c r="J224" s="32"/>
      <c r="K224" s="32"/>
      <c r="L224" s="32"/>
      <c r="O224" s="68"/>
      <c r="AI224" s="33"/>
      <c r="AJ224" s="33"/>
      <c r="AK224" s="34"/>
      <c r="AL224" s="35"/>
      <c r="AM224" s="34"/>
      <c r="AN224" s="35"/>
      <c r="AO224" s="34"/>
      <c r="AP224" s="36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</row>
    <row r="225" spans="2:76" s="28" customFormat="1">
      <c r="B225" s="27"/>
      <c r="D225" s="29"/>
      <c r="E225" s="30"/>
      <c r="G225" s="31"/>
      <c r="H225" s="32"/>
      <c r="I225" s="32"/>
      <c r="J225" s="32"/>
      <c r="K225" s="32"/>
      <c r="L225" s="32"/>
      <c r="O225" s="67"/>
      <c r="AI225" s="33"/>
      <c r="AJ225" s="33"/>
      <c r="AK225" s="34"/>
      <c r="AL225" s="35"/>
      <c r="AM225" s="34"/>
      <c r="AN225" s="35"/>
      <c r="AO225" s="34"/>
      <c r="AP225" s="36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</row>
    <row r="226" spans="2:76" s="28" customFormat="1">
      <c r="B226" s="27"/>
      <c r="D226" s="29"/>
      <c r="E226" s="30"/>
      <c r="G226" s="31"/>
      <c r="H226" s="32"/>
      <c r="I226" s="32"/>
      <c r="J226" s="32"/>
      <c r="K226" s="32"/>
      <c r="L226" s="32"/>
      <c r="O226" s="69"/>
      <c r="AI226" s="33"/>
      <c r="AJ226" s="33"/>
      <c r="AK226" s="34"/>
      <c r="AL226" s="35"/>
      <c r="AM226" s="34"/>
      <c r="AN226" s="35"/>
      <c r="AO226" s="34"/>
      <c r="AP226" s="36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</row>
    <row r="227" spans="2:76" s="28" customFormat="1">
      <c r="B227" s="27"/>
      <c r="D227" s="29"/>
      <c r="E227" s="30"/>
      <c r="G227" s="31"/>
      <c r="H227" s="32"/>
      <c r="I227" s="32"/>
      <c r="J227" s="32"/>
      <c r="K227" s="32"/>
      <c r="L227" s="32"/>
      <c r="O227" s="64"/>
      <c r="AI227" s="33"/>
      <c r="AJ227" s="33"/>
      <c r="AK227" s="34"/>
      <c r="AL227" s="35"/>
      <c r="AM227" s="34"/>
      <c r="AN227" s="35"/>
      <c r="AO227" s="34"/>
      <c r="AP227" s="36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</row>
    <row r="228" spans="2:76" s="28" customFormat="1">
      <c r="B228" s="27"/>
      <c r="D228" s="29"/>
      <c r="E228" s="30"/>
      <c r="G228" s="31"/>
      <c r="H228" s="32"/>
      <c r="I228" s="32"/>
      <c r="J228" s="32"/>
      <c r="K228" s="32"/>
      <c r="L228" s="32"/>
      <c r="O228" s="64"/>
      <c r="AI228" s="33"/>
      <c r="AJ228" s="33"/>
      <c r="AK228" s="34"/>
      <c r="AL228" s="35"/>
      <c r="AM228" s="34"/>
      <c r="AN228" s="35"/>
      <c r="AO228" s="34"/>
      <c r="AP228" s="36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</row>
    <row r="229" spans="2:76" s="28" customFormat="1">
      <c r="B229" s="27"/>
      <c r="D229" s="29"/>
      <c r="E229" s="30"/>
      <c r="G229" s="31"/>
      <c r="H229" s="32"/>
      <c r="I229" s="32"/>
      <c r="J229" s="32"/>
      <c r="K229" s="32"/>
      <c r="L229" s="32"/>
      <c r="O229" s="64"/>
      <c r="AI229" s="33"/>
      <c r="AJ229" s="33"/>
      <c r="AK229" s="34"/>
      <c r="AL229" s="35"/>
      <c r="AM229" s="34"/>
      <c r="AN229" s="35"/>
      <c r="AO229" s="34"/>
      <c r="AP229" s="36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</row>
    <row r="230" spans="2:76" s="28" customFormat="1">
      <c r="B230" s="27"/>
      <c r="D230" s="29"/>
      <c r="E230" s="30"/>
      <c r="G230" s="31"/>
      <c r="H230" s="32"/>
      <c r="I230" s="32"/>
      <c r="J230" s="32"/>
      <c r="K230" s="32"/>
      <c r="L230" s="32"/>
      <c r="O230" s="64"/>
      <c r="AI230" s="33"/>
      <c r="AJ230" s="33"/>
      <c r="AK230" s="34"/>
      <c r="AL230" s="35"/>
      <c r="AM230" s="34"/>
      <c r="AN230" s="35"/>
      <c r="AO230" s="34"/>
      <c r="AP230" s="36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</row>
    <row r="231" spans="2:76" s="28" customFormat="1">
      <c r="B231" s="27"/>
      <c r="D231" s="29"/>
      <c r="E231" s="30"/>
      <c r="G231" s="31"/>
      <c r="H231" s="32"/>
      <c r="I231" s="32"/>
      <c r="J231" s="32"/>
      <c r="K231" s="32"/>
      <c r="L231" s="32"/>
      <c r="O231" s="64"/>
      <c r="AI231" s="33"/>
      <c r="AJ231" s="33"/>
      <c r="AK231" s="34"/>
      <c r="AL231" s="35"/>
      <c r="AM231" s="34"/>
      <c r="AN231" s="35"/>
      <c r="AO231" s="34"/>
      <c r="AP231" s="36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</row>
    <row r="232" spans="2:76" s="28" customFormat="1">
      <c r="B232" s="27"/>
      <c r="D232" s="29"/>
      <c r="E232" s="30"/>
      <c r="G232" s="31"/>
      <c r="H232" s="32"/>
      <c r="I232" s="32"/>
      <c r="J232" s="32"/>
      <c r="K232" s="32"/>
      <c r="L232" s="32"/>
      <c r="O232" s="75"/>
      <c r="AI232" s="33"/>
      <c r="AJ232" s="33"/>
      <c r="AK232" s="34"/>
      <c r="AL232" s="35"/>
      <c r="AM232" s="34"/>
      <c r="AN232" s="35"/>
      <c r="AO232" s="34"/>
      <c r="AP232" s="36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</row>
    <row r="233" spans="2:76" s="28" customFormat="1">
      <c r="B233" s="27"/>
      <c r="D233" s="29"/>
      <c r="E233" s="30"/>
      <c r="G233" s="31"/>
      <c r="H233" s="32"/>
      <c r="I233" s="32"/>
      <c r="J233" s="32"/>
      <c r="K233" s="32"/>
      <c r="L233" s="32"/>
      <c r="O233" s="64"/>
      <c r="AI233" s="33"/>
      <c r="AJ233" s="33"/>
      <c r="AK233" s="34"/>
      <c r="AL233" s="35"/>
      <c r="AM233" s="34"/>
      <c r="AN233" s="35"/>
      <c r="AO233" s="34"/>
      <c r="AP233" s="36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</row>
    <row r="234" spans="2:76" s="28" customFormat="1">
      <c r="B234" s="27"/>
      <c r="D234" s="29"/>
      <c r="E234" s="30"/>
      <c r="G234" s="31"/>
      <c r="H234" s="32"/>
      <c r="I234" s="32"/>
      <c r="J234" s="32"/>
      <c r="K234" s="32"/>
      <c r="L234" s="32"/>
      <c r="O234" s="67"/>
      <c r="AI234" s="33"/>
      <c r="AJ234" s="33"/>
      <c r="AK234" s="34"/>
      <c r="AL234" s="35"/>
      <c r="AM234" s="34"/>
      <c r="AN234" s="35"/>
      <c r="AO234" s="34"/>
      <c r="AP234" s="36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</row>
    <row r="235" spans="2:76" s="28" customFormat="1">
      <c r="B235" s="27"/>
      <c r="D235" s="29"/>
      <c r="E235" s="30"/>
      <c r="G235" s="31"/>
      <c r="H235" s="32"/>
      <c r="I235" s="32"/>
      <c r="J235" s="32"/>
      <c r="K235" s="32"/>
      <c r="L235" s="32"/>
      <c r="O235" s="71"/>
      <c r="AI235" s="33"/>
      <c r="AJ235" s="33"/>
      <c r="AK235" s="34"/>
      <c r="AL235" s="35"/>
      <c r="AM235" s="34"/>
      <c r="AN235" s="35"/>
      <c r="AO235" s="34"/>
      <c r="AP235" s="36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</row>
    <row r="236" spans="2:76" s="28" customFormat="1">
      <c r="B236" s="27"/>
      <c r="D236" s="29"/>
      <c r="E236" s="30"/>
      <c r="G236" s="31"/>
      <c r="H236" s="32"/>
      <c r="I236" s="32"/>
      <c r="J236" s="32"/>
      <c r="K236" s="32"/>
      <c r="L236" s="32"/>
      <c r="O236" s="76"/>
      <c r="AI236" s="33"/>
      <c r="AJ236" s="33"/>
      <c r="AK236" s="34"/>
      <c r="AL236" s="35"/>
      <c r="AM236" s="34"/>
      <c r="AN236" s="35"/>
      <c r="AO236" s="34"/>
      <c r="AP236" s="36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</row>
    <row r="237" spans="2:76" s="28" customFormat="1">
      <c r="B237" s="27"/>
      <c r="D237" s="29"/>
      <c r="E237" s="30"/>
      <c r="G237" s="31"/>
      <c r="H237" s="32"/>
      <c r="I237" s="32"/>
      <c r="J237" s="32"/>
      <c r="K237" s="32"/>
      <c r="L237" s="32"/>
      <c r="O237" s="64"/>
      <c r="AI237" s="33"/>
      <c r="AJ237" s="33"/>
      <c r="AK237" s="34"/>
      <c r="AL237" s="35"/>
      <c r="AM237" s="34"/>
      <c r="AN237" s="35"/>
      <c r="AO237" s="34"/>
      <c r="AP237" s="36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</row>
    <row r="238" spans="2:76" s="28" customFormat="1">
      <c r="B238" s="27"/>
      <c r="D238" s="29"/>
      <c r="E238" s="30"/>
      <c r="G238" s="31"/>
      <c r="H238" s="32"/>
      <c r="I238" s="32"/>
      <c r="J238" s="32"/>
      <c r="K238" s="32"/>
      <c r="L238" s="32"/>
      <c r="O238" s="64"/>
      <c r="AI238" s="33"/>
      <c r="AJ238" s="33"/>
      <c r="AK238" s="34"/>
      <c r="AL238" s="35"/>
      <c r="AM238" s="34"/>
      <c r="AN238" s="35"/>
      <c r="AO238" s="34"/>
      <c r="AP238" s="36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</row>
    <row r="239" spans="2:76" s="28" customFormat="1">
      <c r="B239" s="27"/>
      <c r="D239" s="29"/>
      <c r="E239" s="30"/>
      <c r="G239" s="31"/>
      <c r="H239" s="32"/>
      <c r="I239" s="32"/>
      <c r="J239" s="32"/>
      <c r="K239" s="32"/>
      <c r="L239" s="32"/>
      <c r="O239" s="68"/>
      <c r="AI239" s="33"/>
      <c r="AJ239" s="33"/>
      <c r="AK239" s="34"/>
      <c r="AL239" s="35"/>
      <c r="AM239" s="34"/>
      <c r="AN239" s="35"/>
      <c r="AO239" s="34"/>
      <c r="AP239" s="36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</row>
    <row r="240" spans="2:76" s="28" customFormat="1">
      <c r="B240" s="27"/>
      <c r="D240" s="29"/>
      <c r="E240" s="30"/>
      <c r="G240" s="31"/>
      <c r="H240" s="32"/>
      <c r="I240" s="32"/>
      <c r="J240" s="32"/>
      <c r="K240" s="32"/>
      <c r="L240" s="32"/>
      <c r="O240" s="72"/>
      <c r="AI240" s="33"/>
      <c r="AJ240" s="33"/>
      <c r="AK240" s="34"/>
      <c r="AL240" s="35"/>
      <c r="AM240" s="34"/>
      <c r="AN240" s="35"/>
      <c r="AO240" s="34"/>
      <c r="AP240" s="36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</row>
    <row r="241" spans="2:76" s="28" customFormat="1">
      <c r="B241" s="27"/>
      <c r="D241" s="29"/>
      <c r="E241" s="30"/>
      <c r="G241" s="31"/>
      <c r="H241" s="32"/>
      <c r="I241" s="32"/>
      <c r="J241" s="32"/>
      <c r="K241" s="32"/>
      <c r="L241" s="32"/>
      <c r="O241" s="70"/>
      <c r="AI241" s="33"/>
      <c r="AJ241" s="33"/>
      <c r="AK241" s="34"/>
      <c r="AL241" s="35"/>
      <c r="AM241" s="34"/>
      <c r="AN241" s="35"/>
      <c r="AO241" s="34"/>
      <c r="AP241" s="36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</row>
    <row r="242" spans="2:76" s="28" customFormat="1">
      <c r="B242" s="27"/>
      <c r="D242" s="29"/>
      <c r="E242" s="30"/>
      <c r="G242" s="31"/>
      <c r="H242" s="32"/>
      <c r="I242" s="32"/>
      <c r="J242" s="32"/>
      <c r="K242" s="32"/>
      <c r="L242" s="32"/>
      <c r="O242" s="63"/>
      <c r="AI242" s="33"/>
      <c r="AJ242" s="33"/>
      <c r="AK242" s="34"/>
      <c r="AL242" s="35"/>
      <c r="AM242" s="34"/>
      <c r="AN242" s="35"/>
      <c r="AO242" s="34"/>
      <c r="AP242" s="36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</row>
    <row r="243" spans="2:76" s="28" customFormat="1">
      <c r="B243" s="27"/>
      <c r="D243" s="29"/>
      <c r="E243" s="30"/>
      <c r="G243" s="31"/>
      <c r="H243" s="32"/>
      <c r="I243" s="32"/>
      <c r="J243" s="32"/>
      <c r="K243" s="32"/>
      <c r="L243" s="32"/>
      <c r="O243" s="66"/>
      <c r="AI243" s="33"/>
      <c r="AJ243" s="33"/>
      <c r="AK243" s="34"/>
      <c r="AL243" s="35"/>
      <c r="AM243" s="34"/>
      <c r="AN243" s="35"/>
      <c r="AO243" s="34"/>
      <c r="AP243" s="36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</row>
    <row r="244" spans="2:76" s="28" customFormat="1">
      <c r="B244" s="27"/>
      <c r="D244" s="29"/>
      <c r="E244" s="30"/>
      <c r="G244" s="31"/>
      <c r="H244" s="32"/>
      <c r="I244" s="32"/>
      <c r="J244" s="32"/>
      <c r="K244" s="32"/>
      <c r="L244" s="32"/>
      <c r="O244" s="64"/>
      <c r="AI244" s="33"/>
      <c r="AJ244" s="33"/>
      <c r="AK244" s="34"/>
      <c r="AL244" s="35"/>
      <c r="AM244" s="34"/>
      <c r="AN244" s="35"/>
      <c r="AO244" s="34"/>
      <c r="AP244" s="36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</row>
    <row r="245" spans="2:76" s="28" customFormat="1">
      <c r="B245" s="27"/>
      <c r="D245" s="29"/>
      <c r="E245" s="30"/>
      <c r="G245" s="31"/>
      <c r="H245" s="32"/>
      <c r="I245" s="32"/>
      <c r="J245" s="32"/>
      <c r="K245" s="32"/>
      <c r="L245" s="32"/>
      <c r="O245" s="77"/>
      <c r="AI245" s="33"/>
      <c r="AJ245" s="33"/>
      <c r="AK245" s="34"/>
      <c r="AL245" s="35"/>
      <c r="AM245" s="34"/>
      <c r="AN245" s="35"/>
      <c r="AO245" s="34"/>
      <c r="AP245" s="36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</row>
    <row r="246" spans="2:76" s="28" customFormat="1">
      <c r="B246" s="27"/>
      <c r="D246" s="29"/>
      <c r="E246" s="30"/>
      <c r="G246" s="31"/>
      <c r="H246" s="32"/>
      <c r="I246" s="32"/>
      <c r="J246" s="32"/>
      <c r="K246" s="32"/>
      <c r="L246" s="32"/>
      <c r="O246" s="63"/>
      <c r="AI246" s="33"/>
      <c r="AJ246" s="33"/>
      <c r="AK246" s="34"/>
      <c r="AL246" s="35"/>
      <c r="AM246" s="34"/>
      <c r="AN246" s="35"/>
      <c r="AO246" s="34"/>
      <c r="AP246" s="36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</row>
    <row r="247" spans="2:76" s="28" customFormat="1">
      <c r="B247" s="27"/>
      <c r="D247" s="29"/>
      <c r="E247" s="30"/>
      <c r="G247" s="31"/>
      <c r="H247" s="32"/>
      <c r="I247" s="32"/>
      <c r="J247" s="32"/>
      <c r="K247" s="32"/>
      <c r="L247" s="32"/>
      <c r="O247" s="78"/>
      <c r="AI247" s="33"/>
      <c r="AJ247" s="33"/>
      <c r="AK247" s="34"/>
      <c r="AL247" s="35"/>
      <c r="AM247" s="34"/>
      <c r="AN247" s="35"/>
      <c r="AO247" s="34"/>
      <c r="AP247" s="36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</row>
    <row r="248" spans="2:76" s="28" customFormat="1">
      <c r="B248" s="27"/>
      <c r="D248" s="29"/>
      <c r="E248" s="30"/>
      <c r="G248" s="31"/>
      <c r="H248" s="32"/>
      <c r="I248" s="32"/>
      <c r="J248" s="32"/>
      <c r="K248" s="32"/>
      <c r="L248" s="32"/>
      <c r="O248" s="66"/>
      <c r="AI248" s="33"/>
      <c r="AJ248" s="33"/>
      <c r="AK248" s="34"/>
      <c r="AL248" s="35"/>
      <c r="AM248" s="34"/>
      <c r="AN248" s="35"/>
      <c r="AO248" s="34"/>
      <c r="AP248" s="36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</row>
    <row r="249" spans="2:76" s="28" customFormat="1">
      <c r="B249" s="27"/>
      <c r="D249" s="29"/>
      <c r="E249" s="30"/>
      <c r="G249" s="31"/>
      <c r="H249" s="32"/>
      <c r="I249" s="32"/>
      <c r="J249" s="32"/>
      <c r="K249" s="32"/>
      <c r="L249" s="32"/>
      <c r="O249" s="63"/>
      <c r="AI249" s="33"/>
      <c r="AJ249" s="33"/>
      <c r="AK249" s="34"/>
      <c r="AL249" s="35"/>
      <c r="AM249" s="34"/>
      <c r="AN249" s="35"/>
      <c r="AO249" s="34"/>
      <c r="AP249" s="36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</row>
    <row r="250" spans="2:76" s="28" customFormat="1">
      <c r="B250" s="27"/>
      <c r="D250" s="29"/>
      <c r="E250" s="30"/>
      <c r="G250" s="31"/>
      <c r="H250" s="32"/>
      <c r="I250" s="32"/>
      <c r="J250" s="32"/>
      <c r="K250" s="32"/>
      <c r="L250" s="32"/>
      <c r="O250" s="64"/>
      <c r="AI250" s="33"/>
      <c r="AJ250" s="33"/>
      <c r="AK250" s="34"/>
      <c r="AL250" s="35"/>
      <c r="AM250" s="34"/>
      <c r="AN250" s="35"/>
      <c r="AO250" s="34"/>
      <c r="AP250" s="36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</row>
    <row r="251" spans="2:76" s="28" customFormat="1">
      <c r="B251" s="27"/>
      <c r="D251" s="29"/>
      <c r="E251" s="30"/>
      <c r="G251" s="31"/>
      <c r="H251" s="32"/>
      <c r="I251" s="32"/>
      <c r="J251" s="32"/>
      <c r="K251" s="32"/>
      <c r="L251" s="32"/>
      <c r="O251" s="64"/>
      <c r="AI251" s="33"/>
      <c r="AJ251" s="33"/>
      <c r="AK251" s="34"/>
      <c r="AL251" s="35"/>
      <c r="AM251" s="34"/>
      <c r="AN251" s="35"/>
      <c r="AO251" s="34"/>
      <c r="AP251" s="36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</row>
    <row r="252" spans="2:76" s="28" customFormat="1">
      <c r="B252" s="27"/>
      <c r="D252" s="29"/>
      <c r="E252" s="30"/>
      <c r="G252" s="31"/>
      <c r="H252" s="32"/>
      <c r="I252" s="32"/>
      <c r="J252" s="32"/>
      <c r="K252" s="32"/>
      <c r="L252" s="32"/>
      <c r="O252" s="64"/>
      <c r="AI252" s="33"/>
      <c r="AJ252" s="33"/>
      <c r="AK252" s="34"/>
      <c r="AL252" s="35"/>
      <c r="AM252" s="34"/>
      <c r="AN252" s="35"/>
      <c r="AO252" s="34"/>
      <c r="AP252" s="36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</row>
    <row r="253" spans="2:76" s="28" customFormat="1">
      <c r="B253" s="27"/>
      <c r="D253" s="29"/>
      <c r="E253" s="30"/>
      <c r="G253" s="31"/>
      <c r="H253" s="32"/>
      <c r="I253" s="32"/>
      <c r="J253" s="32"/>
      <c r="K253" s="32"/>
      <c r="L253" s="32"/>
      <c r="O253" s="64"/>
      <c r="AI253" s="33"/>
      <c r="AJ253" s="33"/>
      <c r="AK253" s="34"/>
      <c r="AL253" s="35"/>
      <c r="AM253" s="34"/>
      <c r="AN253" s="35"/>
      <c r="AO253" s="34"/>
      <c r="AP253" s="36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</row>
    <row r="254" spans="2:76" s="28" customFormat="1">
      <c r="B254" s="27"/>
      <c r="D254" s="29"/>
      <c r="E254" s="30"/>
      <c r="G254" s="31"/>
      <c r="H254" s="32"/>
      <c r="I254" s="32"/>
      <c r="J254" s="32"/>
      <c r="K254" s="32"/>
      <c r="L254" s="32"/>
      <c r="O254" s="65"/>
      <c r="AI254" s="33"/>
      <c r="AJ254" s="33"/>
      <c r="AK254" s="34"/>
      <c r="AL254" s="35"/>
      <c r="AM254" s="34"/>
      <c r="AN254" s="35"/>
      <c r="AO254" s="34"/>
      <c r="AP254" s="36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</row>
    <row r="255" spans="2:76" s="28" customFormat="1">
      <c r="B255" s="27"/>
      <c r="D255" s="29"/>
      <c r="E255" s="30"/>
      <c r="G255" s="31"/>
      <c r="H255" s="32"/>
      <c r="I255" s="32"/>
      <c r="J255" s="32"/>
      <c r="K255" s="32"/>
      <c r="L255" s="32"/>
      <c r="O255" s="67"/>
      <c r="AI255" s="33"/>
      <c r="AJ255" s="33"/>
      <c r="AK255" s="34"/>
      <c r="AL255" s="35"/>
      <c r="AM255" s="34"/>
      <c r="AN255" s="35"/>
      <c r="AO255" s="34"/>
      <c r="AP255" s="36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</row>
    <row r="256" spans="2:76" s="28" customFormat="1">
      <c r="B256" s="27"/>
      <c r="D256" s="29"/>
      <c r="E256" s="30"/>
      <c r="G256" s="31"/>
      <c r="H256" s="32"/>
      <c r="I256" s="32"/>
      <c r="J256" s="32"/>
      <c r="K256" s="32"/>
      <c r="L256" s="32"/>
      <c r="O256" s="64"/>
      <c r="AI256" s="33"/>
      <c r="AJ256" s="33"/>
      <c r="AK256" s="34"/>
      <c r="AL256" s="35"/>
      <c r="AM256" s="34"/>
      <c r="AN256" s="35"/>
      <c r="AO256" s="34"/>
      <c r="AP256" s="36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</row>
    <row r="257" spans="2:76" s="28" customFormat="1">
      <c r="B257" s="27"/>
      <c r="D257" s="29"/>
      <c r="E257" s="30"/>
      <c r="G257" s="31"/>
      <c r="H257" s="32"/>
      <c r="I257" s="32"/>
      <c r="J257" s="32"/>
      <c r="K257" s="32"/>
      <c r="L257" s="32"/>
      <c r="O257" s="64"/>
      <c r="AI257" s="33"/>
      <c r="AJ257" s="33"/>
      <c r="AK257" s="34"/>
      <c r="AL257" s="35"/>
      <c r="AM257" s="34"/>
      <c r="AN257" s="35"/>
      <c r="AO257" s="34"/>
      <c r="AP257" s="36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</row>
    <row r="258" spans="2:76" s="28" customFormat="1">
      <c r="B258" s="27"/>
      <c r="D258" s="29"/>
      <c r="E258" s="30"/>
      <c r="G258" s="31"/>
      <c r="H258" s="32"/>
      <c r="I258" s="32"/>
      <c r="J258" s="32"/>
      <c r="K258" s="32"/>
      <c r="L258" s="32"/>
      <c r="O258" s="70"/>
      <c r="AI258" s="33"/>
      <c r="AJ258" s="33"/>
      <c r="AK258" s="34"/>
      <c r="AL258" s="35"/>
      <c r="AM258" s="34"/>
      <c r="AN258" s="35"/>
      <c r="AO258" s="34"/>
      <c r="AP258" s="36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</row>
    <row r="259" spans="2:76" s="28" customFormat="1">
      <c r="B259" s="27"/>
      <c r="D259" s="29"/>
      <c r="E259" s="30"/>
      <c r="G259" s="31"/>
      <c r="H259" s="32"/>
      <c r="I259" s="32"/>
      <c r="J259" s="32"/>
      <c r="K259" s="32"/>
      <c r="L259" s="32"/>
      <c r="O259" s="68"/>
      <c r="AI259" s="33"/>
      <c r="AJ259" s="33"/>
      <c r="AK259" s="34"/>
      <c r="AL259" s="35"/>
      <c r="AM259" s="34"/>
      <c r="AN259" s="35"/>
      <c r="AO259" s="34"/>
      <c r="AP259" s="36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</row>
    <row r="260" spans="2:76" s="28" customFormat="1">
      <c r="B260" s="27"/>
      <c r="D260" s="29"/>
      <c r="E260" s="30"/>
      <c r="G260" s="31"/>
      <c r="H260" s="32"/>
      <c r="I260" s="32"/>
      <c r="J260" s="32"/>
      <c r="K260" s="32"/>
      <c r="L260" s="32"/>
      <c r="O260" s="67"/>
      <c r="AI260" s="33"/>
      <c r="AJ260" s="33"/>
      <c r="AK260" s="34"/>
      <c r="AL260" s="35"/>
      <c r="AM260" s="34"/>
      <c r="AN260" s="35"/>
      <c r="AO260" s="34"/>
      <c r="AP260" s="36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</row>
    <row r="261" spans="2:76" s="28" customFormat="1">
      <c r="B261" s="27"/>
      <c r="D261" s="29"/>
      <c r="E261" s="30"/>
      <c r="G261" s="31"/>
      <c r="H261" s="32"/>
      <c r="I261" s="32"/>
      <c r="J261" s="32"/>
      <c r="K261" s="32"/>
      <c r="L261" s="32"/>
      <c r="O261" s="64"/>
      <c r="AI261" s="33"/>
      <c r="AJ261" s="33"/>
      <c r="AK261" s="34"/>
      <c r="AL261" s="35"/>
      <c r="AM261" s="34"/>
      <c r="AN261" s="35"/>
      <c r="AO261" s="34"/>
      <c r="AP261" s="36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</row>
    <row r="262" spans="2:76" s="28" customFormat="1">
      <c r="B262" s="27"/>
      <c r="D262" s="29"/>
      <c r="E262" s="30"/>
      <c r="G262" s="31"/>
      <c r="H262" s="32"/>
      <c r="I262" s="32"/>
      <c r="J262" s="32"/>
      <c r="K262" s="32"/>
      <c r="L262" s="32"/>
      <c r="O262" s="75"/>
      <c r="AI262" s="33"/>
      <c r="AJ262" s="33"/>
      <c r="AK262" s="34"/>
      <c r="AL262" s="35"/>
      <c r="AM262" s="34"/>
      <c r="AN262" s="35"/>
      <c r="AO262" s="34"/>
      <c r="AP262" s="36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</row>
    <row r="263" spans="2:76" s="28" customFormat="1">
      <c r="B263" s="27"/>
      <c r="D263" s="29"/>
      <c r="E263" s="30"/>
      <c r="G263" s="31"/>
      <c r="H263" s="32"/>
      <c r="I263" s="32"/>
      <c r="J263" s="32"/>
      <c r="K263" s="32"/>
      <c r="L263" s="32"/>
      <c r="O263" s="68"/>
      <c r="AI263" s="33"/>
      <c r="AJ263" s="33"/>
      <c r="AK263" s="34"/>
      <c r="AL263" s="35"/>
      <c r="AM263" s="34"/>
      <c r="AN263" s="35"/>
      <c r="AO263" s="34"/>
      <c r="AP263" s="36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</row>
    <row r="264" spans="2:76" s="28" customFormat="1">
      <c r="B264" s="27"/>
      <c r="D264" s="29"/>
      <c r="E264" s="30"/>
      <c r="G264" s="31"/>
      <c r="H264" s="32"/>
      <c r="I264" s="32"/>
      <c r="J264" s="32"/>
      <c r="K264" s="32"/>
      <c r="L264" s="32"/>
      <c r="O264" s="64"/>
      <c r="AI264" s="33"/>
      <c r="AJ264" s="33"/>
      <c r="AK264" s="34"/>
      <c r="AL264" s="35"/>
      <c r="AM264" s="34"/>
      <c r="AN264" s="35"/>
      <c r="AO264" s="34"/>
      <c r="AP264" s="36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</row>
    <row r="265" spans="2:76" s="28" customFormat="1">
      <c r="B265" s="27"/>
      <c r="D265" s="29"/>
      <c r="E265" s="30"/>
      <c r="G265" s="31"/>
      <c r="H265" s="32"/>
      <c r="I265" s="32"/>
      <c r="J265" s="32"/>
      <c r="K265" s="32"/>
      <c r="L265" s="32"/>
      <c r="O265" s="65"/>
      <c r="AI265" s="33"/>
      <c r="AJ265" s="33"/>
      <c r="AK265" s="34"/>
      <c r="AL265" s="35"/>
      <c r="AM265" s="34"/>
      <c r="AN265" s="35"/>
      <c r="AO265" s="34"/>
      <c r="AP265" s="36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</row>
    <row r="266" spans="2:76" s="28" customFormat="1">
      <c r="B266" s="27"/>
      <c r="D266" s="29"/>
      <c r="E266" s="30"/>
      <c r="G266" s="31"/>
      <c r="H266" s="32"/>
      <c r="I266" s="32"/>
      <c r="J266" s="32"/>
      <c r="K266" s="32"/>
      <c r="L266" s="32"/>
      <c r="O266" s="68"/>
      <c r="AI266" s="33"/>
      <c r="AJ266" s="33"/>
      <c r="AK266" s="34"/>
      <c r="AL266" s="35"/>
      <c r="AM266" s="34"/>
      <c r="AN266" s="35"/>
      <c r="AO266" s="34"/>
      <c r="AP266" s="36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</row>
    <row r="267" spans="2:76" s="28" customFormat="1">
      <c r="B267" s="27"/>
      <c r="D267" s="29"/>
      <c r="E267" s="30"/>
      <c r="G267" s="31"/>
      <c r="H267" s="32"/>
      <c r="I267" s="32"/>
      <c r="J267" s="32"/>
      <c r="K267" s="32"/>
      <c r="L267" s="32"/>
      <c r="O267" s="79"/>
      <c r="AI267" s="33"/>
      <c r="AJ267" s="33"/>
      <c r="AK267" s="34"/>
      <c r="AL267" s="35"/>
      <c r="AM267" s="34"/>
      <c r="AN267" s="35"/>
      <c r="AO267" s="34"/>
      <c r="AP267" s="36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</row>
    <row r="268" spans="2:76" s="28" customFormat="1">
      <c r="B268" s="27"/>
      <c r="D268" s="29"/>
      <c r="E268" s="30"/>
      <c r="G268" s="31"/>
      <c r="H268" s="32"/>
      <c r="I268" s="32"/>
      <c r="J268" s="32"/>
      <c r="K268" s="32"/>
      <c r="L268" s="32"/>
      <c r="O268" s="68"/>
      <c r="AI268" s="33"/>
      <c r="AJ268" s="33"/>
      <c r="AK268" s="34"/>
      <c r="AL268" s="35"/>
      <c r="AM268" s="34"/>
      <c r="AN268" s="35"/>
      <c r="AO268" s="34"/>
      <c r="AP268" s="36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</row>
    <row r="269" spans="2:76" s="28" customFormat="1">
      <c r="B269" s="27"/>
      <c r="D269" s="29"/>
      <c r="E269" s="30"/>
      <c r="G269" s="31"/>
      <c r="H269" s="32"/>
      <c r="I269" s="32"/>
      <c r="J269" s="32"/>
      <c r="K269" s="32"/>
      <c r="L269" s="32"/>
      <c r="O269" s="64"/>
      <c r="AI269" s="33"/>
      <c r="AJ269" s="33"/>
      <c r="AK269" s="34"/>
      <c r="AL269" s="35"/>
      <c r="AM269" s="34"/>
      <c r="AN269" s="35"/>
      <c r="AO269" s="34"/>
      <c r="AP269" s="36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</row>
    <row r="270" spans="2:76" s="28" customFormat="1">
      <c r="B270" s="27"/>
      <c r="D270" s="29"/>
      <c r="E270" s="30"/>
      <c r="G270" s="31"/>
      <c r="H270" s="32"/>
      <c r="I270" s="32"/>
      <c r="J270" s="32"/>
      <c r="K270" s="32"/>
      <c r="L270" s="32"/>
      <c r="O270" s="79"/>
      <c r="AI270" s="33"/>
      <c r="AJ270" s="33"/>
      <c r="AK270" s="34"/>
      <c r="AL270" s="35"/>
      <c r="AM270" s="34"/>
      <c r="AN270" s="35"/>
      <c r="AO270" s="34"/>
      <c r="AP270" s="36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</row>
    <row r="271" spans="2:76" s="28" customFormat="1">
      <c r="B271" s="27"/>
      <c r="D271" s="29"/>
      <c r="E271" s="30"/>
      <c r="G271" s="31"/>
      <c r="H271" s="32"/>
      <c r="I271" s="32"/>
      <c r="J271" s="32"/>
      <c r="K271" s="32"/>
      <c r="L271" s="32"/>
      <c r="O271" s="64"/>
      <c r="AI271" s="33"/>
      <c r="AJ271" s="33"/>
      <c r="AK271" s="34"/>
      <c r="AL271" s="35"/>
      <c r="AM271" s="34"/>
      <c r="AN271" s="35"/>
      <c r="AO271" s="34"/>
      <c r="AP271" s="36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</row>
    <row r="272" spans="2:76" s="28" customFormat="1">
      <c r="B272" s="27"/>
      <c r="D272" s="29"/>
      <c r="E272" s="30"/>
      <c r="G272" s="31"/>
      <c r="H272" s="32"/>
      <c r="I272" s="32"/>
      <c r="J272" s="32"/>
      <c r="K272" s="32"/>
      <c r="L272" s="32"/>
      <c r="O272" s="67"/>
      <c r="AI272" s="33"/>
      <c r="AJ272" s="33"/>
      <c r="AK272" s="34"/>
      <c r="AL272" s="35"/>
      <c r="AM272" s="34"/>
      <c r="AN272" s="35"/>
      <c r="AO272" s="34"/>
      <c r="AP272" s="36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</row>
    <row r="273" spans="2:76" s="28" customFormat="1">
      <c r="B273" s="27"/>
      <c r="D273" s="29"/>
      <c r="E273" s="30"/>
      <c r="G273" s="31"/>
      <c r="H273" s="32"/>
      <c r="I273" s="32"/>
      <c r="J273" s="32"/>
      <c r="K273" s="32"/>
      <c r="L273" s="32"/>
      <c r="O273" s="74"/>
      <c r="AI273" s="33"/>
      <c r="AJ273" s="33"/>
      <c r="AK273" s="34"/>
      <c r="AL273" s="35"/>
      <c r="AM273" s="34"/>
      <c r="AN273" s="35"/>
      <c r="AO273" s="34"/>
      <c r="AP273" s="36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</row>
    <row r="274" spans="2:76" s="28" customFormat="1">
      <c r="B274" s="27"/>
      <c r="D274" s="29"/>
      <c r="E274" s="30"/>
      <c r="G274" s="31"/>
      <c r="H274" s="32"/>
      <c r="I274" s="32"/>
      <c r="J274" s="32"/>
      <c r="K274" s="32"/>
      <c r="L274" s="32"/>
      <c r="O274" s="68"/>
      <c r="AI274" s="33"/>
      <c r="AJ274" s="33"/>
      <c r="AK274" s="34"/>
      <c r="AL274" s="35"/>
      <c r="AM274" s="34"/>
      <c r="AN274" s="35"/>
      <c r="AO274" s="34"/>
      <c r="AP274" s="36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</row>
    <row r="275" spans="2:76" s="28" customFormat="1">
      <c r="B275" s="27"/>
      <c r="D275" s="29"/>
      <c r="E275" s="30"/>
      <c r="G275" s="31"/>
      <c r="H275" s="32"/>
      <c r="I275" s="32"/>
      <c r="J275" s="32"/>
      <c r="K275" s="32"/>
      <c r="L275" s="32"/>
      <c r="O275" s="66"/>
      <c r="AI275" s="33"/>
      <c r="AJ275" s="33"/>
      <c r="AK275" s="34"/>
      <c r="AL275" s="35"/>
      <c r="AM275" s="34"/>
      <c r="AN275" s="35"/>
      <c r="AO275" s="34"/>
      <c r="AP275" s="36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</row>
    <row r="276" spans="2:76" s="28" customFormat="1">
      <c r="B276" s="27"/>
      <c r="D276" s="29"/>
      <c r="E276" s="30"/>
      <c r="G276" s="31"/>
      <c r="H276" s="32"/>
      <c r="I276" s="32"/>
      <c r="J276" s="32"/>
      <c r="K276" s="32"/>
      <c r="L276" s="32"/>
      <c r="O276" s="64"/>
      <c r="AI276" s="33"/>
      <c r="AJ276" s="33"/>
      <c r="AK276" s="34"/>
      <c r="AL276" s="35"/>
      <c r="AM276" s="34"/>
      <c r="AN276" s="35"/>
      <c r="AO276" s="34"/>
      <c r="AP276" s="36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</row>
    <row r="277" spans="2:76" s="28" customFormat="1">
      <c r="B277" s="27"/>
      <c r="D277" s="29"/>
      <c r="E277" s="30"/>
      <c r="G277" s="31"/>
      <c r="H277" s="32"/>
      <c r="I277" s="32"/>
      <c r="J277" s="32"/>
      <c r="K277" s="32"/>
      <c r="L277" s="32"/>
      <c r="O277" s="63"/>
      <c r="AI277" s="33"/>
      <c r="AJ277" s="33"/>
      <c r="AK277" s="34"/>
      <c r="AL277" s="35"/>
      <c r="AM277" s="34"/>
      <c r="AN277" s="35"/>
      <c r="AO277" s="34"/>
      <c r="AP277" s="36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</row>
    <row r="278" spans="2:76" s="28" customFormat="1">
      <c r="B278" s="27"/>
      <c r="D278" s="29"/>
      <c r="E278" s="30"/>
      <c r="G278" s="31"/>
      <c r="H278" s="32"/>
      <c r="I278" s="32"/>
      <c r="J278" s="32"/>
      <c r="K278" s="32"/>
      <c r="L278" s="32"/>
      <c r="O278" s="64"/>
      <c r="AI278" s="33"/>
      <c r="AJ278" s="33"/>
      <c r="AK278" s="34"/>
      <c r="AL278" s="35"/>
      <c r="AM278" s="34"/>
      <c r="AN278" s="35"/>
      <c r="AO278" s="34"/>
      <c r="AP278" s="36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</row>
    <row r="279" spans="2:76" s="28" customFormat="1">
      <c r="B279" s="27"/>
      <c r="D279" s="29"/>
      <c r="E279" s="30"/>
      <c r="G279" s="31"/>
      <c r="H279" s="32"/>
      <c r="I279" s="32"/>
      <c r="J279" s="32"/>
      <c r="K279" s="32"/>
      <c r="L279" s="32"/>
      <c r="O279" s="64"/>
      <c r="AI279" s="33"/>
      <c r="AJ279" s="33"/>
      <c r="AK279" s="34"/>
      <c r="AL279" s="35"/>
      <c r="AM279" s="34"/>
      <c r="AN279" s="35"/>
      <c r="AO279" s="34"/>
      <c r="AP279" s="36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</row>
    <row r="280" spans="2:76" s="28" customFormat="1">
      <c r="B280" s="27"/>
      <c r="D280" s="29"/>
      <c r="E280" s="30"/>
      <c r="G280" s="31"/>
      <c r="H280" s="32"/>
      <c r="I280" s="32"/>
      <c r="J280" s="32"/>
      <c r="K280" s="32"/>
      <c r="L280" s="32"/>
      <c r="O280" s="63"/>
      <c r="AI280" s="33"/>
      <c r="AJ280" s="33"/>
      <c r="AK280" s="34"/>
      <c r="AL280" s="35"/>
      <c r="AM280" s="34"/>
      <c r="AN280" s="35"/>
      <c r="AO280" s="34"/>
      <c r="AP280" s="36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</row>
    <row r="281" spans="2:76" s="28" customFormat="1">
      <c r="B281" s="27"/>
      <c r="D281" s="29"/>
      <c r="E281" s="30"/>
      <c r="G281" s="31"/>
      <c r="H281" s="32"/>
      <c r="I281" s="32"/>
      <c r="J281" s="32"/>
      <c r="K281" s="32"/>
      <c r="L281" s="32"/>
      <c r="O281" s="69"/>
      <c r="AI281" s="33"/>
      <c r="AJ281" s="33"/>
      <c r="AK281" s="34"/>
      <c r="AL281" s="35"/>
      <c r="AM281" s="34"/>
      <c r="AN281" s="35"/>
      <c r="AO281" s="34"/>
      <c r="AP281" s="36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</row>
    <row r="282" spans="2:76" s="28" customFormat="1">
      <c r="B282" s="27"/>
      <c r="D282" s="29"/>
      <c r="E282" s="30"/>
      <c r="G282" s="31"/>
      <c r="H282" s="32"/>
      <c r="I282" s="32"/>
      <c r="J282" s="32"/>
      <c r="K282" s="32"/>
      <c r="L282" s="32"/>
      <c r="O282" s="64"/>
      <c r="AI282" s="33"/>
      <c r="AJ282" s="33"/>
      <c r="AK282" s="34"/>
      <c r="AL282" s="35"/>
      <c r="AM282" s="34"/>
      <c r="AN282" s="35"/>
      <c r="AO282" s="34"/>
      <c r="AP282" s="36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</row>
    <row r="283" spans="2:76" s="28" customFormat="1">
      <c r="B283" s="27"/>
      <c r="D283" s="29"/>
      <c r="E283" s="30"/>
      <c r="G283" s="31"/>
      <c r="H283" s="32"/>
      <c r="I283" s="32"/>
      <c r="J283" s="32"/>
      <c r="K283" s="32"/>
      <c r="L283" s="32"/>
      <c r="O283" s="64"/>
      <c r="AI283" s="33"/>
      <c r="AJ283" s="33"/>
      <c r="AK283" s="34"/>
      <c r="AL283" s="35"/>
      <c r="AM283" s="34"/>
      <c r="AN283" s="35"/>
      <c r="AO283" s="34"/>
      <c r="AP283" s="36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</row>
    <row r="284" spans="2:76" s="28" customFormat="1">
      <c r="B284" s="27"/>
      <c r="D284" s="29"/>
      <c r="E284" s="30"/>
      <c r="G284" s="31"/>
      <c r="H284" s="32"/>
      <c r="I284" s="32"/>
      <c r="J284" s="32"/>
      <c r="K284" s="32"/>
      <c r="L284" s="32"/>
      <c r="O284" s="64"/>
      <c r="AI284" s="33"/>
      <c r="AJ284" s="33"/>
      <c r="AK284" s="34"/>
      <c r="AL284" s="35"/>
      <c r="AM284" s="34"/>
      <c r="AN284" s="35"/>
      <c r="AO284" s="34"/>
      <c r="AP284" s="36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</row>
    <row r="285" spans="2:76" s="28" customFormat="1">
      <c r="B285" s="27"/>
      <c r="D285" s="29"/>
      <c r="E285" s="30"/>
      <c r="G285" s="31"/>
      <c r="H285" s="32"/>
      <c r="I285" s="32"/>
      <c r="J285" s="32"/>
      <c r="K285" s="32"/>
      <c r="L285" s="32"/>
      <c r="O285" s="68"/>
      <c r="AI285" s="33"/>
      <c r="AJ285" s="33"/>
      <c r="AK285" s="34"/>
      <c r="AL285" s="35"/>
      <c r="AM285" s="34"/>
      <c r="AN285" s="35"/>
      <c r="AO285" s="34"/>
      <c r="AP285" s="36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</row>
    <row r="286" spans="2:76" s="28" customFormat="1">
      <c r="B286" s="27"/>
      <c r="D286" s="29"/>
      <c r="E286" s="30"/>
      <c r="G286" s="31"/>
      <c r="H286" s="32"/>
      <c r="I286" s="32"/>
      <c r="J286" s="32"/>
      <c r="K286" s="32"/>
      <c r="L286" s="32"/>
      <c r="O286" s="63"/>
      <c r="AI286" s="33"/>
      <c r="AJ286" s="33"/>
      <c r="AK286" s="34"/>
      <c r="AL286" s="35"/>
      <c r="AM286" s="34"/>
      <c r="AN286" s="35"/>
      <c r="AO286" s="34"/>
      <c r="AP286" s="36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</row>
    <row r="287" spans="2:76" s="28" customFormat="1">
      <c r="B287" s="27"/>
      <c r="D287" s="29"/>
      <c r="E287" s="30"/>
      <c r="G287" s="31"/>
      <c r="H287" s="32"/>
      <c r="I287" s="32"/>
      <c r="J287" s="32"/>
      <c r="K287" s="32"/>
      <c r="L287" s="32"/>
      <c r="O287" s="66"/>
      <c r="AI287" s="33"/>
      <c r="AJ287" s="33"/>
      <c r="AK287" s="34"/>
      <c r="AL287" s="35"/>
      <c r="AM287" s="34"/>
      <c r="AN287" s="35"/>
      <c r="AO287" s="34"/>
      <c r="AP287" s="36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</row>
    <row r="288" spans="2:76" s="28" customFormat="1">
      <c r="B288" s="27"/>
      <c r="D288" s="29"/>
      <c r="E288" s="30"/>
      <c r="G288" s="31"/>
      <c r="H288" s="32"/>
      <c r="I288" s="32"/>
      <c r="J288" s="32"/>
      <c r="K288" s="32"/>
      <c r="L288" s="32"/>
      <c r="O288" s="64"/>
      <c r="AI288" s="33"/>
      <c r="AJ288" s="33"/>
      <c r="AK288" s="34"/>
      <c r="AL288" s="35"/>
      <c r="AM288" s="34"/>
      <c r="AN288" s="35"/>
      <c r="AO288" s="34"/>
      <c r="AP288" s="36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</row>
    <row r="289" spans="2:76" s="28" customFormat="1">
      <c r="B289" s="27"/>
      <c r="D289" s="29"/>
      <c r="E289" s="30"/>
      <c r="G289" s="31"/>
      <c r="H289" s="32"/>
      <c r="I289" s="32"/>
      <c r="J289" s="32"/>
      <c r="K289" s="32"/>
      <c r="L289" s="32"/>
      <c r="O289" s="64"/>
      <c r="AI289" s="33"/>
      <c r="AJ289" s="33"/>
      <c r="AK289" s="34"/>
      <c r="AL289" s="35"/>
      <c r="AM289" s="34"/>
      <c r="AN289" s="35"/>
      <c r="AO289" s="34"/>
      <c r="AP289" s="36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</row>
    <row r="290" spans="2:76" s="28" customFormat="1">
      <c r="B290" s="27"/>
      <c r="D290" s="29"/>
      <c r="E290" s="30"/>
      <c r="G290" s="31"/>
      <c r="H290" s="32"/>
      <c r="I290" s="32"/>
      <c r="J290" s="32"/>
      <c r="K290" s="32"/>
      <c r="L290" s="32"/>
      <c r="O290" s="64"/>
      <c r="AI290" s="33"/>
      <c r="AJ290" s="33"/>
      <c r="AK290" s="34"/>
      <c r="AL290" s="35"/>
      <c r="AM290" s="34"/>
      <c r="AN290" s="35"/>
      <c r="AO290" s="34"/>
      <c r="AP290" s="36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</row>
    <row r="291" spans="2:76" s="28" customFormat="1">
      <c r="B291" s="27"/>
      <c r="D291" s="29"/>
      <c r="E291" s="30"/>
      <c r="G291" s="31"/>
      <c r="H291" s="32"/>
      <c r="I291" s="32"/>
      <c r="J291" s="32"/>
      <c r="K291" s="32"/>
      <c r="L291" s="32"/>
      <c r="O291" s="64"/>
      <c r="AI291" s="33"/>
      <c r="AJ291" s="33"/>
      <c r="AK291" s="34"/>
      <c r="AL291" s="35"/>
      <c r="AM291" s="34"/>
      <c r="AN291" s="35"/>
      <c r="AO291" s="34"/>
      <c r="AP291" s="36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</row>
    <row r="292" spans="2:76" s="28" customFormat="1">
      <c r="B292" s="27"/>
      <c r="D292" s="29"/>
      <c r="E292" s="30"/>
      <c r="G292" s="31"/>
      <c r="H292" s="32"/>
      <c r="I292" s="32"/>
      <c r="J292" s="32"/>
      <c r="K292" s="32"/>
      <c r="L292" s="32"/>
      <c r="O292" s="80"/>
      <c r="AI292" s="33"/>
      <c r="AJ292" s="33"/>
      <c r="AK292" s="34"/>
      <c r="AL292" s="35"/>
      <c r="AM292" s="34"/>
      <c r="AN292" s="35"/>
      <c r="AO292" s="34"/>
      <c r="AP292" s="36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</row>
    <row r="293" spans="2:76" s="28" customFormat="1">
      <c r="B293" s="27"/>
      <c r="D293" s="29"/>
      <c r="E293" s="30"/>
      <c r="G293" s="31"/>
      <c r="H293" s="32"/>
      <c r="I293" s="32"/>
      <c r="J293" s="32"/>
      <c r="K293" s="32"/>
      <c r="L293" s="32"/>
      <c r="O293" s="64"/>
      <c r="AI293" s="33"/>
      <c r="AJ293" s="33"/>
      <c r="AK293" s="34"/>
      <c r="AL293" s="35"/>
      <c r="AM293" s="34"/>
      <c r="AN293" s="35"/>
      <c r="AO293" s="34"/>
      <c r="AP293" s="36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</row>
    <row r="294" spans="2:76" s="28" customFormat="1">
      <c r="B294" s="27"/>
      <c r="D294" s="29"/>
      <c r="E294" s="30"/>
      <c r="G294" s="31"/>
      <c r="H294" s="32"/>
      <c r="I294" s="32"/>
      <c r="J294" s="32"/>
      <c r="K294" s="32"/>
      <c r="L294" s="32"/>
      <c r="O294" s="64"/>
      <c r="AI294" s="33"/>
      <c r="AJ294" s="33"/>
      <c r="AK294" s="34"/>
      <c r="AL294" s="35"/>
      <c r="AM294" s="34"/>
      <c r="AN294" s="35"/>
      <c r="AO294" s="34"/>
      <c r="AP294" s="36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</row>
    <row r="295" spans="2:76" s="28" customFormat="1">
      <c r="B295" s="27"/>
      <c r="D295" s="29"/>
      <c r="E295" s="30"/>
      <c r="G295" s="31"/>
      <c r="H295" s="32"/>
      <c r="I295" s="32"/>
      <c r="J295" s="32"/>
      <c r="K295" s="32"/>
      <c r="L295" s="32"/>
      <c r="O295" s="64"/>
      <c r="AI295" s="33"/>
      <c r="AJ295" s="33"/>
      <c r="AK295" s="34"/>
      <c r="AL295" s="35"/>
      <c r="AM295" s="34"/>
      <c r="AN295" s="35"/>
      <c r="AO295" s="34"/>
      <c r="AP295" s="36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</row>
    <row r="296" spans="2:76" s="28" customFormat="1">
      <c r="B296" s="27"/>
      <c r="D296" s="29"/>
      <c r="E296" s="30"/>
      <c r="G296" s="31"/>
      <c r="H296" s="32"/>
      <c r="I296" s="32"/>
      <c r="J296" s="32"/>
      <c r="K296" s="32"/>
      <c r="L296" s="32"/>
      <c r="O296" s="67"/>
      <c r="AI296" s="33"/>
      <c r="AJ296" s="33"/>
      <c r="AK296" s="34"/>
      <c r="AL296" s="35"/>
      <c r="AM296" s="34"/>
      <c r="AN296" s="35"/>
      <c r="AO296" s="34"/>
      <c r="AP296" s="36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</row>
    <row r="297" spans="2:76" s="28" customFormat="1">
      <c r="B297" s="27"/>
      <c r="D297" s="29"/>
      <c r="E297" s="30"/>
      <c r="G297" s="31"/>
      <c r="H297" s="32"/>
      <c r="I297" s="32"/>
      <c r="J297" s="32"/>
      <c r="K297" s="32"/>
      <c r="L297" s="32"/>
      <c r="O297" s="64"/>
      <c r="AI297" s="33"/>
      <c r="AJ297" s="33"/>
      <c r="AK297" s="34"/>
      <c r="AL297" s="35"/>
      <c r="AM297" s="34"/>
      <c r="AN297" s="35"/>
      <c r="AO297" s="34"/>
      <c r="AP297" s="36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</row>
    <row r="298" spans="2:76" s="28" customFormat="1">
      <c r="B298" s="27"/>
      <c r="D298" s="29"/>
      <c r="E298" s="30"/>
      <c r="G298" s="31"/>
      <c r="H298" s="32"/>
      <c r="I298" s="32"/>
      <c r="J298" s="32"/>
      <c r="K298" s="32"/>
      <c r="L298" s="32"/>
      <c r="O298" s="64"/>
      <c r="AI298" s="33"/>
      <c r="AJ298" s="33"/>
      <c r="AK298" s="34"/>
      <c r="AL298" s="35"/>
      <c r="AM298" s="34"/>
      <c r="AN298" s="35"/>
      <c r="AO298" s="34"/>
      <c r="AP298" s="36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</row>
    <row r="299" spans="2:76" s="28" customFormat="1">
      <c r="B299" s="27"/>
      <c r="D299" s="29"/>
      <c r="E299" s="30"/>
      <c r="G299" s="31"/>
      <c r="H299" s="32"/>
      <c r="I299" s="32"/>
      <c r="J299" s="32"/>
      <c r="K299" s="32"/>
      <c r="L299" s="32"/>
      <c r="O299" s="71"/>
      <c r="AI299" s="33"/>
      <c r="AJ299" s="33"/>
      <c r="AK299" s="34"/>
      <c r="AL299" s="35"/>
      <c r="AM299" s="34"/>
      <c r="AN299" s="35"/>
      <c r="AO299" s="34"/>
      <c r="AP299" s="36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</row>
    <row r="300" spans="2:76" s="28" customFormat="1">
      <c r="B300" s="27"/>
      <c r="D300" s="29"/>
      <c r="E300" s="30"/>
      <c r="G300" s="31"/>
      <c r="H300" s="32"/>
      <c r="I300" s="32"/>
      <c r="J300" s="32"/>
      <c r="K300" s="32"/>
      <c r="L300" s="32"/>
      <c r="O300" s="64"/>
      <c r="AI300" s="33"/>
      <c r="AJ300" s="33"/>
      <c r="AK300" s="34"/>
      <c r="AL300" s="35"/>
      <c r="AM300" s="34"/>
      <c r="AN300" s="35"/>
      <c r="AO300" s="34"/>
      <c r="AP300" s="36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</row>
    <row r="301" spans="2:76" s="28" customFormat="1">
      <c r="B301" s="27"/>
      <c r="D301" s="29"/>
      <c r="E301" s="30"/>
      <c r="G301" s="31"/>
      <c r="H301" s="32"/>
      <c r="I301" s="32"/>
      <c r="J301" s="32"/>
      <c r="K301" s="32"/>
      <c r="L301" s="32"/>
      <c r="O301" s="68"/>
      <c r="AI301" s="33"/>
      <c r="AJ301" s="33"/>
      <c r="AK301" s="34"/>
      <c r="AL301" s="35"/>
      <c r="AM301" s="34"/>
      <c r="AN301" s="35"/>
      <c r="AO301" s="34"/>
      <c r="AP301" s="36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</row>
    <row r="302" spans="2:76" s="28" customFormat="1">
      <c r="B302" s="27"/>
      <c r="D302" s="29"/>
      <c r="E302" s="30"/>
      <c r="G302" s="31"/>
      <c r="H302" s="32"/>
      <c r="I302" s="32"/>
      <c r="J302" s="32"/>
      <c r="K302" s="32"/>
      <c r="L302" s="32"/>
      <c r="O302" s="67"/>
      <c r="AI302" s="33"/>
      <c r="AJ302" s="33"/>
      <c r="AK302" s="34"/>
      <c r="AL302" s="35"/>
      <c r="AM302" s="34"/>
      <c r="AN302" s="35"/>
      <c r="AO302" s="34"/>
      <c r="AP302" s="36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</row>
    <row r="303" spans="2:76" s="28" customFormat="1">
      <c r="B303" s="27"/>
      <c r="D303" s="29"/>
      <c r="E303" s="30"/>
      <c r="G303" s="31"/>
      <c r="H303" s="32"/>
      <c r="I303" s="32"/>
      <c r="J303" s="32"/>
      <c r="K303" s="32"/>
      <c r="L303" s="32"/>
      <c r="O303" s="70"/>
      <c r="AI303" s="33"/>
      <c r="AJ303" s="33"/>
      <c r="AK303" s="34"/>
      <c r="AL303" s="35"/>
      <c r="AM303" s="34"/>
      <c r="AN303" s="35"/>
      <c r="AO303" s="34"/>
      <c r="AP303" s="36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</row>
    <row r="304" spans="2:76" s="28" customFormat="1">
      <c r="B304" s="27"/>
      <c r="D304" s="29"/>
      <c r="E304" s="30"/>
      <c r="G304" s="31"/>
      <c r="H304" s="32"/>
      <c r="I304" s="32"/>
      <c r="J304" s="32"/>
      <c r="K304" s="32"/>
      <c r="L304" s="32"/>
      <c r="O304" s="64"/>
      <c r="AI304" s="33"/>
      <c r="AJ304" s="33"/>
      <c r="AK304" s="34"/>
      <c r="AL304" s="35"/>
      <c r="AM304" s="34"/>
      <c r="AN304" s="35"/>
      <c r="AO304" s="34"/>
      <c r="AP304" s="36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</row>
    <row r="305" spans="2:76" s="28" customFormat="1">
      <c r="B305" s="27"/>
      <c r="D305" s="29"/>
      <c r="E305" s="30"/>
      <c r="G305" s="31"/>
      <c r="H305" s="32"/>
      <c r="I305" s="32"/>
      <c r="J305" s="32"/>
      <c r="K305" s="32"/>
      <c r="L305" s="32"/>
      <c r="O305" s="64"/>
      <c r="AI305" s="33"/>
      <c r="AJ305" s="33"/>
      <c r="AK305" s="34"/>
      <c r="AL305" s="35"/>
      <c r="AM305" s="34"/>
      <c r="AN305" s="35"/>
      <c r="AO305" s="34"/>
      <c r="AP305" s="36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</row>
    <row r="306" spans="2:76" s="28" customFormat="1">
      <c r="B306" s="27"/>
      <c r="D306" s="29"/>
      <c r="E306" s="30"/>
      <c r="G306" s="31"/>
      <c r="H306" s="32"/>
      <c r="I306" s="32"/>
      <c r="J306" s="32"/>
      <c r="K306" s="32"/>
      <c r="L306" s="32"/>
      <c r="O306" s="70"/>
      <c r="AI306" s="33"/>
      <c r="AJ306" s="33"/>
      <c r="AK306" s="34"/>
      <c r="AL306" s="35"/>
      <c r="AM306" s="34"/>
      <c r="AN306" s="35"/>
      <c r="AO306" s="34"/>
      <c r="AP306" s="36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</row>
    <row r="307" spans="2:76" s="28" customFormat="1">
      <c r="B307" s="27"/>
      <c r="D307" s="29"/>
      <c r="E307" s="30"/>
      <c r="G307" s="31"/>
      <c r="H307" s="32"/>
      <c r="I307" s="32"/>
      <c r="J307" s="32"/>
      <c r="K307" s="32"/>
      <c r="L307" s="32"/>
      <c r="O307" s="68"/>
      <c r="AI307" s="33"/>
      <c r="AJ307" s="33"/>
      <c r="AK307" s="34"/>
      <c r="AL307" s="35"/>
      <c r="AM307" s="34"/>
      <c r="AN307" s="35"/>
      <c r="AO307" s="34"/>
      <c r="AP307" s="36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</row>
    <row r="308" spans="2:76" s="28" customFormat="1">
      <c r="B308" s="27"/>
      <c r="D308" s="29"/>
      <c r="E308" s="30"/>
      <c r="G308" s="31"/>
      <c r="H308" s="32"/>
      <c r="I308" s="32"/>
      <c r="J308" s="32"/>
      <c r="K308" s="32"/>
      <c r="L308" s="32"/>
      <c r="O308" s="64"/>
      <c r="AI308" s="33"/>
      <c r="AJ308" s="33"/>
      <c r="AK308" s="34"/>
      <c r="AL308" s="35"/>
      <c r="AM308" s="34"/>
      <c r="AN308" s="35"/>
      <c r="AO308" s="34"/>
      <c r="AP308" s="36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</row>
    <row r="309" spans="2:76" s="28" customFormat="1">
      <c r="B309" s="27"/>
      <c r="D309" s="29"/>
      <c r="E309" s="30"/>
      <c r="G309" s="31"/>
      <c r="H309" s="32"/>
      <c r="I309" s="32"/>
      <c r="J309" s="32"/>
      <c r="K309" s="32"/>
      <c r="L309" s="32"/>
      <c r="O309" s="70"/>
      <c r="AI309" s="33"/>
      <c r="AJ309" s="33"/>
      <c r="AK309" s="34"/>
      <c r="AL309" s="35"/>
      <c r="AM309" s="34"/>
      <c r="AN309" s="35"/>
      <c r="AO309" s="34"/>
      <c r="AP309" s="36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</row>
    <row r="310" spans="2:76" s="28" customFormat="1">
      <c r="B310" s="27"/>
      <c r="D310" s="29"/>
      <c r="E310" s="30"/>
      <c r="G310" s="31"/>
      <c r="H310" s="32"/>
      <c r="I310" s="32"/>
      <c r="J310" s="32"/>
      <c r="K310" s="32"/>
      <c r="L310" s="32"/>
      <c r="O310" s="68"/>
      <c r="AI310" s="33"/>
      <c r="AJ310" s="33"/>
      <c r="AK310" s="34"/>
      <c r="AL310" s="35"/>
      <c r="AM310" s="34"/>
      <c r="AN310" s="35"/>
      <c r="AO310" s="34"/>
      <c r="AP310" s="36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</row>
    <row r="311" spans="2:76" s="28" customFormat="1">
      <c r="B311" s="27"/>
      <c r="D311" s="29"/>
      <c r="E311" s="30"/>
      <c r="G311" s="31"/>
      <c r="H311" s="32"/>
      <c r="I311" s="32"/>
      <c r="J311" s="32"/>
      <c r="K311" s="32"/>
      <c r="L311" s="32"/>
      <c r="O311" s="66"/>
      <c r="AI311" s="33"/>
      <c r="AJ311" s="33"/>
      <c r="AK311" s="34"/>
      <c r="AL311" s="35"/>
      <c r="AM311" s="34"/>
      <c r="AN311" s="35"/>
      <c r="AO311" s="34"/>
      <c r="AP311" s="36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</row>
    <row r="312" spans="2:76" s="28" customFormat="1">
      <c r="B312" s="27"/>
      <c r="D312" s="29"/>
      <c r="E312" s="30"/>
      <c r="G312" s="31"/>
      <c r="H312" s="32"/>
      <c r="I312" s="32"/>
      <c r="J312" s="32"/>
      <c r="K312" s="32"/>
      <c r="L312" s="32"/>
      <c r="O312" s="75"/>
      <c r="AI312" s="33"/>
      <c r="AJ312" s="33"/>
      <c r="AK312" s="34"/>
      <c r="AL312" s="35"/>
      <c r="AM312" s="34"/>
      <c r="AN312" s="35"/>
      <c r="AO312" s="34"/>
      <c r="AP312" s="36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</row>
    <row r="313" spans="2:76" s="28" customFormat="1">
      <c r="B313" s="27"/>
      <c r="D313" s="29"/>
      <c r="E313" s="30"/>
      <c r="G313" s="31"/>
      <c r="H313" s="32"/>
      <c r="I313" s="32"/>
      <c r="J313" s="32"/>
      <c r="K313" s="32"/>
      <c r="L313" s="32"/>
      <c r="O313" s="64"/>
      <c r="AI313" s="33"/>
      <c r="AJ313" s="33"/>
      <c r="AK313" s="34"/>
      <c r="AL313" s="35"/>
      <c r="AM313" s="34"/>
      <c r="AN313" s="35"/>
      <c r="AO313" s="34"/>
      <c r="AP313" s="36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</row>
    <row r="314" spans="2:76" s="28" customFormat="1">
      <c r="B314" s="27"/>
      <c r="D314" s="29"/>
      <c r="E314" s="30"/>
      <c r="G314" s="31"/>
      <c r="H314" s="32"/>
      <c r="I314" s="32"/>
      <c r="J314" s="32"/>
      <c r="K314" s="32"/>
      <c r="L314" s="32"/>
      <c r="O314" s="68"/>
      <c r="AI314" s="33"/>
      <c r="AJ314" s="33"/>
      <c r="AK314" s="34"/>
      <c r="AL314" s="35"/>
      <c r="AM314" s="34"/>
      <c r="AN314" s="35"/>
      <c r="AO314" s="34"/>
      <c r="AP314" s="36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</row>
    <row r="315" spans="2:76" s="28" customFormat="1">
      <c r="B315" s="27"/>
      <c r="D315" s="29"/>
      <c r="E315" s="30"/>
      <c r="G315" s="31"/>
      <c r="H315" s="32"/>
      <c r="I315" s="32"/>
      <c r="J315" s="32"/>
      <c r="K315" s="32"/>
      <c r="L315" s="32"/>
      <c r="O315" s="68"/>
      <c r="AI315" s="33"/>
      <c r="AJ315" s="33"/>
      <c r="AK315" s="34"/>
      <c r="AL315" s="35"/>
      <c r="AM315" s="34"/>
      <c r="AN315" s="35"/>
      <c r="AO315" s="34"/>
      <c r="AP315" s="36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</row>
    <row r="316" spans="2:76" s="28" customFormat="1">
      <c r="B316" s="27"/>
      <c r="D316" s="29"/>
      <c r="E316" s="30"/>
      <c r="G316" s="31"/>
      <c r="H316" s="32"/>
      <c r="I316" s="32"/>
      <c r="J316" s="32"/>
      <c r="K316" s="32"/>
      <c r="L316" s="32"/>
      <c r="O316" s="70"/>
      <c r="AI316" s="33"/>
      <c r="AJ316" s="33"/>
      <c r="AK316" s="34"/>
      <c r="AL316" s="35"/>
      <c r="AM316" s="34"/>
      <c r="AN316" s="35"/>
      <c r="AO316" s="34"/>
      <c r="AP316" s="36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</row>
    <row r="317" spans="2:76" s="28" customFormat="1">
      <c r="B317" s="27"/>
      <c r="D317" s="29"/>
      <c r="E317" s="30"/>
      <c r="G317" s="31"/>
      <c r="H317" s="32"/>
      <c r="I317" s="32"/>
      <c r="J317" s="32"/>
      <c r="K317" s="32"/>
      <c r="L317" s="32"/>
      <c r="O317" s="70"/>
      <c r="AI317" s="33"/>
      <c r="AJ317" s="33"/>
      <c r="AK317" s="34"/>
      <c r="AL317" s="35"/>
      <c r="AM317" s="34"/>
      <c r="AN317" s="35"/>
      <c r="AO317" s="34"/>
      <c r="AP317" s="36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</row>
    <row r="318" spans="2:76" s="28" customFormat="1">
      <c r="B318" s="27"/>
      <c r="D318" s="29"/>
      <c r="E318" s="30"/>
      <c r="G318" s="31"/>
      <c r="H318" s="32"/>
      <c r="I318" s="32"/>
      <c r="J318" s="32"/>
      <c r="K318" s="32"/>
      <c r="L318" s="32"/>
      <c r="O318" s="69"/>
      <c r="AI318" s="33"/>
      <c r="AJ318" s="33"/>
      <c r="AK318" s="34"/>
      <c r="AL318" s="35"/>
      <c r="AM318" s="34"/>
      <c r="AN318" s="35"/>
      <c r="AO318" s="34"/>
      <c r="AP318" s="36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</row>
    <row r="319" spans="2:76" s="28" customFormat="1">
      <c r="B319" s="27"/>
      <c r="D319" s="29"/>
      <c r="E319" s="30"/>
      <c r="G319" s="31"/>
      <c r="H319" s="32"/>
      <c r="I319" s="32"/>
      <c r="J319" s="32"/>
      <c r="K319" s="32"/>
      <c r="L319" s="32"/>
      <c r="O319" s="66"/>
      <c r="AI319" s="33"/>
      <c r="AJ319" s="33"/>
      <c r="AK319" s="34"/>
      <c r="AL319" s="35"/>
      <c r="AM319" s="34"/>
      <c r="AN319" s="35"/>
      <c r="AO319" s="34"/>
      <c r="AP319" s="36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</row>
    <row r="320" spans="2:76" s="28" customFormat="1">
      <c r="B320" s="27"/>
      <c r="D320" s="29"/>
      <c r="E320" s="30"/>
      <c r="G320" s="31"/>
      <c r="H320" s="32"/>
      <c r="I320" s="32"/>
      <c r="J320" s="32"/>
      <c r="K320" s="32"/>
      <c r="L320" s="32"/>
      <c r="O320" s="64"/>
      <c r="AI320" s="33"/>
      <c r="AJ320" s="33"/>
      <c r="AK320" s="34"/>
      <c r="AL320" s="35"/>
      <c r="AM320" s="34"/>
      <c r="AN320" s="35"/>
      <c r="AO320" s="34"/>
      <c r="AP320" s="36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</row>
    <row r="321" spans="2:76" s="28" customFormat="1">
      <c r="B321" s="27"/>
      <c r="D321" s="29"/>
      <c r="E321" s="30"/>
      <c r="G321" s="31"/>
      <c r="H321" s="32"/>
      <c r="I321" s="32"/>
      <c r="J321" s="32"/>
      <c r="K321" s="32"/>
      <c r="L321" s="32"/>
      <c r="O321" s="64"/>
      <c r="AI321" s="33"/>
      <c r="AJ321" s="33"/>
      <c r="AK321" s="34"/>
      <c r="AL321" s="35"/>
      <c r="AM321" s="34"/>
      <c r="AN321" s="35"/>
      <c r="AO321" s="34"/>
      <c r="AP321" s="36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</row>
    <row r="322" spans="2:76" s="28" customFormat="1">
      <c r="B322" s="27"/>
      <c r="D322" s="29"/>
      <c r="E322" s="30"/>
      <c r="G322" s="31"/>
      <c r="H322" s="32"/>
      <c r="I322" s="32"/>
      <c r="J322" s="32"/>
      <c r="K322" s="32"/>
      <c r="L322" s="32"/>
      <c r="O322" s="64"/>
      <c r="AI322" s="33"/>
      <c r="AJ322" s="33"/>
      <c r="AK322" s="34"/>
      <c r="AL322" s="35"/>
      <c r="AM322" s="34"/>
      <c r="AN322" s="35"/>
      <c r="AO322" s="34"/>
      <c r="AP322" s="36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</row>
    <row r="323" spans="2:76" s="28" customFormat="1">
      <c r="B323" s="27"/>
      <c r="D323" s="29"/>
      <c r="E323" s="30"/>
      <c r="G323" s="31"/>
      <c r="H323" s="32"/>
      <c r="I323" s="32"/>
      <c r="J323" s="32"/>
      <c r="K323" s="32"/>
      <c r="L323" s="32"/>
      <c r="O323" s="68"/>
      <c r="AI323" s="33"/>
      <c r="AJ323" s="33"/>
      <c r="AK323" s="34"/>
      <c r="AL323" s="35"/>
      <c r="AM323" s="34"/>
      <c r="AN323" s="35"/>
      <c r="AO323" s="34"/>
      <c r="AP323" s="36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</row>
    <row r="324" spans="2:76" s="28" customFormat="1">
      <c r="B324" s="27"/>
      <c r="D324" s="29"/>
      <c r="E324" s="30"/>
      <c r="G324" s="31"/>
      <c r="H324" s="32"/>
      <c r="I324" s="32"/>
      <c r="J324" s="32"/>
      <c r="K324" s="32"/>
      <c r="L324" s="32"/>
      <c r="O324" s="68"/>
      <c r="AI324" s="33"/>
      <c r="AJ324" s="33"/>
      <c r="AK324" s="34"/>
      <c r="AL324" s="35"/>
      <c r="AM324" s="34"/>
      <c r="AN324" s="35"/>
      <c r="AO324" s="34"/>
      <c r="AP324" s="36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</row>
    <row r="325" spans="2:76" s="28" customFormat="1">
      <c r="B325" s="27"/>
      <c r="D325" s="29"/>
      <c r="E325" s="30"/>
      <c r="G325" s="31"/>
      <c r="H325" s="32"/>
      <c r="I325" s="32"/>
      <c r="J325" s="32"/>
      <c r="K325" s="32"/>
      <c r="L325" s="32"/>
      <c r="O325" s="75"/>
      <c r="AI325" s="33"/>
      <c r="AJ325" s="33"/>
      <c r="AK325" s="34"/>
      <c r="AL325" s="35"/>
      <c r="AM325" s="34"/>
      <c r="AN325" s="35"/>
      <c r="AO325" s="34"/>
      <c r="AP325" s="36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</row>
    <row r="326" spans="2:76" s="28" customFormat="1">
      <c r="B326" s="27"/>
      <c r="D326" s="29"/>
      <c r="E326" s="30"/>
      <c r="G326" s="31"/>
      <c r="H326" s="32"/>
      <c r="I326" s="32"/>
      <c r="J326" s="32"/>
      <c r="K326" s="32"/>
      <c r="L326" s="32"/>
      <c r="O326" s="64"/>
      <c r="AI326" s="33"/>
      <c r="AJ326" s="33"/>
      <c r="AK326" s="34"/>
      <c r="AL326" s="35"/>
      <c r="AM326" s="34"/>
      <c r="AN326" s="35"/>
      <c r="AO326" s="34"/>
      <c r="AP326" s="36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</row>
    <row r="327" spans="2:76" s="28" customFormat="1">
      <c r="B327" s="27"/>
      <c r="D327" s="29"/>
      <c r="E327" s="30"/>
      <c r="G327" s="31"/>
      <c r="H327" s="32"/>
      <c r="I327" s="32"/>
      <c r="J327" s="32"/>
      <c r="K327" s="32"/>
      <c r="L327" s="32"/>
      <c r="O327" s="67"/>
      <c r="AI327" s="33"/>
      <c r="AJ327" s="33"/>
      <c r="AK327" s="34"/>
      <c r="AL327" s="35"/>
      <c r="AM327" s="34"/>
      <c r="AN327" s="35"/>
      <c r="AO327" s="34"/>
      <c r="AP327" s="36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</row>
    <row r="328" spans="2:76" s="28" customFormat="1">
      <c r="B328" s="27"/>
      <c r="D328" s="29"/>
      <c r="E328" s="30"/>
      <c r="G328" s="31"/>
      <c r="H328" s="32"/>
      <c r="I328" s="32"/>
      <c r="J328" s="32"/>
      <c r="K328" s="32"/>
      <c r="L328" s="32"/>
      <c r="O328" s="68"/>
      <c r="AI328" s="33"/>
      <c r="AJ328" s="33"/>
      <c r="AK328" s="34"/>
      <c r="AL328" s="35"/>
      <c r="AM328" s="34"/>
      <c r="AN328" s="35"/>
      <c r="AO328" s="34"/>
      <c r="AP328" s="36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</row>
    <row r="329" spans="2:76" s="28" customFormat="1">
      <c r="B329" s="27"/>
      <c r="D329" s="29"/>
      <c r="E329" s="30"/>
      <c r="G329" s="31"/>
      <c r="H329" s="32"/>
      <c r="I329" s="32"/>
      <c r="J329" s="32"/>
      <c r="K329" s="32"/>
      <c r="L329" s="32"/>
      <c r="O329" s="68"/>
      <c r="AI329" s="33"/>
      <c r="AJ329" s="33"/>
      <c r="AK329" s="34"/>
      <c r="AL329" s="35"/>
      <c r="AM329" s="34"/>
      <c r="AN329" s="35"/>
      <c r="AO329" s="34"/>
      <c r="AP329" s="36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</row>
    <row r="330" spans="2:76" s="28" customFormat="1">
      <c r="B330" s="27"/>
      <c r="D330" s="29"/>
      <c r="E330" s="30"/>
      <c r="G330" s="31"/>
      <c r="H330" s="32"/>
      <c r="I330" s="32"/>
      <c r="J330" s="32"/>
      <c r="K330" s="32"/>
      <c r="L330" s="32"/>
      <c r="O330" s="71"/>
      <c r="AI330" s="33"/>
      <c r="AJ330" s="33"/>
      <c r="AK330" s="34"/>
      <c r="AL330" s="35"/>
      <c r="AM330" s="34"/>
      <c r="AN330" s="35"/>
      <c r="AO330" s="34"/>
      <c r="AP330" s="36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</row>
    <row r="331" spans="2:76" s="28" customFormat="1">
      <c r="B331" s="27"/>
      <c r="D331" s="29"/>
      <c r="E331" s="30"/>
      <c r="G331" s="31"/>
      <c r="H331" s="32"/>
      <c r="I331" s="32"/>
      <c r="J331" s="32"/>
      <c r="K331" s="32"/>
      <c r="L331" s="32"/>
      <c r="O331" s="75"/>
      <c r="AI331" s="33"/>
      <c r="AJ331" s="33"/>
      <c r="AK331" s="34"/>
      <c r="AL331" s="35"/>
      <c r="AM331" s="34"/>
      <c r="AN331" s="35"/>
      <c r="AO331" s="34"/>
      <c r="AP331" s="36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</row>
    <row r="332" spans="2:76" s="28" customFormat="1">
      <c r="B332" s="27"/>
      <c r="D332" s="29"/>
      <c r="E332" s="30"/>
      <c r="G332" s="31"/>
      <c r="H332" s="32"/>
      <c r="I332" s="32"/>
      <c r="J332" s="32"/>
      <c r="K332" s="32"/>
      <c r="L332" s="32"/>
      <c r="O332" s="63"/>
      <c r="AI332" s="33"/>
      <c r="AJ332" s="33"/>
      <c r="AK332" s="34"/>
      <c r="AL332" s="35"/>
      <c r="AM332" s="34"/>
      <c r="AN332" s="35"/>
      <c r="AO332" s="34"/>
      <c r="AP332" s="36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</row>
    <row r="333" spans="2:76" s="28" customFormat="1">
      <c r="B333" s="27"/>
      <c r="D333" s="29"/>
      <c r="E333" s="30"/>
      <c r="G333" s="31"/>
      <c r="H333" s="32"/>
      <c r="I333" s="32"/>
      <c r="J333" s="32"/>
      <c r="K333" s="32"/>
      <c r="L333" s="32"/>
      <c r="O333" s="71"/>
      <c r="AI333" s="33"/>
      <c r="AJ333" s="33"/>
      <c r="AK333" s="34"/>
      <c r="AL333" s="35"/>
      <c r="AM333" s="34"/>
      <c r="AN333" s="35"/>
      <c r="AO333" s="34"/>
      <c r="AP333" s="36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</row>
    <row r="334" spans="2:76" s="28" customFormat="1">
      <c r="B334" s="27"/>
      <c r="D334" s="29"/>
      <c r="E334" s="30"/>
      <c r="G334" s="31"/>
      <c r="H334" s="32"/>
      <c r="I334" s="32"/>
      <c r="J334" s="32"/>
      <c r="K334" s="32"/>
      <c r="L334" s="32"/>
      <c r="O334" s="64"/>
      <c r="AI334" s="33"/>
      <c r="AJ334" s="33"/>
      <c r="AK334" s="34"/>
      <c r="AL334" s="35"/>
      <c r="AM334" s="34"/>
      <c r="AN334" s="35"/>
      <c r="AO334" s="34"/>
      <c r="AP334" s="36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</row>
    <row r="335" spans="2:76" s="28" customFormat="1">
      <c r="B335" s="27"/>
      <c r="D335" s="29"/>
      <c r="E335" s="30"/>
      <c r="G335" s="31"/>
      <c r="H335" s="32"/>
      <c r="I335" s="32"/>
      <c r="J335" s="32"/>
      <c r="K335" s="32"/>
      <c r="L335" s="32"/>
      <c r="O335" s="64"/>
      <c r="AI335" s="33"/>
      <c r="AJ335" s="33"/>
      <c r="AK335" s="34"/>
      <c r="AL335" s="35"/>
      <c r="AM335" s="34"/>
      <c r="AN335" s="35"/>
      <c r="AO335" s="34"/>
      <c r="AP335" s="36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</row>
    <row r="336" spans="2:76" s="28" customFormat="1">
      <c r="B336" s="27"/>
      <c r="D336" s="29"/>
      <c r="E336" s="30"/>
      <c r="G336" s="31"/>
      <c r="H336" s="32"/>
      <c r="I336" s="32"/>
      <c r="J336" s="32"/>
      <c r="K336" s="32"/>
      <c r="L336" s="32"/>
      <c r="O336" s="70"/>
      <c r="AI336" s="33"/>
      <c r="AJ336" s="33"/>
      <c r="AK336" s="34"/>
      <c r="AL336" s="35"/>
      <c r="AM336" s="34"/>
      <c r="AN336" s="35"/>
      <c r="AO336" s="34"/>
      <c r="AP336" s="36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</row>
    <row r="337" spans="2:76" s="28" customFormat="1">
      <c r="B337" s="27"/>
      <c r="D337" s="29"/>
      <c r="E337" s="30"/>
      <c r="G337" s="31"/>
      <c r="H337" s="32"/>
      <c r="I337" s="32"/>
      <c r="J337" s="32"/>
      <c r="K337" s="32"/>
      <c r="L337" s="32"/>
      <c r="O337" s="67"/>
      <c r="AI337" s="33"/>
      <c r="AJ337" s="33"/>
      <c r="AK337" s="34"/>
      <c r="AL337" s="35"/>
      <c r="AM337" s="34"/>
      <c r="AN337" s="35"/>
      <c r="AO337" s="34"/>
      <c r="AP337" s="36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</row>
    <row r="338" spans="2:76" s="28" customFormat="1">
      <c r="B338" s="27"/>
      <c r="D338" s="29"/>
      <c r="E338" s="30"/>
      <c r="G338" s="31"/>
      <c r="H338" s="32"/>
      <c r="I338" s="32"/>
      <c r="J338" s="32"/>
      <c r="K338" s="32"/>
      <c r="L338" s="32"/>
      <c r="O338" s="81"/>
      <c r="AI338" s="33"/>
      <c r="AJ338" s="33"/>
      <c r="AK338" s="34"/>
      <c r="AL338" s="35"/>
      <c r="AM338" s="34"/>
      <c r="AN338" s="35"/>
      <c r="AO338" s="34"/>
      <c r="AP338" s="36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</row>
    <row r="339" spans="2:76" s="28" customFormat="1">
      <c r="B339" s="27"/>
      <c r="D339" s="29"/>
      <c r="E339" s="30"/>
      <c r="G339" s="31"/>
      <c r="H339" s="32"/>
      <c r="I339" s="32"/>
      <c r="J339" s="32"/>
      <c r="K339" s="32"/>
      <c r="L339" s="32"/>
      <c r="O339" s="82"/>
      <c r="AI339" s="33"/>
      <c r="AJ339" s="33"/>
      <c r="AK339" s="34"/>
      <c r="AL339" s="35"/>
      <c r="AM339" s="34"/>
      <c r="AN339" s="35"/>
      <c r="AO339" s="34"/>
      <c r="AP339" s="36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</row>
    <row r="340" spans="2:76" s="28" customFormat="1">
      <c r="B340" s="27"/>
      <c r="D340" s="29"/>
      <c r="E340" s="30"/>
      <c r="G340" s="31"/>
      <c r="H340" s="32"/>
      <c r="I340" s="32"/>
      <c r="J340" s="32"/>
      <c r="K340" s="32"/>
      <c r="L340" s="32"/>
      <c r="O340" s="64"/>
      <c r="AI340" s="33"/>
      <c r="AJ340" s="33"/>
      <c r="AK340" s="34"/>
      <c r="AL340" s="35"/>
      <c r="AM340" s="34"/>
      <c r="AN340" s="35"/>
      <c r="AO340" s="34"/>
      <c r="AP340" s="36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</row>
    <row r="341" spans="2:76" s="28" customFormat="1">
      <c r="B341" s="27"/>
      <c r="D341" s="29"/>
      <c r="E341" s="30"/>
      <c r="G341" s="31"/>
      <c r="H341" s="32"/>
      <c r="I341" s="32"/>
      <c r="J341" s="32"/>
      <c r="K341" s="32"/>
      <c r="L341" s="32"/>
      <c r="O341" s="71"/>
      <c r="AI341" s="33"/>
      <c r="AJ341" s="33"/>
      <c r="AK341" s="34"/>
      <c r="AL341" s="35"/>
      <c r="AM341" s="34"/>
      <c r="AN341" s="35"/>
      <c r="AO341" s="34"/>
      <c r="AP341" s="36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</row>
    <row r="342" spans="2:76" s="28" customFormat="1">
      <c r="B342" s="27"/>
      <c r="D342" s="29"/>
      <c r="E342" s="30"/>
      <c r="G342" s="31"/>
      <c r="H342" s="32"/>
      <c r="I342" s="32"/>
      <c r="J342" s="32"/>
      <c r="K342" s="32"/>
      <c r="L342" s="32"/>
      <c r="O342" s="67"/>
      <c r="AI342" s="33"/>
      <c r="AJ342" s="33"/>
      <c r="AK342" s="34"/>
      <c r="AL342" s="35"/>
      <c r="AM342" s="34"/>
      <c r="AN342" s="35"/>
      <c r="AO342" s="34"/>
      <c r="AP342" s="36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</row>
    <row r="343" spans="2:76" s="28" customFormat="1">
      <c r="B343" s="27"/>
      <c r="D343" s="29"/>
      <c r="E343" s="30"/>
      <c r="G343" s="31"/>
      <c r="H343" s="32"/>
      <c r="I343" s="32"/>
      <c r="J343" s="32"/>
      <c r="K343" s="32"/>
      <c r="L343" s="32"/>
      <c r="O343" s="64"/>
      <c r="AI343" s="33"/>
      <c r="AJ343" s="33"/>
      <c r="AK343" s="34"/>
      <c r="AL343" s="35"/>
      <c r="AM343" s="34"/>
      <c r="AN343" s="35"/>
      <c r="AO343" s="34"/>
      <c r="AP343" s="36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</row>
    <row r="344" spans="2:76" s="28" customFormat="1">
      <c r="B344" s="27"/>
      <c r="D344" s="29"/>
      <c r="E344" s="30"/>
      <c r="G344" s="31"/>
      <c r="H344" s="32"/>
      <c r="I344" s="32"/>
      <c r="J344" s="32"/>
      <c r="K344" s="32"/>
      <c r="L344" s="32"/>
      <c r="O344" s="68"/>
      <c r="AI344" s="33"/>
      <c r="AJ344" s="33"/>
      <c r="AK344" s="34"/>
      <c r="AL344" s="35"/>
      <c r="AM344" s="34"/>
      <c r="AN344" s="35"/>
      <c r="AO344" s="34"/>
      <c r="AP344" s="36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</row>
    <row r="345" spans="2:76" s="28" customFormat="1">
      <c r="B345" s="27"/>
      <c r="D345" s="29"/>
      <c r="E345" s="30"/>
      <c r="G345" s="31"/>
      <c r="H345" s="32"/>
      <c r="I345" s="32"/>
      <c r="J345" s="32"/>
      <c r="K345" s="32"/>
      <c r="L345" s="32"/>
      <c r="O345" s="66"/>
      <c r="AI345" s="33"/>
      <c r="AJ345" s="33"/>
      <c r="AK345" s="34"/>
      <c r="AL345" s="35"/>
      <c r="AM345" s="34"/>
      <c r="AN345" s="35"/>
      <c r="AO345" s="34"/>
      <c r="AP345" s="36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</row>
    <row r="346" spans="2:76" s="28" customFormat="1">
      <c r="B346" s="27"/>
      <c r="D346" s="29"/>
      <c r="E346" s="30"/>
      <c r="G346" s="31"/>
      <c r="H346" s="32"/>
      <c r="I346" s="32"/>
      <c r="J346" s="32"/>
      <c r="K346" s="32"/>
      <c r="L346" s="32"/>
      <c r="O346" s="63"/>
      <c r="AI346" s="33"/>
      <c r="AJ346" s="33"/>
      <c r="AK346" s="34"/>
      <c r="AL346" s="35"/>
      <c r="AM346" s="34"/>
      <c r="AN346" s="35"/>
      <c r="AO346" s="34"/>
      <c r="AP346" s="36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</row>
    <row r="347" spans="2:76" s="28" customFormat="1">
      <c r="B347" s="27"/>
      <c r="D347" s="29"/>
      <c r="E347" s="30"/>
      <c r="G347" s="31"/>
      <c r="H347" s="32"/>
      <c r="I347" s="32"/>
      <c r="J347" s="32"/>
      <c r="K347" s="32"/>
      <c r="L347" s="32"/>
      <c r="O347" s="68"/>
      <c r="AI347" s="33"/>
      <c r="AJ347" s="33"/>
      <c r="AK347" s="34"/>
      <c r="AL347" s="35"/>
      <c r="AM347" s="34"/>
      <c r="AN347" s="35"/>
      <c r="AO347" s="34"/>
      <c r="AP347" s="36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</row>
    <row r="348" spans="2:76" s="28" customFormat="1">
      <c r="B348" s="27"/>
      <c r="D348" s="29"/>
      <c r="E348" s="30"/>
      <c r="G348" s="31"/>
      <c r="H348" s="32"/>
      <c r="I348" s="32"/>
      <c r="J348" s="32"/>
      <c r="K348" s="32"/>
      <c r="L348" s="32"/>
      <c r="O348" s="64"/>
      <c r="AI348" s="33"/>
      <c r="AJ348" s="33"/>
      <c r="AK348" s="34"/>
      <c r="AL348" s="35"/>
      <c r="AM348" s="34"/>
      <c r="AN348" s="35"/>
      <c r="AO348" s="34"/>
      <c r="AP348" s="36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</row>
    <row r="349" spans="2:76" s="28" customFormat="1">
      <c r="B349" s="27"/>
      <c r="D349" s="29"/>
      <c r="E349" s="30"/>
      <c r="G349" s="31"/>
      <c r="H349" s="32"/>
      <c r="I349" s="32"/>
      <c r="J349" s="32"/>
      <c r="K349" s="32"/>
      <c r="L349" s="32"/>
      <c r="O349" s="69"/>
      <c r="AI349" s="33"/>
      <c r="AJ349" s="33"/>
      <c r="AK349" s="34"/>
      <c r="AL349" s="35"/>
      <c r="AM349" s="34"/>
      <c r="AN349" s="35"/>
      <c r="AO349" s="34"/>
      <c r="AP349" s="36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</row>
    <row r="350" spans="2:76" s="28" customFormat="1">
      <c r="B350" s="27"/>
      <c r="D350" s="29"/>
      <c r="E350" s="30"/>
      <c r="G350" s="31"/>
      <c r="H350" s="32"/>
      <c r="I350" s="32"/>
      <c r="J350" s="32"/>
      <c r="K350" s="32"/>
      <c r="L350" s="32"/>
      <c r="O350" s="64"/>
      <c r="AI350" s="33"/>
      <c r="AJ350" s="33"/>
      <c r="AK350" s="34"/>
      <c r="AL350" s="35"/>
      <c r="AM350" s="34"/>
      <c r="AN350" s="35"/>
      <c r="AO350" s="34"/>
      <c r="AP350" s="36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</row>
    <row r="351" spans="2:76" s="28" customFormat="1">
      <c r="B351" s="27"/>
      <c r="D351" s="29"/>
      <c r="E351" s="30"/>
      <c r="G351" s="31"/>
      <c r="H351" s="32"/>
      <c r="I351" s="32"/>
      <c r="J351" s="32"/>
      <c r="K351" s="32"/>
      <c r="L351" s="32"/>
      <c r="O351" s="83"/>
      <c r="AI351" s="33"/>
      <c r="AJ351" s="33"/>
      <c r="AK351" s="34"/>
      <c r="AL351" s="35"/>
      <c r="AM351" s="34"/>
      <c r="AN351" s="35"/>
      <c r="AO351" s="34"/>
      <c r="AP351" s="36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</row>
    <row r="352" spans="2:76" s="28" customFormat="1">
      <c r="B352" s="27"/>
      <c r="D352" s="29"/>
      <c r="E352" s="30"/>
      <c r="G352" s="31"/>
      <c r="H352" s="32"/>
      <c r="I352" s="32"/>
      <c r="J352" s="32"/>
      <c r="K352" s="32"/>
      <c r="L352" s="32"/>
      <c r="O352" s="64"/>
      <c r="AI352" s="33"/>
      <c r="AJ352" s="33"/>
      <c r="AK352" s="34"/>
      <c r="AL352" s="35"/>
      <c r="AM352" s="34"/>
      <c r="AN352" s="35"/>
      <c r="AO352" s="34"/>
      <c r="AP352" s="36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</row>
    <row r="353" spans="2:76" s="28" customFormat="1">
      <c r="B353" s="27"/>
      <c r="D353" s="29"/>
      <c r="E353" s="30"/>
      <c r="G353" s="31"/>
      <c r="H353" s="32"/>
      <c r="I353" s="32"/>
      <c r="J353" s="32"/>
      <c r="K353" s="32"/>
      <c r="L353" s="32"/>
      <c r="O353" s="64"/>
      <c r="AI353" s="33"/>
      <c r="AJ353" s="33"/>
      <c r="AK353" s="34"/>
      <c r="AL353" s="35"/>
      <c r="AM353" s="34"/>
      <c r="AN353" s="35"/>
      <c r="AO353" s="34"/>
      <c r="AP353" s="36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</row>
    <row r="354" spans="2:76" s="28" customFormat="1">
      <c r="B354" s="27"/>
      <c r="D354" s="29"/>
      <c r="E354" s="30"/>
      <c r="G354" s="31"/>
      <c r="H354" s="32"/>
      <c r="I354" s="32"/>
      <c r="J354" s="32"/>
      <c r="K354" s="32"/>
      <c r="L354" s="32"/>
      <c r="O354" s="64"/>
      <c r="AI354" s="33"/>
      <c r="AJ354" s="33"/>
      <c r="AK354" s="34"/>
      <c r="AL354" s="35"/>
      <c r="AM354" s="34"/>
      <c r="AN354" s="35"/>
      <c r="AO354" s="34"/>
      <c r="AP354" s="36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</row>
    <row r="355" spans="2:76" s="28" customFormat="1">
      <c r="B355" s="27"/>
      <c r="D355" s="29"/>
      <c r="E355" s="30"/>
      <c r="G355" s="31"/>
      <c r="H355" s="32"/>
      <c r="I355" s="32"/>
      <c r="J355" s="32"/>
      <c r="K355" s="32"/>
      <c r="L355" s="32"/>
      <c r="O355" s="66"/>
      <c r="AI355" s="33"/>
      <c r="AJ355" s="33"/>
      <c r="AK355" s="34"/>
      <c r="AL355" s="35"/>
      <c r="AM355" s="34"/>
      <c r="AN355" s="35"/>
      <c r="AO355" s="34"/>
      <c r="AP355" s="36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</row>
    <row r="356" spans="2:76" s="28" customFormat="1">
      <c r="B356" s="27"/>
      <c r="D356" s="29"/>
      <c r="E356" s="30"/>
      <c r="G356" s="31"/>
      <c r="H356" s="32"/>
      <c r="I356" s="32"/>
      <c r="J356" s="32"/>
      <c r="K356" s="32"/>
      <c r="L356" s="32"/>
      <c r="O356" s="79"/>
      <c r="AI356" s="33"/>
      <c r="AJ356" s="33"/>
      <c r="AK356" s="34"/>
      <c r="AL356" s="35"/>
      <c r="AM356" s="34"/>
      <c r="AN356" s="35"/>
      <c r="AO356" s="34"/>
      <c r="AP356" s="36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</row>
    <row r="357" spans="2:76" s="28" customFormat="1">
      <c r="B357" s="27"/>
      <c r="D357" s="29"/>
      <c r="E357" s="30"/>
      <c r="G357" s="31"/>
      <c r="H357" s="32"/>
      <c r="I357" s="32"/>
      <c r="J357" s="32"/>
      <c r="K357" s="32"/>
      <c r="L357" s="32"/>
      <c r="O357" s="66"/>
      <c r="AI357" s="33"/>
      <c r="AJ357" s="33"/>
      <c r="AK357" s="34"/>
      <c r="AL357" s="35"/>
      <c r="AM357" s="34"/>
      <c r="AN357" s="35"/>
      <c r="AO357" s="34"/>
      <c r="AP357" s="36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</row>
    <row r="358" spans="2:76" s="28" customFormat="1">
      <c r="B358" s="27"/>
      <c r="D358" s="29"/>
      <c r="E358" s="30"/>
      <c r="G358" s="31"/>
      <c r="H358" s="32"/>
      <c r="I358" s="32"/>
      <c r="J358" s="32"/>
      <c r="K358" s="32"/>
      <c r="L358" s="32"/>
      <c r="O358" s="64"/>
      <c r="AI358" s="33"/>
      <c r="AJ358" s="33"/>
      <c r="AK358" s="34"/>
      <c r="AL358" s="35"/>
      <c r="AM358" s="34"/>
      <c r="AN358" s="35"/>
      <c r="AO358" s="34"/>
      <c r="AP358" s="36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</row>
    <row r="359" spans="2:76" s="28" customFormat="1">
      <c r="B359" s="27"/>
      <c r="D359" s="29"/>
      <c r="E359" s="30"/>
      <c r="G359" s="31"/>
      <c r="H359" s="32"/>
      <c r="I359" s="32"/>
      <c r="J359" s="32"/>
      <c r="K359" s="32"/>
      <c r="L359" s="32"/>
      <c r="O359" s="75"/>
      <c r="AI359" s="33"/>
      <c r="AJ359" s="33"/>
      <c r="AK359" s="34"/>
      <c r="AL359" s="35"/>
      <c r="AM359" s="34"/>
      <c r="AN359" s="35"/>
      <c r="AO359" s="34"/>
      <c r="AP359" s="36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</row>
    <row r="360" spans="2:76" s="28" customFormat="1">
      <c r="B360" s="27"/>
      <c r="D360" s="29"/>
      <c r="E360" s="30"/>
      <c r="G360" s="31"/>
      <c r="H360" s="32"/>
      <c r="I360" s="32"/>
      <c r="J360" s="32"/>
      <c r="K360" s="32"/>
      <c r="L360" s="32"/>
      <c r="O360" s="64"/>
      <c r="AI360" s="33"/>
      <c r="AJ360" s="33"/>
      <c r="AK360" s="34"/>
      <c r="AL360" s="35"/>
      <c r="AM360" s="34"/>
      <c r="AN360" s="35"/>
      <c r="AO360" s="34"/>
      <c r="AP360" s="36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</row>
    <row r="361" spans="2:76" s="28" customFormat="1">
      <c r="B361" s="27"/>
      <c r="D361" s="29"/>
      <c r="E361" s="30"/>
      <c r="G361" s="31"/>
      <c r="H361" s="32"/>
      <c r="I361" s="32"/>
      <c r="J361" s="32"/>
      <c r="K361" s="32"/>
      <c r="L361" s="32"/>
      <c r="O361" s="66"/>
      <c r="AI361" s="33"/>
      <c r="AJ361" s="33"/>
      <c r="AK361" s="34"/>
      <c r="AL361" s="35"/>
      <c r="AM361" s="34"/>
      <c r="AN361" s="35"/>
      <c r="AO361" s="34"/>
      <c r="AP361" s="36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</row>
    <row r="362" spans="2:76" s="28" customFormat="1">
      <c r="B362" s="27"/>
      <c r="D362" s="29"/>
      <c r="E362" s="30"/>
      <c r="G362" s="31"/>
      <c r="H362" s="32"/>
      <c r="I362" s="32"/>
      <c r="J362" s="32"/>
      <c r="K362" s="32"/>
      <c r="L362" s="32"/>
      <c r="O362" s="66"/>
      <c r="AI362" s="33"/>
      <c r="AJ362" s="33"/>
      <c r="AK362" s="34"/>
      <c r="AL362" s="35"/>
      <c r="AM362" s="34"/>
      <c r="AN362" s="35"/>
      <c r="AO362" s="34"/>
      <c r="AP362" s="36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</row>
    <row r="363" spans="2:76" s="28" customFormat="1">
      <c r="B363" s="27"/>
      <c r="D363" s="29"/>
      <c r="E363" s="30"/>
      <c r="G363" s="31"/>
      <c r="H363" s="32"/>
      <c r="I363" s="32"/>
      <c r="J363" s="32"/>
      <c r="K363" s="32"/>
      <c r="L363" s="32"/>
      <c r="O363" s="64"/>
      <c r="AI363" s="33"/>
      <c r="AJ363" s="33"/>
      <c r="AK363" s="34"/>
      <c r="AL363" s="35"/>
      <c r="AM363" s="34"/>
      <c r="AN363" s="35"/>
      <c r="AO363" s="34"/>
      <c r="AP363" s="36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</row>
    <row r="364" spans="2:76" s="28" customFormat="1">
      <c r="B364" s="27"/>
      <c r="D364" s="29"/>
      <c r="E364" s="30"/>
      <c r="G364" s="31"/>
      <c r="H364" s="32"/>
      <c r="I364" s="32"/>
      <c r="J364" s="32"/>
      <c r="K364" s="32"/>
      <c r="L364" s="32"/>
      <c r="O364" s="67"/>
      <c r="AI364" s="33"/>
      <c r="AJ364" s="33"/>
      <c r="AK364" s="34"/>
      <c r="AL364" s="35"/>
      <c r="AM364" s="34"/>
      <c r="AN364" s="35"/>
      <c r="AO364" s="34"/>
      <c r="AP364" s="36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</row>
    <row r="365" spans="2:76" s="28" customFormat="1">
      <c r="B365" s="27"/>
      <c r="D365" s="29"/>
      <c r="E365" s="30"/>
      <c r="G365" s="31"/>
      <c r="H365" s="32"/>
      <c r="I365" s="32"/>
      <c r="J365" s="32"/>
      <c r="K365" s="32"/>
      <c r="L365" s="32"/>
      <c r="O365" s="69"/>
      <c r="AI365" s="33"/>
      <c r="AJ365" s="33"/>
      <c r="AK365" s="34"/>
      <c r="AL365" s="35"/>
      <c r="AM365" s="34"/>
      <c r="AN365" s="35"/>
      <c r="AO365" s="34"/>
      <c r="AP365" s="36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</row>
    <row r="366" spans="2:76" s="28" customFormat="1">
      <c r="B366" s="27"/>
      <c r="D366" s="29"/>
      <c r="E366" s="30"/>
      <c r="G366" s="31"/>
      <c r="H366" s="32"/>
      <c r="I366" s="32"/>
      <c r="J366" s="32"/>
      <c r="K366" s="32"/>
      <c r="L366" s="32"/>
      <c r="O366" s="68"/>
      <c r="AI366" s="33"/>
      <c r="AJ366" s="33"/>
      <c r="AK366" s="34"/>
      <c r="AL366" s="35"/>
      <c r="AM366" s="34"/>
      <c r="AN366" s="35"/>
      <c r="AO366" s="34"/>
      <c r="AP366" s="36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</row>
    <row r="367" spans="2:76" s="28" customFormat="1">
      <c r="B367" s="27"/>
      <c r="D367" s="29"/>
      <c r="E367" s="30"/>
      <c r="G367" s="31"/>
      <c r="H367" s="32"/>
      <c r="I367" s="32"/>
      <c r="J367" s="32"/>
      <c r="K367" s="32"/>
      <c r="L367" s="32"/>
      <c r="O367" s="71"/>
      <c r="AI367" s="33"/>
      <c r="AJ367" s="33"/>
      <c r="AK367" s="34"/>
      <c r="AL367" s="35"/>
      <c r="AM367" s="34"/>
      <c r="AN367" s="35"/>
      <c r="AO367" s="34"/>
      <c r="AP367" s="36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</row>
    <row r="368" spans="2:76" s="28" customFormat="1">
      <c r="B368" s="27"/>
      <c r="D368" s="29"/>
      <c r="E368" s="30"/>
      <c r="G368" s="31"/>
      <c r="H368" s="32"/>
      <c r="I368" s="32"/>
      <c r="J368" s="32"/>
      <c r="K368" s="32"/>
      <c r="L368" s="32"/>
      <c r="O368" s="64"/>
      <c r="AI368" s="33"/>
      <c r="AJ368" s="33"/>
      <c r="AK368" s="34"/>
      <c r="AL368" s="35"/>
      <c r="AM368" s="34"/>
      <c r="AN368" s="35"/>
      <c r="AO368" s="34"/>
      <c r="AP368" s="36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</row>
    <row r="369" spans="2:76" s="28" customFormat="1">
      <c r="B369" s="27"/>
      <c r="D369" s="29"/>
      <c r="E369" s="30"/>
      <c r="G369" s="31"/>
      <c r="H369" s="32"/>
      <c r="I369" s="32"/>
      <c r="J369" s="32"/>
      <c r="K369" s="32"/>
      <c r="L369" s="32"/>
      <c r="O369" s="68"/>
      <c r="AI369" s="33"/>
      <c r="AJ369" s="33"/>
      <c r="AK369" s="34"/>
      <c r="AL369" s="35"/>
      <c r="AM369" s="34"/>
      <c r="AN369" s="35"/>
      <c r="AO369" s="34"/>
      <c r="AP369" s="36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</row>
    <row r="370" spans="2:76" s="28" customFormat="1">
      <c r="B370" s="27"/>
      <c r="D370" s="29"/>
      <c r="E370" s="30"/>
      <c r="G370" s="31"/>
      <c r="H370" s="32"/>
      <c r="I370" s="32"/>
      <c r="J370" s="32"/>
      <c r="K370" s="32"/>
      <c r="L370" s="32"/>
      <c r="O370" s="64"/>
      <c r="AI370" s="33"/>
      <c r="AJ370" s="33"/>
      <c r="AK370" s="34"/>
      <c r="AL370" s="35"/>
      <c r="AM370" s="34"/>
      <c r="AN370" s="35"/>
      <c r="AO370" s="34"/>
      <c r="AP370" s="36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</row>
    <row r="371" spans="2:76" s="28" customFormat="1">
      <c r="B371" s="27"/>
      <c r="D371" s="29"/>
      <c r="E371" s="30"/>
      <c r="G371" s="31"/>
      <c r="H371" s="32"/>
      <c r="I371" s="32"/>
      <c r="J371" s="32"/>
      <c r="K371" s="32"/>
      <c r="L371" s="32"/>
      <c r="O371" s="64"/>
      <c r="AI371" s="33"/>
      <c r="AJ371" s="33"/>
      <c r="AK371" s="34"/>
      <c r="AL371" s="35"/>
      <c r="AM371" s="34"/>
      <c r="AN371" s="35"/>
      <c r="AO371" s="34"/>
      <c r="AP371" s="36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</row>
    <row r="372" spans="2:76" s="28" customFormat="1">
      <c r="B372" s="27"/>
      <c r="D372" s="29"/>
      <c r="E372" s="30"/>
      <c r="G372" s="31"/>
      <c r="H372" s="32"/>
      <c r="I372" s="32"/>
      <c r="J372" s="32"/>
      <c r="K372" s="32"/>
      <c r="L372" s="32"/>
      <c r="O372" s="64"/>
      <c r="AI372" s="33"/>
      <c r="AJ372" s="33"/>
      <c r="AK372" s="34"/>
      <c r="AL372" s="35"/>
      <c r="AM372" s="34"/>
      <c r="AN372" s="35"/>
      <c r="AO372" s="34"/>
      <c r="AP372" s="36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</row>
    <row r="373" spans="2:76" s="28" customFormat="1">
      <c r="B373" s="27"/>
      <c r="D373" s="29"/>
      <c r="E373" s="30"/>
      <c r="G373" s="31"/>
      <c r="H373" s="32"/>
      <c r="I373" s="32"/>
      <c r="J373" s="32"/>
      <c r="K373" s="32"/>
      <c r="L373" s="32"/>
      <c r="O373" s="65"/>
      <c r="AI373" s="33"/>
      <c r="AJ373" s="33"/>
      <c r="AK373" s="34"/>
      <c r="AL373" s="35"/>
      <c r="AM373" s="34"/>
      <c r="AN373" s="35"/>
      <c r="AO373" s="34"/>
      <c r="AP373" s="36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</row>
    <row r="374" spans="2:76" s="28" customFormat="1">
      <c r="B374" s="27"/>
      <c r="D374" s="29"/>
      <c r="E374" s="30"/>
      <c r="G374" s="31"/>
      <c r="H374" s="32"/>
      <c r="I374" s="32"/>
      <c r="J374" s="32"/>
      <c r="K374" s="32"/>
      <c r="L374" s="32"/>
      <c r="O374" s="71"/>
      <c r="AI374" s="33"/>
      <c r="AJ374" s="33"/>
      <c r="AK374" s="34"/>
      <c r="AL374" s="35"/>
      <c r="AM374" s="34"/>
      <c r="AN374" s="35"/>
      <c r="AO374" s="34"/>
      <c r="AP374" s="36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</row>
    <row r="375" spans="2:76" s="28" customFormat="1">
      <c r="B375" s="27"/>
      <c r="D375" s="29"/>
      <c r="E375" s="30"/>
      <c r="G375" s="31"/>
      <c r="H375" s="32"/>
      <c r="I375" s="32"/>
      <c r="J375" s="32"/>
      <c r="K375" s="32"/>
      <c r="L375" s="32"/>
      <c r="O375" s="68"/>
      <c r="AI375" s="33"/>
      <c r="AJ375" s="33"/>
      <c r="AK375" s="34"/>
      <c r="AL375" s="35"/>
      <c r="AM375" s="34"/>
      <c r="AN375" s="35"/>
      <c r="AO375" s="34"/>
      <c r="AP375" s="36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</row>
    <row r="376" spans="2:76" s="28" customFormat="1">
      <c r="B376" s="27"/>
      <c r="D376" s="29"/>
      <c r="E376" s="30"/>
      <c r="G376" s="31"/>
      <c r="H376" s="32"/>
      <c r="I376" s="32"/>
      <c r="J376" s="32"/>
      <c r="K376" s="32"/>
      <c r="L376" s="32"/>
      <c r="O376" s="64"/>
      <c r="AI376" s="33"/>
      <c r="AJ376" s="33"/>
      <c r="AK376" s="34"/>
      <c r="AL376" s="35"/>
      <c r="AM376" s="34"/>
      <c r="AN376" s="35"/>
      <c r="AO376" s="34"/>
      <c r="AP376" s="36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</row>
    <row r="377" spans="2:76" s="28" customFormat="1">
      <c r="B377" s="27"/>
      <c r="D377" s="29"/>
      <c r="E377" s="30"/>
      <c r="G377" s="31"/>
      <c r="H377" s="32"/>
      <c r="I377" s="32"/>
      <c r="J377" s="32"/>
      <c r="K377" s="32"/>
      <c r="L377" s="32"/>
      <c r="O377" s="64"/>
      <c r="AI377" s="33"/>
      <c r="AJ377" s="33"/>
      <c r="AK377" s="34"/>
      <c r="AL377" s="35"/>
      <c r="AM377" s="34"/>
      <c r="AN377" s="35"/>
      <c r="AO377" s="34"/>
      <c r="AP377" s="36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</row>
    <row r="378" spans="2:76" s="28" customFormat="1">
      <c r="B378" s="27"/>
      <c r="D378" s="29"/>
      <c r="E378" s="30"/>
      <c r="G378" s="31"/>
      <c r="H378" s="32"/>
      <c r="I378" s="32"/>
      <c r="J378" s="32"/>
      <c r="K378" s="32"/>
      <c r="L378" s="32"/>
      <c r="O378" s="66"/>
      <c r="AI378" s="33"/>
      <c r="AJ378" s="33"/>
      <c r="AK378" s="34"/>
      <c r="AL378" s="35"/>
      <c r="AM378" s="34"/>
      <c r="AN378" s="35"/>
      <c r="AO378" s="34"/>
      <c r="AP378" s="36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</row>
    <row r="379" spans="2:76" s="28" customFormat="1">
      <c r="B379" s="27"/>
      <c r="D379" s="29"/>
      <c r="E379" s="30"/>
      <c r="G379" s="31"/>
      <c r="H379" s="32"/>
      <c r="I379" s="32"/>
      <c r="J379" s="32"/>
      <c r="K379" s="32"/>
      <c r="L379" s="32"/>
      <c r="O379" s="63"/>
      <c r="AI379" s="33"/>
      <c r="AJ379" s="33"/>
      <c r="AK379" s="34"/>
      <c r="AL379" s="35"/>
      <c r="AM379" s="34"/>
      <c r="AN379" s="35"/>
      <c r="AO379" s="34"/>
      <c r="AP379" s="36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</row>
    <row r="380" spans="2:76" s="28" customFormat="1">
      <c r="B380" s="27"/>
      <c r="D380" s="29"/>
      <c r="E380" s="30"/>
      <c r="G380" s="31"/>
      <c r="H380" s="32"/>
      <c r="I380" s="32"/>
      <c r="J380" s="32"/>
      <c r="K380" s="32"/>
      <c r="L380" s="32"/>
      <c r="O380" s="64"/>
      <c r="AI380" s="33"/>
      <c r="AJ380" s="33"/>
      <c r="AK380" s="34"/>
      <c r="AL380" s="35"/>
      <c r="AM380" s="34"/>
      <c r="AN380" s="35"/>
      <c r="AO380" s="34"/>
      <c r="AP380" s="36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</row>
    <row r="381" spans="2:76" s="28" customFormat="1">
      <c r="B381" s="27"/>
      <c r="D381" s="29"/>
      <c r="E381" s="30"/>
      <c r="G381" s="31"/>
      <c r="H381" s="32"/>
      <c r="I381" s="32"/>
      <c r="J381" s="32"/>
      <c r="K381" s="32"/>
      <c r="L381" s="32"/>
      <c r="O381" s="71"/>
      <c r="AI381" s="33"/>
      <c r="AJ381" s="33"/>
      <c r="AK381" s="34"/>
      <c r="AL381" s="35"/>
      <c r="AM381" s="34"/>
      <c r="AN381" s="35"/>
      <c r="AO381" s="34"/>
      <c r="AP381" s="36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</row>
    <row r="382" spans="2:76" s="28" customFormat="1">
      <c r="B382" s="27"/>
      <c r="D382" s="29"/>
      <c r="E382" s="30"/>
      <c r="G382" s="31"/>
      <c r="H382" s="32"/>
      <c r="I382" s="32"/>
      <c r="J382" s="32"/>
      <c r="K382" s="32"/>
      <c r="L382" s="32"/>
      <c r="O382" s="68"/>
      <c r="AI382" s="33"/>
      <c r="AJ382" s="33"/>
      <c r="AK382" s="34"/>
      <c r="AL382" s="35"/>
      <c r="AM382" s="34"/>
      <c r="AN382" s="35"/>
      <c r="AO382" s="34"/>
      <c r="AP382" s="36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</row>
    <row r="383" spans="2:76" s="28" customFormat="1">
      <c r="B383" s="27"/>
      <c r="D383" s="29"/>
      <c r="E383" s="30"/>
      <c r="G383" s="31"/>
      <c r="H383" s="32"/>
      <c r="I383" s="32"/>
      <c r="J383" s="32"/>
      <c r="K383" s="32"/>
      <c r="L383" s="32"/>
      <c r="O383" s="64"/>
      <c r="AI383" s="33"/>
      <c r="AJ383" s="33"/>
      <c r="AK383" s="34"/>
      <c r="AL383" s="35"/>
      <c r="AM383" s="34"/>
      <c r="AN383" s="35"/>
      <c r="AO383" s="34"/>
      <c r="AP383" s="36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</row>
    <row r="384" spans="2:76" s="28" customFormat="1">
      <c r="B384" s="27"/>
      <c r="D384" s="29"/>
      <c r="E384" s="30"/>
      <c r="G384" s="31"/>
      <c r="H384" s="32"/>
      <c r="I384" s="32"/>
      <c r="J384" s="32"/>
      <c r="K384" s="32"/>
      <c r="L384" s="32"/>
      <c r="O384" s="70"/>
      <c r="AI384" s="33"/>
      <c r="AJ384" s="33"/>
      <c r="AK384" s="34"/>
      <c r="AL384" s="35"/>
      <c r="AM384" s="34"/>
      <c r="AN384" s="35"/>
      <c r="AO384" s="34"/>
      <c r="AP384" s="36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</row>
    <row r="385" spans="2:76" s="28" customFormat="1">
      <c r="B385" s="27"/>
      <c r="D385" s="29"/>
      <c r="E385" s="30"/>
      <c r="G385" s="31"/>
      <c r="H385" s="32"/>
      <c r="I385" s="32"/>
      <c r="J385" s="32"/>
      <c r="K385" s="32"/>
      <c r="L385" s="32"/>
      <c r="O385" s="64"/>
      <c r="AI385" s="33"/>
      <c r="AJ385" s="33"/>
      <c r="AK385" s="34"/>
      <c r="AL385" s="35"/>
      <c r="AM385" s="34"/>
      <c r="AN385" s="35"/>
      <c r="AO385" s="34"/>
      <c r="AP385" s="36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</row>
    <row r="386" spans="2:76" s="28" customFormat="1">
      <c r="B386" s="27"/>
      <c r="D386" s="29"/>
      <c r="E386" s="30"/>
      <c r="G386" s="31"/>
      <c r="H386" s="32"/>
      <c r="I386" s="32"/>
      <c r="J386" s="32"/>
      <c r="K386" s="32"/>
      <c r="L386" s="32"/>
      <c r="O386" s="64"/>
      <c r="AI386" s="33"/>
      <c r="AJ386" s="33"/>
      <c r="AK386" s="34"/>
      <c r="AL386" s="35"/>
      <c r="AM386" s="34"/>
      <c r="AN386" s="35"/>
      <c r="AO386" s="34"/>
      <c r="AP386" s="36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</row>
    <row r="387" spans="2:76" s="28" customFormat="1">
      <c r="B387" s="27"/>
      <c r="D387" s="29"/>
      <c r="E387" s="30"/>
      <c r="G387" s="31"/>
      <c r="H387" s="32"/>
      <c r="I387" s="32"/>
      <c r="J387" s="32"/>
      <c r="K387" s="32"/>
      <c r="L387" s="32"/>
      <c r="O387" s="66"/>
      <c r="AI387" s="33"/>
      <c r="AJ387" s="33"/>
      <c r="AK387" s="34"/>
      <c r="AL387" s="35"/>
      <c r="AM387" s="34"/>
      <c r="AN387" s="35"/>
      <c r="AO387" s="34"/>
      <c r="AP387" s="36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</row>
    <row r="388" spans="2:76" s="28" customFormat="1">
      <c r="B388" s="27"/>
      <c r="D388" s="29"/>
      <c r="E388" s="30"/>
      <c r="G388" s="31"/>
      <c r="H388" s="32"/>
      <c r="I388" s="32"/>
      <c r="J388" s="32"/>
      <c r="K388" s="32"/>
      <c r="L388" s="32"/>
      <c r="O388" s="64"/>
      <c r="AI388" s="33"/>
      <c r="AJ388" s="33"/>
      <c r="AK388" s="34"/>
      <c r="AL388" s="35"/>
      <c r="AM388" s="34"/>
      <c r="AN388" s="35"/>
      <c r="AO388" s="34"/>
      <c r="AP388" s="36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</row>
    <row r="389" spans="2:76" s="28" customFormat="1">
      <c r="B389" s="27"/>
      <c r="D389" s="29"/>
      <c r="E389" s="30"/>
      <c r="G389" s="31"/>
      <c r="H389" s="32"/>
      <c r="I389" s="32"/>
      <c r="J389" s="32"/>
      <c r="K389" s="32"/>
      <c r="L389" s="32"/>
      <c r="O389" s="64"/>
      <c r="AI389" s="33"/>
      <c r="AJ389" s="33"/>
      <c r="AK389" s="34"/>
      <c r="AL389" s="35"/>
      <c r="AM389" s="34"/>
      <c r="AN389" s="35"/>
      <c r="AO389" s="34"/>
      <c r="AP389" s="36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</row>
    <row r="390" spans="2:76" s="28" customFormat="1">
      <c r="B390" s="27"/>
      <c r="D390" s="29"/>
      <c r="E390" s="30"/>
      <c r="G390" s="31"/>
      <c r="H390" s="32"/>
      <c r="I390" s="32"/>
      <c r="J390" s="32"/>
      <c r="K390" s="32"/>
      <c r="L390" s="32"/>
      <c r="O390" s="63"/>
      <c r="AI390" s="33"/>
      <c r="AJ390" s="33"/>
      <c r="AK390" s="34"/>
      <c r="AL390" s="35"/>
      <c r="AM390" s="34"/>
      <c r="AN390" s="35"/>
      <c r="AO390" s="34"/>
      <c r="AP390" s="36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</row>
    <row r="391" spans="2:76" s="28" customFormat="1">
      <c r="B391" s="27"/>
      <c r="D391" s="29"/>
      <c r="E391" s="30"/>
      <c r="G391" s="31"/>
      <c r="H391" s="32"/>
      <c r="I391" s="32"/>
      <c r="J391" s="32"/>
      <c r="K391" s="32"/>
      <c r="L391" s="32"/>
      <c r="O391" s="68"/>
      <c r="AI391" s="33"/>
      <c r="AJ391" s="33"/>
      <c r="AK391" s="34"/>
      <c r="AL391" s="35"/>
      <c r="AM391" s="34"/>
      <c r="AN391" s="35"/>
      <c r="AO391" s="34"/>
      <c r="AP391" s="36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</row>
    <row r="392" spans="2:76" s="28" customFormat="1">
      <c r="B392" s="27"/>
      <c r="D392" s="29"/>
      <c r="E392" s="30"/>
      <c r="G392" s="31"/>
      <c r="H392" s="32"/>
      <c r="I392" s="32"/>
      <c r="J392" s="32"/>
      <c r="K392" s="32"/>
      <c r="L392" s="32"/>
      <c r="O392" s="67"/>
      <c r="AI392" s="33"/>
      <c r="AJ392" s="33"/>
      <c r="AK392" s="34"/>
      <c r="AL392" s="35"/>
      <c r="AM392" s="34"/>
      <c r="AN392" s="35"/>
      <c r="AO392" s="34"/>
      <c r="AP392" s="36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</row>
    <row r="393" spans="2:76" s="28" customFormat="1">
      <c r="B393" s="27"/>
      <c r="D393" s="29"/>
      <c r="E393" s="30"/>
      <c r="G393" s="31"/>
      <c r="H393" s="32"/>
      <c r="I393" s="32"/>
      <c r="J393" s="32"/>
      <c r="K393" s="32"/>
      <c r="L393" s="32"/>
      <c r="O393" s="68"/>
      <c r="AI393" s="33"/>
      <c r="AJ393" s="33"/>
      <c r="AK393" s="34"/>
      <c r="AL393" s="35"/>
      <c r="AM393" s="34"/>
      <c r="AN393" s="35"/>
      <c r="AO393" s="34"/>
      <c r="AP393" s="36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</row>
    <row r="394" spans="2:76" s="28" customFormat="1">
      <c r="B394" s="27"/>
      <c r="D394" s="29"/>
      <c r="E394" s="30"/>
      <c r="G394" s="31"/>
      <c r="H394" s="32"/>
      <c r="I394" s="32"/>
      <c r="J394" s="32"/>
      <c r="K394" s="32"/>
      <c r="L394" s="32"/>
      <c r="O394" s="64"/>
      <c r="AI394" s="33"/>
      <c r="AJ394" s="33"/>
      <c r="AK394" s="34"/>
      <c r="AL394" s="35"/>
      <c r="AM394" s="34"/>
      <c r="AN394" s="35"/>
      <c r="AO394" s="34"/>
      <c r="AP394" s="36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</row>
    <row r="395" spans="2:76" s="28" customFormat="1">
      <c r="B395" s="27"/>
      <c r="D395" s="29"/>
      <c r="E395" s="30"/>
      <c r="G395" s="31"/>
      <c r="H395" s="32"/>
      <c r="I395" s="32"/>
      <c r="J395" s="32"/>
      <c r="K395" s="32"/>
      <c r="L395" s="32"/>
      <c r="O395" s="64"/>
      <c r="AI395" s="33"/>
      <c r="AJ395" s="33"/>
      <c r="AK395" s="34"/>
      <c r="AL395" s="35"/>
      <c r="AM395" s="34"/>
      <c r="AN395" s="35"/>
      <c r="AO395" s="34"/>
      <c r="AP395" s="36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</row>
    <row r="396" spans="2:76" s="28" customFormat="1">
      <c r="B396" s="27"/>
      <c r="D396" s="29"/>
      <c r="E396" s="30"/>
      <c r="G396" s="31"/>
      <c r="H396" s="32"/>
      <c r="I396" s="32"/>
      <c r="J396" s="32"/>
      <c r="K396" s="32"/>
      <c r="L396" s="32"/>
      <c r="O396" s="64"/>
      <c r="AI396" s="33"/>
      <c r="AJ396" s="33"/>
      <c r="AK396" s="34"/>
      <c r="AL396" s="35"/>
      <c r="AM396" s="34"/>
      <c r="AN396" s="35"/>
      <c r="AO396" s="34"/>
      <c r="AP396" s="36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</row>
    <row r="397" spans="2:76" s="28" customFormat="1">
      <c r="B397" s="27"/>
      <c r="D397" s="29"/>
      <c r="E397" s="30"/>
      <c r="G397" s="31"/>
      <c r="H397" s="32"/>
      <c r="I397" s="32"/>
      <c r="J397" s="32"/>
      <c r="K397" s="32"/>
      <c r="L397" s="32"/>
      <c r="O397" s="68"/>
      <c r="AI397" s="33"/>
      <c r="AJ397" s="33"/>
      <c r="AK397" s="34"/>
      <c r="AL397" s="35"/>
      <c r="AM397" s="34"/>
      <c r="AN397" s="35"/>
      <c r="AO397" s="34"/>
      <c r="AP397" s="36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</row>
    <row r="398" spans="2:76" s="28" customFormat="1">
      <c r="B398" s="27"/>
      <c r="D398" s="29"/>
      <c r="E398" s="30"/>
      <c r="G398" s="31"/>
      <c r="H398" s="32"/>
      <c r="I398" s="32"/>
      <c r="J398" s="32"/>
      <c r="K398" s="32"/>
      <c r="L398" s="32"/>
      <c r="O398" s="76"/>
      <c r="AI398" s="33"/>
      <c r="AJ398" s="33"/>
      <c r="AK398" s="34"/>
      <c r="AL398" s="35"/>
      <c r="AM398" s="34"/>
      <c r="AN398" s="35"/>
      <c r="AO398" s="34"/>
      <c r="AP398" s="36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</row>
    <row r="399" spans="2:76" s="28" customFormat="1">
      <c r="B399" s="27"/>
      <c r="D399" s="29"/>
      <c r="E399" s="30"/>
      <c r="G399" s="31"/>
      <c r="H399" s="32"/>
      <c r="I399" s="32"/>
      <c r="J399" s="32"/>
      <c r="K399" s="32"/>
      <c r="L399" s="32"/>
      <c r="O399" s="64"/>
      <c r="AI399" s="33"/>
      <c r="AJ399" s="33"/>
      <c r="AK399" s="34"/>
      <c r="AL399" s="35"/>
      <c r="AM399" s="34"/>
      <c r="AN399" s="35"/>
      <c r="AO399" s="34"/>
      <c r="AP399" s="36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</row>
    <row r="400" spans="2:76" s="28" customFormat="1">
      <c r="B400" s="27"/>
      <c r="D400" s="29"/>
      <c r="E400" s="30"/>
      <c r="G400" s="31"/>
      <c r="H400" s="32"/>
      <c r="I400" s="32"/>
      <c r="J400" s="32"/>
      <c r="K400" s="32"/>
      <c r="L400" s="32"/>
      <c r="O400" s="68"/>
      <c r="AI400" s="33"/>
      <c r="AJ400" s="33"/>
      <c r="AK400" s="34"/>
      <c r="AL400" s="35"/>
      <c r="AM400" s="34"/>
      <c r="AN400" s="35"/>
      <c r="AO400" s="34"/>
      <c r="AP400" s="36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</row>
    <row r="401" spans="2:76" s="28" customFormat="1">
      <c r="B401" s="27"/>
      <c r="D401" s="29"/>
      <c r="E401" s="30"/>
      <c r="G401" s="31"/>
      <c r="H401" s="32"/>
      <c r="I401" s="32"/>
      <c r="J401" s="32"/>
      <c r="K401" s="32"/>
      <c r="L401" s="32"/>
      <c r="O401" s="72"/>
      <c r="AI401" s="33"/>
      <c r="AJ401" s="33"/>
      <c r="AK401" s="34"/>
      <c r="AL401" s="35"/>
      <c r="AM401" s="34"/>
      <c r="AN401" s="35"/>
      <c r="AO401" s="34"/>
      <c r="AP401" s="36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</row>
    <row r="402" spans="2:76" s="28" customFormat="1">
      <c r="B402" s="27"/>
      <c r="D402" s="29"/>
      <c r="E402" s="30"/>
      <c r="G402" s="31"/>
      <c r="H402" s="32"/>
      <c r="I402" s="32"/>
      <c r="J402" s="32"/>
      <c r="K402" s="32"/>
      <c r="L402" s="32"/>
      <c r="O402" s="71"/>
      <c r="AI402" s="33"/>
      <c r="AJ402" s="33"/>
      <c r="AK402" s="34"/>
      <c r="AL402" s="35"/>
      <c r="AM402" s="34"/>
      <c r="AN402" s="35"/>
      <c r="AO402" s="34"/>
      <c r="AP402" s="36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</row>
    <row r="403" spans="2:76" s="28" customFormat="1">
      <c r="B403" s="27"/>
      <c r="D403" s="29"/>
      <c r="E403" s="30"/>
      <c r="G403" s="31"/>
      <c r="H403" s="32"/>
      <c r="I403" s="32"/>
      <c r="J403" s="32"/>
      <c r="K403" s="32"/>
      <c r="L403" s="32"/>
      <c r="O403" s="64"/>
      <c r="AI403" s="33"/>
      <c r="AJ403" s="33"/>
      <c r="AK403" s="34"/>
      <c r="AL403" s="35"/>
      <c r="AM403" s="34"/>
      <c r="AN403" s="35"/>
      <c r="AO403" s="34"/>
      <c r="AP403" s="36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</row>
    <row r="404" spans="2:76" s="28" customFormat="1">
      <c r="B404" s="27"/>
      <c r="D404" s="29"/>
      <c r="E404" s="30"/>
      <c r="G404" s="31"/>
      <c r="H404" s="32"/>
      <c r="I404" s="32"/>
      <c r="J404" s="32"/>
      <c r="K404" s="32"/>
      <c r="L404" s="32"/>
      <c r="O404" s="71"/>
      <c r="AI404" s="33"/>
      <c r="AJ404" s="33"/>
      <c r="AK404" s="34"/>
      <c r="AL404" s="35"/>
      <c r="AM404" s="34"/>
      <c r="AN404" s="35"/>
      <c r="AO404" s="34"/>
      <c r="AP404" s="36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</row>
    <row r="405" spans="2:76" s="28" customFormat="1">
      <c r="B405" s="27"/>
      <c r="D405" s="29"/>
      <c r="E405" s="30"/>
      <c r="G405" s="31"/>
      <c r="H405" s="32"/>
      <c r="I405" s="32"/>
      <c r="J405" s="32"/>
      <c r="K405" s="32"/>
      <c r="L405" s="32"/>
      <c r="O405" s="64"/>
      <c r="AI405" s="33"/>
      <c r="AJ405" s="33"/>
      <c r="AK405" s="34"/>
      <c r="AL405" s="35"/>
      <c r="AM405" s="34"/>
      <c r="AN405" s="35"/>
      <c r="AO405" s="34"/>
      <c r="AP405" s="36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</row>
    <row r="406" spans="2:76" s="28" customFormat="1">
      <c r="B406" s="27"/>
      <c r="D406" s="29"/>
      <c r="E406" s="30"/>
      <c r="G406" s="31"/>
      <c r="H406" s="32"/>
      <c r="I406" s="32"/>
      <c r="J406" s="32"/>
      <c r="K406" s="32"/>
      <c r="L406" s="32"/>
      <c r="O406" s="70"/>
      <c r="AI406" s="33"/>
      <c r="AJ406" s="33"/>
      <c r="AK406" s="34"/>
      <c r="AL406" s="35"/>
      <c r="AM406" s="34"/>
      <c r="AN406" s="35"/>
      <c r="AO406" s="34"/>
      <c r="AP406" s="36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</row>
    <row r="407" spans="2:76" s="28" customFormat="1">
      <c r="B407" s="27"/>
      <c r="D407" s="29"/>
      <c r="E407" s="30"/>
      <c r="G407" s="31"/>
      <c r="H407" s="32"/>
      <c r="I407" s="32"/>
      <c r="J407" s="32"/>
      <c r="K407" s="32"/>
      <c r="L407" s="32"/>
      <c r="O407" s="64"/>
      <c r="AI407" s="33"/>
      <c r="AJ407" s="33"/>
      <c r="AK407" s="34"/>
      <c r="AL407" s="35"/>
      <c r="AM407" s="34"/>
      <c r="AN407" s="35"/>
      <c r="AO407" s="34"/>
      <c r="AP407" s="36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</row>
    <row r="408" spans="2:76" s="28" customFormat="1">
      <c r="B408" s="27"/>
      <c r="D408" s="29"/>
      <c r="E408" s="30"/>
      <c r="G408" s="31"/>
      <c r="H408" s="32"/>
      <c r="I408" s="32"/>
      <c r="J408" s="32"/>
      <c r="K408" s="32"/>
      <c r="L408" s="32"/>
      <c r="O408" s="68"/>
      <c r="AI408" s="33"/>
      <c r="AJ408" s="33"/>
      <c r="AK408" s="34"/>
      <c r="AL408" s="35"/>
      <c r="AM408" s="34"/>
      <c r="AN408" s="35"/>
      <c r="AO408" s="34"/>
      <c r="AP408" s="36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</row>
    <row r="409" spans="2:76" s="28" customFormat="1">
      <c r="B409" s="27"/>
      <c r="D409" s="29"/>
      <c r="E409" s="30"/>
      <c r="G409" s="31"/>
      <c r="H409" s="32"/>
      <c r="I409" s="32"/>
      <c r="J409" s="32"/>
      <c r="K409" s="32"/>
      <c r="L409" s="32"/>
      <c r="O409" s="70"/>
      <c r="AI409" s="33"/>
      <c r="AJ409" s="33"/>
      <c r="AK409" s="34"/>
      <c r="AL409" s="35"/>
      <c r="AM409" s="34"/>
      <c r="AN409" s="35"/>
      <c r="AO409" s="34"/>
      <c r="AP409" s="36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</row>
    <row r="410" spans="2:76" s="28" customFormat="1">
      <c r="B410" s="27"/>
      <c r="D410" s="29"/>
      <c r="E410" s="30"/>
      <c r="G410" s="31"/>
      <c r="H410" s="32"/>
      <c r="I410" s="32"/>
      <c r="J410" s="32"/>
      <c r="K410" s="32"/>
      <c r="L410" s="32"/>
      <c r="O410" s="66"/>
      <c r="AI410" s="33"/>
      <c r="AJ410" s="33"/>
      <c r="AK410" s="34"/>
      <c r="AL410" s="35"/>
      <c r="AM410" s="34"/>
      <c r="AN410" s="35"/>
      <c r="AO410" s="34"/>
      <c r="AP410" s="36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</row>
    <row r="411" spans="2:76" s="28" customFormat="1">
      <c r="B411" s="27"/>
      <c r="D411" s="29"/>
      <c r="E411" s="30"/>
      <c r="G411" s="31"/>
      <c r="H411" s="32"/>
      <c r="I411" s="32"/>
      <c r="J411" s="32"/>
      <c r="K411" s="32"/>
      <c r="L411" s="32"/>
      <c r="O411" s="79"/>
      <c r="AI411" s="33"/>
      <c r="AJ411" s="33"/>
      <c r="AK411" s="34"/>
      <c r="AL411" s="35"/>
      <c r="AM411" s="34"/>
      <c r="AN411" s="35"/>
      <c r="AO411" s="34"/>
      <c r="AP411" s="36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</row>
    <row r="412" spans="2:76" s="28" customFormat="1">
      <c r="B412" s="27"/>
      <c r="D412" s="29"/>
      <c r="E412" s="30"/>
      <c r="G412" s="31"/>
      <c r="H412" s="32"/>
      <c r="I412" s="32"/>
      <c r="J412" s="32"/>
      <c r="K412" s="32"/>
      <c r="L412" s="32"/>
      <c r="O412" s="70"/>
      <c r="AI412" s="33"/>
      <c r="AJ412" s="33"/>
      <c r="AK412" s="34"/>
      <c r="AL412" s="35"/>
      <c r="AM412" s="34"/>
      <c r="AN412" s="35"/>
      <c r="AO412" s="34"/>
      <c r="AP412" s="36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</row>
    <row r="413" spans="2:76" s="28" customFormat="1">
      <c r="B413" s="27"/>
      <c r="D413" s="29"/>
      <c r="E413" s="30"/>
      <c r="G413" s="31"/>
      <c r="H413" s="32"/>
      <c r="I413" s="32"/>
      <c r="J413" s="32"/>
      <c r="K413" s="32"/>
      <c r="L413" s="32"/>
      <c r="O413" s="64"/>
      <c r="AI413" s="33"/>
      <c r="AJ413" s="33"/>
      <c r="AK413" s="34"/>
      <c r="AL413" s="35"/>
      <c r="AM413" s="34"/>
      <c r="AN413" s="35"/>
      <c r="AO413" s="34"/>
      <c r="AP413" s="36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</row>
    <row r="414" spans="2:76" s="28" customFormat="1">
      <c r="B414" s="27"/>
      <c r="D414" s="29"/>
      <c r="E414" s="30"/>
      <c r="G414" s="31"/>
      <c r="H414" s="32"/>
      <c r="I414" s="32"/>
      <c r="J414" s="32"/>
      <c r="K414" s="32"/>
      <c r="L414" s="32"/>
      <c r="O414" s="70"/>
      <c r="AI414" s="33"/>
      <c r="AJ414" s="33"/>
      <c r="AK414" s="34"/>
      <c r="AL414" s="35"/>
      <c r="AM414" s="34"/>
      <c r="AN414" s="35"/>
      <c r="AO414" s="34"/>
      <c r="AP414" s="36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</row>
    <row r="415" spans="2:76" s="28" customFormat="1">
      <c r="B415" s="27"/>
      <c r="D415" s="29"/>
      <c r="E415" s="30"/>
      <c r="G415" s="31"/>
      <c r="H415" s="32"/>
      <c r="I415" s="32"/>
      <c r="J415" s="32"/>
      <c r="K415" s="32"/>
      <c r="L415" s="32"/>
      <c r="O415" s="68"/>
      <c r="AI415" s="33"/>
      <c r="AJ415" s="33"/>
      <c r="AK415" s="34"/>
      <c r="AL415" s="35"/>
      <c r="AM415" s="34"/>
      <c r="AN415" s="35"/>
      <c r="AO415" s="34"/>
      <c r="AP415" s="36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</row>
    <row r="416" spans="2:76" s="28" customFormat="1">
      <c r="B416" s="27"/>
      <c r="D416" s="29"/>
      <c r="E416" s="30"/>
      <c r="G416" s="31"/>
      <c r="H416" s="32"/>
      <c r="I416" s="32"/>
      <c r="J416" s="32"/>
      <c r="K416" s="32"/>
      <c r="L416" s="32"/>
      <c r="O416" s="64"/>
      <c r="AI416" s="33"/>
      <c r="AJ416" s="33"/>
      <c r="AK416" s="34"/>
      <c r="AL416" s="35"/>
      <c r="AM416" s="34"/>
      <c r="AN416" s="35"/>
      <c r="AO416" s="34"/>
      <c r="AP416" s="36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</row>
    <row r="417" spans="2:76" s="28" customFormat="1">
      <c r="B417" s="27"/>
      <c r="D417" s="29"/>
      <c r="E417" s="30"/>
      <c r="G417" s="31"/>
      <c r="H417" s="32"/>
      <c r="I417" s="32"/>
      <c r="J417" s="32"/>
      <c r="K417" s="32"/>
      <c r="L417" s="32"/>
      <c r="O417" s="64"/>
      <c r="AI417" s="33"/>
      <c r="AJ417" s="33"/>
      <c r="AK417" s="34"/>
      <c r="AL417" s="35"/>
      <c r="AM417" s="34"/>
      <c r="AN417" s="35"/>
      <c r="AO417" s="34"/>
      <c r="AP417" s="36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</row>
    <row r="418" spans="2:76" s="28" customFormat="1">
      <c r="B418" s="27"/>
      <c r="D418" s="29"/>
      <c r="E418" s="30"/>
      <c r="G418" s="31"/>
      <c r="H418" s="32"/>
      <c r="I418" s="32"/>
      <c r="J418" s="32"/>
      <c r="K418" s="32"/>
      <c r="L418" s="32"/>
      <c r="O418" s="71"/>
      <c r="AI418" s="33"/>
      <c r="AJ418" s="33"/>
      <c r="AK418" s="34"/>
      <c r="AL418" s="35"/>
      <c r="AM418" s="34"/>
      <c r="AN418" s="35"/>
      <c r="AO418" s="34"/>
      <c r="AP418" s="36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</row>
    <row r="419" spans="2:76" s="28" customFormat="1">
      <c r="B419" s="27"/>
      <c r="D419" s="29"/>
      <c r="E419" s="30"/>
      <c r="G419" s="31"/>
      <c r="H419" s="32"/>
      <c r="I419" s="32"/>
      <c r="J419" s="32"/>
      <c r="K419" s="32"/>
      <c r="L419" s="32"/>
      <c r="O419" s="75"/>
      <c r="AI419" s="33"/>
      <c r="AJ419" s="33"/>
      <c r="AK419" s="34"/>
      <c r="AL419" s="35"/>
      <c r="AM419" s="34"/>
      <c r="AN419" s="35"/>
      <c r="AO419" s="34"/>
      <c r="AP419" s="36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</row>
    <row r="420" spans="2:76" s="28" customFormat="1">
      <c r="B420" s="27"/>
      <c r="D420" s="29"/>
      <c r="E420" s="30"/>
      <c r="G420" s="31"/>
      <c r="H420" s="32"/>
      <c r="I420" s="32"/>
      <c r="J420" s="32"/>
      <c r="K420" s="32"/>
      <c r="L420" s="32"/>
      <c r="O420" s="64"/>
      <c r="AI420" s="33"/>
      <c r="AJ420" s="33"/>
      <c r="AK420" s="34"/>
      <c r="AL420" s="35"/>
      <c r="AM420" s="34"/>
      <c r="AN420" s="35"/>
      <c r="AO420" s="34"/>
      <c r="AP420" s="36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</row>
    <row r="421" spans="2:76" s="28" customFormat="1">
      <c r="B421" s="27"/>
      <c r="D421" s="29"/>
      <c r="E421" s="30"/>
      <c r="G421" s="31"/>
      <c r="H421" s="32"/>
      <c r="I421" s="32"/>
      <c r="J421" s="32"/>
      <c r="K421" s="32"/>
      <c r="L421" s="32"/>
      <c r="O421" s="68"/>
      <c r="AI421" s="33"/>
      <c r="AJ421" s="33"/>
      <c r="AK421" s="34"/>
      <c r="AL421" s="35"/>
      <c r="AM421" s="34"/>
      <c r="AN421" s="35"/>
      <c r="AO421" s="34"/>
      <c r="AP421" s="36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</row>
    <row r="422" spans="2:76" s="28" customFormat="1">
      <c r="B422" s="27"/>
      <c r="D422" s="29"/>
      <c r="E422" s="30"/>
      <c r="G422" s="31"/>
      <c r="H422" s="32"/>
      <c r="I422" s="32"/>
      <c r="J422" s="32"/>
      <c r="K422" s="32"/>
      <c r="L422" s="32"/>
      <c r="O422" s="64"/>
      <c r="AI422" s="33"/>
      <c r="AJ422" s="33"/>
      <c r="AK422" s="34"/>
      <c r="AL422" s="35"/>
      <c r="AM422" s="34"/>
      <c r="AN422" s="35"/>
      <c r="AO422" s="34"/>
      <c r="AP422" s="36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</row>
    <row r="423" spans="2:76" s="28" customFormat="1">
      <c r="B423" s="27"/>
      <c r="D423" s="29"/>
      <c r="E423" s="30"/>
      <c r="G423" s="31"/>
      <c r="H423" s="32"/>
      <c r="I423" s="32"/>
      <c r="J423" s="32"/>
      <c r="K423" s="32"/>
      <c r="L423" s="32"/>
      <c r="O423" s="63"/>
      <c r="AI423" s="33"/>
      <c r="AJ423" s="33"/>
      <c r="AK423" s="34"/>
      <c r="AL423" s="35"/>
      <c r="AM423" s="34"/>
      <c r="AN423" s="35"/>
      <c r="AO423" s="34"/>
      <c r="AP423" s="36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</row>
    <row r="424" spans="2:76" s="28" customFormat="1">
      <c r="B424" s="27"/>
      <c r="D424" s="29"/>
      <c r="E424" s="30"/>
      <c r="G424" s="31"/>
      <c r="H424" s="32"/>
      <c r="I424" s="32"/>
      <c r="J424" s="32"/>
      <c r="K424" s="32"/>
      <c r="L424" s="32"/>
      <c r="O424" s="67"/>
      <c r="AI424" s="33"/>
      <c r="AJ424" s="33"/>
      <c r="AK424" s="34"/>
      <c r="AL424" s="35"/>
      <c r="AM424" s="34"/>
      <c r="AN424" s="35"/>
      <c r="AO424" s="34"/>
      <c r="AP424" s="36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</row>
    <row r="425" spans="2:76" s="28" customFormat="1">
      <c r="B425" s="27"/>
      <c r="D425" s="29"/>
      <c r="E425" s="30"/>
      <c r="G425" s="31"/>
      <c r="H425" s="32"/>
      <c r="I425" s="32"/>
      <c r="J425" s="32"/>
      <c r="K425" s="32"/>
      <c r="L425" s="32"/>
      <c r="O425" s="72"/>
      <c r="AI425" s="33"/>
      <c r="AJ425" s="33"/>
      <c r="AK425" s="34"/>
      <c r="AL425" s="35"/>
      <c r="AM425" s="34"/>
      <c r="AN425" s="35"/>
      <c r="AO425" s="34"/>
      <c r="AP425" s="36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</row>
    <row r="426" spans="2:76" s="28" customFormat="1">
      <c r="B426" s="27"/>
      <c r="D426" s="29"/>
      <c r="E426" s="30"/>
      <c r="G426" s="31"/>
      <c r="H426" s="32"/>
      <c r="I426" s="32"/>
      <c r="J426" s="32"/>
      <c r="K426" s="32"/>
      <c r="L426" s="32"/>
      <c r="O426" s="67"/>
      <c r="AI426" s="33"/>
      <c r="AJ426" s="33"/>
      <c r="AK426" s="34"/>
      <c r="AL426" s="35"/>
      <c r="AM426" s="34"/>
      <c r="AN426" s="35"/>
      <c r="AO426" s="34"/>
      <c r="AP426" s="36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</row>
    <row r="427" spans="2:76" s="28" customFormat="1">
      <c r="B427" s="27"/>
      <c r="D427" s="29"/>
      <c r="E427" s="30"/>
      <c r="G427" s="31"/>
      <c r="H427" s="32"/>
      <c r="I427" s="32"/>
      <c r="J427" s="32"/>
      <c r="K427" s="32"/>
      <c r="L427" s="32"/>
      <c r="O427" s="63"/>
      <c r="AI427" s="33"/>
      <c r="AJ427" s="33"/>
      <c r="AK427" s="34"/>
      <c r="AL427" s="35"/>
      <c r="AM427" s="34"/>
      <c r="AN427" s="35"/>
      <c r="AO427" s="34"/>
      <c r="AP427" s="36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</row>
    <row r="428" spans="2:76" s="28" customFormat="1">
      <c r="B428" s="27"/>
      <c r="D428" s="29"/>
      <c r="E428" s="30"/>
      <c r="G428" s="31"/>
      <c r="H428" s="32"/>
      <c r="I428" s="32"/>
      <c r="J428" s="32"/>
      <c r="K428" s="32"/>
      <c r="L428" s="32"/>
      <c r="O428" s="74"/>
      <c r="AI428" s="33"/>
      <c r="AJ428" s="33"/>
      <c r="AK428" s="34"/>
      <c r="AL428" s="35"/>
      <c r="AM428" s="34"/>
      <c r="AN428" s="35"/>
      <c r="AO428" s="34"/>
      <c r="AP428" s="36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</row>
    <row r="429" spans="2:76" s="28" customFormat="1">
      <c r="B429" s="27"/>
      <c r="D429" s="29"/>
      <c r="E429" s="30"/>
      <c r="G429" s="31"/>
      <c r="H429" s="32"/>
      <c r="I429" s="32"/>
      <c r="J429" s="32"/>
      <c r="K429" s="32"/>
      <c r="L429" s="32"/>
      <c r="O429" s="64"/>
      <c r="AI429" s="33"/>
      <c r="AJ429" s="33"/>
      <c r="AK429" s="34"/>
      <c r="AL429" s="35"/>
      <c r="AM429" s="34"/>
      <c r="AN429" s="35"/>
      <c r="AO429" s="34"/>
      <c r="AP429" s="36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</row>
    <row r="430" spans="2:76" s="28" customFormat="1">
      <c r="B430" s="27"/>
      <c r="D430" s="29"/>
      <c r="E430" s="30"/>
      <c r="G430" s="31"/>
      <c r="H430" s="32"/>
      <c r="I430" s="32"/>
      <c r="J430" s="32"/>
      <c r="K430" s="32"/>
      <c r="L430" s="32"/>
      <c r="O430" s="63"/>
      <c r="AI430" s="33"/>
      <c r="AJ430" s="33"/>
      <c r="AK430" s="34"/>
      <c r="AL430" s="35"/>
      <c r="AM430" s="34"/>
      <c r="AN430" s="35"/>
      <c r="AO430" s="34"/>
      <c r="AP430" s="36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</row>
    <row r="431" spans="2:76" s="28" customFormat="1">
      <c r="B431" s="27"/>
      <c r="D431" s="29"/>
      <c r="E431" s="30"/>
      <c r="G431" s="31"/>
      <c r="H431" s="32"/>
      <c r="I431" s="32"/>
      <c r="J431" s="32"/>
      <c r="K431" s="32"/>
      <c r="L431" s="32"/>
      <c r="O431" s="79"/>
      <c r="AI431" s="33"/>
      <c r="AJ431" s="33"/>
      <c r="AK431" s="34"/>
      <c r="AL431" s="35"/>
      <c r="AM431" s="34"/>
      <c r="AN431" s="35"/>
      <c r="AO431" s="34"/>
      <c r="AP431" s="36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</row>
    <row r="432" spans="2:76" s="28" customFormat="1">
      <c r="B432" s="27"/>
      <c r="D432" s="29"/>
      <c r="E432" s="30"/>
      <c r="G432" s="31"/>
      <c r="H432" s="32"/>
      <c r="I432" s="32"/>
      <c r="J432" s="32"/>
      <c r="K432" s="32"/>
      <c r="L432" s="32"/>
      <c r="O432" s="70"/>
      <c r="AI432" s="33"/>
      <c r="AJ432" s="33"/>
      <c r="AK432" s="34"/>
      <c r="AL432" s="35"/>
      <c r="AM432" s="34"/>
      <c r="AN432" s="35"/>
      <c r="AO432" s="34"/>
      <c r="AP432" s="36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</row>
    <row r="433" spans="2:76" s="28" customFormat="1">
      <c r="B433" s="27"/>
      <c r="D433" s="29"/>
      <c r="E433" s="30"/>
      <c r="G433" s="31"/>
      <c r="H433" s="32"/>
      <c r="I433" s="32"/>
      <c r="J433" s="32"/>
      <c r="K433" s="32"/>
      <c r="L433" s="32"/>
      <c r="O433" s="66"/>
      <c r="AI433" s="33"/>
      <c r="AJ433" s="33"/>
      <c r="AK433" s="34"/>
      <c r="AL433" s="35"/>
      <c r="AM433" s="34"/>
      <c r="AN433" s="35"/>
      <c r="AO433" s="34"/>
      <c r="AP433" s="36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</row>
    <row r="434" spans="2:76" s="28" customFormat="1">
      <c r="B434" s="27"/>
      <c r="D434" s="29"/>
      <c r="E434" s="30"/>
      <c r="G434" s="31"/>
      <c r="H434" s="32"/>
      <c r="I434" s="32"/>
      <c r="J434" s="32"/>
      <c r="K434" s="32"/>
      <c r="L434" s="32"/>
      <c r="O434" s="74"/>
      <c r="AI434" s="33"/>
      <c r="AJ434" s="33"/>
      <c r="AK434" s="34"/>
      <c r="AL434" s="35"/>
      <c r="AM434" s="34"/>
      <c r="AN434" s="35"/>
      <c r="AO434" s="34"/>
      <c r="AP434" s="36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</row>
    <row r="435" spans="2:76" s="28" customFormat="1">
      <c r="B435" s="27"/>
      <c r="D435" s="29"/>
      <c r="E435" s="30"/>
      <c r="G435" s="31"/>
      <c r="H435" s="32"/>
      <c r="I435" s="32"/>
      <c r="J435" s="32"/>
      <c r="K435" s="32"/>
      <c r="L435" s="32"/>
      <c r="O435" s="79"/>
      <c r="AI435" s="33"/>
      <c r="AJ435" s="33"/>
      <c r="AK435" s="34"/>
      <c r="AL435" s="35"/>
      <c r="AM435" s="34"/>
      <c r="AN435" s="35"/>
      <c r="AO435" s="34"/>
      <c r="AP435" s="36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</row>
    <row r="436" spans="2:76" s="28" customFormat="1">
      <c r="B436" s="27"/>
      <c r="D436" s="29"/>
      <c r="E436" s="30"/>
      <c r="G436" s="31"/>
      <c r="H436" s="32"/>
      <c r="I436" s="32"/>
      <c r="J436" s="32"/>
      <c r="K436" s="32"/>
      <c r="L436" s="32"/>
      <c r="O436" s="79"/>
      <c r="AI436" s="33"/>
      <c r="AJ436" s="33"/>
      <c r="AK436" s="34"/>
      <c r="AL436" s="35"/>
      <c r="AM436" s="34"/>
      <c r="AN436" s="35"/>
      <c r="AO436" s="34"/>
      <c r="AP436" s="36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</row>
    <row r="437" spans="2:76" s="28" customFormat="1">
      <c r="B437" s="27"/>
      <c r="D437" s="29"/>
      <c r="E437" s="30"/>
      <c r="G437" s="31"/>
      <c r="H437" s="32"/>
      <c r="I437" s="32"/>
      <c r="J437" s="32"/>
      <c r="K437" s="32"/>
      <c r="L437" s="32"/>
      <c r="O437" s="72"/>
      <c r="AI437" s="33"/>
      <c r="AJ437" s="33"/>
      <c r="AK437" s="34"/>
      <c r="AL437" s="35"/>
      <c r="AM437" s="34"/>
      <c r="AN437" s="35"/>
      <c r="AO437" s="34"/>
      <c r="AP437" s="36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</row>
    <row r="438" spans="2:76" s="28" customFormat="1">
      <c r="B438" s="27"/>
      <c r="D438" s="29"/>
      <c r="E438" s="30"/>
      <c r="G438" s="31"/>
      <c r="H438" s="32"/>
      <c r="I438" s="32"/>
      <c r="J438" s="32"/>
      <c r="K438" s="32"/>
      <c r="L438" s="32"/>
      <c r="O438" s="63"/>
      <c r="AI438" s="33"/>
      <c r="AJ438" s="33"/>
      <c r="AK438" s="34"/>
      <c r="AL438" s="35"/>
      <c r="AM438" s="34"/>
      <c r="AN438" s="35"/>
      <c r="AO438" s="34"/>
      <c r="AP438" s="36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</row>
    <row r="439" spans="2:76" s="28" customFormat="1">
      <c r="B439" s="27"/>
      <c r="D439" s="29"/>
      <c r="E439" s="30"/>
      <c r="G439" s="31"/>
      <c r="H439" s="32"/>
      <c r="I439" s="32"/>
      <c r="J439" s="32"/>
      <c r="K439" s="32"/>
      <c r="L439" s="32"/>
      <c r="O439" s="68"/>
      <c r="AI439" s="33"/>
      <c r="AJ439" s="33"/>
      <c r="AK439" s="34"/>
      <c r="AL439" s="35"/>
      <c r="AM439" s="34"/>
      <c r="AN439" s="35"/>
      <c r="AO439" s="34"/>
      <c r="AP439" s="36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</row>
    <row r="440" spans="2:76" s="28" customFormat="1">
      <c r="B440" s="27"/>
      <c r="D440" s="29"/>
      <c r="E440" s="30"/>
      <c r="G440" s="31"/>
      <c r="H440" s="32"/>
      <c r="I440" s="32"/>
      <c r="J440" s="32"/>
      <c r="K440" s="32"/>
      <c r="L440" s="32"/>
      <c r="O440" s="68"/>
      <c r="AI440" s="33"/>
      <c r="AJ440" s="33"/>
      <c r="AK440" s="34"/>
      <c r="AL440" s="35"/>
      <c r="AM440" s="34"/>
      <c r="AN440" s="35"/>
      <c r="AO440" s="34"/>
      <c r="AP440" s="36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</row>
    <row r="441" spans="2:76" s="28" customFormat="1">
      <c r="B441" s="27"/>
      <c r="D441" s="29"/>
      <c r="E441" s="30"/>
      <c r="G441" s="31"/>
      <c r="H441" s="32"/>
      <c r="I441" s="32"/>
      <c r="J441" s="32"/>
      <c r="K441" s="32"/>
      <c r="L441" s="32"/>
      <c r="O441" s="68"/>
      <c r="AI441" s="33"/>
      <c r="AJ441" s="33"/>
      <c r="AK441" s="34"/>
      <c r="AL441" s="35"/>
      <c r="AM441" s="34"/>
      <c r="AN441" s="35"/>
      <c r="AO441" s="34"/>
      <c r="AP441" s="36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</row>
    <row r="442" spans="2:76" s="28" customFormat="1">
      <c r="B442" s="27"/>
      <c r="D442" s="29"/>
      <c r="E442" s="30"/>
      <c r="G442" s="31"/>
      <c r="H442" s="32"/>
      <c r="I442" s="32"/>
      <c r="J442" s="32"/>
      <c r="K442" s="32"/>
      <c r="L442" s="32"/>
      <c r="O442" s="68"/>
      <c r="AI442" s="33"/>
      <c r="AJ442" s="33"/>
      <c r="AK442" s="34"/>
      <c r="AL442" s="35"/>
      <c r="AM442" s="34"/>
      <c r="AN442" s="35"/>
      <c r="AO442" s="34"/>
      <c r="AP442" s="36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</row>
    <row r="443" spans="2:76" s="28" customFormat="1">
      <c r="B443" s="27"/>
      <c r="D443" s="29"/>
      <c r="E443" s="30"/>
      <c r="G443" s="31"/>
      <c r="H443" s="32"/>
      <c r="I443" s="32"/>
      <c r="J443" s="32"/>
      <c r="K443" s="32"/>
      <c r="L443" s="32"/>
      <c r="O443" s="64"/>
      <c r="AI443" s="33"/>
      <c r="AJ443" s="33"/>
      <c r="AK443" s="34"/>
      <c r="AL443" s="35"/>
      <c r="AM443" s="34"/>
      <c r="AN443" s="35"/>
      <c r="AO443" s="34"/>
      <c r="AP443" s="36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</row>
    <row r="444" spans="2:76" s="28" customFormat="1">
      <c r="B444" s="27"/>
      <c r="D444" s="29"/>
      <c r="E444" s="30"/>
      <c r="G444" s="31"/>
      <c r="H444" s="32"/>
      <c r="I444" s="32"/>
      <c r="J444" s="32"/>
      <c r="K444" s="32"/>
      <c r="L444" s="32"/>
      <c r="O444" s="64"/>
      <c r="AI444" s="33"/>
      <c r="AJ444" s="33"/>
      <c r="AK444" s="34"/>
      <c r="AL444" s="35"/>
      <c r="AM444" s="34"/>
      <c r="AN444" s="35"/>
      <c r="AO444" s="34"/>
      <c r="AP444" s="36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</row>
    <row r="445" spans="2:76" s="28" customFormat="1">
      <c r="B445" s="27"/>
      <c r="D445" s="29"/>
      <c r="E445" s="30"/>
      <c r="G445" s="31"/>
      <c r="H445" s="32"/>
      <c r="I445" s="32"/>
      <c r="J445" s="32"/>
      <c r="K445" s="32"/>
      <c r="L445" s="32"/>
      <c r="O445" s="64"/>
      <c r="AI445" s="33"/>
      <c r="AJ445" s="33"/>
      <c r="AK445" s="34"/>
      <c r="AL445" s="35"/>
      <c r="AM445" s="34"/>
      <c r="AN445" s="35"/>
      <c r="AO445" s="34"/>
      <c r="AP445" s="36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</row>
    <row r="446" spans="2:76" s="28" customFormat="1">
      <c r="B446" s="27"/>
      <c r="D446" s="29"/>
      <c r="E446" s="30"/>
      <c r="G446" s="31"/>
      <c r="H446" s="32"/>
      <c r="I446" s="32"/>
      <c r="J446" s="32"/>
      <c r="K446" s="32"/>
      <c r="L446" s="32"/>
      <c r="O446" s="64"/>
      <c r="AI446" s="33"/>
      <c r="AJ446" s="33"/>
      <c r="AK446" s="34"/>
      <c r="AL446" s="35"/>
      <c r="AM446" s="34"/>
      <c r="AN446" s="35"/>
      <c r="AO446" s="34"/>
      <c r="AP446" s="36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</row>
    <row r="447" spans="2:76" s="28" customFormat="1">
      <c r="B447" s="27"/>
      <c r="D447" s="29"/>
      <c r="E447" s="30"/>
      <c r="G447" s="31"/>
      <c r="H447" s="32"/>
      <c r="I447" s="32"/>
      <c r="J447" s="32"/>
      <c r="K447" s="32"/>
      <c r="L447" s="32"/>
      <c r="O447" s="69"/>
      <c r="AI447" s="33"/>
      <c r="AJ447" s="33"/>
      <c r="AK447" s="34"/>
      <c r="AL447" s="35"/>
      <c r="AM447" s="34"/>
      <c r="AN447" s="35"/>
      <c r="AO447" s="34"/>
      <c r="AP447" s="36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</row>
    <row r="448" spans="2:76" s="28" customFormat="1">
      <c r="B448" s="27"/>
      <c r="D448" s="29"/>
      <c r="E448" s="30"/>
      <c r="G448" s="31"/>
      <c r="H448" s="32"/>
      <c r="I448" s="32"/>
      <c r="J448" s="32"/>
      <c r="K448" s="32"/>
      <c r="L448" s="32"/>
      <c r="O448" s="64"/>
      <c r="AI448" s="33"/>
      <c r="AJ448" s="33"/>
      <c r="AK448" s="34"/>
      <c r="AL448" s="35"/>
      <c r="AM448" s="34"/>
      <c r="AN448" s="35"/>
      <c r="AO448" s="34"/>
      <c r="AP448" s="36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</row>
    <row r="449" spans="2:76" s="28" customFormat="1">
      <c r="B449" s="27"/>
      <c r="D449" s="29"/>
      <c r="E449" s="30"/>
      <c r="G449" s="31"/>
      <c r="H449" s="32"/>
      <c r="I449" s="32"/>
      <c r="J449" s="32"/>
      <c r="K449" s="32"/>
      <c r="L449" s="32"/>
      <c r="O449" s="67"/>
      <c r="AI449" s="33"/>
      <c r="AJ449" s="33"/>
      <c r="AK449" s="34"/>
      <c r="AL449" s="35"/>
      <c r="AM449" s="34"/>
      <c r="AN449" s="35"/>
      <c r="AO449" s="34"/>
      <c r="AP449" s="36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</row>
    <row r="450" spans="2:76" s="28" customFormat="1">
      <c r="B450" s="27"/>
      <c r="D450" s="29"/>
      <c r="E450" s="30"/>
      <c r="G450" s="31"/>
      <c r="H450" s="32"/>
      <c r="I450" s="32"/>
      <c r="J450" s="32"/>
      <c r="K450" s="32"/>
      <c r="L450" s="32"/>
      <c r="O450" s="67"/>
      <c r="AI450" s="33"/>
      <c r="AJ450" s="33"/>
      <c r="AK450" s="34"/>
      <c r="AL450" s="35"/>
      <c r="AM450" s="34"/>
      <c r="AN450" s="35"/>
      <c r="AO450" s="34"/>
      <c r="AP450" s="36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</row>
    <row r="451" spans="2:76" s="28" customFormat="1">
      <c r="B451" s="27"/>
      <c r="D451" s="29"/>
      <c r="E451" s="30"/>
      <c r="G451" s="31"/>
      <c r="H451" s="32"/>
      <c r="I451" s="32"/>
      <c r="J451" s="32"/>
      <c r="K451" s="32"/>
      <c r="L451" s="32"/>
      <c r="O451" s="67"/>
      <c r="AI451" s="33"/>
      <c r="AJ451" s="33"/>
      <c r="AK451" s="34"/>
      <c r="AL451" s="35"/>
      <c r="AM451" s="34"/>
      <c r="AN451" s="35"/>
      <c r="AO451" s="34"/>
      <c r="AP451" s="36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</row>
    <row r="452" spans="2:76" s="28" customFormat="1">
      <c r="B452" s="27"/>
      <c r="D452" s="29"/>
      <c r="E452" s="30"/>
      <c r="G452" s="31"/>
      <c r="H452" s="32"/>
      <c r="I452" s="32"/>
      <c r="J452" s="32"/>
      <c r="K452" s="32"/>
      <c r="L452" s="32"/>
      <c r="O452" s="64"/>
      <c r="AI452" s="33"/>
      <c r="AJ452" s="33"/>
      <c r="AK452" s="34"/>
      <c r="AL452" s="35"/>
      <c r="AM452" s="34"/>
      <c r="AN452" s="35"/>
      <c r="AO452" s="34"/>
      <c r="AP452" s="36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</row>
    <row r="453" spans="2:76" s="28" customFormat="1">
      <c r="B453" s="27"/>
      <c r="D453" s="29"/>
      <c r="E453" s="30"/>
      <c r="G453" s="31"/>
      <c r="H453" s="32"/>
      <c r="I453" s="32"/>
      <c r="J453" s="32"/>
      <c r="K453" s="32"/>
      <c r="L453" s="32"/>
      <c r="O453" s="68"/>
      <c r="AI453" s="33"/>
      <c r="AJ453" s="33"/>
      <c r="AK453" s="34"/>
      <c r="AL453" s="35"/>
      <c r="AM453" s="34"/>
      <c r="AN453" s="35"/>
      <c r="AO453" s="34"/>
      <c r="AP453" s="36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</row>
    <row r="454" spans="2:76" s="28" customFormat="1">
      <c r="B454" s="27"/>
      <c r="D454" s="29"/>
      <c r="E454" s="30"/>
      <c r="G454" s="31"/>
      <c r="H454" s="32"/>
      <c r="I454" s="32"/>
      <c r="J454" s="32"/>
      <c r="K454" s="32"/>
      <c r="L454" s="32"/>
      <c r="O454" s="64"/>
      <c r="AI454" s="33"/>
      <c r="AJ454" s="33"/>
      <c r="AK454" s="34"/>
      <c r="AL454" s="35"/>
      <c r="AM454" s="34"/>
      <c r="AN454" s="35"/>
      <c r="AO454" s="34"/>
      <c r="AP454" s="36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</row>
    <row r="455" spans="2:76" s="28" customFormat="1">
      <c r="B455" s="27"/>
      <c r="D455" s="29"/>
      <c r="E455" s="30"/>
      <c r="G455" s="31"/>
      <c r="H455" s="32"/>
      <c r="I455" s="32"/>
      <c r="J455" s="32"/>
      <c r="K455" s="32"/>
      <c r="L455" s="32"/>
      <c r="O455" s="64"/>
      <c r="AI455" s="33"/>
      <c r="AJ455" s="33"/>
      <c r="AK455" s="34"/>
      <c r="AL455" s="35"/>
      <c r="AM455" s="34"/>
      <c r="AN455" s="35"/>
      <c r="AO455" s="34"/>
      <c r="AP455" s="36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</row>
    <row r="456" spans="2:76" s="28" customFormat="1">
      <c r="B456" s="27"/>
      <c r="D456" s="29"/>
      <c r="E456" s="30"/>
      <c r="G456" s="31"/>
      <c r="H456" s="32"/>
      <c r="I456" s="32"/>
      <c r="J456" s="32"/>
      <c r="K456" s="32"/>
      <c r="L456" s="32"/>
      <c r="O456" s="68"/>
      <c r="AI456" s="33"/>
      <c r="AJ456" s="33"/>
      <c r="AK456" s="34"/>
      <c r="AL456" s="35"/>
      <c r="AM456" s="34"/>
      <c r="AN456" s="35"/>
      <c r="AO456" s="34"/>
      <c r="AP456" s="36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</row>
    <row r="457" spans="2:76" s="28" customFormat="1">
      <c r="B457" s="27"/>
      <c r="D457" s="29"/>
      <c r="E457" s="30"/>
      <c r="G457" s="31"/>
      <c r="H457" s="32"/>
      <c r="I457" s="32"/>
      <c r="J457" s="32"/>
      <c r="K457" s="32"/>
      <c r="L457" s="32"/>
      <c r="O457" s="69"/>
      <c r="AI457" s="33"/>
      <c r="AJ457" s="33"/>
      <c r="AK457" s="34"/>
      <c r="AL457" s="35"/>
      <c r="AM457" s="34"/>
      <c r="AN457" s="35"/>
      <c r="AO457" s="34"/>
      <c r="AP457" s="36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</row>
    <row r="458" spans="2:76" s="28" customFormat="1">
      <c r="B458" s="27"/>
      <c r="D458" s="29"/>
      <c r="E458" s="30"/>
      <c r="G458" s="31"/>
      <c r="H458" s="32"/>
      <c r="I458" s="32"/>
      <c r="J458" s="32"/>
      <c r="K458" s="32"/>
      <c r="L458" s="32"/>
      <c r="O458" s="63"/>
      <c r="AI458" s="33"/>
      <c r="AJ458" s="33"/>
      <c r="AK458" s="34"/>
      <c r="AL458" s="35"/>
      <c r="AM458" s="34"/>
      <c r="AN458" s="35"/>
      <c r="AO458" s="34"/>
      <c r="AP458" s="36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</row>
    <row r="459" spans="2:76" s="28" customFormat="1">
      <c r="B459" s="27"/>
      <c r="D459" s="29"/>
      <c r="E459" s="30"/>
      <c r="G459" s="31"/>
      <c r="H459" s="32"/>
      <c r="I459" s="32"/>
      <c r="J459" s="32"/>
      <c r="K459" s="32"/>
      <c r="L459" s="32"/>
      <c r="O459" s="64"/>
      <c r="AI459" s="33"/>
      <c r="AJ459" s="33"/>
      <c r="AK459" s="34"/>
      <c r="AL459" s="35"/>
      <c r="AM459" s="34"/>
      <c r="AN459" s="35"/>
      <c r="AO459" s="34"/>
      <c r="AP459" s="36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</row>
    <row r="460" spans="2:76" s="28" customFormat="1">
      <c r="B460" s="27"/>
      <c r="D460" s="29"/>
      <c r="E460" s="30"/>
      <c r="G460" s="31"/>
      <c r="H460" s="32"/>
      <c r="I460" s="32"/>
      <c r="J460" s="32"/>
      <c r="K460" s="32"/>
      <c r="L460" s="32"/>
      <c r="O460" s="64"/>
      <c r="AI460" s="33"/>
      <c r="AJ460" s="33"/>
      <c r="AK460" s="34"/>
      <c r="AL460" s="35"/>
      <c r="AM460" s="34"/>
      <c r="AN460" s="35"/>
      <c r="AO460" s="34"/>
      <c r="AP460" s="36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</row>
    <row r="461" spans="2:76" s="28" customFormat="1">
      <c r="B461" s="27"/>
      <c r="D461" s="29"/>
      <c r="E461" s="30"/>
      <c r="G461" s="31"/>
      <c r="H461" s="32"/>
      <c r="I461" s="32"/>
      <c r="J461" s="32"/>
      <c r="K461" s="32"/>
      <c r="L461" s="32"/>
      <c r="O461" s="67"/>
      <c r="AI461" s="33"/>
      <c r="AJ461" s="33"/>
      <c r="AK461" s="34"/>
      <c r="AL461" s="35"/>
      <c r="AM461" s="34"/>
      <c r="AN461" s="35"/>
      <c r="AO461" s="34"/>
      <c r="AP461" s="36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</row>
    <row r="462" spans="2:76" s="28" customFormat="1">
      <c r="B462" s="27"/>
      <c r="D462" s="29"/>
      <c r="E462" s="30"/>
      <c r="G462" s="31"/>
      <c r="H462" s="32"/>
      <c r="I462" s="32"/>
      <c r="J462" s="32"/>
      <c r="K462" s="32"/>
      <c r="L462" s="32"/>
      <c r="O462" s="67"/>
      <c r="AI462" s="33"/>
      <c r="AJ462" s="33"/>
      <c r="AK462" s="34"/>
      <c r="AL462" s="35"/>
      <c r="AM462" s="34"/>
      <c r="AN462" s="35"/>
      <c r="AO462" s="34"/>
      <c r="AP462" s="36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</row>
    <row r="463" spans="2:76" s="28" customFormat="1">
      <c r="B463" s="27"/>
      <c r="D463" s="29"/>
      <c r="E463" s="30"/>
      <c r="G463" s="31"/>
      <c r="H463" s="32"/>
      <c r="I463" s="32"/>
      <c r="J463" s="32"/>
      <c r="K463" s="32"/>
      <c r="L463" s="32"/>
      <c r="O463" s="70"/>
      <c r="AI463" s="33"/>
      <c r="AJ463" s="33"/>
      <c r="AK463" s="34"/>
      <c r="AL463" s="35"/>
      <c r="AM463" s="34"/>
      <c r="AN463" s="35"/>
      <c r="AO463" s="34"/>
      <c r="AP463" s="36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</row>
    <row r="464" spans="2:76" s="28" customFormat="1">
      <c r="B464" s="27"/>
      <c r="D464" s="29"/>
      <c r="E464" s="30"/>
      <c r="G464" s="31"/>
      <c r="H464" s="32"/>
      <c r="I464" s="32"/>
      <c r="J464" s="32"/>
      <c r="K464" s="32"/>
      <c r="L464" s="32"/>
      <c r="O464" s="65"/>
      <c r="AI464" s="33"/>
      <c r="AJ464" s="33"/>
      <c r="AK464" s="34"/>
      <c r="AL464" s="35"/>
      <c r="AM464" s="34"/>
      <c r="AN464" s="35"/>
      <c r="AO464" s="34"/>
      <c r="AP464" s="36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</row>
    <row r="465" spans="2:76" s="28" customFormat="1">
      <c r="B465" s="27"/>
      <c r="D465" s="29"/>
      <c r="E465" s="30"/>
      <c r="G465" s="31"/>
      <c r="H465" s="32"/>
      <c r="I465" s="32"/>
      <c r="J465" s="32"/>
      <c r="K465" s="32"/>
      <c r="L465" s="32"/>
      <c r="O465" s="64"/>
      <c r="AI465" s="33"/>
      <c r="AJ465" s="33"/>
      <c r="AK465" s="34"/>
      <c r="AL465" s="35"/>
      <c r="AM465" s="34"/>
      <c r="AN465" s="35"/>
      <c r="AO465" s="34"/>
      <c r="AP465" s="36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</row>
    <row r="466" spans="2:76" s="28" customFormat="1">
      <c r="B466" s="27"/>
      <c r="D466" s="29"/>
      <c r="E466" s="30"/>
      <c r="G466" s="31"/>
      <c r="H466" s="32"/>
      <c r="I466" s="32"/>
      <c r="J466" s="32"/>
      <c r="K466" s="32"/>
      <c r="L466" s="32"/>
      <c r="O466" s="66"/>
      <c r="AI466" s="33"/>
      <c r="AJ466" s="33"/>
      <c r="AK466" s="34"/>
      <c r="AL466" s="35"/>
      <c r="AM466" s="34"/>
      <c r="AN466" s="35"/>
      <c r="AO466" s="34"/>
      <c r="AP466" s="36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</row>
    <row r="467" spans="2:76" s="28" customFormat="1">
      <c r="B467" s="27"/>
      <c r="D467" s="29"/>
      <c r="E467" s="30"/>
      <c r="G467" s="31"/>
      <c r="H467" s="32"/>
      <c r="I467" s="32"/>
      <c r="J467" s="32"/>
      <c r="K467" s="32"/>
      <c r="L467" s="32"/>
      <c r="O467" s="68"/>
      <c r="AI467" s="33"/>
      <c r="AJ467" s="33"/>
      <c r="AK467" s="34"/>
      <c r="AL467" s="35"/>
      <c r="AM467" s="34"/>
      <c r="AN467" s="35"/>
      <c r="AO467" s="34"/>
      <c r="AP467" s="36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</row>
    <row r="468" spans="2:76" s="28" customFormat="1">
      <c r="B468" s="27"/>
      <c r="D468" s="29"/>
      <c r="E468" s="30"/>
      <c r="G468" s="31"/>
      <c r="H468" s="32"/>
      <c r="I468" s="32"/>
      <c r="J468" s="32"/>
      <c r="K468" s="32"/>
      <c r="L468" s="32"/>
      <c r="O468" s="67"/>
      <c r="AI468" s="33"/>
      <c r="AJ468" s="33"/>
      <c r="AK468" s="34"/>
      <c r="AL468" s="35"/>
      <c r="AM468" s="34"/>
      <c r="AN468" s="35"/>
      <c r="AO468" s="34"/>
      <c r="AP468" s="36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</row>
    <row r="469" spans="2:76" s="28" customFormat="1">
      <c r="B469" s="27"/>
      <c r="D469" s="29"/>
      <c r="E469" s="30"/>
      <c r="G469" s="31"/>
      <c r="H469" s="32"/>
      <c r="I469" s="32"/>
      <c r="J469" s="32"/>
      <c r="K469" s="32"/>
      <c r="L469" s="32"/>
      <c r="O469" s="68"/>
      <c r="AI469" s="33"/>
      <c r="AJ469" s="33"/>
      <c r="AK469" s="34"/>
      <c r="AL469" s="35"/>
      <c r="AM469" s="34"/>
      <c r="AN469" s="35"/>
      <c r="AO469" s="34"/>
      <c r="AP469" s="36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</row>
    <row r="470" spans="2:76" s="28" customFormat="1">
      <c r="B470" s="27"/>
      <c r="D470" s="29"/>
      <c r="E470" s="30"/>
      <c r="G470" s="31"/>
      <c r="H470" s="32"/>
      <c r="I470" s="32"/>
      <c r="J470" s="32"/>
      <c r="K470" s="32"/>
      <c r="L470" s="32"/>
      <c r="O470" s="64"/>
      <c r="AI470" s="33"/>
      <c r="AJ470" s="33"/>
      <c r="AK470" s="34"/>
      <c r="AL470" s="35"/>
      <c r="AM470" s="34"/>
      <c r="AN470" s="35"/>
      <c r="AO470" s="34"/>
      <c r="AP470" s="36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</row>
    <row r="471" spans="2:76" s="28" customFormat="1">
      <c r="B471" s="27"/>
      <c r="D471" s="29"/>
      <c r="E471" s="30"/>
      <c r="G471" s="31"/>
      <c r="H471" s="32"/>
      <c r="I471" s="32"/>
      <c r="J471" s="32"/>
      <c r="K471" s="32"/>
      <c r="L471" s="32"/>
      <c r="O471" s="74"/>
      <c r="AI471" s="33"/>
      <c r="AJ471" s="33"/>
      <c r="AK471" s="34"/>
      <c r="AL471" s="35"/>
      <c r="AM471" s="34"/>
      <c r="AN471" s="35"/>
      <c r="AO471" s="34"/>
      <c r="AP471" s="36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</row>
    <row r="472" spans="2:76" s="28" customFormat="1">
      <c r="B472" s="27"/>
      <c r="D472" s="29"/>
      <c r="E472" s="30"/>
      <c r="G472" s="31"/>
      <c r="H472" s="32"/>
      <c r="I472" s="32"/>
      <c r="J472" s="32"/>
      <c r="K472" s="32"/>
      <c r="L472" s="32"/>
      <c r="O472" s="84"/>
      <c r="AI472" s="33"/>
      <c r="AJ472" s="33"/>
      <c r="AK472" s="34"/>
      <c r="AL472" s="35"/>
      <c r="AM472" s="34"/>
      <c r="AN472" s="35"/>
      <c r="AO472" s="34"/>
      <c r="AP472" s="36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</row>
    <row r="473" spans="2:76" s="28" customFormat="1">
      <c r="B473" s="27"/>
      <c r="D473" s="29"/>
      <c r="E473" s="30"/>
      <c r="G473" s="31"/>
      <c r="H473" s="32"/>
      <c r="I473" s="32"/>
      <c r="J473" s="32"/>
      <c r="K473" s="32"/>
      <c r="L473" s="32"/>
      <c r="O473" s="74"/>
      <c r="AI473" s="33"/>
      <c r="AJ473" s="33"/>
      <c r="AK473" s="34"/>
      <c r="AL473" s="35"/>
      <c r="AM473" s="34"/>
      <c r="AN473" s="35"/>
      <c r="AO473" s="34"/>
      <c r="AP473" s="36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</row>
    <row r="474" spans="2:76" s="28" customFormat="1">
      <c r="B474" s="27"/>
      <c r="D474" s="29"/>
      <c r="E474" s="30"/>
      <c r="G474" s="31"/>
      <c r="H474" s="32"/>
      <c r="I474" s="32"/>
      <c r="J474" s="32"/>
      <c r="K474" s="32"/>
      <c r="L474" s="32"/>
      <c r="O474" s="64"/>
      <c r="AI474" s="33"/>
      <c r="AJ474" s="33"/>
      <c r="AK474" s="34"/>
      <c r="AL474" s="35"/>
      <c r="AM474" s="34"/>
      <c r="AN474" s="35"/>
      <c r="AO474" s="34"/>
      <c r="AP474" s="36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</row>
    <row r="475" spans="2:76" s="28" customFormat="1">
      <c r="B475" s="27"/>
      <c r="D475" s="29"/>
      <c r="E475" s="30"/>
      <c r="G475" s="31"/>
      <c r="H475" s="32"/>
      <c r="I475" s="32"/>
      <c r="J475" s="32"/>
      <c r="K475" s="32"/>
      <c r="L475" s="32"/>
      <c r="O475" s="64"/>
      <c r="AI475" s="33"/>
      <c r="AJ475" s="33"/>
      <c r="AK475" s="34"/>
      <c r="AL475" s="35"/>
      <c r="AM475" s="34"/>
      <c r="AN475" s="35"/>
      <c r="AO475" s="34"/>
      <c r="AP475" s="36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</row>
    <row r="476" spans="2:76" s="28" customFormat="1">
      <c r="B476" s="27"/>
      <c r="D476" s="29"/>
      <c r="E476" s="30"/>
      <c r="G476" s="31"/>
      <c r="H476" s="32"/>
      <c r="I476" s="32"/>
      <c r="J476" s="32"/>
      <c r="K476" s="32"/>
      <c r="L476" s="32"/>
      <c r="O476" s="69"/>
      <c r="AI476" s="33"/>
      <c r="AJ476" s="33"/>
      <c r="AK476" s="34"/>
      <c r="AL476" s="35"/>
      <c r="AM476" s="34"/>
      <c r="AN476" s="35"/>
      <c r="AO476" s="34"/>
      <c r="AP476" s="36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</row>
    <row r="477" spans="2:76" s="28" customFormat="1">
      <c r="B477" s="27"/>
      <c r="D477" s="29"/>
      <c r="E477" s="30"/>
      <c r="G477" s="31"/>
      <c r="H477" s="32"/>
      <c r="I477" s="32"/>
      <c r="J477" s="32"/>
      <c r="K477" s="32"/>
      <c r="L477" s="32"/>
      <c r="O477" s="79"/>
      <c r="AI477" s="33"/>
      <c r="AJ477" s="33"/>
      <c r="AK477" s="34"/>
      <c r="AL477" s="35"/>
      <c r="AM477" s="34"/>
      <c r="AN477" s="35"/>
      <c r="AO477" s="34"/>
      <c r="AP477" s="36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</row>
    <row r="478" spans="2:76" s="28" customFormat="1">
      <c r="B478" s="27"/>
      <c r="D478" s="29"/>
      <c r="E478" s="30"/>
      <c r="G478" s="31"/>
      <c r="H478" s="32"/>
      <c r="I478" s="32"/>
      <c r="J478" s="32"/>
      <c r="K478" s="32"/>
      <c r="L478" s="32"/>
      <c r="O478" s="64"/>
      <c r="AI478" s="33"/>
      <c r="AJ478" s="33"/>
      <c r="AK478" s="34"/>
      <c r="AL478" s="35"/>
      <c r="AM478" s="34"/>
      <c r="AN478" s="35"/>
      <c r="AO478" s="34"/>
      <c r="AP478" s="36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</row>
    <row r="479" spans="2:76" s="28" customFormat="1">
      <c r="B479" s="27"/>
      <c r="D479" s="29"/>
      <c r="E479" s="30"/>
      <c r="G479" s="31"/>
      <c r="H479" s="32"/>
      <c r="I479" s="32"/>
      <c r="J479" s="32"/>
      <c r="K479" s="32"/>
      <c r="L479" s="32"/>
      <c r="O479" s="63"/>
      <c r="AI479" s="33"/>
      <c r="AJ479" s="33"/>
      <c r="AK479" s="34"/>
      <c r="AL479" s="35"/>
      <c r="AM479" s="34"/>
      <c r="AN479" s="35"/>
      <c r="AO479" s="34"/>
      <c r="AP479" s="36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</row>
  </sheetData>
  <mergeCells count="32">
    <mergeCell ref="G2:G4"/>
    <mergeCell ref="B2:B4"/>
    <mergeCell ref="C2:C4"/>
    <mergeCell ref="D2:D4"/>
    <mergeCell ref="E2:E4"/>
    <mergeCell ref="F2:F4"/>
    <mergeCell ref="AI2:AI4"/>
    <mergeCell ref="AJ2:AJ4"/>
    <mergeCell ref="AE2:AE4"/>
    <mergeCell ref="AF2:AF4"/>
    <mergeCell ref="AG2:AH3"/>
    <mergeCell ref="H2:L3"/>
    <mergeCell ref="M2:Q2"/>
    <mergeCell ref="M3:M4"/>
    <mergeCell ref="N3:N4"/>
    <mergeCell ref="O3:O4"/>
    <mergeCell ref="P3:P4"/>
    <mergeCell ref="Q3:Q4"/>
    <mergeCell ref="K4:L4"/>
    <mergeCell ref="R2:T2"/>
    <mergeCell ref="R3:R4"/>
    <mergeCell ref="S3:S4"/>
    <mergeCell ref="T3:T4"/>
    <mergeCell ref="U2:U4"/>
    <mergeCell ref="AA2:AA4"/>
    <mergeCell ref="AB2:AC3"/>
    <mergeCell ref="AD2:AD4"/>
    <mergeCell ref="V2:V4"/>
    <mergeCell ref="W2:W4"/>
    <mergeCell ref="X2:X4"/>
    <mergeCell ref="Y2:Y4"/>
    <mergeCell ref="Z2:Z4"/>
  </mergeCells>
  <dataValidations count="2">
    <dataValidation type="list" allowBlank="1" showInputMessage="1" showErrorMessage="1" sqref="I53:I54 I6:I38">
      <formula1>"TK/0,TK/1,TK/2,TK/3,K/0,K/1,K/2,K/3"</formula1>
    </dataValidation>
    <dataValidation type="list" allowBlank="1" showInputMessage="1" showErrorMessage="1" sqref="H53:H54 H6:H38">
      <formula1>"L,P"</formula1>
    </dataValidation>
  </dataValidations>
  <pageMargins left="0.15748031496062992" right="0.19685039370078741" top="0.39370078740157483" bottom="0.39370078740157483" header="0.51181102362204722" footer="0.51181102362204722"/>
  <pageSetup paperSize="5" scale="37" orientation="landscape" r:id="rId1"/>
  <headerFooter alignWithMargins="0"/>
  <colBreaks count="1" manualBreakCount="1">
    <brk id="36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475"/>
  <sheetViews>
    <sheetView zoomScale="70" zoomScaleNormal="70" workbookViewId="0">
      <selection activeCell="AD7" sqref="AD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42578125" style="28" customWidth="1"/>
    <col min="4" max="4" width="21" style="359" customWidth="1" outlineLevel="1"/>
    <col min="5" max="5" width="16.85546875" style="30" bestFit="1" customWidth="1" outlineLevel="1"/>
    <col min="6" max="6" width="24.7109375" style="28" customWidth="1" outlineLevel="1"/>
    <col min="7" max="7" width="9.5703125" style="31" hidden="1" customWidth="1" outlineLevel="1"/>
    <col min="8" max="8" width="5" style="360" customWidth="1" outlineLevel="1"/>
    <col min="9" max="9" width="6.7109375" style="360" customWidth="1" outlineLevel="1"/>
    <col min="10" max="10" width="10.85546875" style="360" customWidth="1" outlineLevel="1"/>
    <col min="11" max="13" width="14.140625" style="28" customWidth="1"/>
    <col min="14" max="18" width="14.140625" style="28" hidden="1" customWidth="1"/>
    <col min="19" max="19" width="12.7109375" style="28" customWidth="1"/>
    <col min="20" max="20" width="14.140625" style="28" hidden="1" customWidth="1"/>
    <col min="21" max="22" width="14.140625" style="28" customWidth="1"/>
    <col min="23" max="23" width="13.5703125" style="28" customWidth="1" collapsed="1"/>
    <col min="24" max="24" width="7.7109375" style="88" customWidth="1"/>
    <col min="25" max="25" width="12.7109375" style="28" customWidth="1"/>
    <col min="26" max="26" width="13.140625" style="134" customWidth="1"/>
    <col min="27" max="27" width="12.140625" style="27" customWidth="1"/>
    <col min="28" max="28" width="12" style="27" bestFit="1" customWidth="1"/>
    <col min="29" max="29" width="9.28515625" style="27"/>
    <col min="30" max="30" width="11" style="27" bestFit="1" customWidth="1"/>
    <col min="31" max="32" width="9.28515625" style="27"/>
    <col min="33" max="16384" width="9.28515625" style="59"/>
  </cols>
  <sheetData>
    <row r="1" spans="2:32">
      <c r="B1" s="27" t="s">
        <v>71</v>
      </c>
      <c r="AF1" s="59"/>
    </row>
    <row r="2" spans="2:32">
      <c r="B2" s="27" t="s">
        <v>72</v>
      </c>
      <c r="AF2" s="59"/>
    </row>
    <row r="3" spans="2:32">
      <c r="B3" s="27" t="s">
        <v>216</v>
      </c>
      <c r="AF3" s="59"/>
    </row>
    <row r="4" spans="2:32" s="27" customFormat="1" ht="13.5" thickBot="1">
      <c r="C4" s="86" t="s">
        <v>40</v>
      </c>
      <c r="D4" s="359"/>
      <c r="E4" s="30"/>
      <c r="F4" s="28"/>
      <c r="G4" s="31"/>
      <c r="H4" s="360"/>
      <c r="I4" s="360"/>
      <c r="J4" s="360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88"/>
      <c r="Y4" s="28"/>
      <c r="Z4" s="134"/>
    </row>
    <row r="5" spans="2:32" s="27" customFormat="1" ht="39" thickBot="1">
      <c r="B5" s="356" t="s">
        <v>64</v>
      </c>
      <c r="C5" s="356" t="s">
        <v>25</v>
      </c>
      <c r="D5" s="357" t="s">
        <v>26</v>
      </c>
      <c r="E5" s="358" t="s">
        <v>27</v>
      </c>
      <c r="F5" s="356" t="s">
        <v>28</v>
      </c>
      <c r="G5" s="355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362" t="s">
        <v>67</v>
      </c>
      <c r="M5" s="362" t="s">
        <v>68</v>
      </c>
      <c r="N5" s="362" t="s">
        <v>217</v>
      </c>
      <c r="O5" s="120" t="s">
        <v>218</v>
      </c>
      <c r="P5" s="362" t="s">
        <v>219</v>
      </c>
      <c r="Q5" s="362" t="s">
        <v>81</v>
      </c>
      <c r="R5" s="362" t="s">
        <v>220</v>
      </c>
      <c r="S5" s="354" t="s">
        <v>45</v>
      </c>
      <c r="T5" s="362" t="s">
        <v>221</v>
      </c>
      <c r="U5" s="362" t="s">
        <v>79</v>
      </c>
      <c r="V5" s="362" t="s">
        <v>222</v>
      </c>
      <c r="W5" s="354" t="s">
        <v>41</v>
      </c>
      <c r="X5" s="121" t="s">
        <v>42</v>
      </c>
      <c r="Y5" s="127" t="s">
        <v>43</v>
      </c>
      <c r="Z5" s="136" t="s">
        <v>69</v>
      </c>
      <c r="AA5" s="136" t="s">
        <v>70</v>
      </c>
      <c r="AB5" s="136" t="s">
        <v>223</v>
      </c>
      <c r="AD5" s="27" t="s">
        <v>230</v>
      </c>
    </row>
    <row r="6" spans="2:32" s="27" customFormat="1">
      <c r="B6" s="39">
        <v>1</v>
      </c>
      <c r="C6" s="40" t="s">
        <v>94</v>
      </c>
      <c r="D6" s="41" t="s">
        <v>116</v>
      </c>
      <c r="E6" s="363">
        <v>972282958305000</v>
      </c>
      <c r="F6" s="40" t="s">
        <v>140</v>
      </c>
      <c r="G6" s="40"/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91">
        <v>4186418.8533333335</v>
      </c>
      <c r="L6" s="91">
        <v>30575.999999999996</v>
      </c>
      <c r="M6" s="91">
        <v>148040</v>
      </c>
      <c r="N6" s="91"/>
      <c r="O6" s="91"/>
      <c r="P6" s="91"/>
      <c r="Q6" s="91"/>
      <c r="R6" s="91"/>
      <c r="S6" s="93">
        <v>0</v>
      </c>
      <c r="T6" s="91"/>
      <c r="U6" s="91"/>
      <c r="V6" s="91"/>
      <c r="W6" s="93">
        <f>SUM(K6:V6)</f>
        <v>4365034.8533333335</v>
      </c>
      <c r="X6" s="364">
        <f t="shared" ref="X6:X30" si="0">IF($J6="TER A",VLOOKUP(W6,Ter_A,4,TRUE),IF($J6="TER B",VLOOKUP(W6,Ter_B,4,TRUE),VLOOKUP(W6,Ter_C,4,TRUE)))</f>
        <v>0</v>
      </c>
      <c r="Y6" s="365">
        <f>ROUND(IF($E6=0,W6*X6*120%,W6*X6),0)</f>
        <v>0</v>
      </c>
      <c r="Z6" s="91">
        <v>0</v>
      </c>
      <c r="AA6" s="366">
        <f>Z6-Y6</f>
        <v>0</v>
      </c>
      <c r="AB6" s="138"/>
      <c r="AD6" s="135">
        <f>SUM(L6+M6)</f>
        <v>178616</v>
      </c>
      <c r="AE6" s="367"/>
    </row>
    <row r="7" spans="2:32" s="27" customFormat="1">
      <c r="B7" s="45">
        <v>2</v>
      </c>
      <c r="C7" s="46" t="s">
        <v>95</v>
      </c>
      <c r="D7" s="48" t="s">
        <v>117</v>
      </c>
      <c r="E7" s="368">
        <v>972282982305000</v>
      </c>
      <c r="F7" s="46" t="s">
        <v>141</v>
      </c>
      <c r="G7" s="46"/>
      <c r="H7" s="49" t="s">
        <v>38</v>
      </c>
      <c r="I7" s="50" t="s">
        <v>7</v>
      </c>
      <c r="J7" s="90" t="str">
        <f t="shared" ref="J7:J30" si="1">IF(ISBLANK(I7),"",IF(OR(I7="TK/0",I7="TK/1",I7="K/0"),"TER A",IF(I7="K/3","TER C","TER B")))</f>
        <v>TER A</v>
      </c>
      <c r="K7" s="92">
        <v>6238094.6233333331</v>
      </c>
      <c r="L7" s="92">
        <v>30575.999999999996</v>
      </c>
      <c r="M7" s="92">
        <v>148040</v>
      </c>
      <c r="N7" s="92"/>
      <c r="O7" s="92"/>
      <c r="P7" s="92"/>
      <c r="Q7" s="92"/>
      <c r="R7" s="92"/>
      <c r="S7" s="94">
        <v>0</v>
      </c>
      <c r="T7" s="92"/>
      <c r="U7" s="92"/>
      <c r="V7" s="92"/>
      <c r="W7" s="94">
        <f>SUM(K7:V7)</f>
        <v>6416710.6233333331</v>
      </c>
      <c r="X7" s="95">
        <f t="shared" ref="X7:X9" si="2">IF($J7="TER A",VLOOKUP(W7,Ter_A,4,TRUE),IF($J7="TER B",VLOOKUP(W7,Ter_B,4,TRUE),VLOOKUP(W7,Ter_C,4,TRUE)))</f>
        <v>0.01</v>
      </c>
      <c r="Y7" s="128">
        <f t="shared" ref="Y7:Y30" si="3">ROUND(IF($E7=0,W7*X7*120%,W7*X7),0)</f>
        <v>64167</v>
      </c>
      <c r="Z7" s="92">
        <v>74333.7546083333</v>
      </c>
      <c r="AA7" s="137">
        <f t="shared" ref="AA7:AA13" si="4">Z7-Y7</f>
        <v>10166.7546083333</v>
      </c>
      <c r="AB7" s="138" t="s">
        <v>224</v>
      </c>
      <c r="AD7" s="135">
        <f t="shared" ref="AD7:AD13" si="5">SUM(L7+M7)</f>
        <v>178616</v>
      </c>
      <c r="AE7" s="367"/>
    </row>
    <row r="8" spans="2:32" s="27" customFormat="1">
      <c r="B8" s="45">
        <v>3</v>
      </c>
      <c r="C8" s="46" t="s">
        <v>96</v>
      </c>
      <c r="D8" s="48" t="s">
        <v>118</v>
      </c>
      <c r="E8" s="368">
        <v>972283055305000</v>
      </c>
      <c r="F8" s="46" t="s">
        <v>142</v>
      </c>
      <c r="G8" s="46"/>
      <c r="H8" s="49" t="s">
        <v>39</v>
      </c>
      <c r="I8" s="50" t="s">
        <v>9</v>
      </c>
      <c r="J8" s="90" t="str">
        <f t="shared" si="1"/>
        <v>TER B</v>
      </c>
      <c r="K8" s="92">
        <v>5122599.0933333337</v>
      </c>
      <c r="L8" s="92">
        <v>30575.999999999996</v>
      </c>
      <c r="M8" s="92">
        <v>147340</v>
      </c>
      <c r="N8" s="92"/>
      <c r="O8" s="92"/>
      <c r="P8" s="92"/>
      <c r="Q8" s="92"/>
      <c r="R8" s="92"/>
      <c r="S8" s="94">
        <v>0</v>
      </c>
      <c r="T8" s="92"/>
      <c r="U8" s="92"/>
      <c r="V8" s="92"/>
      <c r="W8" s="94">
        <f t="shared" ref="W8:W30" si="6">SUM(K8:V8)</f>
        <v>5300515.0933333337</v>
      </c>
      <c r="X8" s="95">
        <f t="shared" si="2"/>
        <v>0</v>
      </c>
      <c r="Y8" s="128">
        <f t="shared" si="3"/>
        <v>0</v>
      </c>
      <c r="Z8" s="92">
        <v>0</v>
      </c>
      <c r="AA8" s="137">
        <f t="shared" si="4"/>
        <v>0</v>
      </c>
      <c r="AB8" s="138"/>
      <c r="AD8" s="135">
        <f t="shared" si="5"/>
        <v>177916</v>
      </c>
      <c r="AE8" s="367"/>
    </row>
    <row r="9" spans="2:32" s="27" customFormat="1">
      <c r="B9" s="45">
        <v>4</v>
      </c>
      <c r="C9" s="46" t="s">
        <v>97</v>
      </c>
      <c r="D9" s="48" t="s">
        <v>119</v>
      </c>
      <c r="E9" s="368">
        <v>972282974305000</v>
      </c>
      <c r="F9" s="46" t="s">
        <v>74</v>
      </c>
      <c r="G9" s="46"/>
      <c r="H9" s="49" t="s">
        <v>39</v>
      </c>
      <c r="I9" s="50" t="s">
        <v>9</v>
      </c>
      <c r="J9" s="90" t="str">
        <f t="shared" si="1"/>
        <v>TER B</v>
      </c>
      <c r="K9" s="92">
        <v>4540833.333333334</v>
      </c>
      <c r="L9" s="92">
        <v>30575.999999999996</v>
      </c>
      <c r="M9" s="92">
        <v>147200</v>
      </c>
      <c r="N9" s="92"/>
      <c r="O9" s="92"/>
      <c r="P9" s="92"/>
      <c r="Q9" s="92"/>
      <c r="R9" s="92"/>
      <c r="S9" s="94">
        <v>0</v>
      </c>
      <c r="T9" s="92"/>
      <c r="U9" s="92"/>
      <c r="V9" s="92"/>
      <c r="W9" s="94">
        <f t="shared" si="6"/>
        <v>4718609.333333334</v>
      </c>
      <c r="X9" s="95">
        <f t="shared" si="2"/>
        <v>0</v>
      </c>
      <c r="Y9" s="128">
        <f t="shared" si="3"/>
        <v>0</v>
      </c>
      <c r="Z9" s="92">
        <v>0</v>
      </c>
      <c r="AA9" s="137">
        <f t="shared" si="4"/>
        <v>0</v>
      </c>
      <c r="AB9" s="138"/>
      <c r="AD9" s="135">
        <f t="shared" si="5"/>
        <v>177776</v>
      </c>
      <c r="AE9" s="367"/>
    </row>
    <row r="10" spans="2:32" s="27" customFormat="1">
      <c r="B10" s="45">
        <v>5</v>
      </c>
      <c r="C10" s="46" t="s">
        <v>98</v>
      </c>
      <c r="D10" s="48" t="s">
        <v>120</v>
      </c>
      <c r="E10" s="368">
        <v>972280226305000</v>
      </c>
      <c r="F10" s="46" t="s">
        <v>143</v>
      </c>
      <c r="G10" s="46"/>
      <c r="H10" s="49" t="s">
        <v>38</v>
      </c>
      <c r="I10" s="50" t="s">
        <v>7</v>
      </c>
      <c r="J10" s="90" t="str">
        <f t="shared" si="1"/>
        <v>TER A</v>
      </c>
      <c r="K10" s="92">
        <v>5185010.9333333336</v>
      </c>
      <c r="L10" s="92">
        <v>30575.999999999996</v>
      </c>
      <c r="M10" s="92">
        <v>147340</v>
      </c>
      <c r="N10" s="92"/>
      <c r="O10" s="92"/>
      <c r="P10" s="92"/>
      <c r="Q10" s="92"/>
      <c r="R10" s="92"/>
      <c r="S10" s="94"/>
      <c r="T10" s="92"/>
      <c r="U10" s="92"/>
      <c r="V10" s="92"/>
      <c r="W10" s="94">
        <f t="shared" si="6"/>
        <v>5362926.9333333336</v>
      </c>
      <c r="X10" s="95">
        <f t="shared" ref="X10:X13" si="7">IF($J10="TER A",VLOOKUP(W10,Ter_A,4,TRUE),IF($J10="TER B",VLOOKUP(W10,Ter_B,4,TRUE),VLOOKUP(W10,Ter_C,4,TRUE)))</f>
        <v>0</v>
      </c>
      <c r="Y10" s="128">
        <f t="shared" si="3"/>
        <v>0</v>
      </c>
      <c r="Z10" s="92">
        <v>24279.029333333365</v>
      </c>
      <c r="AA10" s="137">
        <f t="shared" si="4"/>
        <v>24279.029333333365</v>
      </c>
      <c r="AB10" s="138" t="s">
        <v>224</v>
      </c>
      <c r="AD10" s="135">
        <f t="shared" si="5"/>
        <v>177916</v>
      </c>
      <c r="AE10" s="367"/>
    </row>
    <row r="11" spans="2:32" s="27" customFormat="1">
      <c r="B11" s="45">
        <v>6</v>
      </c>
      <c r="C11" s="46" t="s">
        <v>99</v>
      </c>
      <c r="D11" s="48" t="s">
        <v>121</v>
      </c>
      <c r="E11" s="368">
        <v>972283014305000</v>
      </c>
      <c r="F11" s="46" t="s">
        <v>144</v>
      </c>
      <c r="G11" s="46"/>
      <c r="H11" s="49" t="s">
        <v>39</v>
      </c>
      <c r="I11" s="50" t="s">
        <v>11</v>
      </c>
      <c r="J11" s="90" t="str">
        <f t="shared" si="1"/>
        <v>TER B</v>
      </c>
      <c r="K11" s="92">
        <v>3975733.3333333335</v>
      </c>
      <c r="L11" s="92">
        <v>30575.999999999996</v>
      </c>
      <c r="M11" s="92">
        <v>147480</v>
      </c>
      <c r="N11" s="92"/>
      <c r="O11" s="92"/>
      <c r="P11" s="92"/>
      <c r="Q11" s="92"/>
      <c r="R11" s="92"/>
      <c r="S11" s="94"/>
      <c r="T11" s="92"/>
      <c r="U11" s="92"/>
      <c r="V11" s="92"/>
      <c r="W11" s="94">
        <f t="shared" si="6"/>
        <v>4153789.3333333335</v>
      </c>
      <c r="X11" s="95">
        <f t="shared" si="7"/>
        <v>0</v>
      </c>
      <c r="Y11" s="128">
        <f t="shared" si="3"/>
        <v>0</v>
      </c>
      <c r="Z11" s="92">
        <v>0</v>
      </c>
      <c r="AA11" s="137">
        <f t="shared" si="4"/>
        <v>0</v>
      </c>
      <c r="AB11" s="138"/>
      <c r="AD11" s="135">
        <f t="shared" si="5"/>
        <v>178056</v>
      </c>
      <c r="AE11" s="367"/>
    </row>
    <row r="12" spans="2:32" s="27" customFormat="1">
      <c r="B12" s="45">
        <v>7</v>
      </c>
      <c r="C12" s="46" t="s">
        <v>100</v>
      </c>
      <c r="D12" s="48" t="s">
        <v>122</v>
      </c>
      <c r="E12" s="368">
        <v>972283048305000</v>
      </c>
      <c r="F12" s="46" t="s">
        <v>145</v>
      </c>
      <c r="G12" s="46"/>
      <c r="H12" s="49" t="s">
        <v>38</v>
      </c>
      <c r="I12" s="50" t="s">
        <v>7</v>
      </c>
      <c r="J12" s="90" t="str">
        <f t="shared" si="1"/>
        <v>TER A</v>
      </c>
      <c r="K12" s="92">
        <v>6497640.833333334</v>
      </c>
      <c r="L12" s="92">
        <v>30575.999999999996</v>
      </c>
      <c r="M12" s="92">
        <v>147060</v>
      </c>
      <c r="N12" s="92"/>
      <c r="O12" s="92"/>
      <c r="P12" s="92"/>
      <c r="Q12" s="92"/>
      <c r="R12" s="92"/>
      <c r="S12" s="94"/>
      <c r="T12" s="92"/>
      <c r="U12" s="92"/>
      <c r="V12" s="92"/>
      <c r="W12" s="94">
        <f t="shared" si="6"/>
        <v>6675276.833333334</v>
      </c>
      <c r="X12" s="95">
        <f t="shared" si="7"/>
        <v>0.01</v>
      </c>
      <c r="Y12" s="128">
        <f t="shared" si="3"/>
        <v>66753</v>
      </c>
      <c r="Z12" s="92">
        <v>86615.649583333361</v>
      </c>
      <c r="AA12" s="137">
        <f t="shared" si="4"/>
        <v>19862.649583333361</v>
      </c>
      <c r="AB12" s="138" t="s">
        <v>224</v>
      </c>
      <c r="AD12" s="135">
        <f t="shared" si="5"/>
        <v>177636</v>
      </c>
      <c r="AE12" s="367"/>
    </row>
    <row r="13" spans="2:32" s="27" customFormat="1">
      <c r="B13" s="45">
        <v>8</v>
      </c>
      <c r="C13" s="46" t="s">
        <v>101</v>
      </c>
      <c r="D13" s="48" t="s">
        <v>123</v>
      </c>
      <c r="E13" s="368">
        <v>972280150305000</v>
      </c>
      <c r="F13" s="46" t="s">
        <v>146</v>
      </c>
      <c r="G13" s="46"/>
      <c r="H13" s="49" t="s">
        <v>39</v>
      </c>
      <c r="I13" s="50" t="s">
        <v>11</v>
      </c>
      <c r="J13" s="90" t="str">
        <f t="shared" si="1"/>
        <v>TER B</v>
      </c>
      <c r="K13" s="92">
        <v>4399572.1899999995</v>
      </c>
      <c r="L13" s="92">
        <v>30575.999999999996</v>
      </c>
      <c r="M13" s="92">
        <v>147200</v>
      </c>
      <c r="N13" s="92"/>
      <c r="O13" s="92"/>
      <c r="P13" s="92"/>
      <c r="Q13" s="92"/>
      <c r="R13" s="92"/>
      <c r="S13" s="94"/>
      <c r="T13" s="92"/>
      <c r="U13" s="92"/>
      <c r="V13" s="92"/>
      <c r="W13" s="94">
        <f t="shared" si="6"/>
        <v>4577348.1899999995</v>
      </c>
      <c r="X13" s="95">
        <f t="shared" si="7"/>
        <v>0</v>
      </c>
      <c r="Y13" s="128">
        <f t="shared" si="3"/>
        <v>0</v>
      </c>
      <c r="Z13" s="92">
        <v>0</v>
      </c>
      <c r="AA13" s="137">
        <f t="shared" si="4"/>
        <v>0</v>
      </c>
      <c r="AB13" s="138"/>
      <c r="AD13" s="135">
        <f t="shared" si="5"/>
        <v>177776</v>
      </c>
      <c r="AE13" s="367"/>
    </row>
    <row r="14" spans="2:32" s="27" customFormat="1">
      <c r="B14" s="45">
        <v>11</v>
      </c>
      <c r="C14" s="46" t="s">
        <v>104</v>
      </c>
      <c r="D14" s="48" t="s">
        <v>126</v>
      </c>
      <c r="E14" s="368">
        <v>972285720305000</v>
      </c>
      <c r="F14" s="46" t="s">
        <v>149</v>
      </c>
      <c r="G14" s="46"/>
      <c r="H14" s="49" t="s">
        <v>39</v>
      </c>
      <c r="I14" s="50" t="s">
        <v>17</v>
      </c>
      <c r="J14" s="90" t="str">
        <f t="shared" ref="J14:J29" si="8">IF(ISBLANK(I14),"",IF(OR(I14="TK/0",I14="TK/1",I14="K/0"),"TER A",IF(I14="K/3","TER C","TER B")))</f>
        <v>TER A</v>
      </c>
      <c r="K14" s="92">
        <v>3933933.3333333335</v>
      </c>
      <c r="L14" s="92">
        <v>30575.999999999996</v>
      </c>
      <c r="M14" s="92">
        <v>148040</v>
      </c>
      <c r="N14" s="92"/>
      <c r="O14" s="92"/>
      <c r="P14" s="92"/>
      <c r="Q14" s="92"/>
      <c r="R14" s="92"/>
      <c r="S14" s="94"/>
      <c r="T14" s="92"/>
      <c r="U14" s="92"/>
      <c r="V14" s="92"/>
      <c r="W14" s="94">
        <f t="shared" ref="W14:W29" si="9">SUM(K14:V14)</f>
        <v>4112549.3333333335</v>
      </c>
      <c r="X14" s="95">
        <f t="shared" ref="X14:X29" si="10">IF($J14="TER A",VLOOKUP(W14,Ter_A,4,TRUE),IF($J14="TER B",VLOOKUP(W14,Ter_B,4,TRUE),VLOOKUP(W14,Ter_C,4,TRUE)))</f>
        <v>0</v>
      </c>
      <c r="Y14" s="128">
        <f t="shared" ref="Y14:Y29" si="11">ROUND(IF($E14=0,W14*X14*120%,W14*X14),0)</f>
        <v>0</v>
      </c>
      <c r="Z14" s="92">
        <v>0</v>
      </c>
      <c r="AA14" s="137">
        <f t="shared" ref="AA14:AA29" si="12">Z14-Y14</f>
        <v>0</v>
      </c>
      <c r="AB14" s="138"/>
      <c r="AD14" s="135">
        <f t="shared" ref="AD14:AD29" si="13">SUM(L14+M14)</f>
        <v>178616</v>
      </c>
      <c r="AE14" s="367"/>
    </row>
    <row r="15" spans="2:32" s="27" customFormat="1">
      <c r="B15" s="45">
        <v>12</v>
      </c>
      <c r="C15" s="46" t="s">
        <v>105</v>
      </c>
      <c r="D15" s="48" t="s">
        <v>127</v>
      </c>
      <c r="E15" s="368">
        <v>743653768305000</v>
      </c>
      <c r="F15" s="46" t="s">
        <v>150</v>
      </c>
      <c r="G15" s="46"/>
      <c r="H15" s="49" t="s">
        <v>39</v>
      </c>
      <c r="I15" s="50" t="s">
        <v>9</v>
      </c>
      <c r="J15" s="90" t="str">
        <f t="shared" si="8"/>
        <v>TER B</v>
      </c>
      <c r="K15" s="92">
        <v>3930833.3333333335</v>
      </c>
      <c r="L15" s="92">
        <v>30575.999999999996</v>
      </c>
      <c r="M15" s="92">
        <v>146800</v>
      </c>
      <c r="N15" s="92"/>
      <c r="O15" s="92"/>
      <c r="P15" s="92"/>
      <c r="Q15" s="92"/>
      <c r="R15" s="92"/>
      <c r="S15" s="94"/>
      <c r="T15" s="92"/>
      <c r="U15" s="92"/>
      <c r="V15" s="92"/>
      <c r="W15" s="94">
        <f t="shared" si="9"/>
        <v>4108209.3333333335</v>
      </c>
      <c r="X15" s="95">
        <f t="shared" si="10"/>
        <v>0</v>
      </c>
      <c r="Y15" s="128">
        <f t="shared" si="11"/>
        <v>0</v>
      </c>
      <c r="Z15" s="92">
        <v>0</v>
      </c>
      <c r="AA15" s="137">
        <f t="shared" si="12"/>
        <v>0</v>
      </c>
      <c r="AB15" s="138"/>
      <c r="AD15" s="135">
        <f t="shared" si="13"/>
        <v>177376</v>
      </c>
      <c r="AE15" s="367"/>
    </row>
    <row r="16" spans="2:32" s="27" customFormat="1">
      <c r="B16" s="45">
        <v>13</v>
      </c>
      <c r="C16" s="46" t="s">
        <v>106</v>
      </c>
      <c r="D16" s="48" t="s">
        <v>128</v>
      </c>
      <c r="E16" s="368">
        <v>972283287305000</v>
      </c>
      <c r="F16" s="46" t="s">
        <v>151</v>
      </c>
      <c r="G16" s="46"/>
      <c r="H16" s="49" t="s">
        <v>39</v>
      </c>
      <c r="I16" s="50" t="s">
        <v>9</v>
      </c>
      <c r="J16" s="90" t="str">
        <f t="shared" si="8"/>
        <v>TER B</v>
      </c>
      <c r="K16" s="92">
        <v>3961833.3333333335</v>
      </c>
      <c r="L16" s="92">
        <v>30575.999999999996</v>
      </c>
      <c r="M16" s="92">
        <v>148040</v>
      </c>
      <c r="N16" s="92"/>
      <c r="O16" s="92"/>
      <c r="P16" s="92"/>
      <c r="Q16" s="92"/>
      <c r="R16" s="92"/>
      <c r="S16" s="94"/>
      <c r="T16" s="92"/>
      <c r="U16" s="92"/>
      <c r="V16" s="92"/>
      <c r="W16" s="94">
        <f t="shared" si="9"/>
        <v>4140449.3333333335</v>
      </c>
      <c r="X16" s="95">
        <f t="shared" si="10"/>
        <v>0</v>
      </c>
      <c r="Y16" s="128">
        <f t="shared" si="11"/>
        <v>0</v>
      </c>
      <c r="Z16" s="92">
        <v>0</v>
      </c>
      <c r="AA16" s="137">
        <f t="shared" si="12"/>
        <v>0</v>
      </c>
      <c r="AB16" s="138"/>
      <c r="AD16" s="135">
        <f t="shared" si="13"/>
        <v>178616</v>
      </c>
      <c r="AE16" s="367"/>
    </row>
    <row r="17" spans="2:32" s="27" customFormat="1">
      <c r="B17" s="45">
        <v>14</v>
      </c>
      <c r="C17" s="46" t="s">
        <v>107</v>
      </c>
      <c r="D17" s="48" t="s">
        <v>129</v>
      </c>
      <c r="E17" s="368">
        <v>972282966305000</v>
      </c>
      <c r="F17" s="46" t="s">
        <v>152</v>
      </c>
      <c r="G17" s="46"/>
      <c r="H17" s="49" t="s">
        <v>39</v>
      </c>
      <c r="I17" s="50" t="s">
        <v>9</v>
      </c>
      <c r="J17" s="90" t="str">
        <f t="shared" si="8"/>
        <v>TER B</v>
      </c>
      <c r="K17" s="92">
        <v>3996000</v>
      </c>
      <c r="L17" s="92">
        <v>30575.999999999996</v>
      </c>
      <c r="M17" s="92">
        <v>148040</v>
      </c>
      <c r="N17" s="92"/>
      <c r="O17" s="92"/>
      <c r="P17" s="92"/>
      <c r="Q17" s="92"/>
      <c r="R17" s="92"/>
      <c r="S17" s="94"/>
      <c r="T17" s="92"/>
      <c r="U17" s="92"/>
      <c r="V17" s="92"/>
      <c r="W17" s="94">
        <f t="shared" si="9"/>
        <v>4174616</v>
      </c>
      <c r="X17" s="95">
        <f t="shared" si="10"/>
        <v>0</v>
      </c>
      <c r="Y17" s="128">
        <f t="shared" si="11"/>
        <v>0</v>
      </c>
      <c r="Z17" s="92">
        <v>0</v>
      </c>
      <c r="AA17" s="137">
        <f t="shared" si="12"/>
        <v>0</v>
      </c>
      <c r="AB17" s="138"/>
      <c r="AD17" s="135">
        <f t="shared" si="13"/>
        <v>178616</v>
      </c>
      <c r="AE17" s="367"/>
    </row>
    <row r="18" spans="2:32" s="27" customFormat="1" ht="12" customHeight="1">
      <c r="B18" s="45">
        <v>9</v>
      </c>
      <c r="C18" s="46" t="s">
        <v>102</v>
      </c>
      <c r="D18" s="48" t="s">
        <v>124</v>
      </c>
      <c r="E18" s="368">
        <v>972280218305000</v>
      </c>
      <c r="F18" s="46" t="s">
        <v>147</v>
      </c>
      <c r="G18" s="46"/>
      <c r="H18" s="49" t="s">
        <v>39</v>
      </c>
      <c r="I18" s="50" t="s">
        <v>17</v>
      </c>
      <c r="J18" s="90" t="str">
        <f t="shared" si="8"/>
        <v>TER A</v>
      </c>
      <c r="K18" s="92">
        <v>3791500.0000000005</v>
      </c>
      <c r="L18" s="92">
        <v>30575.999999999996</v>
      </c>
      <c r="M18" s="92">
        <v>147340</v>
      </c>
      <c r="N18" s="92"/>
      <c r="O18" s="92"/>
      <c r="P18" s="92"/>
      <c r="Q18" s="92"/>
      <c r="R18" s="92"/>
      <c r="S18" s="94"/>
      <c r="T18" s="92"/>
      <c r="U18" s="92"/>
      <c r="V18" s="92"/>
      <c r="W18" s="94">
        <f t="shared" si="9"/>
        <v>3969416.0000000005</v>
      </c>
      <c r="X18" s="95">
        <f t="shared" si="10"/>
        <v>0</v>
      </c>
      <c r="Y18" s="128">
        <f t="shared" si="11"/>
        <v>0</v>
      </c>
      <c r="Z18" s="92">
        <v>0</v>
      </c>
      <c r="AA18" s="137">
        <f t="shared" si="12"/>
        <v>0</v>
      </c>
      <c r="AB18" s="138"/>
      <c r="AD18" s="135">
        <f t="shared" si="13"/>
        <v>177916</v>
      </c>
      <c r="AE18" s="367"/>
    </row>
    <row r="19" spans="2:32" s="27" customFormat="1">
      <c r="B19" s="45">
        <v>15</v>
      </c>
      <c r="C19" s="46" t="s">
        <v>108</v>
      </c>
      <c r="D19" s="48" t="s">
        <v>130</v>
      </c>
      <c r="E19" s="368">
        <v>972285506305000</v>
      </c>
      <c r="F19" s="46" t="s">
        <v>153</v>
      </c>
      <c r="G19" s="46"/>
      <c r="H19" s="49" t="s">
        <v>39</v>
      </c>
      <c r="I19" s="50" t="s">
        <v>9</v>
      </c>
      <c r="J19" s="90" t="str">
        <f t="shared" si="8"/>
        <v>TER B</v>
      </c>
      <c r="K19" s="92">
        <v>3913591.4966666671</v>
      </c>
      <c r="L19" s="92">
        <v>30575.999999999996</v>
      </c>
      <c r="M19" s="92">
        <v>147340</v>
      </c>
      <c r="N19" s="92"/>
      <c r="O19" s="92"/>
      <c r="P19" s="92"/>
      <c r="Q19" s="92"/>
      <c r="R19" s="92"/>
      <c r="S19" s="94"/>
      <c r="T19" s="92"/>
      <c r="U19" s="92"/>
      <c r="V19" s="92"/>
      <c r="W19" s="94">
        <f t="shared" si="9"/>
        <v>4091507.4966666671</v>
      </c>
      <c r="X19" s="95">
        <f t="shared" si="10"/>
        <v>0</v>
      </c>
      <c r="Y19" s="128">
        <f t="shared" si="11"/>
        <v>0</v>
      </c>
      <c r="Z19" s="92">
        <v>0</v>
      </c>
      <c r="AA19" s="137">
        <f t="shared" si="12"/>
        <v>0</v>
      </c>
      <c r="AB19" s="138"/>
      <c r="AD19" s="135">
        <f t="shared" si="13"/>
        <v>177916</v>
      </c>
      <c r="AE19" s="367"/>
    </row>
    <row r="20" spans="2:32" s="27" customFormat="1">
      <c r="B20" s="45">
        <v>17</v>
      </c>
      <c r="C20" s="46" t="s">
        <v>110</v>
      </c>
      <c r="D20" s="48" t="s">
        <v>132</v>
      </c>
      <c r="E20" s="368">
        <v>972374425305000</v>
      </c>
      <c r="F20" s="46" t="s">
        <v>155</v>
      </c>
      <c r="G20" s="46"/>
      <c r="H20" s="49" t="s">
        <v>39</v>
      </c>
      <c r="I20" s="50" t="s">
        <v>11</v>
      </c>
      <c r="J20" s="90" t="str">
        <f t="shared" si="8"/>
        <v>TER B</v>
      </c>
      <c r="K20" s="92">
        <v>7005559.5733333342</v>
      </c>
      <c r="L20" s="92">
        <v>30575.999999999996</v>
      </c>
      <c r="M20" s="92">
        <v>147480</v>
      </c>
      <c r="N20" s="92"/>
      <c r="O20" s="92"/>
      <c r="P20" s="92"/>
      <c r="Q20" s="92"/>
      <c r="R20" s="92"/>
      <c r="S20" s="94">
        <v>0</v>
      </c>
      <c r="T20" s="92"/>
      <c r="U20" s="92"/>
      <c r="V20" s="92"/>
      <c r="W20" s="94">
        <f t="shared" si="9"/>
        <v>7183615.5733333342</v>
      </c>
      <c r="X20" s="95">
        <f t="shared" si="10"/>
        <v>7.4999999999999997E-3</v>
      </c>
      <c r="Y20" s="128">
        <f t="shared" si="11"/>
        <v>53877</v>
      </c>
      <c r="Z20" s="92">
        <v>54511.739733333387</v>
      </c>
      <c r="AA20" s="137">
        <f t="shared" si="12"/>
        <v>634.73973333338654</v>
      </c>
      <c r="AB20" s="138" t="s">
        <v>224</v>
      </c>
      <c r="AD20" s="135">
        <f t="shared" si="13"/>
        <v>178056</v>
      </c>
      <c r="AE20" s="367"/>
    </row>
    <row r="21" spans="2:32" s="27" customFormat="1">
      <c r="B21" s="45">
        <v>20</v>
      </c>
      <c r="C21" s="46" t="s">
        <v>113</v>
      </c>
      <c r="D21" s="48" t="s">
        <v>135</v>
      </c>
      <c r="E21" s="368">
        <v>972285704305000</v>
      </c>
      <c r="F21" s="46" t="s">
        <v>157</v>
      </c>
      <c r="G21" s="46"/>
      <c r="H21" s="49" t="s">
        <v>39</v>
      </c>
      <c r="I21" s="50" t="s">
        <v>9</v>
      </c>
      <c r="J21" s="90" t="str">
        <f t="shared" si="8"/>
        <v>TER B</v>
      </c>
      <c r="K21" s="92">
        <v>3836818.853333334</v>
      </c>
      <c r="L21" s="92">
        <v>30575.999999999996</v>
      </c>
      <c r="M21" s="92">
        <v>148040</v>
      </c>
      <c r="N21" s="92"/>
      <c r="O21" s="92"/>
      <c r="P21" s="92"/>
      <c r="Q21" s="92"/>
      <c r="R21" s="92"/>
      <c r="S21" s="94">
        <v>0</v>
      </c>
      <c r="T21" s="92"/>
      <c r="U21" s="92"/>
      <c r="V21" s="92"/>
      <c r="W21" s="94">
        <f t="shared" si="9"/>
        <v>4015434.853333334</v>
      </c>
      <c r="X21" s="95">
        <f t="shared" si="10"/>
        <v>0</v>
      </c>
      <c r="Y21" s="128">
        <f t="shared" si="11"/>
        <v>0</v>
      </c>
      <c r="Z21" s="92">
        <v>0</v>
      </c>
      <c r="AA21" s="137">
        <f t="shared" si="12"/>
        <v>0</v>
      </c>
      <c r="AB21" s="138"/>
      <c r="AD21" s="135">
        <f t="shared" si="13"/>
        <v>178616</v>
      </c>
      <c r="AE21" s="367"/>
    </row>
    <row r="22" spans="2:32" s="27" customFormat="1">
      <c r="B22" s="45">
        <v>21</v>
      </c>
      <c r="C22" s="46" t="s">
        <v>226</v>
      </c>
      <c r="D22" s="48" t="s">
        <v>136</v>
      </c>
      <c r="E22" s="368" t="s">
        <v>73</v>
      </c>
      <c r="F22" s="46" t="s">
        <v>158</v>
      </c>
      <c r="G22" s="46"/>
      <c r="H22" s="49" t="s">
        <v>39</v>
      </c>
      <c r="I22" s="50" t="s">
        <v>7</v>
      </c>
      <c r="J22" s="90" t="str">
        <f t="shared" si="8"/>
        <v>TER A</v>
      </c>
      <c r="K22" s="92">
        <v>6004796.9333333336</v>
      </c>
      <c r="L22" s="92">
        <v>31205.999999999996</v>
      </c>
      <c r="M22" s="92">
        <v>148700</v>
      </c>
      <c r="N22" s="92"/>
      <c r="O22" s="92"/>
      <c r="P22" s="92"/>
      <c r="Q22" s="92"/>
      <c r="R22" s="92"/>
      <c r="S22" s="94">
        <v>0</v>
      </c>
      <c r="T22" s="92"/>
      <c r="U22" s="92"/>
      <c r="V22" s="92"/>
      <c r="W22" s="94">
        <f t="shared" si="9"/>
        <v>6184702.9333333336</v>
      </c>
      <c r="X22" s="95">
        <f t="shared" si="10"/>
        <v>7.4999999999999997E-3</v>
      </c>
      <c r="Y22" s="128">
        <f t="shared" si="11"/>
        <v>46385</v>
      </c>
      <c r="Z22" s="92">
        <v>75841.067199999976</v>
      </c>
      <c r="AA22" s="137">
        <f t="shared" si="12"/>
        <v>29456.067199999976</v>
      </c>
      <c r="AB22" s="138" t="s">
        <v>224</v>
      </c>
      <c r="AD22" s="135">
        <f t="shared" si="13"/>
        <v>179906</v>
      </c>
      <c r="AE22" s="367"/>
    </row>
    <row r="23" spans="2:32" s="27" customFormat="1">
      <c r="B23" s="45">
        <v>24</v>
      </c>
      <c r="C23" s="46" t="s">
        <v>115</v>
      </c>
      <c r="D23" s="48" t="s">
        <v>139</v>
      </c>
      <c r="E23" s="368">
        <v>972285225305000</v>
      </c>
      <c r="F23" s="46" t="s">
        <v>161</v>
      </c>
      <c r="G23" s="46"/>
      <c r="H23" s="49" t="s">
        <v>39</v>
      </c>
      <c r="I23" s="50" t="s">
        <v>17</v>
      </c>
      <c r="J23" s="90" t="str">
        <f t="shared" si="8"/>
        <v>TER A</v>
      </c>
      <c r="K23" s="92">
        <v>4354121.1533333333</v>
      </c>
      <c r="L23" s="92">
        <v>30575.999999999996</v>
      </c>
      <c r="M23" s="92">
        <v>147340</v>
      </c>
      <c r="N23" s="92"/>
      <c r="O23" s="92"/>
      <c r="P23" s="92"/>
      <c r="Q23" s="92"/>
      <c r="R23" s="92"/>
      <c r="S23" s="94">
        <v>0</v>
      </c>
      <c r="T23" s="92"/>
      <c r="U23" s="92"/>
      <c r="V23" s="92"/>
      <c r="W23" s="94">
        <f t="shared" si="9"/>
        <v>4532037.1533333333</v>
      </c>
      <c r="X23" s="95">
        <f t="shared" si="10"/>
        <v>0</v>
      </c>
      <c r="Y23" s="128">
        <f t="shared" si="11"/>
        <v>0</v>
      </c>
      <c r="Z23" s="92">
        <v>0</v>
      </c>
      <c r="AA23" s="137">
        <f t="shared" si="12"/>
        <v>0</v>
      </c>
      <c r="AB23" s="138"/>
      <c r="AD23" s="135">
        <f t="shared" si="13"/>
        <v>177916</v>
      </c>
      <c r="AE23" s="367"/>
    </row>
    <row r="24" spans="2:32" s="27" customFormat="1">
      <c r="B24" s="45">
        <v>10</v>
      </c>
      <c r="C24" s="46" t="s">
        <v>103</v>
      </c>
      <c r="D24" s="48" t="s">
        <v>125</v>
      </c>
      <c r="E24" s="368">
        <v>972280259305000</v>
      </c>
      <c r="F24" s="46" t="s">
        <v>148</v>
      </c>
      <c r="G24" s="46"/>
      <c r="H24" s="49" t="s">
        <v>39</v>
      </c>
      <c r="I24" s="50" t="s">
        <v>11</v>
      </c>
      <c r="J24" s="90" t="str">
        <f t="shared" si="8"/>
        <v>TER B</v>
      </c>
      <c r="K24" s="92">
        <v>8003339.8133333335</v>
      </c>
      <c r="L24" s="92">
        <v>30575.999999999996</v>
      </c>
      <c r="M24" s="92">
        <v>147480</v>
      </c>
      <c r="N24" s="92"/>
      <c r="O24" s="92"/>
      <c r="P24" s="92"/>
      <c r="Q24" s="92"/>
      <c r="R24" s="92"/>
      <c r="S24" s="94"/>
      <c r="T24" s="92"/>
      <c r="U24" s="92"/>
      <c r="V24" s="92"/>
      <c r="W24" s="94">
        <f t="shared" si="9"/>
        <v>8181395.8133333335</v>
      </c>
      <c r="X24" s="95">
        <f t="shared" si="10"/>
        <v>0.01</v>
      </c>
      <c r="Y24" s="128">
        <f t="shared" si="11"/>
        <v>81814</v>
      </c>
      <c r="Z24" s="92">
        <v>101906.30113333334</v>
      </c>
      <c r="AA24" s="137">
        <f t="shared" si="12"/>
        <v>20092.301133333342</v>
      </c>
      <c r="AB24" s="138" t="s">
        <v>224</v>
      </c>
      <c r="AD24" s="135">
        <f t="shared" si="13"/>
        <v>178056</v>
      </c>
      <c r="AE24" s="367"/>
    </row>
    <row r="25" spans="2:32" s="27" customFormat="1">
      <c r="B25" s="45">
        <v>16</v>
      </c>
      <c r="C25" s="46" t="s">
        <v>109</v>
      </c>
      <c r="D25" s="48" t="s">
        <v>131</v>
      </c>
      <c r="E25" s="368">
        <v>972286066305000</v>
      </c>
      <c r="F25" s="46" t="s">
        <v>154</v>
      </c>
      <c r="G25" s="46"/>
      <c r="H25" s="49" t="s">
        <v>39</v>
      </c>
      <c r="I25" s="50" t="s">
        <v>11</v>
      </c>
      <c r="J25" s="90" t="str">
        <f t="shared" si="8"/>
        <v>TER B</v>
      </c>
      <c r="K25" s="92">
        <v>8312946.7133333329</v>
      </c>
      <c r="L25" s="92">
        <v>30575.999999999996</v>
      </c>
      <c r="M25" s="92">
        <v>148040</v>
      </c>
      <c r="N25" s="92"/>
      <c r="O25" s="92"/>
      <c r="P25" s="92"/>
      <c r="Q25" s="92"/>
      <c r="R25" s="92"/>
      <c r="S25" s="94">
        <v>0</v>
      </c>
      <c r="T25" s="92"/>
      <c r="U25" s="92"/>
      <c r="V25" s="92"/>
      <c r="W25" s="94">
        <f t="shared" si="9"/>
        <v>8491562.7133333329</v>
      </c>
      <c r="X25" s="95">
        <f t="shared" si="10"/>
        <v>0.01</v>
      </c>
      <c r="Y25" s="128">
        <f t="shared" si="11"/>
        <v>84916</v>
      </c>
      <c r="Z25" s="92">
        <v>116639.22888333333</v>
      </c>
      <c r="AA25" s="137">
        <f t="shared" si="12"/>
        <v>31723.22888333333</v>
      </c>
      <c r="AB25" s="138" t="s">
        <v>224</v>
      </c>
      <c r="AD25" s="135">
        <f t="shared" si="13"/>
        <v>178616</v>
      </c>
      <c r="AE25" s="367"/>
    </row>
    <row r="26" spans="2:32" s="27" customFormat="1">
      <c r="B26" s="45">
        <v>18</v>
      </c>
      <c r="C26" s="46" t="s">
        <v>111</v>
      </c>
      <c r="D26" s="48" t="s">
        <v>133</v>
      </c>
      <c r="E26" s="368">
        <v>743653420305000</v>
      </c>
      <c r="F26" s="46" t="s">
        <v>156</v>
      </c>
      <c r="G26" s="46"/>
      <c r="H26" s="49" t="s">
        <v>39</v>
      </c>
      <c r="I26" s="50" t="s">
        <v>17</v>
      </c>
      <c r="J26" s="90" t="str">
        <f t="shared" si="8"/>
        <v>TER A</v>
      </c>
      <c r="K26" s="92">
        <v>7483251.3733333331</v>
      </c>
      <c r="L26" s="92">
        <v>30575.999999999996</v>
      </c>
      <c r="M26" s="92">
        <v>146560</v>
      </c>
      <c r="N26" s="92"/>
      <c r="O26" s="92"/>
      <c r="P26" s="92"/>
      <c r="Q26" s="92"/>
      <c r="R26" s="92"/>
      <c r="S26" s="94">
        <v>0</v>
      </c>
      <c r="T26" s="92"/>
      <c r="U26" s="92"/>
      <c r="V26" s="92"/>
      <c r="W26" s="94">
        <f t="shared" si="9"/>
        <v>7660387.3733333331</v>
      </c>
      <c r="X26" s="95">
        <f t="shared" si="10"/>
        <v>1.5000000000000001E-2</v>
      </c>
      <c r="Y26" s="128">
        <f t="shared" si="11"/>
        <v>114906</v>
      </c>
      <c r="Z26" s="92">
        <v>114658.4002333333</v>
      </c>
      <c r="AA26" s="137">
        <f t="shared" si="12"/>
        <v>-247.59976666669536</v>
      </c>
      <c r="AB26" s="138" t="s">
        <v>225</v>
      </c>
      <c r="AD26" s="135">
        <f t="shared" si="13"/>
        <v>177136</v>
      </c>
      <c r="AE26" s="367"/>
    </row>
    <row r="27" spans="2:32" s="27" customFormat="1">
      <c r="B27" s="45">
        <v>19</v>
      </c>
      <c r="C27" s="46" t="s">
        <v>112</v>
      </c>
      <c r="D27" s="48" t="s">
        <v>134</v>
      </c>
      <c r="E27" s="368">
        <v>972285597305000</v>
      </c>
      <c r="F27" s="46" t="s">
        <v>149</v>
      </c>
      <c r="G27" s="46"/>
      <c r="H27" s="49" t="s">
        <v>39</v>
      </c>
      <c r="I27" s="50" t="s">
        <v>9</v>
      </c>
      <c r="J27" s="90" t="str">
        <f t="shared" si="8"/>
        <v>TER B</v>
      </c>
      <c r="K27" s="92">
        <v>4258024.833333333</v>
      </c>
      <c r="L27" s="92">
        <v>30575.999999999996</v>
      </c>
      <c r="M27" s="92">
        <v>147200</v>
      </c>
      <c r="N27" s="92"/>
      <c r="O27" s="92"/>
      <c r="P27" s="92"/>
      <c r="Q27" s="92"/>
      <c r="R27" s="92"/>
      <c r="S27" s="94">
        <v>0</v>
      </c>
      <c r="T27" s="92"/>
      <c r="U27" s="92"/>
      <c r="V27" s="92"/>
      <c r="W27" s="94">
        <f t="shared" si="9"/>
        <v>4435800.833333333</v>
      </c>
      <c r="X27" s="95">
        <f t="shared" si="10"/>
        <v>0</v>
      </c>
      <c r="Y27" s="128">
        <f t="shared" si="11"/>
        <v>0</v>
      </c>
      <c r="Z27" s="92">
        <v>0</v>
      </c>
      <c r="AA27" s="137">
        <f t="shared" si="12"/>
        <v>0</v>
      </c>
      <c r="AB27" s="138"/>
      <c r="AD27" s="135">
        <f t="shared" si="13"/>
        <v>177776</v>
      </c>
      <c r="AE27" s="367"/>
    </row>
    <row r="28" spans="2:32" s="27" customFormat="1">
      <c r="B28" s="45">
        <v>22</v>
      </c>
      <c r="C28" s="46" t="s">
        <v>114</v>
      </c>
      <c r="D28" s="48" t="s">
        <v>137</v>
      </c>
      <c r="E28" s="368">
        <v>972280192305000</v>
      </c>
      <c r="F28" s="46" t="s">
        <v>159</v>
      </c>
      <c r="G28" s="46"/>
      <c r="H28" s="49" t="s">
        <v>39</v>
      </c>
      <c r="I28" s="50" t="s">
        <v>9</v>
      </c>
      <c r="J28" s="90" t="str">
        <f t="shared" si="8"/>
        <v>TER B</v>
      </c>
      <c r="K28" s="92">
        <v>7864461.7033333331</v>
      </c>
      <c r="L28" s="92">
        <v>30575.999999999996</v>
      </c>
      <c r="M28" s="92">
        <v>147340</v>
      </c>
      <c r="N28" s="92"/>
      <c r="O28" s="92"/>
      <c r="P28" s="92"/>
      <c r="Q28" s="92"/>
      <c r="R28" s="92"/>
      <c r="S28" s="94">
        <v>0</v>
      </c>
      <c r="T28" s="92"/>
      <c r="U28" s="92"/>
      <c r="V28" s="92"/>
      <c r="W28" s="94">
        <f t="shared" si="9"/>
        <v>8042377.7033333331</v>
      </c>
      <c r="X28" s="95">
        <f t="shared" si="10"/>
        <v>0.01</v>
      </c>
      <c r="Y28" s="128">
        <f t="shared" si="11"/>
        <v>80424</v>
      </c>
      <c r="Z28" s="92">
        <v>114052.94090833336</v>
      </c>
      <c r="AA28" s="137">
        <f t="shared" si="12"/>
        <v>33628.940908333359</v>
      </c>
      <c r="AB28" s="138" t="s">
        <v>224</v>
      </c>
      <c r="AD28" s="135">
        <f t="shared" si="13"/>
        <v>177916</v>
      </c>
      <c r="AE28" s="367"/>
    </row>
    <row r="29" spans="2:32" s="27" customFormat="1">
      <c r="B29" s="45">
        <v>23</v>
      </c>
      <c r="C29" s="46" t="s">
        <v>108</v>
      </c>
      <c r="D29" s="48" t="s">
        <v>138</v>
      </c>
      <c r="E29" s="368">
        <v>972283733305000</v>
      </c>
      <c r="F29" s="46" t="s">
        <v>160</v>
      </c>
      <c r="G29" s="46"/>
      <c r="H29" s="49" t="s">
        <v>39</v>
      </c>
      <c r="I29" s="50" t="s">
        <v>9</v>
      </c>
      <c r="J29" s="90" t="str">
        <f t="shared" si="8"/>
        <v>TER B</v>
      </c>
      <c r="K29" s="92">
        <v>5852713.1633333331</v>
      </c>
      <c r="L29" s="92">
        <v>30575.999999999996</v>
      </c>
      <c r="M29" s="92">
        <v>147340</v>
      </c>
      <c r="N29" s="92"/>
      <c r="O29" s="92"/>
      <c r="P29" s="92"/>
      <c r="Q29" s="92"/>
      <c r="R29" s="92"/>
      <c r="S29" s="94">
        <v>0</v>
      </c>
      <c r="T29" s="92"/>
      <c r="U29" s="92"/>
      <c r="V29" s="92"/>
      <c r="W29" s="94">
        <f t="shared" si="9"/>
        <v>6030629.1633333331</v>
      </c>
      <c r="X29" s="95">
        <f t="shared" si="10"/>
        <v>0</v>
      </c>
      <c r="Y29" s="128">
        <f t="shared" si="11"/>
        <v>0</v>
      </c>
      <c r="Z29" s="92">
        <v>18494.885258333325</v>
      </c>
      <c r="AA29" s="137">
        <f t="shared" si="12"/>
        <v>18494.885258333325</v>
      </c>
      <c r="AB29" s="138" t="s">
        <v>224</v>
      </c>
      <c r="AD29" s="135">
        <f t="shared" si="13"/>
        <v>177916</v>
      </c>
      <c r="AE29" s="367"/>
    </row>
    <row r="30" spans="2:32" s="27" customFormat="1" ht="13.5" thickBot="1">
      <c r="B30" s="52"/>
      <c r="C30" s="53"/>
      <c r="D30" s="103"/>
      <c r="E30" s="104"/>
      <c r="F30" s="105"/>
      <c r="G30" s="105"/>
      <c r="H30" s="106"/>
      <c r="I30" s="107"/>
      <c r="J30" s="108" t="str">
        <f t="shared" si="1"/>
        <v/>
      </c>
      <c r="K30" s="369"/>
      <c r="L30" s="369"/>
      <c r="M30" s="369"/>
      <c r="N30" s="369"/>
      <c r="O30" s="369"/>
      <c r="P30" s="369"/>
      <c r="Q30" s="369"/>
      <c r="R30" s="369"/>
      <c r="S30" s="109">
        <f ca="1">Y30</f>
        <v>0</v>
      </c>
      <c r="T30" s="369"/>
      <c r="U30" s="369"/>
      <c r="V30" s="369"/>
      <c r="W30" s="94">
        <f t="shared" ca="1" si="6"/>
        <v>0</v>
      </c>
      <c r="X30" s="95">
        <f t="shared" ca="1" si="0"/>
        <v>0</v>
      </c>
      <c r="Y30" s="370">
        <f t="shared" ca="1" si="3"/>
        <v>0</v>
      </c>
      <c r="Z30" s="369"/>
      <c r="AA30" s="369"/>
    </row>
    <row r="31" spans="2:32" s="58" customFormat="1" ht="13.5" thickBot="1">
      <c r="B31" s="124"/>
      <c r="C31" s="125"/>
      <c r="D31" s="125"/>
      <c r="E31" s="125"/>
      <c r="F31" s="125"/>
      <c r="G31" s="125"/>
      <c r="H31" s="125"/>
      <c r="I31" s="125"/>
      <c r="J31" s="125"/>
      <c r="K31" s="126">
        <f t="shared" ref="K31:T31" si="14">SUM(K6:K30)</f>
        <v>126649628.80333336</v>
      </c>
      <c r="L31" s="126">
        <f t="shared" si="14"/>
        <v>734453.99999999988</v>
      </c>
      <c r="M31" s="126">
        <f t="shared" si="14"/>
        <v>3540820</v>
      </c>
      <c r="N31" s="126">
        <f t="shared" si="14"/>
        <v>0</v>
      </c>
      <c r="O31" s="126">
        <f t="shared" si="14"/>
        <v>0</v>
      </c>
      <c r="P31" s="126">
        <f t="shared" si="14"/>
        <v>0</v>
      </c>
      <c r="Q31" s="126">
        <f t="shared" si="14"/>
        <v>0</v>
      </c>
      <c r="R31" s="126">
        <f t="shared" si="14"/>
        <v>0</v>
      </c>
      <c r="S31" s="126">
        <f t="shared" ca="1" si="14"/>
        <v>0</v>
      </c>
      <c r="T31" s="126">
        <f t="shared" si="14"/>
        <v>0</v>
      </c>
      <c r="U31" s="126"/>
      <c r="V31" s="126"/>
      <c r="W31" s="126">
        <f ca="1">SUM(W6:W30)</f>
        <v>130924902.80333336</v>
      </c>
      <c r="X31" s="126">
        <f ca="1">SUM(X6:X30)</f>
        <v>0.08</v>
      </c>
      <c r="Y31" s="129">
        <f ca="1">SUM(Y6:Y30)</f>
        <v>593242</v>
      </c>
      <c r="Z31" s="129">
        <f>SUM(Z6:Z29)</f>
        <v>781332.99687500019</v>
      </c>
      <c r="AA31" s="129">
        <f ca="1">Z31-Y31</f>
        <v>188090.99687500019</v>
      </c>
      <c r="AB31" s="57"/>
      <c r="AC31" s="57"/>
      <c r="AD31" s="126">
        <f>SUM(AD6:AD30)</f>
        <v>4275274</v>
      </c>
      <c r="AE31" s="57"/>
      <c r="AF31" s="57"/>
    </row>
    <row r="32" spans="2:32">
      <c r="K32" s="28">
        <f>+'[4]PAJAK  '!F32</f>
        <v>126649628.80333336</v>
      </c>
      <c r="L32" s="28">
        <f>+'[4]PAJAK  '!G32</f>
        <v>734453.99999999988</v>
      </c>
      <c r="M32" s="28">
        <f>+'[4]PAJAK  '!H32</f>
        <v>3540820</v>
      </c>
      <c r="N32" s="28">
        <f>+'[4]PAJAK  '!I32</f>
        <v>0</v>
      </c>
      <c r="O32" s="28">
        <f>+'[4]PAJAK  '!J32</f>
        <v>0</v>
      </c>
      <c r="P32" s="28">
        <f>+'[4]PAJAK  '!K32</f>
        <v>0</v>
      </c>
      <c r="Q32" s="28">
        <f>+'[4]PAJAK  '!L32</f>
        <v>130924902.80333336</v>
      </c>
      <c r="R32" s="28">
        <f>+'[4]PAJAK  '!M32</f>
        <v>1748700</v>
      </c>
      <c r="T32" s="28">
        <f>+'[5]Jan''24'!$O$35</f>
        <v>2250000</v>
      </c>
      <c r="W32" s="28">
        <f>+'[4]PAJAK  '!$L$32</f>
        <v>130924902.80333336</v>
      </c>
      <c r="Z32" s="134">
        <f>+'[4]PAJAK  '!$L$67</f>
        <v>781332.99687500007</v>
      </c>
    </row>
    <row r="33" spans="2:54" ht="15" hidden="1" customHeight="1">
      <c r="B33" s="57" t="s">
        <v>48</v>
      </c>
    </row>
    <row r="34" spans="2:54" ht="15" hidden="1" customHeight="1">
      <c r="B34" s="27" t="s">
        <v>49</v>
      </c>
    </row>
    <row r="35" spans="2:54" ht="15" hidden="1" customHeight="1">
      <c r="B35" s="27" t="s">
        <v>57</v>
      </c>
    </row>
    <row r="36" spans="2:54" ht="15" hidden="1" customHeight="1">
      <c r="B36" s="27" t="s">
        <v>50</v>
      </c>
    </row>
    <row r="37" spans="2:54" s="33" customFormat="1" ht="15" hidden="1" customHeight="1">
      <c r="B37" s="27" t="s">
        <v>58</v>
      </c>
      <c r="C37" s="28"/>
      <c r="D37" s="359"/>
      <c r="E37" s="30"/>
      <c r="F37" s="28"/>
      <c r="G37" s="31"/>
      <c r="H37" s="360"/>
      <c r="I37" s="360"/>
      <c r="J37" s="36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88"/>
      <c r="Y37" s="28"/>
      <c r="Z37" s="134"/>
      <c r="AA37" s="27"/>
      <c r="AB37" s="27"/>
      <c r="AC37" s="27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 ht="15" hidden="1" customHeight="1">
      <c r="B38" s="27" t="s">
        <v>51</v>
      </c>
      <c r="C38" s="28"/>
      <c r="D38" s="359"/>
      <c r="E38" s="30"/>
      <c r="F38" s="28"/>
      <c r="G38" s="31"/>
      <c r="H38" s="360"/>
      <c r="I38" s="360"/>
      <c r="J38" s="360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88"/>
      <c r="Y38" s="28"/>
      <c r="Z38" s="134"/>
      <c r="AA38" s="27"/>
      <c r="AB38" s="27"/>
      <c r="AC38" s="27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 ht="15" hidden="1" customHeight="1">
      <c r="B39" s="27" t="s">
        <v>52</v>
      </c>
      <c r="C39" s="28"/>
      <c r="D39" s="359"/>
      <c r="E39" s="30"/>
      <c r="F39" s="28"/>
      <c r="G39" s="31"/>
      <c r="H39" s="360"/>
      <c r="I39" s="360"/>
      <c r="J39" s="360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88"/>
      <c r="Y39" s="28"/>
      <c r="Z39" s="134"/>
      <c r="AA39" s="27"/>
      <c r="AB39" s="27"/>
      <c r="AC39" s="27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 ht="15" hidden="1" customHeight="1">
      <c r="B40" s="27" t="s">
        <v>53</v>
      </c>
      <c r="C40" s="28"/>
      <c r="D40" s="359"/>
      <c r="E40" s="30"/>
      <c r="F40" s="28"/>
      <c r="G40" s="31"/>
      <c r="H40" s="360"/>
      <c r="I40" s="360"/>
      <c r="J40" s="360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88"/>
      <c r="Y40" s="28"/>
      <c r="Z40" s="134"/>
      <c r="AA40" s="27"/>
      <c r="AB40" s="27"/>
      <c r="AC40" s="27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 ht="15" hidden="1" customHeight="1">
      <c r="B41" s="27" t="s">
        <v>59</v>
      </c>
      <c r="C41" s="28"/>
      <c r="D41" s="359"/>
      <c r="E41" s="30"/>
      <c r="F41" s="28"/>
      <c r="G41" s="31"/>
      <c r="H41" s="360"/>
      <c r="I41" s="360"/>
      <c r="J41" s="360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88"/>
      <c r="Y41" s="28"/>
      <c r="Z41" s="134"/>
      <c r="AA41" s="27"/>
      <c r="AB41" s="27"/>
      <c r="AC41" s="27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 ht="15" hidden="1" customHeight="1">
      <c r="B42" s="27" t="s">
        <v>60</v>
      </c>
      <c r="C42" s="28"/>
      <c r="D42" s="359"/>
      <c r="E42" s="30"/>
      <c r="F42" s="28"/>
      <c r="G42" s="31"/>
      <c r="H42" s="360"/>
      <c r="I42" s="360"/>
      <c r="J42" s="360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88"/>
      <c r="Y42" s="28"/>
      <c r="Z42" s="134"/>
      <c r="AA42" s="27"/>
      <c r="AB42" s="27"/>
      <c r="AC42" s="27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 ht="15" hidden="1" customHeight="1">
      <c r="B43" s="27" t="s">
        <v>65</v>
      </c>
      <c r="C43" s="28"/>
      <c r="D43" s="359"/>
      <c r="E43" s="30"/>
      <c r="F43" s="28"/>
      <c r="G43" s="31"/>
      <c r="H43" s="360"/>
      <c r="I43" s="360"/>
      <c r="J43" s="360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88"/>
      <c r="Y43" s="28"/>
      <c r="Z43" s="134"/>
      <c r="AA43" s="27"/>
      <c r="AB43" s="27"/>
      <c r="AC43" s="27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 ht="15" customHeight="1">
      <c r="B44" s="27"/>
      <c r="C44" s="28"/>
      <c r="D44" s="359"/>
      <c r="E44" s="30"/>
      <c r="F44" s="28"/>
      <c r="G44" s="31"/>
      <c r="H44" s="360"/>
      <c r="I44" s="360"/>
      <c r="J44" s="360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88"/>
      <c r="Y44" s="28"/>
      <c r="Z44" s="134"/>
      <c r="AA44" s="27"/>
      <c r="AB44" s="27"/>
      <c r="AC44" s="27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 ht="15" customHeight="1">
      <c r="B45" s="27"/>
      <c r="C45" s="28"/>
      <c r="D45" s="359"/>
      <c r="E45" s="30"/>
      <c r="F45" s="28"/>
      <c r="G45" s="31"/>
      <c r="H45" s="360"/>
      <c r="I45" s="360"/>
      <c r="J45" s="360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88"/>
      <c r="Y45" s="28"/>
      <c r="Z45" s="134"/>
      <c r="AA45" s="27"/>
      <c r="AB45" s="27"/>
      <c r="AC45" s="27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 s="33" customFormat="1" ht="15" customHeight="1">
      <c r="B46" s="27"/>
      <c r="C46" s="28"/>
      <c r="D46" s="359"/>
      <c r="E46" s="30"/>
      <c r="F46" s="28"/>
      <c r="G46" s="31"/>
      <c r="H46" s="360"/>
      <c r="I46" s="360"/>
      <c r="J46" s="360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88"/>
      <c r="Y46" s="28"/>
      <c r="Z46" s="134"/>
      <c r="AA46" s="27"/>
      <c r="AB46" s="27"/>
      <c r="AC46" s="27"/>
      <c r="AD46" s="27"/>
      <c r="AE46" s="27"/>
      <c r="AF46" s="27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</row>
    <row r="47" spans="2:54" s="33" customFormat="1" ht="15" customHeight="1">
      <c r="B47" s="27"/>
      <c r="C47" s="28"/>
      <c r="D47" s="359"/>
      <c r="E47" s="30"/>
      <c r="F47" s="28"/>
      <c r="G47" s="31"/>
      <c r="H47" s="360"/>
      <c r="I47" s="360"/>
      <c r="J47" s="360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88"/>
      <c r="Y47" s="28"/>
      <c r="Z47" s="134"/>
      <c r="AA47" s="27"/>
      <c r="AB47" s="27"/>
      <c r="AC47" s="27"/>
      <c r="AD47" s="27"/>
      <c r="AE47" s="27"/>
      <c r="AF47" s="27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</row>
    <row r="48" spans="2:54" s="33" customFormat="1" ht="15" customHeight="1">
      <c r="B48" s="27"/>
      <c r="C48" s="28"/>
      <c r="D48" s="359"/>
      <c r="E48" s="30"/>
      <c r="F48" s="28"/>
      <c r="G48" s="31"/>
      <c r="H48" s="360"/>
      <c r="I48" s="360"/>
      <c r="J48" s="360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88"/>
      <c r="Y48" s="28"/>
      <c r="Z48" s="134"/>
      <c r="AA48" s="27"/>
      <c r="AB48" s="27"/>
      <c r="AC48" s="27"/>
      <c r="AD48" s="27"/>
      <c r="AE48" s="27"/>
      <c r="AF48" s="27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</row>
    <row r="49" spans="2:54" s="33" customFormat="1" ht="15" customHeight="1">
      <c r="B49" s="27"/>
      <c r="C49" s="28"/>
      <c r="D49" s="359"/>
      <c r="E49" s="30"/>
      <c r="F49" s="28"/>
      <c r="G49" s="31"/>
      <c r="H49" s="360"/>
      <c r="I49" s="360"/>
      <c r="J49" s="360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88"/>
      <c r="Y49" s="28"/>
      <c r="Z49" s="134"/>
      <c r="AA49" s="27"/>
      <c r="AB49" s="27"/>
      <c r="AC49" s="27"/>
      <c r="AD49" s="27"/>
      <c r="AE49" s="27"/>
      <c r="AF49" s="27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</row>
    <row r="50" spans="2:54" s="33" customFormat="1" ht="15" customHeight="1">
      <c r="B50" s="27"/>
      <c r="C50" s="28"/>
      <c r="D50" s="359"/>
      <c r="E50" s="30"/>
      <c r="F50" s="28"/>
      <c r="G50" s="31"/>
      <c r="H50" s="360"/>
      <c r="I50" s="360"/>
      <c r="J50" s="360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88"/>
      <c r="Y50" s="28"/>
      <c r="Z50" s="134"/>
      <c r="AA50" s="27"/>
      <c r="AB50" s="27"/>
      <c r="AC50" s="27"/>
      <c r="AD50" s="27"/>
      <c r="AE50" s="27"/>
      <c r="AF50" s="27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</row>
    <row r="51" spans="2:54" s="33" customFormat="1" ht="15" customHeight="1">
      <c r="B51" s="27"/>
      <c r="C51" s="28"/>
      <c r="D51" s="359"/>
      <c r="E51" s="30"/>
      <c r="F51" s="28"/>
      <c r="G51" s="31"/>
      <c r="H51" s="360"/>
      <c r="I51" s="360"/>
      <c r="J51" s="360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88"/>
      <c r="Y51" s="28"/>
      <c r="Z51" s="134"/>
      <c r="AA51" s="27"/>
      <c r="AB51" s="27"/>
      <c r="AC51" s="27"/>
      <c r="AD51" s="27"/>
      <c r="AE51" s="27"/>
      <c r="AF51" s="27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</row>
    <row r="52" spans="2:54" s="28" customFormat="1" ht="15" customHeight="1">
      <c r="B52" s="27"/>
      <c r="D52" s="359"/>
      <c r="E52" s="30"/>
      <c r="G52" s="31"/>
      <c r="H52" s="360"/>
      <c r="I52" s="360"/>
      <c r="J52" s="360"/>
      <c r="X52" s="88"/>
      <c r="Z52" s="134"/>
      <c r="AA52" s="27"/>
      <c r="AB52" s="27"/>
      <c r="AC52" s="27"/>
      <c r="AD52" s="27"/>
      <c r="AE52" s="27"/>
      <c r="AF52" s="27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</row>
    <row r="53" spans="2:54" s="28" customFormat="1" ht="15" customHeight="1">
      <c r="B53" s="27"/>
      <c r="D53" s="359"/>
      <c r="E53" s="30"/>
      <c r="G53" s="31"/>
      <c r="H53" s="360"/>
      <c r="I53" s="360"/>
      <c r="J53" s="360"/>
      <c r="X53" s="88"/>
      <c r="Z53" s="134"/>
      <c r="AA53" s="27"/>
      <c r="AB53" s="27"/>
      <c r="AC53" s="27"/>
      <c r="AD53" s="27"/>
      <c r="AE53" s="27"/>
      <c r="AF53" s="27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</row>
    <row r="54" spans="2:54" s="28" customFormat="1">
      <c r="B54" s="27"/>
      <c r="D54" s="359"/>
      <c r="E54" s="30"/>
      <c r="G54" s="31"/>
      <c r="H54" s="360"/>
      <c r="I54" s="360"/>
      <c r="J54" s="360"/>
      <c r="X54" s="88"/>
      <c r="Z54" s="134"/>
      <c r="AA54" s="27"/>
      <c r="AB54" s="27"/>
      <c r="AC54" s="27"/>
      <c r="AD54" s="27"/>
      <c r="AE54" s="27"/>
      <c r="AF54" s="27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</row>
    <row r="55" spans="2:54" s="28" customFormat="1">
      <c r="B55" s="27"/>
      <c r="D55" s="359"/>
      <c r="E55" s="30"/>
      <c r="G55" s="31"/>
      <c r="H55" s="360"/>
      <c r="I55" s="360"/>
      <c r="J55" s="360"/>
      <c r="X55" s="88"/>
      <c r="Z55" s="134"/>
      <c r="AA55" s="27"/>
      <c r="AB55" s="27"/>
      <c r="AC55" s="27"/>
      <c r="AD55" s="27"/>
      <c r="AE55" s="27"/>
      <c r="AF55" s="27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</row>
    <row r="56" spans="2:54" s="28" customFormat="1">
      <c r="B56" s="27"/>
      <c r="D56" s="359"/>
      <c r="E56" s="30"/>
      <c r="G56" s="31"/>
      <c r="H56" s="360"/>
      <c r="I56" s="360"/>
      <c r="J56" s="360"/>
      <c r="X56" s="88"/>
      <c r="Z56" s="134"/>
      <c r="AA56" s="27"/>
      <c r="AB56" s="27"/>
      <c r="AC56" s="27"/>
      <c r="AD56" s="27"/>
      <c r="AE56" s="27"/>
      <c r="AF56" s="27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</row>
    <row r="57" spans="2:54" s="28" customFormat="1">
      <c r="B57" s="27"/>
      <c r="D57" s="359"/>
      <c r="E57" s="30"/>
      <c r="G57" s="31"/>
      <c r="H57" s="360"/>
      <c r="I57" s="360"/>
      <c r="J57" s="360"/>
      <c r="X57" s="88"/>
      <c r="Z57" s="134"/>
      <c r="AA57" s="27"/>
      <c r="AB57" s="27"/>
      <c r="AC57" s="27"/>
      <c r="AD57" s="27"/>
      <c r="AE57" s="27"/>
      <c r="AF57" s="27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</row>
    <row r="58" spans="2:54" s="28" customFormat="1">
      <c r="B58" s="27"/>
      <c r="D58" s="359"/>
      <c r="E58" s="30"/>
      <c r="G58" s="31"/>
      <c r="H58" s="360"/>
      <c r="I58" s="360"/>
      <c r="J58" s="360"/>
      <c r="X58" s="88"/>
      <c r="Z58" s="134"/>
      <c r="AA58" s="27"/>
      <c r="AB58" s="27"/>
      <c r="AC58" s="27"/>
      <c r="AD58" s="27"/>
      <c r="AE58" s="27"/>
      <c r="AF58" s="27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</row>
    <row r="59" spans="2:54" s="28" customFormat="1">
      <c r="B59" s="27"/>
      <c r="D59" s="359"/>
      <c r="E59" s="30"/>
      <c r="G59" s="31"/>
      <c r="H59" s="360"/>
      <c r="I59" s="360"/>
      <c r="J59" s="360"/>
      <c r="X59" s="88"/>
      <c r="Z59" s="134"/>
      <c r="AA59" s="27"/>
      <c r="AB59" s="27"/>
      <c r="AC59" s="27"/>
      <c r="AD59" s="27"/>
      <c r="AE59" s="27"/>
      <c r="AF59" s="27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</row>
    <row r="60" spans="2:54" s="28" customFormat="1">
      <c r="B60" s="27"/>
      <c r="D60" s="359"/>
      <c r="E60" s="30"/>
      <c r="G60" s="31"/>
      <c r="H60" s="360"/>
      <c r="I60" s="360"/>
      <c r="J60" s="360"/>
      <c r="X60" s="88"/>
      <c r="Z60" s="134"/>
      <c r="AA60" s="27"/>
      <c r="AB60" s="27"/>
      <c r="AC60" s="27"/>
      <c r="AD60" s="27"/>
      <c r="AE60" s="27"/>
      <c r="AF60" s="27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</row>
    <row r="61" spans="2:54" s="28" customFormat="1">
      <c r="B61" s="27"/>
      <c r="D61" s="359"/>
      <c r="E61" s="30"/>
      <c r="G61" s="31"/>
      <c r="H61" s="360"/>
      <c r="I61" s="360"/>
      <c r="J61" s="360"/>
      <c r="X61" s="88"/>
      <c r="Z61" s="134"/>
      <c r="AA61" s="27"/>
      <c r="AB61" s="27"/>
      <c r="AC61" s="27"/>
      <c r="AD61" s="27"/>
      <c r="AE61" s="27"/>
      <c r="AF61" s="27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</row>
    <row r="62" spans="2:54" s="28" customFormat="1">
      <c r="B62" s="27"/>
      <c r="D62" s="359"/>
      <c r="E62" s="30"/>
      <c r="G62" s="31"/>
      <c r="H62" s="360"/>
      <c r="I62" s="360"/>
      <c r="J62" s="360"/>
      <c r="X62" s="88"/>
      <c r="Z62" s="134"/>
      <c r="AA62" s="27"/>
      <c r="AB62" s="27"/>
      <c r="AC62" s="27"/>
      <c r="AD62" s="27"/>
      <c r="AE62" s="27"/>
      <c r="AF62" s="27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</row>
    <row r="63" spans="2:54" s="28" customFormat="1">
      <c r="B63" s="27"/>
      <c r="D63" s="359"/>
      <c r="E63" s="30"/>
      <c r="G63" s="31"/>
      <c r="H63" s="360"/>
      <c r="I63" s="360"/>
      <c r="J63" s="360"/>
      <c r="X63" s="88"/>
      <c r="Z63" s="134"/>
      <c r="AA63" s="27"/>
      <c r="AB63" s="27"/>
      <c r="AC63" s="27"/>
      <c r="AD63" s="27"/>
      <c r="AE63" s="27"/>
      <c r="AF63" s="27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</row>
    <row r="64" spans="2:54" s="28" customFormat="1">
      <c r="B64" s="27"/>
      <c r="D64" s="359"/>
      <c r="E64" s="30"/>
      <c r="G64" s="31"/>
      <c r="H64" s="360"/>
      <c r="I64" s="360"/>
      <c r="J64" s="360"/>
      <c r="X64" s="88"/>
      <c r="Z64" s="134"/>
      <c r="AA64" s="27"/>
      <c r="AB64" s="27"/>
      <c r="AC64" s="27"/>
      <c r="AD64" s="27"/>
      <c r="AE64" s="27"/>
      <c r="AF64" s="27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</row>
    <row r="65" spans="2:54" s="28" customFormat="1">
      <c r="B65" s="27"/>
      <c r="D65" s="359"/>
      <c r="E65" s="30"/>
      <c r="G65" s="31"/>
      <c r="H65" s="360"/>
      <c r="I65" s="360"/>
      <c r="J65" s="360"/>
      <c r="X65" s="88"/>
      <c r="Z65" s="134"/>
      <c r="AA65" s="27"/>
      <c r="AB65" s="27"/>
      <c r="AC65" s="27"/>
      <c r="AD65" s="27"/>
      <c r="AE65" s="27"/>
      <c r="AF65" s="27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</row>
    <row r="66" spans="2:54" s="28" customFormat="1">
      <c r="B66" s="27"/>
      <c r="D66" s="359"/>
      <c r="E66" s="30"/>
      <c r="G66" s="31"/>
      <c r="H66" s="360"/>
      <c r="I66" s="360"/>
      <c r="J66" s="360"/>
      <c r="X66" s="88"/>
      <c r="Z66" s="134"/>
      <c r="AA66" s="27"/>
      <c r="AB66" s="27"/>
      <c r="AC66" s="27"/>
      <c r="AD66" s="27"/>
      <c r="AE66" s="27"/>
      <c r="AF66" s="27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</row>
    <row r="67" spans="2:54" s="28" customFormat="1">
      <c r="B67" s="27"/>
      <c r="D67" s="359"/>
      <c r="E67" s="30"/>
      <c r="G67" s="31"/>
      <c r="H67" s="360"/>
      <c r="I67" s="360"/>
      <c r="J67" s="360"/>
      <c r="X67" s="88"/>
      <c r="Z67" s="134"/>
      <c r="AA67" s="27"/>
      <c r="AB67" s="27"/>
      <c r="AC67" s="27"/>
      <c r="AD67" s="27"/>
      <c r="AE67" s="27"/>
      <c r="AF67" s="27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</row>
    <row r="68" spans="2:54" s="28" customFormat="1">
      <c r="B68" s="27"/>
      <c r="D68" s="359"/>
      <c r="E68" s="30"/>
      <c r="G68" s="31"/>
      <c r="H68" s="360"/>
      <c r="I68" s="360"/>
      <c r="J68" s="360"/>
      <c r="X68" s="88"/>
      <c r="Z68" s="134"/>
      <c r="AA68" s="27"/>
      <c r="AB68" s="27"/>
      <c r="AC68" s="27"/>
      <c r="AD68" s="27"/>
      <c r="AE68" s="27"/>
      <c r="AF68" s="27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</row>
    <row r="69" spans="2:54" s="28" customFormat="1">
      <c r="B69" s="27"/>
      <c r="D69" s="359"/>
      <c r="E69" s="30"/>
      <c r="G69" s="31"/>
      <c r="H69" s="360"/>
      <c r="I69" s="360"/>
      <c r="J69" s="360"/>
      <c r="X69" s="88"/>
      <c r="Z69" s="134"/>
      <c r="AA69" s="27"/>
      <c r="AB69" s="27"/>
      <c r="AC69" s="27"/>
      <c r="AD69" s="27"/>
      <c r="AE69" s="27"/>
      <c r="AF69" s="27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</row>
    <row r="70" spans="2:54" s="28" customFormat="1">
      <c r="B70" s="27"/>
      <c r="D70" s="359"/>
      <c r="E70" s="30"/>
      <c r="G70" s="31"/>
      <c r="H70" s="360"/>
      <c r="I70" s="360"/>
      <c r="J70" s="360"/>
      <c r="X70" s="88"/>
      <c r="Z70" s="134"/>
      <c r="AA70" s="27"/>
      <c r="AB70" s="27"/>
      <c r="AC70" s="27"/>
      <c r="AD70" s="27"/>
      <c r="AE70" s="27"/>
      <c r="AF70" s="27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</row>
    <row r="71" spans="2:54" s="28" customFormat="1">
      <c r="B71" s="27"/>
      <c r="D71" s="359"/>
      <c r="E71" s="30"/>
      <c r="G71" s="31"/>
      <c r="H71" s="360"/>
      <c r="I71" s="360"/>
      <c r="J71" s="360"/>
      <c r="X71" s="88"/>
      <c r="Z71" s="134"/>
      <c r="AA71" s="27"/>
      <c r="AB71" s="27"/>
      <c r="AC71" s="27"/>
      <c r="AD71" s="27"/>
      <c r="AE71" s="27"/>
      <c r="AF71" s="27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</row>
    <row r="72" spans="2:54" s="28" customFormat="1">
      <c r="B72" s="27"/>
      <c r="D72" s="359"/>
      <c r="E72" s="30"/>
      <c r="G72" s="31"/>
      <c r="H72" s="360"/>
      <c r="I72" s="360"/>
      <c r="J72" s="360"/>
      <c r="X72" s="88"/>
      <c r="Z72" s="134"/>
      <c r="AA72" s="27"/>
      <c r="AB72" s="27"/>
      <c r="AC72" s="27"/>
      <c r="AD72" s="27"/>
      <c r="AE72" s="27"/>
      <c r="AF72" s="27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</row>
    <row r="73" spans="2:54" s="28" customFormat="1">
      <c r="B73" s="27"/>
      <c r="D73" s="359"/>
      <c r="E73" s="30"/>
      <c r="G73" s="31"/>
      <c r="H73" s="360"/>
      <c r="I73" s="360"/>
      <c r="J73" s="360"/>
      <c r="X73" s="88"/>
      <c r="Z73" s="134"/>
      <c r="AA73" s="27"/>
      <c r="AB73" s="27"/>
      <c r="AC73" s="27"/>
      <c r="AD73" s="27"/>
      <c r="AE73" s="27"/>
      <c r="AF73" s="27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</row>
    <row r="74" spans="2:54" s="28" customFormat="1">
      <c r="B74" s="27"/>
      <c r="D74" s="359"/>
      <c r="E74" s="30"/>
      <c r="G74" s="31"/>
      <c r="H74" s="360"/>
      <c r="I74" s="360"/>
      <c r="J74" s="360"/>
      <c r="X74" s="88"/>
      <c r="Z74" s="134"/>
      <c r="AA74" s="27"/>
      <c r="AB74" s="27"/>
      <c r="AC74" s="27"/>
      <c r="AD74" s="27"/>
      <c r="AE74" s="27"/>
      <c r="AF74" s="27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</row>
    <row r="75" spans="2:54" s="28" customFormat="1">
      <c r="B75" s="27"/>
      <c r="D75" s="359"/>
      <c r="E75" s="30"/>
      <c r="G75" s="31"/>
      <c r="H75" s="360"/>
      <c r="I75" s="360"/>
      <c r="J75" s="360"/>
      <c r="X75" s="88"/>
      <c r="Z75" s="134"/>
      <c r="AA75" s="27"/>
      <c r="AB75" s="27"/>
      <c r="AC75" s="27"/>
      <c r="AD75" s="27"/>
      <c r="AE75" s="27"/>
      <c r="AF75" s="27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</row>
    <row r="76" spans="2:54" s="28" customFormat="1">
      <c r="B76" s="27"/>
      <c r="D76" s="359"/>
      <c r="E76" s="30"/>
      <c r="G76" s="31"/>
      <c r="H76" s="360"/>
      <c r="I76" s="360"/>
      <c r="J76" s="360"/>
      <c r="X76" s="88"/>
      <c r="Z76" s="134"/>
      <c r="AA76" s="27"/>
      <c r="AB76" s="27"/>
      <c r="AC76" s="27"/>
      <c r="AD76" s="27"/>
      <c r="AE76" s="27"/>
      <c r="AF76" s="27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</row>
    <row r="77" spans="2:54" s="28" customFormat="1">
      <c r="B77" s="27"/>
      <c r="D77" s="359"/>
      <c r="E77" s="30"/>
      <c r="G77" s="31"/>
      <c r="H77" s="360"/>
      <c r="I77" s="360"/>
      <c r="J77" s="360"/>
      <c r="X77" s="88"/>
      <c r="Z77" s="134"/>
      <c r="AA77" s="27"/>
      <c r="AB77" s="27"/>
      <c r="AC77" s="27"/>
      <c r="AD77" s="27"/>
      <c r="AE77" s="27"/>
      <c r="AF77" s="27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</row>
    <row r="78" spans="2:54" s="28" customFormat="1">
      <c r="B78" s="27"/>
      <c r="D78" s="359"/>
      <c r="E78" s="30"/>
      <c r="G78" s="31"/>
      <c r="H78" s="360"/>
      <c r="I78" s="360"/>
      <c r="J78" s="360"/>
      <c r="X78" s="88"/>
      <c r="Z78" s="134"/>
      <c r="AA78" s="27"/>
      <c r="AB78" s="27"/>
      <c r="AC78" s="27"/>
      <c r="AD78" s="27"/>
      <c r="AE78" s="27"/>
      <c r="AF78" s="27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</row>
    <row r="79" spans="2:54" s="28" customFormat="1">
      <c r="B79" s="27"/>
      <c r="D79" s="359"/>
      <c r="E79" s="30"/>
      <c r="G79" s="31"/>
      <c r="H79" s="360"/>
      <c r="I79" s="360"/>
      <c r="J79" s="360"/>
      <c r="X79" s="88"/>
      <c r="Z79" s="134"/>
      <c r="AA79" s="27"/>
      <c r="AB79" s="27"/>
      <c r="AC79" s="27"/>
      <c r="AD79" s="27"/>
      <c r="AE79" s="27"/>
      <c r="AF79" s="27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</row>
    <row r="80" spans="2:54" s="28" customFormat="1">
      <c r="B80" s="27"/>
      <c r="D80" s="359"/>
      <c r="E80" s="30"/>
      <c r="G80" s="31"/>
      <c r="H80" s="360"/>
      <c r="I80" s="360"/>
      <c r="J80" s="360"/>
      <c r="X80" s="88"/>
      <c r="Z80" s="134"/>
      <c r="AA80" s="27"/>
      <c r="AB80" s="27"/>
      <c r="AC80" s="27"/>
      <c r="AD80" s="27"/>
      <c r="AE80" s="27"/>
      <c r="AF80" s="27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</row>
    <row r="81" spans="2:54" s="28" customFormat="1">
      <c r="B81" s="27"/>
      <c r="D81" s="359"/>
      <c r="E81" s="30"/>
      <c r="G81" s="31"/>
      <c r="H81" s="360"/>
      <c r="I81" s="360"/>
      <c r="J81" s="360"/>
      <c r="X81" s="88"/>
      <c r="Z81" s="134"/>
      <c r="AA81" s="27"/>
      <c r="AB81" s="27"/>
      <c r="AC81" s="27"/>
      <c r="AD81" s="27"/>
      <c r="AE81" s="27"/>
      <c r="AF81" s="27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</row>
    <row r="82" spans="2:54" s="28" customFormat="1">
      <c r="B82" s="27"/>
      <c r="D82" s="359"/>
      <c r="E82" s="30"/>
      <c r="G82" s="31"/>
      <c r="H82" s="360"/>
      <c r="I82" s="360"/>
      <c r="J82" s="360"/>
      <c r="X82" s="88"/>
      <c r="Z82" s="134"/>
      <c r="AA82" s="27"/>
      <c r="AB82" s="27"/>
      <c r="AC82" s="27"/>
      <c r="AD82" s="27"/>
      <c r="AE82" s="27"/>
      <c r="AF82" s="27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</row>
    <row r="83" spans="2:54" s="28" customFormat="1">
      <c r="B83" s="27"/>
      <c r="D83" s="359"/>
      <c r="E83" s="30"/>
      <c r="G83" s="31"/>
      <c r="H83" s="360"/>
      <c r="I83" s="360"/>
      <c r="J83" s="360"/>
      <c r="X83" s="88"/>
      <c r="Z83" s="134"/>
      <c r="AA83" s="27"/>
      <c r="AB83" s="27"/>
      <c r="AC83" s="27"/>
      <c r="AD83" s="27"/>
      <c r="AE83" s="27"/>
      <c r="AF83" s="27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</row>
    <row r="84" spans="2:54" s="28" customFormat="1">
      <c r="B84" s="27"/>
      <c r="D84" s="359"/>
      <c r="E84" s="30"/>
      <c r="G84" s="31"/>
      <c r="H84" s="360"/>
      <c r="I84" s="360"/>
      <c r="J84" s="360"/>
      <c r="X84" s="88"/>
      <c r="Z84" s="134"/>
      <c r="AA84" s="27"/>
      <c r="AB84" s="27"/>
      <c r="AC84" s="27"/>
      <c r="AD84" s="27"/>
      <c r="AE84" s="27"/>
      <c r="AF84" s="27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</row>
    <row r="85" spans="2:54" s="28" customFormat="1">
      <c r="B85" s="27"/>
      <c r="D85" s="359"/>
      <c r="E85" s="30"/>
      <c r="G85" s="31"/>
      <c r="H85" s="360"/>
      <c r="I85" s="360"/>
      <c r="J85" s="360"/>
      <c r="X85" s="88"/>
      <c r="Z85" s="134"/>
      <c r="AA85" s="27"/>
      <c r="AB85" s="27"/>
      <c r="AC85" s="27"/>
      <c r="AD85" s="27"/>
      <c r="AE85" s="27"/>
      <c r="AF85" s="27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</row>
    <row r="86" spans="2:54" s="28" customFormat="1">
      <c r="B86" s="27"/>
      <c r="D86" s="359"/>
      <c r="E86" s="30"/>
      <c r="G86" s="31"/>
      <c r="H86" s="360"/>
      <c r="I86" s="360"/>
      <c r="J86" s="360"/>
      <c r="X86" s="88"/>
      <c r="Z86" s="134"/>
      <c r="AA86" s="27"/>
      <c r="AB86" s="27"/>
      <c r="AC86" s="27"/>
      <c r="AD86" s="27"/>
      <c r="AE86" s="27"/>
      <c r="AF86" s="27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</row>
    <row r="87" spans="2:54" s="28" customFormat="1">
      <c r="B87" s="27"/>
      <c r="D87" s="359"/>
      <c r="E87" s="30"/>
      <c r="G87" s="31"/>
      <c r="H87" s="360"/>
      <c r="I87" s="360"/>
      <c r="J87" s="360"/>
      <c r="X87" s="88"/>
      <c r="Z87" s="134"/>
      <c r="AA87" s="27"/>
      <c r="AB87" s="27"/>
      <c r="AC87" s="27"/>
      <c r="AD87" s="27"/>
      <c r="AE87" s="27"/>
      <c r="AF87" s="27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</row>
    <row r="88" spans="2:54" s="28" customFormat="1">
      <c r="B88" s="27"/>
      <c r="D88" s="359"/>
      <c r="E88" s="30"/>
      <c r="G88" s="31"/>
      <c r="H88" s="360"/>
      <c r="I88" s="360"/>
      <c r="J88" s="360"/>
      <c r="X88" s="88"/>
      <c r="Z88" s="134"/>
      <c r="AA88" s="27"/>
      <c r="AB88" s="27"/>
      <c r="AC88" s="27"/>
      <c r="AD88" s="27"/>
      <c r="AE88" s="27"/>
      <c r="AF88" s="27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</row>
    <row r="89" spans="2:54" s="28" customFormat="1">
      <c r="B89" s="27"/>
      <c r="D89" s="359"/>
      <c r="E89" s="30"/>
      <c r="G89" s="31"/>
      <c r="H89" s="360"/>
      <c r="I89" s="360"/>
      <c r="J89" s="360"/>
      <c r="X89" s="88"/>
      <c r="Z89" s="134"/>
      <c r="AA89" s="27"/>
      <c r="AB89" s="27"/>
      <c r="AC89" s="27"/>
      <c r="AD89" s="27"/>
      <c r="AE89" s="27"/>
      <c r="AF89" s="27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</row>
    <row r="90" spans="2:54" s="28" customFormat="1">
      <c r="B90" s="27"/>
      <c r="D90" s="359"/>
      <c r="E90" s="30"/>
      <c r="G90" s="31"/>
      <c r="H90" s="360"/>
      <c r="I90" s="360"/>
      <c r="J90" s="360"/>
      <c r="X90" s="88"/>
      <c r="Z90" s="134"/>
      <c r="AA90" s="27"/>
      <c r="AB90" s="27"/>
      <c r="AC90" s="27"/>
      <c r="AD90" s="27"/>
      <c r="AE90" s="27"/>
      <c r="AF90" s="27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</row>
    <row r="91" spans="2:54" s="28" customFormat="1">
      <c r="B91" s="27"/>
      <c r="D91" s="359"/>
      <c r="E91" s="30"/>
      <c r="G91" s="31"/>
      <c r="H91" s="360"/>
      <c r="I91" s="360"/>
      <c r="J91" s="360"/>
      <c r="X91" s="88"/>
      <c r="Z91" s="134"/>
      <c r="AA91" s="27"/>
      <c r="AB91" s="27"/>
      <c r="AC91" s="27"/>
      <c r="AD91" s="27"/>
      <c r="AE91" s="27"/>
      <c r="AF91" s="27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</row>
    <row r="92" spans="2:54" s="28" customFormat="1">
      <c r="B92" s="27"/>
      <c r="D92" s="359"/>
      <c r="E92" s="30"/>
      <c r="G92" s="31"/>
      <c r="H92" s="360"/>
      <c r="I92" s="360"/>
      <c r="J92" s="360"/>
      <c r="X92" s="88"/>
      <c r="Z92" s="134"/>
      <c r="AA92" s="27"/>
      <c r="AB92" s="27"/>
      <c r="AC92" s="27"/>
      <c r="AD92" s="27"/>
      <c r="AE92" s="27"/>
      <c r="AF92" s="27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</row>
    <row r="93" spans="2:54" s="28" customFormat="1">
      <c r="B93" s="27"/>
      <c r="D93" s="359"/>
      <c r="E93" s="30"/>
      <c r="G93" s="31"/>
      <c r="H93" s="360"/>
      <c r="I93" s="360"/>
      <c r="J93" s="360"/>
      <c r="X93" s="88"/>
      <c r="Z93" s="134"/>
      <c r="AA93" s="27"/>
      <c r="AB93" s="27"/>
      <c r="AC93" s="27"/>
      <c r="AD93" s="27"/>
      <c r="AE93" s="27"/>
      <c r="AF93" s="27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</row>
    <row r="94" spans="2:54" s="28" customFormat="1">
      <c r="B94" s="27"/>
      <c r="D94" s="359"/>
      <c r="E94" s="30"/>
      <c r="G94" s="31"/>
      <c r="H94" s="360"/>
      <c r="I94" s="360"/>
      <c r="J94" s="360"/>
      <c r="X94" s="88"/>
      <c r="Z94" s="134"/>
      <c r="AA94" s="27"/>
      <c r="AB94" s="27"/>
      <c r="AC94" s="27"/>
      <c r="AD94" s="27"/>
      <c r="AE94" s="27"/>
      <c r="AF94" s="27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</row>
    <row r="95" spans="2:54" s="28" customFormat="1">
      <c r="B95" s="27"/>
      <c r="D95" s="359"/>
      <c r="E95" s="30"/>
      <c r="G95" s="31"/>
      <c r="H95" s="360"/>
      <c r="I95" s="360"/>
      <c r="J95" s="360"/>
      <c r="X95" s="88"/>
      <c r="Z95" s="134"/>
      <c r="AA95" s="27"/>
      <c r="AB95" s="27"/>
      <c r="AC95" s="27"/>
      <c r="AD95" s="27"/>
      <c r="AE95" s="27"/>
      <c r="AF95" s="27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</row>
    <row r="96" spans="2:54" s="28" customFormat="1">
      <c r="B96" s="27"/>
      <c r="D96" s="359"/>
      <c r="E96" s="30"/>
      <c r="G96" s="31"/>
      <c r="H96" s="360"/>
      <c r="I96" s="360"/>
      <c r="J96" s="360"/>
      <c r="X96" s="88"/>
      <c r="Z96" s="134"/>
      <c r="AA96" s="27"/>
      <c r="AB96" s="27"/>
      <c r="AC96" s="27"/>
      <c r="AD96" s="27"/>
      <c r="AE96" s="27"/>
      <c r="AF96" s="27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</row>
    <row r="97" spans="2:54" s="28" customFormat="1">
      <c r="B97" s="27"/>
      <c r="D97" s="359"/>
      <c r="E97" s="30"/>
      <c r="G97" s="31"/>
      <c r="H97" s="360"/>
      <c r="I97" s="360"/>
      <c r="J97" s="360"/>
      <c r="X97" s="88"/>
      <c r="Z97" s="134"/>
      <c r="AA97" s="27"/>
      <c r="AB97" s="27"/>
      <c r="AC97" s="27"/>
      <c r="AD97" s="27"/>
      <c r="AE97" s="27"/>
      <c r="AF97" s="27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</row>
    <row r="98" spans="2:54" s="28" customFormat="1">
      <c r="B98" s="27"/>
      <c r="D98" s="359"/>
      <c r="E98" s="30"/>
      <c r="G98" s="31"/>
      <c r="H98" s="360"/>
      <c r="I98" s="360"/>
      <c r="J98" s="360"/>
      <c r="X98" s="88"/>
      <c r="Z98" s="134"/>
      <c r="AA98" s="27"/>
      <c r="AB98" s="27"/>
      <c r="AC98" s="27"/>
      <c r="AD98" s="27"/>
      <c r="AE98" s="27"/>
      <c r="AF98" s="27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</row>
    <row r="99" spans="2:54" s="28" customFormat="1">
      <c r="B99" s="27"/>
      <c r="D99" s="359"/>
      <c r="E99" s="30"/>
      <c r="G99" s="31"/>
      <c r="H99" s="360"/>
      <c r="I99" s="360"/>
      <c r="J99" s="360"/>
      <c r="X99" s="88"/>
      <c r="Z99" s="134"/>
      <c r="AA99" s="27"/>
      <c r="AB99" s="27"/>
      <c r="AC99" s="27"/>
      <c r="AD99" s="27"/>
      <c r="AE99" s="27"/>
      <c r="AF99" s="27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</row>
    <row r="100" spans="2:54" s="28" customFormat="1">
      <c r="B100" s="27"/>
      <c r="D100" s="359"/>
      <c r="E100" s="30"/>
      <c r="G100" s="31"/>
      <c r="H100" s="360"/>
      <c r="I100" s="360"/>
      <c r="J100" s="360"/>
      <c r="X100" s="88"/>
      <c r="Z100" s="134"/>
      <c r="AA100" s="27"/>
      <c r="AB100" s="27"/>
      <c r="AC100" s="27"/>
      <c r="AD100" s="27"/>
      <c r="AE100" s="27"/>
      <c r="AF100" s="27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</row>
    <row r="101" spans="2:54" s="28" customFormat="1">
      <c r="B101" s="27"/>
      <c r="D101" s="359"/>
      <c r="E101" s="30"/>
      <c r="G101" s="31"/>
      <c r="H101" s="360"/>
      <c r="I101" s="360"/>
      <c r="J101" s="360"/>
      <c r="X101" s="88"/>
      <c r="Z101" s="134"/>
      <c r="AA101" s="27"/>
      <c r="AB101" s="27"/>
      <c r="AC101" s="27"/>
      <c r="AD101" s="27"/>
      <c r="AE101" s="27"/>
      <c r="AF101" s="27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</row>
    <row r="102" spans="2:54" s="28" customFormat="1">
      <c r="B102" s="27"/>
      <c r="D102" s="359"/>
      <c r="E102" s="30"/>
      <c r="G102" s="31"/>
      <c r="H102" s="360"/>
      <c r="I102" s="360"/>
      <c r="J102" s="360"/>
      <c r="X102" s="88"/>
      <c r="Z102" s="134"/>
      <c r="AA102" s="27"/>
      <c r="AB102" s="27"/>
      <c r="AC102" s="27"/>
      <c r="AD102" s="27"/>
      <c r="AE102" s="27"/>
      <c r="AF102" s="27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</row>
    <row r="103" spans="2:54" s="28" customFormat="1">
      <c r="B103" s="27"/>
      <c r="D103" s="359"/>
      <c r="E103" s="30"/>
      <c r="G103" s="31"/>
      <c r="H103" s="360"/>
      <c r="I103" s="360"/>
      <c r="J103" s="360"/>
      <c r="X103" s="88"/>
      <c r="Z103" s="134"/>
      <c r="AA103" s="27"/>
      <c r="AB103" s="27"/>
      <c r="AC103" s="27"/>
      <c r="AD103" s="27"/>
      <c r="AE103" s="27"/>
      <c r="AF103" s="27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</row>
    <row r="104" spans="2:54" s="28" customFormat="1">
      <c r="B104" s="27"/>
      <c r="D104" s="359"/>
      <c r="E104" s="30"/>
      <c r="G104" s="31"/>
      <c r="H104" s="360"/>
      <c r="I104" s="360"/>
      <c r="J104" s="360"/>
      <c r="X104" s="88"/>
      <c r="Z104" s="134"/>
      <c r="AA104" s="27"/>
      <c r="AB104" s="27"/>
      <c r="AC104" s="27"/>
      <c r="AD104" s="27"/>
      <c r="AE104" s="27"/>
      <c r="AF104" s="27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</row>
    <row r="105" spans="2:54" s="28" customFormat="1">
      <c r="B105" s="27"/>
      <c r="D105" s="359"/>
      <c r="E105" s="30"/>
      <c r="G105" s="31"/>
      <c r="H105" s="360"/>
      <c r="I105" s="360"/>
      <c r="J105" s="360"/>
      <c r="X105" s="88"/>
      <c r="Z105" s="134"/>
      <c r="AA105" s="27"/>
      <c r="AB105" s="27"/>
      <c r="AC105" s="27"/>
      <c r="AD105" s="27"/>
      <c r="AE105" s="27"/>
      <c r="AF105" s="27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</row>
    <row r="106" spans="2:54" s="28" customFormat="1">
      <c r="B106" s="27"/>
      <c r="D106" s="359"/>
      <c r="E106" s="30"/>
      <c r="G106" s="31"/>
      <c r="H106" s="360"/>
      <c r="I106" s="360"/>
      <c r="J106" s="360"/>
      <c r="X106" s="88"/>
      <c r="Z106" s="134"/>
      <c r="AA106" s="27"/>
      <c r="AB106" s="27"/>
      <c r="AC106" s="27"/>
      <c r="AD106" s="27"/>
      <c r="AE106" s="27"/>
      <c r="AF106" s="27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</row>
    <row r="107" spans="2:54" s="28" customFormat="1">
      <c r="B107" s="27"/>
      <c r="D107" s="359"/>
      <c r="E107" s="30"/>
      <c r="G107" s="31"/>
      <c r="H107" s="360"/>
      <c r="I107" s="360"/>
      <c r="J107" s="360"/>
      <c r="X107" s="88"/>
      <c r="Z107" s="134"/>
      <c r="AA107" s="27"/>
      <c r="AB107" s="27"/>
      <c r="AC107" s="27"/>
      <c r="AD107" s="27"/>
      <c r="AE107" s="27"/>
      <c r="AF107" s="27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</row>
    <row r="108" spans="2:54" s="28" customFormat="1">
      <c r="B108" s="27"/>
      <c r="D108" s="359"/>
      <c r="E108" s="30"/>
      <c r="G108" s="31"/>
      <c r="H108" s="360"/>
      <c r="I108" s="360"/>
      <c r="J108" s="360"/>
      <c r="X108" s="88"/>
      <c r="Z108" s="134"/>
      <c r="AA108" s="27"/>
      <c r="AB108" s="27"/>
      <c r="AC108" s="27"/>
      <c r="AD108" s="27"/>
      <c r="AE108" s="27"/>
      <c r="AF108" s="27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</row>
    <row r="109" spans="2:54" s="28" customFormat="1">
      <c r="B109" s="27"/>
      <c r="D109" s="359"/>
      <c r="E109" s="30"/>
      <c r="G109" s="31"/>
      <c r="H109" s="360"/>
      <c r="I109" s="360"/>
      <c r="J109" s="360"/>
      <c r="X109" s="88"/>
      <c r="Z109" s="134"/>
      <c r="AA109" s="27"/>
      <c r="AB109" s="27"/>
      <c r="AC109" s="27"/>
      <c r="AD109" s="27"/>
      <c r="AE109" s="27"/>
      <c r="AF109" s="27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</row>
    <row r="110" spans="2:54" s="28" customFormat="1">
      <c r="B110" s="27"/>
      <c r="D110" s="359"/>
      <c r="E110" s="30"/>
      <c r="G110" s="31"/>
      <c r="H110" s="360"/>
      <c r="I110" s="360"/>
      <c r="J110" s="360"/>
      <c r="X110" s="88"/>
      <c r="Z110" s="134"/>
      <c r="AA110" s="27"/>
      <c r="AB110" s="27"/>
      <c r="AC110" s="27"/>
      <c r="AD110" s="27"/>
      <c r="AE110" s="27"/>
      <c r="AF110" s="27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</row>
    <row r="111" spans="2:54" s="28" customFormat="1">
      <c r="B111" s="27"/>
      <c r="D111" s="359"/>
      <c r="E111" s="30"/>
      <c r="G111" s="31"/>
      <c r="H111" s="360"/>
      <c r="I111" s="360"/>
      <c r="J111" s="360"/>
      <c r="X111" s="88"/>
      <c r="Z111" s="134"/>
      <c r="AA111" s="27"/>
      <c r="AB111" s="27"/>
      <c r="AC111" s="27"/>
      <c r="AD111" s="27"/>
      <c r="AE111" s="27"/>
      <c r="AF111" s="27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</row>
    <row r="112" spans="2:54" s="28" customFormat="1">
      <c r="B112" s="27"/>
      <c r="D112" s="359"/>
      <c r="E112" s="30"/>
      <c r="G112" s="31"/>
      <c r="H112" s="360"/>
      <c r="I112" s="360"/>
      <c r="J112" s="360"/>
      <c r="X112" s="88"/>
      <c r="Z112" s="134"/>
      <c r="AA112" s="27"/>
      <c r="AB112" s="27"/>
      <c r="AC112" s="27"/>
      <c r="AD112" s="27"/>
      <c r="AE112" s="27"/>
      <c r="AF112" s="27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</row>
    <row r="113" spans="2:54" s="28" customFormat="1">
      <c r="B113" s="27"/>
      <c r="D113" s="359"/>
      <c r="E113" s="30"/>
      <c r="G113" s="31"/>
      <c r="H113" s="360"/>
      <c r="I113" s="360"/>
      <c r="J113" s="360"/>
      <c r="X113" s="88"/>
      <c r="Z113" s="134"/>
      <c r="AA113" s="27"/>
      <c r="AB113" s="27"/>
      <c r="AC113" s="27"/>
      <c r="AD113" s="27"/>
      <c r="AE113" s="27"/>
      <c r="AF113" s="27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</row>
    <row r="114" spans="2:54" s="28" customFormat="1">
      <c r="B114" s="27"/>
      <c r="D114" s="359"/>
      <c r="E114" s="30"/>
      <c r="G114" s="31"/>
      <c r="H114" s="360"/>
      <c r="I114" s="360"/>
      <c r="J114" s="360"/>
      <c r="X114" s="88"/>
      <c r="Z114" s="134"/>
      <c r="AA114" s="27"/>
      <c r="AB114" s="27"/>
      <c r="AC114" s="27"/>
      <c r="AD114" s="27"/>
      <c r="AE114" s="27"/>
      <c r="AF114" s="27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</row>
    <row r="115" spans="2:54" s="28" customFormat="1">
      <c r="B115" s="27"/>
      <c r="D115" s="359"/>
      <c r="E115" s="30"/>
      <c r="G115" s="31"/>
      <c r="H115" s="360"/>
      <c r="I115" s="360"/>
      <c r="J115" s="360"/>
      <c r="X115" s="88"/>
      <c r="Z115" s="134"/>
      <c r="AA115" s="27"/>
      <c r="AB115" s="27"/>
      <c r="AC115" s="27"/>
      <c r="AD115" s="27"/>
      <c r="AE115" s="27"/>
      <c r="AF115" s="27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</row>
    <row r="116" spans="2:54" s="28" customFormat="1">
      <c r="B116" s="27"/>
      <c r="D116" s="359"/>
      <c r="E116" s="30"/>
      <c r="G116" s="31"/>
      <c r="H116" s="360"/>
      <c r="I116" s="360"/>
      <c r="J116" s="360"/>
      <c r="X116" s="88"/>
      <c r="Z116" s="134"/>
      <c r="AA116" s="27"/>
      <c r="AB116" s="27"/>
      <c r="AC116" s="27"/>
      <c r="AD116" s="27"/>
      <c r="AE116" s="27"/>
      <c r="AF116" s="27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</row>
    <row r="117" spans="2:54" s="28" customFormat="1">
      <c r="B117" s="27"/>
      <c r="D117" s="359"/>
      <c r="E117" s="30"/>
      <c r="G117" s="31"/>
      <c r="H117" s="360"/>
      <c r="I117" s="360"/>
      <c r="J117" s="360"/>
      <c r="X117" s="88"/>
      <c r="Z117" s="134"/>
      <c r="AA117" s="27"/>
      <c r="AB117" s="27"/>
      <c r="AC117" s="27"/>
      <c r="AD117" s="27"/>
      <c r="AE117" s="27"/>
      <c r="AF117" s="27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</row>
    <row r="118" spans="2:54" s="28" customFormat="1">
      <c r="B118" s="27"/>
      <c r="D118" s="359"/>
      <c r="E118" s="30"/>
      <c r="G118" s="31"/>
      <c r="H118" s="360"/>
      <c r="I118" s="360"/>
      <c r="J118" s="360"/>
      <c r="X118" s="88"/>
      <c r="Z118" s="134"/>
      <c r="AA118" s="27"/>
      <c r="AB118" s="27"/>
      <c r="AC118" s="27"/>
      <c r="AD118" s="27"/>
      <c r="AE118" s="27"/>
      <c r="AF118" s="27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</row>
    <row r="119" spans="2:54" s="28" customFormat="1">
      <c r="B119" s="27"/>
      <c r="D119" s="359"/>
      <c r="E119" s="30"/>
      <c r="G119" s="31"/>
      <c r="H119" s="360"/>
      <c r="I119" s="360"/>
      <c r="J119" s="360"/>
      <c r="X119" s="88"/>
      <c r="Z119" s="134"/>
      <c r="AA119" s="27"/>
      <c r="AB119" s="27"/>
      <c r="AC119" s="27"/>
      <c r="AD119" s="27"/>
      <c r="AE119" s="27"/>
      <c r="AF119" s="27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</row>
    <row r="120" spans="2:54" s="28" customFormat="1">
      <c r="B120" s="27"/>
      <c r="D120" s="359"/>
      <c r="E120" s="30"/>
      <c r="G120" s="31"/>
      <c r="H120" s="360"/>
      <c r="I120" s="360"/>
      <c r="J120" s="360"/>
      <c r="X120" s="88"/>
      <c r="Z120" s="134"/>
      <c r="AA120" s="27"/>
      <c r="AB120" s="27"/>
      <c r="AC120" s="27"/>
      <c r="AD120" s="27"/>
      <c r="AE120" s="27"/>
      <c r="AF120" s="27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</row>
    <row r="121" spans="2:54" s="28" customFormat="1">
      <c r="B121" s="27"/>
      <c r="D121" s="359"/>
      <c r="E121" s="30"/>
      <c r="G121" s="31"/>
      <c r="H121" s="360"/>
      <c r="I121" s="360"/>
      <c r="J121" s="360"/>
      <c r="X121" s="88"/>
      <c r="Z121" s="134"/>
      <c r="AA121" s="27"/>
      <c r="AB121" s="27"/>
      <c r="AC121" s="27"/>
      <c r="AD121" s="27"/>
      <c r="AE121" s="27"/>
      <c r="AF121" s="27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</row>
    <row r="122" spans="2:54" s="28" customFormat="1">
      <c r="B122" s="27"/>
      <c r="D122" s="359"/>
      <c r="E122" s="30"/>
      <c r="G122" s="31"/>
      <c r="H122" s="360"/>
      <c r="I122" s="360"/>
      <c r="J122" s="360"/>
      <c r="X122" s="88"/>
      <c r="Z122" s="134"/>
      <c r="AA122" s="27"/>
      <c r="AB122" s="27"/>
      <c r="AC122" s="27"/>
      <c r="AD122" s="27"/>
      <c r="AE122" s="27"/>
      <c r="AF122" s="27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</row>
    <row r="123" spans="2:54" s="28" customFormat="1">
      <c r="B123" s="27"/>
      <c r="D123" s="359"/>
      <c r="E123" s="30"/>
      <c r="G123" s="31"/>
      <c r="H123" s="360"/>
      <c r="I123" s="360"/>
      <c r="J123" s="360"/>
      <c r="X123" s="88"/>
      <c r="Z123" s="134"/>
      <c r="AA123" s="27"/>
      <c r="AB123" s="27"/>
      <c r="AC123" s="27"/>
      <c r="AD123" s="27"/>
      <c r="AE123" s="27"/>
      <c r="AF123" s="27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</row>
    <row r="124" spans="2:54" s="28" customFormat="1">
      <c r="B124" s="27"/>
      <c r="D124" s="359"/>
      <c r="E124" s="30"/>
      <c r="G124" s="31"/>
      <c r="H124" s="360"/>
      <c r="I124" s="360"/>
      <c r="J124" s="360"/>
      <c r="X124" s="88"/>
      <c r="Z124" s="134"/>
      <c r="AA124" s="27"/>
      <c r="AB124" s="27"/>
      <c r="AC124" s="27"/>
      <c r="AD124" s="27"/>
      <c r="AE124" s="27"/>
      <c r="AF124" s="27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</row>
    <row r="125" spans="2:54" s="28" customFormat="1">
      <c r="B125" s="27"/>
      <c r="D125" s="359"/>
      <c r="E125" s="30"/>
      <c r="G125" s="31"/>
      <c r="H125" s="360"/>
      <c r="I125" s="360"/>
      <c r="J125" s="360"/>
      <c r="X125" s="88"/>
      <c r="Z125" s="134"/>
      <c r="AA125" s="27"/>
      <c r="AB125" s="27"/>
      <c r="AC125" s="27"/>
      <c r="AD125" s="27"/>
      <c r="AE125" s="27"/>
      <c r="AF125" s="27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</row>
    <row r="126" spans="2:54" s="28" customFormat="1">
      <c r="B126" s="27"/>
      <c r="D126" s="359"/>
      <c r="E126" s="30"/>
      <c r="G126" s="31"/>
      <c r="H126" s="360"/>
      <c r="I126" s="360"/>
      <c r="J126" s="360"/>
      <c r="X126" s="88"/>
      <c r="Z126" s="134"/>
      <c r="AA126" s="27"/>
      <c r="AB126" s="27"/>
      <c r="AC126" s="27"/>
      <c r="AD126" s="27"/>
      <c r="AE126" s="27"/>
      <c r="AF126" s="27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</row>
    <row r="127" spans="2:54" s="28" customFormat="1">
      <c r="B127" s="27"/>
      <c r="D127" s="359"/>
      <c r="E127" s="30"/>
      <c r="G127" s="31"/>
      <c r="H127" s="360"/>
      <c r="I127" s="360"/>
      <c r="J127" s="360"/>
      <c r="X127" s="88"/>
      <c r="Z127" s="134"/>
      <c r="AA127" s="27"/>
      <c r="AB127" s="27"/>
      <c r="AC127" s="27"/>
      <c r="AD127" s="27"/>
      <c r="AE127" s="27"/>
      <c r="AF127" s="27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</row>
    <row r="128" spans="2:54" s="28" customFormat="1">
      <c r="B128" s="27"/>
      <c r="D128" s="359"/>
      <c r="E128" s="30"/>
      <c r="G128" s="31"/>
      <c r="H128" s="360"/>
      <c r="I128" s="360"/>
      <c r="J128" s="360"/>
      <c r="X128" s="88"/>
      <c r="Z128" s="134"/>
      <c r="AA128" s="27"/>
      <c r="AB128" s="27"/>
      <c r="AC128" s="27"/>
      <c r="AD128" s="27"/>
      <c r="AE128" s="27"/>
      <c r="AF128" s="27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</row>
    <row r="129" spans="2:54" s="28" customFormat="1">
      <c r="B129" s="27"/>
      <c r="D129" s="359"/>
      <c r="E129" s="30"/>
      <c r="G129" s="31"/>
      <c r="H129" s="360"/>
      <c r="I129" s="360"/>
      <c r="J129" s="360"/>
      <c r="X129" s="88"/>
      <c r="Z129" s="134"/>
      <c r="AA129" s="27"/>
      <c r="AB129" s="27"/>
      <c r="AC129" s="27"/>
      <c r="AD129" s="27"/>
      <c r="AE129" s="27"/>
      <c r="AF129" s="27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</row>
    <row r="130" spans="2:54" s="28" customFormat="1">
      <c r="B130" s="27"/>
      <c r="D130" s="359"/>
      <c r="E130" s="30"/>
      <c r="G130" s="31"/>
      <c r="H130" s="360"/>
      <c r="I130" s="360"/>
      <c r="J130" s="360"/>
      <c r="X130" s="88"/>
      <c r="Z130" s="134"/>
      <c r="AA130" s="27"/>
      <c r="AB130" s="27"/>
      <c r="AC130" s="27"/>
      <c r="AD130" s="27"/>
      <c r="AE130" s="27"/>
      <c r="AF130" s="27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</row>
    <row r="131" spans="2:54" s="28" customFormat="1">
      <c r="B131" s="27"/>
      <c r="D131" s="359"/>
      <c r="E131" s="30"/>
      <c r="G131" s="31"/>
      <c r="H131" s="360"/>
      <c r="I131" s="360"/>
      <c r="J131" s="360"/>
      <c r="X131" s="88"/>
      <c r="Z131" s="134"/>
      <c r="AA131" s="27"/>
      <c r="AB131" s="27"/>
      <c r="AC131" s="27"/>
      <c r="AD131" s="27"/>
      <c r="AE131" s="27"/>
      <c r="AF131" s="27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</row>
    <row r="132" spans="2:54" s="28" customFormat="1">
      <c r="B132" s="27"/>
      <c r="D132" s="359"/>
      <c r="E132" s="30"/>
      <c r="G132" s="31"/>
      <c r="H132" s="360"/>
      <c r="I132" s="360"/>
      <c r="J132" s="360"/>
      <c r="X132" s="88"/>
      <c r="Z132" s="134"/>
      <c r="AA132" s="27"/>
      <c r="AB132" s="27"/>
      <c r="AC132" s="27"/>
      <c r="AD132" s="27"/>
      <c r="AE132" s="27"/>
      <c r="AF132" s="27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</row>
    <row r="133" spans="2:54" s="28" customFormat="1">
      <c r="B133" s="27"/>
      <c r="D133" s="359"/>
      <c r="E133" s="30"/>
      <c r="G133" s="31"/>
      <c r="H133" s="360"/>
      <c r="I133" s="360"/>
      <c r="J133" s="360"/>
      <c r="X133" s="88"/>
      <c r="Z133" s="134"/>
      <c r="AA133" s="27"/>
      <c r="AB133" s="27"/>
      <c r="AC133" s="27"/>
      <c r="AD133" s="27"/>
      <c r="AE133" s="27"/>
      <c r="AF133" s="27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</row>
    <row r="134" spans="2:54" s="28" customFormat="1">
      <c r="B134" s="27"/>
      <c r="D134" s="359"/>
      <c r="E134" s="30"/>
      <c r="G134" s="31"/>
      <c r="H134" s="360"/>
      <c r="I134" s="360"/>
      <c r="J134" s="360"/>
      <c r="X134" s="88"/>
      <c r="Z134" s="134"/>
      <c r="AA134" s="27"/>
      <c r="AB134" s="27"/>
      <c r="AC134" s="27"/>
      <c r="AD134" s="27"/>
      <c r="AE134" s="27"/>
      <c r="AF134" s="27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</row>
    <row r="135" spans="2:54" s="28" customFormat="1">
      <c r="B135" s="27"/>
      <c r="D135" s="359"/>
      <c r="E135" s="30"/>
      <c r="G135" s="31"/>
      <c r="H135" s="360"/>
      <c r="I135" s="360"/>
      <c r="J135" s="360"/>
      <c r="X135" s="88"/>
      <c r="Z135" s="134"/>
      <c r="AA135" s="27"/>
      <c r="AB135" s="27"/>
      <c r="AC135" s="27"/>
      <c r="AD135" s="27"/>
      <c r="AE135" s="27"/>
      <c r="AF135" s="27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</row>
    <row r="136" spans="2:54" s="28" customFormat="1">
      <c r="B136" s="27"/>
      <c r="D136" s="359"/>
      <c r="E136" s="30"/>
      <c r="G136" s="31"/>
      <c r="H136" s="360"/>
      <c r="I136" s="360"/>
      <c r="J136" s="360"/>
      <c r="X136" s="88"/>
      <c r="Z136" s="134"/>
      <c r="AA136" s="27"/>
      <c r="AB136" s="27"/>
      <c r="AC136" s="27"/>
      <c r="AD136" s="27"/>
      <c r="AE136" s="27"/>
      <c r="AF136" s="27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</row>
    <row r="137" spans="2:54" s="28" customFormat="1">
      <c r="B137" s="27"/>
      <c r="D137" s="359"/>
      <c r="E137" s="30"/>
      <c r="G137" s="31"/>
      <c r="H137" s="360"/>
      <c r="I137" s="360"/>
      <c r="J137" s="360"/>
      <c r="X137" s="88"/>
      <c r="Z137" s="134"/>
      <c r="AA137" s="27"/>
      <c r="AB137" s="27"/>
      <c r="AC137" s="27"/>
      <c r="AD137" s="27"/>
      <c r="AE137" s="27"/>
      <c r="AF137" s="27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</row>
    <row r="138" spans="2:54" s="28" customFormat="1">
      <c r="B138" s="27"/>
      <c r="D138" s="359"/>
      <c r="E138" s="30"/>
      <c r="G138" s="31"/>
      <c r="H138" s="360"/>
      <c r="I138" s="360"/>
      <c r="J138" s="360"/>
      <c r="X138" s="88"/>
      <c r="Z138" s="134"/>
      <c r="AA138" s="27"/>
      <c r="AB138" s="27"/>
      <c r="AC138" s="27"/>
      <c r="AD138" s="27"/>
      <c r="AE138" s="27"/>
      <c r="AF138" s="27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</row>
    <row r="139" spans="2:54" s="28" customFormat="1">
      <c r="B139" s="27"/>
      <c r="D139" s="359"/>
      <c r="E139" s="30"/>
      <c r="G139" s="31"/>
      <c r="H139" s="360"/>
      <c r="I139" s="360"/>
      <c r="J139" s="360"/>
      <c r="X139" s="88"/>
      <c r="Z139" s="134"/>
      <c r="AA139" s="27"/>
      <c r="AB139" s="27"/>
      <c r="AC139" s="27"/>
      <c r="AD139" s="27"/>
      <c r="AE139" s="27"/>
      <c r="AF139" s="27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</row>
    <row r="140" spans="2:54" s="28" customFormat="1">
      <c r="B140" s="27"/>
      <c r="D140" s="359"/>
      <c r="E140" s="30"/>
      <c r="G140" s="31"/>
      <c r="H140" s="360"/>
      <c r="I140" s="360"/>
      <c r="J140" s="360"/>
      <c r="X140" s="88"/>
      <c r="Z140" s="134"/>
      <c r="AA140" s="27"/>
      <c r="AB140" s="27"/>
      <c r="AC140" s="27"/>
      <c r="AD140" s="27"/>
      <c r="AE140" s="27"/>
      <c r="AF140" s="27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</row>
    <row r="141" spans="2:54" s="28" customFormat="1">
      <c r="B141" s="27"/>
      <c r="D141" s="359"/>
      <c r="E141" s="30"/>
      <c r="G141" s="31"/>
      <c r="H141" s="360"/>
      <c r="I141" s="360"/>
      <c r="J141" s="360"/>
      <c r="X141" s="88"/>
      <c r="Z141" s="134"/>
      <c r="AA141" s="27"/>
      <c r="AB141" s="27"/>
      <c r="AC141" s="27"/>
      <c r="AD141" s="27"/>
      <c r="AE141" s="27"/>
      <c r="AF141" s="27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</row>
    <row r="142" spans="2:54" s="28" customFormat="1">
      <c r="B142" s="27"/>
      <c r="D142" s="359"/>
      <c r="E142" s="30"/>
      <c r="G142" s="31"/>
      <c r="H142" s="360"/>
      <c r="I142" s="360"/>
      <c r="J142" s="360"/>
      <c r="X142" s="88"/>
      <c r="Z142" s="134"/>
      <c r="AA142" s="27"/>
      <c r="AB142" s="27"/>
      <c r="AC142" s="27"/>
      <c r="AD142" s="27"/>
      <c r="AE142" s="27"/>
      <c r="AF142" s="27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</row>
    <row r="143" spans="2:54" s="28" customFormat="1">
      <c r="B143" s="27"/>
      <c r="D143" s="359"/>
      <c r="E143" s="30"/>
      <c r="G143" s="31"/>
      <c r="H143" s="360"/>
      <c r="I143" s="360"/>
      <c r="J143" s="360"/>
      <c r="X143" s="88"/>
      <c r="Z143" s="134"/>
      <c r="AA143" s="27"/>
      <c r="AB143" s="27"/>
      <c r="AC143" s="27"/>
      <c r="AD143" s="27"/>
      <c r="AE143" s="27"/>
      <c r="AF143" s="27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</row>
    <row r="144" spans="2:54" s="28" customFormat="1">
      <c r="B144" s="27"/>
      <c r="D144" s="359"/>
      <c r="E144" s="30"/>
      <c r="G144" s="31"/>
      <c r="H144" s="360"/>
      <c r="I144" s="360"/>
      <c r="J144" s="360"/>
      <c r="X144" s="88"/>
      <c r="Z144" s="134"/>
      <c r="AA144" s="27"/>
      <c r="AB144" s="27"/>
      <c r="AC144" s="27"/>
      <c r="AD144" s="27"/>
      <c r="AE144" s="27"/>
      <c r="AF144" s="27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</row>
    <row r="145" spans="2:54" s="28" customFormat="1">
      <c r="B145" s="27"/>
      <c r="D145" s="359"/>
      <c r="E145" s="30"/>
      <c r="G145" s="31"/>
      <c r="H145" s="360"/>
      <c r="I145" s="360"/>
      <c r="J145" s="360"/>
      <c r="X145" s="88"/>
      <c r="Z145" s="134"/>
      <c r="AA145" s="27"/>
      <c r="AB145" s="27"/>
      <c r="AC145" s="27"/>
      <c r="AD145" s="27"/>
      <c r="AE145" s="27"/>
      <c r="AF145" s="27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</row>
    <row r="146" spans="2:54" s="28" customFormat="1">
      <c r="B146" s="27"/>
      <c r="D146" s="359"/>
      <c r="E146" s="30"/>
      <c r="G146" s="31"/>
      <c r="H146" s="360"/>
      <c r="I146" s="360"/>
      <c r="J146" s="360"/>
      <c r="X146" s="88"/>
      <c r="Z146" s="134"/>
      <c r="AA146" s="27"/>
      <c r="AB146" s="27"/>
      <c r="AC146" s="27"/>
      <c r="AD146" s="27"/>
      <c r="AE146" s="27"/>
      <c r="AF146" s="27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</row>
    <row r="147" spans="2:54" s="28" customFormat="1">
      <c r="B147" s="27"/>
      <c r="D147" s="359"/>
      <c r="E147" s="30"/>
      <c r="G147" s="31"/>
      <c r="H147" s="360"/>
      <c r="I147" s="360"/>
      <c r="J147" s="360"/>
      <c r="X147" s="88"/>
      <c r="Z147" s="134"/>
      <c r="AA147" s="27"/>
      <c r="AB147" s="27"/>
      <c r="AC147" s="27"/>
      <c r="AD147" s="27"/>
      <c r="AE147" s="27"/>
      <c r="AF147" s="27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</row>
    <row r="148" spans="2:54" s="28" customFormat="1">
      <c r="B148" s="27"/>
      <c r="D148" s="359"/>
      <c r="E148" s="30"/>
      <c r="G148" s="31"/>
      <c r="H148" s="360"/>
      <c r="I148" s="360"/>
      <c r="J148" s="360"/>
      <c r="X148" s="88"/>
      <c r="Z148" s="134"/>
      <c r="AA148" s="27"/>
      <c r="AB148" s="27"/>
      <c r="AC148" s="27"/>
      <c r="AD148" s="27"/>
      <c r="AE148" s="27"/>
      <c r="AF148" s="27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</row>
    <row r="149" spans="2:54" s="28" customFormat="1">
      <c r="B149" s="27"/>
      <c r="D149" s="359"/>
      <c r="E149" s="30"/>
      <c r="G149" s="31"/>
      <c r="H149" s="360"/>
      <c r="I149" s="360"/>
      <c r="J149" s="360"/>
      <c r="X149" s="88"/>
      <c r="Z149" s="134"/>
      <c r="AA149" s="27"/>
      <c r="AB149" s="27"/>
      <c r="AC149" s="27"/>
      <c r="AD149" s="27"/>
      <c r="AE149" s="27"/>
      <c r="AF149" s="27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</row>
    <row r="150" spans="2:54" s="28" customFormat="1">
      <c r="B150" s="27"/>
      <c r="D150" s="359"/>
      <c r="E150" s="30"/>
      <c r="G150" s="31"/>
      <c r="H150" s="360"/>
      <c r="I150" s="360"/>
      <c r="J150" s="360"/>
      <c r="X150" s="88"/>
      <c r="Z150" s="134"/>
      <c r="AA150" s="27"/>
      <c r="AB150" s="27"/>
      <c r="AC150" s="27"/>
      <c r="AD150" s="27"/>
      <c r="AE150" s="27"/>
      <c r="AF150" s="27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</row>
    <row r="151" spans="2:54" s="28" customFormat="1">
      <c r="B151" s="27"/>
      <c r="D151" s="359"/>
      <c r="E151" s="30"/>
      <c r="G151" s="31"/>
      <c r="H151" s="360"/>
      <c r="I151" s="360"/>
      <c r="J151" s="360"/>
      <c r="X151" s="88"/>
      <c r="Z151" s="134"/>
      <c r="AA151" s="27"/>
      <c r="AB151" s="27"/>
      <c r="AC151" s="27"/>
      <c r="AD151" s="27"/>
      <c r="AE151" s="27"/>
      <c r="AF151" s="27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</row>
    <row r="152" spans="2:54" s="28" customFormat="1">
      <c r="B152" s="27"/>
      <c r="D152" s="359"/>
      <c r="E152" s="30"/>
      <c r="G152" s="31"/>
      <c r="H152" s="360"/>
      <c r="I152" s="360"/>
      <c r="J152" s="360"/>
      <c r="X152" s="88"/>
      <c r="Z152" s="134"/>
      <c r="AA152" s="27"/>
      <c r="AB152" s="27"/>
      <c r="AC152" s="27"/>
      <c r="AD152" s="27"/>
      <c r="AE152" s="27"/>
      <c r="AF152" s="27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</row>
    <row r="153" spans="2:54" s="28" customFormat="1">
      <c r="B153" s="27"/>
      <c r="D153" s="359"/>
      <c r="E153" s="30"/>
      <c r="G153" s="31"/>
      <c r="H153" s="360"/>
      <c r="I153" s="360"/>
      <c r="J153" s="360"/>
      <c r="X153" s="88"/>
      <c r="Z153" s="134"/>
      <c r="AA153" s="27"/>
      <c r="AB153" s="27"/>
      <c r="AC153" s="27"/>
      <c r="AD153" s="27"/>
      <c r="AE153" s="27"/>
      <c r="AF153" s="27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</row>
    <row r="154" spans="2:54" s="28" customFormat="1">
      <c r="B154" s="27"/>
      <c r="D154" s="359"/>
      <c r="E154" s="30"/>
      <c r="G154" s="31"/>
      <c r="H154" s="360"/>
      <c r="I154" s="360"/>
      <c r="J154" s="360"/>
      <c r="X154" s="88"/>
      <c r="Z154" s="134"/>
      <c r="AA154" s="27"/>
      <c r="AB154" s="27"/>
      <c r="AC154" s="27"/>
      <c r="AD154" s="27"/>
      <c r="AE154" s="27"/>
      <c r="AF154" s="27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</row>
    <row r="155" spans="2:54" s="28" customFormat="1">
      <c r="B155" s="27"/>
      <c r="D155" s="359"/>
      <c r="E155" s="30"/>
      <c r="G155" s="31"/>
      <c r="H155" s="360"/>
      <c r="I155" s="360"/>
      <c r="J155" s="360"/>
      <c r="X155" s="88"/>
      <c r="Z155" s="134"/>
      <c r="AA155" s="27"/>
      <c r="AB155" s="27"/>
      <c r="AC155" s="27"/>
      <c r="AD155" s="27"/>
      <c r="AE155" s="27"/>
      <c r="AF155" s="27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</row>
    <row r="156" spans="2:54" s="28" customFormat="1">
      <c r="B156" s="27"/>
      <c r="D156" s="359"/>
      <c r="E156" s="30"/>
      <c r="G156" s="31"/>
      <c r="H156" s="360"/>
      <c r="I156" s="360"/>
      <c r="J156" s="360"/>
      <c r="X156" s="88"/>
      <c r="Z156" s="134"/>
      <c r="AA156" s="27"/>
      <c r="AB156" s="27"/>
      <c r="AC156" s="27"/>
      <c r="AD156" s="27"/>
      <c r="AE156" s="27"/>
      <c r="AF156" s="27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</row>
    <row r="157" spans="2:54" s="28" customFormat="1">
      <c r="B157" s="27"/>
      <c r="D157" s="359"/>
      <c r="E157" s="30"/>
      <c r="G157" s="31"/>
      <c r="H157" s="360"/>
      <c r="I157" s="360"/>
      <c r="J157" s="360"/>
      <c r="X157" s="88"/>
      <c r="Z157" s="134"/>
      <c r="AA157" s="27"/>
      <c r="AB157" s="27"/>
      <c r="AC157" s="27"/>
      <c r="AD157" s="27"/>
      <c r="AE157" s="27"/>
      <c r="AF157" s="27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</row>
    <row r="158" spans="2:54" s="28" customFormat="1">
      <c r="B158" s="27"/>
      <c r="D158" s="359"/>
      <c r="E158" s="30"/>
      <c r="G158" s="31"/>
      <c r="H158" s="360"/>
      <c r="I158" s="360"/>
      <c r="J158" s="360"/>
      <c r="X158" s="88"/>
      <c r="Z158" s="134"/>
      <c r="AA158" s="27"/>
      <c r="AB158" s="27"/>
      <c r="AC158" s="27"/>
      <c r="AD158" s="27"/>
      <c r="AE158" s="27"/>
      <c r="AF158" s="27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</row>
    <row r="159" spans="2:54" s="28" customFormat="1">
      <c r="B159" s="27"/>
      <c r="D159" s="359"/>
      <c r="E159" s="30"/>
      <c r="G159" s="31"/>
      <c r="H159" s="360"/>
      <c r="I159" s="360"/>
      <c r="J159" s="360"/>
      <c r="X159" s="88"/>
      <c r="Z159" s="134"/>
      <c r="AA159" s="27"/>
      <c r="AB159" s="27"/>
      <c r="AC159" s="27"/>
      <c r="AD159" s="27"/>
      <c r="AE159" s="27"/>
      <c r="AF159" s="27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</row>
    <row r="160" spans="2:54" s="28" customFormat="1">
      <c r="B160" s="27"/>
      <c r="D160" s="359"/>
      <c r="E160" s="30"/>
      <c r="G160" s="31"/>
      <c r="H160" s="360"/>
      <c r="I160" s="360"/>
      <c r="J160" s="360"/>
      <c r="X160" s="88"/>
      <c r="Z160" s="134"/>
      <c r="AA160" s="27"/>
      <c r="AB160" s="27"/>
      <c r="AC160" s="27"/>
      <c r="AD160" s="27"/>
      <c r="AE160" s="27"/>
      <c r="AF160" s="27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</row>
    <row r="161" spans="2:54" s="28" customFormat="1">
      <c r="B161" s="27"/>
      <c r="D161" s="359"/>
      <c r="E161" s="30"/>
      <c r="G161" s="31"/>
      <c r="H161" s="360"/>
      <c r="I161" s="360"/>
      <c r="J161" s="360"/>
      <c r="X161" s="88"/>
      <c r="Z161" s="134"/>
      <c r="AA161" s="27"/>
      <c r="AB161" s="27"/>
      <c r="AC161" s="27"/>
      <c r="AD161" s="27"/>
      <c r="AE161" s="27"/>
      <c r="AF161" s="27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</row>
    <row r="162" spans="2:54" s="28" customFormat="1">
      <c r="B162" s="27"/>
      <c r="D162" s="359"/>
      <c r="E162" s="30"/>
      <c r="G162" s="31"/>
      <c r="H162" s="360"/>
      <c r="I162" s="360"/>
      <c r="J162" s="360"/>
      <c r="X162" s="88"/>
      <c r="Z162" s="134"/>
      <c r="AA162" s="27"/>
      <c r="AB162" s="27"/>
      <c r="AC162" s="27"/>
      <c r="AD162" s="27"/>
      <c r="AE162" s="27"/>
      <c r="AF162" s="27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</row>
    <row r="163" spans="2:54" s="28" customFormat="1">
      <c r="B163" s="27"/>
      <c r="D163" s="359"/>
      <c r="E163" s="30"/>
      <c r="G163" s="31"/>
      <c r="H163" s="360"/>
      <c r="I163" s="360"/>
      <c r="J163" s="360"/>
      <c r="X163" s="88"/>
      <c r="Z163" s="134"/>
      <c r="AA163" s="27"/>
      <c r="AB163" s="27"/>
      <c r="AC163" s="27"/>
      <c r="AD163" s="27"/>
      <c r="AE163" s="27"/>
      <c r="AF163" s="27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</row>
    <row r="164" spans="2:54" s="28" customFormat="1">
      <c r="B164" s="27"/>
      <c r="D164" s="359"/>
      <c r="E164" s="30"/>
      <c r="G164" s="31"/>
      <c r="H164" s="360"/>
      <c r="I164" s="360"/>
      <c r="J164" s="360"/>
      <c r="X164" s="88"/>
      <c r="Z164" s="134"/>
      <c r="AA164" s="27"/>
      <c r="AB164" s="27"/>
      <c r="AC164" s="27"/>
      <c r="AD164" s="27"/>
      <c r="AE164" s="27"/>
      <c r="AF164" s="27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</row>
    <row r="165" spans="2:54" s="28" customFormat="1">
      <c r="B165" s="27"/>
      <c r="D165" s="359"/>
      <c r="E165" s="30"/>
      <c r="G165" s="31"/>
      <c r="H165" s="360"/>
      <c r="I165" s="360"/>
      <c r="J165" s="360"/>
      <c r="X165" s="88"/>
      <c r="Z165" s="134"/>
      <c r="AA165" s="27"/>
      <c r="AB165" s="27"/>
      <c r="AC165" s="27"/>
      <c r="AD165" s="27"/>
      <c r="AE165" s="27"/>
      <c r="AF165" s="27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</row>
    <row r="166" spans="2:54" s="28" customFormat="1">
      <c r="B166" s="27"/>
      <c r="D166" s="359"/>
      <c r="E166" s="30"/>
      <c r="G166" s="31"/>
      <c r="H166" s="360"/>
      <c r="I166" s="360"/>
      <c r="J166" s="360"/>
      <c r="X166" s="88"/>
      <c r="Z166" s="134"/>
      <c r="AA166" s="27"/>
      <c r="AB166" s="27"/>
      <c r="AC166" s="27"/>
      <c r="AD166" s="27"/>
      <c r="AE166" s="27"/>
      <c r="AF166" s="27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</row>
    <row r="167" spans="2:54" s="28" customFormat="1">
      <c r="B167" s="27"/>
      <c r="D167" s="359"/>
      <c r="E167" s="30"/>
      <c r="G167" s="31"/>
      <c r="H167" s="360"/>
      <c r="I167" s="360"/>
      <c r="J167" s="360"/>
      <c r="X167" s="88"/>
      <c r="Z167" s="134"/>
      <c r="AA167" s="27"/>
      <c r="AB167" s="27"/>
      <c r="AC167" s="27"/>
      <c r="AD167" s="27"/>
      <c r="AE167" s="27"/>
      <c r="AF167" s="27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</row>
    <row r="168" spans="2:54" s="28" customFormat="1">
      <c r="B168" s="27"/>
      <c r="D168" s="359"/>
      <c r="E168" s="30"/>
      <c r="G168" s="31"/>
      <c r="H168" s="360"/>
      <c r="I168" s="360"/>
      <c r="J168" s="360"/>
      <c r="X168" s="88"/>
      <c r="Z168" s="134"/>
      <c r="AA168" s="27"/>
      <c r="AB168" s="27"/>
      <c r="AC168" s="27"/>
      <c r="AD168" s="27"/>
      <c r="AE168" s="27"/>
      <c r="AF168" s="27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</row>
    <row r="169" spans="2:54" s="28" customFormat="1">
      <c r="B169" s="27"/>
      <c r="D169" s="359"/>
      <c r="E169" s="30"/>
      <c r="G169" s="31"/>
      <c r="H169" s="360"/>
      <c r="I169" s="360"/>
      <c r="J169" s="360"/>
      <c r="X169" s="88"/>
      <c r="Z169" s="134"/>
      <c r="AA169" s="27"/>
      <c r="AB169" s="27"/>
      <c r="AC169" s="27"/>
      <c r="AD169" s="27"/>
      <c r="AE169" s="27"/>
      <c r="AF169" s="27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</row>
    <row r="170" spans="2:54" s="28" customFormat="1">
      <c r="B170" s="27"/>
      <c r="D170" s="359"/>
      <c r="E170" s="30"/>
      <c r="G170" s="31"/>
      <c r="H170" s="360"/>
      <c r="I170" s="360"/>
      <c r="J170" s="360"/>
      <c r="X170" s="88"/>
      <c r="Z170" s="134"/>
      <c r="AA170" s="27"/>
      <c r="AB170" s="27"/>
      <c r="AC170" s="27"/>
      <c r="AD170" s="27"/>
      <c r="AE170" s="27"/>
      <c r="AF170" s="27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</row>
    <row r="171" spans="2:54" s="28" customFormat="1">
      <c r="B171" s="27"/>
      <c r="D171" s="359"/>
      <c r="E171" s="30"/>
      <c r="G171" s="31"/>
      <c r="H171" s="360"/>
      <c r="I171" s="360"/>
      <c r="J171" s="360"/>
      <c r="X171" s="88"/>
      <c r="Z171" s="134"/>
      <c r="AA171" s="27"/>
      <c r="AB171" s="27"/>
      <c r="AC171" s="27"/>
      <c r="AD171" s="27"/>
      <c r="AE171" s="27"/>
      <c r="AF171" s="27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</row>
    <row r="172" spans="2:54" s="28" customFormat="1">
      <c r="B172" s="27"/>
      <c r="D172" s="359"/>
      <c r="E172" s="30"/>
      <c r="G172" s="31"/>
      <c r="H172" s="360"/>
      <c r="I172" s="360"/>
      <c r="J172" s="360"/>
      <c r="X172" s="88"/>
      <c r="Z172" s="134"/>
      <c r="AA172" s="27"/>
      <c r="AB172" s="27"/>
      <c r="AC172" s="27"/>
      <c r="AD172" s="27"/>
      <c r="AE172" s="27"/>
      <c r="AF172" s="27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</row>
    <row r="173" spans="2:54" s="28" customFormat="1">
      <c r="B173" s="27"/>
      <c r="D173" s="359"/>
      <c r="E173" s="30"/>
      <c r="G173" s="31"/>
      <c r="H173" s="360"/>
      <c r="I173" s="360"/>
      <c r="J173" s="360"/>
      <c r="X173" s="88"/>
      <c r="Z173" s="134"/>
      <c r="AA173" s="27"/>
      <c r="AB173" s="27"/>
      <c r="AC173" s="27"/>
      <c r="AD173" s="27"/>
      <c r="AE173" s="27"/>
      <c r="AF173" s="27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</row>
    <row r="174" spans="2:54" s="28" customFormat="1">
      <c r="B174" s="27"/>
      <c r="D174" s="359"/>
      <c r="E174" s="30"/>
      <c r="G174" s="31"/>
      <c r="H174" s="360"/>
      <c r="I174" s="360"/>
      <c r="J174" s="360"/>
      <c r="X174" s="88"/>
      <c r="Z174" s="134"/>
      <c r="AA174" s="27"/>
      <c r="AB174" s="27"/>
      <c r="AC174" s="27"/>
      <c r="AD174" s="27"/>
      <c r="AE174" s="27"/>
      <c r="AF174" s="27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</row>
    <row r="175" spans="2:54" s="28" customFormat="1">
      <c r="B175" s="27"/>
      <c r="D175" s="359"/>
      <c r="E175" s="30"/>
      <c r="G175" s="31"/>
      <c r="H175" s="360"/>
      <c r="I175" s="360"/>
      <c r="J175" s="360"/>
      <c r="X175" s="88"/>
      <c r="Z175" s="134"/>
      <c r="AA175" s="27"/>
      <c r="AB175" s="27"/>
      <c r="AC175" s="27"/>
      <c r="AD175" s="27"/>
      <c r="AE175" s="27"/>
      <c r="AF175" s="27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</row>
    <row r="176" spans="2:54" s="28" customFormat="1">
      <c r="B176" s="27"/>
      <c r="D176" s="359"/>
      <c r="E176" s="30"/>
      <c r="G176" s="31"/>
      <c r="H176" s="360"/>
      <c r="I176" s="360"/>
      <c r="J176" s="360"/>
      <c r="X176" s="88"/>
      <c r="Z176" s="134"/>
      <c r="AA176" s="27"/>
      <c r="AB176" s="27"/>
      <c r="AC176" s="27"/>
      <c r="AD176" s="27"/>
      <c r="AE176" s="27"/>
      <c r="AF176" s="27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</row>
    <row r="177" spans="2:54" s="28" customFormat="1">
      <c r="B177" s="27"/>
      <c r="D177" s="359"/>
      <c r="E177" s="30"/>
      <c r="G177" s="31"/>
      <c r="H177" s="360"/>
      <c r="I177" s="360"/>
      <c r="J177" s="360"/>
      <c r="X177" s="88"/>
      <c r="Z177" s="134"/>
      <c r="AA177" s="27"/>
      <c r="AB177" s="27"/>
      <c r="AC177" s="27"/>
      <c r="AD177" s="27"/>
      <c r="AE177" s="27"/>
      <c r="AF177" s="27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</row>
    <row r="178" spans="2:54" s="28" customFormat="1">
      <c r="B178" s="27"/>
      <c r="D178" s="359"/>
      <c r="E178" s="30"/>
      <c r="G178" s="31"/>
      <c r="H178" s="360"/>
      <c r="I178" s="360"/>
      <c r="J178" s="360"/>
      <c r="X178" s="88"/>
      <c r="Z178" s="134"/>
      <c r="AA178" s="27"/>
      <c r="AB178" s="27"/>
      <c r="AC178" s="27"/>
      <c r="AD178" s="27"/>
      <c r="AE178" s="27"/>
      <c r="AF178" s="27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</row>
    <row r="179" spans="2:54" s="28" customFormat="1">
      <c r="B179" s="27"/>
      <c r="D179" s="359"/>
      <c r="E179" s="30"/>
      <c r="G179" s="31"/>
      <c r="H179" s="360"/>
      <c r="I179" s="360"/>
      <c r="J179" s="360"/>
      <c r="X179" s="88"/>
      <c r="Z179" s="134"/>
      <c r="AA179" s="27"/>
      <c r="AB179" s="27"/>
      <c r="AC179" s="27"/>
      <c r="AD179" s="27"/>
      <c r="AE179" s="27"/>
      <c r="AF179" s="27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</row>
    <row r="180" spans="2:54" s="28" customFormat="1">
      <c r="B180" s="27"/>
      <c r="D180" s="359"/>
      <c r="E180" s="30"/>
      <c r="G180" s="31"/>
      <c r="H180" s="360"/>
      <c r="I180" s="360"/>
      <c r="J180" s="360"/>
      <c r="X180" s="88"/>
      <c r="Z180" s="134"/>
      <c r="AA180" s="27"/>
      <c r="AB180" s="27"/>
      <c r="AC180" s="27"/>
      <c r="AD180" s="27"/>
      <c r="AE180" s="27"/>
      <c r="AF180" s="27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</row>
    <row r="181" spans="2:54" s="28" customFormat="1">
      <c r="B181" s="27"/>
      <c r="D181" s="359"/>
      <c r="E181" s="30"/>
      <c r="G181" s="31"/>
      <c r="H181" s="360"/>
      <c r="I181" s="360"/>
      <c r="J181" s="360"/>
      <c r="X181" s="88"/>
      <c r="Z181" s="134"/>
      <c r="AA181" s="27"/>
      <c r="AB181" s="27"/>
      <c r="AC181" s="27"/>
      <c r="AD181" s="27"/>
      <c r="AE181" s="27"/>
      <c r="AF181" s="27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</row>
    <row r="182" spans="2:54" s="28" customFormat="1">
      <c r="B182" s="27"/>
      <c r="D182" s="359"/>
      <c r="E182" s="30"/>
      <c r="G182" s="31"/>
      <c r="H182" s="360"/>
      <c r="I182" s="360"/>
      <c r="J182" s="360"/>
      <c r="X182" s="88"/>
      <c r="Z182" s="134"/>
      <c r="AA182" s="27"/>
      <c r="AB182" s="27"/>
      <c r="AC182" s="27"/>
      <c r="AD182" s="27"/>
      <c r="AE182" s="27"/>
      <c r="AF182" s="27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</row>
    <row r="183" spans="2:54" s="28" customFormat="1">
      <c r="B183" s="27"/>
      <c r="D183" s="359"/>
      <c r="E183" s="30"/>
      <c r="G183" s="31"/>
      <c r="H183" s="360"/>
      <c r="I183" s="360"/>
      <c r="J183" s="360"/>
      <c r="X183" s="88"/>
      <c r="Z183" s="134"/>
      <c r="AA183" s="27"/>
      <c r="AB183" s="27"/>
      <c r="AC183" s="27"/>
      <c r="AD183" s="27"/>
      <c r="AE183" s="27"/>
      <c r="AF183" s="27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</row>
    <row r="184" spans="2:54" s="28" customFormat="1">
      <c r="B184" s="27"/>
      <c r="D184" s="359"/>
      <c r="E184" s="30"/>
      <c r="G184" s="31"/>
      <c r="H184" s="360"/>
      <c r="I184" s="360"/>
      <c r="J184" s="360"/>
      <c r="X184" s="88"/>
      <c r="Z184" s="134"/>
      <c r="AA184" s="27"/>
      <c r="AB184" s="27"/>
      <c r="AC184" s="27"/>
      <c r="AD184" s="27"/>
      <c r="AE184" s="27"/>
      <c r="AF184" s="27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</row>
    <row r="185" spans="2:54" s="28" customFormat="1">
      <c r="B185" s="27"/>
      <c r="D185" s="359"/>
      <c r="E185" s="30"/>
      <c r="G185" s="31"/>
      <c r="H185" s="360"/>
      <c r="I185" s="360"/>
      <c r="J185" s="360"/>
      <c r="X185" s="88"/>
      <c r="Z185" s="134"/>
      <c r="AA185" s="27"/>
      <c r="AB185" s="27"/>
      <c r="AC185" s="27"/>
      <c r="AD185" s="27"/>
      <c r="AE185" s="27"/>
      <c r="AF185" s="27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</row>
    <row r="186" spans="2:54" s="28" customFormat="1">
      <c r="B186" s="27"/>
      <c r="D186" s="359"/>
      <c r="E186" s="30"/>
      <c r="G186" s="31"/>
      <c r="H186" s="360"/>
      <c r="I186" s="360"/>
      <c r="J186" s="360"/>
      <c r="X186" s="88"/>
      <c r="Z186" s="134"/>
      <c r="AA186" s="27"/>
      <c r="AB186" s="27"/>
      <c r="AC186" s="27"/>
      <c r="AD186" s="27"/>
      <c r="AE186" s="27"/>
      <c r="AF186" s="27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</row>
    <row r="187" spans="2:54" s="28" customFormat="1">
      <c r="B187" s="27"/>
      <c r="D187" s="359"/>
      <c r="E187" s="30"/>
      <c r="G187" s="31"/>
      <c r="H187" s="360"/>
      <c r="I187" s="360"/>
      <c r="J187" s="360"/>
      <c r="X187" s="88"/>
      <c r="Z187" s="134"/>
      <c r="AA187" s="27"/>
      <c r="AB187" s="27"/>
      <c r="AC187" s="27"/>
      <c r="AD187" s="27"/>
      <c r="AE187" s="27"/>
      <c r="AF187" s="27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</row>
    <row r="188" spans="2:54" s="28" customFormat="1">
      <c r="B188" s="27"/>
      <c r="D188" s="359"/>
      <c r="E188" s="30"/>
      <c r="G188" s="31"/>
      <c r="H188" s="360"/>
      <c r="I188" s="360"/>
      <c r="J188" s="360"/>
      <c r="X188" s="88"/>
      <c r="Z188" s="134"/>
      <c r="AA188" s="27"/>
      <c r="AB188" s="27"/>
      <c r="AC188" s="27"/>
      <c r="AD188" s="27"/>
      <c r="AE188" s="27"/>
      <c r="AF188" s="27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</row>
    <row r="189" spans="2:54" s="28" customFormat="1">
      <c r="B189" s="27"/>
      <c r="D189" s="359"/>
      <c r="E189" s="30"/>
      <c r="G189" s="31"/>
      <c r="H189" s="360"/>
      <c r="I189" s="360"/>
      <c r="J189" s="360"/>
      <c r="X189" s="88"/>
      <c r="Z189" s="134"/>
      <c r="AA189" s="27"/>
      <c r="AB189" s="27"/>
      <c r="AC189" s="27"/>
      <c r="AD189" s="27"/>
      <c r="AE189" s="27"/>
      <c r="AF189" s="27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</row>
    <row r="190" spans="2:54" s="28" customFormat="1">
      <c r="B190" s="27"/>
      <c r="D190" s="359"/>
      <c r="E190" s="30"/>
      <c r="G190" s="31"/>
      <c r="H190" s="360"/>
      <c r="I190" s="360"/>
      <c r="J190" s="360"/>
      <c r="X190" s="88"/>
      <c r="Z190" s="134"/>
      <c r="AA190" s="27"/>
      <c r="AB190" s="27"/>
      <c r="AC190" s="27"/>
      <c r="AD190" s="27"/>
      <c r="AE190" s="27"/>
      <c r="AF190" s="27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</row>
    <row r="191" spans="2:54" s="28" customFormat="1">
      <c r="B191" s="27"/>
      <c r="D191" s="359"/>
      <c r="E191" s="30"/>
      <c r="G191" s="31"/>
      <c r="H191" s="360"/>
      <c r="I191" s="360"/>
      <c r="J191" s="360"/>
      <c r="X191" s="88"/>
      <c r="Z191" s="134"/>
      <c r="AA191" s="27"/>
      <c r="AB191" s="27"/>
      <c r="AC191" s="27"/>
      <c r="AD191" s="27"/>
      <c r="AE191" s="27"/>
      <c r="AF191" s="27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</row>
    <row r="192" spans="2:54" s="28" customFormat="1">
      <c r="B192" s="27"/>
      <c r="D192" s="359"/>
      <c r="E192" s="30"/>
      <c r="G192" s="31"/>
      <c r="H192" s="360"/>
      <c r="I192" s="360"/>
      <c r="J192" s="360"/>
      <c r="X192" s="88"/>
      <c r="Z192" s="134"/>
      <c r="AA192" s="27"/>
      <c r="AB192" s="27"/>
      <c r="AC192" s="27"/>
      <c r="AD192" s="27"/>
      <c r="AE192" s="27"/>
      <c r="AF192" s="27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</row>
    <row r="193" spans="2:54" s="28" customFormat="1">
      <c r="B193" s="27"/>
      <c r="D193" s="359"/>
      <c r="E193" s="30"/>
      <c r="G193" s="31"/>
      <c r="H193" s="360"/>
      <c r="I193" s="360"/>
      <c r="J193" s="360"/>
      <c r="X193" s="88"/>
      <c r="Z193" s="134"/>
      <c r="AA193" s="27"/>
      <c r="AB193" s="27"/>
      <c r="AC193" s="27"/>
      <c r="AD193" s="27"/>
      <c r="AE193" s="27"/>
      <c r="AF193" s="27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</row>
    <row r="194" spans="2:54" s="28" customFormat="1">
      <c r="B194" s="27"/>
      <c r="D194" s="359"/>
      <c r="E194" s="30"/>
      <c r="G194" s="31"/>
      <c r="H194" s="360"/>
      <c r="I194" s="360"/>
      <c r="J194" s="360"/>
      <c r="X194" s="88"/>
      <c r="Z194" s="134"/>
      <c r="AA194" s="27"/>
      <c r="AB194" s="27"/>
      <c r="AC194" s="27"/>
      <c r="AD194" s="27"/>
      <c r="AE194" s="27"/>
      <c r="AF194" s="27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</row>
    <row r="195" spans="2:54" s="28" customFormat="1">
      <c r="B195" s="27"/>
      <c r="D195" s="359"/>
      <c r="E195" s="30"/>
      <c r="G195" s="31"/>
      <c r="H195" s="360"/>
      <c r="I195" s="360"/>
      <c r="J195" s="360"/>
      <c r="X195" s="88"/>
      <c r="Z195" s="134"/>
      <c r="AA195" s="27"/>
      <c r="AB195" s="27"/>
      <c r="AC195" s="27"/>
      <c r="AD195" s="27"/>
      <c r="AE195" s="27"/>
      <c r="AF195" s="27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</row>
    <row r="196" spans="2:54" s="28" customFormat="1">
      <c r="B196" s="27"/>
      <c r="D196" s="359"/>
      <c r="E196" s="30"/>
      <c r="G196" s="31"/>
      <c r="H196" s="360"/>
      <c r="I196" s="360"/>
      <c r="J196" s="360"/>
      <c r="X196" s="88"/>
      <c r="Z196" s="134"/>
      <c r="AA196" s="27"/>
      <c r="AB196" s="27"/>
      <c r="AC196" s="27"/>
      <c r="AD196" s="27"/>
      <c r="AE196" s="27"/>
      <c r="AF196" s="27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</row>
    <row r="197" spans="2:54" s="28" customFormat="1">
      <c r="B197" s="27"/>
      <c r="D197" s="359"/>
      <c r="E197" s="30"/>
      <c r="G197" s="31"/>
      <c r="H197" s="360"/>
      <c r="I197" s="360"/>
      <c r="J197" s="360"/>
      <c r="X197" s="88"/>
      <c r="Z197" s="134"/>
      <c r="AA197" s="27"/>
      <c r="AB197" s="27"/>
      <c r="AC197" s="27"/>
      <c r="AD197" s="27"/>
      <c r="AE197" s="27"/>
      <c r="AF197" s="27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</row>
    <row r="198" spans="2:54" s="28" customFormat="1">
      <c r="B198" s="27"/>
      <c r="D198" s="359"/>
      <c r="E198" s="30"/>
      <c r="G198" s="31"/>
      <c r="H198" s="360"/>
      <c r="I198" s="360"/>
      <c r="J198" s="360"/>
      <c r="X198" s="88"/>
      <c r="Z198" s="134"/>
      <c r="AA198" s="27"/>
      <c r="AB198" s="27"/>
      <c r="AC198" s="27"/>
      <c r="AD198" s="27"/>
      <c r="AE198" s="27"/>
      <c r="AF198" s="27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</row>
    <row r="199" spans="2:54" s="28" customFormat="1">
      <c r="B199" s="27"/>
      <c r="D199" s="359"/>
      <c r="E199" s="30"/>
      <c r="G199" s="31"/>
      <c r="H199" s="360"/>
      <c r="I199" s="360"/>
      <c r="J199" s="360"/>
      <c r="X199" s="88"/>
      <c r="Z199" s="134"/>
      <c r="AA199" s="27"/>
      <c r="AB199" s="27"/>
      <c r="AC199" s="27"/>
      <c r="AD199" s="27"/>
      <c r="AE199" s="27"/>
      <c r="AF199" s="27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</row>
    <row r="200" spans="2:54" s="28" customFormat="1">
      <c r="B200" s="27"/>
      <c r="D200" s="359"/>
      <c r="E200" s="30"/>
      <c r="G200" s="31"/>
      <c r="H200" s="360"/>
      <c r="I200" s="360"/>
      <c r="J200" s="360"/>
      <c r="X200" s="88"/>
      <c r="Z200" s="134"/>
      <c r="AA200" s="27"/>
      <c r="AB200" s="27"/>
      <c r="AC200" s="27"/>
      <c r="AD200" s="27"/>
      <c r="AE200" s="27"/>
      <c r="AF200" s="27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</row>
    <row r="201" spans="2:54" s="28" customFormat="1">
      <c r="B201" s="27"/>
      <c r="D201" s="359"/>
      <c r="E201" s="30"/>
      <c r="G201" s="31"/>
      <c r="H201" s="360"/>
      <c r="I201" s="360"/>
      <c r="J201" s="360"/>
      <c r="X201" s="88"/>
      <c r="Z201" s="134"/>
      <c r="AA201" s="27"/>
      <c r="AB201" s="27"/>
      <c r="AC201" s="27"/>
      <c r="AD201" s="27"/>
      <c r="AE201" s="27"/>
      <c r="AF201" s="27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</row>
    <row r="202" spans="2:54" s="28" customFormat="1">
      <c r="B202" s="27"/>
      <c r="D202" s="359"/>
      <c r="E202" s="30"/>
      <c r="G202" s="31"/>
      <c r="H202" s="360"/>
      <c r="I202" s="360"/>
      <c r="J202" s="360"/>
      <c r="X202" s="88"/>
      <c r="Z202" s="134"/>
      <c r="AA202" s="27"/>
      <c r="AB202" s="27"/>
      <c r="AC202" s="27"/>
      <c r="AD202" s="27"/>
      <c r="AE202" s="27"/>
      <c r="AF202" s="27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</row>
    <row r="203" spans="2:54" s="28" customFormat="1">
      <c r="B203" s="27"/>
      <c r="D203" s="359"/>
      <c r="E203" s="30"/>
      <c r="G203" s="31"/>
      <c r="H203" s="360"/>
      <c r="I203" s="360"/>
      <c r="J203" s="360"/>
      <c r="X203" s="88"/>
      <c r="Z203" s="134"/>
      <c r="AA203" s="27"/>
      <c r="AB203" s="27"/>
      <c r="AC203" s="27"/>
      <c r="AD203" s="27"/>
      <c r="AE203" s="27"/>
      <c r="AF203" s="27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</row>
    <row r="204" spans="2:54" s="28" customFormat="1">
      <c r="B204" s="27"/>
      <c r="D204" s="359"/>
      <c r="E204" s="30"/>
      <c r="G204" s="31"/>
      <c r="H204" s="360"/>
      <c r="I204" s="360"/>
      <c r="J204" s="360"/>
      <c r="X204" s="88"/>
      <c r="Z204" s="134"/>
      <c r="AA204" s="27"/>
      <c r="AB204" s="27"/>
      <c r="AC204" s="27"/>
      <c r="AD204" s="27"/>
      <c r="AE204" s="27"/>
      <c r="AF204" s="27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</row>
    <row r="205" spans="2:54" s="28" customFormat="1">
      <c r="B205" s="27"/>
      <c r="D205" s="359"/>
      <c r="E205" s="30"/>
      <c r="G205" s="31"/>
      <c r="H205" s="360"/>
      <c r="I205" s="360"/>
      <c r="J205" s="360"/>
      <c r="X205" s="88"/>
      <c r="Z205" s="134"/>
      <c r="AA205" s="27"/>
      <c r="AB205" s="27"/>
      <c r="AC205" s="27"/>
      <c r="AD205" s="27"/>
      <c r="AE205" s="27"/>
      <c r="AF205" s="27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</row>
    <row r="206" spans="2:54" s="28" customFormat="1">
      <c r="B206" s="27"/>
      <c r="D206" s="359"/>
      <c r="E206" s="30"/>
      <c r="G206" s="31"/>
      <c r="H206" s="360"/>
      <c r="I206" s="360"/>
      <c r="J206" s="360"/>
      <c r="X206" s="88"/>
      <c r="Z206" s="134"/>
      <c r="AA206" s="27"/>
      <c r="AB206" s="27"/>
      <c r="AC206" s="27"/>
      <c r="AD206" s="27"/>
      <c r="AE206" s="27"/>
      <c r="AF206" s="27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</row>
    <row r="207" spans="2:54" s="28" customFormat="1">
      <c r="B207" s="27"/>
      <c r="D207" s="359"/>
      <c r="E207" s="30"/>
      <c r="G207" s="31"/>
      <c r="H207" s="360"/>
      <c r="I207" s="360"/>
      <c r="J207" s="360"/>
      <c r="X207" s="88"/>
      <c r="Z207" s="134"/>
      <c r="AA207" s="27"/>
      <c r="AB207" s="27"/>
      <c r="AC207" s="27"/>
      <c r="AD207" s="27"/>
      <c r="AE207" s="27"/>
      <c r="AF207" s="27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</row>
    <row r="208" spans="2:54" s="28" customFormat="1">
      <c r="B208" s="27"/>
      <c r="D208" s="359"/>
      <c r="E208" s="30"/>
      <c r="G208" s="31"/>
      <c r="H208" s="360"/>
      <c r="I208" s="360"/>
      <c r="J208" s="360"/>
      <c r="X208" s="88"/>
      <c r="Z208" s="134"/>
      <c r="AA208" s="27"/>
      <c r="AB208" s="27"/>
      <c r="AC208" s="27"/>
      <c r="AD208" s="27"/>
      <c r="AE208" s="27"/>
      <c r="AF208" s="27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</row>
    <row r="209" spans="2:54" s="28" customFormat="1">
      <c r="B209" s="27"/>
      <c r="D209" s="359"/>
      <c r="E209" s="30"/>
      <c r="G209" s="31"/>
      <c r="H209" s="360"/>
      <c r="I209" s="360"/>
      <c r="J209" s="360"/>
      <c r="X209" s="88"/>
      <c r="Z209" s="134"/>
      <c r="AA209" s="27"/>
      <c r="AB209" s="27"/>
      <c r="AC209" s="27"/>
      <c r="AD209" s="27"/>
      <c r="AE209" s="27"/>
      <c r="AF209" s="27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</row>
    <row r="210" spans="2:54" s="28" customFormat="1">
      <c r="B210" s="27"/>
      <c r="D210" s="359"/>
      <c r="E210" s="30"/>
      <c r="G210" s="31"/>
      <c r="H210" s="360"/>
      <c r="I210" s="360"/>
      <c r="J210" s="360"/>
      <c r="X210" s="88"/>
      <c r="Z210" s="134"/>
      <c r="AA210" s="27"/>
      <c r="AB210" s="27"/>
      <c r="AC210" s="27"/>
      <c r="AD210" s="27"/>
      <c r="AE210" s="27"/>
      <c r="AF210" s="27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</row>
    <row r="211" spans="2:54" s="28" customFormat="1">
      <c r="B211" s="27"/>
      <c r="D211" s="359"/>
      <c r="E211" s="30"/>
      <c r="G211" s="31"/>
      <c r="H211" s="360"/>
      <c r="I211" s="360"/>
      <c r="J211" s="360"/>
      <c r="X211" s="88"/>
      <c r="Z211" s="134"/>
      <c r="AA211" s="27"/>
      <c r="AB211" s="27"/>
      <c r="AC211" s="27"/>
      <c r="AD211" s="27"/>
      <c r="AE211" s="27"/>
      <c r="AF211" s="27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</row>
    <row r="212" spans="2:54" s="28" customFormat="1">
      <c r="B212" s="27"/>
      <c r="D212" s="359"/>
      <c r="E212" s="30"/>
      <c r="G212" s="31"/>
      <c r="H212" s="360"/>
      <c r="I212" s="360"/>
      <c r="J212" s="360"/>
      <c r="X212" s="88"/>
      <c r="Z212" s="134"/>
      <c r="AA212" s="27"/>
      <c r="AB212" s="27"/>
      <c r="AC212" s="27"/>
      <c r="AD212" s="27"/>
      <c r="AE212" s="27"/>
      <c r="AF212" s="27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</row>
    <row r="213" spans="2:54" s="28" customFormat="1">
      <c r="B213" s="27"/>
      <c r="D213" s="359"/>
      <c r="E213" s="30"/>
      <c r="G213" s="31"/>
      <c r="H213" s="360"/>
      <c r="I213" s="360"/>
      <c r="J213" s="360"/>
      <c r="X213" s="88"/>
      <c r="Z213" s="134"/>
      <c r="AA213" s="27"/>
      <c r="AB213" s="27"/>
      <c r="AC213" s="27"/>
      <c r="AD213" s="27"/>
      <c r="AE213" s="27"/>
      <c r="AF213" s="27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</row>
    <row r="214" spans="2:54" s="28" customFormat="1">
      <c r="B214" s="27"/>
      <c r="D214" s="359"/>
      <c r="E214" s="30"/>
      <c r="G214" s="31"/>
      <c r="H214" s="360"/>
      <c r="I214" s="360"/>
      <c r="J214" s="360"/>
      <c r="X214" s="88"/>
      <c r="Z214" s="134"/>
      <c r="AA214" s="27"/>
      <c r="AB214" s="27"/>
      <c r="AC214" s="27"/>
      <c r="AD214" s="27"/>
      <c r="AE214" s="27"/>
      <c r="AF214" s="27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</row>
    <row r="215" spans="2:54" s="28" customFormat="1">
      <c r="B215" s="27"/>
      <c r="D215" s="359"/>
      <c r="E215" s="30"/>
      <c r="G215" s="31"/>
      <c r="H215" s="360"/>
      <c r="I215" s="360"/>
      <c r="J215" s="360"/>
      <c r="X215" s="88"/>
      <c r="Z215" s="134"/>
      <c r="AA215" s="27"/>
      <c r="AB215" s="27"/>
      <c r="AC215" s="27"/>
      <c r="AD215" s="27"/>
      <c r="AE215" s="27"/>
      <c r="AF215" s="27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</row>
    <row r="216" spans="2:54" s="28" customFormat="1">
      <c r="B216" s="27"/>
      <c r="D216" s="359"/>
      <c r="E216" s="30"/>
      <c r="G216" s="31"/>
      <c r="H216" s="360"/>
      <c r="I216" s="360"/>
      <c r="J216" s="360"/>
      <c r="X216" s="88"/>
      <c r="Z216" s="134"/>
      <c r="AA216" s="27"/>
      <c r="AB216" s="27"/>
      <c r="AC216" s="27"/>
      <c r="AD216" s="27"/>
      <c r="AE216" s="27"/>
      <c r="AF216" s="27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</row>
    <row r="217" spans="2:54" s="28" customFormat="1">
      <c r="B217" s="27"/>
      <c r="D217" s="359"/>
      <c r="E217" s="30"/>
      <c r="G217" s="31"/>
      <c r="H217" s="360"/>
      <c r="I217" s="360"/>
      <c r="J217" s="360"/>
      <c r="X217" s="88"/>
      <c r="Z217" s="134"/>
      <c r="AA217" s="27"/>
      <c r="AB217" s="27"/>
      <c r="AC217" s="27"/>
      <c r="AD217" s="27"/>
      <c r="AE217" s="27"/>
      <c r="AF217" s="27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</row>
    <row r="218" spans="2:54" s="28" customFormat="1">
      <c r="B218" s="27"/>
      <c r="D218" s="359"/>
      <c r="E218" s="30"/>
      <c r="G218" s="31"/>
      <c r="H218" s="360"/>
      <c r="I218" s="360"/>
      <c r="J218" s="360"/>
      <c r="X218" s="88"/>
      <c r="Z218" s="134"/>
      <c r="AA218" s="27"/>
      <c r="AB218" s="27"/>
      <c r="AC218" s="27"/>
      <c r="AD218" s="27"/>
      <c r="AE218" s="27"/>
      <c r="AF218" s="27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</row>
    <row r="219" spans="2:54" s="28" customFormat="1">
      <c r="B219" s="27"/>
      <c r="D219" s="359"/>
      <c r="E219" s="30"/>
      <c r="G219" s="31"/>
      <c r="H219" s="360"/>
      <c r="I219" s="360"/>
      <c r="J219" s="360"/>
      <c r="X219" s="88"/>
      <c r="Z219" s="134"/>
      <c r="AA219" s="27"/>
      <c r="AB219" s="27"/>
      <c r="AC219" s="27"/>
      <c r="AD219" s="27"/>
      <c r="AE219" s="27"/>
      <c r="AF219" s="27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</row>
    <row r="220" spans="2:54" s="28" customFormat="1">
      <c r="B220" s="27"/>
      <c r="D220" s="359"/>
      <c r="E220" s="30"/>
      <c r="G220" s="31"/>
      <c r="H220" s="360"/>
      <c r="I220" s="360"/>
      <c r="J220" s="360"/>
      <c r="X220" s="88"/>
      <c r="Z220" s="134"/>
      <c r="AA220" s="27"/>
      <c r="AB220" s="27"/>
      <c r="AC220" s="27"/>
      <c r="AD220" s="27"/>
      <c r="AE220" s="27"/>
      <c r="AF220" s="27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</row>
    <row r="221" spans="2:54" s="28" customFormat="1">
      <c r="B221" s="27"/>
      <c r="D221" s="359"/>
      <c r="E221" s="30"/>
      <c r="G221" s="31"/>
      <c r="H221" s="360"/>
      <c r="I221" s="360"/>
      <c r="J221" s="360"/>
      <c r="X221" s="88"/>
      <c r="Z221" s="134"/>
      <c r="AA221" s="27"/>
      <c r="AB221" s="27"/>
      <c r="AC221" s="27"/>
      <c r="AD221" s="27"/>
      <c r="AE221" s="27"/>
      <c r="AF221" s="27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</row>
    <row r="222" spans="2:54" s="28" customFormat="1">
      <c r="B222" s="27"/>
      <c r="D222" s="359"/>
      <c r="E222" s="30"/>
      <c r="G222" s="31"/>
      <c r="H222" s="360"/>
      <c r="I222" s="360"/>
      <c r="J222" s="360"/>
      <c r="X222" s="88"/>
      <c r="Z222" s="134"/>
      <c r="AA222" s="27"/>
      <c r="AB222" s="27"/>
      <c r="AC222" s="27"/>
      <c r="AD222" s="27"/>
      <c r="AE222" s="27"/>
      <c r="AF222" s="27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</row>
    <row r="223" spans="2:54" s="28" customFormat="1">
      <c r="B223" s="27"/>
      <c r="D223" s="359"/>
      <c r="E223" s="30"/>
      <c r="G223" s="31"/>
      <c r="H223" s="360"/>
      <c r="I223" s="360"/>
      <c r="J223" s="360"/>
      <c r="X223" s="88"/>
      <c r="Z223" s="134"/>
      <c r="AA223" s="27"/>
      <c r="AB223" s="27"/>
      <c r="AC223" s="27"/>
      <c r="AD223" s="27"/>
      <c r="AE223" s="27"/>
      <c r="AF223" s="27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</row>
    <row r="224" spans="2:54" s="28" customFormat="1">
      <c r="B224" s="27"/>
      <c r="D224" s="359"/>
      <c r="E224" s="30"/>
      <c r="G224" s="31"/>
      <c r="H224" s="360"/>
      <c r="I224" s="360"/>
      <c r="J224" s="360"/>
      <c r="X224" s="88"/>
      <c r="Z224" s="134"/>
      <c r="AA224" s="27"/>
      <c r="AB224" s="27"/>
      <c r="AC224" s="27"/>
      <c r="AD224" s="27"/>
      <c r="AE224" s="27"/>
      <c r="AF224" s="27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</row>
    <row r="225" spans="2:54" s="28" customFormat="1">
      <c r="B225" s="27"/>
      <c r="D225" s="359"/>
      <c r="E225" s="30"/>
      <c r="G225" s="31"/>
      <c r="H225" s="360"/>
      <c r="I225" s="360"/>
      <c r="J225" s="360"/>
      <c r="X225" s="88"/>
      <c r="Z225" s="134"/>
      <c r="AA225" s="27"/>
      <c r="AB225" s="27"/>
      <c r="AC225" s="27"/>
      <c r="AD225" s="27"/>
      <c r="AE225" s="27"/>
      <c r="AF225" s="27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</row>
    <row r="226" spans="2:54" s="28" customFormat="1">
      <c r="B226" s="27"/>
      <c r="D226" s="359"/>
      <c r="E226" s="30"/>
      <c r="G226" s="31"/>
      <c r="H226" s="360"/>
      <c r="I226" s="360"/>
      <c r="J226" s="360"/>
      <c r="X226" s="88"/>
      <c r="Z226" s="134"/>
      <c r="AA226" s="27"/>
      <c r="AB226" s="27"/>
      <c r="AC226" s="27"/>
      <c r="AD226" s="27"/>
      <c r="AE226" s="27"/>
      <c r="AF226" s="27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</row>
    <row r="227" spans="2:54" s="28" customFormat="1">
      <c r="B227" s="27"/>
      <c r="D227" s="359"/>
      <c r="E227" s="30"/>
      <c r="G227" s="31"/>
      <c r="H227" s="360"/>
      <c r="I227" s="360"/>
      <c r="J227" s="360"/>
      <c r="X227" s="88"/>
      <c r="Z227" s="134"/>
      <c r="AA227" s="27"/>
      <c r="AB227" s="27"/>
      <c r="AC227" s="27"/>
      <c r="AD227" s="27"/>
      <c r="AE227" s="27"/>
      <c r="AF227" s="27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</row>
    <row r="228" spans="2:54" s="28" customFormat="1">
      <c r="B228" s="27"/>
      <c r="D228" s="359"/>
      <c r="E228" s="30"/>
      <c r="G228" s="31"/>
      <c r="H228" s="360"/>
      <c r="I228" s="360"/>
      <c r="J228" s="360"/>
      <c r="X228" s="88"/>
      <c r="Z228" s="134"/>
      <c r="AA228" s="27"/>
      <c r="AB228" s="27"/>
      <c r="AC228" s="27"/>
      <c r="AD228" s="27"/>
      <c r="AE228" s="27"/>
      <c r="AF228" s="27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</row>
    <row r="229" spans="2:54" s="28" customFormat="1">
      <c r="B229" s="27"/>
      <c r="D229" s="359"/>
      <c r="E229" s="30"/>
      <c r="G229" s="31"/>
      <c r="H229" s="360"/>
      <c r="I229" s="360"/>
      <c r="J229" s="360"/>
      <c r="X229" s="88"/>
      <c r="Z229" s="134"/>
      <c r="AA229" s="27"/>
      <c r="AB229" s="27"/>
      <c r="AC229" s="27"/>
      <c r="AD229" s="27"/>
      <c r="AE229" s="27"/>
      <c r="AF229" s="27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</row>
    <row r="230" spans="2:54" s="28" customFormat="1">
      <c r="B230" s="27"/>
      <c r="D230" s="359"/>
      <c r="E230" s="30"/>
      <c r="G230" s="31"/>
      <c r="H230" s="360"/>
      <c r="I230" s="360"/>
      <c r="J230" s="360"/>
      <c r="X230" s="88"/>
      <c r="Z230" s="134"/>
      <c r="AA230" s="27"/>
      <c r="AB230" s="27"/>
      <c r="AC230" s="27"/>
      <c r="AD230" s="27"/>
      <c r="AE230" s="27"/>
      <c r="AF230" s="27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</row>
    <row r="231" spans="2:54" s="28" customFormat="1">
      <c r="B231" s="27"/>
      <c r="D231" s="359"/>
      <c r="E231" s="30"/>
      <c r="G231" s="31"/>
      <c r="H231" s="360"/>
      <c r="I231" s="360"/>
      <c r="J231" s="360"/>
      <c r="X231" s="88"/>
      <c r="Z231" s="134"/>
      <c r="AA231" s="27"/>
      <c r="AB231" s="27"/>
      <c r="AC231" s="27"/>
      <c r="AD231" s="27"/>
      <c r="AE231" s="27"/>
      <c r="AF231" s="27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</row>
    <row r="232" spans="2:54" s="28" customFormat="1">
      <c r="B232" s="27"/>
      <c r="D232" s="359"/>
      <c r="E232" s="30"/>
      <c r="G232" s="31"/>
      <c r="H232" s="360"/>
      <c r="I232" s="360"/>
      <c r="J232" s="360"/>
      <c r="X232" s="88"/>
      <c r="Z232" s="134"/>
      <c r="AA232" s="27"/>
      <c r="AB232" s="27"/>
      <c r="AC232" s="27"/>
      <c r="AD232" s="27"/>
      <c r="AE232" s="27"/>
      <c r="AF232" s="27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</row>
    <row r="233" spans="2:54" s="28" customFormat="1">
      <c r="B233" s="27"/>
      <c r="D233" s="359"/>
      <c r="E233" s="30"/>
      <c r="G233" s="31"/>
      <c r="H233" s="360"/>
      <c r="I233" s="360"/>
      <c r="J233" s="360"/>
      <c r="X233" s="88"/>
      <c r="Z233" s="134"/>
      <c r="AA233" s="27"/>
      <c r="AB233" s="27"/>
      <c r="AC233" s="27"/>
      <c r="AD233" s="27"/>
      <c r="AE233" s="27"/>
      <c r="AF233" s="27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</row>
    <row r="234" spans="2:54" s="28" customFormat="1">
      <c r="B234" s="27"/>
      <c r="D234" s="359"/>
      <c r="E234" s="30"/>
      <c r="G234" s="31"/>
      <c r="H234" s="360"/>
      <c r="I234" s="360"/>
      <c r="J234" s="360"/>
      <c r="X234" s="88"/>
      <c r="Z234" s="134"/>
      <c r="AA234" s="27"/>
      <c r="AB234" s="27"/>
      <c r="AC234" s="27"/>
      <c r="AD234" s="27"/>
      <c r="AE234" s="27"/>
      <c r="AF234" s="27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</row>
    <row r="235" spans="2:54" s="28" customFormat="1">
      <c r="B235" s="27"/>
      <c r="D235" s="359"/>
      <c r="E235" s="30"/>
      <c r="G235" s="31"/>
      <c r="H235" s="360"/>
      <c r="I235" s="360"/>
      <c r="J235" s="360"/>
      <c r="X235" s="88"/>
      <c r="Z235" s="134"/>
      <c r="AA235" s="27"/>
      <c r="AB235" s="27"/>
      <c r="AC235" s="27"/>
      <c r="AD235" s="27"/>
      <c r="AE235" s="27"/>
      <c r="AF235" s="27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</row>
    <row r="236" spans="2:54" s="28" customFormat="1">
      <c r="B236" s="27"/>
      <c r="D236" s="359"/>
      <c r="E236" s="30"/>
      <c r="G236" s="31"/>
      <c r="H236" s="360"/>
      <c r="I236" s="360"/>
      <c r="J236" s="360"/>
      <c r="X236" s="88"/>
      <c r="Z236" s="134"/>
      <c r="AA236" s="27"/>
      <c r="AB236" s="27"/>
      <c r="AC236" s="27"/>
      <c r="AD236" s="27"/>
      <c r="AE236" s="27"/>
      <c r="AF236" s="27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</row>
    <row r="237" spans="2:54" s="28" customFormat="1">
      <c r="B237" s="27"/>
      <c r="D237" s="359"/>
      <c r="E237" s="30"/>
      <c r="G237" s="31"/>
      <c r="H237" s="360"/>
      <c r="I237" s="360"/>
      <c r="J237" s="360"/>
      <c r="X237" s="88"/>
      <c r="Z237" s="134"/>
      <c r="AA237" s="27"/>
      <c r="AB237" s="27"/>
      <c r="AC237" s="27"/>
      <c r="AD237" s="27"/>
      <c r="AE237" s="27"/>
      <c r="AF237" s="27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</row>
    <row r="238" spans="2:54" s="28" customFormat="1">
      <c r="B238" s="27"/>
      <c r="D238" s="359"/>
      <c r="E238" s="30"/>
      <c r="G238" s="31"/>
      <c r="H238" s="360"/>
      <c r="I238" s="360"/>
      <c r="J238" s="360"/>
      <c r="X238" s="88"/>
      <c r="Z238" s="134"/>
      <c r="AA238" s="27"/>
      <c r="AB238" s="27"/>
      <c r="AC238" s="27"/>
      <c r="AD238" s="27"/>
      <c r="AE238" s="27"/>
      <c r="AF238" s="27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</row>
    <row r="239" spans="2:54" s="28" customFormat="1">
      <c r="B239" s="27"/>
      <c r="D239" s="359"/>
      <c r="E239" s="30"/>
      <c r="G239" s="31"/>
      <c r="H239" s="360"/>
      <c r="I239" s="360"/>
      <c r="J239" s="360"/>
      <c r="X239" s="88"/>
      <c r="Z239" s="134"/>
      <c r="AA239" s="27"/>
      <c r="AB239" s="27"/>
      <c r="AC239" s="27"/>
      <c r="AD239" s="27"/>
      <c r="AE239" s="27"/>
      <c r="AF239" s="27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</row>
    <row r="240" spans="2:54" s="28" customFormat="1">
      <c r="B240" s="27"/>
      <c r="D240" s="359"/>
      <c r="E240" s="30"/>
      <c r="G240" s="31"/>
      <c r="H240" s="360"/>
      <c r="I240" s="360"/>
      <c r="J240" s="360"/>
      <c r="X240" s="88"/>
      <c r="Z240" s="134"/>
      <c r="AA240" s="27"/>
      <c r="AB240" s="27"/>
      <c r="AC240" s="27"/>
      <c r="AD240" s="27"/>
      <c r="AE240" s="27"/>
      <c r="AF240" s="27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</row>
    <row r="241" spans="2:54" s="28" customFormat="1">
      <c r="B241" s="27"/>
      <c r="D241" s="359"/>
      <c r="E241" s="30"/>
      <c r="G241" s="31"/>
      <c r="H241" s="360"/>
      <c r="I241" s="360"/>
      <c r="J241" s="360"/>
      <c r="X241" s="88"/>
      <c r="Z241" s="134"/>
      <c r="AA241" s="27"/>
      <c r="AB241" s="27"/>
      <c r="AC241" s="27"/>
      <c r="AD241" s="27"/>
      <c r="AE241" s="27"/>
      <c r="AF241" s="27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</row>
    <row r="242" spans="2:54" s="28" customFormat="1">
      <c r="B242" s="27"/>
      <c r="D242" s="359"/>
      <c r="E242" s="30"/>
      <c r="G242" s="31"/>
      <c r="H242" s="360"/>
      <c r="I242" s="360"/>
      <c r="J242" s="360"/>
      <c r="X242" s="88"/>
      <c r="Z242" s="134"/>
      <c r="AA242" s="27"/>
      <c r="AB242" s="27"/>
      <c r="AC242" s="27"/>
      <c r="AD242" s="27"/>
      <c r="AE242" s="27"/>
      <c r="AF242" s="27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</row>
    <row r="243" spans="2:54" s="28" customFormat="1">
      <c r="B243" s="27"/>
      <c r="D243" s="359"/>
      <c r="E243" s="30"/>
      <c r="G243" s="31"/>
      <c r="H243" s="360"/>
      <c r="I243" s="360"/>
      <c r="J243" s="360"/>
      <c r="X243" s="88"/>
      <c r="Z243" s="134"/>
      <c r="AA243" s="27"/>
      <c r="AB243" s="27"/>
      <c r="AC243" s="27"/>
      <c r="AD243" s="27"/>
      <c r="AE243" s="27"/>
      <c r="AF243" s="27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</row>
    <row r="244" spans="2:54" s="28" customFormat="1">
      <c r="B244" s="27"/>
      <c r="D244" s="359"/>
      <c r="E244" s="30"/>
      <c r="G244" s="31"/>
      <c r="H244" s="360"/>
      <c r="I244" s="360"/>
      <c r="J244" s="360"/>
      <c r="X244" s="88"/>
      <c r="Z244" s="134"/>
      <c r="AA244" s="27"/>
      <c r="AB244" s="27"/>
      <c r="AC244" s="27"/>
      <c r="AD244" s="27"/>
      <c r="AE244" s="27"/>
      <c r="AF244" s="27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</row>
    <row r="245" spans="2:54" s="28" customFormat="1">
      <c r="B245" s="27"/>
      <c r="D245" s="359"/>
      <c r="E245" s="30"/>
      <c r="G245" s="31"/>
      <c r="H245" s="360"/>
      <c r="I245" s="360"/>
      <c r="J245" s="360"/>
      <c r="X245" s="88"/>
      <c r="Z245" s="134"/>
      <c r="AA245" s="27"/>
      <c r="AB245" s="27"/>
      <c r="AC245" s="27"/>
      <c r="AD245" s="27"/>
      <c r="AE245" s="27"/>
      <c r="AF245" s="27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</row>
    <row r="246" spans="2:54" s="28" customFormat="1">
      <c r="B246" s="27"/>
      <c r="D246" s="359"/>
      <c r="E246" s="30"/>
      <c r="G246" s="31"/>
      <c r="H246" s="360"/>
      <c r="I246" s="360"/>
      <c r="J246" s="360"/>
      <c r="X246" s="88"/>
      <c r="Z246" s="134"/>
      <c r="AA246" s="27"/>
      <c r="AB246" s="27"/>
      <c r="AC246" s="27"/>
      <c r="AD246" s="27"/>
      <c r="AE246" s="27"/>
      <c r="AF246" s="27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</row>
    <row r="247" spans="2:54" s="28" customFormat="1">
      <c r="B247" s="27"/>
      <c r="D247" s="359"/>
      <c r="E247" s="30"/>
      <c r="G247" s="31"/>
      <c r="H247" s="360"/>
      <c r="I247" s="360"/>
      <c r="J247" s="360"/>
      <c r="X247" s="88"/>
      <c r="Z247" s="134"/>
      <c r="AA247" s="27"/>
      <c r="AB247" s="27"/>
      <c r="AC247" s="27"/>
      <c r="AD247" s="27"/>
      <c r="AE247" s="27"/>
      <c r="AF247" s="27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</row>
    <row r="248" spans="2:54" s="28" customFormat="1">
      <c r="B248" s="27"/>
      <c r="D248" s="359"/>
      <c r="E248" s="30"/>
      <c r="G248" s="31"/>
      <c r="H248" s="360"/>
      <c r="I248" s="360"/>
      <c r="J248" s="360"/>
      <c r="X248" s="88"/>
      <c r="Z248" s="134"/>
      <c r="AA248" s="27"/>
      <c r="AB248" s="27"/>
      <c r="AC248" s="27"/>
      <c r="AD248" s="27"/>
      <c r="AE248" s="27"/>
      <c r="AF248" s="27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</row>
    <row r="249" spans="2:54" s="28" customFormat="1">
      <c r="B249" s="27"/>
      <c r="D249" s="359"/>
      <c r="E249" s="30"/>
      <c r="G249" s="31"/>
      <c r="H249" s="360"/>
      <c r="I249" s="360"/>
      <c r="J249" s="360"/>
      <c r="X249" s="88"/>
      <c r="Z249" s="134"/>
      <c r="AA249" s="27"/>
      <c r="AB249" s="27"/>
      <c r="AC249" s="27"/>
      <c r="AD249" s="27"/>
      <c r="AE249" s="27"/>
      <c r="AF249" s="27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</row>
    <row r="250" spans="2:54" s="28" customFormat="1">
      <c r="B250" s="27"/>
      <c r="D250" s="359"/>
      <c r="E250" s="30"/>
      <c r="G250" s="31"/>
      <c r="H250" s="360"/>
      <c r="I250" s="360"/>
      <c r="J250" s="360"/>
      <c r="X250" s="88"/>
      <c r="Z250" s="134"/>
      <c r="AA250" s="27"/>
      <c r="AB250" s="27"/>
      <c r="AC250" s="27"/>
      <c r="AD250" s="27"/>
      <c r="AE250" s="27"/>
      <c r="AF250" s="27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</row>
    <row r="251" spans="2:54" s="28" customFormat="1">
      <c r="B251" s="27"/>
      <c r="D251" s="359"/>
      <c r="E251" s="30"/>
      <c r="G251" s="31"/>
      <c r="H251" s="360"/>
      <c r="I251" s="360"/>
      <c r="J251" s="360"/>
      <c r="X251" s="88"/>
      <c r="Z251" s="134"/>
      <c r="AA251" s="27"/>
      <c r="AB251" s="27"/>
      <c r="AC251" s="27"/>
      <c r="AD251" s="27"/>
      <c r="AE251" s="27"/>
      <c r="AF251" s="27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</row>
    <row r="252" spans="2:54" s="28" customFormat="1">
      <c r="B252" s="27"/>
      <c r="D252" s="359"/>
      <c r="E252" s="30"/>
      <c r="G252" s="31"/>
      <c r="H252" s="360"/>
      <c r="I252" s="360"/>
      <c r="J252" s="360"/>
      <c r="X252" s="88"/>
      <c r="Z252" s="134"/>
      <c r="AA252" s="27"/>
      <c r="AB252" s="27"/>
      <c r="AC252" s="27"/>
      <c r="AD252" s="27"/>
      <c r="AE252" s="27"/>
      <c r="AF252" s="27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</row>
    <row r="253" spans="2:54" s="28" customFormat="1">
      <c r="B253" s="27"/>
      <c r="D253" s="359"/>
      <c r="E253" s="30"/>
      <c r="G253" s="31"/>
      <c r="H253" s="360"/>
      <c r="I253" s="360"/>
      <c r="J253" s="360"/>
      <c r="X253" s="88"/>
      <c r="Z253" s="134"/>
      <c r="AA253" s="27"/>
      <c r="AB253" s="27"/>
      <c r="AC253" s="27"/>
      <c r="AD253" s="27"/>
      <c r="AE253" s="27"/>
      <c r="AF253" s="27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</row>
    <row r="254" spans="2:54" s="28" customFormat="1">
      <c r="B254" s="27"/>
      <c r="D254" s="359"/>
      <c r="E254" s="30"/>
      <c r="G254" s="31"/>
      <c r="H254" s="360"/>
      <c r="I254" s="360"/>
      <c r="J254" s="360"/>
      <c r="X254" s="88"/>
      <c r="Z254" s="134"/>
      <c r="AA254" s="27"/>
      <c r="AB254" s="27"/>
      <c r="AC254" s="27"/>
      <c r="AD254" s="27"/>
      <c r="AE254" s="27"/>
      <c r="AF254" s="27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</row>
    <row r="255" spans="2:54" s="28" customFormat="1">
      <c r="B255" s="27"/>
      <c r="D255" s="359"/>
      <c r="E255" s="30"/>
      <c r="G255" s="31"/>
      <c r="H255" s="360"/>
      <c r="I255" s="360"/>
      <c r="J255" s="360"/>
      <c r="X255" s="88"/>
      <c r="Z255" s="134"/>
      <c r="AA255" s="27"/>
      <c r="AB255" s="27"/>
      <c r="AC255" s="27"/>
      <c r="AD255" s="27"/>
      <c r="AE255" s="27"/>
      <c r="AF255" s="27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</row>
    <row r="256" spans="2:54" s="28" customFormat="1">
      <c r="B256" s="27"/>
      <c r="D256" s="359"/>
      <c r="E256" s="30"/>
      <c r="G256" s="31"/>
      <c r="H256" s="360"/>
      <c r="I256" s="360"/>
      <c r="J256" s="360"/>
      <c r="X256" s="88"/>
      <c r="Z256" s="134"/>
      <c r="AA256" s="27"/>
      <c r="AB256" s="27"/>
      <c r="AC256" s="27"/>
      <c r="AD256" s="27"/>
      <c r="AE256" s="27"/>
      <c r="AF256" s="27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</row>
    <row r="257" spans="2:54" s="28" customFormat="1">
      <c r="B257" s="27"/>
      <c r="D257" s="359"/>
      <c r="E257" s="30"/>
      <c r="G257" s="31"/>
      <c r="H257" s="360"/>
      <c r="I257" s="360"/>
      <c r="J257" s="360"/>
      <c r="X257" s="88"/>
      <c r="Z257" s="134"/>
      <c r="AA257" s="27"/>
      <c r="AB257" s="27"/>
      <c r="AC257" s="27"/>
      <c r="AD257" s="27"/>
      <c r="AE257" s="27"/>
      <c r="AF257" s="27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</row>
    <row r="258" spans="2:54" s="28" customFormat="1">
      <c r="B258" s="27"/>
      <c r="D258" s="359"/>
      <c r="E258" s="30"/>
      <c r="G258" s="31"/>
      <c r="H258" s="360"/>
      <c r="I258" s="360"/>
      <c r="J258" s="360"/>
      <c r="X258" s="88"/>
      <c r="Z258" s="134"/>
      <c r="AA258" s="27"/>
      <c r="AB258" s="27"/>
      <c r="AC258" s="27"/>
      <c r="AD258" s="27"/>
      <c r="AE258" s="27"/>
      <c r="AF258" s="27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</row>
    <row r="259" spans="2:54" s="28" customFormat="1">
      <c r="B259" s="27"/>
      <c r="D259" s="359"/>
      <c r="E259" s="30"/>
      <c r="G259" s="31"/>
      <c r="H259" s="360"/>
      <c r="I259" s="360"/>
      <c r="J259" s="360"/>
      <c r="X259" s="88"/>
      <c r="Z259" s="134"/>
      <c r="AA259" s="27"/>
      <c r="AB259" s="27"/>
      <c r="AC259" s="27"/>
      <c r="AD259" s="27"/>
      <c r="AE259" s="27"/>
      <c r="AF259" s="27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</row>
    <row r="260" spans="2:54" s="28" customFormat="1">
      <c r="B260" s="27"/>
      <c r="D260" s="359"/>
      <c r="E260" s="30"/>
      <c r="G260" s="31"/>
      <c r="H260" s="360"/>
      <c r="I260" s="360"/>
      <c r="J260" s="360"/>
      <c r="X260" s="88"/>
      <c r="Z260" s="134"/>
      <c r="AA260" s="27"/>
      <c r="AB260" s="27"/>
      <c r="AC260" s="27"/>
      <c r="AD260" s="27"/>
      <c r="AE260" s="27"/>
      <c r="AF260" s="27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</row>
    <row r="261" spans="2:54" s="28" customFormat="1">
      <c r="B261" s="27"/>
      <c r="D261" s="359"/>
      <c r="E261" s="30"/>
      <c r="G261" s="31"/>
      <c r="H261" s="360"/>
      <c r="I261" s="360"/>
      <c r="J261" s="360"/>
      <c r="X261" s="88"/>
      <c r="Z261" s="134"/>
      <c r="AA261" s="27"/>
      <c r="AB261" s="27"/>
      <c r="AC261" s="27"/>
      <c r="AD261" s="27"/>
      <c r="AE261" s="27"/>
      <c r="AF261" s="27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</row>
    <row r="262" spans="2:54" s="28" customFormat="1">
      <c r="B262" s="27"/>
      <c r="D262" s="359"/>
      <c r="E262" s="30"/>
      <c r="G262" s="31"/>
      <c r="H262" s="360"/>
      <c r="I262" s="360"/>
      <c r="J262" s="360"/>
      <c r="X262" s="88"/>
      <c r="Z262" s="134"/>
      <c r="AA262" s="27"/>
      <c r="AB262" s="27"/>
      <c r="AC262" s="27"/>
      <c r="AD262" s="27"/>
      <c r="AE262" s="27"/>
      <c r="AF262" s="27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</row>
    <row r="263" spans="2:54" s="28" customFormat="1">
      <c r="B263" s="27"/>
      <c r="D263" s="359"/>
      <c r="E263" s="30"/>
      <c r="G263" s="31"/>
      <c r="H263" s="360"/>
      <c r="I263" s="360"/>
      <c r="J263" s="360"/>
      <c r="X263" s="88"/>
      <c r="Z263" s="134"/>
      <c r="AA263" s="27"/>
      <c r="AB263" s="27"/>
      <c r="AC263" s="27"/>
      <c r="AD263" s="27"/>
      <c r="AE263" s="27"/>
      <c r="AF263" s="27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</row>
    <row r="264" spans="2:54" s="28" customFormat="1">
      <c r="B264" s="27"/>
      <c r="D264" s="359"/>
      <c r="E264" s="30"/>
      <c r="G264" s="31"/>
      <c r="H264" s="360"/>
      <c r="I264" s="360"/>
      <c r="J264" s="360"/>
      <c r="X264" s="88"/>
      <c r="Z264" s="134"/>
      <c r="AA264" s="27"/>
      <c r="AB264" s="27"/>
      <c r="AC264" s="27"/>
      <c r="AD264" s="27"/>
      <c r="AE264" s="27"/>
      <c r="AF264" s="27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</row>
    <row r="265" spans="2:54" s="28" customFormat="1">
      <c r="B265" s="27"/>
      <c r="D265" s="359"/>
      <c r="E265" s="30"/>
      <c r="G265" s="31"/>
      <c r="H265" s="360"/>
      <c r="I265" s="360"/>
      <c r="J265" s="360"/>
      <c r="X265" s="88"/>
      <c r="Z265" s="134"/>
      <c r="AA265" s="27"/>
      <c r="AB265" s="27"/>
      <c r="AC265" s="27"/>
      <c r="AD265" s="27"/>
      <c r="AE265" s="27"/>
      <c r="AF265" s="27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</row>
    <row r="266" spans="2:54" s="28" customFormat="1">
      <c r="B266" s="27"/>
      <c r="D266" s="359"/>
      <c r="E266" s="30"/>
      <c r="G266" s="31"/>
      <c r="H266" s="360"/>
      <c r="I266" s="360"/>
      <c r="J266" s="360"/>
      <c r="X266" s="88"/>
      <c r="Z266" s="134"/>
      <c r="AA266" s="27"/>
      <c r="AB266" s="27"/>
      <c r="AC266" s="27"/>
      <c r="AD266" s="27"/>
      <c r="AE266" s="27"/>
      <c r="AF266" s="27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</row>
    <row r="267" spans="2:54" s="28" customFormat="1">
      <c r="B267" s="27"/>
      <c r="D267" s="359"/>
      <c r="E267" s="30"/>
      <c r="G267" s="31"/>
      <c r="H267" s="360"/>
      <c r="I267" s="360"/>
      <c r="J267" s="360"/>
      <c r="X267" s="88"/>
      <c r="Z267" s="134"/>
      <c r="AA267" s="27"/>
      <c r="AB267" s="27"/>
      <c r="AC267" s="27"/>
      <c r="AD267" s="27"/>
      <c r="AE267" s="27"/>
      <c r="AF267" s="27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</row>
    <row r="268" spans="2:54" s="28" customFormat="1">
      <c r="B268" s="27"/>
      <c r="D268" s="359"/>
      <c r="E268" s="30"/>
      <c r="G268" s="31"/>
      <c r="H268" s="360"/>
      <c r="I268" s="360"/>
      <c r="J268" s="360"/>
      <c r="X268" s="88"/>
      <c r="Z268" s="134"/>
      <c r="AA268" s="27"/>
      <c r="AB268" s="27"/>
      <c r="AC268" s="27"/>
      <c r="AD268" s="27"/>
      <c r="AE268" s="27"/>
      <c r="AF268" s="27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</row>
    <row r="269" spans="2:54" s="28" customFormat="1">
      <c r="B269" s="27"/>
      <c r="D269" s="359"/>
      <c r="E269" s="30"/>
      <c r="G269" s="31"/>
      <c r="H269" s="360"/>
      <c r="I269" s="360"/>
      <c r="J269" s="360"/>
      <c r="X269" s="88"/>
      <c r="Z269" s="134"/>
      <c r="AA269" s="27"/>
      <c r="AB269" s="27"/>
      <c r="AC269" s="27"/>
      <c r="AD269" s="27"/>
      <c r="AE269" s="27"/>
      <c r="AF269" s="27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</row>
    <row r="270" spans="2:54" s="28" customFormat="1">
      <c r="B270" s="27"/>
      <c r="D270" s="359"/>
      <c r="E270" s="30"/>
      <c r="G270" s="31"/>
      <c r="H270" s="360"/>
      <c r="I270" s="360"/>
      <c r="J270" s="360"/>
      <c r="X270" s="88"/>
      <c r="Z270" s="134"/>
      <c r="AA270" s="27"/>
      <c r="AB270" s="27"/>
      <c r="AC270" s="27"/>
      <c r="AD270" s="27"/>
      <c r="AE270" s="27"/>
      <c r="AF270" s="27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</row>
    <row r="271" spans="2:54" s="28" customFormat="1">
      <c r="B271" s="27"/>
      <c r="D271" s="359"/>
      <c r="E271" s="30"/>
      <c r="G271" s="31"/>
      <c r="H271" s="360"/>
      <c r="I271" s="360"/>
      <c r="J271" s="360"/>
      <c r="X271" s="88"/>
      <c r="Z271" s="134"/>
      <c r="AA271" s="27"/>
      <c r="AB271" s="27"/>
      <c r="AC271" s="27"/>
      <c r="AD271" s="27"/>
      <c r="AE271" s="27"/>
      <c r="AF271" s="27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</row>
    <row r="272" spans="2:54" s="28" customFormat="1">
      <c r="B272" s="27"/>
      <c r="D272" s="359"/>
      <c r="E272" s="30"/>
      <c r="G272" s="31"/>
      <c r="H272" s="360"/>
      <c r="I272" s="360"/>
      <c r="J272" s="360"/>
      <c r="X272" s="88"/>
      <c r="Z272" s="134"/>
      <c r="AA272" s="27"/>
      <c r="AB272" s="27"/>
      <c r="AC272" s="27"/>
      <c r="AD272" s="27"/>
      <c r="AE272" s="27"/>
      <c r="AF272" s="27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</row>
    <row r="273" spans="2:54" s="28" customFormat="1">
      <c r="B273" s="27"/>
      <c r="D273" s="359"/>
      <c r="E273" s="30"/>
      <c r="G273" s="31"/>
      <c r="H273" s="360"/>
      <c r="I273" s="360"/>
      <c r="J273" s="360"/>
      <c r="X273" s="88"/>
      <c r="Z273" s="134"/>
      <c r="AA273" s="27"/>
      <c r="AB273" s="27"/>
      <c r="AC273" s="27"/>
      <c r="AD273" s="27"/>
      <c r="AE273" s="27"/>
      <c r="AF273" s="27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</row>
    <row r="274" spans="2:54" s="28" customFormat="1">
      <c r="B274" s="27"/>
      <c r="D274" s="359"/>
      <c r="E274" s="30"/>
      <c r="G274" s="31"/>
      <c r="H274" s="360"/>
      <c r="I274" s="360"/>
      <c r="J274" s="360"/>
      <c r="X274" s="88"/>
      <c r="Z274" s="134"/>
      <c r="AA274" s="27"/>
      <c r="AB274" s="27"/>
      <c r="AC274" s="27"/>
      <c r="AD274" s="27"/>
      <c r="AE274" s="27"/>
      <c r="AF274" s="27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</row>
    <row r="275" spans="2:54" s="28" customFormat="1">
      <c r="B275" s="27"/>
      <c r="D275" s="359"/>
      <c r="E275" s="30"/>
      <c r="G275" s="31"/>
      <c r="H275" s="360"/>
      <c r="I275" s="360"/>
      <c r="J275" s="360"/>
      <c r="X275" s="88"/>
      <c r="Z275" s="134"/>
      <c r="AA275" s="27"/>
      <c r="AB275" s="27"/>
      <c r="AC275" s="27"/>
      <c r="AD275" s="27"/>
      <c r="AE275" s="27"/>
      <c r="AF275" s="27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</row>
    <row r="276" spans="2:54" s="28" customFormat="1">
      <c r="B276" s="27"/>
      <c r="D276" s="359"/>
      <c r="E276" s="30"/>
      <c r="G276" s="31"/>
      <c r="H276" s="360"/>
      <c r="I276" s="360"/>
      <c r="J276" s="360"/>
      <c r="X276" s="88"/>
      <c r="Z276" s="134"/>
      <c r="AA276" s="27"/>
      <c r="AB276" s="27"/>
      <c r="AC276" s="27"/>
      <c r="AD276" s="27"/>
      <c r="AE276" s="27"/>
      <c r="AF276" s="27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</row>
    <row r="277" spans="2:54" s="28" customFormat="1">
      <c r="B277" s="27"/>
      <c r="D277" s="359"/>
      <c r="E277" s="30"/>
      <c r="G277" s="31"/>
      <c r="H277" s="360"/>
      <c r="I277" s="360"/>
      <c r="J277" s="360"/>
      <c r="X277" s="88"/>
      <c r="Z277" s="134"/>
      <c r="AA277" s="27"/>
      <c r="AB277" s="27"/>
      <c r="AC277" s="27"/>
      <c r="AD277" s="27"/>
      <c r="AE277" s="27"/>
      <c r="AF277" s="27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</row>
    <row r="278" spans="2:54" s="28" customFormat="1">
      <c r="B278" s="27"/>
      <c r="D278" s="359"/>
      <c r="E278" s="30"/>
      <c r="G278" s="31"/>
      <c r="H278" s="360"/>
      <c r="I278" s="360"/>
      <c r="J278" s="360"/>
      <c r="X278" s="88"/>
      <c r="Z278" s="134"/>
      <c r="AA278" s="27"/>
      <c r="AB278" s="27"/>
      <c r="AC278" s="27"/>
      <c r="AD278" s="27"/>
      <c r="AE278" s="27"/>
      <c r="AF278" s="27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</row>
    <row r="279" spans="2:54" s="28" customFormat="1">
      <c r="B279" s="27"/>
      <c r="D279" s="359"/>
      <c r="E279" s="30"/>
      <c r="G279" s="31"/>
      <c r="H279" s="360"/>
      <c r="I279" s="360"/>
      <c r="J279" s="360"/>
      <c r="X279" s="88"/>
      <c r="Z279" s="134"/>
      <c r="AA279" s="27"/>
      <c r="AB279" s="27"/>
      <c r="AC279" s="27"/>
      <c r="AD279" s="27"/>
      <c r="AE279" s="27"/>
      <c r="AF279" s="27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</row>
    <row r="280" spans="2:54" s="28" customFormat="1">
      <c r="B280" s="27"/>
      <c r="D280" s="359"/>
      <c r="E280" s="30"/>
      <c r="G280" s="31"/>
      <c r="H280" s="360"/>
      <c r="I280" s="360"/>
      <c r="J280" s="360"/>
      <c r="X280" s="88"/>
      <c r="Z280" s="134"/>
      <c r="AA280" s="27"/>
      <c r="AB280" s="27"/>
      <c r="AC280" s="27"/>
      <c r="AD280" s="27"/>
      <c r="AE280" s="27"/>
      <c r="AF280" s="27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</row>
    <row r="281" spans="2:54" s="28" customFormat="1">
      <c r="B281" s="27"/>
      <c r="D281" s="359"/>
      <c r="E281" s="30"/>
      <c r="G281" s="31"/>
      <c r="H281" s="360"/>
      <c r="I281" s="360"/>
      <c r="J281" s="360"/>
      <c r="X281" s="88"/>
      <c r="Z281" s="134"/>
      <c r="AA281" s="27"/>
      <c r="AB281" s="27"/>
      <c r="AC281" s="27"/>
      <c r="AD281" s="27"/>
      <c r="AE281" s="27"/>
      <c r="AF281" s="27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</row>
    <row r="282" spans="2:54" s="28" customFormat="1">
      <c r="B282" s="27"/>
      <c r="D282" s="359"/>
      <c r="E282" s="30"/>
      <c r="G282" s="31"/>
      <c r="H282" s="360"/>
      <c r="I282" s="360"/>
      <c r="J282" s="360"/>
      <c r="X282" s="88"/>
      <c r="Z282" s="134"/>
      <c r="AA282" s="27"/>
      <c r="AB282" s="27"/>
      <c r="AC282" s="27"/>
      <c r="AD282" s="27"/>
      <c r="AE282" s="27"/>
      <c r="AF282" s="27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</row>
    <row r="283" spans="2:54" s="28" customFormat="1">
      <c r="B283" s="27"/>
      <c r="D283" s="359"/>
      <c r="E283" s="30"/>
      <c r="G283" s="31"/>
      <c r="H283" s="360"/>
      <c r="I283" s="360"/>
      <c r="J283" s="360"/>
      <c r="X283" s="88"/>
      <c r="Z283" s="134"/>
      <c r="AA283" s="27"/>
      <c r="AB283" s="27"/>
      <c r="AC283" s="27"/>
      <c r="AD283" s="27"/>
      <c r="AE283" s="27"/>
      <c r="AF283" s="27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</row>
    <row r="284" spans="2:54" s="28" customFormat="1">
      <c r="B284" s="27"/>
      <c r="D284" s="359"/>
      <c r="E284" s="30"/>
      <c r="G284" s="31"/>
      <c r="H284" s="360"/>
      <c r="I284" s="360"/>
      <c r="J284" s="360"/>
      <c r="X284" s="88"/>
      <c r="Z284" s="134"/>
      <c r="AA284" s="27"/>
      <c r="AB284" s="27"/>
      <c r="AC284" s="27"/>
      <c r="AD284" s="27"/>
      <c r="AE284" s="27"/>
      <c r="AF284" s="27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</row>
    <row r="285" spans="2:54" s="28" customFormat="1">
      <c r="B285" s="27"/>
      <c r="D285" s="359"/>
      <c r="E285" s="30"/>
      <c r="G285" s="31"/>
      <c r="H285" s="360"/>
      <c r="I285" s="360"/>
      <c r="J285" s="360"/>
      <c r="X285" s="88"/>
      <c r="Z285" s="134"/>
      <c r="AA285" s="27"/>
      <c r="AB285" s="27"/>
      <c r="AC285" s="27"/>
      <c r="AD285" s="27"/>
      <c r="AE285" s="27"/>
      <c r="AF285" s="27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</row>
    <row r="286" spans="2:54" s="28" customFormat="1">
      <c r="B286" s="27"/>
      <c r="D286" s="359"/>
      <c r="E286" s="30"/>
      <c r="G286" s="31"/>
      <c r="H286" s="360"/>
      <c r="I286" s="360"/>
      <c r="J286" s="360"/>
      <c r="X286" s="88"/>
      <c r="Z286" s="134"/>
      <c r="AA286" s="27"/>
      <c r="AB286" s="27"/>
      <c r="AC286" s="27"/>
      <c r="AD286" s="27"/>
      <c r="AE286" s="27"/>
      <c r="AF286" s="27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</row>
    <row r="287" spans="2:54" s="28" customFormat="1">
      <c r="B287" s="27"/>
      <c r="D287" s="359"/>
      <c r="E287" s="30"/>
      <c r="G287" s="31"/>
      <c r="H287" s="360"/>
      <c r="I287" s="360"/>
      <c r="J287" s="360"/>
      <c r="X287" s="88"/>
      <c r="Z287" s="134"/>
      <c r="AA287" s="27"/>
      <c r="AB287" s="27"/>
      <c r="AC287" s="27"/>
      <c r="AD287" s="27"/>
      <c r="AE287" s="27"/>
      <c r="AF287" s="27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</row>
    <row r="288" spans="2:54" s="28" customFormat="1">
      <c r="B288" s="27"/>
      <c r="D288" s="359"/>
      <c r="E288" s="30"/>
      <c r="G288" s="31"/>
      <c r="H288" s="360"/>
      <c r="I288" s="360"/>
      <c r="J288" s="360"/>
      <c r="X288" s="88"/>
      <c r="Z288" s="134"/>
      <c r="AA288" s="27"/>
      <c r="AB288" s="27"/>
      <c r="AC288" s="27"/>
      <c r="AD288" s="27"/>
      <c r="AE288" s="27"/>
      <c r="AF288" s="27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</row>
    <row r="289" spans="2:54" s="28" customFormat="1">
      <c r="B289" s="27"/>
      <c r="D289" s="359"/>
      <c r="E289" s="30"/>
      <c r="G289" s="31"/>
      <c r="H289" s="360"/>
      <c r="I289" s="360"/>
      <c r="J289" s="360"/>
      <c r="X289" s="88"/>
      <c r="Z289" s="134"/>
      <c r="AA289" s="27"/>
      <c r="AB289" s="27"/>
      <c r="AC289" s="27"/>
      <c r="AD289" s="27"/>
      <c r="AE289" s="27"/>
      <c r="AF289" s="27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</row>
    <row r="290" spans="2:54" s="28" customFormat="1">
      <c r="B290" s="27"/>
      <c r="D290" s="359"/>
      <c r="E290" s="30"/>
      <c r="G290" s="31"/>
      <c r="H290" s="360"/>
      <c r="I290" s="360"/>
      <c r="J290" s="360"/>
      <c r="X290" s="88"/>
      <c r="Z290" s="134"/>
      <c r="AA290" s="27"/>
      <c r="AB290" s="27"/>
      <c r="AC290" s="27"/>
      <c r="AD290" s="27"/>
      <c r="AE290" s="27"/>
      <c r="AF290" s="27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</row>
    <row r="291" spans="2:54" s="28" customFormat="1">
      <c r="B291" s="27"/>
      <c r="D291" s="359"/>
      <c r="E291" s="30"/>
      <c r="G291" s="31"/>
      <c r="H291" s="360"/>
      <c r="I291" s="360"/>
      <c r="J291" s="360"/>
      <c r="X291" s="88"/>
      <c r="Z291" s="134"/>
      <c r="AA291" s="27"/>
      <c r="AB291" s="27"/>
      <c r="AC291" s="27"/>
      <c r="AD291" s="27"/>
      <c r="AE291" s="27"/>
      <c r="AF291" s="27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</row>
    <row r="292" spans="2:54" s="28" customFormat="1">
      <c r="B292" s="27"/>
      <c r="D292" s="359"/>
      <c r="E292" s="30"/>
      <c r="G292" s="31"/>
      <c r="H292" s="360"/>
      <c r="I292" s="360"/>
      <c r="J292" s="360"/>
      <c r="X292" s="88"/>
      <c r="Z292" s="134"/>
      <c r="AA292" s="27"/>
      <c r="AB292" s="27"/>
      <c r="AC292" s="27"/>
      <c r="AD292" s="27"/>
      <c r="AE292" s="27"/>
      <c r="AF292" s="27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</row>
    <row r="293" spans="2:54" s="28" customFormat="1">
      <c r="B293" s="27"/>
      <c r="D293" s="359"/>
      <c r="E293" s="30"/>
      <c r="G293" s="31"/>
      <c r="H293" s="360"/>
      <c r="I293" s="360"/>
      <c r="J293" s="360"/>
      <c r="X293" s="88"/>
      <c r="Z293" s="134"/>
      <c r="AA293" s="27"/>
      <c r="AB293" s="27"/>
      <c r="AC293" s="27"/>
      <c r="AD293" s="27"/>
      <c r="AE293" s="27"/>
      <c r="AF293" s="27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</row>
    <row r="294" spans="2:54" s="28" customFormat="1">
      <c r="B294" s="27"/>
      <c r="D294" s="359"/>
      <c r="E294" s="30"/>
      <c r="G294" s="31"/>
      <c r="H294" s="360"/>
      <c r="I294" s="360"/>
      <c r="J294" s="360"/>
      <c r="X294" s="88"/>
      <c r="Z294" s="134"/>
      <c r="AA294" s="27"/>
      <c r="AB294" s="27"/>
      <c r="AC294" s="27"/>
      <c r="AD294" s="27"/>
      <c r="AE294" s="27"/>
      <c r="AF294" s="27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</row>
    <row r="295" spans="2:54" s="28" customFormat="1">
      <c r="B295" s="27"/>
      <c r="D295" s="359"/>
      <c r="E295" s="30"/>
      <c r="G295" s="31"/>
      <c r="H295" s="360"/>
      <c r="I295" s="360"/>
      <c r="J295" s="360"/>
      <c r="X295" s="88"/>
      <c r="Z295" s="134"/>
      <c r="AA295" s="27"/>
      <c r="AB295" s="27"/>
      <c r="AC295" s="27"/>
      <c r="AD295" s="27"/>
      <c r="AE295" s="27"/>
      <c r="AF295" s="27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</row>
    <row r="296" spans="2:54" s="28" customFormat="1">
      <c r="B296" s="27"/>
      <c r="D296" s="359"/>
      <c r="E296" s="30"/>
      <c r="G296" s="31"/>
      <c r="H296" s="360"/>
      <c r="I296" s="360"/>
      <c r="J296" s="360"/>
      <c r="X296" s="88"/>
      <c r="Z296" s="134"/>
      <c r="AA296" s="27"/>
      <c r="AB296" s="27"/>
      <c r="AC296" s="27"/>
      <c r="AD296" s="27"/>
      <c r="AE296" s="27"/>
      <c r="AF296" s="27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</row>
    <row r="297" spans="2:54" s="28" customFormat="1">
      <c r="B297" s="27"/>
      <c r="D297" s="359"/>
      <c r="E297" s="30"/>
      <c r="G297" s="31"/>
      <c r="H297" s="360"/>
      <c r="I297" s="360"/>
      <c r="J297" s="360"/>
      <c r="X297" s="88"/>
      <c r="Z297" s="134"/>
      <c r="AA297" s="27"/>
      <c r="AB297" s="27"/>
      <c r="AC297" s="27"/>
      <c r="AD297" s="27"/>
      <c r="AE297" s="27"/>
      <c r="AF297" s="27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</row>
    <row r="298" spans="2:54" s="28" customFormat="1">
      <c r="B298" s="27"/>
      <c r="D298" s="359"/>
      <c r="E298" s="30"/>
      <c r="G298" s="31"/>
      <c r="H298" s="360"/>
      <c r="I298" s="360"/>
      <c r="J298" s="360"/>
      <c r="X298" s="88"/>
      <c r="Z298" s="134"/>
      <c r="AA298" s="27"/>
      <c r="AB298" s="27"/>
      <c r="AC298" s="27"/>
      <c r="AD298" s="27"/>
      <c r="AE298" s="27"/>
      <c r="AF298" s="27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</row>
    <row r="299" spans="2:54" s="28" customFormat="1">
      <c r="B299" s="27"/>
      <c r="D299" s="359"/>
      <c r="E299" s="30"/>
      <c r="G299" s="31"/>
      <c r="H299" s="360"/>
      <c r="I299" s="360"/>
      <c r="J299" s="360"/>
      <c r="X299" s="88"/>
      <c r="Z299" s="134"/>
      <c r="AA299" s="27"/>
      <c r="AB299" s="27"/>
      <c r="AC299" s="27"/>
      <c r="AD299" s="27"/>
      <c r="AE299" s="27"/>
      <c r="AF299" s="27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</row>
    <row r="300" spans="2:54" s="28" customFormat="1">
      <c r="B300" s="27"/>
      <c r="D300" s="359"/>
      <c r="E300" s="30"/>
      <c r="G300" s="31"/>
      <c r="H300" s="360"/>
      <c r="I300" s="360"/>
      <c r="J300" s="360"/>
      <c r="X300" s="88"/>
      <c r="Z300" s="134"/>
      <c r="AA300" s="27"/>
      <c r="AB300" s="27"/>
      <c r="AC300" s="27"/>
      <c r="AD300" s="27"/>
      <c r="AE300" s="27"/>
      <c r="AF300" s="27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</row>
    <row r="301" spans="2:54" s="28" customFormat="1">
      <c r="B301" s="27"/>
      <c r="D301" s="359"/>
      <c r="E301" s="30"/>
      <c r="G301" s="31"/>
      <c r="H301" s="360"/>
      <c r="I301" s="360"/>
      <c r="J301" s="360"/>
      <c r="X301" s="88"/>
      <c r="Z301" s="134"/>
      <c r="AA301" s="27"/>
      <c r="AB301" s="27"/>
      <c r="AC301" s="27"/>
      <c r="AD301" s="27"/>
      <c r="AE301" s="27"/>
      <c r="AF301" s="27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</row>
    <row r="302" spans="2:54" s="28" customFormat="1">
      <c r="B302" s="27"/>
      <c r="D302" s="359"/>
      <c r="E302" s="30"/>
      <c r="G302" s="31"/>
      <c r="H302" s="360"/>
      <c r="I302" s="360"/>
      <c r="J302" s="360"/>
      <c r="X302" s="88"/>
      <c r="Z302" s="134"/>
      <c r="AA302" s="27"/>
      <c r="AB302" s="27"/>
      <c r="AC302" s="27"/>
      <c r="AD302" s="27"/>
      <c r="AE302" s="27"/>
      <c r="AF302" s="27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</row>
    <row r="303" spans="2:54" s="28" customFormat="1">
      <c r="B303" s="27"/>
      <c r="D303" s="359"/>
      <c r="E303" s="30"/>
      <c r="G303" s="31"/>
      <c r="H303" s="360"/>
      <c r="I303" s="360"/>
      <c r="J303" s="360"/>
      <c r="X303" s="88"/>
      <c r="Z303" s="134"/>
      <c r="AA303" s="27"/>
      <c r="AB303" s="27"/>
      <c r="AC303" s="27"/>
      <c r="AD303" s="27"/>
      <c r="AE303" s="27"/>
      <c r="AF303" s="27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</row>
    <row r="304" spans="2:54" s="28" customFormat="1">
      <c r="B304" s="27"/>
      <c r="D304" s="359"/>
      <c r="E304" s="30"/>
      <c r="G304" s="31"/>
      <c r="H304" s="360"/>
      <c r="I304" s="360"/>
      <c r="J304" s="360"/>
      <c r="X304" s="88"/>
      <c r="Z304" s="134"/>
      <c r="AA304" s="27"/>
      <c r="AB304" s="27"/>
      <c r="AC304" s="27"/>
      <c r="AD304" s="27"/>
      <c r="AE304" s="27"/>
      <c r="AF304" s="27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</row>
    <row r="305" spans="2:54" s="28" customFormat="1">
      <c r="B305" s="27"/>
      <c r="D305" s="359"/>
      <c r="E305" s="30"/>
      <c r="G305" s="31"/>
      <c r="H305" s="360"/>
      <c r="I305" s="360"/>
      <c r="J305" s="360"/>
      <c r="X305" s="88"/>
      <c r="Z305" s="134"/>
      <c r="AA305" s="27"/>
      <c r="AB305" s="27"/>
      <c r="AC305" s="27"/>
      <c r="AD305" s="27"/>
      <c r="AE305" s="27"/>
      <c r="AF305" s="27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</row>
    <row r="306" spans="2:54" s="28" customFormat="1">
      <c r="B306" s="27"/>
      <c r="D306" s="359"/>
      <c r="E306" s="30"/>
      <c r="G306" s="31"/>
      <c r="H306" s="360"/>
      <c r="I306" s="360"/>
      <c r="J306" s="360"/>
      <c r="X306" s="88"/>
      <c r="Z306" s="134"/>
      <c r="AA306" s="27"/>
      <c r="AB306" s="27"/>
      <c r="AC306" s="27"/>
      <c r="AD306" s="27"/>
      <c r="AE306" s="27"/>
      <c r="AF306" s="27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</row>
    <row r="307" spans="2:54" s="28" customFormat="1">
      <c r="B307" s="27"/>
      <c r="D307" s="359"/>
      <c r="E307" s="30"/>
      <c r="G307" s="31"/>
      <c r="H307" s="360"/>
      <c r="I307" s="360"/>
      <c r="J307" s="360"/>
      <c r="X307" s="88"/>
      <c r="Z307" s="134"/>
      <c r="AA307" s="27"/>
      <c r="AB307" s="27"/>
      <c r="AC307" s="27"/>
      <c r="AD307" s="27"/>
      <c r="AE307" s="27"/>
      <c r="AF307" s="27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</row>
    <row r="308" spans="2:54" s="28" customFormat="1">
      <c r="B308" s="27"/>
      <c r="D308" s="359"/>
      <c r="E308" s="30"/>
      <c r="G308" s="31"/>
      <c r="H308" s="360"/>
      <c r="I308" s="360"/>
      <c r="J308" s="360"/>
      <c r="X308" s="88"/>
      <c r="Z308" s="134"/>
      <c r="AA308" s="27"/>
      <c r="AB308" s="27"/>
      <c r="AC308" s="27"/>
      <c r="AD308" s="27"/>
      <c r="AE308" s="27"/>
      <c r="AF308" s="27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</row>
    <row r="309" spans="2:54" s="28" customFormat="1">
      <c r="B309" s="27"/>
      <c r="D309" s="359"/>
      <c r="E309" s="30"/>
      <c r="G309" s="31"/>
      <c r="H309" s="360"/>
      <c r="I309" s="360"/>
      <c r="J309" s="360"/>
      <c r="X309" s="88"/>
      <c r="Z309" s="134"/>
      <c r="AA309" s="27"/>
      <c r="AB309" s="27"/>
      <c r="AC309" s="27"/>
      <c r="AD309" s="27"/>
      <c r="AE309" s="27"/>
      <c r="AF309" s="27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</row>
    <row r="310" spans="2:54" s="28" customFormat="1">
      <c r="B310" s="27"/>
      <c r="D310" s="359"/>
      <c r="E310" s="30"/>
      <c r="G310" s="31"/>
      <c r="H310" s="360"/>
      <c r="I310" s="360"/>
      <c r="J310" s="360"/>
      <c r="X310" s="88"/>
      <c r="Z310" s="134"/>
      <c r="AA310" s="27"/>
      <c r="AB310" s="27"/>
      <c r="AC310" s="27"/>
      <c r="AD310" s="27"/>
      <c r="AE310" s="27"/>
      <c r="AF310" s="27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</row>
    <row r="311" spans="2:54" s="28" customFormat="1">
      <c r="B311" s="27"/>
      <c r="D311" s="359"/>
      <c r="E311" s="30"/>
      <c r="G311" s="31"/>
      <c r="H311" s="360"/>
      <c r="I311" s="360"/>
      <c r="J311" s="360"/>
      <c r="X311" s="88"/>
      <c r="Z311" s="134"/>
      <c r="AA311" s="27"/>
      <c r="AB311" s="27"/>
      <c r="AC311" s="27"/>
      <c r="AD311" s="27"/>
      <c r="AE311" s="27"/>
      <c r="AF311" s="27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</row>
    <row r="312" spans="2:54" s="28" customFormat="1">
      <c r="B312" s="27"/>
      <c r="D312" s="359"/>
      <c r="E312" s="30"/>
      <c r="G312" s="31"/>
      <c r="H312" s="360"/>
      <c r="I312" s="360"/>
      <c r="J312" s="360"/>
      <c r="X312" s="88"/>
      <c r="Z312" s="134"/>
      <c r="AA312" s="27"/>
      <c r="AB312" s="27"/>
      <c r="AC312" s="27"/>
      <c r="AD312" s="27"/>
      <c r="AE312" s="27"/>
      <c r="AF312" s="27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</row>
    <row r="313" spans="2:54" s="28" customFormat="1">
      <c r="B313" s="27"/>
      <c r="D313" s="359"/>
      <c r="E313" s="30"/>
      <c r="G313" s="31"/>
      <c r="H313" s="360"/>
      <c r="I313" s="360"/>
      <c r="J313" s="360"/>
      <c r="X313" s="88"/>
      <c r="Z313" s="134"/>
      <c r="AA313" s="27"/>
      <c r="AB313" s="27"/>
      <c r="AC313" s="27"/>
      <c r="AD313" s="27"/>
      <c r="AE313" s="27"/>
      <c r="AF313" s="27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</row>
    <row r="314" spans="2:54" s="28" customFormat="1">
      <c r="B314" s="27"/>
      <c r="D314" s="359"/>
      <c r="E314" s="30"/>
      <c r="G314" s="31"/>
      <c r="H314" s="360"/>
      <c r="I314" s="360"/>
      <c r="J314" s="360"/>
      <c r="X314" s="88"/>
      <c r="Z314" s="134"/>
      <c r="AA314" s="27"/>
      <c r="AB314" s="27"/>
      <c r="AC314" s="27"/>
      <c r="AD314" s="27"/>
      <c r="AE314" s="27"/>
      <c r="AF314" s="27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</row>
    <row r="315" spans="2:54" s="28" customFormat="1">
      <c r="B315" s="27"/>
      <c r="D315" s="359"/>
      <c r="E315" s="30"/>
      <c r="G315" s="31"/>
      <c r="H315" s="360"/>
      <c r="I315" s="360"/>
      <c r="J315" s="360"/>
      <c r="X315" s="88"/>
      <c r="Z315" s="134"/>
      <c r="AA315" s="27"/>
      <c r="AB315" s="27"/>
      <c r="AC315" s="27"/>
      <c r="AD315" s="27"/>
      <c r="AE315" s="27"/>
      <c r="AF315" s="27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</row>
    <row r="316" spans="2:54" s="28" customFormat="1">
      <c r="B316" s="27"/>
      <c r="D316" s="359"/>
      <c r="E316" s="30"/>
      <c r="G316" s="31"/>
      <c r="H316" s="360"/>
      <c r="I316" s="360"/>
      <c r="J316" s="360"/>
      <c r="X316" s="88"/>
      <c r="Z316" s="134"/>
      <c r="AA316" s="27"/>
      <c r="AB316" s="27"/>
      <c r="AC316" s="27"/>
      <c r="AD316" s="27"/>
      <c r="AE316" s="27"/>
      <c r="AF316" s="27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</row>
    <row r="317" spans="2:54" s="28" customFormat="1">
      <c r="B317" s="27"/>
      <c r="D317" s="359"/>
      <c r="E317" s="30"/>
      <c r="G317" s="31"/>
      <c r="H317" s="360"/>
      <c r="I317" s="360"/>
      <c r="J317" s="360"/>
      <c r="X317" s="88"/>
      <c r="Z317" s="134"/>
      <c r="AA317" s="27"/>
      <c r="AB317" s="27"/>
      <c r="AC317" s="27"/>
      <c r="AD317" s="27"/>
      <c r="AE317" s="27"/>
      <c r="AF317" s="27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</row>
    <row r="318" spans="2:54" s="28" customFormat="1">
      <c r="B318" s="27"/>
      <c r="D318" s="359"/>
      <c r="E318" s="30"/>
      <c r="G318" s="31"/>
      <c r="H318" s="360"/>
      <c r="I318" s="360"/>
      <c r="J318" s="360"/>
      <c r="X318" s="88"/>
      <c r="Z318" s="134"/>
      <c r="AA318" s="27"/>
      <c r="AB318" s="27"/>
      <c r="AC318" s="27"/>
      <c r="AD318" s="27"/>
      <c r="AE318" s="27"/>
      <c r="AF318" s="27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</row>
    <row r="319" spans="2:54" s="28" customFormat="1">
      <c r="B319" s="27"/>
      <c r="D319" s="359"/>
      <c r="E319" s="30"/>
      <c r="G319" s="31"/>
      <c r="H319" s="360"/>
      <c r="I319" s="360"/>
      <c r="J319" s="360"/>
      <c r="X319" s="88"/>
      <c r="Z319" s="134"/>
      <c r="AA319" s="27"/>
      <c r="AB319" s="27"/>
      <c r="AC319" s="27"/>
      <c r="AD319" s="27"/>
      <c r="AE319" s="27"/>
      <c r="AF319" s="27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</row>
    <row r="320" spans="2:54" s="28" customFormat="1">
      <c r="B320" s="27"/>
      <c r="D320" s="359"/>
      <c r="E320" s="30"/>
      <c r="G320" s="31"/>
      <c r="H320" s="360"/>
      <c r="I320" s="360"/>
      <c r="J320" s="360"/>
      <c r="X320" s="88"/>
      <c r="Z320" s="134"/>
      <c r="AA320" s="27"/>
      <c r="AB320" s="27"/>
      <c r="AC320" s="27"/>
      <c r="AD320" s="27"/>
      <c r="AE320" s="27"/>
      <c r="AF320" s="27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</row>
    <row r="321" spans="2:54" s="28" customFormat="1">
      <c r="B321" s="27"/>
      <c r="D321" s="359"/>
      <c r="E321" s="30"/>
      <c r="G321" s="31"/>
      <c r="H321" s="360"/>
      <c r="I321" s="360"/>
      <c r="J321" s="360"/>
      <c r="X321" s="88"/>
      <c r="Z321" s="134"/>
      <c r="AA321" s="27"/>
      <c r="AB321" s="27"/>
      <c r="AC321" s="27"/>
      <c r="AD321" s="27"/>
      <c r="AE321" s="27"/>
      <c r="AF321" s="27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</row>
    <row r="322" spans="2:54" s="28" customFormat="1">
      <c r="B322" s="27"/>
      <c r="D322" s="359"/>
      <c r="E322" s="30"/>
      <c r="G322" s="31"/>
      <c r="H322" s="360"/>
      <c r="I322" s="360"/>
      <c r="J322" s="360"/>
      <c r="X322" s="88"/>
      <c r="Z322" s="134"/>
      <c r="AA322" s="27"/>
      <c r="AB322" s="27"/>
      <c r="AC322" s="27"/>
      <c r="AD322" s="27"/>
      <c r="AE322" s="27"/>
      <c r="AF322" s="27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</row>
    <row r="323" spans="2:54" s="28" customFormat="1">
      <c r="B323" s="27"/>
      <c r="D323" s="359"/>
      <c r="E323" s="30"/>
      <c r="G323" s="31"/>
      <c r="H323" s="360"/>
      <c r="I323" s="360"/>
      <c r="J323" s="360"/>
      <c r="X323" s="88"/>
      <c r="Z323" s="134"/>
      <c r="AA323" s="27"/>
      <c r="AB323" s="27"/>
      <c r="AC323" s="27"/>
      <c r="AD323" s="27"/>
      <c r="AE323" s="27"/>
      <c r="AF323" s="27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</row>
    <row r="324" spans="2:54" s="28" customFormat="1">
      <c r="B324" s="27"/>
      <c r="D324" s="359"/>
      <c r="E324" s="30"/>
      <c r="G324" s="31"/>
      <c r="H324" s="360"/>
      <c r="I324" s="360"/>
      <c r="J324" s="360"/>
      <c r="X324" s="88"/>
      <c r="Z324" s="134"/>
      <c r="AA324" s="27"/>
      <c r="AB324" s="27"/>
      <c r="AC324" s="27"/>
      <c r="AD324" s="27"/>
      <c r="AE324" s="27"/>
      <c r="AF324" s="27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</row>
    <row r="325" spans="2:54" s="28" customFormat="1">
      <c r="B325" s="27"/>
      <c r="D325" s="359"/>
      <c r="E325" s="30"/>
      <c r="G325" s="31"/>
      <c r="H325" s="360"/>
      <c r="I325" s="360"/>
      <c r="J325" s="360"/>
      <c r="X325" s="88"/>
      <c r="Z325" s="134"/>
      <c r="AA325" s="27"/>
      <c r="AB325" s="27"/>
      <c r="AC325" s="27"/>
      <c r="AD325" s="27"/>
      <c r="AE325" s="27"/>
      <c r="AF325" s="27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</row>
    <row r="326" spans="2:54" s="28" customFormat="1">
      <c r="B326" s="27"/>
      <c r="D326" s="359"/>
      <c r="E326" s="30"/>
      <c r="G326" s="31"/>
      <c r="H326" s="360"/>
      <c r="I326" s="360"/>
      <c r="J326" s="360"/>
      <c r="X326" s="88"/>
      <c r="Z326" s="134"/>
      <c r="AA326" s="27"/>
      <c r="AB326" s="27"/>
      <c r="AC326" s="27"/>
      <c r="AD326" s="27"/>
      <c r="AE326" s="27"/>
      <c r="AF326" s="27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</row>
    <row r="327" spans="2:54" s="28" customFormat="1">
      <c r="B327" s="27"/>
      <c r="D327" s="359"/>
      <c r="E327" s="30"/>
      <c r="G327" s="31"/>
      <c r="H327" s="360"/>
      <c r="I327" s="360"/>
      <c r="J327" s="360"/>
      <c r="X327" s="88"/>
      <c r="Z327" s="134"/>
      <c r="AA327" s="27"/>
      <c r="AB327" s="27"/>
      <c r="AC327" s="27"/>
      <c r="AD327" s="27"/>
      <c r="AE327" s="27"/>
      <c r="AF327" s="27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</row>
    <row r="328" spans="2:54" s="28" customFormat="1">
      <c r="B328" s="27"/>
      <c r="D328" s="359"/>
      <c r="E328" s="30"/>
      <c r="G328" s="31"/>
      <c r="H328" s="360"/>
      <c r="I328" s="360"/>
      <c r="J328" s="360"/>
      <c r="X328" s="88"/>
      <c r="Z328" s="134"/>
      <c r="AA328" s="27"/>
      <c r="AB328" s="27"/>
      <c r="AC328" s="27"/>
      <c r="AD328" s="27"/>
      <c r="AE328" s="27"/>
      <c r="AF328" s="27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</row>
    <row r="329" spans="2:54" s="28" customFormat="1">
      <c r="B329" s="27"/>
      <c r="D329" s="359"/>
      <c r="E329" s="30"/>
      <c r="G329" s="31"/>
      <c r="H329" s="360"/>
      <c r="I329" s="360"/>
      <c r="J329" s="360"/>
      <c r="X329" s="88"/>
      <c r="Z329" s="134"/>
      <c r="AA329" s="27"/>
      <c r="AB329" s="27"/>
      <c r="AC329" s="27"/>
      <c r="AD329" s="27"/>
      <c r="AE329" s="27"/>
      <c r="AF329" s="27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</row>
    <row r="330" spans="2:54" s="28" customFormat="1">
      <c r="B330" s="27"/>
      <c r="D330" s="359"/>
      <c r="E330" s="30"/>
      <c r="G330" s="31"/>
      <c r="H330" s="360"/>
      <c r="I330" s="360"/>
      <c r="J330" s="360"/>
      <c r="X330" s="88"/>
      <c r="Z330" s="134"/>
      <c r="AA330" s="27"/>
      <c r="AB330" s="27"/>
      <c r="AC330" s="27"/>
      <c r="AD330" s="27"/>
      <c r="AE330" s="27"/>
      <c r="AF330" s="27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</row>
    <row r="331" spans="2:54" s="28" customFormat="1">
      <c r="B331" s="27"/>
      <c r="D331" s="359"/>
      <c r="E331" s="30"/>
      <c r="G331" s="31"/>
      <c r="H331" s="360"/>
      <c r="I331" s="360"/>
      <c r="J331" s="360"/>
      <c r="X331" s="88"/>
      <c r="Z331" s="134"/>
      <c r="AA331" s="27"/>
      <c r="AB331" s="27"/>
      <c r="AC331" s="27"/>
      <c r="AD331" s="27"/>
      <c r="AE331" s="27"/>
      <c r="AF331" s="27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</row>
    <row r="332" spans="2:54" s="28" customFormat="1">
      <c r="B332" s="27"/>
      <c r="D332" s="359"/>
      <c r="E332" s="30"/>
      <c r="G332" s="31"/>
      <c r="H332" s="360"/>
      <c r="I332" s="360"/>
      <c r="J332" s="360"/>
      <c r="X332" s="88"/>
      <c r="Z332" s="134"/>
      <c r="AA332" s="27"/>
      <c r="AB332" s="27"/>
      <c r="AC332" s="27"/>
      <c r="AD332" s="27"/>
      <c r="AE332" s="27"/>
      <c r="AF332" s="27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</row>
    <row r="333" spans="2:54" s="28" customFormat="1">
      <c r="B333" s="27"/>
      <c r="D333" s="359"/>
      <c r="E333" s="30"/>
      <c r="G333" s="31"/>
      <c r="H333" s="360"/>
      <c r="I333" s="360"/>
      <c r="J333" s="360"/>
      <c r="X333" s="88"/>
      <c r="Z333" s="134"/>
      <c r="AA333" s="27"/>
      <c r="AB333" s="27"/>
      <c r="AC333" s="27"/>
      <c r="AD333" s="27"/>
      <c r="AE333" s="27"/>
      <c r="AF333" s="27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</row>
    <row r="334" spans="2:54" s="28" customFormat="1">
      <c r="B334" s="27"/>
      <c r="D334" s="359"/>
      <c r="E334" s="30"/>
      <c r="G334" s="31"/>
      <c r="H334" s="360"/>
      <c r="I334" s="360"/>
      <c r="J334" s="360"/>
      <c r="X334" s="88"/>
      <c r="Z334" s="134"/>
      <c r="AA334" s="27"/>
      <c r="AB334" s="27"/>
      <c r="AC334" s="27"/>
      <c r="AD334" s="27"/>
      <c r="AE334" s="27"/>
      <c r="AF334" s="27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</row>
    <row r="335" spans="2:54" s="28" customFormat="1">
      <c r="B335" s="27"/>
      <c r="D335" s="359"/>
      <c r="E335" s="30"/>
      <c r="G335" s="31"/>
      <c r="H335" s="360"/>
      <c r="I335" s="360"/>
      <c r="J335" s="360"/>
      <c r="X335" s="88"/>
      <c r="Z335" s="134"/>
      <c r="AA335" s="27"/>
      <c r="AB335" s="27"/>
      <c r="AC335" s="27"/>
      <c r="AD335" s="27"/>
      <c r="AE335" s="27"/>
      <c r="AF335" s="27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</row>
    <row r="336" spans="2:54" s="28" customFormat="1">
      <c r="B336" s="27"/>
      <c r="D336" s="359"/>
      <c r="E336" s="30"/>
      <c r="G336" s="31"/>
      <c r="H336" s="360"/>
      <c r="I336" s="360"/>
      <c r="J336" s="360"/>
      <c r="X336" s="88"/>
      <c r="Z336" s="134"/>
      <c r="AA336" s="27"/>
      <c r="AB336" s="27"/>
      <c r="AC336" s="27"/>
      <c r="AD336" s="27"/>
      <c r="AE336" s="27"/>
      <c r="AF336" s="27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</row>
    <row r="337" spans="2:54" s="28" customFormat="1">
      <c r="B337" s="27"/>
      <c r="D337" s="359"/>
      <c r="E337" s="30"/>
      <c r="G337" s="31"/>
      <c r="H337" s="360"/>
      <c r="I337" s="360"/>
      <c r="J337" s="360"/>
      <c r="X337" s="88"/>
      <c r="Z337" s="134"/>
      <c r="AA337" s="27"/>
      <c r="AB337" s="27"/>
      <c r="AC337" s="27"/>
      <c r="AD337" s="27"/>
      <c r="AE337" s="27"/>
      <c r="AF337" s="27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</row>
    <row r="338" spans="2:54" s="28" customFormat="1">
      <c r="B338" s="27"/>
      <c r="D338" s="359"/>
      <c r="E338" s="30"/>
      <c r="G338" s="31"/>
      <c r="H338" s="360"/>
      <c r="I338" s="360"/>
      <c r="J338" s="360"/>
      <c r="X338" s="88"/>
      <c r="Z338" s="134"/>
      <c r="AA338" s="27"/>
      <c r="AB338" s="27"/>
      <c r="AC338" s="27"/>
      <c r="AD338" s="27"/>
      <c r="AE338" s="27"/>
      <c r="AF338" s="27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</row>
    <row r="339" spans="2:54" s="28" customFormat="1">
      <c r="B339" s="27"/>
      <c r="D339" s="359"/>
      <c r="E339" s="30"/>
      <c r="G339" s="31"/>
      <c r="H339" s="360"/>
      <c r="I339" s="360"/>
      <c r="J339" s="360"/>
      <c r="X339" s="88"/>
      <c r="Z339" s="134"/>
      <c r="AA339" s="27"/>
      <c r="AB339" s="27"/>
      <c r="AC339" s="27"/>
      <c r="AD339" s="27"/>
      <c r="AE339" s="27"/>
      <c r="AF339" s="27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</row>
    <row r="340" spans="2:54" s="28" customFormat="1">
      <c r="B340" s="27"/>
      <c r="D340" s="359"/>
      <c r="E340" s="30"/>
      <c r="G340" s="31"/>
      <c r="H340" s="360"/>
      <c r="I340" s="360"/>
      <c r="J340" s="360"/>
      <c r="X340" s="88"/>
      <c r="Z340" s="134"/>
      <c r="AA340" s="27"/>
      <c r="AB340" s="27"/>
      <c r="AC340" s="27"/>
      <c r="AD340" s="27"/>
      <c r="AE340" s="27"/>
      <c r="AF340" s="27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</row>
    <row r="341" spans="2:54" s="28" customFormat="1">
      <c r="B341" s="27"/>
      <c r="D341" s="359"/>
      <c r="E341" s="30"/>
      <c r="G341" s="31"/>
      <c r="H341" s="360"/>
      <c r="I341" s="360"/>
      <c r="J341" s="360"/>
      <c r="X341" s="88"/>
      <c r="Z341" s="134"/>
      <c r="AA341" s="27"/>
      <c r="AB341" s="27"/>
      <c r="AC341" s="27"/>
      <c r="AD341" s="27"/>
      <c r="AE341" s="27"/>
      <c r="AF341" s="27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</row>
    <row r="342" spans="2:54" s="28" customFormat="1">
      <c r="B342" s="27"/>
      <c r="D342" s="359"/>
      <c r="E342" s="30"/>
      <c r="G342" s="31"/>
      <c r="H342" s="360"/>
      <c r="I342" s="360"/>
      <c r="J342" s="360"/>
      <c r="X342" s="88"/>
      <c r="Z342" s="134"/>
      <c r="AA342" s="27"/>
      <c r="AB342" s="27"/>
      <c r="AC342" s="27"/>
      <c r="AD342" s="27"/>
      <c r="AE342" s="27"/>
      <c r="AF342" s="27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</row>
    <row r="343" spans="2:54" s="28" customFormat="1">
      <c r="B343" s="27"/>
      <c r="D343" s="359"/>
      <c r="E343" s="30"/>
      <c r="G343" s="31"/>
      <c r="H343" s="360"/>
      <c r="I343" s="360"/>
      <c r="J343" s="360"/>
      <c r="X343" s="88"/>
      <c r="Z343" s="134"/>
      <c r="AA343" s="27"/>
      <c r="AB343" s="27"/>
      <c r="AC343" s="27"/>
      <c r="AD343" s="27"/>
      <c r="AE343" s="27"/>
      <c r="AF343" s="27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</row>
    <row r="344" spans="2:54" s="28" customFormat="1">
      <c r="B344" s="27"/>
      <c r="D344" s="359"/>
      <c r="E344" s="30"/>
      <c r="G344" s="31"/>
      <c r="H344" s="360"/>
      <c r="I344" s="360"/>
      <c r="J344" s="360"/>
      <c r="X344" s="88"/>
      <c r="Z344" s="134"/>
      <c r="AA344" s="27"/>
      <c r="AB344" s="27"/>
      <c r="AC344" s="27"/>
      <c r="AD344" s="27"/>
      <c r="AE344" s="27"/>
      <c r="AF344" s="27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</row>
    <row r="345" spans="2:54" s="28" customFormat="1">
      <c r="B345" s="27"/>
      <c r="D345" s="359"/>
      <c r="E345" s="30"/>
      <c r="G345" s="31"/>
      <c r="H345" s="360"/>
      <c r="I345" s="360"/>
      <c r="J345" s="360"/>
      <c r="X345" s="88"/>
      <c r="Z345" s="134"/>
      <c r="AA345" s="27"/>
      <c r="AB345" s="27"/>
      <c r="AC345" s="27"/>
      <c r="AD345" s="27"/>
      <c r="AE345" s="27"/>
      <c r="AF345" s="27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</row>
    <row r="346" spans="2:54" s="28" customFormat="1">
      <c r="B346" s="27"/>
      <c r="D346" s="359"/>
      <c r="E346" s="30"/>
      <c r="G346" s="31"/>
      <c r="H346" s="360"/>
      <c r="I346" s="360"/>
      <c r="J346" s="360"/>
      <c r="X346" s="88"/>
      <c r="Z346" s="134"/>
      <c r="AA346" s="27"/>
      <c r="AB346" s="27"/>
      <c r="AC346" s="27"/>
      <c r="AD346" s="27"/>
      <c r="AE346" s="27"/>
      <c r="AF346" s="27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</row>
    <row r="347" spans="2:54" s="28" customFormat="1">
      <c r="B347" s="27"/>
      <c r="D347" s="359"/>
      <c r="E347" s="30"/>
      <c r="G347" s="31"/>
      <c r="H347" s="360"/>
      <c r="I347" s="360"/>
      <c r="J347" s="360"/>
      <c r="X347" s="88"/>
      <c r="Z347" s="134"/>
      <c r="AA347" s="27"/>
      <c r="AB347" s="27"/>
      <c r="AC347" s="27"/>
      <c r="AD347" s="27"/>
      <c r="AE347" s="27"/>
      <c r="AF347" s="27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</row>
    <row r="348" spans="2:54" s="28" customFormat="1">
      <c r="B348" s="27"/>
      <c r="D348" s="359"/>
      <c r="E348" s="30"/>
      <c r="G348" s="31"/>
      <c r="H348" s="360"/>
      <c r="I348" s="360"/>
      <c r="J348" s="360"/>
      <c r="X348" s="88"/>
      <c r="Z348" s="134"/>
      <c r="AA348" s="27"/>
      <c r="AB348" s="27"/>
      <c r="AC348" s="27"/>
      <c r="AD348" s="27"/>
      <c r="AE348" s="27"/>
      <c r="AF348" s="27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</row>
    <row r="349" spans="2:54" s="28" customFormat="1">
      <c r="B349" s="27"/>
      <c r="D349" s="359"/>
      <c r="E349" s="30"/>
      <c r="G349" s="31"/>
      <c r="H349" s="360"/>
      <c r="I349" s="360"/>
      <c r="J349" s="360"/>
      <c r="X349" s="88"/>
      <c r="Z349" s="134"/>
      <c r="AA349" s="27"/>
      <c r="AB349" s="27"/>
      <c r="AC349" s="27"/>
      <c r="AD349" s="27"/>
      <c r="AE349" s="27"/>
      <c r="AF349" s="27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</row>
    <row r="350" spans="2:54" s="28" customFormat="1">
      <c r="B350" s="27"/>
      <c r="D350" s="359"/>
      <c r="E350" s="30"/>
      <c r="G350" s="31"/>
      <c r="H350" s="360"/>
      <c r="I350" s="360"/>
      <c r="J350" s="360"/>
      <c r="X350" s="88"/>
      <c r="Z350" s="134"/>
      <c r="AA350" s="27"/>
      <c r="AB350" s="27"/>
      <c r="AC350" s="27"/>
      <c r="AD350" s="27"/>
      <c r="AE350" s="27"/>
      <c r="AF350" s="27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</row>
    <row r="351" spans="2:54" s="28" customFormat="1">
      <c r="B351" s="27"/>
      <c r="D351" s="359"/>
      <c r="E351" s="30"/>
      <c r="G351" s="31"/>
      <c r="H351" s="360"/>
      <c r="I351" s="360"/>
      <c r="J351" s="360"/>
      <c r="X351" s="88"/>
      <c r="Z351" s="134"/>
      <c r="AA351" s="27"/>
      <c r="AB351" s="27"/>
      <c r="AC351" s="27"/>
      <c r="AD351" s="27"/>
      <c r="AE351" s="27"/>
      <c r="AF351" s="27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</row>
    <row r="352" spans="2:54" s="28" customFormat="1">
      <c r="B352" s="27"/>
      <c r="D352" s="359"/>
      <c r="E352" s="30"/>
      <c r="G352" s="31"/>
      <c r="H352" s="360"/>
      <c r="I352" s="360"/>
      <c r="J352" s="360"/>
      <c r="X352" s="88"/>
      <c r="Z352" s="134"/>
      <c r="AA352" s="27"/>
      <c r="AB352" s="27"/>
      <c r="AC352" s="27"/>
      <c r="AD352" s="27"/>
      <c r="AE352" s="27"/>
      <c r="AF352" s="27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</row>
    <row r="353" spans="2:54" s="28" customFormat="1">
      <c r="B353" s="27"/>
      <c r="D353" s="359"/>
      <c r="E353" s="30"/>
      <c r="G353" s="31"/>
      <c r="H353" s="360"/>
      <c r="I353" s="360"/>
      <c r="J353" s="360"/>
      <c r="X353" s="88"/>
      <c r="Z353" s="134"/>
      <c r="AA353" s="27"/>
      <c r="AB353" s="27"/>
      <c r="AC353" s="27"/>
      <c r="AD353" s="27"/>
      <c r="AE353" s="27"/>
      <c r="AF353" s="27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</row>
    <row r="354" spans="2:54" s="28" customFormat="1">
      <c r="B354" s="27"/>
      <c r="D354" s="359"/>
      <c r="E354" s="30"/>
      <c r="G354" s="31"/>
      <c r="H354" s="360"/>
      <c r="I354" s="360"/>
      <c r="J354" s="360"/>
      <c r="X354" s="88"/>
      <c r="Z354" s="134"/>
      <c r="AA354" s="27"/>
      <c r="AB354" s="27"/>
      <c r="AC354" s="27"/>
      <c r="AD354" s="27"/>
      <c r="AE354" s="27"/>
      <c r="AF354" s="27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</row>
    <row r="355" spans="2:54" s="28" customFormat="1">
      <c r="B355" s="27"/>
      <c r="D355" s="359"/>
      <c r="E355" s="30"/>
      <c r="G355" s="31"/>
      <c r="H355" s="360"/>
      <c r="I355" s="360"/>
      <c r="J355" s="360"/>
      <c r="X355" s="88"/>
      <c r="Z355" s="134"/>
      <c r="AA355" s="27"/>
      <c r="AB355" s="27"/>
      <c r="AC355" s="27"/>
      <c r="AD355" s="27"/>
      <c r="AE355" s="27"/>
      <c r="AF355" s="27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</row>
    <row r="356" spans="2:54" s="28" customFormat="1">
      <c r="B356" s="27"/>
      <c r="D356" s="359"/>
      <c r="E356" s="30"/>
      <c r="G356" s="31"/>
      <c r="H356" s="360"/>
      <c r="I356" s="360"/>
      <c r="J356" s="360"/>
      <c r="X356" s="88"/>
      <c r="Z356" s="134"/>
      <c r="AA356" s="27"/>
      <c r="AB356" s="27"/>
      <c r="AC356" s="27"/>
      <c r="AD356" s="27"/>
      <c r="AE356" s="27"/>
      <c r="AF356" s="27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</row>
    <row r="357" spans="2:54" s="28" customFormat="1">
      <c r="B357" s="27"/>
      <c r="D357" s="359"/>
      <c r="E357" s="30"/>
      <c r="G357" s="31"/>
      <c r="H357" s="360"/>
      <c r="I357" s="360"/>
      <c r="J357" s="360"/>
      <c r="X357" s="88"/>
      <c r="Z357" s="134"/>
      <c r="AA357" s="27"/>
      <c r="AB357" s="27"/>
      <c r="AC357" s="27"/>
      <c r="AD357" s="27"/>
      <c r="AE357" s="27"/>
      <c r="AF357" s="27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</row>
    <row r="358" spans="2:54" s="28" customFormat="1">
      <c r="B358" s="27"/>
      <c r="D358" s="359"/>
      <c r="E358" s="30"/>
      <c r="G358" s="31"/>
      <c r="H358" s="360"/>
      <c r="I358" s="360"/>
      <c r="J358" s="360"/>
      <c r="X358" s="88"/>
      <c r="Z358" s="134"/>
      <c r="AA358" s="27"/>
      <c r="AB358" s="27"/>
      <c r="AC358" s="27"/>
      <c r="AD358" s="27"/>
      <c r="AE358" s="27"/>
      <c r="AF358" s="27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</row>
    <row r="359" spans="2:54" s="28" customFormat="1">
      <c r="B359" s="27"/>
      <c r="D359" s="359"/>
      <c r="E359" s="30"/>
      <c r="G359" s="31"/>
      <c r="H359" s="360"/>
      <c r="I359" s="360"/>
      <c r="J359" s="360"/>
      <c r="X359" s="88"/>
      <c r="Z359" s="134"/>
      <c r="AA359" s="27"/>
      <c r="AB359" s="27"/>
      <c r="AC359" s="27"/>
      <c r="AD359" s="27"/>
      <c r="AE359" s="27"/>
      <c r="AF359" s="27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</row>
    <row r="360" spans="2:54" s="28" customFormat="1">
      <c r="B360" s="27"/>
      <c r="D360" s="359"/>
      <c r="E360" s="30"/>
      <c r="G360" s="31"/>
      <c r="H360" s="360"/>
      <c r="I360" s="360"/>
      <c r="J360" s="360"/>
      <c r="X360" s="88"/>
      <c r="Z360" s="134"/>
      <c r="AA360" s="27"/>
      <c r="AB360" s="27"/>
      <c r="AC360" s="27"/>
      <c r="AD360" s="27"/>
      <c r="AE360" s="27"/>
      <c r="AF360" s="27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</row>
    <row r="361" spans="2:54" s="28" customFormat="1">
      <c r="B361" s="27"/>
      <c r="D361" s="359"/>
      <c r="E361" s="30"/>
      <c r="G361" s="31"/>
      <c r="H361" s="360"/>
      <c r="I361" s="360"/>
      <c r="J361" s="360"/>
      <c r="X361" s="88"/>
      <c r="Z361" s="134"/>
      <c r="AA361" s="27"/>
      <c r="AB361" s="27"/>
      <c r="AC361" s="27"/>
      <c r="AD361" s="27"/>
      <c r="AE361" s="27"/>
      <c r="AF361" s="27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</row>
    <row r="362" spans="2:54" s="28" customFormat="1">
      <c r="B362" s="27"/>
      <c r="D362" s="359"/>
      <c r="E362" s="30"/>
      <c r="G362" s="31"/>
      <c r="H362" s="360"/>
      <c r="I362" s="360"/>
      <c r="J362" s="360"/>
      <c r="X362" s="88"/>
      <c r="Z362" s="134"/>
      <c r="AA362" s="27"/>
      <c r="AB362" s="27"/>
      <c r="AC362" s="27"/>
      <c r="AD362" s="27"/>
      <c r="AE362" s="27"/>
      <c r="AF362" s="27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</row>
    <row r="363" spans="2:54" s="28" customFormat="1">
      <c r="B363" s="27"/>
      <c r="D363" s="359"/>
      <c r="E363" s="30"/>
      <c r="G363" s="31"/>
      <c r="H363" s="360"/>
      <c r="I363" s="360"/>
      <c r="J363" s="360"/>
      <c r="X363" s="88"/>
      <c r="Z363" s="134"/>
      <c r="AA363" s="27"/>
      <c r="AB363" s="27"/>
      <c r="AC363" s="27"/>
      <c r="AD363" s="27"/>
      <c r="AE363" s="27"/>
      <c r="AF363" s="27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</row>
    <row r="364" spans="2:54" s="28" customFormat="1">
      <c r="B364" s="27"/>
      <c r="D364" s="359"/>
      <c r="E364" s="30"/>
      <c r="G364" s="31"/>
      <c r="H364" s="360"/>
      <c r="I364" s="360"/>
      <c r="J364" s="360"/>
      <c r="X364" s="88"/>
      <c r="Z364" s="134"/>
      <c r="AA364" s="27"/>
      <c r="AB364" s="27"/>
      <c r="AC364" s="27"/>
      <c r="AD364" s="27"/>
      <c r="AE364" s="27"/>
      <c r="AF364" s="27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</row>
    <row r="365" spans="2:54" s="28" customFormat="1">
      <c r="B365" s="27"/>
      <c r="D365" s="359"/>
      <c r="E365" s="30"/>
      <c r="G365" s="31"/>
      <c r="H365" s="360"/>
      <c r="I365" s="360"/>
      <c r="J365" s="360"/>
      <c r="X365" s="88"/>
      <c r="Z365" s="134"/>
      <c r="AA365" s="27"/>
      <c r="AB365" s="27"/>
      <c r="AC365" s="27"/>
      <c r="AD365" s="27"/>
      <c r="AE365" s="27"/>
      <c r="AF365" s="27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</row>
    <row r="366" spans="2:54" s="28" customFormat="1">
      <c r="B366" s="27"/>
      <c r="D366" s="359"/>
      <c r="E366" s="30"/>
      <c r="G366" s="31"/>
      <c r="H366" s="360"/>
      <c r="I366" s="360"/>
      <c r="J366" s="360"/>
      <c r="X366" s="88"/>
      <c r="Z366" s="134"/>
      <c r="AA366" s="27"/>
      <c r="AB366" s="27"/>
      <c r="AC366" s="27"/>
      <c r="AD366" s="27"/>
      <c r="AE366" s="27"/>
      <c r="AF366" s="27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</row>
    <row r="367" spans="2:54" s="28" customFormat="1">
      <c r="B367" s="27"/>
      <c r="D367" s="359"/>
      <c r="E367" s="30"/>
      <c r="G367" s="31"/>
      <c r="H367" s="360"/>
      <c r="I367" s="360"/>
      <c r="J367" s="360"/>
      <c r="X367" s="88"/>
      <c r="Z367" s="134"/>
      <c r="AA367" s="27"/>
      <c r="AB367" s="27"/>
      <c r="AC367" s="27"/>
      <c r="AD367" s="27"/>
      <c r="AE367" s="27"/>
      <c r="AF367" s="27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</row>
    <row r="368" spans="2:54" s="28" customFormat="1">
      <c r="B368" s="27"/>
      <c r="D368" s="359"/>
      <c r="E368" s="30"/>
      <c r="G368" s="31"/>
      <c r="H368" s="360"/>
      <c r="I368" s="360"/>
      <c r="J368" s="360"/>
      <c r="X368" s="88"/>
      <c r="Z368" s="134"/>
      <c r="AA368" s="27"/>
      <c r="AB368" s="27"/>
      <c r="AC368" s="27"/>
      <c r="AD368" s="27"/>
      <c r="AE368" s="27"/>
      <c r="AF368" s="27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</row>
    <row r="369" spans="2:54" s="28" customFormat="1">
      <c r="B369" s="27"/>
      <c r="D369" s="359"/>
      <c r="E369" s="30"/>
      <c r="G369" s="31"/>
      <c r="H369" s="360"/>
      <c r="I369" s="360"/>
      <c r="J369" s="360"/>
      <c r="X369" s="88"/>
      <c r="Z369" s="134"/>
      <c r="AA369" s="27"/>
      <c r="AB369" s="27"/>
      <c r="AC369" s="27"/>
      <c r="AD369" s="27"/>
      <c r="AE369" s="27"/>
      <c r="AF369" s="27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</row>
    <row r="370" spans="2:54" s="28" customFormat="1">
      <c r="B370" s="27"/>
      <c r="D370" s="359"/>
      <c r="E370" s="30"/>
      <c r="G370" s="31"/>
      <c r="H370" s="360"/>
      <c r="I370" s="360"/>
      <c r="J370" s="360"/>
      <c r="X370" s="88"/>
      <c r="Z370" s="134"/>
      <c r="AA370" s="27"/>
      <c r="AB370" s="27"/>
      <c r="AC370" s="27"/>
      <c r="AD370" s="27"/>
      <c r="AE370" s="27"/>
      <c r="AF370" s="27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</row>
    <row r="371" spans="2:54" s="28" customFormat="1">
      <c r="B371" s="27"/>
      <c r="D371" s="359"/>
      <c r="E371" s="30"/>
      <c r="G371" s="31"/>
      <c r="H371" s="360"/>
      <c r="I371" s="360"/>
      <c r="J371" s="360"/>
      <c r="X371" s="88"/>
      <c r="Z371" s="134"/>
      <c r="AA371" s="27"/>
      <c r="AB371" s="27"/>
      <c r="AC371" s="27"/>
      <c r="AD371" s="27"/>
      <c r="AE371" s="27"/>
      <c r="AF371" s="27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</row>
    <row r="372" spans="2:54" s="28" customFormat="1">
      <c r="B372" s="27"/>
      <c r="D372" s="359"/>
      <c r="E372" s="30"/>
      <c r="G372" s="31"/>
      <c r="H372" s="360"/>
      <c r="I372" s="360"/>
      <c r="J372" s="360"/>
      <c r="X372" s="88"/>
      <c r="Z372" s="134"/>
      <c r="AA372" s="27"/>
      <c r="AB372" s="27"/>
      <c r="AC372" s="27"/>
      <c r="AD372" s="27"/>
      <c r="AE372" s="27"/>
      <c r="AF372" s="27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</row>
    <row r="373" spans="2:54" s="28" customFormat="1">
      <c r="B373" s="27"/>
      <c r="D373" s="359"/>
      <c r="E373" s="30"/>
      <c r="G373" s="31"/>
      <c r="H373" s="360"/>
      <c r="I373" s="360"/>
      <c r="J373" s="360"/>
      <c r="X373" s="88"/>
      <c r="Z373" s="134"/>
      <c r="AA373" s="27"/>
      <c r="AB373" s="27"/>
      <c r="AC373" s="27"/>
      <c r="AD373" s="27"/>
      <c r="AE373" s="27"/>
      <c r="AF373" s="27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</row>
    <row r="374" spans="2:54" s="28" customFormat="1">
      <c r="B374" s="27"/>
      <c r="D374" s="359"/>
      <c r="E374" s="30"/>
      <c r="G374" s="31"/>
      <c r="H374" s="360"/>
      <c r="I374" s="360"/>
      <c r="J374" s="360"/>
      <c r="X374" s="88"/>
      <c r="Z374" s="134"/>
      <c r="AA374" s="27"/>
      <c r="AB374" s="27"/>
      <c r="AC374" s="27"/>
      <c r="AD374" s="27"/>
      <c r="AE374" s="27"/>
      <c r="AF374" s="27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</row>
    <row r="375" spans="2:54" s="28" customFormat="1">
      <c r="B375" s="27"/>
      <c r="D375" s="359"/>
      <c r="E375" s="30"/>
      <c r="G375" s="31"/>
      <c r="H375" s="360"/>
      <c r="I375" s="360"/>
      <c r="J375" s="360"/>
      <c r="X375" s="88"/>
      <c r="Z375" s="134"/>
      <c r="AA375" s="27"/>
      <c r="AB375" s="27"/>
      <c r="AC375" s="27"/>
      <c r="AD375" s="27"/>
      <c r="AE375" s="27"/>
      <c r="AF375" s="27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</row>
    <row r="376" spans="2:54" s="28" customFormat="1">
      <c r="B376" s="27"/>
      <c r="D376" s="359"/>
      <c r="E376" s="30"/>
      <c r="G376" s="31"/>
      <c r="H376" s="360"/>
      <c r="I376" s="360"/>
      <c r="J376" s="360"/>
      <c r="X376" s="88"/>
      <c r="Z376" s="134"/>
      <c r="AA376" s="27"/>
      <c r="AB376" s="27"/>
      <c r="AC376" s="27"/>
      <c r="AD376" s="27"/>
      <c r="AE376" s="27"/>
      <c r="AF376" s="27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</row>
    <row r="377" spans="2:54" s="28" customFormat="1">
      <c r="B377" s="27"/>
      <c r="D377" s="359"/>
      <c r="E377" s="30"/>
      <c r="G377" s="31"/>
      <c r="H377" s="360"/>
      <c r="I377" s="360"/>
      <c r="J377" s="360"/>
      <c r="X377" s="88"/>
      <c r="Z377" s="134"/>
      <c r="AA377" s="27"/>
      <c r="AB377" s="27"/>
      <c r="AC377" s="27"/>
      <c r="AD377" s="27"/>
      <c r="AE377" s="27"/>
      <c r="AF377" s="27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</row>
    <row r="378" spans="2:54" s="28" customFormat="1">
      <c r="B378" s="27"/>
      <c r="D378" s="359"/>
      <c r="E378" s="30"/>
      <c r="G378" s="31"/>
      <c r="H378" s="360"/>
      <c r="I378" s="360"/>
      <c r="J378" s="360"/>
      <c r="X378" s="88"/>
      <c r="Z378" s="134"/>
      <c r="AA378" s="27"/>
      <c r="AB378" s="27"/>
      <c r="AC378" s="27"/>
      <c r="AD378" s="27"/>
      <c r="AE378" s="27"/>
      <c r="AF378" s="27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</row>
    <row r="379" spans="2:54" s="28" customFormat="1">
      <c r="B379" s="27"/>
      <c r="D379" s="359"/>
      <c r="E379" s="30"/>
      <c r="G379" s="31"/>
      <c r="H379" s="360"/>
      <c r="I379" s="360"/>
      <c r="J379" s="360"/>
      <c r="X379" s="88"/>
      <c r="Z379" s="134"/>
      <c r="AA379" s="27"/>
      <c r="AB379" s="27"/>
      <c r="AC379" s="27"/>
      <c r="AD379" s="27"/>
      <c r="AE379" s="27"/>
      <c r="AF379" s="27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</row>
    <row r="380" spans="2:54" s="28" customFormat="1">
      <c r="B380" s="27"/>
      <c r="D380" s="359"/>
      <c r="E380" s="30"/>
      <c r="G380" s="31"/>
      <c r="H380" s="360"/>
      <c r="I380" s="360"/>
      <c r="J380" s="360"/>
      <c r="X380" s="88"/>
      <c r="Z380" s="134"/>
      <c r="AA380" s="27"/>
      <c r="AB380" s="27"/>
      <c r="AC380" s="27"/>
      <c r="AD380" s="27"/>
      <c r="AE380" s="27"/>
      <c r="AF380" s="27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</row>
    <row r="381" spans="2:54" s="28" customFormat="1">
      <c r="B381" s="27"/>
      <c r="D381" s="359"/>
      <c r="E381" s="30"/>
      <c r="G381" s="31"/>
      <c r="H381" s="360"/>
      <c r="I381" s="360"/>
      <c r="J381" s="360"/>
      <c r="X381" s="88"/>
      <c r="Z381" s="134"/>
      <c r="AA381" s="27"/>
      <c r="AB381" s="27"/>
      <c r="AC381" s="27"/>
      <c r="AD381" s="27"/>
      <c r="AE381" s="27"/>
      <c r="AF381" s="27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</row>
    <row r="382" spans="2:54" s="28" customFormat="1">
      <c r="B382" s="27"/>
      <c r="D382" s="359"/>
      <c r="E382" s="30"/>
      <c r="G382" s="31"/>
      <c r="H382" s="360"/>
      <c r="I382" s="360"/>
      <c r="J382" s="360"/>
      <c r="X382" s="88"/>
      <c r="Z382" s="134"/>
      <c r="AA382" s="27"/>
      <c r="AB382" s="27"/>
      <c r="AC382" s="27"/>
      <c r="AD382" s="27"/>
      <c r="AE382" s="27"/>
      <c r="AF382" s="27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</row>
    <row r="383" spans="2:54" s="28" customFormat="1">
      <c r="B383" s="27"/>
      <c r="D383" s="359"/>
      <c r="E383" s="30"/>
      <c r="G383" s="31"/>
      <c r="H383" s="360"/>
      <c r="I383" s="360"/>
      <c r="J383" s="360"/>
      <c r="X383" s="88"/>
      <c r="Z383" s="134"/>
      <c r="AA383" s="27"/>
      <c r="AB383" s="27"/>
      <c r="AC383" s="27"/>
      <c r="AD383" s="27"/>
      <c r="AE383" s="27"/>
      <c r="AF383" s="27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</row>
    <row r="384" spans="2:54" s="28" customFormat="1">
      <c r="B384" s="27"/>
      <c r="D384" s="359"/>
      <c r="E384" s="30"/>
      <c r="G384" s="31"/>
      <c r="H384" s="360"/>
      <c r="I384" s="360"/>
      <c r="J384" s="360"/>
      <c r="X384" s="88"/>
      <c r="Z384" s="134"/>
      <c r="AA384" s="27"/>
      <c r="AB384" s="27"/>
      <c r="AC384" s="27"/>
      <c r="AD384" s="27"/>
      <c r="AE384" s="27"/>
      <c r="AF384" s="27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</row>
    <row r="385" spans="2:54" s="28" customFormat="1">
      <c r="B385" s="27"/>
      <c r="D385" s="359"/>
      <c r="E385" s="30"/>
      <c r="G385" s="31"/>
      <c r="H385" s="360"/>
      <c r="I385" s="360"/>
      <c r="J385" s="360"/>
      <c r="X385" s="88"/>
      <c r="Z385" s="134"/>
      <c r="AA385" s="27"/>
      <c r="AB385" s="27"/>
      <c r="AC385" s="27"/>
      <c r="AD385" s="27"/>
      <c r="AE385" s="27"/>
      <c r="AF385" s="27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</row>
    <row r="386" spans="2:54" s="28" customFormat="1">
      <c r="B386" s="27"/>
      <c r="D386" s="359"/>
      <c r="E386" s="30"/>
      <c r="G386" s="31"/>
      <c r="H386" s="360"/>
      <c r="I386" s="360"/>
      <c r="J386" s="360"/>
      <c r="X386" s="88"/>
      <c r="Z386" s="134"/>
      <c r="AA386" s="27"/>
      <c r="AB386" s="27"/>
      <c r="AC386" s="27"/>
      <c r="AD386" s="27"/>
      <c r="AE386" s="27"/>
      <c r="AF386" s="27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</row>
    <row r="387" spans="2:54" s="28" customFormat="1">
      <c r="B387" s="27"/>
      <c r="D387" s="359"/>
      <c r="E387" s="30"/>
      <c r="G387" s="31"/>
      <c r="H387" s="360"/>
      <c r="I387" s="360"/>
      <c r="J387" s="360"/>
      <c r="X387" s="88"/>
      <c r="Z387" s="134"/>
      <c r="AA387" s="27"/>
      <c r="AB387" s="27"/>
      <c r="AC387" s="27"/>
      <c r="AD387" s="27"/>
      <c r="AE387" s="27"/>
      <c r="AF387" s="27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</row>
    <row r="388" spans="2:54" s="28" customFormat="1">
      <c r="B388" s="27"/>
      <c r="D388" s="359"/>
      <c r="E388" s="30"/>
      <c r="G388" s="31"/>
      <c r="H388" s="360"/>
      <c r="I388" s="360"/>
      <c r="J388" s="360"/>
      <c r="X388" s="88"/>
      <c r="Z388" s="134"/>
      <c r="AA388" s="27"/>
      <c r="AB388" s="27"/>
      <c r="AC388" s="27"/>
      <c r="AD388" s="27"/>
      <c r="AE388" s="27"/>
      <c r="AF388" s="27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</row>
    <row r="389" spans="2:54" s="28" customFormat="1">
      <c r="B389" s="27"/>
      <c r="D389" s="359"/>
      <c r="E389" s="30"/>
      <c r="G389" s="31"/>
      <c r="H389" s="360"/>
      <c r="I389" s="360"/>
      <c r="J389" s="360"/>
      <c r="X389" s="88"/>
      <c r="Z389" s="134"/>
      <c r="AA389" s="27"/>
      <c r="AB389" s="27"/>
      <c r="AC389" s="27"/>
      <c r="AD389" s="27"/>
      <c r="AE389" s="27"/>
      <c r="AF389" s="27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</row>
    <row r="390" spans="2:54" s="28" customFormat="1">
      <c r="B390" s="27"/>
      <c r="D390" s="359"/>
      <c r="E390" s="30"/>
      <c r="G390" s="31"/>
      <c r="H390" s="360"/>
      <c r="I390" s="360"/>
      <c r="J390" s="360"/>
      <c r="X390" s="88"/>
      <c r="Z390" s="134"/>
      <c r="AA390" s="27"/>
      <c r="AB390" s="27"/>
      <c r="AC390" s="27"/>
      <c r="AD390" s="27"/>
      <c r="AE390" s="27"/>
      <c r="AF390" s="27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</row>
    <row r="391" spans="2:54" s="28" customFormat="1">
      <c r="B391" s="27"/>
      <c r="D391" s="359"/>
      <c r="E391" s="30"/>
      <c r="G391" s="31"/>
      <c r="H391" s="360"/>
      <c r="I391" s="360"/>
      <c r="J391" s="360"/>
      <c r="X391" s="88"/>
      <c r="Z391" s="134"/>
      <c r="AA391" s="27"/>
      <c r="AB391" s="27"/>
      <c r="AC391" s="27"/>
      <c r="AD391" s="27"/>
      <c r="AE391" s="27"/>
      <c r="AF391" s="27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</row>
    <row r="392" spans="2:54" s="28" customFormat="1">
      <c r="B392" s="27"/>
      <c r="D392" s="359"/>
      <c r="E392" s="30"/>
      <c r="G392" s="31"/>
      <c r="H392" s="360"/>
      <c r="I392" s="360"/>
      <c r="J392" s="360"/>
      <c r="X392" s="88"/>
      <c r="Z392" s="134"/>
      <c r="AA392" s="27"/>
      <c r="AB392" s="27"/>
      <c r="AC392" s="27"/>
      <c r="AD392" s="27"/>
      <c r="AE392" s="27"/>
      <c r="AF392" s="27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</row>
    <row r="393" spans="2:54" s="28" customFormat="1">
      <c r="B393" s="27"/>
      <c r="D393" s="359"/>
      <c r="E393" s="30"/>
      <c r="G393" s="31"/>
      <c r="H393" s="360"/>
      <c r="I393" s="360"/>
      <c r="J393" s="360"/>
      <c r="X393" s="88"/>
      <c r="Z393" s="134"/>
      <c r="AA393" s="27"/>
      <c r="AB393" s="27"/>
      <c r="AC393" s="27"/>
      <c r="AD393" s="27"/>
      <c r="AE393" s="27"/>
      <c r="AF393" s="27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</row>
    <row r="394" spans="2:54" s="28" customFormat="1">
      <c r="B394" s="27"/>
      <c r="D394" s="359"/>
      <c r="E394" s="30"/>
      <c r="G394" s="31"/>
      <c r="H394" s="360"/>
      <c r="I394" s="360"/>
      <c r="J394" s="360"/>
      <c r="X394" s="88"/>
      <c r="Z394" s="134"/>
      <c r="AA394" s="27"/>
      <c r="AB394" s="27"/>
      <c r="AC394" s="27"/>
      <c r="AD394" s="27"/>
      <c r="AE394" s="27"/>
      <c r="AF394" s="27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</row>
    <row r="395" spans="2:54" s="28" customFormat="1">
      <c r="B395" s="27"/>
      <c r="D395" s="359"/>
      <c r="E395" s="30"/>
      <c r="G395" s="31"/>
      <c r="H395" s="360"/>
      <c r="I395" s="360"/>
      <c r="J395" s="360"/>
      <c r="X395" s="88"/>
      <c r="Z395" s="134"/>
      <c r="AA395" s="27"/>
      <c r="AB395" s="27"/>
      <c r="AC395" s="27"/>
      <c r="AD395" s="27"/>
      <c r="AE395" s="27"/>
      <c r="AF395" s="27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</row>
    <row r="396" spans="2:54" s="28" customFormat="1">
      <c r="B396" s="27"/>
      <c r="D396" s="359"/>
      <c r="E396" s="30"/>
      <c r="G396" s="31"/>
      <c r="H396" s="360"/>
      <c r="I396" s="360"/>
      <c r="J396" s="360"/>
      <c r="X396" s="88"/>
      <c r="Z396" s="134"/>
      <c r="AA396" s="27"/>
      <c r="AB396" s="27"/>
      <c r="AC396" s="27"/>
      <c r="AD396" s="27"/>
      <c r="AE396" s="27"/>
      <c r="AF396" s="27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</row>
    <row r="397" spans="2:54" s="28" customFormat="1">
      <c r="B397" s="27"/>
      <c r="D397" s="359"/>
      <c r="E397" s="30"/>
      <c r="G397" s="31"/>
      <c r="H397" s="360"/>
      <c r="I397" s="360"/>
      <c r="J397" s="360"/>
      <c r="X397" s="88"/>
      <c r="Z397" s="134"/>
      <c r="AA397" s="27"/>
      <c r="AB397" s="27"/>
      <c r="AC397" s="27"/>
      <c r="AD397" s="27"/>
      <c r="AE397" s="27"/>
      <c r="AF397" s="27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</row>
    <row r="398" spans="2:54" s="28" customFormat="1">
      <c r="B398" s="27"/>
      <c r="D398" s="359"/>
      <c r="E398" s="30"/>
      <c r="G398" s="31"/>
      <c r="H398" s="360"/>
      <c r="I398" s="360"/>
      <c r="J398" s="360"/>
      <c r="X398" s="88"/>
      <c r="Z398" s="134"/>
      <c r="AA398" s="27"/>
      <c r="AB398" s="27"/>
      <c r="AC398" s="27"/>
      <c r="AD398" s="27"/>
      <c r="AE398" s="27"/>
      <c r="AF398" s="27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</row>
    <row r="399" spans="2:54" s="28" customFormat="1">
      <c r="B399" s="27"/>
      <c r="D399" s="359"/>
      <c r="E399" s="30"/>
      <c r="G399" s="31"/>
      <c r="H399" s="360"/>
      <c r="I399" s="360"/>
      <c r="J399" s="360"/>
      <c r="X399" s="88"/>
      <c r="Z399" s="134"/>
      <c r="AA399" s="27"/>
      <c r="AB399" s="27"/>
      <c r="AC399" s="27"/>
      <c r="AD399" s="27"/>
      <c r="AE399" s="27"/>
      <c r="AF399" s="27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</row>
    <row r="400" spans="2:54" s="28" customFormat="1">
      <c r="B400" s="27"/>
      <c r="D400" s="359"/>
      <c r="E400" s="30"/>
      <c r="G400" s="31"/>
      <c r="H400" s="360"/>
      <c r="I400" s="360"/>
      <c r="J400" s="360"/>
      <c r="X400" s="88"/>
      <c r="Z400" s="134"/>
      <c r="AA400" s="27"/>
      <c r="AB400" s="27"/>
      <c r="AC400" s="27"/>
      <c r="AD400" s="27"/>
      <c r="AE400" s="27"/>
      <c r="AF400" s="27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</row>
    <row r="401" spans="2:54" s="28" customFormat="1">
      <c r="B401" s="27"/>
      <c r="D401" s="359"/>
      <c r="E401" s="30"/>
      <c r="G401" s="31"/>
      <c r="H401" s="360"/>
      <c r="I401" s="360"/>
      <c r="J401" s="360"/>
      <c r="X401" s="88"/>
      <c r="Z401" s="134"/>
      <c r="AA401" s="27"/>
      <c r="AB401" s="27"/>
      <c r="AC401" s="27"/>
      <c r="AD401" s="27"/>
      <c r="AE401" s="27"/>
      <c r="AF401" s="27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</row>
    <row r="402" spans="2:54" s="28" customFormat="1">
      <c r="B402" s="27"/>
      <c r="D402" s="359"/>
      <c r="E402" s="30"/>
      <c r="G402" s="31"/>
      <c r="H402" s="360"/>
      <c r="I402" s="360"/>
      <c r="J402" s="360"/>
      <c r="X402" s="88"/>
      <c r="Z402" s="134"/>
      <c r="AA402" s="27"/>
      <c r="AB402" s="27"/>
      <c r="AC402" s="27"/>
      <c r="AD402" s="27"/>
      <c r="AE402" s="27"/>
      <c r="AF402" s="27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</row>
    <row r="403" spans="2:54" s="28" customFormat="1">
      <c r="B403" s="27"/>
      <c r="D403" s="359"/>
      <c r="E403" s="30"/>
      <c r="G403" s="31"/>
      <c r="H403" s="360"/>
      <c r="I403" s="360"/>
      <c r="J403" s="360"/>
      <c r="X403" s="88"/>
      <c r="Z403" s="134"/>
      <c r="AA403" s="27"/>
      <c r="AB403" s="27"/>
      <c r="AC403" s="27"/>
      <c r="AD403" s="27"/>
      <c r="AE403" s="27"/>
      <c r="AF403" s="27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</row>
    <row r="404" spans="2:54" s="28" customFormat="1">
      <c r="B404" s="27"/>
      <c r="D404" s="359"/>
      <c r="E404" s="30"/>
      <c r="G404" s="31"/>
      <c r="H404" s="360"/>
      <c r="I404" s="360"/>
      <c r="J404" s="360"/>
      <c r="X404" s="88"/>
      <c r="Z404" s="134"/>
      <c r="AA404" s="27"/>
      <c r="AB404" s="27"/>
      <c r="AC404" s="27"/>
      <c r="AD404" s="27"/>
      <c r="AE404" s="27"/>
      <c r="AF404" s="27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</row>
    <row r="405" spans="2:54" s="28" customFormat="1">
      <c r="B405" s="27"/>
      <c r="D405" s="359"/>
      <c r="E405" s="30"/>
      <c r="G405" s="31"/>
      <c r="H405" s="360"/>
      <c r="I405" s="360"/>
      <c r="J405" s="360"/>
      <c r="X405" s="88"/>
      <c r="Z405" s="134"/>
      <c r="AA405" s="27"/>
      <c r="AB405" s="27"/>
      <c r="AC405" s="27"/>
      <c r="AD405" s="27"/>
      <c r="AE405" s="27"/>
      <c r="AF405" s="27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</row>
    <row r="406" spans="2:54" s="28" customFormat="1">
      <c r="B406" s="27"/>
      <c r="D406" s="359"/>
      <c r="E406" s="30"/>
      <c r="G406" s="31"/>
      <c r="H406" s="360"/>
      <c r="I406" s="360"/>
      <c r="J406" s="360"/>
      <c r="X406" s="88"/>
      <c r="Z406" s="134"/>
      <c r="AA406" s="27"/>
      <c r="AB406" s="27"/>
      <c r="AC406" s="27"/>
      <c r="AD406" s="27"/>
      <c r="AE406" s="27"/>
      <c r="AF406" s="27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</row>
    <row r="407" spans="2:54" s="28" customFormat="1">
      <c r="B407" s="27"/>
      <c r="D407" s="359"/>
      <c r="E407" s="30"/>
      <c r="G407" s="31"/>
      <c r="H407" s="360"/>
      <c r="I407" s="360"/>
      <c r="J407" s="360"/>
      <c r="X407" s="88"/>
      <c r="Z407" s="134"/>
      <c r="AA407" s="27"/>
      <c r="AB407" s="27"/>
      <c r="AC407" s="27"/>
      <c r="AD407" s="27"/>
      <c r="AE407" s="27"/>
      <c r="AF407" s="27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</row>
    <row r="408" spans="2:54" s="28" customFormat="1">
      <c r="B408" s="27"/>
      <c r="D408" s="359"/>
      <c r="E408" s="30"/>
      <c r="G408" s="31"/>
      <c r="H408" s="360"/>
      <c r="I408" s="360"/>
      <c r="J408" s="360"/>
      <c r="X408" s="88"/>
      <c r="Z408" s="134"/>
      <c r="AA408" s="27"/>
      <c r="AB408" s="27"/>
      <c r="AC408" s="27"/>
      <c r="AD408" s="27"/>
      <c r="AE408" s="27"/>
      <c r="AF408" s="27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</row>
    <row r="409" spans="2:54" s="28" customFormat="1">
      <c r="B409" s="27"/>
      <c r="D409" s="359"/>
      <c r="E409" s="30"/>
      <c r="G409" s="31"/>
      <c r="H409" s="360"/>
      <c r="I409" s="360"/>
      <c r="J409" s="360"/>
      <c r="X409" s="88"/>
      <c r="Z409" s="134"/>
      <c r="AA409" s="27"/>
      <c r="AB409" s="27"/>
      <c r="AC409" s="27"/>
      <c r="AD409" s="27"/>
      <c r="AE409" s="27"/>
      <c r="AF409" s="27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</row>
    <row r="410" spans="2:54" s="28" customFormat="1">
      <c r="B410" s="27"/>
      <c r="D410" s="359"/>
      <c r="E410" s="30"/>
      <c r="G410" s="31"/>
      <c r="H410" s="360"/>
      <c r="I410" s="360"/>
      <c r="J410" s="360"/>
      <c r="X410" s="88"/>
      <c r="Z410" s="134"/>
      <c r="AA410" s="27"/>
      <c r="AB410" s="27"/>
      <c r="AC410" s="27"/>
      <c r="AD410" s="27"/>
      <c r="AE410" s="27"/>
      <c r="AF410" s="27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</row>
    <row r="411" spans="2:54" s="28" customFormat="1">
      <c r="B411" s="27"/>
      <c r="D411" s="359"/>
      <c r="E411" s="30"/>
      <c r="G411" s="31"/>
      <c r="H411" s="360"/>
      <c r="I411" s="360"/>
      <c r="J411" s="360"/>
      <c r="X411" s="88"/>
      <c r="Z411" s="134"/>
      <c r="AA411" s="27"/>
      <c r="AB411" s="27"/>
      <c r="AC411" s="27"/>
      <c r="AD411" s="27"/>
      <c r="AE411" s="27"/>
      <c r="AF411" s="27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</row>
    <row r="412" spans="2:54" s="28" customFormat="1">
      <c r="B412" s="27"/>
      <c r="D412" s="359"/>
      <c r="E412" s="30"/>
      <c r="G412" s="31"/>
      <c r="H412" s="360"/>
      <c r="I412" s="360"/>
      <c r="J412" s="360"/>
      <c r="X412" s="88"/>
      <c r="Z412" s="134"/>
      <c r="AA412" s="27"/>
      <c r="AB412" s="27"/>
      <c r="AC412" s="27"/>
      <c r="AD412" s="27"/>
      <c r="AE412" s="27"/>
      <c r="AF412" s="27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</row>
    <row r="413" spans="2:54" s="28" customFormat="1">
      <c r="B413" s="27"/>
      <c r="D413" s="359"/>
      <c r="E413" s="30"/>
      <c r="G413" s="31"/>
      <c r="H413" s="360"/>
      <c r="I413" s="360"/>
      <c r="J413" s="360"/>
      <c r="X413" s="88"/>
      <c r="Z413" s="134"/>
      <c r="AA413" s="27"/>
      <c r="AB413" s="27"/>
      <c r="AC413" s="27"/>
      <c r="AD413" s="27"/>
      <c r="AE413" s="27"/>
      <c r="AF413" s="27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</row>
    <row r="414" spans="2:54" s="28" customFormat="1">
      <c r="B414" s="27"/>
      <c r="D414" s="359"/>
      <c r="E414" s="30"/>
      <c r="G414" s="31"/>
      <c r="H414" s="360"/>
      <c r="I414" s="360"/>
      <c r="J414" s="360"/>
      <c r="X414" s="88"/>
      <c r="Z414" s="134"/>
      <c r="AA414" s="27"/>
      <c r="AB414" s="27"/>
      <c r="AC414" s="27"/>
      <c r="AD414" s="27"/>
      <c r="AE414" s="27"/>
      <c r="AF414" s="27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</row>
    <row r="415" spans="2:54" s="28" customFormat="1">
      <c r="B415" s="27"/>
      <c r="D415" s="359"/>
      <c r="E415" s="30"/>
      <c r="G415" s="31"/>
      <c r="H415" s="360"/>
      <c r="I415" s="360"/>
      <c r="J415" s="360"/>
      <c r="X415" s="88"/>
      <c r="Z415" s="134"/>
      <c r="AA415" s="27"/>
      <c r="AB415" s="27"/>
      <c r="AC415" s="27"/>
      <c r="AD415" s="27"/>
      <c r="AE415" s="27"/>
      <c r="AF415" s="27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</row>
    <row r="416" spans="2:54" s="28" customFormat="1">
      <c r="B416" s="27"/>
      <c r="D416" s="359"/>
      <c r="E416" s="30"/>
      <c r="G416" s="31"/>
      <c r="H416" s="360"/>
      <c r="I416" s="360"/>
      <c r="J416" s="360"/>
      <c r="X416" s="88"/>
      <c r="Z416" s="134"/>
      <c r="AA416" s="27"/>
      <c r="AB416" s="27"/>
      <c r="AC416" s="27"/>
      <c r="AD416" s="27"/>
      <c r="AE416" s="27"/>
      <c r="AF416" s="27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</row>
    <row r="417" spans="2:54" s="28" customFormat="1">
      <c r="B417" s="27"/>
      <c r="D417" s="359"/>
      <c r="E417" s="30"/>
      <c r="G417" s="31"/>
      <c r="H417" s="360"/>
      <c r="I417" s="360"/>
      <c r="J417" s="360"/>
      <c r="X417" s="88"/>
      <c r="Z417" s="134"/>
      <c r="AA417" s="27"/>
      <c r="AB417" s="27"/>
      <c r="AC417" s="27"/>
      <c r="AD417" s="27"/>
      <c r="AE417" s="27"/>
      <c r="AF417" s="27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</row>
    <row r="418" spans="2:54" s="28" customFormat="1">
      <c r="B418" s="27"/>
      <c r="D418" s="359"/>
      <c r="E418" s="30"/>
      <c r="G418" s="31"/>
      <c r="H418" s="360"/>
      <c r="I418" s="360"/>
      <c r="J418" s="360"/>
      <c r="X418" s="88"/>
      <c r="Z418" s="134"/>
      <c r="AA418" s="27"/>
      <c r="AB418" s="27"/>
      <c r="AC418" s="27"/>
      <c r="AD418" s="27"/>
      <c r="AE418" s="27"/>
      <c r="AF418" s="27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</row>
    <row r="419" spans="2:54" s="28" customFormat="1">
      <c r="B419" s="27"/>
      <c r="D419" s="359"/>
      <c r="E419" s="30"/>
      <c r="G419" s="31"/>
      <c r="H419" s="360"/>
      <c r="I419" s="360"/>
      <c r="J419" s="360"/>
      <c r="X419" s="88"/>
      <c r="Z419" s="134"/>
      <c r="AA419" s="27"/>
      <c r="AB419" s="27"/>
      <c r="AC419" s="27"/>
      <c r="AD419" s="27"/>
      <c r="AE419" s="27"/>
      <c r="AF419" s="27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</row>
    <row r="420" spans="2:54" s="28" customFormat="1">
      <c r="B420" s="27"/>
      <c r="D420" s="359"/>
      <c r="E420" s="30"/>
      <c r="G420" s="31"/>
      <c r="H420" s="360"/>
      <c r="I420" s="360"/>
      <c r="J420" s="360"/>
      <c r="X420" s="88"/>
      <c r="Z420" s="134"/>
      <c r="AA420" s="27"/>
      <c r="AB420" s="27"/>
      <c r="AC420" s="27"/>
      <c r="AD420" s="27"/>
      <c r="AE420" s="27"/>
      <c r="AF420" s="27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</row>
    <row r="421" spans="2:54" s="28" customFormat="1">
      <c r="B421" s="27"/>
      <c r="D421" s="359"/>
      <c r="E421" s="30"/>
      <c r="G421" s="31"/>
      <c r="H421" s="360"/>
      <c r="I421" s="360"/>
      <c r="J421" s="360"/>
      <c r="X421" s="88"/>
      <c r="Z421" s="134"/>
      <c r="AA421" s="27"/>
      <c r="AB421" s="27"/>
      <c r="AC421" s="27"/>
      <c r="AD421" s="27"/>
      <c r="AE421" s="27"/>
      <c r="AF421" s="27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</row>
    <row r="422" spans="2:54" s="28" customFormat="1">
      <c r="B422" s="27"/>
      <c r="D422" s="359"/>
      <c r="E422" s="30"/>
      <c r="G422" s="31"/>
      <c r="H422" s="360"/>
      <c r="I422" s="360"/>
      <c r="J422" s="360"/>
      <c r="X422" s="88"/>
      <c r="Z422" s="134"/>
      <c r="AA422" s="27"/>
      <c r="AB422" s="27"/>
      <c r="AC422" s="27"/>
      <c r="AD422" s="27"/>
      <c r="AE422" s="27"/>
      <c r="AF422" s="27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</row>
    <row r="423" spans="2:54" s="28" customFormat="1">
      <c r="B423" s="27"/>
      <c r="D423" s="359"/>
      <c r="E423" s="30"/>
      <c r="G423" s="31"/>
      <c r="H423" s="360"/>
      <c r="I423" s="360"/>
      <c r="J423" s="360"/>
      <c r="X423" s="88"/>
      <c r="Z423" s="134"/>
      <c r="AA423" s="27"/>
      <c r="AB423" s="27"/>
      <c r="AC423" s="27"/>
      <c r="AD423" s="27"/>
      <c r="AE423" s="27"/>
      <c r="AF423" s="27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</row>
    <row r="424" spans="2:54" s="28" customFormat="1">
      <c r="B424" s="27"/>
      <c r="D424" s="359"/>
      <c r="E424" s="30"/>
      <c r="G424" s="31"/>
      <c r="H424" s="360"/>
      <c r="I424" s="360"/>
      <c r="J424" s="360"/>
      <c r="X424" s="88"/>
      <c r="Z424" s="134"/>
      <c r="AA424" s="27"/>
      <c r="AB424" s="27"/>
      <c r="AC424" s="27"/>
      <c r="AD424" s="27"/>
      <c r="AE424" s="27"/>
      <c r="AF424" s="27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</row>
    <row r="425" spans="2:54" s="28" customFormat="1">
      <c r="B425" s="27"/>
      <c r="D425" s="359"/>
      <c r="E425" s="30"/>
      <c r="G425" s="31"/>
      <c r="H425" s="360"/>
      <c r="I425" s="360"/>
      <c r="J425" s="360"/>
      <c r="X425" s="88"/>
      <c r="Z425" s="134"/>
      <c r="AA425" s="27"/>
      <c r="AB425" s="27"/>
      <c r="AC425" s="27"/>
      <c r="AD425" s="27"/>
      <c r="AE425" s="27"/>
      <c r="AF425" s="27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</row>
    <row r="426" spans="2:54" s="28" customFormat="1">
      <c r="B426" s="27"/>
      <c r="D426" s="359"/>
      <c r="E426" s="30"/>
      <c r="G426" s="31"/>
      <c r="H426" s="360"/>
      <c r="I426" s="360"/>
      <c r="J426" s="360"/>
      <c r="X426" s="88"/>
      <c r="Z426" s="134"/>
      <c r="AA426" s="27"/>
      <c r="AB426" s="27"/>
      <c r="AC426" s="27"/>
      <c r="AD426" s="27"/>
      <c r="AE426" s="27"/>
      <c r="AF426" s="27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</row>
    <row r="427" spans="2:54" s="28" customFormat="1">
      <c r="B427" s="27"/>
      <c r="D427" s="359"/>
      <c r="E427" s="30"/>
      <c r="G427" s="31"/>
      <c r="H427" s="360"/>
      <c r="I427" s="360"/>
      <c r="J427" s="360"/>
      <c r="X427" s="88"/>
      <c r="Z427" s="134"/>
      <c r="AA427" s="27"/>
      <c r="AB427" s="27"/>
      <c r="AC427" s="27"/>
      <c r="AD427" s="27"/>
      <c r="AE427" s="27"/>
      <c r="AF427" s="27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</row>
    <row r="428" spans="2:54" s="28" customFormat="1">
      <c r="B428" s="27"/>
      <c r="D428" s="359"/>
      <c r="E428" s="30"/>
      <c r="G428" s="31"/>
      <c r="H428" s="360"/>
      <c r="I428" s="360"/>
      <c r="J428" s="360"/>
      <c r="X428" s="88"/>
      <c r="Z428" s="134"/>
      <c r="AA428" s="27"/>
      <c r="AB428" s="27"/>
      <c r="AC428" s="27"/>
      <c r="AD428" s="27"/>
      <c r="AE428" s="27"/>
      <c r="AF428" s="27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</row>
    <row r="429" spans="2:54" s="28" customFormat="1">
      <c r="B429" s="27"/>
      <c r="D429" s="359"/>
      <c r="E429" s="30"/>
      <c r="G429" s="31"/>
      <c r="H429" s="360"/>
      <c r="I429" s="360"/>
      <c r="J429" s="360"/>
      <c r="X429" s="88"/>
      <c r="Z429" s="134"/>
      <c r="AA429" s="27"/>
      <c r="AB429" s="27"/>
      <c r="AC429" s="27"/>
      <c r="AD429" s="27"/>
      <c r="AE429" s="27"/>
      <c r="AF429" s="27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</row>
    <row r="430" spans="2:54" s="28" customFormat="1">
      <c r="B430" s="27"/>
      <c r="D430" s="359"/>
      <c r="E430" s="30"/>
      <c r="G430" s="31"/>
      <c r="H430" s="360"/>
      <c r="I430" s="360"/>
      <c r="J430" s="360"/>
      <c r="X430" s="88"/>
      <c r="Z430" s="134"/>
      <c r="AA430" s="27"/>
      <c r="AB430" s="27"/>
      <c r="AC430" s="27"/>
      <c r="AD430" s="27"/>
      <c r="AE430" s="27"/>
      <c r="AF430" s="27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</row>
    <row r="431" spans="2:54" s="28" customFormat="1">
      <c r="B431" s="27"/>
      <c r="D431" s="359"/>
      <c r="E431" s="30"/>
      <c r="G431" s="31"/>
      <c r="H431" s="360"/>
      <c r="I431" s="360"/>
      <c r="J431" s="360"/>
      <c r="X431" s="88"/>
      <c r="Z431" s="134"/>
      <c r="AA431" s="27"/>
      <c r="AB431" s="27"/>
      <c r="AC431" s="27"/>
      <c r="AD431" s="27"/>
      <c r="AE431" s="27"/>
      <c r="AF431" s="27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</row>
    <row r="432" spans="2:54" s="28" customFormat="1">
      <c r="B432" s="27"/>
      <c r="D432" s="359"/>
      <c r="E432" s="30"/>
      <c r="G432" s="31"/>
      <c r="H432" s="360"/>
      <c r="I432" s="360"/>
      <c r="J432" s="360"/>
      <c r="X432" s="88"/>
      <c r="Z432" s="134"/>
      <c r="AA432" s="27"/>
      <c r="AB432" s="27"/>
      <c r="AC432" s="27"/>
      <c r="AD432" s="27"/>
      <c r="AE432" s="27"/>
      <c r="AF432" s="27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</row>
    <row r="433" spans="2:54" s="28" customFormat="1">
      <c r="B433" s="27"/>
      <c r="D433" s="359"/>
      <c r="E433" s="30"/>
      <c r="G433" s="31"/>
      <c r="H433" s="360"/>
      <c r="I433" s="360"/>
      <c r="J433" s="360"/>
      <c r="X433" s="88"/>
      <c r="Z433" s="134"/>
      <c r="AA433" s="27"/>
      <c r="AB433" s="27"/>
      <c r="AC433" s="27"/>
      <c r="AD433" s="27"/>
      <c r="AE433" s="27"/>
      <c r="AF433" s="27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</row>
    <row r="434" spans="2:54" s="28" customFormat="1">
      <c r="B434" s="27"/>
      <c r="D434" s="359"/>
      <c r="E434" s="30"/>
      <c r="G434" s="31"/>
      <c r="H434" s="360"/>
      <c r="I434" s="360"/>
      <c r="J434" s="360"/>
      <c r="X434" s="88"/>
      <c r="Z434" s="134"/>
      <c r="AA434" s="27"/>
      <c r="AB434" s="27"/>
      <c r="AC434" s="27"/>
      <c r="AD434" s="27"/>
      <c r="AE434" s="27"/>
      <c r="AF434" s="27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</row>
    <row r="435" spans="2:54" s="28" customFormat="1">
      <c r="B435" s="27"/>
      <c r="D435" s="359"/>
      <c r="E435" s="30"/>
      <c r="G435" s="31"/>
      <c r="H435" s="360"/>
      <c r="I435" s="360"/>
      <c r="J435" s="360"/>
      <c r="X435" s="88"/>
      <c r="Z435" s="134"/>
      <c r="AA435" s="27"/>
      <c r="AB435" s="27"/>
      <c r="AC435" s="27"/>
      <c r="AD435" s="27"/>
      <c r="AE435" s="27"/>
      <c r="AF435" s="27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</row>
    <row r="436" spans="2:54" s="28" customFormat="1">
      <c r="B436" s="27"/>
      <c r="D436" s="359"/>
      <c r="E436" s="30"/>
      <c r="G436" s="31"/>
      <c r="H436" s="360"/>
      <c r="I436" s="360"/>
      <c r="J436" s="360"/>
      <c r="X436" s="88"/>
      <c r="Z436" s="134"/>
      <c r="AA436" s="27"/>
      <c r="AB436" s="27"/>
      <c r="AC436" s="27"/>
      <c r="AD436" s="27"/>
      <c r="AE436" s="27"/>
      <c r="AF436" s="27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</row>
    <row r="437" spans="2:54" s="28" customFormat="1">
      <c r="B437" s="27"/>
      <c r="D437" s="359"/>
      <c r="E437" s="30"/>
      <c r="G437" s="31"/>
      <c r="H437" s="360"/>
      <c r="I437" s="360"/>
      <c r="J437" s="360"/>
      <c r="X437" s="88"/>
      <c r="Z437" s="134"/>
      <c r="AA437" s="27"/>
      <c r="AB437" s="27"/>
      <c r="AC437" s="27"/>
      <c r="AD437" s="27"/>
      <c r="AE437" s="27"/>
      <c r="AF437" s="27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</row>
    <row r="438" spans="2:54" s="28" customFormat="1">
      <c r="B438" s="27"/>
      <c r="D438" s="359"/>
      <c r="E438" s="30"/>
      <c r="G438" s="31"/>
      <c r="H438" s="360"/>
      <c r="I438" s="360"/>
      <c r="J438" s="360"/>
      <c r="X438" s="88"/>
      <c r="Z438" s="134"/>
      <c r="AA438" s="27"/>
      <c r="AB438" s="27"/>
      <c r="AC438" s="27"/>
      <c r="AD438" s="27"/>
      <c r="AE438" s="27"/>
      <c r="AF438" s="27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</row>
    <row r="439" spans="2:54" s="28" customFormat="1">
      <c r="B439" s="27"/>
      <c r="D439" s="359"/>
      <c r="E439" s="30"/>
      <c r="G439" s="31"/>
      <c r="H439" s="360"/>
      <c r="I439" s="360"/>
      <c r="J439" s="360"/>
      <c r="X439" s="88"/>
      <c r="Z439" s="134"/>
      <c r="AA439" s="27"/>
      <c r="AB439" s="27"/>
      <c r="AC439" s="27"/>
      <c r="AD439" s="27"/>
      <c r="AE439" s="27"/>
      <c r="AF439" s="27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</row>
    <row r="440" spans="2:54" s="28" customFormat="1">
      <c r="B440" s="27"/>
      <c r="D440" s="359"/>
      <c r="E440" s="30"/>
      <c r="G440" s="31"/>
      <c r="H440" s="360"/>
      <c r="I440" s="360"/>
      <c r="J440" s="360"/>
      <c r="X440" s="88"/>
      <c r="Z440" s="134"/>
      <c r="AA440" s="27"/>
      <c r="AB440" s="27"/>
      <c r="AC440" s="27"/>
      <c r="AD440" s="27"/>
      <c r="AE440" s="27"/>
      <c r="AF440" s="27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</row>
    <row r="441" spans="2:54" s="28" customFormat="1">
      <c r="B441" s="27"/>
      <c r="D441" s="359"/>
      <c r="E441" s="30"/>
      <c r="G441" s="31"/>
      <c r="H441" s="360"/>
      <c r="I441" s="360"/>
      <c r="J441" s="360"/>
      <c r="X441" s="88"/>
      <c r="Z441" s="134"/>
      <c r="AA441" s="27"/>
      <c r="AB441" s="27"/>
      <c r="AC441" s="27"/>
      <c r="AD441" s="27"/>
      <c r="AE441" s="27"/>
      <c r="AF441" s="27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</row>
    <row r="442" spans="2:54" s="28" customFormat="1">
      <c r="B442" s="27"/>
      <c r="D442" s="359"/>
      <c r="E442" s="30"/>
      <c r="G442" s="31"/>
      <c r="H442" s="360"/>
      <c r="I442" s="360"/>
      <c r="J442" s="360"/>
      <c r="X442" s="88"/>
      <c r="Z442" s="134"/>
      <c r="AA442" s="27"/>
      <c r="AB442" s="27"/>
      <c r="AC442" s="27"/>
      <c r="AD442" s="27"/>
      <c r="AE442" s="27"/>
      <c r="AF442" s="27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</row>
    <row r="443" spans="2:54" s="28" customFormat="1">
      <c r="B443" s="27"/>
      <c r="D443" s="359"/>
      <c r="E443" s="30"/>
      <c r="G443" s="31"/>
      <c r="H443" s="360"/>
      <c r="I443" s="360"/>
      <c r="J443" s="360"/>
      <c r="X443" s="88"/>
      <c r="Z443" s="134"/>
      <c r="AA443" s="27"/>
      <c r="AB443" s="27"/>
      <c r="AC443" s="27"/>
      <c r="AD443" s="27"/>
      <c r="AE443" s="27"/>
      <c r="AF443" s="27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</row>
    <row r="444" spans="2:54" s="28" customFormat="1">
      <c r="B444" s="27"/>
      <c r="D444" s="359"/>
      <c r="E444" s="30"/>
      <c r="G444" s="31"/>
      <c r="H444" s="360"/>
      <c r="I444" s="360"/>
      <c r="J444" s="360"/>
      <c r="X444" s="88"/>
      <c r="Z444" s="134"/>
      <c r="AA444" s="27"/>
      <c r="AB444" s="27"/>
      <c r="AC444" s="27"/>
      <c r="AD444" s="27"/>
      <c r="AE444" s="27"/>
      <c r="AF444" s="27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</row>
    <row r="445" spans="2:54" s="28" customFormat="1">
      <c r="B445" s="27"/>
      <c r="D445" s="359"/>
      <c r="E445" s="30"/>
      <c r="G445" s="31"/>
      <c r="H445" s="360"/>
      <c r="I445" s="360"/>
      <c r="J445" s="360"/>
      <c r="X445" s="88"/>
      <c r="Z445" s="134"/>
      <c r="AA445" s="27"/>
      <c r="AB445" s="27"/>
      <c r="AC445" s="27"/>
      <c r="AD445" s="27"/>
      <c r="AE445" s="27"/>
      <c r="AF445" s="27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</row>
    <row r="446" spans="2:54" s="28" customFormat="1">
      <c r="B446" s="27"/>
      <c r="D446" s="359"/>
      <c r="E446" s="30"/>
      <c r="G446" s="31"/>
      <c r="H446" s="360"/>
      <c r="I446" s="360"/>
      <c r="J446" s="360"/>
      <c r="X446" s="88"/>
      <c r="Z446" s="134"/>
      <c r="AA446" s="27"/>
      <c r="AB446" s="27"/>
      <c r="AC446" s="27"/>
      <c r="AD446" s="27"/>
      <c r="AE446" s="27"/>
      <c r="AF446" s="27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</row>
    <row r="447" spans="2:54" s="28" customFormat="1">
      <c r="B447" s="27"/>
      <c r="D447" s="359"/>
      <c r="E447" s="30"/>
      <c r="G447" s="31"/>
      <c r="H447" s="360"/>
      <c r="I447" s="360"/>
      <c r="J447" s="360"/>
      <c r="X447" s="88"/>
      <c r="Z447" s="134"/>
      <c r="AA447" s="27"/>
      <c r="AB447" s="27"/>
      <c r="AC447" s="27"/>
      <c r="AD447" s="27"/>
      <c r="AE447" s="27"/>
      <c r="AF447" s="27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</row>
    <row r="448" spans="2:54" s="28" customFormat="1">
      <c r="B448" s="27"/>
      <c r="D448" s="359"/>
      <c r="E448" s="30"/>
      <c r="G448" s="31"/>
      <c r="H448" s="360"/>
      <c r="I448" s="360"/>
      <c r="J448" s="360"/>
      <c r="X448" s="88"/>
      <c r="Z448" s="134"/>
      <c r="AA448" s="27"/>
      <c r="AB448" s="27"/>
      <c r="AC448" s="27"/>
      <c r="AD448" s="27"/>
      <c r="AE448" s="27"/>
      <c r="AF448" s="27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</row>
    <row r="449" spans="2:54" s="28" customFormat="1">
      <c r="B449" s="27"/>
      <c r="D449" s="359"/>
      <c r="E449" s="30"/>
      <c r="G449" s="31"/>
      <c r="H449" s="360"/>
      <c r="I449" s="360"/>
      <c r="J449" s="360"/>
      <c r="X449" s="88"/>
      <c r="Z449" s="134"/>
      <c r="AA449" s="27"/>
      <c r="AB449" s="27"/>
      <c r="AC449" s="27"/>
      <c r="AD449" s="27"/>
      <c r="AE449" s="27"/>
      <c r="AF449" s="27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</row>
    <row r="450" spans="2:54" s="28" customFormat="1">
      <c r="B450" s="27"/>
      <c r="D450" s="359"/>
      <c r="E450" s="30"/>
      <c r="G450" s="31"/>
      <c r="H450" s="360"/>
      <c r="I450" s="360"/>
      <c r="J450" s="360"/>
      <c r="X450" s="88"/>
      <c r="Z450" s="134"/>
      <c r="AA450" s="27"/>
      <c r="AB450" s="27"/>
      <c r="AC450" s="27"/>
      <c r="AD450" s="27"/>
      <c r="AE450" s="27"/>
      <c r="AF450" s="27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</row>
    <row r="451" spans="2:54" s="28" customFormat="1">
      <c r="B451" s="27"/>
      <c r="D451" s="359"/>
      <c r="E451" s="30"/>
      <c r="G451" s="31"/>
      <c r="H451" s="360"/>
      <c r="I451" s="360"/>
      <c r="J451" s="360"/>
      <c r="X451" s="88"/>
      <c r="Z451" s="134"/>
      <c r="AA451" s="27"/>
      <c r="AB451" s="27"/>
      <c r="AC451" s="27"/>
      <c r="AD451" s="27"/>
      <c r="AE451" s="27"/>
      <c r="AF451" s="27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</row>
    <row r="452" spans="2:54" s="28" customFormat="1">
      <c r="B452" s="27"/>
      <c r="D452" s="359"/>
      <c r="E452" s="30"/>
      <c r="G452" s="31"/>
      <c r="H452" s="360"/>
      <c r="I452" s="360"/>
      <c r="J452" s="360"/>
      <c r="X452" s="88"/>
      <c r="Z452" s="134"/>
      <c r="AA452" s="27"/>
      <c r="AB452" s="27"/>
      <c r="AC452" s="27"/>
      <c r="AD452" s="27"/>
      <c r="AE452" s="27"/>
      <c r="AF452" s="27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</row>
    <row r="453" spans="2:54" s="28" customFormat="1">
      <c r="B453" s="27"/>
      <c r="D453" s="359"/>
      <c r="E453" s="30"/>
      <c r="G453" s="31"/>
      <c r="H453" s="360"/>
      <c r="I453" s="360"/>
      <c r="J453" s="360"/>
      <c r="X453" s="88"/>
      <c r="Z453" s="134"/>
      <c r="AA453" s="27"/>
      <c r="AB453" s="27"/>
      <c r="AC453" s="27"/>
      <c r="AD453" s="27"/>
      <c r="AE453" s="27"/>
      <c r="AF453" s="27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</row>
    <row r="454" spans="2:54" s="28" customFormat="1">
      <c r="B454" s="27"/>
      <c r="D454" s="359"/>
      <c r="E454" s="30"/>
      <c r="G454" s="31"/>
      <c r="H454" s="360"/>
      <c r="I454" s="360"/>
      <c r="J454" s="360"/>
      <c r="X454" s="88"/>
      <c r="Z454" s="134"/>
      <c r="AA454" s="27"/>
      <c r="AB454" s="27"/>
      <c r="AC454" s="27"/>
      <c r="AD454" s="27"/>
      <c r="AE454" s="27"/>
      <c r="AF454" s="27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</row>
    <row r="455" spans="2:54" s="28" customFormat="1">
      <c r="B455" s="27"/>
      <c r="D455" s="359"/>
      <c r="E455" s="30"/>
      <c r="G455" s="31"/>
      <c r="H455" s="360"/>
      <c r="I455" s="360"/>
      <c r="J455" s="360"/>
      <c r="X455" s="88"/>
      <c r="Z455" s="134"/>
      <c r="AA455" s="27"/>
      <c r="AB455" s="27"/>
      <c r="AC455" s="27"/>
      <c r="AD455" s="27"/>
      <c r="AE455" s="27"/>
      <c r="AF455" s="27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</row>
    <row r="456" spans="2:54" s="28" customFormat="1">
      <c r="B456" s="27"/>
      <c r="D456" s="359"/>
      <c r="E456" s="30"/>
      <c r="G456" s="31"/>
      <c r="H456" s="360"/>
      <c r="I456" s="360"/>
      <c r="J456" s="360"/>
      <c r="X456" s="88"/>
      <c r="Z456" s="134"/>
      <c r="AA456" s="27"/>
      <c r="AB456" s="27"/>
      <c r="AC456" s="27"/>
      <c r="AD456" s="27"/>
      <c r="AE456" s="27"/>
      <c r="AF456" s="27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</row>
    <row r="457" spans="2:54" s="28" customFormat="1">
      <c r="B457" s="27"/>
      <c r="D457" s="359"/>
      <c r="E457" s="30"/>
      <c r="G457" s="31"/>
      <c r="H457" s="360"/>
      <c r="I457" s="360"/>
      <c r="J457" s="360"/>
      <c r="X457" s="88"/>
      <c r="Z457" s="134"/>
      <c r="AA457" s="27"/>
      <c r="AB457" s="27"/>
      <c r="AC457" s="27"/>
      <c r="AD457" s="27"/>
      <c r="AE457" s="27"/>
      <c r="AF457" s="27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</row>
    <row r="458" spans="2:54" s="28" customFormat="1">
      <c r="B458" s="27"/>
      <c r="D458" s="359"/>
      <c r="E458" s="30"/>
      <c r="G458" s="31"/>
      <c r="H458" s="360"/>
      <c r="I458" s="360"/>
      <c r="J458" s="360"/>
      <c r="X458" s="88"/>
      <c r="Z458" s="134"/>
      <c r="AA458" s="27"/>
      <c r="AB458" s="27"/>
      <c r="AC458" s="27"/>
      <c r="AD458" s="27"/>
      <c r="AE458" s="27"/>
      <c r="AF458" s="27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</row>
    <row r="459" spans="2:54" s="28" customFormat="1">
      <c r="B459" s="27"/>
      <c r="D459" s="359"/>
      <c r="E459" s="30"/>
      <c r="G459" s="31"/>
      <c r="H459" s="360"/>
      <c r="I459" s="360"/>
      <c r="J459" s="360"/>
      <c r="X459" s="88"/>
      <c r="Z459" s="134"/>
      <c r="AA459" s="27"/>
      <c r="AB459" s="27"/>
      <c r="AC459" s="27"/>
      <c r="AD459" s="27"/>
      <c r="AE459" s="27"/>
      <c r="AF459" s="27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</row>
    <row r="460" spans="2:54" s="28" customFormat="1">
      <c r="B460" s="27"/>
      <c r="D460" s="359"/>
      <c r="E460" s="30"/>
      <c r="G460" s="31"/>
      <c r="H460" s="360"/>
      <c r="I460" s="360"/>
      <c r="J460" s="360"/>
      <c r="X460" s="88"/>
      <c r="Z460" s="134"/>
      <c r="AA460" s="27"/>
      <c r="AB460" s="27"/>
      <c r="AC460" s="27"/>
      <c r="AD460" s="27"/>
      <c r="AE460" s="27"/>
      <c r="AF460" s="27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</row>
    <row r="461" spans="2:54" s="28" customFormat="1">
      <c r="B461" s="27"/>
      <c r="D461" s="359"/>
      <c r="E461" s="30"/>
      <c r="G461" s="31"/>
      <c r="H461" s="360"/>
      <c r="I461" s="360"/>
      <c r="J461" s="360"/>
      <c r="X461" s="88"/>
      <c r="Z461" s="134"/>
      <c r="AA461" s="27"/>
      <c r="AB461" s="27"/>
      <c r="AC461" s="27"/>
      <c r="AD461" s="27"/>
      <c r="AE461" s="27"/>
      <c r="AF461" s="27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</row>
    <row r="462" spans="2:54" s="28" customFormat="1">
      <c r="B462" s="27"/>
      <c r="D462" s="359"/>
      <c r="E462" s="30"/>
      <c r="G462" s="31"/>
      <c r="H462" s="360"/>
      <c r="I462" s="360"/>
      <c r="J462" s="360"/>
      <c r="X462" s="88"/>
      <c r="Z462" s="134"/>
      <c r="AA462" s="27"/>
      <c r="AB462" s="27"/>
      <c r="AC462" s="27"/>
      <c r="AD462" s="27"/>
      <c r="AE462" s="27"/>
      <c r="AF462" s="27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</row>
    <row r="463" spans="2:54" s="28" customFormat="1">
      <c r="B463" s="27"/>
      <c r="D463" s="359"/>
      <c r="E463" s="30"/>
      <c r="G463" s="31"/>
      <c r="H463" s="360"/>
      <c r="I463" s="360"/>
      <c r="J463" s="360"/>
      <c r="X463" s="88"/>
      <c r="Z463" s="134"/>
      <c r="AA463" s="27"/>
      <c r="AB463" s="27"/>
      <c r="AC463" s="27"/>
      <c r="AD463" s="27"/>
      <c r="AE463" s="27"/>
      <c r="AF463" s="27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</row>
    <row r="464" spans="2:54" s="28" customFormat="1">
      <c r="B464" s="27"/>
      <c r="D464" s="359"/>
      <c r="E464" s="30"/>
      <c r="G464" s="31"/>
      <c r="H464" s="360"/>
      <c r="I464" s="360"/>
      <c r="J464" s="360"/>
      <c r="X464" s="88"/>
      <c r="Z464" s="134"/>
      <c r="AA464" s="27"/>
      <c r="AB464" s="27"/>
      <c r="AC464" s="27"/>
      <c r="AD464" s="27"/>
      <c r="AE464" s="27"/>
      <c r="AF464" s="27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</row>
    <row r="465" spans="2:54" s="28" customFormat="1">
      <c r="B465" s="27"/>
      <c r="D465" s="359"/>
      <c r="E465" s="30"/>
      <c r="G465" s="31"/>
      <c r="H465" s="360"/>
      <c r="I465" s="360"/>
      <c r="J465" s="360"/>
      <c r="X465" s="88"/>
      <c r="Z465" s="134"/>
      <c r="AA465" s="27"/>
      <c r="AB465" s="27"/>
      <c r="AC465" s="27"/>
      <c r="AD465" s="27"/>
      <c r="AE465" s="27"/>
      <c r="AF465" s="27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</row>
    <row r="466" spans="2:54" s="28" customFormat="1">
      <c r="B466" s="27"/>
      <c r="D466" s="359"/>
      <c r="E466" s="30"/>
      <c r="G466" s="31"/>
      <c r="H466" s="360"/>
      <c r="I466" s="360"/>
      <c r="J466" s="360"/>
      <c r="X466" s="88"/>
      <c r="Z466" s="134"/>
      <c r="AA466" s="27"/>
      <c r="AB466" s="27"/>
      <c r="AC466" s="27"/>
      <c r="AD466" s="27"/>
      <c r="AE466" s="27"/>
      <c r="AF466" s="27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</row>
    <row r="467" spans="2:54" s="28" customFormat="1">
      <c r="B467" s="27"/>
      <c r="D467" s="359"/>
      <c r="E467" s="30"/>
      <c r="G467" s="31"/>
      <c r="H467" s="360"/>
      <c r="I467" s="360"/>
      <c r="J467" s="360"/>
      <c r="X467" s="88"/>
      <c r="Z467" s="134"/>
      <c r="AA467" s="27"/>
      <c r="AB467" s="27"/>
      <c r="AC467" s="27"/>
      <c r="AD467" s="27"/>
      <c r="AE467" s="27"/>
      <c r="AF467" s="27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</row>
    <row r="468" spans="2:54" s="28" customFormat="1">
      <c r="B468" s="27"/>
      <c r="D468" s="359"/>
      <c r="E468" s="30"/>
      <c r="G468" s="31"/>
      <c r="H468" s="360"/>
      <c r="I468" s="360"/>
      <c r="J468" s="360"/>
      <c r="X468" s="88"/>
      <c r="Z468" s="134"/>
      <c r="AA468" s="27"/>
      <c r="AB468" s="27"/>
      <c r="AC468" s="27"/>
      <c r="AD468" s="27"/>
      <c r="AE468" s="27"/>
      <c r="AF468" s="27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</row>
    <row r="469" spans="2:54" s="28" customFormat="1">
      <c r="B469" s="27"/>
      <c r="D469" s="359"/>
      <c r="E469" s="30"/>
      <c r="G469" s="31"/>
      <c r="H469" s="360"/>
      <c r="I469" s="360"/>
      <c r="J469" s="360"/>
      <c r="X469" s="88"/>
      <c r="Z469" s="134"/>
      <c r="AA469" s="27"/>
      <c r="AB469" s="27"/>
      <c r="AC469" s="27"/>
      <c r="AD469" s="27"/>
      <c r="AE469" s="27"/>
      <c r="AF469" s="27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</row>
    <row r="470" spans="2:54" s="28" customFormat="1">
      <c r="B470" s="27"/>
      <c r="D470" s="359"/>
      <c r="E470" s="30"/>
      <c r="G470" s="31"/>
      <c r="H470" s="360"/>
      <c r="I470" s="360"/>
      <c r="J470" s="360"/>
      <c r="X470" s="88"/>
      <c r="Z470" s="134"/>
      <c r="AA470" s="27"/>
      <c r="AB470" s="27"/>
      <c r="AC470" s="27"/>
      <c r="AD470" s="27"/>
      <c r="AE470" s="27"/>
      <c r="AF470" s="27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</row>
    <row r="471" spans="2:54" s="28" customFormat="1">
      <c r="B471" s="27"/>
      <c r="D471" s="359"/>
      <c r="E471" s="30"/>
      <c r="G471" s="31"/>
      <c r="H471" s="360"/>
      <c r="I471" s="360"/>
      <c r="J471" s="360"/>
      <c r="X471" s="88"/>
      <c r="Z471" s="134"/>
      <c r="AA471" s="27"/>
      <c r="AB471" s="27"/>
      <c r="AC471" s="27"/>
      <c r="AD471" s="27"/>
      <c r="AE471" s="27"/>
      <c r="AF471" s="27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</row>
    <row r="472" spans="2:54" s="28" customFormat="1">
      <c r="B472" s="27"/>
      <c r="D472" s="359"/>
      <c r="E472" s="30"/>
      <c r="G472" s="31"/>
      <c r="H472" s="360"/>
      <c r="I472" s="360"/>
      <c r="J472" s="360"/>
      <c r="X472" s="88"/>
      <c r="Z472" s="134"/>
      <c r="AA472" s="27"/>
      <c r="AB472" s="27"/>
      <c r="AC472" s="27"/>
      <c r="AD472" s="27"/>
      <c r="AE472" s="27"/>
      <c r="AF472" s="27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</row>
    <row r="473" spans="2:54" s="28" customFormat="1">
      <c r="B473" s="27"/>
      <c r="D473" s="359"/>
      <c r="E473" s="30"/>
      <c r="G473" s="31"/>
      <c r="H473" s="360"/>
      <c r="I473" s="360"/>
      <c r="J473" s="360"/>
      <c r="X473" s="88"/>
      <c r="Z473" s="134"/>
      <c r="AA473" s="27"/>
      <c r="AB473" s="27"/>
      <c r="AC473" s="27"/>
      <c r="AD473" s="27"/>
      <c r="AE473" s="27"/>
      <c r="AF473" s="27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</row>
    <row r="474" spans="2:54" s="28" customFormat="1">
      <c r="B474" s="27"/>
      <c r="D474" s="359"/>
      <c r="E474" s="30"/>
      <c r="G474" s="31"/>
      <c r="H474" s="360"/>
      <c r="I474" s="360"/>
      <c r="J474" s="360"/>
      <c r="X474" s="88"/>
      <c r="Z474" s="134"/>
      <c r="AA474" s="27"/>
      <c r="AB474" s="27"/>
      <c r="AC474" s="27"/>
      <c r="AD474" s="27"/>
      <c r="AE474" s="27"/>
      <c r="AF474" s="27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</row>
    <row r="475" spans="2:54" s="28" customFormat="1">
      <c r="B475" s="27"/>
      <c r="D475" s="359"/>
      <c r="E475" s="30"/>
      <c r="G475" s="31"/>
      <c r="H475" s="360"/>
      <c r="I475" s="360"/>
      <c r="J475" s="360"/>
      <c r="X475" s="88"/>
      <c r="Z475" s="134"/>
      <c r="AA475" s="27"/>
      <c r="AB475" s="27"/>
      <c r="AC475" s="27"/>
      <c r="AD475" s="27"/>
      <c r="AE475" s="27"/>
      <c r="AF475" s="27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</row>
  </sheetData>
  <conditionalFormatting sqref="AB6:AB29">
    <cfRule type="containsText" dxfId="0" priority="1" operator="containsText" text="KURANG POT">
      <formula>NOT(ISERROR(SEARCH("KURANG POT",AB6)))</formula>
    </cfRule>
  </conditionalFormatting>
  <dataValidations count="2">
    <dataValidation type="list" allowBlank="1" showInputMessage="1" showErrorMessage="1" sqref="H6:H27 H28:H30">
      <formula1>"L,P"</formula1>
    </dataValidation>
    <dataValidation type="list" allowBlank="1" showInputMessage="1" showErrorMessage="1" sqref="I6:I27 I28:I30">
      <formula1>"TK/0,TK/1,TK/2,TK/3,K/0,K/1,K/2,K/3"</formula1>
    </dataValidation>
  </dataValidations>
  <pageMargins left="0.7" right="0.7" top="0.75" bottom="0.75" header="0.3" footer="0.3"/>
  <pageSetup paperSize="9" scale="5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06"/>
  <sheetViews>
    <sheetView view="pageBreakPreview" zoomScale="64" zoomScaleNormal="55" zoomScaleSheetLayoutView="64" workbookViewId="0">
      <pane xSplit="4" ySplit="6" topLeftCell="K7" activePane="bottomRight" state="frozen"/>
      <selection pane="topRight" activeCell="E1" sqref="E1"/>
      <selection pane="bottomLeft" activeCell="A7" sqref="A7"/>
      <selection pane="bottomRight" activeCell="AD6" sqref="AD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21" style="28" customWidth="1"/>
    <col min="4" max="4" width="20.140625" style="29" customWidth="1" outlineLevel="1"/>
    <col min="5" max="5" width="21.85546875" style="30" customWidth="1" outlineLevel="1"/>
    <col min="6" max="6" width="40.85546875" style="28" customWidth="1" outlineLevel="1"/>
    <col min="7" max="7" width="27.42578125" style="31" customWidth="1" outlineLevel="1"/>
    <col min="8" max="8" width="6" style="32" customWidth="1" outlineLevel="1"/>
    <col min="9" max="9" width="6.710937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3" width="12.7109375" style="28" hidden="1" customWidth="1"/>
    <col min="24" max="24" width="14.8554687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2.7109375" style="28" customWidth="1"/>
    <col min="30" max="30" width="18.28515625" style="27" customWidth="1"/>
    <col min="31" max="32" width="17.28515625" style="27" customWidth="1"/>
    <col min="33" max="34" width="12.42578125" style="59" customWidth="1"/>
    <col min="35" max="35" width="10" style="59" customWidth="1"/>
    <col min="36" max="16384" width="9.28515625" style="59"/>
  </cols>
  <sheetData>
    <row r="1" spans="2:35">
      <c r="B1" s="27" t="s">
        <v>71</v>
      </c>
      <c r="AD1" s="59"/>
      <c r="AE1" s="59"/>
      <c r="AF1" s="59"/>
    </row>
    <row r="2" spans="2:35">
      <c r="B2" s="27" t="s">
        <v>75</v>
      </c>
      <c r="AD2" s="59"/>
      <c r="AE2" s="59"/>
      <c r="AF2" s="59"/>
    </row>
    <row r="3" spans="2:35">
      <c r="B3" s="27" t="s">
        <v>93</v>
      </c>
      <c r="AD3" s="59"/>
      <c r="AE3" s="59"/>
      <c r="AF3" s="59"/>
    </row>
    <row r="4" spans="2:35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</row>
    <row r="5" spans="2:35" s="27" customFormat="1" ht="51.75" thickBot="1">
      <c r="B5" s="202" t="s">
        <v>64</v>
      </c>
      <c r="C5" s="145" t="s">
        <v>25</v>
      </c>
      <c r="D5" s="146" t="s">
        <v>26</v>
      </c>
      <c r="E5" s="156" t="s">
        <v>27</v>
      </c>
      <c r="F5" s="145" t="s">
        <v>28</v>
      </c>
      <c r="G5" s="14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148" t="s">
        <v>67</v>
      </c>
      <c r="M5" s="148" t="s">
        <v>68</v>
      </c>
      <c r="N5" s="160" t="s">
        <v>76</v>
      </c>
      <c r="O5" s="160" t="s">
        <v>77</v>
      </c>
      <c r="P5" s="160" t="s">
        <v>81</v>
      </c>
      <c r="Q5" s="160" t="s">
        <v>165</v>
      </c>
      <c r="R5" s="161" t="s">
        <v>166</v>
      </c>
      <c r="S5" s="136" t="s">
        <v>82</v>
      </c>
      <c r="T5" s="136"/>
      <c r="U5" s="136"/>
      <c r="V5" s="136"/>
      <c r="W5" s="136"/>
      <c r="X5" s="136" t="s">
        <v>89</v>
      </c>
      <c r="Y5" s="136" t="s">
        <v>79</v>
      </c>
      <c r="Z5" s="136" t="s">
        <v>80</v>
      </c>
      <c r="AA5" s="136" t="s">
        <v>41</v>
      </c>
      <c r="AB5" s="149" t="s">
        <v>42</v>
      </c>
      <c r="AC5" s="150" t="s">
        <v>43</v>
      </c>
      <c r="AD5" s="270" t="s">
        <v>180</v>
      </c>
      <c r="AE5" s="286" t="s">
        <v>185</v>
      </c>
      <c r="AF5" s="270" t="s">
        <v>182</v>
      </c>
      <c r="AH5" s="27" t="s">
        <v>227</v>
      </c>
    </row>
    <row r="6" spans="2:35" s="27" customFormat="1">
      <c r="B6" s="163">
        <v>1</v>
      </c>
      <c r="C6" s="164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2">
        <f>3640000*0.84%</f>
        <v>30575.999999999996</v>
      </c>
      <c r="M6" s="183">
        <f>(3640000+61000)*4%</f>
        <v>148040</v>
      </c>
      <c r="N6" s="44">
        <v>104400</v>
      </c>
      <c r="O6" s="44"/>
      <c r="P6" s="44"/>
      <c r="Q6" s="44"/>
      <c r="R6" s="44"/>
      <c r="S6" s="184">
        <v>61000</v>
      </c>
      <c r="T6" s="157"/>
      <c r="U6" s="143"/>
      <c r="V6" s="143"/>
      <c r="W6" s="143"/>
      <c r="X6" s="196">
        <f>'[6]GAJI '!$BC11</f>
        <v>0</v>
      </c>
      <c r="Y6" s="44"/>
      <c r="Z6" s="44"/>
      <c r="AA6" s="151">
        <f t="shared" ref="AA6:AA15" si="0">ROUNDDOWN(SUM(K6:Z6),0)</f>
        <v>3862682</v>
      </c>
      <c r="AB6" s="152">
        <f t="shared" ref="AB6:AB29" si="1">IF(J6="TER A",VLOOKUP(AA6,Ter_A,4,TRUE),IF(J6="TER B",VLOOKUP(AA6,Ter_B,4,TRUE),VLOOKUP(AA6,Ter_C,4,TRUE)))</f>
        <v>0</v>
      </c>
      <c r="AC6" s="153">
        <f t="shared" ref="AC6:AC29" si="2">ROUND(IF(E6=0,AA6*AB6*120%,AA6*AB6),0)</f>
        <v>0</v>
      </c>
      <c r="AD6" s="197">
        <v>3684066.666666667</v>
      </c>
      <c r="AE6" s="135">
        <f>L6+M6</f>
        <v>178616</v>
      </c>
      <c r="AF6" s="197">
        <f>AD6+AE6</f>
        <v>3862682.666666667</v>
      </c>
      <c r="AG6" s="135">
        <f t="shared" ref="AG6:AG30" si="3">AA6-AF6</f>
        <v>-0.66666666697710752</v>
      </c>
      <c r="AH6" s="135">
        <f>+SUM(N6:X6)</f>
        <v>165400</v>
      </c>
    </row>
    <row r="7" spans="2:35" s="27" customFormat="1">
      <c r="B7" s="168">
        <v>2</v>
      </c>
      <c r="C7" s="169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90" t="str">
        <f t="shared" ref="J7:J23" si="4">IF(ISBLANK(I7),"",IF(OR(I7="TK/0",I7="TK/1",I7="K/0"),"TER A",IF(I7="K/3","TER C","TER B")))</f>
        <v>TER A</v>
      </c>
      <c r="K7" s="51">
        <f t="shared" ref="K7:K21" si="5">29*121333.33</f>
        <v>3518666.57</v>
      </c>
      <c r="L7" s="185">
        <f t="shared" ref="L7:L21" si="6">3640000*0.84%</f>
        <v>30575.999999999996</v>
      </c>
      <c r="M7" s="186">
        <f>(3640000+61000)*4%</f>
        <v>148040</v>
      </c>
      <c r="N7" s="143">
        <v>65250</v>
      </c>
      <c r="O7" s="143"/>
      <c r="P7" s="143">
        <v>1693757.03</v>
      </c>
      <c r="Q7" s="143"/>
      <c r="R7" s="143"/>
      <c r="S7" s="187">
        <v>61000</v>
      </c>
      <c r="T7" s="158"/>
      <c r="U7" s="143"/>
      <c r="V7" s="143"/>
      <c r="W7" s="143"/>
      <c r="X7" s="51">
        <f>'[6]GAJI '!$BC12</f>
        <v>0</v>
      </c>
      <c r="Y7" s="143"/>
      <c r="Z7" s="143"/>
      <c r="AA7" s="94">
        <f t="shared" si="0"/>
        <v>5517289</v>
      </c>
      <c r="AB7" s="95">
        <f t="shared" si="1"/>
        <v>2.5000000000000001E-3</v>
      </c>
      <c r="AC7" s="155">
        <f t="shared" si="2"/>
        <v>13793</v>
      </c>
      <c r="AD7" s="197">
        <v>5338673.6966666663</v>
      </c>
      <c r="AE7" s="135">
        <f t="shared" ref="AE7:AE29" si="7">L7+M7</f>
        <v>178616</v>
      </c>
      <c r="AF7" s="197">
        <f t="shared" ref="AF7:AF29" si="8">AD7+AE7</f>
        <v>5517289.6966666663</v>
      </c>
      <c r="AG7" s="135">
        <f t="shared" si="3"/>
        <v>-0.69666666630655527</v>
      </c>
      <c r="AH7" s="135">
        <f t="shared" ref="AH7:AH29" si="9">+SUM(N7:X7)</f>
        <v>1820007.03</v>
      </c>
    </row>
    <row r="8" spans="2:35" s="27" customFormat="1">
      <c r="B8" s="168">
        <v>3</v>
      </c>
      <c r="C8" s="169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90" t="str">
        <f t="shared" si="4"/>
        <v>TER B</v>
      </c>
      <c r="K8" s="51">
        <f t="shared" si="5"/>
        <v>3518666.57</v>
      </c>
      <c r="L8" s="185">
        <f t="shared" si="6"/>
        <v>30575.999999999996</v>
      </c>
      <c r="M8" s="188">
        <f>(3640000+43500)*4%</f>
        <v>147340</v>
      </c>
      <c r="N8" s="143">
        <v>130500</v>
      </c>
      <c r="O8" s="143"/>
      <c r="P8" s="143">
        <v>2061965.08</v>
      </c>
      <c r="Q8" s="143"/>
      <c r="R8" s="143"/>
      <c r="S8" s="189">
        <v>43500</v>
      </c>
      <c r="T8" s="159"/>
      <c r="U8" s="143"/>
      <c r="V8" s="143"/>
      <c r="W8" s="143"/>
      <c r="X8" s="51">
        <f>'[6]GAJI '!$BC13</f>
        <v>0</v>
      </c>
      <c r="Y8" s="143"/>
      <c r="Z8" s="143"/>
      <c r="AA8" s="94">
        <f t="shared" si="0"/>
        <v>5932547</v>
      </c>
      <c r="AB8" s="95">
        <f t="shared" si="1"/>
        <v>0</v>
      </c>
      <c r="AC8" s="155">
        <f t="shared" si="2"/>
        <v>0</v>
      </c>
      <c r="AD8" s="197">
        <v>5754631.7466666661</v>
      </c>
      <c r="AE8" s="135">
        <f t="shared" si="7"/>
        <v>177916</v>
      </c>
      <c r="AF8" s="197">
        <f t="shared" si="8"/>
        <v>5932547.7466666661</v>
      </c>
      <c r="AG8" s="135">
        <f t="shared" si="3"/>
        <v>-0.74666666612029076</v>
      </c>
      <c r="AH8" s="135">
        <f t="shared" si="9"/>
        <v>2235965.08</v>
      </c>
    </row>
    <row r="9" spans="2:35" s="27" customFormat="1">
      <c r="B9" s="168">
        <v>4</v>
      </c>
      <c r="C9" s="169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90" t="str">
        <f t="shared" si="4"/>
        <v>TER B</v>
      </c>
      <c r="K9" s="51">
        <f t="shared" si="5"/>
        <v>3518666.57</v>
      </c>
      <c r="L9" s="185">
        <f t="shared" si="6"/>
        <v>30575.999999999996</v>
      </c>
      <c r="M9" s="186">
        <f>(3640000+43500)*4%</f>
        <v>147340</v>
      </c>
      <c r="N9" s="143">
        <v>130500</v>
      </c>
      <c r="O9" s="143"/>
      <c r="P9" s="143"/>
      <c r="Q9" s="143">
        <v>400000</v>
      </c>
      <c r="R9" s="143"/>
      <c r="S9" s="190">
        <v>43500</v>
      </c>
      <c r="T9" s="159"/>
      <c r="U9" s="143"/>
      <c r="V9" s="143"/>
      <c r="W9" s="143"/>
      <c r="X9" s="51">
        <f>'[6]GAJI '!$BC14</f>
        <v>0</v>
      </c>
      <c r="Y9" s="143"/>
      <c r="Z9" s="143"/>
      <c r="AA9" s="94">
        <f t="shared" si="0"/>
        <v>4270582</v>
      </c>
      <c r="AB9" s="95">
        <f t="shared" si="1"/>
        <v>0</v>
      </c>
      <c r="AC9" s="155">
        <f t="shared" si="2"/>
        <v>0</v>
      </c>
      <c r="AD9" s="197">
        <v>4092666.666666667</v>
      </c>
      <c r="AE9" s="135">
        <f t="shared" si="7"/>
        <v>177916</v>
      </c>
      <c r="AF9" s="197">
        <f t="shared" si="8"/>
        <v>4270582.666666667</v>
      </c>
      <c r="AG9" s="135">
        <f t="shared" si="3"/>
        <v>-0.66666666697710752</v>
      </c>
      <c r="AH9" s="135">
        <f t="shared" si="9"/>
        <v>574000</v>
      </c>
    </row>
    <row r="10" spans="2:35" s="27" customFormat="1">
      <c r="B10" s="168">
        <v>5</v>
      </c>
      <c r="C10" s="173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90" t="str">
        <f t="shared" si="4"/>
        <v>TER A</v>
      </c>
      <c r="K10" s="51">
        <f t="shared" si="5"/>
        <v>3518666.57</v>
      </c>
      <c r="L10" s="185">
        <f t="shared" si="6"/>
        <v>30575.999999999996</v>
      </c>
      <c r="M10" s="186">
        <f>(3640000+43500)*4%</f>
        <v>147340</v>
      </c>
      <c r="N10" s="143">
        <v>65250</v>
      </c>
      <c r="O10" s="143">
        <v>38000</v>
      </c>
      <c r="P10" s="143">
        <v>1188785.99</v>
      </c>
      <c r="Q10" s="143"/>
      <c r="R10" s="143"/>
      <c r="S10" s="189">
        <v>43500</v>
      </c>
      <c r="T10" s="159"/>
      <c r="U10" s="143"/>
      <c r="V10" s="143"/>
      <c r="W10" s="143"/>
      <c r="X10" s="51">
        <f>'[6]GAJI '!$BC15</f>
        <v>0</v>
      </c>
      <c r="Y10" s="143"/>
      <c r="Z10" s="143"/>
      <c r="AA10" s="94">
        <f t="shared" si="0"/>
        <v>5032118</v>
      </c>
      <c r="AB10" s="95">
        <f t="shared" si="1"/>
        <v>0</v>
      </c>
      <c r="AC10" s="155">
        <f t="shared" si="2"/>
        <v>0</v>
      </c>
      <c r="AD10" s="197">
        <v>4854202.6566666663</v>
      </c>
      <c r="AE10" s="135">
        <f t="shared" si="7"/>
        <v>177916</v>
      </c>
      <c r="AF10" s="197">
        <f t="shared" si="8"/>
        <v>5032118.6566666663</v>
      </c>
      <c r="AG10" s="135">
        <f t="shared" si="3"/>
        <v>-0.65666666626930237</v>
      </c>
      <c r="AH10" s="135">
        <f t="shared" si="9"/>
        <v>1335535.99</v>
      </c>
    </row>
    <row r="11" spans="2:35" s="27" customFormat="1">
      <c r="B11" s="168">
        <v>6</v>
      </c>
      <c r="C11" s="169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90" t="str">
        <f t="shared" si="4"/>
        <v>TER B</v>
      </c>
      <c r="K11" s="51">
        <f t="shared" si="5"/>
        <v>3518666.57</v>
      </c>
      <c r="L11" s="185">
        <f t="shared" si="6"/>
        <v>30575.999999999996</v>
      </c>
      <c r="M11" s="186">
        <f>(3640000+47000)*4%</f>
        <v>147480</v>
      </c>
      <c r="N11" s="143">
        <v>156600</v>
      </c>
      <c r="O11" s="143"/>
      <c r="P11" s="143"/>
      <c r="Q11" s="143"/>
      <c r="R11" s="143"/>
      <c r="S11" s="189">
        <v>47000</v>
      </c>
      <c r="T11" s="159"/>
      <c r="U11" s="143"/>
      <c r="V11" s="143"/>
      <c r="W11" s="143"/>
      <c r="X11" s="51">
        <f>'[6]GAJI '!$BC16</f>
        <v>0</v>
      </c>
      <c r="Y11" s="143"/>
      <c r="Z11" s="143"/>
      <c r="AA11" s="94">
        <f t="shared" si="0"/>
        <v>3900322</v>
      </c>
      <c r="AB11" s="95">
        <f t="shared" si="1"/>
        <v>0</v>
      </c>
      <c r="AC11" s="155">
        <f t="shared" si="2"/>
        <v>0</v>
      </c>
      <c r="AD11" s="197">
        <v>3722266.6666666665</v>
      </c>
      <c r="AE11" s="135">
        <f t="shared" si="7"/>
        <v>178056</v>
      </c>
      <c r="AF11" s="197">
        <f t="shared" si="8"/>
        <v>3900322.6666666665</v>
      </c>
      <c r="AG11" s="135">
        <f t="shared" si="3"/>
        <v>-0.66666666651144624</v>
      </c>
      <c r="AH11" s="135">
        <f t="shared" si="9"/>
        <v>203600</v>
      </c>
    </row>
    <row r="12" spans="2:35" s="27" customFormat="1">
      <c r="B12" s="168">
        <v>7</v>
      </c>
      <c r="C12" s="169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90" t="str">
        <f t="shared" si="4"/>
        <v>TER A</v>
      </c>
      <c r="K12" s="51">
        <f t="shared" si="5"/>
        <v>3518666.57</v>
      </c>
      <c r="L12" s="185">
        <f t="shared" si="6"/>
        <v>30575.999999999996</v>
      </c>
      <c r="M12" s="186">
        <f>(3640000+36500)*4%</f>
        <v>147060</v>
      </c>
      <c r="N12" s="143">
        <v>65250</v>
      </c>
      <c r="O12" s="143"/>
      <c r="P12" s="143">
        <v>1030982.54</v>
      </c>
      <c r="Q12" s="143"/>
      <c r="R12" s="143"/>
      <c r="S12" s="189">
        <v>36500</v>
      </c>
      <c r="T12" s="159"/>
      <c r="U12" s="143"/>
      <c r="V12" s="143"/>
      <c r="W12" s="143"/>
      <c r="X12" s="51">
        <f>'[6]GAJI '!$BC17</f>
        <v>0</v>
      </c>
      <c r="Y12" s="143"/>
      <c r="Z12" s="143"/>
      <c r="AA12" s="94">
        <f t="shared" si="0"/>
        <v>4829035</v>
      </c>
      <c r="AB12" s="95">
        <f t="shared" si="1"/>
        <v>0</v>
      </c>
      <c r="AC12" s="155">
        <f t="shared" si="2"/>
        <v>0</v>
      </c>
      <c r="AD12" s="197">
        <v>4651399.206666667</v>
      </c>
      <c r="AE12" s="135">
        <f t="shared" si="7"/>
        <v>177636</v>
      </c>
      <c r="AF12" s="197">
        <f t="shared" si="8"/>
        <v>4829035.206666667</v>
      </c>
      <c r="AG12" s="135">
        <f t="shared" si="3"/>
        <v>-0.20666666701436043</v>
      </c>
      <c r="AH12" s="135">
        <f t="shared" si="9"/>
        <v>1132732.54</v>
      </c>
      <c r="AI12" s="201"/>
    </row>
    <row r="13" spans="2:35" s="27" customFormat="1">
      <c r="B13" s="168">
        <v>8</v>
      </c>
      <c r="C13" s="169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90" t="str">
        <f t="shared" si="4"/>
        <v>TER B</v>
      </c>
      <c r="K13" s="51">
        <f t="shared" si="5"/>
        <v>3518666.57</v>
      </c>
      <c r="L13" s="185">
        <f t="shared" si="6"/>
        <v>30575.999999999996</v>
      </c>
      <c r="M13" s="186">
        <f>(3640000+43500)*4%</f>
        <v>147340</v>
      </c>
      <c r="N13" s="143">
        <v>156600</v>
      </c>
      <c r="O13" s="143"/>
      <c r="P13" s="143">
        <v>315606.90000000002</v>
      </c>
      <c r="Q13" s="143"/>
      <c r="R13" s="143"/>
      <c r="S13" s="190">
        <v>43500</v>
      </c>
      <c r="T13" s="159"/>
      <c r="U13" s="143"/>
      <c r="V13" s="143"/>
      <c r="W13" s="143"/>
      <c r="X13" s="51">
        <f>'[6]GAJI '!$BC18</f>
        <v>0</v>
      </c>
      <c r="Y13" s="143"/>
      <c r="Z13" s="143"/>
      <c r="AA13" s="94">
        <f t="shared" si="0"/>
        <v>4212289</v>
      </c>
      <c r="AB13" s="95">
        <f t="shared" si="1"/>
        <v>0</v>
      </c>
      <c r="AC13" s="155">
        <f t="shared" si="2"/>
        <v>0</v>
      </c>
      <c r="AD13" s="197">
        <v>4034373.5666666664</v>
      </c>
      <c r="AE13" s="135">
        <f t="shared" si="7"/>
        <v>177916</v>
      </c>
      <c r="AF13" s="197">
        <f t="shared" si="8"/>
        <v>4212289.5666666664</v>
      </c>
      <c r="AG13" s="135">
        <f t="shared" si="3"/>
        <v>-0.56666666641831398</v>
      </c>
      <c r="AH13" s="135">
        <f t="shared" si="9"/>
        <v>515706.9</v>
      </c>
    </row>
    <row r="14" spans="2:35" s="27" customFormat="1">
      <c r="B14" s="168">
        <v>9</v>
      </c>
      <c r="C14" s="169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90" t="str">
        <f t="shared" ref="J14:J18" si="10">IF(ISBLANK(I14),"",IF(OR(I14="TK/0",I14="TK/1",I14="K/0"),"TER A",IF(I14="K/3","TER C","TER B")))</f>
        <v>TER A</v>
      </c>
      <c r="K14" s="51">
        <f t="shared" si="5"/>
        <v>3518666.57</v>
      </c>
      <c r="L14" s="185">
        <f t="shared" si="6"/>
        <v>30575.999999999996</v>
      </c>
      <c r="M14" s="186">
        <f>(3640000+61000)*4%</f>
        <v>148040</v>
      </c>
      <c r="N14" s="143">
        <v>100800</v>
      </c>
      <c r="O14" s="143"/>
      <c r="P14" s="143"/>
      <c r="Q14" s="143"/>
      <c r="R14" s="143"/>
      <c r="S14" s="189">
        <v>61000</v>
      </c>
      <c r="T14" s="159"/>
      <c r="U14" s="143"/>
      <c r="V14" s="143"/>
      <c r="W14" s="143"/>
      <c r="X14" s="51">
        <f>'[6]GAJI '!$BC19</f>
        <v>-121333.33</v>
      </c>
      <c r="Y14" s="143"/>
      <c r="Z14" s="143"/>
      <c r="AA14" s="94">
        <f t="shared" si="0"/>
        <v>3737749</v>
      </c>
      <c r="AB14" s="95">
        <f t="shared" si="1"/>
        <v>0</v>
      </c>
      <c r="AC14" s="155">
        <f t="shared" si="2"/>
        <v>0</v>
      </c>
      <c r="AD14" s="197">
        <v>3559133.3333333335</v>
      </c>
      <c r="AE14" s="135">
        <f t="shared" si="7"/>
        <v>178616</v>
      </c>
      <c r="AF14" s="197">
        <f t="shared" si="8"/>
        <v>3737749.3333333335</v>
      </c>
      <c r="AG14" s="135">
        <f t="shared" si="3"/>
        <v>-0.33333333348855376</v>
      </c>
      <c r="AH14" s="135">
        <f>+SUM(N14:X14)</f>
        <v>40466.67</v>
      </c>
      <c r="AI14" s="135">
        <f>AH14+121333</f>
        <v>161799.66999999998</v>
      </c>
    </row>
    <row r="15" spans="2:35" s="27" customFormat="1">
      <c r="B15" s="168">
        <v>10</v>
      </c>
      <c r="C15" s="169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90" t="str">
        <f t="shared" si="10"/>
        <v>TER B</v>
      </c>
      <c r="K15" s="51">
        <f t="shared" si="5"/>
        <v>3518666.57</v>
      </c>
      <c r="L15" s="185">
        <f t="shared" si="6"/>
        <v>30575.999999999996</v>
      </c>
      <c r="M15" s="186">
        <f>(3640000+30000)*4%</f>
        <v>146800</v>
      </c>
      <c r="N15" s="143">
        <v>126000</v>
      </c>
      <c r="O15" s="143"/>
      <c r="P15" s="143"/>
      <c r="Q15" s="143"/>
      <c r="R15" s="143"/>
      <c r="S15" s="189">
        <v>30000</v>
      </c>
      <c r="T15" s="159"/>
      <c r="U15" s="143"/>
      <c r="V15" s="143"/>
      <c r="W15" s="143"/>
      <c r="X15" s="51">
        <f>'[6]GAJI '!$BC20</f>
        <v>-121333.33</v>
      </c>
      <c r="Y15" s="143"/>
      <c r="Z15" s="143"/>
      <c r="AA15" s="94">
        <f t="shared" si="0"/>
        <v>3730709</v>
      </c>
      <c r="AB15" s="95">
        <f t="shared" si="1"/>
        <v>0</v>
      </c>
      <c r="AC15" s="155">
        <f t="shared" si="2"/>
        <v>0</v>
      </c>
      <c r="AD15" s="197">
        <v>3553333.3333333335</v>
      </c>
      <c r="AE15" s="135">
        <f t="shared" si="7"/>
        <v>177376</v>
      </c>
      <c r="AF15" s="197">
        <f t="shared" si="8"/>
        <v>3730709.3333333335</v>
      </c>
      <c r="AG15" s="135">
        <f t="shared" si="3"/>
        <v>-0.33333333348855376</v>
      </c>
      <c r="AH15" s="135">
        <f>+SUM(N15:X15)</f>
        <v>34666.67</v>
      </c>
    </row>
    <row r="16" spans="2:35" s="27" customFormat="1">
      <c r="B16" s="168">
        <v>11</v>
      </c>
      <c r="C16" s="169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90" t="str">
        <f t="shared" si="10"/>
        <v>TER B</v>
      </c>
      <c r="K16" s="51">
        <f>21*121333.33</f>
        <v>2547999.9300000002</v>
      </c>
      <c r="L16" s="185">
        <f t="shared" si="6"/>
        <v>30575.999999999996</v>
      </c>
      <c r="M16" s="186">
        <f>(3640000+61000)*4%</f>
        <v>148040</v>
      </c>
      <c r="N16" s="143">
        <v>94500</v>
      </c>
      <c r="O16" s="143"/>
      <c r="P16" s="143"/>
      <c r="Q16" s="143"/>
      <c r="R16" s="143"/>
      <c r="S16" s="189">
        <v>61000</v>
      </c>
      <c r="T16" s="159"/>
      <c r="U16" s="143"/>
      <c r="V16" s="143"/>
      <c r="W16" s="143"/>
      <c r="X16" s="51">
        <f>'[6]GAJI '!$BC21</f>
        <v>0</v>
      </c>
      <c r="Y16" s="143"/>
      <c r="Z16" s="143"/>
      <c r="AA16" s="94">
        <f t="shared" ref="AA16:AA18" si="11">ROUNDDOWN(SUM(K16:Z16),0)</f>
        <v>2882115</v>
      </c>
      <c r="AB16" s="95">
        <f t="shared" si="1"/>
        <v>0</v>
      </c>
      <c r="AC16" s="155">
        <f t="shared" si="2"/>
        <v>0</v>
      </c>
      <c r="AD16" s="200">
        <v>2703500</v>
      </c>
      <c r="AE16" s="135">
        <f t="shared" si="7"/>
        <v>178616</v>
      </c>
      <c r="AF16" s="197">
        <f t="shared" si="8"/>
        <v>2882116</v>
      </c>
      <c r="AG16" s="135">
        <f t="shared" si="3"/>
        <v>-1</v>
      </c>
      <c r="AH16" s="135">
        <f t="shared" si="9"/>
        <v>155500</v>
      </c>
    </row>
    <row r="17" spans="2:34" s="27" customFormat="1">
      <c r="B17" s="168">
        <v>12</v>
      </c>
      <c r="C17" s="169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90" t="str">
        <f t="shared" si="10"/>
        <v>TER B</v>
      </c>
      <c r="K17" s="51">
        <f t="shared" si="5"/>
        <v>3518666.57</v>
      </c>
      <c r="L17" s="185">
        <f t="shared" si="6"/>
        <v>30575.999999999996</v>
      </c>
      <c r="M17" s="186">
        <f>(3640000+61000)*4%</f>
        <v>148040</v>
      </c>
      <c r="N17" s="143">
        <v>130500</v>
      </c>
      <c r="O17" s="143"/>
      <c r="P17" s="143"/>
      <c r="Q17" s="143">
        <v>160000</v>
      </c>
      <c r="R17" s="143"/>
      <c r="S17" s="189">
        <v>61000</v>
      </c>
      <c r="T17" s="159"/>
      <c r="U17" s="143"/>
      <c r="V17" s="143"/>
      <c r="W17" s="143"/>
      <c r="X17" s="51">
        <f>'[6]GAJI '!$BC22</f>
        <v>0</v>
      </c>
      <c r="Y17" s="143"/>
      <c r="Z17" s="143"/>
      <c r="AA17" s="94">
        <f t="shared" si="11"/>
        <v>4048782</v>
      </c>
      <c r="AB17" s="95">
        <f t="shared" si="1"/>
        <v>0</v>
      </c>
      <c r="AC17" s="155">
        <f t="shared" si="2"/>
        <v>0</v>
      </c>
      <c r="AD17" s="197">
        <v>3870166.666666667</v>
      </c>
      <c r="AE17" s="135">
        <f t="shared" si="7"/>
        <v>178616</v>
      </c>
      <c r="AF17" s="197">
        <f t="shared" si="8"/>
        <v>4048782.666666667</v>
      </c>
      <c r="AG17" s="135">
        <f t="shared" si="3"/>
        <v>-0.66666666697710752</v>
      </c>
      <c r="AH17" s="135">
        <f t="shared" si="9"/>
        <v>351500</v>
      </c>
    </row>
    <row r="18" spans="2:34" s="27" customFormat="1">
      <c r="B18" s="168">
        <v>13</v>
      </c>
      <c r="C18" s="169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90" t="str">
        <f t="shared" si="10"/>
        <v>TER A</v>
      </c>
      <c r="K18" s="51">
        <f t="shared" si="5"/>
        <v>3518666.57</v>
      </c>
      <c r="L18" s="185">
        <f t="shared" si="6"/>
        <v>30575.999999999996</v>
      </c>
      <c r="M18" s="186">
        <f>(3640000+47000)*4%</f>
        <v>147480</v>
      </c>
      <c r="N18" s="143">
        <v>100800</v>
      </c>
      <c r="O18" s="143"/>
      <c r="P18" s="143"/>
      <c r="Q18" s="143"/>
      <c r="R18" s="143"/>
      <c r="S18" s="190">
        <v>47000</v>
      </c>
      <c r="T18" s="159"/>
      <c r="U18" s="143"/>
      <c r="V18" s="143"/>
      <c r="W18" s="143"/>
      <c r="X18" s="51">
        <f>'[6]GAJI '!$BC23</f>
        <v>-121333.33</v>
      </c>
      <c r="Y18" s="143"/>
      <c r="Z18" s="143"/>
      <c r="AA18" s="94">
        <f t="shared" si="11"/>
        <v>3723189</v>
      </c>
      <c r="AB18" s="95">
        <f t="shared" si="1"/>
        <v>0</v>
      </c>
      <c r="AC18" s="155">
        <f t="shared" si="2"/>
        <v>0</v>
      </c>
      <c r="AD18" s="197">
        <v>3545133.3333333335</v>
      </c>
      <c r="AE18" s="135">
        <f t="shared" si="7"/>
        <v>178056</v>
      </c>
      <c r="AF18" s="197">
        <f t="shared" si="8"/>
        <v>3723189.3333333335</v>
      </c>
      <c r="AG18" s="135">
        <f t="shared" si="3"/>
        <v>-0.33333333348855376</v>
      </c>
      <c r="AH18" s="135">
        <f t="shared" si="9"/>
        <v>26466.67</v>
      </c>
    </row>
    <row r="19" spans="2:34" s="27" customFormat="1">
      <c r="B19" s="168">
        <v>14</v>
      </c>
      <c r="C19" s="169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90" t="str">
        <f t="shared" si="4"/>
        <v>TER B</v>
      </c>
      <c r="K19" s="51">
        <f t="shared" si="5"/>
        <v>3518666.57</v>
      </c>
      <c r="L19" s="185">
        <f t="shared" si="6"/>
        <v>30575.999999999996</v>
      </c>
      <c r="M19" s="186">
        <f>(3640000+43500)*4%</f>
        <v>147340</v>
      </c>
      <c r="N19" s="143">
        <v>126000</v>
      </c>
      <c r="O19" s="143"/>
      <c r="P19" s="143">
        <v>94682.07</v>
      </c>
      <c r="Q19" s="143"/>
      <c r="R19" s="143"/>
      <c r="S19" s="189">
        <v>43500</v>
      </c>
      <c r="T19" s="159"/>
      <c r="U19" s="143"/>
      <c r="V19" s="143"/>
      <c r="W19" s="143"/>
      <c r="X19" s="51">
        <f>'[6]GAJI '!$BC24</f>
        <v>-121333.33</v>
      </c>
      <c r="Y19" s="143"/>
      <c r="Z19" s="143"/>
      <c r="AA19" s="94">
        <f t="shared" ref="AA19:AA29" si="12">ROUNDDOWN(SUM(K19:Z19),0)</f>
        <v>3839431</v>
      </c>
      <c r="AB19" s="95">
        <f t="shared" si="1"/>
        <v>0</v>
      </c>
      <c r="AC19" s="155">
        <f t="shared" si="2"/>
        <v>0</v>
      </c>
      <c r="AD19" s="197">
        <v>3661515.4033333333</v>
      </c>
      <c r="AE19" s="135">
        <f t="shared" si="7"/>
        <v>177916</v>
      </c>
      <c r="AF19" s="197">
        <f t="shared" si="8"/>
        <v>3839431.4033333333</v>
      </c>
      <c r="AG19" s="135">
        <f t="shared" si="3"/>
        <v>-0.4033333333209157</v>
      </c>
      <c r="AH19" s="135">
        <f t="shared" si="9"/>
        <v>142848.74</v>
      </c>
    </row>
    <row r="20" spans="2:34" s="27" customFormat="1">
      <c r="B20" s="168">
        <v>15</v>
      </c>
      <c r="C20" s="169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90" t="str">
        <f t="shared" si="4"/>
        <v>TER B</v>
      </c>
      <c r="K20" s="51">
        <f t="shared" si="5"/>
        <v>3518666.57</v>
      </c>
      <c r="L20" s="185">
        <f t="shared" si="6"/>
        <v>30575.999999999996</v>
      </c>
      <c r="M20" s="186">
        <f>(3640000+50500)*4%</f>
        <v>147620</v>
      </c>
      <c r="N20" s="143">
        <v>156600</v>
      </c>
      <c r="O20" s="143"/>
      <c r="P20" s="143">
        <v>2672138.42</v>
      </c>
      <c r="Q20" s="143"/>
      <c r="R20" s="143"/>
      <c r="S20" s="190">
        <v>50500</v>
      </c>
      <c r="T20" s="159"/>
      <c r="U20" s="143"/>
      <c r="V20" s="143"/>
      <c r="W20" s="143"/>
      <c r="X20" s="51">
        <f>'[6]GAJI '!$BC25</f>
        <v>0</v>
      </c>
      <c r="Y20" s="143"/>
      <c r="Z20" s="143"/>
      <c r="AA20" s="94">
        <f t="shared" si="12"/>
        <v>6576100</v>
      </c>
      <c r="AB20" s="95">
        <f t="shared" si="1"/>
        <v>5.0000000000000001E-3</v>
      </c>
      <c r="AC20" s="155">
        <f t="shared" si="2"/>
        <v>32881</v>
      </c>
      <c r="AD20" s="197">
        <v>6397905.086666666</v>
      </c>
      <c r="AE20" s="135">
        <f t="shared" si="7"/>
        <v>178196</v>
      </c>
      <c r="AF20" s="197">
        <f t="shared" si="8"/>
        <v>6576101.086666666</v>
      </c>
      <c r="AG20" s="135">
        <f t="shared" si="3"/>
        <v>-1.0866666659712791</v>
      </c>
      <c r="AH20" s="135">
        <f t="shared" si="9"/>
        <v>2879238.42</v>
      </c>
    </row>
    <row r="21" spans="2:34" s="27" customFormat="1">
      <c r="B21" s="168">
        <v>16</v>
      </c>
      <c r="C21" s="169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5">
        <f t="shared" si="6"/>
        <v>30575.999999999996</v>
      </c>
      <c r="M21" s="186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89">
        <v>61000</v>
      </c>
      <c r="T21" s="159"/>
      <c r="U21" s="51"/>
      <c r="V21" s="51"/>
      <c r="W21" s="51"/>
      <c r="X21" s="51">
        <f>'[6]GAJI '!$BC26</f>
        <v>-242666.66</v>
      </c>
      <c r="Y21" s="51"/>
      <c r="Z21" s="51"/>
      <c r="AA21" s="94">
        <f t="shared" si="12"/>
        <v>3731797</v>
      </c>
      <c r="AB21" s="95">
        <f t="shared" si="1"/>
        <v>0</v>
      </c>
      <c r="AC21" s="155">
        <f t="shared" si="2"/>
        <v>0</v>
      </c>
      <c r="AD21" s="197">
        <v>3553182.07</v>
      </c>
      <c r="AE21" s="135">
        <f t="shared" si="7"/>
        <v>178616</v>
      </c>
      <c r="AF21" s="197">
        <f t="shared" si="8"/>
        <v>3731798.07</v>
      </c>
      <c r="AG21" s="135">
        <f t="shared" si="3"/>
        <v>-1.0699999998323619</v>
      </c>
      <c r="AH21" s="135">
        <f t="shared" si="9"/>
        <v>34515.410000000003</v>
      </c>
    </row>
    <row r="22" spans="2:34" s="27" customFormat="1">
      <c r="B22" s="168">
        <v>17</v>
      </c>
      <c r="C22" s="173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90" t="str">
        <f t="shared" si="4"/>
        <v>TER A</v>
      </c>
      <c r="K22" s="193">
        <f>29*123833.33</f>
        <v>3591166.57</v>
      </c>
      <c r="L22" s="191">
        <f>3715000*0.84%</f>
        <v>31205.999999999996</v>
      </c>
      <c r="M22" s="194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89">
        <v>2500</v>
      </c>
      <c r="T22" s="159"/>
      <c r="U22" s="51"/>
      <c r="V22" s="51"/>
      <c r="W22" s="51"/>
      <c r="X22" s="51">
        <f>'[6]GAJI '!$BC27</f>
        <v>0</v>
      </c>
      <c r="Y22" s="51"/>
      <c r="Z22" s="51"/>
      <c r="AA22" s="94">
        <f t="shared" si="12"/>
        <v>5546004</v>
      </c>
      <c r="AB22" s="95">
        <f t="shared" si="1"/>
        <v>2.5000000000000001E-3</v>
      </c>
      <c r="AC22" s="155">
        <f t="shared" si="2"/>
        <v>13865</v>
      </c>
      <c r="AD22" s="197">
        <v>5366098.5266666673</v>
      </c>
      <c r="AE22" s="135">
        <f t="shared" si="7"/>
        <v>179906</v>
      </c>
      <c r="AF22" s="197">
        <f t="shared" si="8"/>
        <v>5546004.5266666673</v>
      </c>
      <c r="AG22" s="135">
        <f t="shared" si="3"/>
        <v>-0.52666666731238365</v>
      </c>
      <c r="AH22" s="135">
        <f t="shared" si="9"/>
        <v>1774931.86</v>
      </c>
    </row>
    <row r="23" spans="2:34" s="27" customFormat="1">
      <c r="B23" s="168">
        <v>18</v>
      </c>
      <c r="C23" s="176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5">
        <f>3640000*0.84%</f>
        <v>30575.999999999996</v>
      </c>
      <c r="M23" s="192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89">
        <v>43500</v>
      </c>
      <c r="T23" s="159"/>
      <c r="U23" s="51"/>
      <c r="V23" s="51"/>
      <c r="W23" s="51"/>
      <c r="X23" s="51">
        <f>'[6]GAJI '!$BC28</f>
        <v>0</v>
      </c>
      <c r="Y23" s="51"/>
      <c r="Z23" s="51"/>
      <c r="AA23" s="94">
        <f t="shared" si="12"/>
        <v>4073846</v>
      </c>
      <c r="AB23" s="95">
        <f t="shared" si="1"/>
        <v>0</v>
      </c>
      <c r="AC23" s="155">
        <f t="shared" si="2"/>
        <v>0</v>
      </c>
      <c r="AD23" s="197">
        <v>3895930.8066666671</v>
      </c>
      <c r="AE23" s="135">
        <f t="shared" si="7"/>
        <v>177916</v>
      </c>
      <c r="AF23" s="197">
        <f t="shared" si="8"/>
        <v>4073846.8066666671</v>
      </c>
      <c r="AG23" s="135">
        <f t="shared" si="3"/>
        <v>-0.80666666710749269</v>
      </c>
      <c r="AH23" s="135">
        <f t="shared" si="9"/>
        <v>377264.14</v>
      </c>
    </row>
    <row r="24" spans="2:34" s="27" customFormat="1">
      <c r="B24" s="168">
        <v>19</v>
      </c>
      <c r="C24" s="169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90" t="str">
        <f t="shared" ref="J24:J29" si="13">IF(ISBLANK(I24),"",IF(OR(I24="TK/0",I24="TK/1",I24="K/0"),"TER A",IF(I24="K/3","TER C","TER B")))</f>
        <v>TER B</v>
      </c>
      <c r="K24" s="51">
        <f t="shared" ref="K24:K29" si="14">29*121333.33</f>
        <v>3518666.57</v>
      </c>
      <c r="L24" s="185">
        <f t="shared" ref="L24:L27" si="15">3640000*0.84%</f>
        <v>30575.999999999996</v>
      </c>
      <c r="M24" s="186">
        <f>(3640000+47000)*4%</f>
        <v>147480</v>
      </c>
      <c r="N24" s="143">
        <v>156600</v>
      </c>
      <c r="O24" s="143">
        <v>66000</v>
      </c>
      <c r="P24" s="143">
        <v>2598496.81</v>
      </c>
      <c r="Q24" s="143"/>
      <c r="R24" s="143"/>
      <c r="S24" s="189">
        <v>47000</v>
      </c>
      <c r="T24" s="162"/>
      <c r="U24" s="51"/>
      <c r="V24" s="51"/>
      <c r="W24" s="51"/>
      <c r="X24" s="51">
        <f>'[6]GAJI '!$BC53</f>
        <v>0</v>
      </c>
      <c r="Y24" s="51"/>
      <c r="Z24" s="51"/>
      <c r="AA24" s="94">
        <f t="shared" si="12"/>
        <v>6564819</v>
      </c>
      <c r="AB24" s="95">
        <f t="shared" si="1"/>
        <v>5.0000000000000001E-3</v>
      </c>
      <c r="AC24" s="155">
        <f t="shared" si="2"/>
        <v>32824</v>
      </c>
      <c r="AD24" s="198">
        <v>6386763.4766666666</v>
      </c>
      <c r="AE24" s="135">
        <f t="shared" si="7"/>
        <v>178056</v>
      </c>
      <c r="AF24" s="197">
        <f t="shared" si="8"/>
        <v>6564819.4766666666</v>
      </c>
      <c r="AG24" s="135">
        <f t="shared" si="3"/>
        <v>-0.47666666656732559</v>
      </c>
      <c r="AH24" s="135">
        <f t="shared" si="9"/>
        <v>2868096.81</v>
      </c>
    </row>
    <row r="25" spans="2:34" s="27" customFormat="1">
      <c r="B25" s="168">
        <v>20</v>
      </c>
      <c r="C25" s="169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90" t="str">
        <f t="shared" si="13"/>
        <v>TER B</v>
      </c>
      <c r="K25" s="51">
        <f t="shared" si="14"/>
        <v>3518666.57</v>
      </c>
      <c r="L25" s="185">
        <f t="shared" si="15"/>
        <v>30575.999999999996</v>
      </c>
      <c r="M25" s="186">
        <f>(3640000+61000)*4%</f>
        <v>148040</v>
      </c>
      <c r="N25" s="143">
        <v>156600</v>
      </c>
      <c r="O25" s="143">
        <v>44000</v>
      </c>
      <c r="P25" s="143">
        <v>2019884.16</v>
      </c>
      <c r="Q25" s="143"/>
      <c r="R25" s="143"/>
      <c r="S25" s="189">
        <v>61000</v>
      </c>
      <c r="T25" s="159"/>
      <c r="U25" s="143"/>
      <c r="V25" s="143"/>
      <c r="W25" s="143"/>
      <c r="X25" s="51">
        <f>'[6]GAJI '!$BC54</f>
        <v>0</v>
      </c>
      <c r="Y25" s="143"/>
      <c r="Z25" s="143"/>
      <c r="AA25" s="94">
        <f t="shared" si="12"/>
        <v>5978766</v>
      </c>
      <c r="AB25" s="95">
        <f t="shared" si="1"/>
        <v>0</v>
      </c>
      <c r="AC25" s="155">
        <f t="shared" si="2"/>
        <v>0</v>
      </c>
      <c r="AD25" s="198">
        <v>5800150.8266666662</v>
      </c>
      <c r="AE25" s="135">
        <f t="shared" si="7"/>
        <v>178616</v>
      </c>
      <c r="AF25" s="197">
        <f t="shared" si="8"/>
        <v>5978766.8266666662</v>
      </c>
      <c r="AG25" s="135">
        <f t="shared" si="3"/>
        <v>-0.82666666619479656</v>
      </c>
      <c r="AH25" s="135">
        <f t="shared" si="9"/>
        <v>2281484.16</v>
      </c>
    </row>
    <row r="26" spans="2:34" s="27" customFormat="1">
      <c r="B26" s="168">
        <v>21</v>
      </c>
      <c r="C26" s="169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90" t="str">
        <f t="shared" si="13"/>
        <v>TER A</v>
      </c>
      <c r="K26" s="51">
        <f t="shared" si="14"/>
        <v>3518666.57</v>
      </c>
      <c r="L26" s="185">
        <f t="shared" si="15"/>
        <v>30575.999999999996</v>
      </c>
      <c r="M26" s="186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89">
        <v>24000</v>
      </c>
      <c r="T26" s="159"/>
      <c r="U26" s="51"/>
      <c r="V26" s="51"/>
      <c r="W26" s="51"/>
      <c r="X26" s="51">
        <f>'[6]GAJI '!$BC55</f>
        <v>0</v>
      </c>
      <c r="Y26" s="51"/>
      <c r="Z26" s="51"/>
      <c r="AA26" s="94">
        <f t="shared" si="12"/>
        <v>7079461</v>
      </c>
      <c r="AB26" s="95">
        <f t="shared" si="1"/>
        <v>1.2500000000000001E-2</v>
      </c>
      <c r="AC26" s="155">
        <f t="shared" si="2"/>
        <v>88493</v>
      </c>
      <c r="AD26" s="198">
        <v>6902325.3866666676</v>
      </c>
      <c r="AE26" s="135">
        <f t="shared" si="7"/>
        <v>177136</v>
      </c>
      <c r="AF26" s="197">
        <f t="shared" si="8"/>
        <v>7079461.3866666676</v>
      </c>
      <c r="AG26" s="135">
        <f t="shared" si="3"/>
        <v>-0.38666666764765978</v>
      </c>
      <c r="AH26" s="135">
        <f t="shared" si="9"/>
        <v>3383658.72</v>
      </c>
    </row>
    <row r="27" spans="2:34" s="27" customFormat="1">
      <c r="B27" s="168">
        <v>22</v>
      </c>
      <c r="C27" s="179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90" t="str">
        <f t="shared" si="13"/>
        <v>TER B</v>
      </c>
      <c r="K27" s="51">
        <f t="shared" si="14"/>
        <v>3518666.57</v>
      </c>
      <c r="L27" s="185">
        <f t="shared" si="15"/>
        <v>30575.999999999996</v>
      </c>
      <c r="M27" s="186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89">
        <v>40000</v>
      </c>
      <c r="T27" s="159"/>
      <c r="U27" s="51"/>
      <c r="V27" s="51"/>
      <c r="W27" s="51"/>
      <c r="X27" s="51">
        <f>'[6]GAJI '!$BC56</f>
        <v>0</v>
      </c>
      <c r="Y27" s="51"/>
      <c r="Z27" s="51"/>
      <c r="AA27" s="94">
        <f t="shared" si="12"/>
        <v>3929942</v>
      </c>
      <c r="AB27" s="95">
        <f t="shared" si="1"/>
        <v>0</v>
      </c>
      <c r="AC27" s="155">
        <f t="shared" si="2"/>
        <v>0</v>
      </c>
      <c r="AD27" s="198">
        <v>3752166.666666667</v>
      </c>
      <c r="AE27" s="135">
        <f t="shared" si="7"/>
        <v>177776</v>
      </c>
      <c r="AF27" s="197">
        <f t="shared" si="8"/>
        <v>3929942.666666667</v>
      </c>
      <c r="AG27" s="135">
        <f t="shared" si="3"/>
        <v>-0.66666666697710752</v>
      </c>
      <c r="AH27" s="135">
        <f t="shared" si="9"/>
        <v>233500</v>
      </c>
    </row>
    <row r="28" spans="2:34" s="27" customFormat="1">
      <c r="B28" s="180">
        <v>23</v>
      </c>
      <c r="C28" s="179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90" t="str">
        <f t="shared" si="13"/>
        <v>TER B</v>
      </c>
      <c r="K28" s="51">
        <f t="shared" si="14"/>
        <v>3518666.57</v>
      </c>
      <c r="L28" s="185">
        <f>3640000*0.84%</f>
        <v>30575.999999999996</v>
      </c>
      <c r="M28" s="186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89">
        <v>43500</v>
      </c>
      <c r="T28" s="159"/>
      <c r="U28" s="51"/>
      <c r="V28" s="51"/>
      <c r="W28" s="51"/>
      <c r="X28" s="51">
        <f>'[6]GAJI '!$BC57</f>
        <v>0</v>
      </c>
      <c r="Y28" s="51"/>
      <c r="Z28" s="51"/>
      <c r="AA28" s="94">
        <f t="shared" si="12"/>
        <v>7967459</v>
      </c>
      <c r="AB28" s="95">
        <f t="shared" si="1"/>
        <v>0.01</v>
      </c>
      <c r="AC28" s="155">
        <f t="shared" si="2"/>
        <v>79675</v>
      </c>
      <c r="AD28" s="198">
        <v>7789543.7866666671</v>
      </c>
      <c r="AE28" s="135">
        <f t="shared" si="7"/>
        <v>177916</v>
      </c>
      <c r="AF28" s="197">
        <f t="shared" si="8"/>
        <v>7967459.7866666671</v>
      </c>
      <c r="AG28" s="135">
        <f t="shared" si="3"/>
        <v>-0.78666666708886623</v>
      </c>
      <c r="AH28" s="135">
        <f t="shared" si="9"/>
        <v>4270877.12</v>
      </c>
    </row>
    <row r="29" spans="2:34" s="27" customFormat="1" ht="13.5" thickBot="1">
      <c r="B29" s="181">
        <v>24</v>
      </c>
      <c r="C29" s="179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90" t="str">
        <f t="shared" si="13"/>
        <v>TER B</v>
      </c>
      <c r="K29" s="51">
        <f t="shared" si="14"/>
        <v>3518666.57</v>
      </c>
      <c r="L29" s="185">
        <f>3640000*0.84%</f>
        <v>30575.999999999996</v>
      </c>
      <c r="M29" s="186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89">
        <v>43500</v>
      </c>
      <c r="T29" s="159"/>
      <c r="U29" s="51"/>
      <c r="V29" s="51"/>
      <c r="W29" s="51"/>
      <c r="X29" s="51">
        <f>'[6]GAJI '!$BC58</f>
        <v>-121333.33</v>
      </c>
      <c r="Y29" s="51"/>
      <c r="Z29" s="51"/>
      <c r="AA29" s="94">
        <f t="shared" si="12"/>
        <v>7084169</v>
      </c>
      <c r="AB29" s="95">
        <f t="shared" si="1"/>
        <v>7.4999999999999997E-3</v>
      </c>
      <c r="AC29" s="155">
        <f t="shared" si="2"/>
        <v>53131</v>
      </c>
      <c r="AD29" s="198">
        <v>6906253.8933333345</v>
      </c>
      <c r="AE29" s="135">
        <f t="shared" si="7"/>
        <v>177916</v>
      </c>
      <c r="AF29" s="197">
        <f t="shared" si="8"/>
        <v>7084169.8933333345</v>
      </c>
      <c r="AG29" s="135">
        <f t="shared" si="3"/>
        <v>-0.89333333447575569</v>
      </c>
      <c r="AH29" s="135">
        <f t="shared" si="9"/>
        <v>3387587.23</v>
      </c>
    </row>
    <row r="30" spans="2:34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95">
        <f t="shared" ref="K30:T30" si="16">SUM(K6:K29)</f>
        <v>83549831.039999962</v>
      </c>
      <c r="L30" s="195">
        <f t="shared" si="16"/>
        <v>734453.99999999988</v>
      </c>
      <c r="M30" s="195">
        <f t="shared" si="16"/>
        <v>3541380</v>
      </c>
      <c r="N30" s="195">
        <f t="shared" si="16"/>
        <v>2805300</v>
      </c>
      <c r="O30" s="195">
        <f t="shared" si="16"/>
        <v>400000</v>
      </c>
      <c r="P30" s="195">
        <f>SUM(P6:P29)</f>
        <v>24641283.260000005</v>
      </c>
      <c r="Q30" s="195">
        <f t="shared" si="16"/>
        <v>600000</v>
      </c>
      <c r="R30" s="195">
        <f t="shared" si="16"/>
        <v>1528800.21</v>
      </c>
      <c r="S30" s="195">
        <f t="shared" si="16"/>
        <v>1099500</v>
      </c>
      <c r="T30" s="126">
        <f t="shared" si="16"/>
        <v>0</v>
      </c>
      <c r="U30" s="126"/>
      <c r="V30" s="126"/>
      <c r="W30" s="126"/>
      <c r="X30" s="126">
        <f>SUM(X6:X29)</f>
        <v>-849333.30999999994</v>
      </c>
      <c r="Y30" s="126">
        <f>SUM(Y6:Y29)</f>
        <v>0</v>
      </c>
      <c r="Z30" s="126"/>
      <c r="AA30" s="126">
        <f t="shared" ref="AA30:AH30" si="17">SUM(AA6:AA29)</f>
        <v>118051202</v>
      </c>
      <c r="AB30" s="126">
        <f t="shared" si="17"/>
        <v>4.4999999999999998E-2</v>
      </c>
      <c r="AC30" s="195">
        <f>SUM(AC6:AC29)</f>
        <v>314662</v>
      </c>
      <c r="AD30" s="199">
        <f t="shared" si="17"/>
        <v>113775383.47000003</v>
      </c>
      <c r="AE30" s="232">
        <f t="shared" si="17"/>
        <v>4275834</v>
      </c>
      <c r="AF30" s="199">
        <f t="shared" si="17"/>
        <v>118051217.47000003</v>
      </c>
      <c r="AG30" s="236">
        <f t="shared" si="3"/>
        <v>-15.470000028610229</v>
      </c>
      <c r="AH30" s="199">
        <f t="shared" si="17"/>
        <v>30225550.160000004</v>
      </c>
    </row>
    <row r="31" spans="2:34">
      <c r="AA31" s="28">
        <f>'[7]GAJI '!$AH$29+'[7]GAJI '!$AH$59+L30+M30</f>
        <v>118051217.47000003</v>
      </c>
      <c r="AC31" s="28">
        <f>'[7]GAJI '!$AT$29+'[7]GAJI '!$AT$59</f>
        <v>314662</v>
      </c>
    </row>
    <row r="32" spans="2:34">
      <c r="B32" s="57" t="s">
        <v>48</v>
      </c>
      <c r="M32" s="61"/>
      <c r="N32" s="61"/>
      <c r="O32" s="61"/>
      <c r="P32" s="61"/>
      <c r="Q32" s="61"/>
      <c r="R32" s="61"/>
    </row>
    <row r="33" spans="2:55">
      <c r="B33" s="27" t="s">
        <v>49</v>
      </c>
      <c r="M33" s="61"/>
      <c r="N33" s="61"/>
      <c r="O33" s="61"/>
      <c r="P33" s="61"/>
      <c r="Q33" s="61"/>
      <c r="R33" s="61"/>
    </row>
    <row r="34" spans="2:55">
      <c r="B34" s="27" t="s">
        <v>57</v>
      </c>
      <c r="M34" s="61"/>
      <c r="N34" s="61"/>
      <c r="O34" s="61"/>
      <c r="P34" s="61"/>
      <c r="Q34" s="61"/>
      <c r="R34" s="61"/>
    </row>
    <row r="35" spans="2:55">
      <c r="B35" s="27" t="s">
        <v>50</v>
      </c>
      <c r="M35" s="61"/>
      <c r="N35" s="61"/>
      <c r="O35" s="61"/>
      <c r="P35" s="61"/>
      <c r="Q35" s="61"/>
      <c r="R35" s="61"/>
    </row>
    <row r="36" spans="2:55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7"/>
      <c r="AE36" s="27"/>
      <c r="AF36" s="27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>
      <c r="B45" s="27"/>
      <c r="C45" s="28"/>
      <c r="D45" s="725" t="s">
        <v>167</v>
      </c>
      <c r="E45" s="725"/>
      <c r="F45" s="28"/>
      <c r="G45" s="31"/>
      <c r="H45" s="32"/>
      <c r="I45" s="32"/>
      <c r="J45" s="32"/>
      <c r="K45" s="725" t="s">
        <v>169</v>
      </c>
      <c r="L45" s="725"/>
      <c r="M45" s="725"/>
      <c r="N45" s="725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>
        <f>AA30-AA31</f>
        <v>-15.470000028610229</v>
      </c>
      <c r="AB45" s="88"/>
      <c r="AC45" s="28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>
      <c r="AF46" s="135"/>
    </row>
    <row r="48" spans="2:55">
      <c r="D48" s="725" t="s">
        <v>98</v>
      </c>
      <c r="E48" s="725"/>
      <c r="K48" s="725" t="s">
        <v>170</v>
      </c>
      <c r="L48" s="725"/>
      <c r="M48" s="725"/>
      <c r="N48" s="725"/>
    </row>
    <row r="49" spans="3:15">
      <c r="D49" s="725" t="s">
        <v>168</v>
      </c>
      <c r="E49" s="725"/>
      <c r="K49" s="725" t="s">
        <v>171</v>
      </c>
      <c r="L49" s="725"/>
      <c r="M49" s="725"/>
      <c r="N49" s="725"/>
    </row>
    <row r="50" spans="3:15">
      <c r="D50" s="725"/>
      <c r="E50" s="725"/>
      <c r="F50" s="725"/>
      <c r="G50" s="726"/>
      <c r="H50" s="726"/>
      <c r="I50" s="726"/>
      <c r="J50" s="726"/>
      <c r="K50" s="725"/>
      <c r="L50" s="725"/>
      <c r="M50" s="725"/>
      <c r="N50" s="725"/>
      <c r="O50" s="725"/>
    </row>
    <row r="51" spans="3:15">
      <c r="C51" s="725"/>
      <c r="D51" s="725"/>
      <c r="G51" s="726"/>
      <c r="H51" s="726"/>
      <c r="I51" s="726"/>
      <c r="J51" s="726"/>
    </row>
    <row r="53" spans="3:15">
      <c r="D53" s="725"/>
      <c r="E53" s="725"/>
      <c r="F53" s="725"/>
      <c r="K53" s="725"/>
      <c r="L53" s="725"/>
      <c r="M53" s="725"/>
      <c r="N53" s="725"/>
      <c r="O53" s="725"/>
    </row>
    <row r="54" spans="3:15">
      <c r="D54" s="725"/>
      <c r="E54" s="725"/>
      <c r="F54" s="725"/>
      <c r="K54" s="725"/>
      <c r="L54" s="725"/>
      <c r="M54" s="725"/>
      <c r="N54" s="725"/>
      <c r="O54" s="725"/>
    </row>
    <row r="55" spans="3:15">
      <c r="C55" s="725"/>
      <c r="D55" s="725"/>
      <c r="G55" s="726"/>
      <c r="H55" s="726"/>
      <c r="I55" s="726"/>
      <c r="J55" s="726"/>
    </row>
    <row r="56" spans="3:15">
      <c r="C56" s="725"/>
      <c r="D56" s="725"/>
      <c r="G56" s="726"/>
      <c r="H56" s="726"/>
      <c r="I56" s="726"/>
      <c r="J56" s="726"/>
    </row>
    <row r="57" spans="3:15">
      <c r="C57" s="725"/>
      <c r="D57" s="725"/>
    </row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</sheetData>
  <mergeCells count="18">
    <mergeCell ref="K45:N45"/>
    <mergeCell ref="K48:N48"/>
    <mergeCell ref="K49:N49"/>
    <mergeCell ref="D45:E45"/>
    <mergeCell ref="D48:E48"/>
    <mergeCell ref="D49:E49"/>
    <mergeCell ref="C55:D56"/>
    <mergeCell ref="C57:D57"/>
    <mergeCell ref="G50:J51"/>
    <mergeCell ref="G55:J55"/>
    <mergeCell ref="G56:J56"/>
    <mergeCell ref="D50:F50"/>
    <mergeCell ref="K50:O50"/>
    <mergeCell ref="K53:O53"/>
    <mergeCell ref="K54:O54"/>
    <mergeCell ref="D53:F53"/>
    <mergeCell ref="D54:F54"/>
    <mergeCell ref="C51:D51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35433070866141736" bottom="0.55118110236220474" header="0.31496062992125984" footer="0.31496062992125984"/>
  <pageSetup paperSize="9" scale="41" orientation="landscape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57"/>
  <sheetViews>
    <sheetView view="pageBreakPreview" zoomScale="80" zoomScaleNormal="55" zoomScaleSheetLayoutView="80" workbookViewId="0">
      <pane xSplit="5" ySplit="5" topLeftCell="J6" activePane="bottomRight" state="frozen"/>
      <selection pane="topRight" activeCell="F1" sqref="F1"/>
      <selection pane="bottomLeft" activeCell="A6" sqref="A6"/>
      <selection pane="bottomRight" activeCell="Y16" sqref="A16:XFD1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18.28515625" style="28" customWidth="1"/>
    <col min="4" max="4" width="19.42578125" style="228" customWidth="1" outlineLevel="1"/>
    <col min="5" max="5" width="20.140625" style="30" customWidth="1" outlineLevel="1"/>
    <col min="6" max="6" width="40.85546875" style="28" customWidth="1" outlineLevel="1"/>
    <col min="7" max="7" width="26.85546875" style="31" customWidth="1" outlineLevel="1"/>
    <col min="8" max="8" width="6" style="229" customWidth="1" outlineLevel="1"/>
    <col min="9" max="9" width="6.7109375" style="229" customWidth="1" outlineLevel="1"/>
    <col min="10" max="10" width="10.85546875" style="229" customWidth="1" outlineLevel="1"/>
    <col min="11" max="11" width="14.140625" style="28" customWidth="1"/>
    <col min="12" max="12" width="11.7109375" style="28" customWidth="1"/>
    <col min="13" max="14" width="12.7109375" style="28" customWidth="1"/>
    <col min="15" max="15" width="12.5703125" style="28" customWidth="1"/>
    <col min="16" max="16" width="12.7109375" style="28" customWidth="1"/>
    <col min="17" max="19" width="12.140625" style="28" customWidth="1"/>
    <col min="20" max="23" width="12.7109375" style="28" hidden="1" customWidth="1"/>
    <col min="24" max="24" width="14.2851562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3" style="28" customWidth="1"/>
    <col min="30" max="30" width="12.140625" style="28" customWidth="1"/>
    <col min="31" max="31" width="13" style="28" customWidth="1"/>
    <col min="32" max="32" width="18.28515625" style="27" customWidth="1"/>
    <col min="33" max="34" width="17.28515625" style="27" customWidth="1"/>
    <col min="35" max="35" width="12.42578125" style="59" customWidth="1"/>
    <col min="36" max="16384" width="9.28515625" style="59"/>
  </cols>
  <sheetData>
    <row r="1" spans="2:36">
      <c r="B1" s="27" t="s">
        <v>71</v>
      </c>
      <c r="AF1" s="59"/>
      <c r="AG1" s="59"/>
      <c r="AH1" s="59"/>
    </row>
    <row r="2" spans="2:36">
      <c r="B2" s="27" t="s">
        <v>75</v>
      </c>
      <c r="AF2" s="59"/>
      <c r="AG2" s="59"/>
      <c r="AH2" s="59"/>
    </row>
    <row r="3" spans="2:36">
      <c r="B3" s="27" t="s">
        <v>93</v>
      </c>
      <c r="AF3" s="59"/>
      <c r="AG3" s="59"/>
      <c r="AH3" s="59"/>
    </row>
    <row r="4" spans="2:36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  <c r="AD4" s="28"/>
      <c r="AE4" s="28"/>
    </row>
    <row r="5" spans="2:36" s="27" customFormat="1" ht="51.75" thickBot="1">
      <c r="B5" s="225" t="s">
        <v>64</v>
      </c>
      <c r="C5" s="225" t="s">
        <v>25</v>
      </c>
      <c r="D5" s="226" t="s">
        <v>26</v>
      </c>
      <c r="E5" s="156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/>
      <c r="U5" s="136"/>
      <c r="V5" s="136"/>
      <c r="W5" s="136"/>
      <c r="X5" s="136" t="s">
        <v>89</v>
      </c>
      <c r="Y5" s="136" t="s">
        <v>79</v>
      </c>
      <c r="Z5" s="136" t="s">
        <v>80</v>
      </c>
      <c r="AA5" s="136" t="s">
        <v>41</v>
      </c>
      <c r="AB5" s="149" t="s">
        <v>42</v>
      </c>
      <c r="AC5" s="136" t="s">
        <v>176</v>
      </c>
      <c r="AD5" s="150" t="s">
        <v>174</v>
      </c>
      <c r="AE5" s="150" t="s">
        <v>175</v>
      </c>
      <c r="AF5" s="270" t="s">
        <v>180</v>
      </c>
      <c r="AG5" s="286" t="s">
        <v>185</v>
      </c>
      <c r="AH5" s="270" t="s">
        <v>182</v>
      </c>
    </row>
    <row r="6" spans="2:36" s="27" customFormat="1">
      <c r="B6" s="163">
        <v>1</v>
      </c>
      <c r="C6" s="164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2">
        <f>3640000*0.84%</f>
        <v>30575.999999999996</v>
      </c>
      <c r="M6" s="183">
        <f>(3640000+61000)*4%</f>
        <v>148040</v>
      </c>
      <c r="N6" s="44">
        <v>104400</v>
      </c>
      <c r="O6" s="44"/>
      <c r="P6" s="44"/>
      <c r="Q6" s="44"/>
      <c r="R6" s="44"/>
      <c r="S6" s="184">
        <v>61000</v>
      </c>
      <c r="T6" s="157"/>
      <c r="U6" s="143"/>
      <c r="V6" s="143"/>
      <c r="W6" s="143"/>
      <c r="X6" s="196">
        <f>'[6]GAJI '!$BC11</f>
        <v>0</v>
      </c>
      <c r="Y6" s="44">
        <v>3809000</v>
      </c>
      <c r="Z6" s="44"/>
      <c r="AA6" s="151">
        <f t="shared" ref="AA6:AA29" si="0">ROUNDDOWN(SUM(K6:Z6),0)</f>
        <v>7671682</v>
      </c>
      <c r="AB6" s="152">
        <f t="shared" ref="AB6:AB29" si="1">IF(J6="TER A",VLOOKUP(AA6,Ter_A,4,TRUE),IF(J6="TER B",VLOOKUP(AA6,Ter_B,4,TRUE),VLOOKUP(AA6,Ter_C,4,TRUE)))</f>
        <v>1.5000000000000001E-2</v>
      </c>
      <c r="AC6" s="249">
        <f>ROUNDDOWN(IF(E6=0,AA6*AB6*120%,AA6*AB6),0)</f>
        <v>115075</v>
      </c>
      <c r="AD6" s="93">
        <f>+'Feb''24'!AC6</f>
        <v>0</v>
      </c>
      <c r="AE6" s="257">
        <f>AC6-AD6</f>
        <v>115075</v>
      </c>
      <c r="AF6" s="197">
        <v>3684066.666666667</v>
      </c>
      <c r="AG6" s="135">
        <f t="shared" ref="AG6:AG29" si="2">L6+M6</f>
        <v>178616</v>
      </c>
      <c r="AH6" s="197">
        <f>AF6+AG6</f>
        <v>3862682.666666667</v>
      </c>
      <c r="AI6" s="135">
        <f t="shared" ref="AI6:AI29" si="3">AA6-AH6</f>
        <v>3808999.333333333</v>
      </c>
    </row>
    <row r="7" spans="2:36" s="27" customFormat="1">
      <c r="B7" s="168">
        <v>2</v>
      </c>
      <c r="C7" s="169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90" t="str">
        <f t="shared" ref="J7:J29" si="4">IF(ISBLANK(I7),"",IF(OR(I7="TK/0",I7="TK/1",I7="K/0"),"TER A",IF(I7="K/3","TER C","TER B")))</f>
        <v>TER A</v>
      </c>
      <c r="K7" s="51">
        <f t="shared" ref="K7:K21" si="5">29*121333.33</f>
        <v>3518666.57</v>
      </c>
      <c r="L7" s="185">
        <f t="shared" ref="L7:L21" si="6">3640000*0.84%</f>
        <v>30575.999999999996</v>
      </c>
      <c r="M7" s="186">
        <f>(3640000+61000)*4%</f>
        <v>148040</v>
      </c>
      <c r="N7" s="143">
        <v>65250</v>
      </c>
      <c r="O7" s="143"/>
      <c r="P7" s="143">
        <v>1693757.03</v>
      </c>
      <c r="Q7" s="143"/>
      <c r="R7" s="143"/>
      <c r="S7" s="187">
        <v>61000</v>
      </c>
      <c r="T7" s="158"/>
      <c r="U7" s="143"/>
      <c r="V7" s="143"/>
      <c r="W7" s="143"/>
      <c r="X7" s="51">
        <f>'[6]GAJI '!$BC12</f>
        <v>0</v>
      </c>
      <c r="Y7" s="143">
        <v>3768500</v>
      </c>
      <c r="Z7" s="143"/>
      <c r="AA7" s="94">
        <f t="shared" si="0"/>
        <v>9285789</v>
      </c>
      <c r="AB7" s="95">
        <f t="shared" si="1"/>
        <v>1.7500000000000002E-2</v>
      </c>
      <c r="AC7" s="249">
        <f t="shared" ref="AC7:AC29" si="7">ROUNDDOWN(IF(E7=0,AA7*AB7*120%,AA7*AB7),0)</f>
        <v>162501</v>
      </c>
      <c r="AD7" s="94">
        <f>+'Feb''24'!AC7</f>
        <v>13793</v>
      </c>
      <c r="AE7" s="155">
        <f t="shared" ref="AE7:AE29" si="8">AC7-AD7</f>
        <v>148708</v>
      </c>
      <c r="AF7" s="197">
        <v>5338673.6966666663</v>
      </c>
      <c r="AG7" s="135">
        <f t="shared" si="2"/>
        <v>178616</v>
      </c>
      <c r="AH7" s="197">
        <f t="shared" ref="AH7:AH29" si="9">AF7+AG7</f>
        <v>5517289.6966666663</v>
      </c>
      <c r="AI7" s="135">
        <f t="shared" si="3"/>
        <v>3768499.3033333337</v>
      </c>
    </row>
    <row r="8" spans="2:36" s="27" customFormat="1">
      <c r="B8" s="168">
        <v>3</v>
      </c>
      <c r="C8" s="169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90" t="str">
        <f t="shared" si="4"/>
        <v>TER B</v>
      </c>
      <c r="K8" s="51">
        <f t="shared" si="5"/>
        <v>3518666.57</v>
      </c>
      <c r="L8" s="185">
        <f t="shared" si="6"/>
        <v>30575.999999999996</v>
      </c>
      <c r="M8" s="188">
        <f>(3640000+43500)*4%</f>
        <v>147340</v>
      </c>
      <c r="N8" s="143">
        <v>130500</v>
      </c>
      <c r="O8" s="143"/>
      <c r="P8" s="143">
        <v>2061965.08</v>
      </c>
      <c r="Q8" s="143"/>
      <c r="R8" s="143"/>
      <c r="S8" s="189">
        <v>43500</v>
      </c>
      <c r="T8" s="159"/>
      <c r="U8" s="143"/>
      <c r="V8" s="143"/>
      <c r="W8" s="143"/>
      <c r="X8" s="51">
        <f>'[6]GAJI '!$BC13</f>
        <v>0</v>
      </c>
      <c r="Y8" s="143">
        <v>3818500</v>
      </c>
      <c r="Z8" s="143"/>
      <c r="AA8" s="94">
        <f t="shared" si="0"/>
        <v>9751047</v>
      </c>
      <c r="AB8" s="95">
        <f t="shared" si="1"/>
        <v>1.4999999999999999E-2</v>
      </c>
      <c r="AC8" s="249">
        <f t="shared" si="7"/>
        <v>146265</v>
      </c>
      <c r="AD8" s="94">
        <f>+'Feb''24'!AC8</f>
        <v>0</v>
      </c>
      <c r="AE8" s="155">
        <f t="shared" si="8"/>
        <v>146265</v>
      </c>
      <c r="AF8" s="197">
        <v>5754631.7466666661</v>
      </c>
      <c r="AG8" s="135">
        <f t="shared" si="2"/>
        <v>177916</v>
      </c>
      <c r="AH8" s="197">
        <f t="shared" si="9"/>
        <v>5932547.7466666661</v>
      </c>
      <c r="AI8" s="135">
        <f t="shared" si="3"/>
        <v>3818499.2533333339</v>
      </c>
    </row>
    <row r="9" spans="2:36" s="27" customFormat="1">
      <c r="B9" s="168">
        <v>4</v>
      </c>
      <c r="C9" s="169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90" t="str">
        <f t="shared" si="4"/>
        <v>TER B</v>
      </c>
      <c r="K9" s="51">
        <f t="shared" si="5"/>
        <v>3518666.57</v>
      </c>
      <c r="L9" s="185">
        <f t="shared" si="6"/>
        <v>30575.999999999996</v>
      </c>
      <c r="M9" s="186">
        <f>(3640000+43500)*4%</f>
        <v>147340</v>
      </c>
      <c r="N9" s="143">
        <v>130500</v>
      </c>
      <c r="O9" s="143"/>
      <c r="P9" s="143"/>
      <c r="Q9" s="143">
        <v>400000</v>
      </c>
      <c r="R9" s="143"/>
      <c r="S9" s="189">
        <v>43500</v>
      </c>
      <c r="T9" s="159"/>
      <c r="U9" s="143"/>
      <c r="V9" s="143"/>
      <c r="W9" s="143"/>
      <c r="X9" s="51">
        <f>'[6]GAJI '!$BC14</f>
        <v>0</v>
      </c>
      <c r="Y9" s="143">
        <v>3818500</v>
      </c>
      <c r="Z9" s="143"/>
      <c r="AA9" s="94">
        <f t="shared" si="0"/>
        <v>8089082</v>
      </c>
      <c r="AB9" s="95">
        <f t="shared" si="1"/>
        <v>0.01</v>
      </c>
      <c r="AC9" s="249">
        <f t="shared" si="7"/>
        <v>80890</v>
      </c>
      <c r="AD9" s="94">
        <f>+'Feb''24'!AC9</f>
        <v>0</v>
      </c>
      <c r="AE9" s="155">
        <f t="shared" si="8"/>
        <v>80890</v>
      </c>
      <c r="AF9" s="197">
        <v>4092666.666666667</v>
      </c>
      <c r="AG9" s="135">
        <f t="shared" si="2"/>
        <v>177916</v>
      </c>
      <c r="AH9" s="197">
        <f t="shared" si="9"/>
        <v>4270582.666666667</v>
      </c>
      <c r="AI9" s="135">
        <f t="shared" si="3"/>
        <v>3818499.333333333</v>
      </c>
    </row>
    <row r="10" spans="2:36" s="27" customFormat="1">
      <c r="B10" s="168">
        <v>5</v>
      </c>
      <c r="C10" s="173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90" t="str">
        <f t="shared" si="4"/>
        <v>TER A</v>
      </c>
      <c r="K10" s="51">
        <f t="shared" si="5"/>
        <v>3518666.57</v>
      </c>
      <c r="L10" s="185">
        <f t="shared" si="6"/>
        <v>30575.999999999996</v>
      </c>
      <c r="M10" s="186">
        <f>(3640000+43500)*4%</f>
        <v>147340</v>
      </c>
      <c r="N10" s="143">
        <v>65250</v>
      </c>
      <c r="O10" s="143">
        <v>38000</v>
      </c>
      <c r="P10" s="143">
        <v>1188785.99</v>
      </c>
      <c r="Q10" s="143"/>
      <c r="R10" s="143"/>
      <c r="S10" s="189">
        <v>43500</v>
      </c>
      <c r="T10" s="159"/>
      <c r="U10" s="143"/>
      <c r="V10" s="143"/>
      <c r="W10" s="143"/>
      <c r="X10" s="51">
        <f>'[6]GAJI '!$BC15</f>
        <v>0</v>
      </c>
      <c r="Y10" s="143">
        <v>3751000</v>
      </c>
      <c r="Z10" s="143"/>
      <c r="AA10" s="94">
        <f t="shared" si="0"/>
        <v>8783118</v>
      </c>
      <c r="AB10" s="95">
        <f t="shared" si="1"/>
        <v>1.7500000000000002E-2</v>
      </c>
      <c r="AC10" s="249">
        <f t="shared" si="7"/>
        <v>153704</v>
      </c>
      <c r="AD10" s="94">
        <f>+'Feb''24'!AC10</f>
        <v>0</v>
      </c>
      <c r="AE10" s="155">
        <f t="shared" si="8"/>
        <v>153704</v>
      </c>
      <c r="AF10" s="197">
        <v>4854202.6566666663</v>
      </c>
      <c r="AG10" s="135">
        <f t="shared" si="2"/>
        <v>177916</v>
      </c>
      <c r="AH10" s="197">
        <f t="shared" si="9"/>
        <v>5032118.6566666663</v>
      </c>
      <c r="AI10" s="135">
        <f t="shared" si="3"/>
        <v>3750999.3433333337</v>
      </c>
    </row>
    <row r="11" spans="2:36" s="27" customFormat="1">
      <c r="B11" s="168">
        <v>6</v>
      </c>
      <c r="C11" s="169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90" t="str">
        <f t="shared" si="4"/>
        <v>TER B</v>
      </c>
      <c r="K11" s="51">
        <f t="shared" si="5"/>
        <v>3518666.57</v>
      </c>
      <c r="L11" s="185">
        <f t="shared" si="6"/>
        <v>30575.999999999996</v>
      </c>
      <c r="M11" s="186">
        <f>(3640000+47000)*4%</f>
        <v>147480</v>
      </c>
      <c r="N11" s="143">
        <v>156600</v>
      </c>
      <c r="O11" s="143"/>
      <c r="P11" s="143"/>
      <c r="Q11" s="143"/>
      <c r="R11" s="143"/>
      <c r="S11" s="189">
        <v>47000</v>
      </c>
      <c r="T11" s="159"/>
      <c r="U11" s="143"/>
      <c r="V11" s="143"/>
      <c r="W11" s="143"/>
      <c r="X11" s="51">
        <f>'[6]GAJI '!$BC16</f>
        <v>0</v>
      </c>
      <c r="Y11" s="143">
        <v>3849000</v>
      </c>
      <c r="Z11" s="143"/>
      <c r="AA11" s="94">
        <f t="shared" si="0"/>
        <v>7749322</v>
      </c>
      <c r="AB11" s="95">
        <f t="shared" si="1"/>
        <v>0.01</v>
      </c>
      <c r="AC11" s="249">
        <f t="shared" si="7"/>
        <v>77493</v>
      </c>
      <c r="AD11" s="94">
        <f>+'Feb''24'!AC11</f>
        <v>0</v>
      </c>
      <c r="AE11" s="155">
        <f t="shared" si="8"/>
        <v>77493</v>
      </c>
      <c r="AF11" s="197">
        <v>3722266.6666666665</v>
      </c>
      <c r="AG11" s="135">
        <f t="shared" si="2"/>
        <v>178056</v>
      </c>
      <c r="AH11" s="197">
        <f t="shared" si="9"/>
        <v>3900322.6666666665</v>
      </c>
      <c r="AI11" s="135">
        <f t="shared" si="3"/>
        <v>3848999.3333333335</v>
      </c>
    </row>
    <row r="12" spans="2:36" s="27" customFormat="1">
      <c r="B12" s="168">
        <v>7</v>
      </c>
      <c r="C12" s="169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90" t="str">
        <f t="shared" si="4"/>
        <v>TER A</v>
      </c>
      <c r="K12" s="51">
        <f t="shared" si="5"/>
        <v>3518666.57</v>
      </c>
      <c r="L12" s="185">
        <f t="shared" si="6"/>
        <v>30575.999999999996</v>
      </c>
      <c r="M12" s="186">
        <f>(3640000+36500)*4%</f>
        <v>147060</v>
      </c>
      <c r="N12" s="143">
        <v>65250</v>
      </c>
      <c r="O12" s="143"/>
      <c r="P12" s="143">
        <v>1030982.54</v>
      </c>
      <c r="Q12" s="143"/>
      <c r="R12" s="143"/>
      <c r="S12" s="189">
        <v>36500</v>
      </c>
      <c r="T12" s="159"/>
      <c r="U12" s="143"/>
      <c r="V12" s="143"/>
      <c r="W12" s="143"/>
      <c r="X12" s="51">
        <f>'[6]GAJI '!$BC17</f>
        <v>0</v>
      </c>
      <c r="Y12" s="143">
        <v>3744000</v>
      </c>
      <c r="Z12" s="143"/>
      <c r="AA12" s="94">
        <f t="shared" si="0"/>
        <v>8573035</v>
      </c>
      <c r="AB12" s="95">
        <f t="shared" si="1"/>
        <v>1.7500000000000002E-2</v>
      </c>
      <c r="AC12" s="249">
        <f t="shared" si="7"/>
        <v>150028</v>
      </c>
      <c r="AD12" s="94">
        <f>+'Feb''24'!AC12</f>
        <v>0</v>
      </c>
      <c r="AE12" s="155">
        <f t="shared" si="8"/>
        <v>150028</v>
      </c>
      <c r="AF12" s="197">
        <v>4651399.206666667</v>
      </c>
      <c r="AG12" s="135">
        <f t="shared" si="2"/>
        <v>177636</v>
      </c>
      <c r="AH12" s="197">
        <f t="shared" si="9"/>
        <v>4829035.206666667</v>
      </c>
      <c r="AI12" s="135">
        <f t="shared" si="3"/>
        <v>3743999.793333333</v>
      </c>
      <c r="AJ12" s="248"/>
    </row>
    <row r="13" spans="2:36" s="27" customFormat="1">
      <c r="B13" s="168">
        <v>8</v>
      </c>
      <c r="C13" s="169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90" t="str">
        <f t="shared" si="4"/>
        <v>TER B</v>
      </c>
      <c r="K13" s="51">
        <f t="shared" si="5"/>
        <v>3518666.57</v>
      </c>
      <c r="L13" s="185">
        <f t="shared" si="6"/>
        <v>30575.999999999996</v>
      </c>
      <c r="M13" s="186">
        <f>(3640000+43500)*4%</f>
        <v>147340</v>
      </c>
      <c r="N13" s="143">
        <v>156600</v>
      </c>
      <c r="O13" s="143"/>
      <c r="P13" s="143">
        <v>315606.90000000002</v>
      </c>
      <c r="Q13" s="143"/>
      <c r="R13" s="143"/>
      <c r="S13" s="189">
        <v>43500</v>
      </c>
      <c r="T13" s="159"/>
      <c r="U13" s="143"/>
      <c r="V13" s="143"/>
      <c r="W13" s="143"/>
      <c r="X13" s="51">
        <f>'[6]GAJI '!$BC18</f>
        <v>0</v>
      </c>
      <c r="Y13" s="143">
        <v>3845500</v>
      </c>
      <c r="Z13" s="143"/>
      <c r="AA13" s="94">
        <f t="shared" si="0"/>
        <v>8057789</v>
      </c>
      <c r="AB13" s="95">
        <f t="shared" si="1"/>
        <v>0.01</v>
      </c>
      <c r="AC13" s="249">
        <f t="shared" si="7"/>
        <v>80577</v>
      </c>
      <c r="AD13" s="94">
        <f>+'Feb''24'!AC13</f>
        <v>0</v>
      </c>
      <c r="AE13" s="155">
        <f t="shared" si="8"/>
        <v>80577</v>
      </c>
      <c r="AF13" s="197">
        <v>4034373.5666666664</v>
      </c>
      <c r="AG13" s="135">
        <f t="shared" si="2"/>
        <v>177916</v>
      </c>
      <c r="AH13" s="197">
        <f t="shared" si="9"/>
        <v>4212289.5666666664</v>
      </c>
      <c r="AI13" s="135">
        <f t="shared" si="3"/>
        <v>3845499.4333333336</v>
      </c>
    </row>
    <row r="14" spans="2:36" s="27" customFormat="1">
      <c r="B14" s="168">
        <v>9</v>
      </c>
      <c r="C14" s="169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90" t="str">
        <f t="shared" si="4"/>
        <v>TER A</v>
      </c>
      <c r="K14" s="51">
        <f t="shared" si="5"/>
        <v>3518666.57</v>
      </c>
      <c r="L14" s="185">
        <f t="shared" si="6"/>
        <v>30575.999999999996</v>
      </c>
      <c r="M14" s="186">
        <f>(3640000+61000)*4%</f>
        <v>148040</v>
      </c>
      <c r="N14" s="143">
        <v>100800</v>
      </c>
      <c r="O14" s="143"/>
      <c r="P14" s="143"/>
      <c r="Q14" s="143"/>
      <c r="R14" s="143"/>
      <c r="S14" s="189">
        <v>61000</v>
      </c>
      <c r="T14" s="159"/>
      <c r="U14" s="143"/>
      <c r="V14" s="143"/>
      <c r="W14" s="143"/>
      <c r="X14" s="51">
        <f>'[6]GAJI '!$BC19</f>
        <v>-121333.33</v>
      </c>
      <c r="Y14" s="143">
        <v>3809000</v>
      </c>
      <c r="Z14" s="143"/>
      <c r="AA14" s="94">
        <f t="shared" si="0"/>
        <v>7546749</v>
      </c>
      <c r="AB14" s="95">
        <f t="shared" si="1"/>
        <v>1.5000000000000001E-2</v>
      </c>
      <c r="AC14" s="249">
        <f t="shared" si="7"/>
        <v>113201</v>
      </c>
      <c r="AD14" s="94">
        <f>+'Feb''24'!AC14</f>
        <v>0</v>
      </c>
      <c r="AE14" s="155">
        <f t="shared" si="8"/>
        <v>113201</v>
      </c>
      <c r="AF14" s="197">
        <v>3559133.3333333335</v>
      </c>
      <c r="AG14" s="135">
        <f t="shared" si="2"/>
        <v>178616</v>
      </c>
      <c r="AH14" s="197">
        <f t="shared" si="9"/>
        <v>3737749.3333333335</v>
      </c>
      <c r="AI14" s="135">
        <f t="shared" si="3"/>
        <v>3808999.6666666665</v>
      </c>
    </row>
    <row r="15" spans="2:36" s="27" customFormat="1">
      <c r="B15" s="168">
        <v>10</v>
      </c>
      <c r="C15" s="169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90" t="str">
        <f t="shared" si="4"/>
        <v>TER B</v>
      </c>
      <c r="K15" s="51">
        <f t="shared" si="5"/>
        <v>3518666.57</v>
      </c>
      <c r="L15" s="185">
        <f t="shared" si="6"/>
        <v>30575.999999999996</v>
      </c>
      <c r="M15" s="186">
        <f>(3640000+30000)*4%</f>
        <v>146800</v>
      </c>
      <c r="N15" s="143">
        <v>126000</v>
      </c>
      <c r="O15" s="143"/>
      <c r="P15" s="143"/>
      <c r="Q15" s="143"/>
      <c r="R15" s="143"/>
      <c r="S15" s="189">
        <v>30000</v>
      </c>
      <c r="T15" s="159"/>
      <c r="U15" s="143"/>
      <c r="V15" s="143"/>
      <c r="W15" s="143"/>
      <c r="X15" s="51">
        <f>'[6]GAJI '!$BC20</f>
        <v>-121333.33</v>
      </c>
      <c r="Y15" s="143">
        <v>3805000</v>
      </c>
      <c r="Z15" s="143"/>
      <c r="AA15" s="94">
        <f t="shared" si="0"/>
        <v>7535709</v>
      </c>
      <c r="AB15" s="95">
        <f t="shared" si="1"/>
        <v>0.01</v>
      </c>
      <c r="AC15" s="249">
        <f t="shared" si="7"/>
        <v>75357</v>
      </c>
      <c r="AD15" s="94">
        <f>+'Feb''24'!AC15</f>
        <v>0</v>
      </c>
      <c r="AE15" s="155">
        <f t="shared" si="8"/>
        <v>75357</v>
      </c>
      <c r="AF15" s="197">
        <v>3553333.3333333335</v>
      </c>
      <c r="AG15" s="135">
        <f t="shared" si="2"/>
        <v>177376</v>
      </c>
      <c r="AH15" s="197">
        <f t="shared" si="9"/>
        <v>3730709.3333333335</v>
      </c>
      <c r="AI15" s="135">
        <f t="shared" si="3"/>
        <v>3804999.6666666665</v>
      </c>
    </row>
    <row r="16" spans="2:36" s="27" customFormat="1">
      <c r="B16" s="168">
        <v>11</v>
      </c>
      <c r="C16" s="169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90" t="str">
        <f t="shared" si="4"/>
        <v>TER B</v>
      </c>
      <c r="K16" s="51">
        <f>21*121333.33</f>
        <v>2547999.9300000002</v>
      </c>
      <c r="L16" s="185">
        <f t="shared" si="6"/>
        <v>30575.999999999996</v>
      </c>
      <c r="M16" s="186">
        <f>(3640000+61000)*4%</f>
        <v>148040</v>
      </c>
      <c r="N16" s="143">
        <v>94500</v>
      </c>
      <c r="O16" s="143"/>
      <c r="P16" s="143"/>
      <c r="Q16" s="143"/>
      <c r="R16" s="143"/>
      <c r="S16" s="189">
        <v>61000</v>
      </c>
      <c r="T16" s="159"/>
      <c r="U16" s="143"/>
      <c r="V16" s="143"/>
      <c r="W16" s="143"/>
      <c r="X16" s="51">
        <f>'[6]GAJI '!$BC21</f>
        <v>0</v>
      </c>
      <c r="Y16" s="143"/>
      <c r="Z16" s="143"/>
      <c r="AA16" s="94">
        <f t="shared" si="0"/>
        <v>2882115</v>
      </c>
      <c r="AB16" s="95">
        <f t="shared" si="1"/>
        <v>0</v>
      </c>
      <c r="AC16" s="249">
        <f t="shared" si="7"/>
        <v>0</v>
      </c>
      <c r="AD16" s="94">
        <f>+'Feb''24'!AC16</f>
        <v>0</v>
      </c>
      <c r="AE16" s="155">
        <f t="shared" si="8"/>
        <v>0</v>
      </c>
      <c r="AF16" s="200">
        <v>2703500</v>
      </c>
      <c r="AG16" s="135">
        <f t="shared" si="2"/>
        <v>178616</v>
      </c>
      <c r="AH16" s="197">
        <f t="shared" si="9"/>
        <v>2882116</v>
      </c>
      <c r="AI16" s="135">
        <f t="shared" si="3"/>
        <v>-1</v>
      </c>
    </row>
    <row r="17" spans="2:35" s="27" customFormat="1">
      <c r="B17" s="168">
        <v>12</v>
      </c>
      <c r="C17" s="169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90" t="str">
        <f t="shared" si="4"/>
        <v>TER B</v>
      </c>
      <c r="K17" s="51">
        <f t="shared" si="5"/>
        <v>3518666.57</v>
      </c>
      <c r="L17" s="185">
        <f t="shared" si="6"/>
        <v>30575.999999999996</v>
      </c>
      <c r="M17" s="186">
        <f>(3640000+61000)*4%</f>
        <v>148040</v>
      </c>
      <c r="N17" s="143">
        <v>130500</v>
      </c>
      <c r="O17" s="143"/>
      <c r="P17" s="143"/>
      <c r="Q17" s="143">
        <v>160000</v>
      </c>
      <c r="R17" s="143"/>
      <c r="S17" s="189">
        <v>61000</v>
      </c>
      <c r="T17" s="159"/>
      <c r="U17" s="143"/>
      <c r="V17" s="143"/>
      <c r="W17" s="143"/>
      <c r="X17" s="51">
        <f>'[6]GAJI '!$BC22</f>
        <v>0</v>
      </c>
      <c r="Y17" s="143">
        <v>3836000</v>
      </c>
      <c r="Z17" s="143"/>
      <c r="AA17" s="94">
        <f t="shared" si="0"/>
        <v>7884782</v>
      </c>
      <c r="AB17" s="95">
        <f t="shared" si="1"/>
        <v>0.01</v>
      </c>
      <c r="AC17" s="249">
        <f t="shared" si="7"/>
        <v>78847</v>
      </c>
      <c r="AD17" s="94">
        <f>+'Feb''24'!AC17</f>
        <v>0</v>
      </c>
      <c r="AE17" s="155">
        <f t="shared" si="8"/>
        <v>78847</v>
      </c>
      <c r="AF17" s="197">
        <v>3870166.666666667</v>
      </c>
      <c r="AG17" s="135">
        <f t="shared" si="2"/>
        <v>178616</v>
      </c>
      <c r="AH17" s="197">
        <f t="shared" si="9"/>
        <v>4048782.666666667</v>
      </c>
      <c r="AI17" s="135">
        <f t="shared" si="3"/>
        <v>3835999.333333333</v>
      </c>
    </row>
    <row r="18" spans="2:35" s="27" customFormat="1">
      <c r="B18" s="168">
        <v>13</v>
      </c>
      <c r="C18" s="169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90" t="str">
        <f t="shared" si="4"/>
        <v>TER A</v>
      </c>
      <c r="K18" s="51">
        <f t="shared" si="5"/>
        <v>3518666.57</v>
      </c>
      <c r="L18" s="185">
        <f t="shared" si="6"/>
        <v>30575.999999999996</v>
      </c>
      <c r="M18" s="186">
        <f>(3640000+47000)*4%</f>
        <v>147480</v>
      </c>
      <c r="N18" s="143">
        <v>100800</v>
      </c>
      <c r="O18" s="143"/>
      <c r="P18" s="143"/>
      <c r="Q18" s="143"/>
      <c r="R18" s="143"/>
      <c r="S18" s="189">
        <v>47000</v>
      </c>
      <c r="T18" s="159"/>
      <c r="U18" s="143"/>
      <c r="V18" s="143"/>
      <c r="W18" s="143"/>
      <c r="X18" s="51">
        <f>'[6]GAJI '!$BC23</f>
        <v>-121333.33</v>
      </c>
      <c r="Y18" s="143">
        <v>3795000</v>
      </c>
      <c r="Z18" s="143"/>
      <c r="AA18" s="94">
        <f t="shared" si="0"/>
        <v>7518189</v>
      </c>
      <c r="AB18" s="95">
        <f t="shared" si="1"/>
        <v>1.5000000000000001E-2</v>
      </c>
      <c r="AC18" s="249">
        <f t="shared" si="7"/>
        <v>112772</v>
      </c>
      <c r="AD18" s="94">
        <f>+'Feb''24'!AC18</f>
        <v>0</v>
      </c>
      <c r="AE18" s="155">
        <f t="shared" si="8"/>
        <v>112772</v>
      </c>
      <c r="AF18" s="197">
        <v>3545133.3333333335</v>
      </c>
      <c r="AG18" s="135">
        <f t="shared" si="2"/>
        <v>178056</v>
      </c>
      <c r="AH18" s="197">
        <f t="shared" si="9"/>
        <v>3723189.3333333335</v>
      </c>
      <c r="AI18" s="135">
        <f t="shared" si="3"/>
        <v>3794999.6666666665</v>
      </c>
    </row>
    <row r="19" spans="2:35" s="27" customFormat="1">
      <c r="B19" s="168">
        <v>14</v>
      </c>
      <c r="C19" s="169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90" t="str">
        <f t="shared" si="4"/>
        <v>TER B</v>
      </c>
      <c r="K19" s="51">
        <f t="shared" si="5"/>
        <v>3518666.57</v>
      </c>
      <c r="L19" s="185">
        <f t="shared" si="6"/>
        <v>30575.999999999996</v>
      </c>
      <c r="M19" s="186">
        <f>(3640000+43500)*4%</f>
        <v>147340</v>
      </c>
      <c r="N19" s="143">
        <v>126000</v>
      </c>
      <c r="O19" s="143"/>
      <c r="P19" s="143">
        <v>94682.07</v>
      </c>
      <c r="Q19" s="143"/>
      <c r="R19" s="143"/>
      <c r="S19" s="189">
        <v>43500</v>
      </c>
      <c r="T19" s="159"/>
      <c r="U19" s="143"/>
      <c r="V19" s="143"/>
      <c r="W19" s="143"/>
      <c r="X19" s="51">
        <f>'[6]GAJI '!$BC24</f>
        <v>-121333.33</v>
      </c>
      <c r="Y19" s="143">
        <v>3818500</v>
      </c>
      <c r="Z19" s="143"/>
      <c r="AA19" s="94">
        <f t="shared" si="0"/>
        <v>7657931</v>
      </c>
      <c r="AB19" s="95">
        <f t="shared" si="1"/>
        <v>0.01</v>
      </c>
      <c r="AC19" s="249">
        <f t="shared" si="7"/>
        <v>76579</v>
      </c>
      <c r="AD19" s="94">
        <f>+'Feb''24'!AC19</f>
        <v>0</v>
      </c>
      <c r="AE19" s="155">
        <f t="shared" si="8"/>
        <v>76579</v>
      </c>
      <c r="AF19" s="197">
        <v>3661515.4033333333</v>
      </c>
      <c r="AG19" s="135">
        <f t="shared" si="2"/>
        <v>177916</v>
      </c>
      <c r="AH19" s="197">
        <f t="shared" si="9"/>
        <v>3839431.4033333333</v>
      </c>
      <c r="AI19" s="135">
        <f t="shared" si="3"/>
        <v>3818499.5966666667</v>
      </c>
    </row>
    <row r="20" spans="2:35" s="27" customFormat="1">
      <c r="B20" s="168">
        <v>15</v>
      </c>
      <c r="C20" s="169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90" t="str">
        <f t="shared" si="4"/>
        <v>TER B</v>
      </c>
      <c r="K20" s="51">
        <f t="shared" si="5"/>
        <v>3518666.57</v>
      </c>
      <c r="L20" s="185">
        <f t="shared" si="6"/>
        <v>30575.999999999996</v>
      </c>
      <c r="M20" s="186">
        <f>(3640000+50500)*4%</f>
        <v>147620</v>
      </c>
      <c r="N20" s="143">
        <v>156600</v>
      </c>
      <c r="O20" s="143"/>
      <c r="P20" s="143">
        <v>2672138.42</v>
      </c>
      <c r="Q20" s="143"/>
      <c r="R20" s="143"/>
      <c r="S20" s="189">
        <v>50500</v>
      </c>
      <c r="T20" s="159"/>
      <c r="U20" s="143"/>
      <c r="V20" s="143"/>
      <c r="W20" s="143"/>
      <c r="X20" s="51">
        <f>'[6]GAJI '!$BC25</f>
        <v>0</v>
      </c>
      <c r="Y20" s="143">
        <v>3852500</v>
      </c>
      <c r="Z20" s="143"/>
      <c r="AA20" s="94">
        <f t="shared" si="0"/>
        <v>10428600</v>
      </c>
      <c r="AB20" s="95">
        <f t="shared" si="1"/>
        <v>1.4999999999999999E-2</v>
      </c>
      <c r="AC20" s="249">
        <f t="shared" si="7"/>
        <v>156429</v>
      </c>
      <c r="AD20" s="94">
        <f>+'Feb''24'!AC20</f>
        <v>32881</v>
      </c>
      <c r="AE20" s="155">
        <f t="shared" si="8"/>
        <v>123548</v>
      </c>
      <c r="AF20" s="197">
        <v>6397905.086666666</v>
      </c>
      <c r="AG20" s="135">
        <f t="shared" si="2"/>
        <v>178196</v>
      </c>
      <c r="AH20" s="197">
        <f t="shared" si="9"/>
        <v>6576101.086666666</v>
      </c>
      <c r="AI20" s="135">
        <f t="shared" si="3"/>
        <v>3852498.913333334</v>
      </c>
    </row>
    <row r="21" spans="2:35" s="27" customFormat="1">
      <c r="B21" s="168">
        <v>16</v>
      </c>
      <c r="C21" s="169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5">
        <f t="shared" si="6"/>
        <v>30575.999999999996</v>
      </c>
      <c r="M21" s="186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89">
        <v>61000</v>
      </c>
      <c r="T21" s="159"/>
      <c r="U21" s="51"/>
      <c r="V21" s="51"/>
      <c r="W21" s="51"/>
      <c r="X21" s="51">
        <f>'[6]GAJI '!$BC26</f>
        <v>-242666.66</v>
      </c>
      <c r="Y21" s="51">
        <v>3836000</v>
      </c>
      <c r="Z21" s="51"/>
      <c r="AA21" s="94">
        <f t="shared" si="0"/>
        <v>7567797</v>
      </c>
      <c r="AB21" s="95">
        <f t="shared" si="1"/>
        <v>0.01</v>
      </c>
      <c r="AC21" s="249">
        <f t="shared" si="7"/>
        <v>75677</v>
      </c>
      <c r="AD21" s="94">
        <f>+'Feb''24'!AC21</f>
        <v>0</v>
      </c>
      <c r="AE21" s="155">
        <f t="shared" si="8"/>
        <v>75677</v>
      </c>
      <c r="AF21" s="197">
        <v>3553182.07</v>
      </c>
      <c r="AG21" s="135">
        <f t="shared" si="2"/>
        <v>178616</v>
      </c>
      <c r="AH21" s="197">
        <f t="shared" si="9"/>
        <v>3731798.07</v>
      </c>
      <c r="AI21" s="135">
        <f t="shared" si="3"/>
        <v>3835998.93</v>
      </c>
    </row>
    <row r="22" spans="2:35" s="27" customFormat="1">
      <c r="B22" s="168">
        <v>17</v>
      </c>
      <c r="C22" s="173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90" t="str">
        <f t="shared" si="4"/>
        <v>TER A</v>
      </c>
      <c r="K22" s="193">
        <f>29*123833.33</f>
        <v>3591166.57</v>
      </c>
      <c r="L22" s="191">
        <f>3715000*0.84%</f>
        <v>31205.999999999996</v>
      </c>
      <c r="M22" s="194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89">
        <v>2500</v>
      </c>
      <c r="T22" s="159"/>
      <c r="U22" s="51"/>
      <c r="V22" s="51"/>
      <c r="W22" s="51"/>
      <c r="X22" s="51">
        <f>'[6]GAJI '!$BC27</f>
        <v>0</v>
      </c>
      <c r="Y22" s="51">
        <v>3787500</v>
      </c>
      <c r="Z22" s="51"/>
      <c r="AA22" s="94">
        <f t="shared" si="0"/>
        <v>9333504</v>
      </c>
      <c r="AB22" s="95">
        <f t="shared" si="1"/>
        <v>1.7500000000000002E-2</v>
      </c>
      <c r="AC22" s="249">
        <f t="shared" si="7"/>
        <v>163336</v>
      </c>
      <c r="AD22" s="94">
        <f>+'Feb''24'!AC22</f>
        <v>13865</v>
      </c>
      <c r="AE22" s="155">
        <f t="shared" si="8"/>
        <v>149471</v>
      </c>
      <c r="AF22" s="197">
        <v>5366098.5266666673</v>
      </c>
      <c r="AG22" s="135">
        <f t="shared" si="2"/>
        <v>179906</v>
      </c>
      <c r="AH22" s="197">
        <f t="shared" si="9"/>
        <v>5546004.5266666673</v>
      </c>
      <c r="AI22" s="247">
        <f t="shared" si="3"/>
        <v>3787499.4733333327</v>
      </c>
    </row>
    <row r="23" spans="2:35" s="27" customFormat="1">
      <c r="B23" s="168">
        <v>18</v>
      </c>
      <c r="C23" s="176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5">
        <f>3640000*0.84%</f>
        <v>30575.999999999996</v>
      </c>
      <c r="M23" s="192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89">
        <v>43500</v>
      </c>
      <c r="T23" s="159"/>
      <c r="U23" s="51"/>
      <c r="V23" s="51"/>
      <c r="W23" s="51"/>
      <c r="X23" s="51">
        <f>'[6]GAJI '!$BC28</f>
        <v>0</v>
      </c>
      <c r="Y23" s="51">
        <v>3791500</v>
      </c>
      <c r="Z23" s="51"/>
      <c r="AA23" s="94">
        <f t="shared" si="0"/>
        <v>7865346</v>
      </c>
      <c r="AB23" s="95">
        <f t="shared" si="1"/>
        <v>1.5000000000000001E-2</v>
      </c>
      <c r="AC23" s="249">
        <f t="shared" si="7"/>
        <v>117980</v>
      </c>
      <c r="AD23" s="94">
        <f>+'Feb''24'!AC23</f>
        <v>0</v>
      </c>
      <c r="AE23" s="155">
        <f t="shared" si="8"/>
        <v>117980</v>
      </c>
      <c r="AF23" s="197">
        <v>3895930.8066666671</v>
      </c>
      <c r="AG23" s="135">
        <f t="shared" si="2"/>
        <v>177916</v>
      </c>
      <c r="AH23" s="197">
        <f t="shared" si="9"/>
        <v>4073846.8066666671</v>
      </c>
      <c r="AI23" s="135">
        <f t="shared" si="3"/>
        <v>3791499.1933333329</v>
      </c>
    </row>
    <row r="24" spans="2:35" s="27" customFormat="1">
      <c r="B24" s="168">
        <v>19</v>
      </c>
      <c r="C24" s="169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90" t="str">
        <f t="shared" si="4"/>
        <v>TER B</v>
      </c>
      <c r="K24" s="51">
        <f t="shared" ref="K24:K29" si="10">29*121333.33</f>
        <v>3518666.57</v>
      </c>
      <c r="L24" s="185">
        <f t="shared" ref="L24:L27" si="11">3640000*0.84%</f>
        <v>30575.999999999996</v>
      </c>
      <c r="M24" s="186">
        <f>(3640000+47000)*4%</f>
        <v>147480</v>
      </c>
      <c r="N24" s="143">
        <v>156600</v>
      </c>
      <c r="O24" s="143">
        <v>66000</v>
      </c>
      <c r="P24" s="143">
        <v>2598496.81</v>
      </c>
      <c r="Q24" s="143"/>
      <c r="R24" s="143"/>
      <c r="S24" s="189">
        <v>47000</v>
      </c>
      <c r="T24" s="162"/>
      <c r="U24" s="51"/>
      <c r="V24" s="51"/>
      <c r="W24" s="51"/>
      <c r="X24" s="51">
        <f>'[6]GAJI '!$BC53</f>
        <v>0</v>
      </c>
      <c r="Y24" s="51">
        <v>3849000</v>
      </c>
      <c r="Z24" s="51"/>
      <c r="AA24" s="94">
        <f t="shared" si="0"/>
        <v>10413819</v>
      </c>
      <c r="AB24" s="95">
        <f t="shared" si="1"/>
        <v>1.4999999999999999E-2</v>
      </c>
      <c r="AC24" s="249">
        <f t="shared" si="7"/>
        <v>156207</v>
      </c>
      <c r="AD24" s="94">
        <f>+'Feb''24'!AC24</f>
        <v>32824</v>
      </c>
      <c r="AE24" s="155">
        <f t="shared" si="8"/>
        <v>123383</v>
      </c>
      <c r="AF24" s="198">
        <v>6386763.4766666666</v>
      </c>
      <c r="AG24" s="135">
        <f t="shared" si="2"/>
        <v>178056</v>
      </c>
      <c r="AH24" s="197">
        <f t="shared" si="9"/>
        <v>6564819.4766666666</v>
      </c>
      <c r="AI24" s="135">
        <f t="shared" si="3"/>
        <v>3848999.5233333334</v>
      </c>
    </row>
    <row r="25" spans="2:35" s="27" customFormat="1">
      <c r="B25" s="168">
        <v>20</v>
      </c>
      <c r="C25" s="169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90" t="str">
        <f t="shared" si="4"/>
        <v>TER B</v>
      </c>
      <c r="K25" s="51">
        <f t="shared" si="10"/>
        <v>3518666.57</v>
      </c>
      <c r="L25" s="185">
        <f t="shared" si="11"/>
        <v>30575.999999999996</v>
      </c>
      <c r="M25" s="186">
        <f>(3640000+61000)*4%</f>
        <v>148040</v>
      </c>
      <c r="N25" s="143">
        <v>156600</v>
      </c>
      <c r="O25" s="143">
        <v>44000</v>
      </c>
      <c r="P25" s="143">
        <v>2019884.16</v>
      </c>
      <c r="Q25" s="143"/>
      <c r="R25" s="143"/>
      <c r="S25" s="189">
        <v>61000</v>
      </c>
      <c r="T25" s="159"/>
      <c r="U25" s="143"/>
      <c r="V25" s="143"/>
      <c r="W25" s="143"/>
      <c r="X25" s="51">
        <f>'[6]GAJI '!$BC54</f>
        <v>0</v>
      </c>
      <c r="Y25" s="143">
        <v>3863000</v>
      </c>
      <c r="Z25" s="143"/>
      <c r="AA25" s="94">
        <f t="shared" si="0"/>
        <v>9841766</v>
      </c>
      <c r="AB25" s="95">
        <f t="shared" si="1"/>
        <v>1.4999999999999999E-2</v>
      </c>
      <c r="AC25" s="249">
        <f t="shared" si="7"/>
        <v>147626</v>
      </c>
      <c r="AD25" s="94">
        <f>+'Feb''24'!AC25</f>
        <v>0</v>
      </c>
      <c r="AE25" s="155">
        <f t="shared" si="8"/>
        <v>147626</v>
      </c>
      <c r="AF25" s="198">
        <v>5800150.8266666662</v>
      </c>
      <c r="AG25" s="135">
        <f t="shared" si="2"/>
        <v>178616</v>
      </c>
      <c r="AH25" s="197">
        <f t="shared" si="9"/>
        <v>5978766.8266666662</v>
      </c>
      <c r="AI25" s="135">
        <f t="shared" si="3"/>
        <v>3862999.1733333338</v>
      </c>
    </row>
    <row r="26" spans="2:35" s="27" customFormat="1">
      <c r="B26" s="168">
        <v>21</v>
      </c>
      <c r="C26" s="169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90" t="str">
        <f t="shared" si="4"/>
        <v>TER A</v>
      </c>
      <c r="K26" s="51">
        <f t="shared" si="10"/>
        <v>3518666.57</v>
      </c>
      <c r="L26" s="185">
        <f t="shared" si="11"/>
        <v>30575.999999999996</v>
      </c>
      <c r="M26" s="186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89">
        <v>24000</v>
      </c>
      <c r="T26" s="159"/>
      <c r="U26" s="51"/>
      <c r="V26" s="51"/>
      <c r="W26" s="51"/>
      <c r="X26" s="51">
        <f>'[6]GAJI '!$BC55</f>
        <v>0</v>
      </c>
      <c r="Y26" s="51">
        <v>3772000</v>
      </c>
      <c r="Z26" s="51"/>
      <c r="AA26" s="94">
        <f t="shared" si="0"/>
        <v>10851461</v>
      </c>
      <c r="AB26" s="95">
        <f t="shared" si="1"/>
        <v>0.03</v>
      </c>
      <c r="AC26" s="249">
        <f t="shared" si="7"/>
        <v>325543</v>
      </c>
      <c r="AD26" s="94">
        <f>+'Feb''24'!AC26</f>
        <v>88493</v>
      </c>
      <c r="AE26" s="155">
        <f t="shared" si="8"/>
        <v>237050</v>
      </c>
      <c r="AF26" s="198">
        <v>6902325.3866666676</v>
      </c>
      <c r="AG26" s="135">
        <f t="shared" si="2"/>
        <v>177136</v>
      </c>
      <c r="AH26" s="197">
        <f t="shared" si="9"/>
        <v>7079461.3866666676</v>
      </c>
      <c r="AI26" s="135">
        <f t="shared" si="3"/>
        <v>3771999.6133333324</v>
      </c>
    </row>
    <row r="27" spans="2:35" s="27" customFormat="1">
      <c r="B27" s="168">
        <v>22</v>
      </c>
      <c r="C27" s="179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90" t="str">
        <f t="shared" si="4"/>
        <v>TER B</v>
      </c>
      <c r="K27" s="51">
        <f t="shared" si="10"/>
        <v>3518666.57</v>
      </c>
      <c r="L27" s="185">
        <f t="shared" si="11"/>
        <v>30575.999999999996</v>
      </c>
      <c r="M27" s="186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89">
        <v>40000</v>
      </c>
      <c r="T27" s="159"/>
      <c r="U27" s="51"/>
      <c r="V27" s="51"/>
      <c r="W27" s="51"/>
      <c r="X27" s="51">
        <f>'[6]GAJI '!$BC56</f>
        <v>0</v>
      </c>
      <c r="Y27" s="51">
        <v>3818500</v>
      </c>
      <c r="Z27" s="51"/>
      <c r="AA27" s="94">
        <f t="shared" si="0"/>
        <v>7748442</v>
      </c>
      <c r="AB27" s="95">
        <f t="shared" si="1"/>
        <v>0.01</v>
      </c>
      <c r="AC27" s="249">
        <f t="shared" si="7"/>
        <v>77484</v>
      </c>
      <c r="AD27" s="94">
        <f>+'Feb''24'!AC27</f>
        <v>0</v>
      </c>
      <c r="AE27" s="155">
        <f t="shared" si="8"/>
        <v>77484</v>
      </c>
      <c r="AF27" s="198">
        <v>3752166.666666667</v>
      </c>
      <c r="AG27" s="135">
        <f t="shared" si="2"/>
        <v>177776</v>
      </c>
      <c r="AH27" s="197">
        <f t="shared" si="9"/>
        <v>3929942.666666667</v>
      </c>
      <c r="AI27" s="135">
        <f t="shared" si="3"/>
        <v>3818499.333333333</v>
      </c>
    </row>
    <row r="28" spans="2:35" s="27" customFormat="1">
      <c r="B28" s="238">
        <v>23</v>
      </c>
      <c r="C28" s="179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90" t="str">
        <f t="shared" si="4"/>
        <v>TER B</v>
      </c>
      <c r="K28" s="51">
        <f t="shared" si="10"/>
        <v>3518666.57</v>
      </c>
      <c r="L28" s="185">
        <f>3640000*0.84%</f>
        <v>30575.999999999996</v>
      </c>
      <c r="M28" s="186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89">
        <v>43500</v>
      </c>
      <c r="T28" s="159"/>
      <c r="U28" s="51"/>
      <c r="V28" s="51"/>
      <c r="W28" s="51"/>
      <c r="X28" s="51">
        <f>'[6]GAJI '!$BC57</f>
        <v>0</v>
      </c>
      <c r="Y28" s="51">
        <v>3818500</v>
      </c>
      <c r="Z28" s="51"/>
      <c r="AA28" s="94">
        <f t="shared" si="0"/>
        <v>11785959</v>
      </c>
      <c r="AB28" s="95">
        <f t="shared" si="1"/>
        <v>3.0000000000000002E-2</v>
      </c>
      <c r="AC28" s="249">
        <f t="shared" si="7"/>
        <v>353578</v>
      </c>
      <c r="AD28" s="94">
        <f>+'Feb''24'!AC28</f>
        <v>79675</v>
      </c>
      <c r="AE28" s="155">
        <f t="shared" si="8"/>
        <v>273903</v>
      </c>
      <c r="AF28" s="198">
        <v>7789543.7866666671</v>
      </c>
      <c r="AG28" s="135">
        <f t="shared" si="2"/>
        <v>177916</v>
      </c>
      <c r="AH28" s="197">
        <f t="shared" si="9"/>
        <v>7967459.7866666671</v>
      </c>
      <c r="AI28" s="135">
        <f t="shared" si="3"/>
        <v>3818499.2133333329</v>
      </c>
    </row>
    <row r="29" spans="2:35" s="27" customFormat="1" ht="13.5" thickBot="1">
      <c r="B29" s="239">
        <v>24</v>
      </c>
      <c r="C29" s="179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90" t="str">
        <f t="shared" si="4"/>
        <v>TER B</v>
      </c>
      <c r="K29" s="51">
        <f t="shared" si="10"/>
        <v>3518666.57</v>
      </c>
      <c r="L29" s="185">
        <f>3640000*0.84%</f>
        <v>30575.999999999996</v>
      </c>
      <c r="M29" s="186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89">
        <v>43500</v>
      </c>
      <c r="T29" s="159"/>
      <c r="U29" s="51"/>
      <c r="V29" s="51"/>
      <c r="W29" s="51"/>
      <c r="X29" s="51">
        <f>'[6]GAJI '!$BC58</f>
        <v>-121333.33</v>
      </c>
      <c r="Y29" s="51">
        <v>3822000</v>
      </c>
      <c r="Z29" s="51"/>
      <c r="AA29" s="94">
        <f t="shared" si="0"/>
        <v>10906169</v>
      </c>
      <c r="AB29" s="95">
        <f t="shared" si="1"/>
        <v>0.02</v>
      </c>
      <c r="AC29" s="249">
        <f t="shared" si="7"/>
        <v>218123</v>
      </c>
      <c r="AD29" s="96">
        <f>+'Feb''24'!AC29</f>
        <v>53131</v>
      </c>
      <c r="AE29" s="258">
        <f t="shared" si="8"/>
        <v>164992</v>
      </c>
      <c r="AF29" s="198">
        <v>6906253.8933333345</v>
      </c>
      <c r="AG29" s="135">
        <f t="shared" si="2"/>
        <v>177916</v>
      </c>
      <c r="AH29" s="197">
        <f t="shared" si="9"/>
        <v>7084169.8933333345</v>
      </c>
      <c r="AI29" s="135">
        <f t="shared" si="3"/>
        <v>3821999.1066666655</v>
      </c>
    </row>
    <row r="30" spans="2:35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95">
        <f t="shared" ref="K30:S30" si="12">SUM(K6:K29)</f>
        <v>83549831.039999962</v>
      </c>
      <c r="L30" s="195">
        <f t="shared" si="12"/>
        <v>734453.99999999988</v>
      </c>
      <c r="M30" s="195">
        <f t="shared" si="12"/>
        <v>3541380</v>
      </c>
      <c r="N30" s="195">
        <f t="shared" si="12"/>
        <v>2805300</v>
      </c>
      <c r="O30" s="195">
        <f t="shared" si="12"/>
        <v>400000</v>
      </c>
      <c r="P30" s="195">
        <f t="shared" si="12"/>
        <v>24641283.260000005</v>
      </c>
      <c r="Q30" s="195">
        <f t="shared" si="12"/>
        <v>600000</v>
      </c>
      <c r="R30" s="195">
        <f t="shared" si="12"/>
        <v>1528800.21</v>
      </c>
      <c r="S30" s="195">
        <f t="shared" si="12"/>
        <v>1099500</v>
      </c>
      <c r="T30" s="126">
        <f t="shared" ref="T30" si="13">SUM(T6:T29)</f>
        <v>0</v>
      </c>
      <c r="U30" s="126"/>
      <c r="V30" s="126"/>
      <c r="W30" s="126"/>
      <c r="X30" s="126">
        <f>SUM(X6:X29)</f>
        <v>-849333.30999999994</v>
      </c>
      <c r="Y30" s="126">
        <f>SUM(Y6:Y29)</f>
        <v>87678000</v>
      </c>
      <c r="Z30" s="126"/>
      <c r="AA30" s="126">
        <f t="shared" ref="AA30:AH30" si="14">SUM(AA6:AA29)</f>
        <v>205729202</v>
      </c>
      <c r="AB30" s="126">
        <f t="shared" si="14"/>
        <v>0.3500000000000002</v>
      </c>
      <c r="AC30" s="195">
        <f>SUM(AC6:AC29)</f>
        <v>3215272</v>
      </c>
      <c r="AD30" s="195">
        <f>SUM(AD6:AD29)</f>
        <v>314662</v>
      </c>
      <c r="AE30" s="195">
        <f>SUM(AE6:AE29)</f>
        <v>2900610</v>
      </c>
      <c r="AF30" s="199">
        <f t="shared" si="14"/>
        <v>113775383.47000003</v>
      </c>
      <c r="AG30" s="232">
        <f t="shared" si="14"/>
        <v>4275834</v>
      </c>
      <c r="AH30" s="199">
        <f t="shared" si="14"/>
        <v>118051217.47000003</v>
      </c>
      <c r="AI30" s="237">
        <f>SUM(AI6:AI29)</f>
        <v>87677984.529999986</v>
      </c>
    </row>
    <row r="32" spans="2:35">
      <c r="B32" s="57" t="s">
        <v>48</v>
      </c>
      <c r="M32" s="61"/>
      <c r="N32" s="61"/>
      <c r="O32" s="61"/>
      <c r="P32" s="61"/>
      <c r="Q32" s="61"/>
      <c r="R32" s="61"/>
    </row>
    <row r="33" spans="2:56">
      <c r="B33" s="27" t="s">
        <v>49</v>
      </c>
      <c r="M33" s="61"/>
      <c r="N33" s="61"/>
      <c r="O33" s="61"/>
      <c r="P33" s="61"/>
      <c r="Q33" s="61"/>
      <c r="R33" s="61"/>
    </row>
    <row r="34" spans="2:56">
      <c r="B34" s="27" t="s">
        <v>57</v>
      </c>
      <c r="M34" s="61"/>
      <c r="N34" s="61"/>
      <c r="O34" s="61"/>
      <c r="P34" s="61"/>
      <c r="Q34" s="61"/>
      <c r="R34" s="61"/>
    </row>
    <row r="35" spans="2:56">
      <c r="B35" s="27" t="s">
        <v>50</v>
      </c>
      <c r="M35" s="61"/>
      <c r="N35" s="61"/>
      <c r="O35" s="61"/>
      <c r="P35" s="61"/>
      <c r="Q35" s="61"/>
      <c r="R35" s="61"/>
    </row>
    <row r="36" spans="2:56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8"/>
      <c r="AE36" s="28"/>
      <c r="AF36" s="27"/>
      <c r="AG36" s="27"/>
      <c r="AH36" s="27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</row>
    <row r="37" spans="2:56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8"/>
      <c r="AE37" s="28"/>
      <c r="AF37" s="27"/>
      <c r="AG37" s="27"/>
      <c r="AH37" s="27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</row>
    <row r="38" spans="2:56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8"/>
      <c r="AE38" s="28"/>
      <c r="AF38" s="27"/>
      <c r="AG38" s="27"/>
      <c r="AH38" s="27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</row>
    <row r="39" spans="2:56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8"/>
      <c r="AE39" s="28"/>
      <c r="AF39" s="27"/>
      <c r="AG39" s="27"/>
      <c r="AH39" s="27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</row>
    <row r="40" spans="2:56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8"/>
      <c r="AE40" s="28"/>
      <c r="AF40" s="27"/>
      <c r="AG40" s="27"/>
      <c r="AH40" s="27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</row>
    <row r="41" spans="2:56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8"/>
      <c r="AE41" s="28"/>
      <c r="AF41" s="27"/>
      <c r="AG41" s="27"/>
      <c r="AH41" s="27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</row>
    <row r="42" spans="2:56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8"/>
      <c r="AE42" s="28"/>
      <c r="AF42" s="27"/>
      <c r="AG42" s="27"/>
      <c r="AH42" s="27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</row>
    <row r="43" spans="2:56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8"/>
      <c r="AE43" s="28"/>
      <c r="AF43" s="27"/>
      <c r="AG43" s="27"/>
      <c r="AH43" s="27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</row>
    <row r="44" spans="2:56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8"/>
      <c r="AE44" s="28"/>
      <c r="AF44" s="27"/>
      <c r="AG44" s="27"/>
      <c r="AH44" s="27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</row>
    <row r="45" spans="2:56" s="33" customFormat="1">
      <c r="B45" s="27"/>
      <c r="C45" s="28"/>
      <c r="D45" s="725" t="s">
        <v>167</v>
      </c>
      <c r="E45" s="725"/>
      <c r="F45" s="28"/>
      <c r="G45" s="31"/>
      <c r="H45" s="229"/>
      <c r="I45" s="229"/>
      <c r="J45" s="229"/>
      <c r="K45" s="725" t="s">
        <v>169</v>
      </c>
      <c r="L45" s="725"/>
      <c r="M45" s="725"/>
      <c r="N45" s="725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/>
      <c r="AB45" s="88"/>
      <c r="AC45" s="28"/>
      <c r="AD45" s="28"/>
      <c r="AE45" s="28"/>
      <c r="AF45" s="27"/>
      <c r="AG45" s="27"/>
      <c r="AH45" s="27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</row>
    <row r="46" spans="2:56">
      <c r="AH46" s="135"/>
    </row>
    <row r="48" spans="2:56">
      <c r="D48" s="725" t="s">
        <v>98</v>
      </c>
      <c r="E48" s="725"/>
      <c r="K48" s="725" t="s">
        <v>170</v>
      </c>
      <c r="L48" s="725"/>
      <c r="M48" s="725"/>
      <c r="N48" s="725"/>
    </row>
    <row r="49" spans="3:15">
      <c r="D49" s="725" t="s">
        <v>168</v>
      </c>
      <c r="E49" s="725"/>
      <c r="K49" s="725" t="s">
        <v>171</v>
      </c>
      <c r="L49" s="725"/>
      <c r="M49" s="725"/>
      <c r="N49" s="725"/>
    </row>
    <row r="50" spans="3:15">
      <c r="D50" s="725"/>
      <c r="E50" s="725"/>
      <c r="F50" s="725"/>
      <c r="G50" s="726"/>
      <c r="H50" s="726"/>
      <c r="I50" s="726"/>
      <c r="J50" s="726"/>
      <c r="K50" s="725"/>
      <c r="L50" s="725"/>
      <c r="M50" s="725"/>
      <c r="N50" s="725"/>
      <c r="O50" s="725"/>
    </row>
    <row r="51" spans="3:15">
      <c r="C51" s="725"/>
      <c r="D51" s="725"/>
      <c r="G51" s="726"/>
      <c r="H51" s="726"/>
      <c r="I51" s="726"/>
      <c r="J51" s="726"/>
    </row>
    <row r="53" spans="3:15">
      <c r="D53" s="725"/>
      <c r="E53" s="725"/>
      <c r="F53" s="725"/>
      <c r="K53" s="725"/>
      <c r="L53" s="725"/>
      <c r="M53" s="725"/>
      <c r="N53" s="725"/>
      <c r="O53" s="725"/>
    </row>
    <row r="54" spans="3:15">
      <c r="D54" s="725"/>
      <c r="E54" s="725"/>
      <c r="F54" s="725"/>
      <c r="K54" s="725"/>
      <c r="L54" s="725"/>
      <c r="M54" s="725"/>
      <c r="N54" s="725"/>
      <c r="O54" s="725"/>
    </row>
    <row r="55" spans="3:15">
      <c r="C55" s="725"/>
      <c r="D55" s="725"/>
      <c r="G55" s="726"/>
      <c r="H55" s="726"/>
      <c r="I55" s="726"/>
      <c r="J55" s="726"/>
    </row>
    <row r="56" spans="3:15">
      <c r="C56" s="725"/>
      <c r="D56" s="725"/>
      <c r="G56" s="726"/>
      <c r="H56" s="726"/>
      <c r="I56" s="726"/>
      <c r="J56" s="726"/>
    </row>
    <row r="57" spans="3:15">
      <c r="C57" s="725"/>
      <c r="D57" s="725"/>
    </row>
  </sheetData>
  <mergeCells count="18">
    <mergeCell ref="D45:E45"/>
    <mergeCell ref="K45:N45"/>
    <mergeCell ref="D48:E48"/>
    <mergeCell ref="K48:N48"/>
    <mergeCell ref="D49:E49"/>
    <mergeCell ref="K49:N49"/>
    <mergeCell ref="C57:D57"/>
    <mergeCell ref="D50:F50"/>
    <mergeCell ref="G50:J51"/>
    <mergeCell ref="K50:O50"/>
    <mergeCell ref="C51:D51"/>
    <mergeCell ref="D53:F53"/>
    <mergeCell ref="K53:O53"/>
    <mergeCell ref="D54:F54"/>
    <mergeCell ref="K54:O54"/>
    <mergeCell ref="C55:D56"/>
    <mergeCell ref="G55:J55"/>
    <mergeCell ref="G56:J56"/>
  </mergeCells>
  <dataValidations disablePrompts="1"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50"/>
  <sheetViews>
    <sheetView topLeftCell="W10" zoomScale="76" zoomScaleNormal="76" workbookViewId="0">
      <selection activeCell="W30" sqref="N30:W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9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32" customWidth="1" outlineLevel="1"/>
    <col min="9" max="9" width="8.570312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4.85546875" style="28" customWidth="1"/>
    <col min="29" max="29" width="14.28515625" style="27" customWidth="1"/>
    <col min="30" max="30" width="15.5703125" style="27" customWidth="1"/>
    <col min="31" max="31" width="16.5703125" style="27" customWidth="1"/>
    <col min="32" max="32" width="15.7109375" style="59" customWidth="1"/>
    <col min="33" max="33" width="14.42578125" style="59" customWidth="1"/>
    <col min="34" max="34" width="9.28515625" style="59"/>
    <col min="35" max="35" width="12.140625" style="59" customWidth="1"/>
    <col min="36" max="36" width="14" style="59" customWidth="1"/>
    <col min="37" max="16384" width="9.28515625" style="59"/>
  </cols>
  <sheetData>
    <row r="1" spans="2:36">
      <c r="B1" s="27" t="s">
        <v>71</v>
      </c>
    </row>
    <row r="2" spans="2:36">
      <c r="B2" s="27" t="s">
        <v>172</v>
      </c>
    </row>
    <row r="3" spans="2:36">
      <c r="B3" s="27" t="s">
        <v>173</v>
      </c>
    </row>
    <row r="4" spans="2:36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6" s="27" customFormat="1" ht="51.75" thickBot="1">
      <c r="B5" s="145" t="s">
        <v>64</v>
      </c>
      <c r="C5" s="145" t="s">
        <v>25</v>
      </c>
      <c r="D5" s="146" t="s">
        <v>26</v>
      </c>
      <c r="E5" s="147" t="s">
        <v>27</v>
      </c>
      <c r="F5" s="145" t="s">
        <v>28</v>
      </c>
      <c r="G5" s="14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148" t="s">
        <v>67</v>
      </c>
      <c r="M5" s="148" t="s">
        <v>68</v>
      </c>
      <c r="N5" s="203" t="s">
        <v>76</v>
      </c>
      <c r="O5" s="203" t="s">
        <v>77</v>
      </c>
      <c r="P5" s="203" t="s">
        <v>81</v>
      </c>
      <c r="Q5" s="148" t="s">
        <v>165</v>
      </c>
      <c r="R5" s="148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179</v>
      </c>
      <c r="AC5" s="250" t="s">
        <v>177</v>
      </c>
      <c r="AD5" s="251" t="s">
        <v>178</v>
      </c>
      <c r="AE5" s="263" t="s">
        <v>180</v>
      </c>
      <c r="AF5" s="263" t="s">
        <v>181</v>
      </c>
      <c r="AG5" s="263" t="s">
        <v>182</v>
      </c>
      <c r="AI5" s="27" t="s">
        <v>228</v>
      </c>
    </row>
    <row r="6" spans="2:36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>
        <f>+'Feb''24 THR'!Y6</f>
        <v>3809000</v>
      </c>
      <c r="Y6" s="44"/>
      <c r="Z6" s="151">
        <f>ROUNDDOWN(SUM(K6:Y6),0)</f>
        <v>7921549</v>
      </c>
      <c r="AA6" s="152">
        <f t="shared" ref="AA6:AA29" si="0">IF(J6="TER A",VLOOKUP(Z6,Ter_A,4,TRUE),IF(J6="TER B",VLOOKUP(Z6,Ter_B,4,TRUE),VLOOKUP(Z6,Ter_C,4,TRUE)))</f>
        <v>1.5000000000000001E-2</v>
      </c>
      <c r="AB6" s="153">
        <f>ROUNDDOWN(IF(E6=0,Z6*AA6*120%,Z6*AA6),0)</f>
        <v>118823</v>
      </c>
      <c r="AC6" s="253">
        <f>+'Feb''24 THR'!AE6</f>
        <v>115075</v>
      </c>
      <c r="AD6" s="255">
        <f>AB6-AC6</f>
        <v>3748</v>
      </c>
      <c r="AE6" s="198">
        <v>3933933.333333333</v>
      </c>
      <c r="AF6" s="135">
        <f>L6+M6</f>
        <v>178616</v>
      </c>
      <c r="AG6" s="135">
        <f>AE6+AF6</f>
        <v>4112549.333333333</v>
      </c>
      <c r="AI6" s="135">
        <f>+SUM(N6:W6)</f>
        <v>172600</v>
      </c>
      <c r="AJ6" s="135">
        <f>X6+AG6</f>
        <v>7921549.333333333</v>
      </c>
    </row>
    <row r="7" spans="2:36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143">
        <v>2104046</v>
      </c>
      <c r="Q7" s="143"/>
      <c r="R7" s="143"/>
      <c r="S7" s="143">
        <v>61000</v>
      </c>
      <c r="T7" s="143"/>
      <c r="U7" s="143"/>
      <c r="V7" s="143"/>
      <c r="W7" s="51">
        <v>0</v>
      </c>
      <c r="X7" s="51">
        <f>+'Feb''24 THR'!Y7</f>
        <v>3768500</v>
      </c>
      <c r="Y7" s="143"/>
      <c r="Z7" s="94">
        <f>ROUNDDOWN(SUM(K7:Y7),0)</f>
        <v>9943245</v>
      </c>
      <c r="AA7" s="95">
        <f t="shared" si="0"/>
        <v>0.02</v>
      </c>
      <c r="AB7" s="153">
        <f t="shared" ref="AB7:AB29" si="4">ROUNDDOWN(IF(E7=0,Z7*AA7*120%,Z7*AA7),0)</f>
        <v>198864</v>
      </c>
      <c r="AC7" s="254">
        <f>+'Feb''24 THR'!AE7</f>
        <v>148708</v>
      </c>
      <c r="AD7" s="256">
        <f t="shared" ref="AD7:AD29" si="5">AB7-AC7</f>
        <v>50156</v>
      </c>
      <c r="AE7" s="198">
        <v>5996129.333333333</v>
      </c>
      <c r="AF7" s="135">
        <f t="shared" ref="AF7:AF29" si="6">L7+M7</f>
        <v>178616</v>
      </c>
      <c r="AG7" s="135">
        <f t="shared" ref="AG7:AG29" si="7">AE7+AF7</f>
        <v>6174745.333333333</v>
      </c>
      <c r="AI7" s="135">
        <f t="shared" ref="AI7:AI29" si="8">+SUM(N7:W7)</f>
        <v>2234796</v>
      </c>
      <c r="AJ7" s="135">
        <f t="shared" ref="AJ7:AJ29" si="9">X7+AG7</f>
        <v>9943245.3333333321</v>
      </c>
    </row>
    <row r="8" spans="2:36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143">
        <v>2061965.08</v>
      </c>
      <c r="Q8" s="143"/>
      <c r="R8" s="143"/>
      <c r="S8" s="143">
        <v>43500</v>
      </c>
      <c r="T8" s="143"/>
      <c r="U8" s="143"/>
      <c r="V8" s="143"/>
      <c r="W8" s="51">
        <v>0</v>
      </c>
      <c r="X8" s="51">
        <f>+'Feb''24 THR'!Y8</f>
        <v>3818500</v>
      </c>
      <c r="Y8" s="143"/>
      <c r="Z8" s="94">
        <f t="shared" ref="Z8:Z29" si="10">ROUNDDOWN(SUM(K8:Y8),0)</f>
        <v>10002714</v>
      </c>
      <c r="AA8" s="95">
        <f t="shared" si="0"/>
        <v>1.4999999999999999E-2</v>
      </c>
      <c r="AB8" s="153">
        <f t="shared" si="4"/>
        <v>150040</v>
      </c>
      <c r="AC8" s="254">
        <f>+'Feb''24 THR'!AE8</f>
        <v>146265</v>
      </c>
      <c r="AD8" s="256">
        <f t="shared" si="5"/>
        <v>3775</v>
      </c>
      <c r="AE8" s="198">
        <v>6006298.4133333331</v>
      </c>
      <c r="AF8" s="135">
        <f t="shared" si="6"/>
        <v>177916</v>
      </c>
      <c r="AG8" s="135">
        <f t="shared" si="7"/>
        <v>6184214.4133333331</v>
      </c>
      <c r="AI8" s="135">
        <f t="shared" si="8"/>
        <v>2244965.08</v>
      </c>
      <c r="AJ8" s="135">
        <f t="shared" si="9"/>
        <v>10002714.413333334</v>
      </c>
    </row>
    <row r="9" spans="2:36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143">
        <v>515491.27</v>
      </c>
      <c r="Q9" s="143">
        <v>520000</v>
      </c>
      <c r="R9" s="143"/>
      <c r="S9" s="143">
        <v>43500</v>
      </c>
      <c r="T9" s="143"/>
      <c r="U9" s="143"/>
      <c r="V9" s="143"/>
      <c r="W9" s="51">
        <v>0</v>
      </c>
      <c r="X9" s="51">
        <f>+'Feb''24 THR'!Y9</f>
        <v>3818500</v>
      </c>
      <c r="Y9" s="143"/>
      <c r="Z9" s="94">
        <f>ROUNDDOWN(SUM(K9:Y9),0)</f>
        <v>8976240</v>
      </c>
      <c r="AA9" s="95">
        <f t="shared" si="0"/>
        <v>0.01</v>
      </c>
      <c r="AB9" s="153">
        <f t="shared" si="4"/>
        <v>89762</v>
      </c>
      <c r="AC9" s="254">
        <f>+'Feb''24 THR'!AE9</f>
        <v>80890</v>
      </c>
      <c r="AD9" s="256">
        <f t="shared" si="5"/>
        <v>8872</v>
      </c>
      <c r="AE9" s="198">
        <v>4979824.6033333335</v>
      </c>
      <c r="AF9" s="135">
        <f t="shared" si="6"/>
        <v>177916</v>
      </c>
      <c r="AG9" s="135">
        <f t="shared" si="7"/>
        <v>5157740.6033333335</v>
      </c>
      <c r="AI9" s="135">
        <f t="shared" si="8"/>
        <v>1218491.27</v>
      </c>
      <c r="AJ9" s="135">
        <f t="shared" si="9"/>
        <v>8976240.6033333335</v>
      </c>
    </row>
    <row r="10" spans="2:36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44000</v>
      </c>
      <c r="P10" s="143">
        <v>1325548.98</v>
      </c>
      <c r="Q10" s="143"/>
      <c r="R10" s="143"/>
      <c r="S10" s="143">
        <v>43500</v>
      </c>
      <c r="T10" s="143"/>
      <c r="U10" s="143"/>
      <c r="V10" s="143"/>
      <c r="W10" s="51">
        <v>0</v>
      </c>
      <c r="X10" s="51">
        <f>+'Feb''24 THR'!Y10</f>
        <v>3751000</v>
      </c>
      <c r="Y10" s="143"/>
      <c r="Z10" s="94">
        <f t="shared" si="10"/>
        <v>9173048</v>
      </c>
      <c r="AA10" s="95">
        <f t="shared" si="0"/>
        <v>1.7500000000000002E-2</v>
      </c>
      <c r="AB10" s="153">
        <f t="shared" si="4"/>
        <v>160528</v>
      </c>
      <c r="AC10" s="254">
        <f>+'Feb''24 THR'!AE10</f>
        <v>153704</v>
      </c>
      <c r="AD10" s="256">
        <f t="shared" si="5"/>
        <v>6824</v>
      </c>
      <c r="AE10" s="198">
        <v>5244132.3133333325</v>
      </c>
      <c r="AF10" s="135">
        <f t="shared" si="6"/>
        <v>177916</v>
      </c>
      <c r="AG10" s="135">
        <f t="shared" si="7"/>
        <v>5422048.3133333325</v>
      </c>
      <c r="AI10" s="135">
        <f t="shared" si="8"/>
        <v>1482798.98</v>
      </c>
      <c r="AJ10" s="135">
        <f t="shared" si="9"/>
        <v>9173048.3133333325</v>
      </c>
    </row>
    <row r="11" spans="2:36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51">
        <v>-121333.33</v>
      </c>
      <c r="X11" s="51">
        <f>+'Feb''24 THR'!Y11</f>
        <v>3849000</v>
      </c>
      <c r="Y11" s="143"/>
      <c r="Z11" s="94">
        <f t="shared" si="10"/>
        <v>7876055</v>
      </c>
      <c r="AA11" s="95">
        <f t="shared" si="0"/>
        <v>0.01</v>
      </c>
      <c r="AB11" s="153">
        <f t="shared" si="4"/>
        <v>78760</v>
      </c>
      <c r="AC11" s="254">
        <f>+'Feb''24 THR'!AE11</f>
        <v>77493</v>
      </c>
      <c r="AD11" s="256">
        <f t="shared" si="5"/>
        <v>1267</v>
      </c>
      <c r="AE11" s="198">
        <v>3848999.9999999995</v>
      </c>
      <c r="AF11" s="135">
        <f t="shared" si="6"/>
        <v>178056</v>
      </c>
      <c r="AG11" s="135">
        <f t="shared" si="7"/>
        <v>4027055.9999999995</v>
      </c>
      <c r="AI11" s="135">
        <f t="shared" si="8"/>
        <v>87666.67</v>
      </c>
      <c r="AJ11" s="135">
        <f t="shared" si="9"/>
        <v>7876056</v>
      </c>
    </row>
    <row r="12" spans="2:36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143">
        <v>1862080.71</v>
      </c>
      <c r="Q12" s="143"/>
      <c r="R12" s="143"/>
      <c r="S12" s="143">
        <v>36500</v>
      </c>
      <c r="T12" s="143"/>
      <c r="U12" s="143"/>
      <c r="V12" s="143"/>
      <c r="W12" s="51">
        <v>0</v>
      </c>
      <c r="X12" s="51">
        <f>+'Feb''24 THR'!Y12</f>
        <v>3744000</v>
      </c>
      <c r="Y12" s="143"/>
      <c r="Z12" s="94">
        <f t="shared" si="10"/>
        <v>9651299</v>
      </c>
      <c r="AA12" s="95">
        <f t="shared" si="0"/>
        <v>0.02</v>
      </c>
      <c r="AB12" s="153">
        <f t="shared" si="4"/>
        <v>193025</v>
      </c>
      <c r="AC12" s="254">
        <f>+'Feb''24 THR'!AE12</f>
        <v>150028</v>
      </c>
      <c r="AD12" s="256">
        <f t="shared" si="5"/>
        <v>42997</v>
      </c>
      <c r="AE12" s="198">
        <v>5729664.043333333</v>
      </c>
      <c r="AF12" s="135">
        <f t="shared" si="6"/>
        <v>177636</v>
      </c>
      <c r="AG12" s="135">
        <f t="shared" si="7"/>
        <v>5907300.043333333</v>
      </c>
      <c r="AI12" s="135">
        <f t="shared" si="8"/>
        <v>1968330.71</v>
      </c>
      <c r="AJ12" s="135">
        <f t="shared" si="9"/>
        <v>9651300.043333333</v>
      </c>
    </row>
    <row r="13" spans="2:36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143">
        <v>399768.74</v>
      </c>
      <c r="Q13" s="143"/>
      <c r="R13" s="143"/>
      <c r="S13" s="143">
        <v>43500</v>
      </c>
      <c r="T13" s="143"/>
      <c r="U13" s="143"/>
      <c r="V13" s="143"/>
      <c r="W13" s="51">
        <v>0</v>
      </c>
      <c r="X13" s="51">
        <f>+'Feb''24 THR'!Y13</f>
        <v>3845500</v>
      </c>
      <c r="Y13" s="143"/>
      <c r="Z13" s="94">
        <f t="shared" si="10"/>
        <v>8395417</v>
      </c>
      <c r="AA13" s="95">
        <f t="shared" si="0"/>
        <v>0.01</v>
      </c>
      <c r="AB13" s="153">
        <f t="shared" si="4"/>
        <v>83954</v>
      </c>
      <c r="AC13" s="254">
        <f>+'Feb''24 THR'!AE13</f>
        <v>80577</v>
      </c>
      <c r="AD13" s="256">
        <f t="shared" si="5"/>
        <v>3377</v>
      </c>
      <c r="AE13" s="198">
        <v>4372002.0733333332</v>
      </c>
      <c r="AF13" s="135">
        <f t="shared" si="6"/>
        <v>177916</v>
      </c>
      <c r="AG13" s="135">
        <f t="shared" si="7"/>
        <v>4549918.0733333332</v>
      </c>
      <c r="AI13" s="135">
        <f t="shared" si="8"/>
        <v>610668.74</v>
      </c>
      <c r="AJ13" s="135">
        <f t="shared" si="9"/>
        <v>8395418.0733333342</v>
      </c>
    </row>
    <row r="14" spans="2:36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51">
        <v>-121333.33</v>
      </c>
      <c r="X14" s="51">
        <f>+'Feb''24 THR'!Y14</f>
        <v>3809000</v>
      </c>
      <c r="Y14" s="143"/>
      <c r="Z14" s="94">
        <f t="shared" si="10"/>
        <v>7796615</v>
      </c>
      <c r="AA14" s="95">
        <f t="shared" si="0"/>
        <v>1.5000000000000001E-2</v>
      </c>
      <c r="AB14" s="153">
        <f t="shared" si="4"/>
        <v>116949</v>
      </c>
      <c r="AC14" s="254">
        <f>+'Feb''24 THR'!AE14</f>
        <v>113201</v>
      </c>
      <c r="AD14" s="256">
        <f t="shared" si="5"/>
        <v>3748</v>
      </c>
      <c r="AE14" s="198">
        <v>3808999.9999999995</v>
      </c>
      <c r="AF14" s="135">
        <f t="shared" si="6"/>
        <v>178616</v>
      </c>
      <c r="AG14" s="135">
        <f t="shared" si="7"/>
        <v>3987615.9999999995</v>
      </c>
      <c r="AI14" s="135">
        <f t="shared" si="8"/>
        <v>47666.67</v>
      </c>
      <c r="AJ14" s="135">
        <f t="shared" si="9"/>
        <v>7796616</v>
      </c>
    </row>
    <row r="15" spans="2:36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135000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51">
        <v>-121333.33</v>
      </c>
      <c r="X15" s="51">
        <f>+'Feb''24 THR'!Y15</f>
        <v>3805000</v>
      </c>
      <c r="Y15" s="143"/>
      <c r="Z15" s="94">
        <f t="shared" si="10"/>
        <v>7787375</v>
      </c>
      <c r="AA15" s="95">
        <f t="shared" si="0"/>
        <v>0.01</v>
      </c>
      <c r="AB15" s="153">
        <f t="shared" si="4"/>
        <v>77873</v>
      </c>
      <c r="AC15" s="254">
        <f>+'Feb''24 THR'!AE15</f>
        <v>75357</v>
      </c>
      <c r="AD15" s="256">
        <f t="shared" si="5"/>
        <v>2516</v>
      </c>
      <c r="AE15" s="198">
        <v>3804999.9999999995</v>
      </c>
      <c r="AF15" s="135">
        <f t="shared" si="6"/>
        <v>177376</v>
      </c>
      <c r="AG15" s="135">
        <f t="shared" si="7"/>
        <v>3982375.9999999995</v>
      </c>
      <c r="AI15" s="135">
        <f t="shared" si="8"/>
        <v>43666.67</v>
      </c>
      <c r="AJ15" s="135">
        <f t="shared" si="9"/>
        <v>7787376</v>
      </c>
    </row>
    <row r="16" spans="2:36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/>
      <c r="L16" s="51"/>
      <c r="M16" s="51">
        <v>0</v>
      </c>
      <c r="N16" s="143">
        <v>0</v>
      </c>
      <c r="O16" s="143"/>
      <c r="P16" s="143"/>
      <c r="Q16" s="143"/>
      <c r="R16" s="143"/>
      <c r="S16" s="143"/>
      <c r="T16" s="143"/>
      <c r="U16" s="143"/>
      <c r="V16" s="143"/>
      <c r="W16" s="143"/>
      <c r="X16" s="51">
        <f>+'Feb''24 THR'!Y16</f>
        <v>0</v>
      </c>
      <c r="Y16" s="143"/>
      <c r="Z16" s="94">
        <f t="shared" si="10"/>
        <v>0</v>
      </c>
      <c r="AA16" s="95">
        <f t="shared" si="0"/>
        <v>0</v>
      </c>
      <c r="AB16" s="153">
        <f t="shared" si="4"/>
        <v>0</v>
      </c>
      <c r="AC16" s="254">
        <f>+'Feb''24 THR'!AE16</f>
        <v>0</v>
      </c>
      <c r="AD16" s="256">
        <f t="shared" si="5"/>
        <v>0</v>
      </c>
      <c r="AE16" s="198"/>
      <c r="AF16" s="135">
        <f t="shared" si="6"/>
        <v>0</v>
      </c>
      <c r="AG16" s="135">
        <f t="shared" si="7"/>
        <v>0</v>
      </c>
      <c r="AI16" s="135">
        <f t="shared" si="8"/>
        <v>0</v>
      </c>
      <c r="AJ16" s="135">
        <f t="shared" si="9"/>
        <v>0</v>
      </c>
    </row>
    <row r="17" spans="2:36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180000</v>
      </c>
      <c r="R17" s="143"/>
      <c r="S17" s="143">
        <v>61000</v>
      </c>
      <c r="T17" s="143"/>
      <c r="U17" s="143"/>
      <c r="V17" s="143"/>
      <c r="W17" s="143">
        <v>-121333.33</v>
      </c>
      <c r="X17" s="51">
        <f>+'Feb''24 THR'!Y17</f>
        <v>3836000</v>
      </c>
      <c r="Y17" s="143"/>
      <c r="Z17" s="94">
        <f>ROUNDDOWN(SUM(K17:Y17),0)</f>
        <v>8030615</v>
      </c>
      <c r="AA17" s="95">
        <f t="shared" si="0"/>
        <v>0.01</v>
      </c>
      <c r="AB17" s="153">
        <f t="shared" si="4"/>
        <v>80306</v>
      </c>
      <c r="AC17" s="254">
        <f>+'Feb''24 THR'!AE17</f>
        <v>78847</v>
      </c>
      <c r="AD17" s="256">
        <f t="shared" si="5"/>
        <v>1459</v>
      </c>
      <c r="AE17" s="198">
        <v>4015999.9999999995</v>
      </c>
      <c r="AF17" s="135">
        <f t="shared" si="6"/>
        <v>178616</v>
      </c>
      <c r="AG17" s="135">
        <f t="shared" si="7"/>
        <v>4194616</v>
      </c>
      <c r="AI17" s="135">
        <f t="shared" si="8"/>
        <v>254666.66999999998</v>
      </c>
      <c r="AJ17" s="135">
        <f t="shared" si="9"/>
        <v>8030616</v>
      </c>
    </row>
    <row r="18" spans="2:36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51">
        <f>+'Feb''24 THR'!Y18</f>
        <v>3795000</v>
      </c>
      <c r="Y18" s="143"/>
      <c r="Z18" s="94">
        <f t="shared" si="10"/>
        <v>7768055</v>
      </c>
      <c r="AA18" s="95">
        <f t="shared" si="0"/>
        <v>1.5000000000000001E-2</v>
      </c>
      <c r="AB18" s="153">
        <f t="shared" si="4"/>
        <v>116520</v>
      </c>
      <c r="AC18" s="254">
        <f>+'Feb''24 THR'!AE18</f>
        <v>112772</v>
      </c>
      <c r="AD18" s="256">
        <f t="shared" si="5"/>
        <v>3748</v>
      </c>
      <c r="AE18" s="198">
        <v>3794999.9999999995</v>
      </c>
      <c r="AF18" s="135">
        <f t="shared" si="6"/>
        <v>178056</v>
      </c>
      <c r="AG18" s="135">
        <f t="shared" si="7"/>
        <v>3973055.9999999995</v>
      </c>
      <c r="AI18" s="135">
        <f t="shared" si="8"/>
        <v>33666.67</v>
      </c>
      <c r="AJ18" s="135">
        <f t="shared" si="9"/>
        <v>7768056</v>
      </c>
    </row>
    <row r="19" spans="2:36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67">
        <f>(3640000+43500)*4%</f>
        <v>147340</v>
      </c>
      <c r="N19" s="143">
        <v>135000</v>
      </c>
      <c r="O19" s="143"/>
      <c r="P19" s="143">
        <v>94682.07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51">
        <f>+'Feb''24 THR'!Y19</f>
        <v>3818500</v>
      </c>
      <c r="Y19" s="143"/>
      <c r="Z19" s="94">
        <f t="shared" si="10"/>
        <v>7909597</v>
      </c>
      <c r="AA19" s="95">
        <f t="shared" si="0"/>
        <v>0.01</v>
      </c>
      <c r="AB19" s="153">
        <f t="shared" si="4"/>
        <v>79095</v>
      </c>
      <c r="AC19" s="254">
        <f>+'Feb''24 THR'!AE19</f>
        <v>76579</v>
      </c>
      <c r="AD19" s="256">
        <f t="shared" si="5"/>
        <v>2516</v>
      </c>
      <c r="AE19" s="198">
        <v>3913182.0699999994</v>
      </c>
      <c r="AF19" s="135">
        <f t="shared" si="6"/>
        <v>177916</v>
      </c>
      <c r="AG19" s="135">
        <f t="shared" si="7"/>
        <v>4091098.0699999994</v>
      </c>
      <c r="AI19" s="135">
        <f t="shared" si="8"/>
        <v>151848.74</v>
      </c>
      <c r="AJ19" s="135">
        <f t="shared" si="9"/>
        <v>7909598.0699999994</v>
      </c>
    </row>
    <row r="20" spans="2:36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143">
        <v>2482774.2799999998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51">
        <f>+'Feb''24 THR'!Y20</f>
        <v>3852500</v>
      </c>
      <c r="Y20" s="143"/>
      <c r="Z20" s="94">
        <f t="shared" si="10"/>
        <v>10492703</v>
      </c>
      <c r="AA20" s="95">
        <f t="shared" si="0"/>
        <v>1.4999999999999999E-2</v>
      </c>
      <c r="AB20" s="153">
        <f t="shared" si="4"/>
        <v>157390</v>
      </c>
      <c r="AC20" s="254">
        <f>+'Feb''24 THR'!AE20</f>
        <v>123548</v>
      </c>
      <c r="AD20" s="256">
        <f t="shared" si="5"/>
        <v>33842</v>
      </c>
      <c r="AE20" s="198">
        <v>6462007.6133333333</v>
      </c>
      <c r="AF20" s="135">
        <f t="shared" si="6"/>
        <v>178196</v>
      </c>
      <c r="AG20" s="135">
        <f t="shared" si="7"/>
        <v>6640203.6133333333</v>
      </c>
      <c r="AI20" s="135">
        <f t="shared" si="8"/>
        <v>2700674.28</v>
      </c>
      <c r="AJ20" s="135">
        <f t="shared" si="9"/>
        <v>10492703.613333333</v>
      </c>
    </row>
    <row r="21" spans="2:36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33">
        <f>(3640000+61000)*4%</f>
        <v>148040</v>
      </c>
      <c r="N21" s="143">
        <v>130500</v>
      </c>
      <c r="O21" s="143"/>
      <c r="P21" s="143">
        <v>94682.07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51">
        <f>+'Feb''24 THR'!Y21</f>
        <v>3836000</v>
      </c>
      <c r="Y21" s="143"/>
      <c r="Z21" s="94">
        <f t="shared" si="10"/>
        <v>7819464</v>
      </c>
      <c r="AA21" s="95">
        <f t="shared" si="0"/>
        <v>0.01</v>
      </c>
      <c r="AB21" s="153">
        <f t="shared" si="4"/>
        <v>78194</v>
      </c>
      <c r="AC21" s="254">
        <f>+'Feb''24 THR'!AE21</f>
        <v>75677</v>
      </c>
      <c r="AD21" s="256">
        <f t="shared" si="5"/>
        <v>2517</v>
      </c>
      <c r="AE21" s="198">
        <v>3804848.7366666659</v>
      </c>
      <c r="AF21" s="135">
        <f t="shared" si="6"/>
        <v>178616</v>
      </c>
      <c r="AG21" s="135">
        <f t="shared" si="7"/>
        <v>3983464.7366666659</v>
      </c>
      <c r="AI21" s="135">
        <f t="shared" si="8"/>
        <v>43515.41</v>
      </c>
      <c r="AJ21" s="135">
        <f t="shared" si="9"/>
        <v>7819464.7366666663</v>
      </c>
    </row>
    <row r="22" spans="2:36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267">
        <f>(3715000+2500)*4%</f>
        <v>148700</v>
      </c>
      <c r="N22" s="143">
        <v>69750</v>
      </c>
      <c r="O22" s="143"/>
      <c r="P22" s="143">
        <v>1975606.68</v>
      </c>
      <c r="Q22" s="143"/>
      <c r="R22" s="143"/>
      <c r="S22" s="143">
        <v>2500</v>
      </c>
      <c r="T22" s="143"/>
      <c r="U22" s="143"/>
      <c r="V22" s="143"/>
      <c r="W22" s="143">
        <v>0</v>
      </c>
      <c r="X22" s="51">
        <f>+'Feb''24 THR'!Y22</f>
        <v>3787500</v>
      </c>
      <c r="Y22" s="143"/>
      <c r="Z22" s="94">
        <f t="shared" si="10"/>
        <v>9854095</v>
      </c>
      <c r="AA22" s="95">
        <f t="shared" si="0"/>
        <v>0.02</v>
      </c>
      <c r="AB22" s="153">
        <f t="shared" si="4"/>
        <v>197081</v>
      </c>
      <c r="AC22" s="254">
        <f>+'Feb''24 THR'!AE22</f>
        <v>149471</v>
      </c>
      <c r="AD22" s="256">
        <f t="shared" si="5"/>
        <v>47610</v>
      </c>
      <c r="AE22" s="198">
        <v>5886690.0133333327</v>
      </c>
      <c r="AF22" s="135">
        <f t="shared" si="6"/>
        <v>179906</v>
      </c>
      <c r="AG22" s="135">
        <f t="shared" si="7"/>
        <v>6066596.0133333327</v>
      </c>
      <c r="AI22" s="135">
        <f t="shared" si="8"/>
        <v>2047856.68</v>
      </c>
      <c r="AJ22" s="135">
        <f t="shared" si="9"/>
        <v>9854096.0133333318</v>
      </c>
    </row>
    <row r="23" spans="2:36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(3640000+43500)*4%</f>
        <v>147340</v>
      </c>
      <c r="N23" s="51">
        <v>111600</v>
      </c>
      <c r="O23" s="51"/>
      <c r="P23" s="51">
        <v>441849.66</v>
      </c>
      <c r="Q23" s="51">
        <v>80000</v>
      </c>
      <c r="R23" s="51"/>
      <c r="S23" s="51">
        <v>43500</v>
      </c>
      <c r="T23" s="51"/>
      <c r="U23" s="51"/>
      <c r="V23" s="51"/>
      <c r="W23" s="51">
        <v>0</v>
      </c>
      <c r="X23" s="51">
        <f>+'Feb''24 THR'!Y23</f>
        <v>3791500</v>
      </c>
      <c r="Y23" s="51"/>
      <c r="Z23" s="94">
        <f t="shared" si="10"/>
        <v>8407698</v>
      </c>
      <c r="AA23" s="95">
        <f t="shared" si="0"/>
        <v>1.5000000000000001E-2</v>
      </c>
      <c r="AB23" s="153">
        <f t="shared" si="4"/>
        <v>126115</v>
      </c>
      <c r="AC23" s="254">
        <f>+'Feb''24 THR'!AE23</f>
        <v>117980</v>
      </c>
      <c r="AD23" s="256">
        <f t="shared" si="5"/>
        <v>8135</v>
      </c>
      <c r="AE23" s="198">
        <v>4438282.9933333332</v>
      </c>
      <c r="AF23" s="135">
        <f t="shared" si="6"/>
        <v>177916</v>
      </c>
      <c r="AG23" s="135">
        <f t="shared" si="7"/>
        <v>4616198.9933333332</v>
      </c>
      <c r="AI23" s="135">
        <f t="shared" si="8"/>
        <v>676949.65999999992</v>
      </c>
      <c r="AJ23" s="135">
        <f t="shared" si="9"/>
        <v>8407698.9933333322</v>
      </c>
    </row>
    <row r="24" spans="2:36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67">
        <f>(3640000+47000)*4%</f>
        <v>147480</v>
      </c>
      <c r="N24" s="51">
        <v>167400</v>
      </c>
      <c r="O24" s="51">
        <v>72000</v>
      </c>
      <c r="P24" s="51">
        <v>2672138.42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>
        <f>+'Feb''24 THR'!Y24</f>
        <v>3849000</v>
      </c>
      <c r="Y24" s="51"/>
      <c r="Z24" s="94">
        <f t="shared" si="10"/>
        <v>10746927</v>
      </c>
      <c r="AA24" s="95">
        <f t="shared" si="0"/>
        <v>1.4999999999999999E-2</v>
      </c>
      <c r="AB24" s="153">
        <f t="shared" si="4"/>
        <v>161203</v>
      </c>
      <c r="AC24" s="254">
        <f>+'Feb''24 THR'!AE24</f>
        <v>123383</v>
      </c>
      <c r="AD24" s="256">
        <f t="shared" si="5"/>
        <v>37820</v>
      </c>
      <c r="AE24" s="198">
        <v>6719871.7533333329</v>
      </c>
      <c r="AF24" s="135">
        <f t="shared" si="6"/>
        <v>178056</v>
      </c>
      <c r="AG24" s="135">
        <f t="shared" si="7"/>
        <v>6897927.7533333329</v>
      </c>
      <c r="AI24" s="135">
        <f t="shared" si="8"/>
        <v>2958538.42</v>
      </c>
      <c r="AJ24" s="247">
        <f t="shared" si="9"/>
        <v>10746927.753333334</v>
      </c>
    </row>
    <row r="25" spans="2:36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67">
        <f>(3640000+61000)*4%</f>
        <v>148040</v>
      </c>
      <c r="N25" s="51">
        <v>167400</v>
      </c>
      <c r="O25" s="51">
        <v>48000</v>
      </c>
      <c r="P25" s="51">
        <v>2556415.89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>
        <f>+'Feb''24 THR'!Y25</f>
        <v>3863000</v>
      </c>
      <c r="Y25" s="51"/>
      <c r="Z25" s="94">
        <f t="shared" si="10"/>
        <v>10635765</v>
      </c>
      <c r="AA25" s="95">
        <f t="shared" si="0"/>
        <v>1.4999999999999999E-2</v>
      </c>
      <c r="AB25" s="153">
        <f t="shared" si="4"/>
        <v>159536</v>
      </c>
      <c r="AC25" s="254">
        <f>+'Feb''24 THR'!AE25</f>
        <v>147626</v>
      </c>
      <c r="AD25" s="256">
        <f t="shared" si="5"/>
        <v>11910</v>
      </c>
      <c r="AE25" s="198">
        <v>6594149.2233333327</v>
      </c>
      <c r="AF25" s="135">
        <f t="shared" si="6"/>
        <v>178616</v>
      </c>
      <c r="AG25" s="135">
        <f t="shared" si="7"/>
        <v>6772765.2233333327</v>
      </c>
      <c r="AI25" s="135">
        <f t="shared" si="8"/>
        <v>2832815.89</v>
      </c>
      <c r="AJ25" s="247">
        <f t="shared" si="9"/>
        <v>10635765.223333333</v>
      </c>
    </row>
    <row r="26" spans="2:36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67">
        <f>(3640000+24000)*4%</f>
        <v>146560</v>
      </c>
      <c r="N26" s="51">
        <v>111600</v>
      </c>
      <c r="O26" s="51">
        <v>69000</v>
      </c>
      <c r="P26" s="51">
        <v>2703699.11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>
        <f>+'Feb''24 THR'!Y26</f>
        <v>3772000</v>
      </c>
      <c r="Y26" s="51"/>
      <c r="Z26" s="94">
        <f t="shared" si="10"/>
        <v>11176901</v>
      </c>
      <c r="AA26" s="95">
        <f t="shared" si="0"/>
        <v>3.5000000000000003E-2</v>
      </c>
      <c r="AB26" s="153">
        <f t="shared" si="4"/>
        <v>391191</v>
      </c>
      <c r="AC26" s="254">
        <f>+'Feb''24 THR'!AE26</f>
        <v>237050</v>
      </c>
      <c r="AD26" s="256">
        <f t="shared" si="5"/>
        <v>154141</v>
      </c>
      <c r="AE26" s="198">
        <v>7227765.8533333335</v>
      </c>
      <c r="AF26" s="135">
        <f t="shared" si="6"/>
        <v>177136</v>
      </c>
      <c r="AG26" s="135">
        <f t="shared" si="7"/>
        <v>7404901.8533333335</v>
      </c>
      <c r="AI26" s="135">
        <f t="shared" si="8"/>
        <v>3466432.52</v>
      </c>
      <c r="AJ26" s="247">
        <f t="shared" si="9"/>
        <v>11176901.853333334</v>
      </c>
    </row>
    <row r="27" spans="2:36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33">
        <f>(3640000+43500)*4%</f>
        <v>147340</v>
      </c>
      <c r="N27" s="51">
        <v>139500</v>
      </c>
      <c r="O27" s="51">
        <v>72000</v>
      </c>
      <c r="P27" s="51">
        <v>115722.53</v>
      </c>
      <c r="Q27" s="51"/>
      <c r="R27" s="51"/>
      <c r="S27" s="51">
        <v>43500</v>
      </c>
      <c r="T27" s="51"/>
      <c r="U27" s="51"/>
      <c r="V27" s="51"/>
      <c r="W27" s="51">
        <v>0</v>
      </c>
      <c r="X27" s="51">
        <f>+'Feb''24 THR'!Y27</f>
        <v>3818500</v>
      </c>
      <c r="Y27" s="51"/>
      <c r="Z27" s="94">
        <f t="shared" si="10"/>
        <v>8128471</v>
      </c>
      <c r="AA27" s="95">
        <f t="shared" si="0"/>
        <v>0.01</v>
      </c>
      <c r="AB27" s="153">
        <f t="shared" si="4"/>
        <v>81284</v>
      </c>
      <c r="AC27" s="254">
        <f>+'Feb''24 THR'!AE27</f>
        <v>77484</v>
      </c>
      <c r="AD27" s="256">
        <f t="shared" si="5"/>
        <v>3800</v>
      </c>
      <c r="AE27" s="198">
        <v>4132055.8633333328</v>
      </c>
      <c r="AF27" s="135">
        <f t="shared" si="6"/>
        <v>177916</v>
      </c>
      <c r="AG27" s="135">
        <f t="shared" si="7"/>
        <v>4309971.8633333333</v>
      </c>
      <c r="AI27" s="135">
        <f t="shared" si="8"/>
        <v>370722.53</v>
      </c>
      <c r="AJ27" s="247">
        <f t="shared" si="9"/>
        <v>8128471.8633333333</v>
      </c>
    </row>
    <row r="28" spans="2:36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67">
        <f>(3640000+43500)*4%</f>
        <v>147340</v>
      </c>
      <c r="N28" s="51">
        <v>139500</v>
      </c>
      <c r="O28" s="51">
        <v>69000</v>
      </c>
      <c r="P28" s="51">
        <v>3629479.35</v>
      </c>
      <c r="Q28" s="51"/>
      <c r="R28" s="51">
        <v>461066.73</v>
      </c>
      <c r="S28" s="51">
        <v>43500</v>
      </c>
      <c r="T28" s="51"/>
      <c r="U28" s="51"/>
      <c r="V28" s="51"/>
      <c r="W28" s="51">
        <v>0</v>
      </c>
      <c r="X28" s="51">
        <f>+'Feb''24 THR'!Y28</f>
        <v>3818500</v>
      </c>
      <c r="Y28" s="51"/>
      <c r="Z28" s="94">
        <f t="shared" si="10"/>
        <v>12100295</v>
      </c>
      <c r="AA28" s="95">
        <f t="shared" si="0"/>
        <v>3.0000000000000002E-2</v>
      </c>
      <c r="AB28" s="153">
        <f t="shared" si="4"/>
        <v>363008</v>
      </c>
      <c r="AC28" s="254">
        <f>+'Feb''24 THR'!AE28</f>
        <v>273903</v>
      </c>
      <c r="AD28" s="256">
        <f t="shared" si="5"/>
        <v>89105</v>
      </c>
      <c r="AE28" s="198">
        <v>8103879.413333334</v>
      </c>
      <c r="AF28" s="135">
        <f t="shared" si="6"/>
        <v>177916</v>
      </c>
      <c r="AG28" s="135">
        <f t="shared" si="7"/>
        <v>8281795.413333334</v>
      </c>
      <c r="AI28" s="135">
        <f t="shared" si="8"/>
        <v>4342546.08</v>
      </c>
      <c r="AJ28" s="247">
        <f t="shared" si="9"/>
        <v>12100295.413333334</v>
      </c>
    </row>
    <row r="29" spans="2:36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67">
        <f>(3640000+43500)*4%</f>
        <v>147340</v>
      </c>
      <c r="N29" s="51">
        <v>139500</v>
      </c>
      <c r="O29" s="51">
        <v>72000</v>
      </c>
      <c r="P29" s="51">
        <v>2535375.4300000002</v>
      </c>
      <c r="Q29" s="51"/>
      <c r="R29" s="51">
        <v>436800.06</v>
      </c>
      <c r="S29" s="51">
        <v>43500</v>
      </c>
      <c r="T29" s="51"/>
      <c r="U29" s="51"/>
      <c r="V29" s="51"/>
      <c r="W29" s="51">
        <v>0</v>
      </c>
      <c r="X29" s="252">
        <f>+'Feb''24 THR'!Y29</f>
        <v>3822000</v>
      </c>
      <c r="Y29" s="51"/>
      <c r="Z29" s="94">
        <f t="shared" si="10"/>
        <v>10988424</v>
      </c>
      <c r="AA29" s="95">
        <f t="shared" si="0"/>
        <v>0.02</v>
      </c>
      <c r="AB29" s="153">
        <f t="shared" si="4"/>
        <v>219768</v>
      </c>
      <c r="AC29" s="259">
        <f>+'Feb''24 THR'!AE29</f>
        <v>164992</v>
      </c>
      <c r="AD29" s="260">
        <f t="shared" si="5"/>
        <v>54776</v>
      </c>
      <c r="AE29" s="198">
        <v>6988508.8233333332</v>
      </c>
      <c r="AF29" s="135">
        <f t="shared" si="6"/>
        <v>177916</v>
      </c>
      <c r="AG29" s="135">
        <f t="shared" si="7"/>
        <v>7166424.8233333332</v>
      </c>
      <c r="AI29" s="135">
        <f t="shared" si="8"/>
        <v>3227175.49</v>
      </c>
      <c r="AJ29" s="247">
        <f t="shared" si="9"/>
        <v>10988424.823333334</v>
      </c>
    </row>
    <row r="30" spans="2:36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3">SUM(K6:K29)</f>
        <v>86588164.289999992</v>
      </c>
      <c r="L30" s="126">
        <f t="shared" si="13"/>
        <v>703877.99999999988</v>
      </c>
      <c r="M30" s="126">
        <f t="shared" si="13"/>
        <v>3393480</v>
      </c>
      <c r="N30" s="126">
        <f>SUM(N6:N29)</f>
        <v>2894400</v>
      </c>
      <c r="O30" s="126">
        <f>SUM(O6:O29)</f>
        <v>446000</v>
      </c>
      <c r="P30" s="126">
        <f>SUM(P6:P29)</f>
        <v>27571326.270000003</v>
      </c>
      <c r="Q30" s="126">
        <f>SUM(Q6:Q29)</f>
        <v>780000</v>
      </c>
      <c r="R30" s="126">
        <f t="shared" si="13"/>
        <v>1456000.2</v>
      </c>
      <c r="S30" s="126">
        <f t="shared" si="13"/>
        <v>1042000</v>
      </c>
      <c r="T30" s="126"/>
      <c r="U30" s="126"/>
      <c r="V30" s="126"/>
      <c r="W30" s="126">
        <f>SUM(W6:W29)</f>
        <v>-970666.64</v>
      </c>
      <c r="X30" s="126">
        <f>SUM(X6:X29)</f>
        <v>87678000</v>
      </c>
      <c r="Y30" s="126"/>
      <c r="Z30" s="126">
        <f t="shared" ref="Z30:AI30" si="14">SUM(Z6:Z29)</f>
        <v>211582567</v>
      </c>
      <c r="AA30" s="126">
        <f t="shared" si="14"/>
        <v>0.36250000000000016</v>
      </c>
      <c r="AB30" s="126">
        <f t="shared" si="14"/>
        <v>3479269</v>
      </c>
      <c r="AC30" s="261">
        <f t="shared" si="14"/>
        <v>2900610</v>
      </c>
      <c r="AD30" s="262">
        <f>SUM(AD6:AD29)</f>
        <v>578659</v>
      </c>
      <c r="AE30" s="237">
        <f>SUM(AE6:AE29)</f>
        <v>119807226.46999998</v>
      </c>
      <c r="AF30" s="232">
        <f t="shared" si="14"/>
        <v>4097358</v>
      </c>
      <c r="AG30" s="232">
        <f t="shared" si="14"/>
        <v>123904584.46999998</v>
      </c>
      <c r="AI30" s="232">
        <f t="shared" si="14"/>
        <v>33219059.830000006</v>
      </c>
      <c r="AJ30" s="135">
        <f>SUM(AJ6:AJ29)</f>
        <v>211582584.46999997</v>
      </c>
    </row>
    <row r="32" spans="2:36">
      <c r="B32" s="57" t="s">
        <v>48</v>
      </c>
      <c r="M32" s="61"/>
      <c r="N32" s="61"/>
      <c r="O32" s="61"/>
      <c r="P32" s="61"/>
      <c r="Q32" s="61"/>
    </row>
    <row r="33" spans="2:54">
      <c r="B33" s="27" t="s">
        <v>49</v>
      </c>
      <c r="M33" s="61"/>
      <c r="N33" s="61"/>
      <c r="O33" s="61"/>
      <c r="P33" s="61"/>
      <c r="Q33" s="61"/>
    </row>
    <row r="34" spans="2:54">
      <c r="B34" s="27" t="s">
        <v>57</v>
      </c>
      <c r="M34" s="61"/>
      <c r="N34" s="61"/>
      <c r="O34" s="61"/>
      <c r="P34" s="61"/>
      <c r="Q34" s="61"/>
    </row>
    <row r="35" spans="2:54">
      <c r="B35" s="27" t="s">
        <v>50</v>
      </c>
      <c r="M35" s="61"/>
      <c r="N35" s="61"/>
      <c r="O35" s="61"/>
      <c r="P35" s="61"/>
      <c r="Q35" s="61"/>
    </row>
    <row r="36" spans="2:54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</row>
    <row r="37" spans="2:54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>
      <c r="B45" s="27"/>
      <c r="C45" s="28"/>
      <c r="D45" s="29"/>
      <c r="E45" s="30"/>
      <c r="F45" s="28"/>
      <c r="G45" s="31"/>
      <c r="H45" s="32"/>
      <c r="I45" s="32"/>
      <c r="J45" s="32"/>
      <c r="K45" s="28"/>
      <c r="L45" s="28"/>
      <c r="M45" s="264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5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>
      <c r="D46" s="725" t="s">
        <v>167</v>
      </c>
      <c r="E46" s="725"/>
      <c r="H46" s="205"/>
      <c r="I46" s="205"/>
      <c r="J46" s="205"/>
      <c r="K46" s="725" t="s">
        <v>169</v>
      </c>
      <c r="L46" s="725"/>
      <c r="M46" s="725"/>
      <c r="N46" s="725"/>
      <c r="O46" s="61"/>
      <c r="P46" s="264"/>
      <c r="Q46" s="61"/>
      <c r="AC46" s="135"/>
    </row>
    <row r="47" spans="2:54">
      <c r="D47" s="204"/>
      <c r="H47" s="205"/>
      <c r="I47" s="205"/>
      <c r="J47" s="205"/>
    </row>
    <row r="48" spans="2:54">
      <c r="D48" s="204"/>
      <c r="H48" s="205"/>
      <c r="I48" s="205"/>
      <c r="J48" s="205"/>
    </row>
    <row r="49" spans="4:14">
      <c r="D49" s="725" t="s">
        <v>98</v>
      </c>
      <c r="E49" s="725"/>
      <c r="H49" s="205"/>
      <c r="I49" s="205"/>
      <c r="J49" s="20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H50" s="205"/>
      <c r="I50" s="205"/>
      <c r="J50" s="20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I1" zoomScale="67" zoomScaleNormal="67" workbookViewId="0">
      <selection activeCell="AG6" sqref="AG6:AG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2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28" width="12.7109375" style="28" customWidth="1"/>
    <col min="29" max="29" width="18.7109375" style="27" customWidth="1"/>
    <col min="30" max="31" width="16.5703125" style="27" customWidth="1"/>
    <col min="32" max="32" width="13.5703125" style="59" customWidth="1"/>
    <col min="33" max="33" width="13.7109375" style="59" customWidth="1"/>
    <col min="34" max="16384" width="9.28515625" style="59"/>
  </cols>
  <sheetData>
    <row r="1" spans="2:33">
      <c r="B1" s="27" t="s">
        <v>71</v>
      </c>
    </row>
    <row r="2" spans="2:33">
      <c r="B2" s="27" t="s">
        <v>183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8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v>3809000</v>
      </c>
      <c r="AD6" s="135">
        <f>L6+M6</f>
        <v>178616</v>
      </c>
      <c r="AE6" s="135">
        <f>AC6+AD6</f>
        <v>3987616</v>
      </c>
      <c r="AF6" s="273"/>
      <c r="AG6" s="135">
        <f>+SUM(N6:W6)</f>
        <v>169000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2">3640000*0.84%</f>
        <v>30575.999999999996</v>
      </c>
      <c r="M7" s="269">
        <f>(3640000+61000)*4%</f>
        <v>148040</v>
      </c>
      <c r="N7" s="143">
        <v>67500</v>
      </c>
      <c r="O7" s="143"/>
      <c r="P7" s="143">
        <v>1693757.03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5640872</v>
      </c>
      <c r="AA7" s="95">
        <f t="shared" si="0"/>
        <v>2.5000000000000001E-3</v>
      </c>
      <c r="AB7" s="153">
        <f t="shared" ref="AB7:AB29" si="3">ROUNDDOWN(IF(E7=0,Z7*AA7*120%,Z7*AA7),0)</f>
        <v>14102</v>
      </c>
      <c r="AC7" s="198">
        <v>5462257.0299999993</v>
      </c>
      <c r="AD7" s="135">
        <f t="shared" ref="AD7:AD29" si="4">L7+M7</f>
        <v>178616</v>
      </c>
      <c r="AE7" s="135">
        <f t="shared" ref="AE7:AE29" si="5">AC7+AD7</f>
        <v>5640873.0299999993</v>
      </c>
      <c r="AF7" s="273"/>
      <c r="AG7" s="135">
        <f t="shared" ref="AG7:AG29" si="6">+SUM(N7:W7)</f>
        <v>1822257.03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ref="K8:K15" si="7">30*121333.33</f>
        <v>3639999.9</v>
      </c>
      <c r="L8" s="51">
        <f t="shared" si="2"/>
        <v>30575.999999999996</v>
      </c>
      <c r="M8" s="267">
        <f>(3640000+43500)*4%</f>
        <v>147340</v>
      </c>
      <c r="N8" s="143">
        <v>135000</v>
      </c>
      <c r="O8" s="143"/>
      <c r="P8" s="143">
        <v>883699.32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8">ROUNDDOWN(SUM(K8:Y8),0)</f>
        <v>4880115</v>
      </c>
      <c r="AA8" s="95">
        <f t="shared" si="0"/>
        <v>0</v>
      </c>
      <c r="AB8" s="153">
        <f t="shared" si="3"/>
        <v>0</v>
      </c>
      <c r="AC8" s="198">
        <v>4702199.32</v>
      </c>
      <c r="AD8" s="135">
        <f t="shared" si="4"/>
        <v>177916</v>
      </c>
      <c r="AE8" s="135">
        <f t="shared" si="5"/>
        <v>4880115.32</v>
      </c>
      <c r="AF8" s="273"/>
      <c r="AG8" s="135">
        <f t="shared" si="6"/>
        <v>1062199.3199999998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7"/>
        <v>3639999.9</v>
      </c>
      <c r="L9" s="51">
        <f t="shared" si="2"/>
        <v>30575.999999999996</v>
      </c>
      <c r="M9" s="267">
        <f>(3640000+43500)*4%</f>
        <v>147340</v>
      </c>
      <c r="N9" s="143">
        <v>135000</v>
      </c>
      <c r="O9" s="143"/>
      <c r="P9" s="143">
        <v>147283.21999999997</v>
      </c>
      <c r="Q9" s="143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4623699</v>
      </c>
      <c r="AA9" s="95">
        <f t="shared" si="0"/>
        <v>0</v>
      </c>
      <c r="AB9" s="153">
        <f t="shared" si="3"/>
        <v>0</v>
      </c>
      <c r="AC9" s="198">
        <v>4445783.22</v>
      </c>
      <c r="AD9" s="135">
        <f t="shared" si="4"/>
        <v>177916</v>
      </c>
      <c r="AE9" s="135">
        <f t="shared" si="5"/>
        <v>4623699.22</v>
      </c>
      <c r="AF9" s="273"/>
      <c r="AG9" s="135">
        <f t="shared" si="6"/>
        <v>805783.22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7"/>
        <v>3639999.9</v>
      </c>
      <c r="L10" s="51">
        <f t="shared" si="2"/>
        <v>30575.999999999996</v>
      </c>
      <c r="M10" s="267">
        <f>(3640000+43500)*4%</f>
        <v>147340</v>
      </c>
      <c r="N10" s="143">
        <v>67500</v>
      </c>
      <c r="O10" s="143">
        <v>36000</v>
      </c>
      <c r="P10" s="143">
        <v>1125664.6100000001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8"/>
        <v>5090580</v>
      </c>
      <c r="AA10" s="95">
        <f t="shared" si="0"/>
        <v>0</v>
      </c>
      <c r="AB10" s="153">
        <f t="shared" si="3"/>
        <v>0</v>
      </c>
      <c r="AC10" s="198">
        <v>4912664.6100000003</v>
      </c>
      <c r="AD10" s="135">
        <f t="shared" si="4"/>
        <v>177916</v>
      </c>
      <c r="AE10" s="135">
        <f t="shared" si="5"/>
        <v>5090580.6100000003</v>
      </c>
      <c r="AF10" s="273"/>
      <c r="AG10" s="135">
        <f t="shared" si="6"/>
        <v>1272664.6100000001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7"/>
        <v>3639999.9</v>
      </c>
      <c r="L11" s="51">
        <f t="shared" si="2"/>
        <v>30575.999999999996</v>
      </c>
      <c r="M11" s="267">
        <f>(3640000+47000)*4%</f>
        <v>147480</v>
      </c>
      <c r="N11" s="143">
        <v>156600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-121333.33</v>
      </c>
      <c r="X11" s="143"/>
      <c r="Y11" s="143"/>
      <c r="Z11" s="94">
        <f t="shared" si="8"/>
        <v>3900322</v>
      </c>
      <c r="AA11" s="95">
        <f t="shared" si="0"/>
        <v>0</v>
      </c>
      <c r="AB11" s="153">
        <f t="shared" si="3"/>
        <v>0</v>
      </c>
      <c r="AC11" s="198">
        <v>3722266.6666666665</v>
      </c>
      <c r="AD11" s="135">
        <f t="shared" si="4"/>
        <v>178056</v>
      </c>
      <c r="AE11" s="135">
        <f t="shared" si="5"/>
        <v>3900322.6666666665</v>
      </c>
      <c r="AF11" s="273"/>
      <c r="AG11" s="135">
        <f t="shared" si="6"/>
        <v>82266.67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7"/>
        <v>3639999.9</v>
      </c>
      <c r="L12" s="51">
        <f t="shared" si="2"/>
        <v>30575.999999999996</v>
      </c>
      <c r="M12" s="267">
        <f>(3640000+36500)*4%</f>
        <v>147060</v>
      </c>
      <c r="N12" s="143">
        <v>67500</v>
      </c>
      <c r="O12" s="143"/>
      <c r="P12" s="143">
        <v>2693178.92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8"/>
        <v>6614814</v>
      </c>
      <c r="AA12" s="95">
        <f t="shared" si="0"/>
        <v>0.01</v>
      </c>
      <c r="AB12" s="153">
        <f t="shared" si="3"/>
        <v>66148</v>
      </c>
      <c r="AC12" s="198">
        <v>6437178.9199999999</v>
      </c>
      <c r="AD12" s="135">
        <f t="shared" si="4"/>
        <v>177636</v>
      </c>
      <c r="AE12" s="277">
        <f t="shared" si="5"/>
        <v>6614814.9199999999</v>
      </c>
      <c r="AF12" s="273">
        <f>Z12-AE12</f>
        <v>-0.91999999992549419</v>
      </c>
      <c r="AG12" s="135">
        <f t="shared" si="6"/>
        <v>2797178.92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7"/>
        <v>3639999.9</v>
      </c>
      <c r="L13" s="51">
        <f t="shared" si="2"/>
        <v>30575.999999999996</v>
      </c>
      <c r="M13" s="267">
        <f>(3640000+43500)*4%</f>
        <v>147340</v>
      </c>
      <c r="N13" s="143">
        <v>162000</v>
      </c>
      <c r="O13" s="143"/>
      <c r="P13" s="143">
        <v>631213.80000000005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8"/>
        <v>4654629</v>
      </c>
      <c r="AA13" s="95">
        <f t="shared" si="0"/>
        <v>0</v>
      </c>
      <c r="AB13" s="153">
        <f t="shared" si="3"/>
        <v>0</v>
      </c>
      <c r="AC13" s="198">
        <v>4476713.8</v>
      </c>
      <c r="AD13" s="135">
        <f t="shared" si="4"/>
        <v>177916</v>
      </c>
      <c r="AE13" s="135">
        <f t="shared" si="5"/>
        <v>4654629.8</v>
      </c>
      <c r="AF13" s="273"/>
      <c r="AG13" s="135">
        <f t="shared" si="6"/>
        <v>836713.8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7"/>
        <v>3639999.9</v>
      </c>
      <c r="L14" s="51">
        <f t="shared" si="2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8"/>
        <v>3987615</v>
      </c>
      <c r="AA14" s="95">
        <f t="shared" si="0"/>
        <v>0</v>
      </c>
      <c r="AB14" s="153">
        <f t="shared" si="3"/>
        <v>0</v>
      </c>
      <c r="AC14" s="198">
        <v>3809000</v>
      </c>
      <c r="AD14" s="135">
        <f t="shared" si="4"/>
        <v>178616</v>
      </c>
      <c r="AE14" s="135">
        <f t="shared" si="5"/>
        <v>3987616</v>
      </c>
      <c r="AF14" s="273"/>
      <c r="AG14" s="135">
        <f t="shared" si="6"/>
        <v>169000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7"/>
        <v>3639999.9</v>
      </c>
      <c r="L15" s="51">
        <f t="shared" si="2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/>
      <c r="Z15" s="94">
        <f t="shared" si="8"/>
        <v>3856542</v>
      </c>
      <c r="AA15" s="95">
        <f t="shared" si="0"/>
        <v>0</v>
      </c>
      <c r="AB15" s="153">
        <f t="shared" si="3"/>
        <v>0</v>
      </c>
      <c r="AC15" s="198">
        <v>3679166.6666666665</v>
      </c>
      <c r="AD15" s="135">
        <f t="shared" si="4"/>
        <v>177376</v>
      </c>
      <c r="AE15" s="135">
        <f t="shared" si="5"/>
        <v>3856542.6666666665</v>
      </c>
      <c r="AF15" s="273"/>
      <c r="AG15" s="135">
        <f t="shared" si="6"/>
        <v>39166.67</v>
      </c>
    </row>
    <row r="16" spans="2:33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8"/>
        <v>0</v>
      </c>
      <c r="AA16" s="95">
        <f t="shared" si="0"/>
        <v>0</v>
      </c>
      <c r="AB16" s="153">
        <f t="shared" si="3"/>
        <v>0</v>
      </c>
      <c r="AC16" s="198"/>
      <c r="AD16" s="135">
        <f t="shared" si="4"/>
        <v>0</v>
      </c>
      <c r="AE16" s="135">
        <f t="shared" si="5"/>
        <v>0</v>
      </c>
      <c r="AG16" s="135">
        <f t="shared" si="6"/>
        <v>0</v>
      </c>
    </row>
    <row r="17" spans="2:33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>30*121333.33</f>
        <v>3639999.9</v>
      </c>
      <c r="L17" s="51">
        <f t="shared" si="2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140000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4154615</v>
      </c>
      <c r="AA17" s="95">
        <f t="shared" si="0"/>
        <v>0</v>
      </c>
      <c r="AB17" s="153">
        <f t="shared" si="3"/>
        <v>0</v>
      </c>
      <c r="AC17" s="198">
        <v>3976000</v>
      </c>
      <c r="AD17" s="135">
        <f t="shared" si="4"/>
        <v>178616</v>
      </c>
      <c r="AE17" s="135">
        <f t="shared" si="5"/>
        <v>4154616</v>
      </c>
      <c r="AG17" s="135">
        <f t="shared" si="6"/>
        <v>336000</v>
      </c>
    </row>
    <row r="18" spans="2:33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>30*121333.33</f>
        <v>3639999.9</v>
      </c>
      <c r="L18" s="51">
        <f t="shared" si="2"/>
        <v>30575.999999999996</v>
      </c>
      <c r="M18" s="267">
        <f>(3640000+47000)*4%</f>
        <v>147480</v>
      </c>
      <c r="N18" s="143">
        <v>108000</v>
      </c>
      <c r="O18" s="143"/>
      <c r="P18" s="143">
        <v>31560.69</v>
      </c>
      <c r="Q18" s="143"/>
      <c r="R18" s="143"/>
      <c r="S18" s="143">
        <v>47000</v>
      </c>
      <c r="T18" s="143"/>
      <c r="U18" s="143"/>
      <c r="V18" s="143"/>
      <c r="W18" s="143">
        <v>0</v>
      </c>
      <c r="X18" s="143"/>
      <c r="Y18" s="143"/>
      <c r="Z18" s="94">
        <f t="shared" si="8"/>
        <v>4004616</v>
      </c>
      <c r="AA18" s="95">
        <f t="shared" si="0"/>
        <v>0</v>
      </c>
      <c r="AB18" s="153">
        <f t="shared" si="3"/>
        <v>0</v>
      </c>
      <c r="AC18" s="198">
        <v>3826560.69</v>
      </c>
      <c r="AD18" s="135">
        <f t="shared" si="4"/>
        <v>178056</v>
      </c>
      <c r="AE18" s="135">
        <f t="shared" si="5"/>
        <v>4004616.69</v>
      </c>
      <c r="AG18" s="135">
        <f t="shared" si="6"/>
        <v>186560.69</v>
      </c>
    </row>
    <row r="19" spans="2:33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ref="K19:K21" si="9">30*121333.33</f>
        <v>3639999.9</v>
      </c>
      <c r="L19" s="51">
        <f t="shared" si="2"/>
        <v>30575.999999999996</v>
      </c>
      <c r="M19" s="267">
        <f>(3640000+43500)*4%</f>
        <v>147340</v>
      </c>
      <c r="N19" s="143">
        <v>130500</v>
      </c>
      <c r="O19" s="143"/>
      <c r="P19" s="143">
        <v>31560.69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143"/>
      <c r="Y19" s="143"/>
      <c r="Z19" s="94">
        <f t="shared" si="8"/>
        <v>3902143</v>
      </c>
      <c r="AA19" s="95">
        <f t="shared" si="0"/>
        <v>0</v>
      </c>
      <c r="AB19" s="153">
        <f t="shared" si="3"/>
        <v>0</v>
      </c>
      <c r="AC19" s="198">
        <v>3724227.3566666665</v>
      </c>
      <c r="AD19" s="135">
        <f t="shared" si="4"/>
        <v>177916</v>
      </c>
      <c r="AE19" s="135">
        <f t="shared" si="5"/>
        <v>3902143.3566666665</v>
      </c>
      <c r="AG19" s="135">
        <f t="shared" si="6"/>
        <v>84227.36</v>
      </c>
    </row>
    <row r="20" spans="2:33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9"/>
        <v>3639999.9</v>
      </c>
      <c r="L20" s="51">
        <f t="shared" si="2"/>
        <v>30575.999999999996</v>
      </c>
      <c r="M20" s="267">
        <f>(3640000+50500)*4%</f>
        <v>147620</v>
      </c>
      <c r="N20" s="143">
        <v>162000</v>
      </c>
      <c r="O20" s="143"/>
      <c r="P20" s="143">
        <v>2430173.13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8"/>
        <v>6460869</v>
      </c>
      <c r="AA20" s="95">
        <f t="shared" si="0"/>
        <v>2.5000000000000001E-3</v>
      </c>
      <c r="AB20" s="153">
        <f t="shared" si="3"/>
        <v>16152</v>
      </c>
      <c r="AC20" s="198">
        <v>6282673.1299999999</v>
      </c>
      <c r="AD20" s="135">
        <f t="shared" si="4"/>
        <v>178196</v>
      </c>
      <c r="AE20" s="135">
        <f t="shared" si="5"/>
        <v>6460869.1299999999</v>
      </c>
      <c r="AG20" s="135">
        <f t="shared" si="6"/>
        <v>2642673.13</v>
      </c>
    </row>
    <row r="21" spans="2:33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9"/>
        <v>3639999.9</v>
      </c>
      <c r="L21" s="51">
        <f t="shared" si="2"/>
        <v>30575.999999999996</v>
      </c>
      <c r="M21" s="267">
        <f>(3640000+61000)*4%</f>
        <v>148040</v>
      </c>
      <c r="N21" s="143">
        <v>130500</v>
      </c>
      <c r="O21" s="143"/>
      <c r="P21" s="143">
        <v>189364.14</v>
      </c>
      <c r="Q21" s="143"/>
      <c r="R21" s="143"/>
      <c r="S21" s="143">
        <v>61000</v>
      </c>
      <c r="T21" s="143"/>
      <c r="U21" s="143"/>
      <c r="V21" s="143"/>
      <c r="W21" s="143">
        <v>-121333.33</v>
      </c>
      <c r="X21" s="143"/>
      <c r="Y21" s="143"/>
      <c r="Z21" s="94">
        <f t="shared" si="8"/>
        <v>4078146</v>
      </c>
      <c r="AA21" s="95">
        <f t="shared" si="0"/>
        <v>0</v>
      </c>
      <c r="AB21" s="153">
        <f t="shared" si="3"/>
        <v>0</v>
      </c>
      <c r="AC21" s="198">
        <v>3899530.8066666671</v>
      </c>
      <c r="AD21" s="135">
        <f t="shared" si="4"/>
        <v>178616</v>
      </c>
      <c r="AE21" s="135">
        <f t="shared" si="5"/>
        <v>4078146.8066666671</v>
      </c>
      <c r="AG21" s="135">
        <f t="shared" si="6"/>
        <v>259530.81</v>
      </c>
    </row>
    <row r="22" spans="2:33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29*123833.33</f>
        <v>3591166.57</v>
      </c>
      <c r="L22" s="231">
        <f>3715000*0.84%</f>
        <v>31205.999999999996</v>
      </c>
      <c r="M22" s="269">
        <f>(3715000+5000)*4%</f>
        <v>148800</v>
      </c>
      <c r="N22" s="143">
        <v>47250</v>
      </c>
      <c r="O22" s="143"/>
      <c r="P22" s="143">
        <v>955593.36</v>
      </c>
      <c r="Q22" s="143"/>
      <c r="R22" s="143"/>
      <c r="S22" s="276">
        <v>5000</v>
      </c>
      <c r="T22" s="143"/>
      <c r="U22" s="143"/>
      <c r="V22" s="143"/>
      <c r="W22" s="143">
        <v>-990666.64</v>
      </c>
      <c r="X22" s="143"/>
      <c r="Y22" s="143"/>
      <c r="Z22" s="94">
        <f t="shared" si="8"/>
        <v>3788349</v>
      </c>
      <c r="AA22" s="95">
        <f t="shared" si="0"/>
        <v>0</v>
      </c>
      <c r="AB22" s="153">
        <f t="shared" si="3"/>
        <v>0</v>
      </c>
      <c r="AC22" s="198">
        <v>3608343.3599999994</v>
      </c>
      <c r="AD22" s="135">
        <f t="shared" si="4"/>
        <v>180006</v>
      </c>
      <c r="AE22" s="277">
        <f t="shared" si="5"/>
        <v>3788349.3599999994</v>
      </c>
      <c r="AF22" s="135"/>
      <c r="AG22" s="135">
        <f t="shared" si="6"/>
        <v>17176.719999999972</v>
      </c>
    </row>
    <row r="23" spans="2:33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67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/>
      <c r="Z23" s="94">
        <f t="shared" si="8"/>
        <v>4406063</v>
      </c>
      <c r="AA23" s="95">
        <f t="shared" si="0"/>
        <v>0</v>
      </c>
      <c r="AB23" s="153">
        <f t="shared" si="3"/>
        <v>0</v>
      </c>
      <c r="AC23" s="198">
        <v>4228147.3599999994</v>
      </c>
      <c r="AD23" s="135">
        <f t="shared" si="4"/>
        <v>177916</v>
      </c>
      <c r="AE23" s="135">
        <f t="shared" si="5"/>
        <v>4406063.3599999994</v>
      </c>
      <c r="AG23" s="135">
        <f t="shared" si="6"/>
        <v>588147.36</v>
      </c>
    </row>
    <row r="24" spans="2:33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>30*121333.33</f>
        <v>3639999.9</v>
      </c>
      <c r="L24" s="51">
        <f t="shared" ref="L24:L29" si="10">3640000*0.84%</f>
        <v>30575.999999999996</v>
      </c>
      <c r="M24" s="267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7369367</v>
      </c>
      <c r="AA24" s="95">
        <f t="shared" si="0"/>
        <v>0.01</v>
      </c>
      <c r="AB24" s="153">
        <f t="shared" si="3"/>
        <v>73693</v>
      </c>
      <c r="AC24" s="198">
        <v>7191311.7599999998</v>
      </c>
      <c r="AD24" s="135">
        <f t="shared" si="4"/>
        <v>178056</v>
      </c>
      <c r="AE24" s="135">
        <f t="shared" si="5"/>
        <v>7369367.7599999998</v>
      </c>
      <c r="AG24" s="135">
        <f t="shared" si="6"/>
        <v>3551311.76</v>
      </c>
    </row>
    <row r="25" spans="2:33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ref="K25:K29" si="11">30*121333.33</f>
        <v>3639999.9</v>
      </c>
      <c r="L25" s="51">
        <f t="shared" si="10"/>
        <v>30575.999999999996</v>
      </c>
      <c r="M25" s="267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7363927</v>
      </c>
      <c r="AA25" s="95">
        <f t="shared" si="0"/>
        <v>0.01</v>
      </c>
      <c r="AB25" s="153">
        <f t="shared" si="3"/>
        <v>73639</v>
      </c>
      <c r="AC25" s="198">
        <v>7185311.7599999998</v>
      </c>
      <c r="AD25" s="135">
        <f t="shared" si="4"/>
        <v>178616</v>
      </c>
      <c r="AE25" s="135">
        <f t="shared" si="5"/>
        <v>7363927.7599999998</v>
      </c>
      <c r="AG25" s="135">
        <f t="shared" si="6"/>
        <v>3545311.76</v>
      </c>
    </row>
    <row r="26" spans="2:33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3639999.9</v>
      </c>
      <c r="L26" s="51">
        <f t="shared" si="10"/>
        <v>30575.999999999996</v>
      </c>
      <c r="M26" s="267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6497607</v>
      </c>
      <c r="AA26" s="95">
        <f t="shared" si="0"/>
        <v>0.01</v>
      </c>
      <c r="AB26" s="153">
        <f t="shared" si="3"/>
        <v>64976</v>
      </c>
      <c r="AC26" s="198">
        <v>6320471.120000001</v>
      </c>
      <c r="AD26" s="135">
        <f t="shared" si="4"/>
        <v>177136</v>
      </c>
      <c r="AE26" s="135">
        <f t="shared" si="5"/>
        <v>6497607.120000001</v>
      </c>
      <c r="AG26" s="135">
        <f t="shared" si="6"/>
        <v>2680471.12</v>
      </c>
    </row>
    <row r="27" spans="2:33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3639999.9</v>
      </c>
      <c r="L27" s="51">
        <f t="shared" si="10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4130057</v>
      </c>
      <c r="AA27" s="95">
        <f t="shared" si="0"/>
        <v>0</v>
      </c>
      <c r="AB27" s="153">
        <f t="shared" si="3"/>
        <v>0</v>
      </c>
      <c r="AC27" s="198">
        <v>3952141.61</v>
      </c>
      <c r="AD27" s="135">
        <f t="shared" si="4"/>
        <v>177916</v>
      </c>
      <c r="AE27" s="135">
        <f t="shared" si="5"/>
        <v>4130057.61</v>
      </c>
      <c r="AG27" s="135">
        <f t="shared" si="6"/>
        <v>312141.61</v>
      </c>
    </row>
    <row r="28" spans="2:33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3639999.9</v>
      </c>
      <c r="L28" s="51">
        <f t="shared" si="10"/>
        <v>30575.999999999996</v>
      </c>
      <c r="M28" s="267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/>
      <c r="Z28" s="94">
        <f t="shared" si="8"/>
        <v>7471076</v>
      </c>
      <c r="AA28" s="95">
        <f t="shared" si="0"/>
        <v>0.01</v>
      </c>
      <c r="AB28" s="153">
        <f t="shared" si="3"/>
        <v>74710</v>
      </c>
      <c r="AC28" s="198">
        <v>7293160.7866666671</v>
      </c>
      <c r="AD28" s="135">
        <f t="shared" si="4"/>
        <v>177916</v>
      </c>
      <c r="AE28" s="135">
        <f t="shared" si="5"/>
        <v>7471076.7866666671</v>
      </c>
      <c r="AG28" s="135">
        <f t="shared" si="6"/>
        <v>3653160.79</v>
      </c>
    </row>
    <row r="29" spans="2:33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3639999.9</v>
      </c>
      <c r="L29" s="51">
        <f t="shared" si="10"/>
        <v>30575.999999999996</v>
      </c>
      <c r="M29" s="269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5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7141069</v>
      </c>
      <c r="AA29" s="95">
        <f t="shared" si="0"/>
        <v>7.4999999999999997E-3</v>
      </c>
      <c r="AB29" s="153">
        <f t="shared" si="3"/>
        <v>53558</v>
      </c>
      <c r="AC29" s="198">
        <v>6963013.4266666658</v>
      </c>
      <c r="AD29" s="135">
        <f t="shared" si="4"/>
        <v>178056</v>
      </c>
      <c r="AE29" s="135">
        <f t="shared" si="5"/>
        <v>7141069.4266666658</v>
      </c>
      <c r="AG29" s="135">
        <f t="shared" si="6"/>
        <v>3323013.4299999997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2">SUM(K6:K29)</f>
        <v>83671164.370000005</v>
      </c>
      <c r="L30" s="126">
        <f t="shared" si="12"/>
        <v>703877.99999999988</v>
      </c>
      <c r="M30" s="126">
        <f t="shared" si="12"/>
        <v>3393720</v>
      </c>
      <c r="N30" s="126">
        <f t="shared" si="12"/>
        <v>2786850</v>
      </c>
      <c r="O30" s="126">
        <f t="shared" si="12"/>
        <v>370000</v>
      </c>
      <c r="P30" s="126">
        <f>SUM(P6:P29)</f>
        <v>25646573.210000001</v>
      </c>
      <c r="Q30" s="126">
        <f t="shared" si="12"/>
        <v>720000</v>
      </c>
      <c r="R30" s="126">
        <f t="shared" si="12"/>
        <v>1383200.19</v>
      </c>
      <c r="S30" s="126">
        <f t="shared" si="12"/>
        <v>1048000</v>
      </c>
      <c r="T30" s="126"/>
      <c r="U30" s="126"/>
      <c r="V30" s="126"/>
      <c r="W30" s="126">
        <f>SUM(W6:W29)</f>
        <v>-1718666.62</v>
      </c>
      <c r="X30" s="126"/>
      <c r="Y30" s="126"/>
      <c r="Z30" s="126">
        <f t="shared" ref="Z30:AG30" si="13">SUM(Z6:Z29)</f>
        <v>118004707</v>
      </c>
      <c r="AA30" s="126">
        <f t="shared" si="13"/>
        <v>6.25E-2</v>
      </c>
      <c r="AB30" s="126">
        <f>SUM(AB6:AB29)</f>
        <v>436978</v>
      </c>
      <c r="AC30" s="274">
        <f>SUM(AC6:AC29)</f>
        <v>113907123.40000001</v>
      </c>
      <c r="AD30" s="271">
        <f>SUM(AD6:AD29)</f>
        <v>4097598</v>
      </c>
      <c r="AE30" s="271">
        <f t="shared" si="13"/>
        <v>118004721.40000001</v>
      </c>
      <c r="AF30" s="272"/>
      <c r="AG30" s="271">
        <f t="shared" si="13"/>
        <v>30235956.779999997</v>
      </c>
    </row>
    <row r="32" spans="2:33">
      <c r="B32" s="57" t="s">
        <v>48</v>
      </c>
      <c r="M32" s="61"/>
      <c r="N32" s="61"/>
      <c r="O32" s="61"/>
      <c r="P32" s="61"/>
      <c r="Q32" s="61"/>
      <c r="AG32" s="371">
        <f>'Feb''24'!AH30+'Maret''24'!AI30+'April ''24'!AG30</f>
        <v>93680566.770000011</v>
      </c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5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15748031496062992" bottom="0.15748031496062992" header="0.31496062992125984" footer="0.31496062992125984"/>
  <pageSetup paperSize="9" scale="44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84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85" customWidth="1" outlineLevel="1"/>
    <col min="9" max="9" width="8.5703125" style="285" customWidth="1" outlineLevel="1"/>
    <col min="10" max="10" width="10.85546875" style="285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59" customWidth="1"/>
    <col min="35" max="16384" width="9.28515625" style="59"/>
  </cols>
  <sheetData>
    <row r="1" spans="2:34" ht="35.1" customHeight="1">
      <c r="B1" s="27" t="s">
        <v>71</v>
      </c>
    </row>
    <row r="2" spans="2:34" ht="35.1" customHeight="1">
      <c r="B2" s="27" t="s">
        <v>183</v>
      </c>
    </row>
    <row r="3" spans="2:34" ht="35.1" customHeight="1">
      <c r="B3" s="27" t="s">
        <v>173</v>
      </c>
    </row>
    <row r="4" spans="2:34" s="27" customFormat="1" ht="35.1" customHeight="1" thickBot="1">
      <c r="C4" s="86" t="s">
        <v>40</v>
      </c>
      <c r="D4" s="284"/>
      <c r="E4" s="30"/>
      <c r="F4" s="28"/>
      <c r="G4" s="31"/>
      <c r="H4" s="285"/>
      <c r="I4" s="285"/>
      <c r="J4" s="285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  <c r="AC4" s="28"/>
      <c r="AD4" s="28"/>
    </row>
    <row r="5" spans="2:34" s="27" customFormat="1" ht="59.25" customHeight="1" thickBot="1">
      <c r="B5" s="281" t="s">
        <v>64</v>
      </c>
      <c r="C5" s="281" t="s">
        <v>25</v>
      </c>
      <c r="D5" s="282" t="s">
        <v>26</v>
      </c>
      <c r="E5" s="283" t="s">
        <v>27</v>
      </c>
      <c r="F5" s="281" t="s">
        <v>28</v>
      </c>
      <c r="G5" s="28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79" t="s">
        <v>67</v>
      </c>
      <c r="M5" s="279" t="s">
        <v>68</v>
      </c>
      <c r="N5" s="279" t="s">
        <v>76</v>
      </c>
      <c r="O5" s="279" t="s">
        <v>77</v>
      </c>
      <c r="P5" s="279" t="s">
        <v>81</v>
      </c>
      <c r="Q5" s="279" t="s">
        <v>165</v>
      </c>
      <c r="R5" s="279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186</v>
      </c>
      <c r="AC5" s="288" t="s">
        <v>188</v>
      </c>
      <c r="AD5" s="292" t="s">
        <v>187</v>
      </c>
      <c r="AE5" s="270" t="s">
        <v>180</v>
      </c>
      <c r="AF5" s="270" t="s">
        <v>185</v>
      </c>
      <c r="AG5" s="270" t="s">
        <v>182</v>
      </c>
    </row>
    <row r="6" spans="2:34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8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>
        <v>280000</v>
      </c>
      <c r="Z6" s="151">
        <f>ROUNDDOWN(SUM(K6:Y6),0)</f>
        <v>4267615</v>
      </c>
      <c r="AA6" s="152">
        <f t="shared" ref="AA6:AA29" si="0">IF(J6="TER A",VLOOKUP(Z6,Ter_A,4,TRUE),IF(J6="TER B",VLOOKUP(Z6,Ter_B,4,TRUE),VLOOKUP(Z6,Ter_C,4,TRUE)))</f>
        <v>0</v>
      </c>
      <c r="AB6" s="153">
        <f t="shared" ref="AB6:AB29" si="1">ROUNDDOWN(IF(E6=0,Z6*AA6*120%,Z6*AA6),0)</f>
        <v>0</v>
      </c>
      <c r="AC6" s="289">
        <v>0</v>
      </c>
      <c r="AD6" s="293">
        <f>AB6-AC6</f>
        <v>0</v>
      </c>
      <c r="AE6" s="198">
        <v>3809000</v>
      </c>
      <c r="AF6" s="135">
        <f t="shared" ref="AF6:AF29" si="2">L6+M6</f>
        <v>178616</v>
      </c>
      <c r="AG6" s="135">
        <f>AE6+AF6</f>
        <v>3987616</v>
      </c>
      <c r="AH6" s="273">
        <f t="shared" ref="AH6:AH15" si="3">Z6-AG6</f>
        <v>279999</v>
      </c>
    </row>
    <row r="7" spans="2:34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4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5">3640000*0.84%</f>
        <v>30575.999999999996</v>
      </c>
      <c r="M7" s="269">
        <f>(3640000+61000)*4%</f>
        <v>148040</v>
      </c>
      <c r="N7" s="143">
        <v>67500</v>
      </c>
      <c r="O7" s="143"/>
      <c r="P7" s="143">
        <v>1693757.03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>
        <v>600000</v>
      </c>
      <c r="Z7" s="94">
        <f>ROUNDDOWN(SUM(K7:Y7),0)</f>
        <v>6240872</v>
      </c>
      <c r="AA7" s="95">
        <f t="shared" si="0"/>
        <v>7.4999999999999997E-3</v>
      </c>
      <c r="AB7" s="153">
        <f t="shared" si="1"/>
        <v>46806</v>
      </c>
      <c r="AC7" s="290">
        <v>14102</v>
      </c>
      <c r="AD7" s="294">
        <f t="shared" ref="AD7:AD29" si="6">AB7-AC7</f>
        <v>32704</v>
      </c>
      <c r="AE7" s="198">
        <v>5462257.0299999993</v>
      </c>
      <c r="AF7" s="135">
        <f t="shared" si="2"/>
        <v>178616</v>
      </c>
      <c r="AG7" s="135">
        <f t="shared" ref="AG7:AG29" si="7">AE7+AF7</f>
        <v>5640873.0299999993</v>
      </c>
      <c r="AH7" s="273">
        <f t="shared" si="3"/>
        <v>599998.97000000067</v>
      </c>
    </row>
    <row r="8" spans="2:34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4"/>
        <v>TER B</v>
      </c>
      <c r="K8" s="51">
        <f t="shared" ref="K8:K15" si="8">30*121333.33</f>
        <v>3639999.9</v>
      </c>
      <c r="L8" s="51">
        <f t="shared" si="5"/>
        <v>30575.999999999996</v>
      </c>
      <c r="M8" s="267">
        <f>(3640000+43500)*4%</f>
        <v>147340</v>
      </c>
      <c r="N8" s="143">
        <v>135000</v>
      </c>
      <c r="O8" s="143"/>
      <c r="P8" s="143">
        <v>883699.32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>
        <v>490000</v>
      </c>
      <c r="Z8" s="94">
        <f t="shared" ref="Z8:Z29" si="9">ROUNDDOWN(SUM(K8:Y8),0)</f>
        <v>5370115</v>
      </c>
      <c r="AA8" s="95">
        <f t="shared" si="0"/>
        <v>0</v>
      </c>
      <c r="AB8" s="153">
        <f t="shared" si="1"/>
        <v>0</v>
      </c>
      <c r="AC8" s="290">
        <v>0</v>
      </c>
      <c r="AD8" s="294">
        <f t="shared" si="6"/>
        <v>0</v>
      </c>
      <c r="AE8" s="198">
        <v>4702199.32</v>
      </c>
      <c r="AF8" s="135">
        <f t="shared" si="2"/>
        <v>177916</v>
      </c>
      <c r="AG8" s="135">
        <f t="shared" si="7"/>
        <v>4880115.32</v>
      </c>
      <c r="AH8" s="273">
        <f t="shared" si="3"/>
        <v>489999.6799999997</v>
      </c>
    </row>
    <row r="9" spans="2:34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4"/>
        <v>TER B</v>
      </c>
      <c r="K9" s="51">
        <f t="shared" si="8"/>
        <v>3639999.9</v>
      </c>
      <c r="L9" s="51">
        <f t="shared" si="5"/>
        <v>30575.999999999996</v>
      </c>
      <c r="M9" s="267">
        <f>(3640000+43500)*4%</f>
        <v>147340</v>
      </c>
      <c r="N9" s="143">
        <v>135000</v>
      </c>
      <c r="O9" s="143"/>
      <c r="P9" s="143">
        <v>147283.21999999997</v>
      </c>
      <c r="Q9" s="143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>
        <v>600000</v>
      </c>
      <c r="Z9" s="94">
        <f>ROUNDDOWN(SUM(K9:Y9),0)</f>
        <v>5223699</v>
      </c>
      <c r="AA9" s="95">
        <f t="shared" si="0"/>
        <v>0</v>
      </c>
      <c r="AB9" s="153">
        <f t="shared" si="1"/>
        <v>0</v>
      </c>
      <c r="AC9" s="290">
        <v>0</v>
      </c>
      <c r="AD9" s="294">
        <f t="shared" si="6"/>
        <v>0</v>
      </c>
      <c r="AE9" s="198">
        <v>4445783.22</v>
      </c>
      <c r="AF9" s="135">
        <f t="shared" si="2"/>
        <v>177916</v>
      </c>
      <c r="AG9" s="135">
        <f t="shared" si="7"/>
        <v>4623699.22</v>
      </c>
      <c r="AH9" s="273">
        <f t="shared" si="3"/>
        <v>599999.78000000026</v>
      </c>
    </row>
    <row r="10" spans="2:34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4"/>
        <v>TER A</v>
      </c>
      <c r="K10" s="51">
        <f t="shared" si="8"/>
        <v>3639999.9</v>
      </c>
      <c r="L10" s="51">
        <f t="shared" si="5"/>
        <v>30575.999999999996</v>
      </c>
      <c r="M10" s="267">
        <f>(3640000+43500)*4%</f>
        <v>147340</v>
      </c>
      <c r="N10" s="143">
        <v>67500</v>
      </c>
      <c r="O10" s="143">
        <v>36000</v>
      </c>
      <c r="P10" s="143">
        <v>1125664.6100000001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>
        <v>540000</v>
      </c>
      <c r="Z10" s="94">
        <f t="shared" si="9"/>
        <v>5630580</v>
      </c>
      <c r="AA10" s="95">
        <f t="shared" si="0"/>
        <v>2.5000000000000001E-3</v>
      </c>
      <c r="AB10" s="153">
        <f t="shared" si="1"/>
        <v>14076</v>
      </c>
      <c r="AC10" s="290">
        <v>0</v>
      </c>
      <c r="AD10" s="294">
        <f t="shared" si="6"/>
        <v>14076</v>
      </c>
      <c r="AE10" s="198">
        <v>4912664.6100000003</v>
      </c>
      <c r="AF10" s="135">
        <f t="shared" si="2"/>
        <v>177916</v>
      </c>
      <c r="AG10" s="135">
        <f t="shared" si="7"/>
        <v>5090580.6100000003</v>
      </c>
      <c r="AH10" s="273">
        <f t="shared" si="3"/>
        <v>539999.38999999966</v>
      </c>
    </row>
    <row r="11" spans="2:34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4"/>
        <v>TER B</v>
      </c>
      <c r="K11" s="51">
        <f t="shared" si="8"/>
        <v>3639999.9</v>
      </c>
      <c r="L11" s="51">
        <f t="shared" si="5"/>
        <v>30575.999999999996</v>
      </c>
      <c r="M11" s="267">
        <f>(3640000+47000)*4%</f>
        <v>147480</v>
      </c>
      <c r="N11" s="143">
        <v>156600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-121333.33</v>
      </c>
      <c r="X11" s="143"/>
      <c r="Y11" s="143">
        <v>490000</v>
      </c>
      <c r="Z11" s="94">
        <f t="shared" si="9"/>
        <v>4390322</v>
      </c>
      <c r="AA11" s="95">
        <f t="shared" si="0"/>
        <v>0</v>
      </c>
      <c r="AB11" s="153">
        <f t="shared" si="1"/>
        <v>0</v>
      </c>
      <c r="AC11" s="290">
        <v>0</v>
      </c>
      <c r="AD11" s="294">
        <f t="shared" si="6"/>
        <v>0</v>
      </c>
      <c r="AE11" s="198">
        <v>3722266.6666666665</v>
      </c>
      <c r="AF11" s="135">
        <f t="shared" si="2"/>
        <v>178056</v>
      </c>
      <c r="AG11" s="135">
        <f t="shared" si="7"/>
        <v>3900322.6666666665</v>
      </c>
      <c r="AH11" s="273">
        <f t="shared" si="3"/>
        <v>489999.33333333349</v>
      </c>
    </row>
    <row r="12" spans="2:34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4"/>
        <v>TER A</v>
      </c>
      <c r="K12" s="51">
        <f t="shared" si="8"/>
        <v>3639999.9</v>
      </c>
      <c r="L12" s="51">
        <f t="shared" si="5"/>
        <v>30575.999999999996</v>
      </c>
      <c r="M12" s="267">
        <f>(3640000+36500)*4%</f>
        <v>147060</v>
      </c>
      <c r="N12" s="143">
        <v>67500</v>
      </c>
      <c r="O12" s="143"/>
      <c r="P12" s="143">
        <v>2693178.92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>
        <v>600000</v>
      </c>
      <c r="Z12" s="94">
        <f t="shared" si="9"/>
        <v>7214814</v>
      </c>
      <c r="AA12" s="95">
        <f t="shared" si="0"/>
        <v>1.2500000000000001E-2</v>
      </c>
      <c r="AB12" s="153">
        <f t="shared" si="1"/>
        <v>90185</v>
      </c>
      <c r="AC12" s="290">
        <v>66148</v>
      </c>
      <c r="AD12" s="294">
        <f t="shared" si="6"/>
        <v>24037</v>
      </c>
      <c r="AE12" s="198">
        <v>6437178.9199999999</v>
      </c>
      <c r="AF12" s="135">
        <f t="shared" si="2"/>
        <v>177636</v>
      </c>
      <c r="AG12" s="277">
        <f t="shared" si="7"/>
        <v>6614814.9199999999</v>
      </c>
      <c r="AH12" s="273">
        <f t="shared" si="3"/>
        <v>599999.08000000007</v>
      </c>
    </row>
    <row r="13" spans="2:34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4"/>
        <v>TER B</v>
      </c>
      <c r="K13" s="51">
        <f t="shared" si="8"/>
        <v>3639999.9</v>
      </c>
      <c r="L13" s="51">
        <f t="shared" si="5"/>
        <v>30575.999999999996</v>
      </c>
      <c r="M13" s="267">
        <f>(3640000+43500)*4%</f>
        <v>147340</v>
      </c>
      <c r="N13" s="143">
        <v>162000</v>
      </c>
      <c r="O13" s="143"/>
      <c r="P13" s="143">
        <v>631213.80000000005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>
        <v>600000</v>
      </c>
      <c r="Z13" s="94">
        <f t="shared" si="9"/>
        <v>5254629</v>
      </c>
      <c r="AA13" s="95">
        <f t="shared" si="0"/>
        <v>0</v>
      </c>
      <c r="AB13" s="153">
        <f t="shared" si="1"/>
        <v>0</v>
      </c>
      <c r="AC13" s="290">
        <v>0</v>
      </c>
      <c r="AD13" s="294">
        <f t="shared" si="6"/>
        <v>0</v>
      </c>
      <c r="AE13" s="198">
        <v>4476713.8</v>
      </c>
      <c r="AF13" s="135">
        <f t="shared" si="2"/>
        <v>177916</v>
      </c>
      <c r="AG13" s="135">
        <f t="shared" si="7"/>
        <v>4654629.8</v>
      </c>
      <c r="AH13" s="273">
        <f t="shared" si="3"/>
        <v>599999.20000000019</v>
      </c>
    </row>
    <row r="14" spans="2:34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4"/>
        <v>TER A</v>
      </c>
      <c r="K14" s="51">
        <f t="shared" si="8"/>
        <v>3639999.9</v>
      </c>
      <c r="L14" s="51">
        <f t="shared" si="5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>
        <v>490000</v>
      </c>
      <c r="Z14" s="94">
        <f t="shared" si="9"/>
        <v>4477615</v>
      </c>
      <c r="AA14" s="95">
        <f t="shared" si="0"/>
        <v>0</v>
      </c>
      <c r="AB14" s="153">
        <f t="shared" si="1"/>
        <v>0</v>
      </c>
      <c r="AC14" s="290">
        <v>0</v>
      </c>
      <c r="AD14" s="294">
        <f t="shared" si="6"/>
        <v>0</v>
      </c>
      <c r="AE14" s="198">
        <v>3809000</v>
      </c>
      <c r="AF14" s="135">
        <f t="shared" si="2"/>
        <v>178616</v>
      </c>
      <c r="AG14" s="135">
        <f t="shared" si="7"/>
        <v>3987616</v>
      </c>
      <c r="AH14" s="273">
        <f t="shared" si="3"/>
        <v>489999</v>
      </c>
    </row>
    <row r="15" spans="2:34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4"/>
        <v>TER B</v>
      </c>
      <c r="K15" s="51">
        <f t="shared" si="8"/>
        <v>3639999.9</v>
      </c>
      <c r="L15" s="51">
        <f t="shared" si="5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>
        <v>490000</v>
      </c>
      <c r="Z15" s="94">
        <f t="shared" si="9"/>
        <v>4346542</v>
      </c>
      <c r="AA15" s="95">
        <f t="shared" si="0"/>
        <v>0</v>
      </c>
      <c r="AB15" s="153">
        <f t="shared" si="1"/>
        <v>0</v>
      </c>
      <c r="AC15" s="290">
        <v>0</v>
      </c>
      <c r="AD15" s="294">
        <f t="shared" si="6"/>
        <v>0</v>
      </c>
      <c r="AE15" s="198">
        <v>3679166.6666666665</v>
      </c>
      <c r="AF15" s="135">
        <f t="shared" si="2"/>
        <v>177376</v>
      </c>
      <c r="AG15" s="135">
        <f t="shared" si="7"/>
        <v>3856542.6666666665</v>
      </c>
      <c r="AH15" s="273">
        <f t="shared" si="3"/>
        <v>489999.33333333349</v>
      </c>
    </row>
    <row r="16" spans="2:34" s="27" customFormat="1" ht="35.1" customHeigh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4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3">
        <f t="shared" si="1"/>
        <v>0</v>
      </c>
      <c r="AC16" s="290">
        <v>0</v>
      </c>
      <c r="AD16" s="294">
        <f t="shared" si="6"/>
        <v>0</v>
      </c>
      <c r="AE16" s="198"/>
      <c r="AF16" s="135">
        <f t="shared" si="2"/>
        <v>0</v>
      </c>
      <c r="AG16" s="135">
        <f t="shared" si="7"/>
        <v>0</v>
      </c>
    </row>
    <row r="17" spans="2:34" s="27" customFormat="1" ht="35.1" customHeigh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4"/>
        <v>TER B</v>
      </c>
      <c r="K17" s="51">
        <f>30*121333.33</f>
        <v>3639999.9</v>
      </c>
      <c r="L17" s="51">
        <f t="shared" si="5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140000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>
        <v>490000</v>
      </c>
      <c r="Z17" s="94">
        <f>ROUNDDOWN(SUM(K17:Y17),0)</f>
        <v>4644615</v>
      </c>
      <c r="AA17" s="95">
        <f t="shared" si="0"/>
        <v>0</v>
      </c>
      <c r="AB17" s="153">
        <f t="shared" si="1"/>
        <v>0</v>
      </c>
      <c r="AC17" s="290">
        <v>0</v>
      </c>
      <c r="AD17" s="294">
        <f t="shared" si="6"/>
        <v>0</v>
      </c>
      <c r="AE17" s="198">
        <v>3976000</v>
      </c>
      <c r="AF17" s="135">
        <f t="shared" si="2"/>
        <v>178616</v>
      </c>
      <c r="AG17" s="135">
        <f t="shared" si="7"/>
        <v>4154616</v>
      </c>
      <c r="AH17" s="135">
        <f t="shared" ref="AH17:AH29" si="10">Z17-AG17</f>
        <v>489999</v>
      </c>
    </row>
    <row r="18" spans="2:34" s="27" customFormat="1" ht="35.1" customHeigh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4"/>
        <v>TER A</v>
      </c>
      <c r="K18" s="51">
        <f>30*121333.33</f>
        <v>3639999.9</v>
      </c>
      <c r="L18" s="51">
        <f t="shared" si="5"/>
        <v>30575.999999999996</v>
      </c>
      <c r="M18" s="267">
        <f>(3640000+47000)*4%</f>
        <v>147480</v>
      </c>
      <c r="N18" s="143">
        <v>108000</v>
      </c>
      <c r="O18" s="143"/>
      <c r="P18" s="143">
        <v>31560.69</v>
      </c>
      <c r="Q18" s="143"/>
      <c r="R18" s="143"/>
      <c r="S18" s="143">
        <v>47000</v>
      </c>
      <c r="T18" s="143"/>
      <c r="U18" s="143"/>
      <c r="V18" s="143"/>
      <c r="W18" s="143">
        <v>0</v>
      </c>
      <c r="X18" s="143"/>
      <c r="Y18" s="143">
        <v>490000</v>
      </c>
      <c r="Z18" s="94">
        <f t="shared" si="9"/>
        <v>4494616</v>
      </c>
      <c r="AA18" s="95">
        <f t="shared" si="0"/>
        <v>0</v>
      </c>
      <c r="AB18" s="153">
        <f t="shared" si="1"/>
        <v>0</v>
      </c>
      <c r="AC18" s="290">
        <v>0</v>
      </c>
      <c r="AD18" s="294">
        <f t="shared" si="6"/>
        <v>0</v>
      </c>
      <c r="AE18" s="198">
        <v>3826560.69</v>
      </c>
      <c r="AF18" s="135">
        <f t="shared" si="2"/>
        <v>178056</v>
      </c>
      <c r="AG18" s="135">
        <f t="shared" si="7"/>
        <v>4004616.69</v>
      </c>
      <c r="AH18" s="135">
        <f t="shared" si="10"/>
        <v>489999.31000000006</v>
      </c>
    </row>
    <row r="19" spans="2:34" s="27" customFormat="1" ht="35.1" customHeigh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4"/>
        <v>TER B</v>
      </c>
      <c r="K19" s="51">
        <f t="shared" ref="K19:K21" si="11">30*121333.33</f>
        <v>3639999.9</v>
      </c>
      <c r="L19" s="51">
        <f t="shared" si="5"/>
        <v>30575.999999999996</v>
      </c>
      <c r="M19" s="267">
        <f>(3640000+43500)*4%</f>
        <v>147340</v>
      </c>
      <c r="N19" s="143">
        <v>130500</v>
      </c>
      <c r="O19" s="143"/>
      <c r="P19" s="143">
        <v>31560.69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143"/>
      <c r="Y19" s="143">
        <v>280000</v>
      </c>
      <c r="Z19" s="94">
        <f t="shared" si="9"/>
        <v>4182143</v>
      </c>
      <c r="AA19" s="95">
        <f t="shared" si="0"/>
        <v>0</v>
      </c>
      <c r="AB19" s="153">
        <f t="shared" si="1"/>
        <v>0</v>
      </c>
      <c r="AC19" s="290">
        <v>0</v>
      </c>
      <c r="AD19" s="294">
        <f t="shared" si="6"/>
        <v>0</v>
      </c>
      <c r="AE19" s="198">
        <v>3724227.3566666665</v>
      </c>
      <c r="AF19" s="135">
        <f t="shared" si="2"/>
        <v>177916</v>
      </c>
      <c r="AG19" s="135">
        <f t="shared" si="7"/>
        <v>3902143.3566666665</v>
      </c>
      <c r="AH19" s="135">
        <f t="shared" si="10"/>
        <v>279999.64333333354</v>
      </c>
    </row>
    <row r="20" spans="2:34" s="27" customFormat="1" ht="35.1" customHeigh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4"/>
        <v>TER B</v>
      </c>
      <c r="K20" s="51">
        <f t="shared" si="11"/>
        <v>3639999.9</v>
      </c>
      <c r="L20" s="51">
        <f t="shared" si="5"/>
        <v>30575.999999999996</v>
      </c>
      <c r="M20" s="267">
        <f>(3640000+50500)*4%</f>
        <v>147620</v>
      </c>
      <c r="N20" s="143">
        <v>162000</v>
      </c>
      <c r="O20" s="143"/>
      <c r="P20" s="143">
        <v>2430173.13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>
        <v>600000</v>
      </c>
      <c r="Z20" s="94">
        <f t="shared" si="9"/>
        <v>7060869</v>
      </c>
      <c r="AA20" s="95">
        <f t="shared" si="0"/>
        <v>7.4999999999999997E-3</v>
      </c>
      <c r="AB20" s="153">
        <f t="shared" si="1"/>
        <v>52956</v>
      </c>
      <c r="AC20" s="290">
        <v>16152</v>
      </c>
      <c r="AD20" s="294">
        <f t="shared" si="6"/>
        <v>36804</v>
      </c>
      <c r="AE20" s="198">
        <v>6282673.1299999999</v>
      </c>
      <c r="AF20" s="135">
        <f t="shared" si="2"/>
        <v>178196</v>
      </c>
      <c r="AG20" s="135">
        <f t="shared" si="7"/>
        <v>6460869.1299999999</v>
      </c>
      <c r="AH20" s="135">
        <f t="shared" si="10"/>
        <v>599999.87000000011</v>
      </c>
    </row>
    <row r="21" spans="2:34" s="27" customFormat="1" ht="35.1" customHeigh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4"/>
        <v>TER B</v>
      </c>
      <c r="K21" s="51">
        <f t="shared" si="11"/>
        <v>3639999.9</v>
      </c>
      <c r="L21" s="51">
        <f t="shared" si="5"/>
        <v>30575.999999999996</v>
      </c>
      <c r="M21" s="267">
        <f>(3640000+61000)*4%</f>
        <v>148040</v>
      </c>
      <c r="N21" s="143">
        <v>130500</v>
      </c>
      <c r="O21" s="143"/>
      <c r="P21" s="143">
        <v>189364.14</v>
      </c>
      <c r="Q21" s="143"/>
      <c r="R21" s="143"/>
      <c r="S21" s="143">
        <v>61000</v>
      </c>
      <c r="T21" s="143"/>
      <c r="U21" s="143"/>
      <c r="V21" s="143"/>
      <c r="W21" s="143">
        <v>-121333.33</v>
      </c>
      <c r="X21" s="143"/>
      <c r="Y21" s="143">
        <v>280000</v>
      </c>
      <c r="Z21" s="94">
        <f t="shared" si="9"/>
        <v>4358146</v>
      </c>
      <c r="AA21" s="95">
        <f t="shared" si="0"/>
        <v>0</v>
      </c>
      <c r="AB21" s="153">
        <f t="shared" si="1"/>
        <v>0</v>
      </c>
      <c r="AC21" s="290">
        <v>0</v>
      </c>
      <c r="AD21" s="294">
        <f t="shared" si="6"/>
        <v>0</v>
      </c>
      <c r="AE21" s="198">
        <v>3899530.8066666671</v>
      </c>
      <c r="AF21" s="135">
        <f t="shared" si="2"/>
        <v>178616</v>
      </c>
      <c r="AG21" s="135">
        <f t="shared" si="7"/>
        <v>4078146.8066666671</v>
      </c>
      <c r="AH21" s="135">
        <f t="shared" si="10"/>
        <v>279999.19333333289</v>
      </c>
    </row>
    <row r="22" spans="2:34" s="27" customFormat="1" ht="35.1" customHeigh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4"/>
        <v>TER A</v>
      </c>
      <c r="K22" s="230">
        <f>29*123833.33</f>
        <v>3591166.57</v>
      </c>
      <c r="L22" s="231">
        <f>3715000*0.84%</f>
        <v>31205.999999999996</v>
      </c>
      <c r="M22" s="269">
        <f>(3715000+5000)*4%</f>
        <v>148800</v>
      </c>
      <c r="N22" s="143">
        <v>47250</v>
      </c>
      <c r="O22" s="143"/>
      <c r="P22" s="143">
        <v>955593.36</v>
      </c>
      <c r="Q22" s="143"/>
      <c r="R22" s="143"/>
      <c r="S22" s="276">
        <v>5000</v>
      </c>
      <c r="T22" s="143"/>
      <c r="U22" s="143"/>
      <c r="V22" s="143"/>
      <c r="W22" s="143">
        <v>-990666.64</v>
      </c>
      <c r="X22" s="143"/>
      <c r="Y22" s="143">
        <v>600000</v>
      </c>
      <c r="Z22" s="94">
        <f t="shared" si="9"/>
        <v>4388349</v>
      </c>
      <c r="AA22" s="95">
        <f t="shared" si="0"/>
        <v>0</v>
      </c>
      <c r="AB22" s="153">
        <f t="shared" si="1"/>
        <v>0</v>
      </c>
      <c r="AC22" s="290">
        <v>0</v>
      </c>
      <c r="AD22" s="294">
        <f t="shared" si="6"/>
        <v>0</v>
      </c>
      <c r="AE22" s="198">
        <v>3608343.3599999994</v>
      </c>
      <c r="AF22" s="135">
        <f t="shared" si="2"/>
        <v>180006</v>
      </c>
      <c r="AG22" s="277">
        <f t="shared" si="7"/>
        <v>3788349.3599999994</v>
      </c>
      <c r="AH22" s="135">
        <f t="shared" si="10"/>
        <v>599999.6400000006</v>
      </c>
    </row>
    <row r="23" spans="2:34" s="27" customFormat="1" ht="35.1" customHeigh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4"/>
        <v>TER A</v>
      </c>
      <c r="K23" s="92">
        <f>30*121333.33</f>
        <v>3639999.9</v>
      </c>
      <c r="L23" s="51">
        <f>3640000*0.84%</f>
        <v>30575.999999999996</v>
      </c>
      <c r="M23" s="267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5006063</v>
      </c>
      <c r="AA23" s="95">
        <f t="shared" si="0"/>
        <v>0</v>
      </c>
      <c r="AB23" s="153">
        <f t="shared" si="1"/>
        <v>0</v>
      </c>
      <c r="AC23" s="290">
        <v>0</v>
      </c>
      <c r="AD23" s="294">
        <f t="shared" si="6"/>
        <v>0</v>
      </c>
      <c r="AE23" s="198">
        <v>4228147.3599999994</v>
      </c>
      <c r="AF23" s="135">
        <f t="shared" si="2"/>
        <v>177916</v>
      </c>
      <c r="AG23" s="135">
        <f t="shared" si="7"/>
        <v>4406063.3599999994</v>
      </c>
      <c r="AH23" s="135">
        <f t="shared" si="10"/>
        <v>599999.6400000006</v>
      </c>
    </row>
    <row r="24" spans="2:34" s="27" customFormat="1" ht="35.1" customHeigh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4"/>
        <v>TER B</v>
      </c>
      <c r="K24" s="92">
        <f>30*121333.33</f>
        <v>3639999.9</v>
      </c>
      <c r="L24" s="51">
        <f t="shared" ref="L24:L29" si="12">3640000*0.84%</f>
        <v>30575.999999999996</v>
      </c>
      <c r="M24" s="267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8019367</v>
      </c>
      <c r="AA24" s="95">
        <f t="shared" si="0"/>
        <v>0.01</v>
      </c>
      <c r="AB24" s="153">
        <f t="shared" si="1"/>
        <v>80193</v>
      </c>
      <c r="AC24" s="290">
        <v>73693</v>
      </c>
      <c r="AD24" s="294">
        <f t="shared" si="6"/>
        <v>6500</v>
      </c>
      <c r="AE24" s="198">
        <v>7191311.7599999998</v>
      </c>
      <c r="AF24" s="135">
        <f t="shared" si="2"/>
        <v>178056</v>
      </c>
      <c r="AG24" s="135">
        <f t="shared" si="7"/>
        <v>7369367.7599999998</v>
      </c>
      <c r="AH24" s="135">
        <f t="shared" si="10"/>
        <v>649999.24000000022</v>
      </c>
    </row>
    <row r="25" spans="2:34" s="27" customFormat="1" ht="35.1" customHeigh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4"/>
        <v>TER B</v>
      </c>
      <c r="K25" s="92">
        <f t="shared" ref="K25:K29" si="13">30*121333.33</f>
        <v>3639999.9</v>
      </c>
      <c r="L25" s="51">
        <f t="shared" si="12"/>
        <v>30575.999999999996</v>
      </c>
      <c r="M25" s="267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7903927</v>
      </c>
      <c r="AA25" s="95">
        <f t="shared" si="0"/>
        <v>0.01</v>
      </c>
      <c r="AB25" s="153">
        <f t="shared" si="1"/>
        <v>79039</v>
      </c>
      <c r="AC25" s="290">
        <v>73639</v>
      </c>
      <c r="AD25" s="294">
        <f t="shared" si="6"/>
        <v>5400</v>
      </c>
      <c r="AE25" s="198">
        <v>7185311.7599999998</v>
      </c>
      <c r="AF25" s="135">
        <f t="shared" si="2"/>
        <v>178616</v>
      </c>
      <c r="AG25" s="135">
        <f t="shared" si="7"/>
        <v>7363927.7599999998</v>
      </c>
      <c r="AH25" s="135">
        <f t="shared" si="10"/>
        <v>539999.24000000022</v>
      </c>
    </row>
    <row r="26" spans="2:34" s="27" customFormat="1" ht="35.1" customHeigh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4"/>
        <v>TER A</v>
      </c>
      <c r="K26" s="92">
        <f t="shared" si="13"/>
        <v>3639999.9</v>
      </c>
      <c r="L26" s="51">
        <f t="shared" si="12"/>
        <v>30575.999999999996</v>
      </c>
      <c r="M26" s="267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7037607</v>
      </c>
      <c r="AA26" s="95">
        <f t="shared" si="0"/>
        <v>1.2500000000000001E-2</v>
      </c>
      <c r="AB26" s="153">
        <f t="shared" si="1"/>
        <v>87970</v>
      </c>
      <c r="AC26" s="290">
        <v>64976</v>
      </c>
      <c r="AD26" s="294">
        <f t="shared" si="6"/>
        <v>22994</v>
      </c>
      <c r="AE26" s="198">
        <v>6320471.120000001</v>
      </c>
      <c r="AF26" s="135">
        <f t="shared" si="2"/>
        <v>177136</v>
      </c>
      <c r="AG26" s="135">
        <f t="shared" si="7"/>
        <v>6497607.120000001</v>
      </c>
      <c r="AH26" s="135">
        <f t="shared" si="10"/>
        <v>539999.87999999896</v>
      </c>
    </row>
    <row r="27" spans="2:34" s="27" customFormat="1" ht="35.1" customHeigh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4"/>
        <v>TER B</v>
      </c>
      <c r="K27" s="92">
        <f t="shared" si="13"/>
        <v>3639999.9</v>
      </c>
      <c r="L27" s="51">
        <f t="shared" si="12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4670057</v>
      </c>
      <c r="AA27" s="95">
        <f t="shared" si="0"/>
        <v>0</v>
      </c>
      <c r="AB27" s="153">
        <f t="shared" si="1"/>
        <v>0</v>
      </c>
      <c r="AC27" s="290">
        <v>0</v>
      </c>
      <c r="AD27" s="294">
        <f t="shared" si="6"/>
        <v>0</v>
      </c>
      <c r="AE27" s="198">
        <v>3952141.61</v>
      </c>
      <c r="AF27" s="135">
        <f t="shared" si="2"/>
        <v>177916</v>
      </c>
      <c r="AG27" s="135">
        <f t="shared" si="7"/>
        <v>4130057.61</v>
      </c>
      <c r="AH27" s="135">
        <f t="shared" si="10"/>
        <v>539999.39000000013</v>
      </c>
    </row>
    <row r="28" spans="2:34" s="27" customFormat="1" ht="35.1" customHeigh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4"/>
        <v>TER B</v>
      </c>
      <c r="K28" s="92">
        <f t="shared" si="13"/>
        <v>3639999.9</v>
      </c>
      <c r="L28" s="51">
        <f t="shared" si="12"/>
        <v>30575.999999999996</v>
      </c>
      <c r="M28" s="267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>
        <v>540000</v>
      </c>
      <c r="Z28" s="94">
        <f t="shared" si="9"/>
        <v>8011076</v>
      </c>
      <c r="AA28" s="95">
        <f t="shared" si="0"/>
        <v>0.01</v>
      </c>
      <c r="AB28" s="153">
        <f t="shared" si="1"/>
        <v>80110</v>
      </c>
      <c r="AC28" s="290">
        <v>74710</v>
      </c>
      <c r="AD28" s="294">
        <f t="shared" si="6"/>
        <v>5400</v>
      </c>
      <c r="AE28" s="198">
        <v>7293160.7866666671</v>
      </c>
      <c r="AF28" s="135">
        <f t="shared" si="2"/>
        <v>177916</v>
      </c>
      <c r="AG28" s="135">
        <f t="shared" si="7"/>
        <v>7471076.7866666671</v>
      </c>
      <c r="AH28" s="135">
        <f t="shared" si="10"/>
        <v>539999.21333333291</v>
      </c>
    </row>
    <row r="29" spans="2:34" s="27" customFormat="1" ht="35.1" customHeight="1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4"/>
        <v>TER B</v>
      </c>
      <c r="K29" s="92">
        <f t="shared" si="13"/>
        <v>3639999.9</v>
      </c>
      <c r="L29" s="51">
        <f t="shared" si="12"/>
        <v>30575.999999999996</v>
      </c>
      <c r="M29" s="269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5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7681069</v>
      </c>
      <c r="AA29" s="95">
        <f t="shared" si="0"/>
        <v>0.01</v>
      </c>
      <c r="AB29" s="153">
        <f t="shared" si="1"/>
        <v>76810</v>
      </c>
      <c r="AC29" s="291">
        <v>53558</v>
      </c>
      <c r="AD29" s="295">
        <f t="shared" si="6"/>
        <v>23252</v>
      </c>
      <c r="AE29" s="198">
        <v>6963013.4266666658</v>
      </c>
      <c r="AF29" s="135">
        <f t="shared" si="2"/>
        <v>178056</v>
      </c>
      <c r="AG29" s="135">
        <f t="shared" si="7"/>
        <v>7141069.4266666658</v>
      </c>
      <c r="AH29" s="135">
        <f t="shared" si="10"/>
        <v>539999.57333333418</v>
      </c>
    </row>
    <row r="30" spans="2:34" s="58" customFormat="1" ht="35.1" customHeight="1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4">SUM(K6:K29)</f>
        <v>83671164.370000005</v>
      </c>
      <c r="L30" s="126">
        <f t="shared" si="14"/>
        <v>703877.99999999988</v>
      </c>
      <c r="M30" s="126">
        <f t="shared" si="14"/>
        <v>3393720</v>
      </c>
      <c r="N30" s="126">
        <f t="shared" si="14"/>
        <v>2786850</v>
      </c>
      <c r="O30" s="126">
        <f t="shared" si="14"/>
        <v>370000</v>
      </c>
      <c r="P30" s="126">
        <f>SUM(P6:P29)</f>
        <v>25646573.210000001</v>
      </c>
      <c r="Q30" s="126">
        <f t="shared" si="14"/>
        <v>720000</v>
      </c>
      <c r="R30" s="126">
        <f t="shared" si="14"/>
        <v>1383200.19</v>
      </c>
      <c r="S30" s="126">
        <f t="shared" si="14"/>
        <v>1048000</v>
      </c>
      <c r="T30" s="126"/>
      <c r="U30" s="126"/>
      <c r="V30" s="126"/>
      <c r="W30" s="126">
        <f>SUM(W6:W29)</f>
        <v>-1718666.62</v>
      </c>
      <c r="X30" s="126"/>
      <c r="Y30" s="126">
        <f>SUM(Y6:Y29)</f>
        <v>11870000</v>
      </c>
      <c r="Z30" s="126">
        <f t="shared" ref="Z30:AG30" si="15">SUM(Z6:Z29)</f>
        <v>129874707</v>
      </c>
      <c r="AA30" s="126">
        <f t="shared" si="15"/>
        <v>8.249999999999999E-2</v>
      </c>
      <c r="AB30" s="126">
        <f>SUM(AB6:AB29)</f>
        <v>608145</v>
      </c>
      <c r="AC30" s="126">
        <f>SUM(AC6:AC29)</f>
        <v>436978</v>
      </c>
      <c r="AD30" s="126">
        <f>SUM(AD6:AD29)</f>
        <v>171167</v>
      </c>
      <c r="AE30" s="274">
        <f>SUM(AE6:AE29)</f>
        <v>113907123.40000001</v>
      </c>
      <c r="AF30" s="271">
        <f>SUM(AF6:AF29)</f>
        <v>4097598</v>
      </c>
      <c r="AG30" s="271">
        <f t="shared" si="15"/>
        <v>118004721.40000001</v>
      </c>
      <c r="AH30" s="287">
        <f>SUM(AH6:AH29)</f>
        <v>11869985.600000003</v>
      </c>
    </row>
    <row r="31" spans="2:34" ht="15" customHeight="1"/>
    <row r="32" spans="2:34" ht="15" hidden="1" customHeight="1">
      <c r="B32" s="57" t="s">
        <v>48</v>
      </c>
      <c r="M32" s="61"/>
      <c r="N32" s="61"/>
      <c r="O32" s="61"/>
      <c r="P32" s="61"/>
      <c r="Q32" s="61"/>
    </row>
    <row r="33" spans="2:55" ht="15" hidden="1" customHeight="1">
      <c r="B33" s="27" t="s">
        <v>49</v>
      </c>
      <c r="M33" s="61"/>
      <c r="N33" s="61"/>
      <c r="O33" s="61"/>
      <c r="P33" s="61"/>
      <c r="Q33" s="61"/>
    </row>
    <row r="34" spans="2:55" ht="15" hidden="1" customHeight="1">
      <c r="B34" s="27" t="s">
        <v>57</v>
      </c>
      <c r="M34" s="61"/>
      <c r="N34" s="61"/>
      <c r="O34" s="61"/>
      <c r="P34" s="61"/>
      <c r="Q34" s="61"/>
    </row>
    <row r="35" spans="2:55" ht="15" hidden="1" customHeight="1">
      <c r="B35" s="27" t="s">
        <v>50</v>
      </c>
      <c r="M35" s="61"/>
      <c r="N35" s="61"/>
      <c r="O35" s="61"/>
      <c r="P35" s="61"/>
      <c r="Q35" s="61"/>
    </row>
    <row r="36" spans="2:55" s="33" customFormat="1" ht="15" hidden="1" customHeight="1">
      <c r="B36" s="27" t="s">
        <v>58</v>
      </c>
      <c r="C36" s="28"/>
      <c r="D36" s="284"/>
      <c r="E36" s="30"/>
      <c r="F36" s="28"/>
      <c r="G36" s="31"/>
      <c r="H36" s="285"/>
      <c r="I36" s="285"/>
      <c r="J36" s="285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8"/>
      <c r="AD36" s="28"/>
      <c r="AE36" s="27"/>
      <c r="AF36" s="27"/>
      <c r="AG36" s="27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 ht="15" hidden="1" customHeight="1">
      <c r="B37" s="27" t="s">
        <v>51</v>
      </c>
      <c r="C37" s="28"/>
      <c r="D37" s="284"/>
      <c r="E37" s="30"/>
      <c r="F37" s="28"/>
      <c r="G37" s="31"/>
      <c r="H37" s="285"/>
      <c r="I37" s="285"/>
      <c r="J37" s="285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8"/>
      <c r="AD37" s="28"/>
      <c r="AE37" s="27"/>
      <c r="AF37" s="27"/>
      <c r="AG37" s="27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 ht="15" hidden="1" customHeight="1">
      <c r="B38" s="27" t="s">
        <v>52</v>
      </c>
      <c r="C38" s="28"/>
      <c r="D38" s="284"/>
      <c r="E38" s="30"/>
      <c r="F38" s="28"/>
      <c r="G38" s="31"/>
      <c r="H38" s="285"/>
      <c r="I38" s="285"/>
      <c r="J38" s="285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8"/>
      <c r="AD38" s="28"/>
      <c r="AE38" s="27"/>
      <c r="AF38" s="27"/>
      <c r="AG38" s="27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 ht="15" hidden="1" customHeight="1">
      <c r="B39" s="27" t="s">
        <v>53</v>
      </c>
      <c r="C39" s="28"/>
      <c r="D39" s="284"/>
      <c r="E39" s="30"/>
      <c r="F39" s="28"/>
      <c r="G39" s="31"/>
      <c r="H39" s="285"/>
      <c r="I39" s="285"/>
      <c r="J39" s="285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8"/>
      <c r="AD39" s="28"/>
      <c r="AE39" s="27"/>
      <c r="AF39" s="27"/>
      <c r="AG39" s="27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 ht="15" hidden="1" customHeight="1">
      <c r="B40" s="27" t="s">
        <v>59</v>
      </c>
      <c r="C40" s="28"/>
      <c r="D40" s="284"/>
      <c r="E40" s="30"/>
      <c r="F40" s="28"/>
      <c r="G40" s="31"/>
      <c r="H40" s="285"/>
      <c r="I40" s="285"/>
      <c r="J40" s="285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8"/>
      <c r="AD40" s="28"/>
      <c r="AE40" s="27"/>
      <c r="AF40" s="27"/>
      <c r="AG40" s="27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 ht="15" hidden="1" customHeight="1">
      <c r="B41" s="27" t="s">
        <v>60</v>
      </c>
      <c r="C41" s="28"/>
      <c r="D41" s="284"/>
      <c r="E41" s="30"/>
      <c r="F41" s="28"/>
      <c r="G41" s="31"/>
      <c r="H41" s="285"/>
      <c r="I41" s="285"/>
      <c r="J41" s="285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8"/>
      <c r="AD41" s="28"/>
      <c r="AE41" s="27"/>
      <c r="AF41" s="27"/>
      <c r="AG41" s="27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 ht="15" hidden="1" customHeight="1">
      <c r="B42" s="27" t="s">
        <v>65</v>
      </c>
      <c r="C42" s="28"/>
      <c r="D42" s="284"/>
      <c r="E42" s="30"/>
      <c r="F42" s="28"/>
      <c r="G42" s="31"/>
      <c r="H42" s="285"/>
      <c r="I42" s="285"/>
      <c r="J42" s="285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8"/>
      <c r="AD42" s="28"/>
      <c r="AE42" s="27"/>
      <c r="AF42" s="27"/>
      <c r="AG42" s="27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 ht="15" hidden="1" customHeight="1">
      <c r="B43" s="27"/>
      <c r="C43" s="28"/>
      <c r="D43" s="284"/>
      <c r="E43" s="30"/>
      <c r="F43" s="28"/>
      <c r="G43" s="31"/>
      <c r="H43" s="285"/>
      <c r="I43" s="285"/>
      <c r="J43" s="285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8"/>
      <c r="AD43" s="28"/>
      <c r="AE43" s="27"/>
      <c r="AF43" s="27"/>
      <c r="AG43" s="27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 ht="15" hidden="1" customHeight="1">
      <c r="B44" s="27"/>
      <c r="C44" s="28"/>
      <c r="D44" s="284"/>
      <c r="E44" s="30"/>
      <c r="F44" s="28"/>
      <c r="G44" s="31"/>
      <c r="H44" s="285"/>
      <c r="I44" s="285"/>
      <c r="J44" s="285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8"/>
      <c r="AD44" s="28"/>
      <c r="AE44" s="27"/>
      <c r="AF44" s="27"/>
      <c r="AG44" s="27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 ht="24.95" customHeight="1">
      <c r="B45" s="27"/>
      <c r="C45" s="28"/>
      <c r="D45" s="284"/>
      <c r="E45" s="30"/>
      <c r="F45" s="28"/>
      <c r="G45" s="31"/>
      <c r="H45" s="285"/>
      <c r="I45" s="285"/>
      <c r="J45" s="285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8"/>
      <c r="AD45" s="28"/>
      <c r="AE45" s="27"/>
      <c r="AF45" s="27"/>
      <c r="AG45" s="265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 ht="35.1" customHeight="1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7" spans="2:55" ht="35.1" customHeight="1"/>
    <row r="48" spans="2:55" ht="35.1" customHeight="1"/>
    <row r="49" spans="4:14" ht="35.1" customHeight="1">
      <c r="D49" s="725" t="s">
        <v>98</v>
      </c>
      <c r="E49" s="725"/>
      <c r="K49" s="725" t="s">
        <v>170</v>
      </c>
      <c r="L49" s="725"/>
      <c r="M49" s="725"/>
      <c r="N49" s="725"/>
    </row>
    <row r="50" spans="4:14" ht="35.1" customHeight="1">
      <c r="D50" s="725" t="s">
        <v>168</v>
      </c>
      <c r="E50" s="725"/>
      <c r="K50" s="725" t="s">
        <v>171</v>
      </c>
      <c r="L50" s="725"/>
      <c r="M50" s="725"/>
      <c r="N50" s="725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zoomScale="67" zoomScaleNormal="67" workbookViewId="0">
      <pane xSplit="6" ySplit="5" topLeftCell="W6" activePane="bottomRight" state="frozen"/>
      <selection pane="topRight" activeCell="G1" sqref="G1"/>
      <selection pane="bottomLeft" activeCell="A6" sqref="A6"/>
      <selection pane="bottomRight" activeCell="Z32" sqref="Z32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140625" style="28" customWidth="1"/>
    <col min="4" max="4" width="20.28515625" style="228" customWidth="1" outlineLevel="1"/>
    <col min="5" max="5" width="18.85546875" style="30" customWidth="1" outlineLevel="1"/>
    <col min="6" max="6" width="25.5703125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4" style="28" customWidth="1"/>
    <col min="12" max="12" width="12.28515625" style="28" customWidth="1"/>
    <col min="13" max="13" width="13" style="28" customWidth="1"/>
    <col min="14" max="14" width="14.140625" style="28" customWidth="1"/>
    <col min="15" max="15" width="11.42578125" style="28" customWidth="1"/>
    <col min="16" max="16" width="13.140625" style="28" customWidth="1"/>
    <col min="17" max="17" width="12.7109375" style="28" customWidth="1"/>
    <col min="18" max="18" width="12.42578125" style="28" customWidth="1"/>
    <col min="19" max="19" width="14" style="28" customWidth="1"/>
    <col min="20" max="22" width="13.5703125" style="28" hidden="1" customWidth="1"/>
    <col min="23" max="23" width="14.42578125" style="28" customWidth="1"/>
    <col min="24" max="24" width="13.5703125" style="28" hidden="1" customWidth="1"/>
    <col min="25" max="25" width="13.42578125" style="28" customWidth="1"/>
    <col min="26" max="26" width="15.42578125" style="28" customWidth="1" collapsed="1"/>
    <col min="27" max="27" width="9.7109375" style="88" customWidth="1"/>
    <col min="28" max="28" width="13.28515625" style="28" customWidth="1"/>
    <col min="29" max="29" width="20.140625" style="27" customWidth="1"/>
    <col min="30" max="31" width="16.5703125" style="27" customWidth="1"/>
    <col min="32" max="32" width="18" style="59" customWidth="1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184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189</v>
      </c>
      <c r="AC5" s="270" t="s">
        <v>180</v>
      </c>
      <c r="AD5" s="286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>
        <v>280000</v>
      </c>
      <c r="Z6" s="151">
        <f>ROUNDDOWN(SUM(K6:Y6),0)</f>
        <v>4392549</v>
      </c>
      <c r="AA6" s="152">
        <f t="shared" ref="AA6:AA29" si="0">IF(J6="TER A",VLOOKUP(Z6,Ter_A,4,TRUE),IF(J6="TER B",VLOOKUP(Z6,Ter_B,4,TRUE),VLOOKUP(Z6,Ter_C,4,TRUE)))</f>
        <v>0</v>
      </c>
      <c r="AB6" s="257">
        <f>ROUNDDOWN(IF(E6=0,Z6*AA6*120%,Z6*AA6),0)</f>
        <v>0</v>
      </c>
      <c r="AC6" s="198">
        <v>3933933.3333333335</v>
      </c>
      <c r="AD6" s="135">
        <f t="shared" ref="AD6:AD15" si="1">L6+M6</f>
        <v>178616</v>
      </c>
      <c r="AE6" s="135">
        <f>AC6+AD6</f>
        <v>4112549.3333333335</v>
      </c>
      <c r="AF6" s="135">
        <f t="shared" ref="AF6:AF15" si="2">Z6-AE6</f>
        <v>279999.66666666651</v>
      </c>
      <c r="AG6" s="135">
        <f>+SUM(N6:W6)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3">IF(ISBLANK(I7),"",IF(OR(I7="TK/0",I7="TK/1",I7="K/0"),"TER A",IF(I7="K/3","TER C","TER B")))</f>
        <v>TER A</v>
      </c>
      <c r="K7" s="51">
        <f t="shared" ref="K7:K21" si="4">31*121333.33</f>
        <v>3761333.23</v>
      </c>
      <c r="L7" s="51">
        <f t="shared" ref="L7:L21" si="5">3640000*0.84%</f>
        <v>30575.999999999996</v>
      </c>
      <c r="M7" s="267">
        <f>(3640000+61000)*4%</f>
        <v>148040</v>
      </c>
      <c r="N7" s="143">
        <v>69750</v>
      </c>
      <c r="O7" s="143"/>
      <c r="P7" s="143">
        <v>2272369.6800000002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>
        <v>600000</v>
      </c>
      <c r="Z7" s="94">
        <f>ROUNDDOWN(SUM(K7:Y7),0)</f>
        <v>6943068</v>
      </c>
      <c r="AA7" s="95">
        <f t="shared" si="0"/>
        <v>1.2500000000000001E-2</v>
      </c>
      <c r="AB7" s="155">
        <f t="shared" ref="AB7:AB28" si="6">ROUNDDOWN(IF(E7=0,Z7*AA7*120%,Z7*AA7),0)</f>
        <v>86788</v>
      </c>
      <c r="AC7" s="198">
        <v>6164453.0133333337</v>
      </c>
      <c r="AD7" s="135">
        <f t="shared" si="1"/>
        <v>178616</v>
      </c>
      <c r="AE7" s="135">
        <f t="shared" ref="AE7:AE15" si="7">AC7+AD7</f>
        <v>6343069.0133333337</v>
      </c>
      <c r="AF7" s="135">
        <f t="shared" si="2"/>
        <v>599998.98666666634</v>
      </c>
      <c r="AG7" s="135">
        <f t="shared" ref="AG7:AG28" si="8">+SUM(N7:W7)</f>
        <v>2403119.6800000002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3"/>
        <v>TER B</v>
      </c>
      <c r="K8" s="51">
        <f t="shared" si="4"/>
        <v>3761333.23</v>
      </c>
      <c r="L8" s="51">
        <f t="shared" si="5"/>
        <v>30575.999999999996</v>
      </c>
      <c r="M8" s="267">
        <f>(3640000+43500)*4%</f>
        <v>147340</v>
      </c>
      <c r="N8" s="143">
        <v>139500</v>
      </c>
      <c r="O8" s="143"/>
      <c r="P8" s="143">
        <v>2061965.08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>
        <v>490000</v>
      </c>
      <c r="Z8" s="94">
        <f t="shared" ref="Z8:Z29" si="9">ROUNDDOWN(SUM(K8:Y8),0)</f>
        <v>6674214</v>
      </c>
      <c r="AA8" s="95">
        <f t="shared" si="0"/>
        <v>5.0000000000000001E-3</v>
      </c>
      <c r="AB8" s="155">
        <f t="shared" si="6"/>
        <v>33371</v>
      </c>
      <c r="AC8" s="198">
        <v>6006298.413333334</v>
      </c>
      <c r="AD8" s="135">
        <f t="shared" si="1"/>
        <v>177916</v>
      </c>
      <c r="AE8" s="135">
        <f t="shared" si="7"/>
        <v>6184214.413333334</v>
      </c>
      <c r="AF8" s="135">
        <f t="shared" si="2"/>
        <v>489999.58666666597</v>
      </c>
      <c r="AG8" s="135">
        <f t="shared" si="8"/>
        <v>2244965.08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3"/>
        <v>TER B</v>
      </c>
      <c r="K9" s="51">
        <f t="shared" si="4"/>
        <v>3761333.23</v>
      </c>
      <c r="L9" s="51">
        <f t="shared" si="5"/>
        <v>30575.999999999996</v>
      </c>
      <c r="M9" s="267">
        <f>(3640000+43500)*4%</f>
        <v>147340</v>
      </c>
      <c r="N9" s="143">
        <v>139500</v>
      </c>
      <c r="O9" s="143"/>
      <c r="P9" s="143">
        <v>725895.87000000011</v>
      </c>
      <c r="Q9" s="143">
        <v>580000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>
        <v>600000</v>
      </c>
      <c r="Z9" s="94">
        <f>ROUNDDOWN(SUM(K9:Y9),0)</f>
        <v>6028145</v>
      </c>
      <c r="AA9" s="95">
        <f t="shared" si="0"/>
        <v>0</v>
      </c>
      <c r="AB9" s="155">
        <f t="shared" si="6"/>
        <v>0</v>
      </c>
      <c r="AC9" s="198">
        <v>5250229.2033333331</v>
      </c>
      <c r="AD9" s="135">
        <f t="shared" si="1"/>
        <v>177916</v>
      </c>
      <c r="AE9" s="135">
        <f t="shared" si="7"/>
        <v>5428145.2033333331</v>
      </c>
      <c r="AF9" s="135">
        <f t="shared" si="2"/>
        <v>599999.79666666687</v>
      </c>
      <c r="AG9" s="135">
        <f t="shared" si="8"/>
        <v>1488895.87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3"/>
        <v>TER A</v>
      </c>
      <c r="K10" s="51">
        <f t="shared" si="4"/>
        <v>3761333.23</v>
      </c>
      <c r="L10" s="51">
        <f t="shared" si="5"/>
        <v>30575.999999999996</v>
      </c>
      <c r="M10" s="267">
        <f>(3640000+43500)*4%</f>
        <v>147340</v>
      </c>
      <c r="N10" s="143">
        <v>69750</v>
      </c>
      <c r="O10" s="143">
        <v>42000</v>
      </c>
      <c r="P10" s="143">
        <v>1420231.05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>
        <v>540000</v>
      </c>
      <c r="Z10" s="94">
        <f t="shared" si="9"/>
        <v>6054730</v>
      </c>
      <c r="AA10" s="95">
        <f t="shared" si="0"/>
        <v>7.4999999999999997E-3</v>
      </c>
      <c r="AB10" s="155">
        <f t="shared" si="6"/>
        <v>45410</v>
      </c>
      <c r="AC10" s="198">
        <v>5336814.3833333338</v>
      </c>
      <c r="AD10" s="135">
        <f t="shared" si="1"/>
        <v>177916</v>
      </c>
      <c r="AE10" s="135">
        <f t="shared" si="7"/>
        <v>5514730.3833333338</v>
      </c>
      <c r="AF10" s="135">
        <f t="shared" si="2"/>
        <v>539999.61666666623</v>
      </c>
      <c r="AG10" s="135">
        <f t="shared" si="8"/>
        <v>1575481.05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3"/>
        <v>TER B</v>
      </c>
      <c r="K11" s="51">
        <f t="shared" si="4"/>
        <v>3761333.23</v>
      </c>
      <c r="L11" s="51">
        <f t="shared" si="5"/>
        <v>30575.999999999996</v>
      </c>
      <c r="M11" s="267">
        <f>(3640000+47000)*4%</f>
        <v>147480</v>
      </c>
      <c r="N11" s="143">
        <v>167400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>
        <v>490000</v>
      </c>
      <c r="Z11" s="94">
        <f t="shared" si="9"/>
        <v>4643789</v>
      </c>
      <c r="AA11" s="95">
        <f t="shared" si="0"/>
        <v>0</v>
      </c>
      <c r="AB11" s="155">
        <f t="shared" si="6"/>
        <v>0</v>
      </c>
      <c r="AC11" s="198">
        <v>3975733.3333333335</v>
      </c>
      <c r="AD11" s="135">
        <f t="shared" si="1"/>
        <v>178056</v>
      </c>
      <c r="AE11" s="135">
        <f t="shared" si="7"/>
        <v>4153789.3333333335</v>
      </c>
      <c r="AF11" s="135">
        <f t="shared" si="2"/>
        <v>489999.66666666651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3"/>
        <v>TER A</v>
      </c>
      <c r="K12" s="51">
        <f t="shared" si="4"/>
        <v>3761333.23</v>
      </c>
      <c r="L12" s="51">
        <f t="shared" si="5"/>
        <v>30575.999999999996</v>
      </c>
      <c r="M12" s="267">
        <f>(3640000+36500)*4%</f>
        <v>147060</v>
      </c>
      <c r="N12" s="143">
        <v>69750</v>
      </c>
      <c r="O12" s="143"/>
      <c r="P12" s="143">
        <v>4407976.41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>
        <v>600000</v>
      </c>
      <c r="Z12" s="94">
        <f t="shared" si="9"/>
        <v>9053195</v>
      </c>
      <c r="AA12" s="95">
        <f t="shared" si="0"/>
        <v>1.7500000000000002E-2</v>
      </c>
      <c r="AB12" s="155">
        <f t="shared" si="6"/>
        <v>158430</v>
      </c>
      <c r="AC12" s="198">
        <v>8275559.7433333341</v>
      </c>
      <c r="AD12" s="135">
        <f t="shared" si="1"/>
        <v>177636</v>
      </c>
      <c r="AE12" s="135">
        <f t="shared" si="7"/>
        <v>8453195.7433333341</v>
      </c>
      <c r="AF12" s="135">
        <f t="shared" si="2"/>
        <v>599999.2566666659</v>
      </c>
      <c r="AG12" s="135">
        <f t="shared" si="8"/>
        <v>4514226.41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3"/>
        <v>TER B</v>
      </c>
      <c r="K13" s="51">
        <f t="shared" si="4"/>
        <v>3761333.23</v>
      </c>
      <c r="L13" s="51">
        <f t="shared" si="5"/>
        <v>30575.999999999996</v>
      </c>
      <c r="M13" s="267">
        <f>(3640000+43500)*4%</f>
        <v>147340</v>
      </c>
      <c r="N13" s="143">
        <v>167400</v>
      </c>
      <c r="O13" s="143"/>
      <c r="P13" s="143">
        <v>557572.18999999994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>
        <v>600000</v>
      </c>
      <c r="Z13" s="94">
        <f t="shared" si="9"/>
        <v>5307721</v>
      </c>
      <c r="AA13" s="95">
        <f t="shared" si="0"/>
        <v>0</v>
      </c>
      <c r="AB13" s="155">
        <f t="shared" si="6"/>
        <v>0</v>
      </c>
      <c r="AC13" s="198">
        <v>4529805.5233333334</v>
      </c>
      <c r="AD13" s="135">
        <f t="shared" si="1"/>
        <v>177916</v>
      </c>
      <c r="AE13" s="135">
        <f t="shared" si="7"/>
        <v>4707721.5233333334</v>
      </c>
      <c r="AF13" s="135">
        <f t="shared" si="2"/>
        <v>599999.47666666657</v>
      </c>
      <c r="AG13" s="135">
        <f t="shared" si="8"/>
        <v>768472.19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3"/>
        <v>TER A</v>
      </c>
      <c r="K14" s="51">
        <f t="shared" si="4"/>
        <v>3761333.23</v>
      </c>
      <c r="L14" s="51">
        <f t="shared" si="5"/>
        <v>30575.999999999996</v>
      </c>
      <c r="M14" s="267">
        <f>(3640000+61000)*4%</f>
        <v>148040</v>
      </c>
      <c r="N14" s="143">
        <v>111600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>
        <v>490000</v>
      </c>
      <c r="Z14" s="94">
        <f t="shared" si="9"/>
        <v>4602549</v>
      </c>
      <c r="AA14" s="95">
        <f t="shared" si="0"/>
        <v>0</v>
      </c>
      <c r="AB14" s="155">
        <f t="shared" si="6"/>
        <v>0</v>
      </c>
      <c r="AC14" s="198">
        <v>3933933.3333333335</v>
      </c>
      <c r="AD14" s="135">
        <f t="shared" si="1"/>
        <v>178616</v>
      </c>
      <c r="AE14" s="135">
        <f t="shared" si="7"/>
        <v>4112549.3333333335</v>
      </c>
      <c r="AF14" s="135">
        <f t="shared" si="2"/>
        <v>489999.66666666651</v>
      </c>
      <c r="AG14" s="135">
        <f t="shared" si="8"/>
        <v>172600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3"/>
        <v>TER B</v>
      </c>
      <c r="K15" s="51">
        <f t="shared" si="4"/>
        <v>3761333.23</v>
      </c>
      <c r="L15" s="51">
        <f t="shared" si="5"/>
        <v>30575.999999999996</v>
      </c>
      <c r="M15" s="267">
        <f>(3640000+30000)*4%</f>
        <v>146800</v>
      </c>
      <c r="N15" s="143">
        <v>139500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>
        <v>490000</v>
      </c>
      <c r="Z15" s="94">
        <f t="shared" si="9"/>
        <v>4598209</v>
      </c>
      <c r="AA15" s="95">
        <f t="shared" si="0"/>
        <v>0</v>
      </c>
      <c r="AB15" s="155">
        <f t="shared" si="6"/>
        <v>0</v>
      </c>
      <c r="AC15" s="198">
        <v>3930833.3333333335</v>
      </c>
      <c r="AD15" s="135">
        <f t="shared" si="1"/>
        <v>177376</v>
      </c>
      <c r="AE15" s="135">
        <f t="shared" si="7"/>
        <v>4108209.3333333335</v>
      </c>
      <c r="AF15" s="135">
        <f t="shared" si="2"/>
        <v>489999.66666666651</v>
      </c>
      <c r="AG15" s="135">
        <f t="shared" si="8"/>
        <v>169500</v>
      </c>
    </row>
    <row r="16" spans="2:33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3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5">
        <f t="shared" si="6"/>
        <v>0</v>
      </c>
      <c r="AC16" s="198"/>
      <c r="AG16" s="135">
        <f t="shared" si="8"/>
        <v>0</v>
      </c>
    </row>
    <row r="17" spans="2:33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3"/>
        <v>TER B</v>
      </c>
      <c r="K17" s="51">
        <f t="shared" si="4"/>
        <v>3761333.23</v>
      </c>
      <c r="L17" s="51">
        <f t="shared" si="5"/>
        <v>30575.999999999996</v>
      </c>
      <c r="M17" s="267">
        <f>(3640000+61000)*4%</f>
        <v>148040</v>
      </c>
      <c r="N17" s="143">
        <v>139500</v>
      </c>
      <c r="O17" s="143"/>
      <c r="P17" s="143"/>
      <c r="Q17" s="143">
        <v>220000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>
        <v>490000</v>
      </c>
      <c r="Z17" s="94">
        <f>ROUNDDOWN(SUM(K17:Y17),0)</f>
        <v>4850449</v>
      </c>
      <c r="AA17" s="95">
        <f t="shared" si="0"/>
        <v>0</v>
      </c>
      <c r="AB17" s="155">
        <f t="shared" si="6"/>
        <v>0</v>
      </c>
      <c r="AC17" s="198">
        <v>4181833.3333333335</v>
      </c>
      <c r="AD17" s="135">
        <f t="shared" ref="AD17:AD29" si="10">L17+M17</f>
        <v>178616</v>
      </c>
      <c r="AE17" s="135">
        <f>AC17+AD17</f>
        <v>4360449.333333334</v>
      </c>
      <c r="AF17" s="135">
        <f t="shared" ref="AF17:AF29" si="11">Z17-AE17</f>
        <v>489999.66666666605</v>
      </c>
      <c r="AG17" s="135">
        <f t="shared" si="8"/>
        <v>420500</v>
      </c>
    </row>
    <row r="18" spans="2:33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3"/>
        <v>TER A</v>
      </c>
      <c r="K18" s="51">
        <f t="shared" si="4"/>
        <v>3761333.23</v>
      </c>
      <c r="L18" s="51">
        <f t="shared" si="5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>
        <v>490000</v>
      </c>
      <c r="Z18" s="94">
        <f t="shared" si="9"/>
        <v>4463055</v>
      </c>
      <c r="AA18" s="95">
        <f t="shared" si="0"/>
        <v>0</v>
      </c>
      <c r="AB18" s="155">
        <f t="shared" si="6"/>
        <v>0</v>
      </c>
      <c r="AC18" s="198">
        <v>3795000.0000000005</v>
      </c>
      <c r="AD18" s="135">
        <f t="shared" si="10"/>
        <v>178056</v>
      </c>
      <c r="AE18" s="135">
        <f t="shared" ref="AE18:AE29" si="12">AC18+AD18</f>
        <v>3973056.0000000005</v>
      </c>
      <c r="AF18" s="135">
        <f t="shared" si="11"/>
        <v>489998.99999999953</v>
      </c>
      <c r="AG18" s="135">
        <f t="shared" si="8"/>
        <v>33666.67</v>
      </c>
    </row>
    <row r="19" spans="2:33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3"/>
        <v>TER B</v>
      </c>
      <c r="K19" s="51">
        <f t="shared" si="4"/>
        <v>3761333.23</v>
      </c>
      <c r="L19" s="51">
        <f t="shared" si="5"/>
        <v>30575.999999999996</v>
      </c>
      <c r="M19" s="267">
        <f>(3640000+43500)*4%</f>
        <v>147340</v>
      </c>
      <c r="N19" s="143">
        <v>130500</v>
      </c>
      <c r="O19" s="143"/>
      <c r="P19" s="143"/>
      <c r="Q19" s="143"/>
      <c r="R19" s="143"/>
      <c r="S19" s="143">
        <v>43500</v>
      </c>
      <c r="T19" s="143"/>
      <c r="U19" s="143"/>
      <c r="V19" s="143"/>
      <c r="W19" s="143">
        <v>-242666.66</v>
      </c>
      <c r="X19" s="143"/>
      <c r="Y19" s="143">
        <v>280000</v>
      </c>
      <c r="Z19" s="94">
        <f t="shared" si="9"/>
        <v>4150582</v>
      </c>
      <c r="AA19" s="95">
        <f t="shared" si="0"/>
        <v>0</v>
      </c>
      <c r="AB19" s="155">
        <f t="shared" si="6"/>
        <v>0</v>
      </c>
      <c r="AC19" s="198">
        <v>3692666.6666666665</v>
      </c>
      <c r="AD19" s="135">
        <f t="shared" si="10"/>
        <v>177916</v>
      </c>
      <c r="AE19" s="135">
        <f t="shared" si="12"/>
        <v>3870582.6666666665</v>
      </c>
      <c r="AF19" s="135">
        <f t="shared" si="11"/>
        <v>279999.33333333349</v>
      </c>
      <c r="AG19" s="135">
        <f t="shared" si="8"/>
        <v>-68666.66</v>
      </c>
    </row>
    <row r="20" spans="2:33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3"/>
        <v>TER B</v>
      </c>
      <c r="K20" s="51">
        <f t="shared" si="4"/>
        <v>3761333.23</v>
      </c>
      <c r="L20" s="51">
        <f t="shared" si="5"/>
        <v>30575.999999999996</v>
      </c>
      <c r="M20" s="267">
        <f>(3640000+50500)*4%</f>
        <v>147620</v>
      </c>
      <c r="N20" s="143">
        <v>167400</v>
      </c>
      <c r="O20" s="143"/>
      <c r="P20" s="143">
        <v>2861502.56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>
        <v>600000</v>
      </c>
      <c r="Z20" s="94">
        <f t="shared" si="9"/>
        <v>7618931</v>
      </c>
      <c r="AA20" s="95">
        <f t="shared" si="0"/>
        <v>0.01</v>
      </c>
      <c r="AB20" s="155">
        <f t="shared" si="6"/>
        <v>76189</v>
      </c>
      <c r="AC20" s="198">
        <v>6840735.8933333335</v>
      </c>
      <c r="AD20" s="135">
        <f t="shared" si="10"/>
        <v>178196</v>
      </c>
      <c r="AE20" s="135">
        <f t="shared" si="12"/>
        <v>7018931.8933333335</v>
      </c>
      <c r="AF20" s="135">
        <f t="shared" si="11"/>
        <v>599999.10666666646</v>
      </c>
      <c r="AG20" s="135">
        <f t="shared" si="8"/>
        <v>3079402.56</v>
      </c>
    </row>
    <row r="21" spans="2:33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3"/>
        <v>TER B</v>
      </c>
      <c r="K21" s="51">
        <f t="shared" si="4"/>
        <v>3761333.23</v>
      </c>
      <c r="L21" s="51">
        <f t="shared" si="5"/>
        <v>30575.999999999996</v>
      </c>
      <c r="M21" s="267">
        <f>(3640000+61000)*4%</f>
        <v>148040</v>
      </c>
      <c r="N21" s="143">
        <v>130500</v>
      </c>
      <c r="O21" s="143"/>
      <c r="P21" s="143">
        <v>263005.75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>
        <v>280000</v>
      </c>
      <c r="Z21" s="94">
        <f t="shared" si="9"/>
        <v>4431788</v>
      </c>
      <c r="AA21" s="95">
        <f t="shared" si="0"/>
        <v>0</v>
      </c>
      <c r="AB21" s="155">
        <f t="shared" si="6"/>
        <v>0</v>
      </c>
      <c r="AC21" s="198">
        <v>3973172.4166666665</v>
      </c>
      <c r="AD21" s="135">
        <f t="shared" si="10"/>
        <v>178616</v>
      </c>
      <c r="AE21" s="135">
        <f t="shared" si="12"/>
        <v>4151788.4166666665</v>
      </c>
      <c r="AF21" s="135">
        <f t="shared" si="11"/>
        <v>279999.58333333349</v>
      </c>
      <c r="AG21" s="135">
        <f t="shared" si="8"/>
        <v>211839.09</v>
      </c>
    </row>
    <row r="22" spans="2:33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3"/>
        <v>TER A</v>
      </c>
      <c r="K22" s="230">
        <f>31*123833.33</f>
        <v>3838833.23</v>
      </c>
      <c r="L22" s="231">
        <f>3715000*0.84%</f>
        <v>31205.999999999996</v>
      </c>
      <c r="M22" s="267">
        <f>(3715000+5000)*4%</f>
        <v>148800</v>
      </c>
      <c r="N22" s="143">
        <v>69750</v>
      </c>
      <c r="O22" s="143"/>
      <c r="P22" s="143">
        <v>2019884.16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>
        <v>600000</v>
      </c>
      <c r="Z22" s="94">
        <f t="shared" si="9"/>
        <v>6713473</v>
      </c>
      <c r="AA22" s="95">
        <f t="shared" si="0"/>
        <v>0.01</v>
      </c>
      <c r="AB22" s="155">
        <f t="shared" si="6"/>
        <v>67134</v>
      </c>
      <c r="AC22" s="198">
        <v>5933467.4933333332</v>
      </c>
      <c r="AD22" s="135">
        <f t="shared" si="10"/>
        <v>180006</v>
      </c>
      <c r="AE22" s="135">
        <f t="shared" si="12"/>
        <v>6113473.4933333332</v>
      </c>
      <c r="AF22" s="135">
        <f t="shared" si="11"/>
        <v>599999.50666666683</v>
      </c>
      <c r="AG22" s="135">
        <f t="shared" si="8"/>
        <v>2094634.16</v>
      </c>
    </row>
    <row r="23" spans="2:33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3"/>
        <v>TER A</v>
      </c>
      <c r="K23" s="92">
        <f>31*121333.33</f>
        <v>3761333.23</v>
      </c>
      <c r="L23" s="51">
        <f>3640000*0.84%</f>
        <v>30575.999999999996</v>
      </c>
      <c r="M23" s="278">
        <f>(3640000+47000)*4%</f>
        <v>147480</v>
      </c>
      <c r="N23" s="51">
        <v>111600</v>
      </c>
      <c r="O23" s="51"/>
      <c r="P23" s="51">
        <v>462890.12</v>
      </c>
      <c r="Q23" s="51">
        <v>80000</v>
      </c>
      <c r="R23" s="51"/>
      <c r="S23" s="278">
        <v>47000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5240879</v>
      </c>
      <c r="AA23" s="95">
        <f t="shared" si="0"/>
        <v>0</v>
      </c>
      <c r="AB23" s="155">
        <f t="shared" si="6"/>
        <v>0</v>
      </c>
      <c r="AC23" s="198">
        <v>4462823.4533333331</v>
      </c>
      <c r="AD23" s="135">
        <f t="shared" si="10"/>
        <v>178056</v>
      </c>
      <c r="AE23" s="135">
        <f t="shared" si="12"/>
        <v>4640879.4533333331</v>
      </c>
      <c r="AF23" s="135">
        <f t="shared" si="11"/>
        <v>599999.54666666687</v>
      </c>
      <c r="AG23" s="135">
        <f t="shared" si="8"/>
        <v>701490.12</v>
      </c>
    </row>
    <row r="24" spans="2:33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3"/>
        <v>TER B</v>
      </c>
      <c r="K24" s="92">
        <f t="shared" ref="K24:K29" si="13">31*121333.33</f>
        <v>3761333.23</v>
      </c>
      <c r="L24" s="51">
        <f t="shared" ref="L24:L29" si="14">3640000*0.84%</f>
        <v>30575.999999999996</v>
      </c>
      <c r="M24" s="267">
        <f>(3640000+47000)*4%</f>
        <v>147480</v>
      </c>
      <c r="N24" s="51">
        <v>167400</v>
      </c>
      <c r="O24" s="51">
        <v>72000</v>
      </c>
      <c r="P24" s="51">
        <v>3955606.48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8831395</v>
      </c>
      <c r="AA24" s="95">
        <f t="shared" si="0"/>
        <v>0.01</v>
      </c>
      <c r="AB24" s="155">
        <f t="shared" si="6"/>
        <v>88313</v>
      </c>
      <c r="AC24" s="198">
        <v>8003339.8133333335</v>
      </c>
      <c r="AD24" s="135">
        <f t="shared" si="10"/>
        <v>178056</v>
      </c>
      <c r="AE24" s="135">
        <f t="shared" si="12"/>
        <v>8181395.8133333335</v>
      </c>
      <c r="AF24" s="135">
        <f t="shared" si="11"/>
        <v>649999.18666666653</v>
      </c>
      <c r="AG24" s="135">
        <f t="shared" si="8"/>
        <v>4242006.4800000004</v>
      </c>
    </row>
    <row r="25" spans="2:33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3"/>
        <v>TER B</v>
      </c>
      <c r="K25" s="92">
        <f t="shared" si="13"/>
        <v>3761333.23</v>
      </c>
      <c r="L25" s="51">
        <f t="shared" si="14"/>
        <v>30575.999999999996</v>
      </c>
      <c r="M25" s="267">
        <f>(3640000+61000)*4%</f>
        <v>148040</v>
      </c>
      <c r="N25" s="51">
        <v>167400</v>
      </c>
      <c r="O25" s="51">
        <v>46000</v>
      </c>
      <c r="P25" s="51">
        <v>3797803.03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8552152</v>
      </c>
      <c r="AA25" s="95">
        <f t="shared" si="0"/>
        <v>0.01</v>
      </c>
      <c r="AB25" s="155">
        <f t="shared" si="6"/>
        <v>85521</v>
      </c>
      <c r="AC25" s="198">
        <v>7833536.3633333333</v>
      </c>
      <c r="AD25" s="135">
        <f t="shared" si="10"/>
        <v>178616</v>
      </c>
      <c r="AE25" s="135">
        <f t="shared" si="12"/>
        <v>8012152.3633333333</v>
      </c>
      <c r="AF25" s="135">
        <f t="shared" si="11"/>
        <v>539999.63666666672</v>
      </c>
      <c r="AG25" s="135">
        <f t="shared" si="8"/>
        <v>4072203.03</v>
      </c>
    </row>
    <row r="26" spans="2:33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3"/>
        <v>TER A</v>
      </c>
      <c r="K26" s="92">
        <f t="shared" si="13"/>
        <v>3761333.23</v>
      </c>
      <c r="L26" s="51">
        <f t="shared" si="14"/>
        <v>30575.999999999996</v>
      </c>
      <c r="M26" s="267">
        <f>(3640000+24000)*4%</f>
        <v>146560</v>
      </c>
      <c r="N26" s="51">
        <v>111600</v>
      </c>
      <c r="O26" s="51">
        <v>69000</v>
      </c>
      <c r="P26" s="51">
        <v>2661618.19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7902820</v>
      </c>
      <c r="AA26" s="95">
        <f t="shared" si="0"/>
        <v>1.5000000000000001E-2</v>
      </c>
      <c r="AB26" s="155">
        <f t="shared" si="6"/>
        <v>118542</v>
      </c>
      <c r="AC26" s="198">
        <v>7185684.9333333336</v>
      </c>
      <c r="AD26" s="135">
        <f t="shared" si="10"/>
        <v>177136</v>
      </c>
      <c r="AE26" s="135">
        <f t="shared" si="12"/>
        <v>7362820.9333333336</v>
      </c>
      <c r="AF26" s="135">
        <f t="shared" si="11"/>
        <v>539999.06666666642</v>
      </c>
      <c r="AG26" s="135">
        <f t="shared" si="8"/>
        <v>3424351.6</v>
      </c>
    </row>
    <row r="27" spans="2:33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3"/>
        <v>TER B</v>
      </c>
      <c r="K27" s="92">
        <f t="shared" si="13"/>
        <v>3761333.23</v>
      </c>
      <c r="L27" s="51">
        <f t="shared" si="14"/>
        <v>30575.999999999996</v>
      </c>
      <c r="M27" s="267">
        <f>(3640000+43500)*4%</f>
        <v>147340</v>
      </c>
      <c r="N27" s="51">
        <v>139500</v>
      </c>
      <c r="O27" s="51">
        <v>72000</v>
      </c>
      <c r="P27" s="51">
        <v>315606.90000000002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5049856</v>
      </c>
      <c r="AA27" s="95">
        <f t="shared" si="0"/>
        <v>0</v>
      </c>
      <c r="AB27" s="155">
        <f t="shared" si="6"/>
        <v>0</v>
      </c>
      <c r="AC27" s="198">
        <v>4331940.2333333334</v>
      </c>
      <c r="AD27" s="135">
        <f t="shared" si="10"/>
        <v>177916</v>
      </c>
      <c r="AE27" s="135">
        <f t="shared" si="12"/>
        <v>4509856.2333333334</v>
      </c>
      <c r="AF27" s="135">
        <f t="shared" si="11"/>
        <v>539999.7666666666</v>
      </c>
      <c r="AG27" s="135">
        <f t="shared" si="8"/>
        <v>570606.9</v>
      </c>
    </row>
    <row r="28" spans="2:33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3"/>
        <v>TER B</v>
      </c>
      <c r="K28" s="92">
        <f t="shared" si="13"/>
        <v>3761333.23</v>
      </c>
      <c r="L28" s="51">
        <f t="shared" si="14"/>
        <v>30575.999999999996</v>
      </c>
      <c r="M28" s="267">
        <f>(3640000+43500)*4%</f>
        <v>147340</v>
      </c>
      <c r="N28" s="51">
        <v>139500</v>
      </c>
      <c r="O28" s="51">
        <v>72000</v>
      </c>
      <c r="P28" s="51">
        <v>3829363.7199999997</v>
      </c>
      <c r="Q28" s="51"/>
      <c r="R28" s="51">
        <v>558133.41</v>
      </c>
      <c r="S28" s="51">
        <v>43500</v>
      </c>
      <c r="T28" s="51"/>
      <c r="U28" s="51"/>
      <c r="V28" s="51"/>
      <c r="W28" s="51">
        <v>0</v>
      </c>
      <c r="X28" s="51"/>
      <c r="Y28" s="51">
        <v>540000</v>
      </c>
      <c r="Z28" s="94">
        <f t="shared" si="9"/>
        <v>9121746</v>
      </c>
      <c r="AA28" s="95">
        <f t="shared" si="0"/>
        <v>0.01</v>
      </c>
      <c r="AB28" s="155">
        <f t="shared" si="6"/>
        <v>91217</v>
      </c>
      <c r="AC28" s="198">
        <v>8403830.4633333329</v>
      </c>
      <c r="AD28" s="135">
        <f t="shared" si="10"/>
        <v>177916</v>
      </c>
      <c r="AE28" s="135">
        <f t="shared" si="12"/>
        <v>8581746.4633333329</v>
      </c>
      <c r="AF28" s="135">
        <f t="shared" si="11"/>
        <v>539999.53666666709</v>
      </c>
      <c r="AG28" s="135">
        <f t="shared" si="8"/>
        <v>4642497.13</v>
      </c>
    </row>
    <row r="29" spans="2:33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3"/>
        <v>TER B</v>
      </c>
      <c r="K29" s="92">
        <f t="shared" si="13"/>
        <v>3761333.23</v>
      </c>
      <c r="L29" s="51">
        <f t="shared" si="14"/>
        <v>30575.999999999996</v>
      </c>
      <c r="M29" s="267">
        <f>(3640000+47000)*4%</f>
        <v>147480</v>
      </c>
      <c r="N29" s="51">
        <v>135000</v>
      </c>
      <c r="O29" s="51">
        <v>69000</v>
      </c>
      <c r="P29" s="51">
        <v>3461155.67</v>
      </c>
      <c r="Q29" s="51"/>
      <c r="R29" s="51">
        <v>558133.41</v>
      </c>
      <c r="S29" s="51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8628344</v>
      </c>
      <c r="AA29" s="95">
        <f t="shared" si="0"/>
        <v>0.01</v>
      </c>
      <c r="AB29" s="258">
        <f t="shared" ref="AB29" si="15">ROUNDDOWN(IF(E29=0,Z29*AA29*120%,Z29*AA29),0)</f>
        <v>86283</v>
      </c>
      <c r="AC29" s="198">
        <v>7910289.0800000001</v>
      </c>
      <c r="AD29" s="135">
        <f t="shared" si="10"/>
        <v>178056</v>
      </c>
      <c r="AE29" s="135">
        <f t="shared" si="12"/>
        <v>8088345.0800000001</v>
      </c>
      <c r="AF29" s="135">
        <f t="shared" si="11"/>
        <v>539998.91999999993</v>
      </c>
      <c r="AG29" s="135">
        <f>+SUM(N29:W29)</f>
        <v>4148955.75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6">SUM(K6:K29)</f>
        <v>86588164.289999992</v>
      </c>
      <c r="L30" s="126">
        <f t="shared" si="16"/>
        <v>703877.99999999988</v>
      </c>
      <c r="M30" s="296">
        <f>SUM(M6:M29)</f>
        <v>3393860</v>
      </c>
      <c r="N30" s="296">
        <f t="shared" si="16"/>
        <v>2903400</v>
      </c>
      <c r="O30" s="296">
        <f t="shared" si="16"/>
        <v>442000</v>
      </c>
      <c r="P30" s="296">
        <f t="shared" si="16"/>
        <v>35074446.859999999</v>
      </c>
      <c r="Q30" s="296">
        <f t="shared" si="16"/>
        <v>880000</v>
      </c>
      <c r="R30" s="296">
        <f t="shared" si="16"/>
        <v>1674400.23</v>
      </c>
      <c r="S30" s="296">
        <f t="shared" si="16"/>
        <v>1051500</v>
      </c>
      <c r="T30" s="126"/>
      <c r="U30" s="126"/>
      <c r="V30" s="126"/>
      <c r="W30" s="296">
        <f>SUM(W6:W29)</f>
        <v>-727999.98</v>
      </c>
      <c r="X30" s="126"/>
      <c r="Y30" s="126">
        <f t="shared" ref="Y30:AG30" si="17">SUM(Y6:Y29)</f>
        <v>11870000</v>
      </c>
      <c r="Z30" s="126">
        <f>SUM(Z6:Z29)</f>
        <v>143853639</v>
      </c>
      <c r="AA30" s="126">
        <f t="shared" si="17"/>
        <v>0.11749999999999998</v>
      </c>
      <c r="AB30" s="296">
        <f>SUM(AB6:AB29)</f>
        <v>937198</v>
      </c>
      <c r="AC30" s="297">
        <f t="shared" si="17"/>
        <v>127885913.75666669</v>
      </c>
      <c r="AD30" s="271">
        <f t="shared" si="17"/>
        <v>4097738</v>
      </c>
      <c r="AE30" s="271">
        <f t="shared" si="17"/>
        <v>131983651.75666669</v>
      </c>
      <c r="AF30" s="271">
        <f t="shared" si="17"/>
        <v>11869987.243333329</v>
      </c>
      <c r="AG30" s="271">
        <f t="shared" si="17"/>
        <v>41297747.109999999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135">
        <f>AE30+AF30</f>
        <v>143853639.00000003</v>
      </c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  <c r="AE46" s="135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31496062992125984" right="0.11811023622047245" top="0.19685039370078741" bottom="0" header="0.31496062992125984" footer="0.31496062992125984"/>
  <pageSetup paperSize="9" scale="44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Q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5" style="228" customWidth="1" outlineLevel="1"/>
    <col min="5" max="5" width="25.42578125" style="30" customWidth="1" outlineLevel="1"/>
    <col min="6" max="6" width="26" style="28" customWidth="1" outlineLevel="1"/>
    <col min="7" max="7" width="27.85546875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7.85546875" style="28" customWidth="1"/>
    <col min="12" max="13" width="16.140625" style="28" customWidth="1"/>
    <col min="14" max="14" width="14.7109375" style="28" customWidth="1"/>
    <col min="15" max="15" width="14.28515625" style="28" customWidth="1"/>
    <col min="16" max="16" width="16.5703125" style="28" customWidth="1"/>
    <col min="17" max="17" width="15.42578125" style="28" customWidth="1"/>
    <col min="18" max="18" width="16.85546875" style="28" customWidth="1"/>
    <col min="19" max="19" width="15.28515625" style="28" customWidth="1"/>
    <col min="20" max="22" width="12.7109375" style="28" hidden="1" customWidth="1"/>
    <col min="23" max="23" width="18.42578125" style="28" customWidth="1"/>
    <col min="24" max="25" width="15.5703125" style="28" hidden="1" customWidth="1"/>
    <col min="26" max="26" width="19" style="28" customWidth="1" collapsed="1"/>
    <col min="27" max="27" width="9.42578125" style="88" customWidth="1"/>
    <col min="28" max="28" width="16.285156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190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228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6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v>3808999.9999999995</v>
      </c>
      <c r="AD6" s="135">
        <f>L6+M6</f>
        <v>178616</v>
      </c>
      <c r="AE6" s="277">
        <f>AC6+AD6</f>
        <v>3987615.9999999995</v>
      </c>
      <c r="AG6" s="135">
        <f>+SUM(N6:W6)</f>
        <v>169000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67">
        <f>(3640000+61000)*4%</f>
        <v>148040</v>
      </c>
      <c r="N7" s="143">
        <v>67500</v>
      </c>
      <c r="O7" s="143"/>
      <c r="P7" s="143">
        <v>2282889.91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6230005</v>
      </c>
      <c r="AA7" s="95">
        <f t="shared" si="0"/>
        <v>7.4999999999999997E-3</v>
      </c>
      <c r="AB7" s="153">
        <f t="shared" ref="AB7:AB29" si="4">ROUNDDOWN(IF(E7=0,Z7*AA7*120%,Z7*AA7),0)</f>
        <v>46725</v>
      </c>
      <c r="AC7" s="198">
        <v>6051389.9100000001</v>
      </c>
      <c r="AD7" s="135">
        <f t="shared" ref="AD7:AD29" si="5">L7+M7</f>
        <v>178616</v>
      </c>
      <c r="AE7" s="277">
        <f t="shared" ref="AE7:AE29" si="6">AC7+AD7</f>
        <v>6230005.9100000001</v>
      </c>
      <c r="AG7" s="135">
        <f t="shared" ref="AG7:AG29" si="7">+SUM(N7:W7)</f>
        <v>2411389.91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67">
        <f>(3640000+43500)*4%</f>
        <v>147340</v>
      </c>
      <c r="N8" s="143">
        <v>135000</v>
      </c>
      <c r="O8" s="143"/>
      <c r="P8" s="143">
        <v>1767398.64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8">ROUNDDOWN(SUM(K8:Y8),0)</f>
        <v>5763814</v>
      </c>
      <c r="AA8" s="95">
        <f t="shared" si="0"/>
        <v>0</v>
      </c>
      <c r="AB8" s="153">
        <f t="shared" si="4"/>
        <v>0</v>
      </c>
      <c r="AC8" s="198">
        <v>5585898.6399999997</v>
      </c>
      <c r="AD8" s="135">
        <f t="shared" si="5"/>
        <v>177916</v>
      </c>
      <c r="AE8" s="277">
        <f t="shared" si="6"/>
        <v>5763814.6399999997</v>
      </c>
      <c r="AG8" s="135">
        <f t="shared" si="7"/>
        <v>1945898.64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67">
        <f>(3640000+43500)*4%</f>
        <v>147340</v>
      </c>
      <c r="N9" s="143">
        <v>135000</v>
      </c>
      <c r="O9" s="143"/>
      <c r="P9" s="143"/>
      <c r="Q9" s="143">
        <v>460000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4456415</v>
      </c>
      <c r="AA9" s="95">
        <f t="shared" si="0"/>
        <v>0</v>
      </c>
      <c r="AB9" s="153">
        <f t="shared" si="4"/>
        <v>0</v>
      </c>
      <c r="AC9" s="198">
        <v>4278500</v>
      </c>
      <c r="AD9" s="135">
        <f t="shared" si="5"/>
        <v>177916</v>
      </c>
      <c r="AE9" s="277">
        <f t="shared" si="6"/>
        <v>4456416</v>
      </c>
      <c r="AG9" s="135">
        <f t="shared" si="7"/>
        <v>638500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67">
        <f>(3640000+43500)*4%</f>
        <v>147340</v>
      </c>
      <c r="N10" s="143">
        <v>67500</v>
      </c>
      <c r="O10" s="143">
        <v>42000</v>
      </c>
      <c r="P10" s="143">
        <v>1420231.05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8"/>
        <v>5391146</v>
      </c>
      <c r="AA10" s="95">
        <f t="shared" si="0"/>
        <v>0</v>
      </c>
      <c r="AB10" s="153">
        <f t="shared" si="4"/>
        <v>0</v>
      </c>
      <c r="AC10" s="198">
        <v>5213231.05</v>
      </c>
      <c r="AD10" s="135">
        <f t="shared" si="5"/>
        <v>177916</v>
      </c>
      <c r="AE10" s="277">
        <f t="shared" si="6"/>
        <v>5391147.0499999998</v>
      </c>
      <c r="AG10" s="135">
        <f t="shared" si="7"/>
        <v>1573231.05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8"/>
        <v>4027055</v>
      </c>
      <c r="AA11" s="95">
        <f t="shared" si="0"/>
        <v>0</v>
      </c>
      <c r="AB11" s="153">
        <f t="shared" si="4"/>
        <v>0</v>
      </c>
      <c r="AC11" s="198">
        <v>3848999.9999999995</v>
      </c>
      <c r="AD11" s="135">
        <f t="shared" si="5"/>
        <v>178056</v>
      </c>
      <c r="AE11" s="277">
        <f t="shared" si="6"/>
        <v>4027055.9999999995</v>
      </c>
      <c r="AG11" s="135">
        <f t="shared" si="7"/>
        <v>209000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67">
        <f>(3640000+36500)*4%</f>
        <v>147060</v>
      </c>
      <c r="N12" s="143">
        <v>67500</v>
      </c>
      <c r="O12" s="143"/>
      <c r="P12" s="143">
        <v>2377571.98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8"/>
        <v>6299207</v>
      </c>
      <c r="AA12" s="95">
        <f t="shared" si="0"/>
        <v>7.4999999999999997E-3</v>
      </c>
      <c r="AB12" s="153">
        <f t="shared" si="4"/>
        <v>47244</v>
      </c>
      <c r="AC12" s="198">
        <v>6121571.9799999995</v>
      </c>
      <c r="AD12" s="135">
        <f t="shared" si="5"/>
        <v>177636</v>
      </c>
      <c r="AE12" s="277">
        <f t="shared" si="6"/>
        <v>6299207.9799999995</v>
      </c>
      <c r="AG12" s="135">
        <f t="shared" si="7"/>
        <v>2481571.98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67">
        <f>(3640000+43500)*4%</f>
        <v>147340</v>
      </c>
      <c r="N13" s="143">
        <v>162000</v>
      </c>
      <c r="O13" s="143"/>
      <c r="P13" s="143">
        <v>715375.64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8"/>
        <v>4738791</v>
      </c>
      <c r="AA13" s="95">
        <f t="shared" si="0"/>
        <v>0</v>
      </c>
      <c r="AB13" s="153">
        <f t="shared" si="4"/>
        <v>0</v>
      </c>
      <c r="AC13" s="198">
        <v>4560875.6399999997</v>
      </c>
      <c r="AD13" s="135">
        <f t="shared" si="5"/>
        <v>177916</v>
      </c>
      <c r="AE13" s="277">
        <f t="shared" si="6"/>
        <v>4738791.6399999997</v>
      </c>
      <c r="AG13" s="135">
        <f t="shared" si="7"/>
        <v>920875.64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8"/>
        <v>3987615</v>
      </c>
      <c r="AA14" s="95">
        <f t="shared" si="0"/>
        <v>0</v>
      </c>
      <c r="AB14" s="153">
        <f t="shared" si="4"/>
        <v>0</v>
      </c>
      <c r="AC14" s="198">
        <v>3808999.9999999995</v>
      </c>
      <c r="AD14" s="135">
        <f t="shared" si="5"/>
        <v>178616</v>
      </c>
      <c r="AE14" s="277">
        <f t="shared" si="6"/>
        <v>3987615.9999999995</v>
      </c>
      <c r="AG14" s="135">
        <f t="shared" si="7"/>
        <v>169000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/>
      <c r="Z15" s="94">
        <f t="shared" si="8"/>
        <v>3856542</v>
      </c>
      <c r="AA15" s="95">
        <f t="shared" si="0"/>
        <v>0</v>
      </c>
      <c r="AB15" s="153">
        <f t="shared" si="4"/>
        <v>0</v>
      </c>
      <c r="AC15" s="198">
        <v>3679166.666666666</v>
      </c>
      <c r="AD15" s="135">
        <f t="shared" si="5"/>
        <v>177376</v>
      </c>
      <c r="AE15" s="277">
        <f t="shared" si="6"/>
        <v>3856542.666666666</v>
      </c>
      <c r="AG15" s="135">
        <f t="shared" si="7"/>
        <v>39166.67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143">
        <v>0</v>
      </c>
      <c r="Q16" s="143"/>
      <c r="R16" s="143"/>
      <c r="S16" s="143"/>
      <c r="T16" s="143"/>
      <c r="U16" s="143"/>
      <c r="V16" s="143"/>
      <c r="W16" s="143">
        <v>0</v>
      </c>
      <c r="X16" s="143"/>
      <c r="Y16" s="143"/>
      <c r="Z16" s="94">
        <f t="shared" si="8"/>
        <v>0</v>
      </c>
      <c r="AA16" s="95">
        <f t="shared" si="0"/>
        <v>0</v>
      </c>
      <c r="AB16" s="153">
        <f t="shared" si="4"/>
        <v>0</v>
      </c>
      <c r="AC16" s="198"/>
      <c r="AD16" s="135">
        <f t="shared" si="5"/>
        <v>0</v>
      </c>
      <c r="AE16" s="277">
        <f t="shared" si="6"/>
        <v>0</v>
      </c>
      <c r="AG16" s="135">
        <f t="shared" si="7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200000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4214615</v>
      </c>
      <c r="AA17" s="95">
        <f t="shared" si="0"/>
        <v>0</v>
      </c>
      <c r="AB17" s="153">
        <f t="shared" si="4"/>
        <v>0</v>
      </c>
      <c r="AC17" s="198">
        <v>4035999.9999999995</v>
      </c>
      <c r="AD17" s="135">
        <f t="shared" si="5"/>
        <v>178616</v>
      </c>
      <c r="AE17" s="277">
        <f t="shared" si="6"/>
        <v>4214616</v>
      </c>
      <c r="AG17" s="135">
        <f t="shared" si="7"/>
        <v>396000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67">
        <f>(3640000+47000)*4%</f>
        <v>147480</v>
      </c>
      <c r="N18" s="143">
        <v>104400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8"/>
        <v>3848122</v>
      </c>
      <c r="AA18" s="95">
        <f t="shared" si="0"/>
        <v>0</v>
      </c>
      <c r="AB18" s="153">
        <f t="shared" si="4"/>
        <v>0</v>
      </c>
      <c r="AC18" s="198">
        <v>3670066.666666666</v>
      </c>
      <c r="AD18" s="135">
        <f t="shared" si="5"/>
        <v>178056</v>
      </c>
      <c r="AE18" s="277">
        <f t="shared" si="6"/>
        <v>3848122.666666666</v>
      </c>
      <c r="AG18" s="135">
        <f t="shared" si="7"/>
        <v>30066.67</v>
      </c>
    </row>
    <row r="19" spans="2:33" s="27" customFormat="1">
      <c r="B19" s="214">
        <v>14</v>
      </c>
      <c r="C19" s="300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75">
        <f>(3640000+47000)*4%</f>
        <v>147480</v>
      </c>
      <c r="N19" s="143">
        <v>126000</v>
      </c>
      <c r="O19" s="143"/>
      <c r="P19" s="143">
        <v>73641.61</v>
      </c>
      <c r="Q19" s="143"/>
      <c r="R19" s="143"/>
      <c r="S19" s="276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8"/>
        <v>3822030</v>
      </c>
      <c r="AA19" s="95">
        <f t="shared" si="0"/>
        <v>0</v>
      </c>
      <c r="AB19" s="153">
        <f t="shared" si="4"/>
        <v>0</v>
      </c>
      <c r="AC19" s="198">
        <v>3643974.9433333329</v>
      </c>
      <c r="AD19" s="135">
        <f t="shared" si="5"/>
        <v>178056</v>
      </c>
      <c r="AE19" s="277">
        <f t="shared" si="6"/>
        <v>3822030.9433333329</v>
      </c>
      <c r="AG19" s="135">
        <f t="shared" si="7"/>
        <v>3974.9499999999825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299">
        <f t="shared" si="2"/>
        <v>3639999.9</v>
      </c>
      <c r="L20" s="51">
        <f t="shared" si="3"/>
        <v>30575.999999999996</v>
      </c>
      <c r="M20" s="267">
        <f>(3640000+50500)*4%</f>
        <v>147620</v>
      </c>
      <c r="N20" s="143">
        <v>162000</v>
      </c>
      <c r="O20" s="143"/>
      <c r="P20" s="143">
        <v>2514334.9700000002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8"/>
        <v>6545030</v>
      </c>
      <c r="AA20" s="95">
        <f t="shared" si="0"/>
        <v>5.0000000000000001E-3</v>
      </c>
      <c r="AB20" s="153">
        <f t="shared" si="4"/>
        <v>32725</v>
      </c>
      <c r="AC20" s="198">
        <v>6366834.9699999997</v>
      </c>
      <c r="AD20" s="135">
        <f t="shared" si="5"/>
        <v>178196</v>
      </c>
      <c r="AE20" s="277">
        <f t="shared" si="6"/>
        <v>6545030.9699999997</v>
      </c>
      <c r="AG20" s="135">
        <f t="shared" si="7"/>
        <v>2726834.97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298">
        <f t="shared" si="2"/>
        <v>3639999.9</v>
      </c>
      <c r="L21" s="51">
        <f t="shared" si="3"/>
        <v>30575.999999999996</v>
      </c>
      <c r="M21" s="267">
        <f>(3640000+61000)*4%</f>
        <v>148040</v>
      </c>
      <c r="N21" s="143">
        <v>126000</v>
      </c>
      <c r="O21" s="143"/>
      <c r="P21" s="143">
        <v>452369.89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8"/>
        <v>4215319</v>
      </c>
      <c r="AA21" s="95">
        <f t="shared" si="0"/>
        <v>0</v>
      </c>
      <c r="AB21" s="153">
        <f t="shared" si="4"/>
        <v>0</v>
      </c>
      <c r="AC21" s="198">
        <v>4036703.2233333327</v>
      </c>
      <c r="AD21" s="135">
        <f t="shared" si="5"/>
        <v>178616</v>
      </c>
      <c r="AE21" s="277">
        <f t="shared" si="6"/>
        <v>4215319.2233333327</v>
      </c>
      <c r="AG21" s="135">
        <f t="shared" si="7"/>
        <v>396703.23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30*123833.33</f>
        <v>3714999.9</v>
      </c>
      <c r="L22" s="231">
        <f>3715000*0.84%</f>
        <v>31205.999999999996</v>
      </c>
      <c r="M22" s="267">
        <f>(3715000+5000)*4%</f>
        <v>148800</v>
      </c>
      <c r="N22" s="143">
        <v>67500</v>
      </c>
      <c r="O22" s="143"/>
      <c r="P22" s="143">
        <v>2415823.37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8"/>
        <v>6383329</v>
      </c>
      <c r="AA22" s="95">
        <f t="shared" si="0"/>
        <v>0.01</v>
      </c>
      <c r="AB22" s="153">
        <f t="shared" si="4"/>
        <v>63833</v>
      </c>
      <c r="AC22" s="198">
        <v>6203323.3699999992</v>
      </c>
      <c r="AD22" s="135">
        <f t="shared" si="5"/>
        <v>180006</v>
      </c>
      <c r="AE22" s="277">
        <f t="shared" si="6"/>
        <v>6383329.3699999992</v>
      </c>
      <c r="AG22" s="135">
        <f t="shared" si="7"/>
        <v>2488323.37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67">
        <f>(3640000+47000)*4%</f>
        <v>147480</v>
      </c>
      <c r="N23" s="51">
        <v>108000</v>
      </c>
      <c r="O23" s="51"/>
      <c r="P23" s="51">
        <v>536531.73</v>
      </c>
      <c r="Q23" s="51">
        <v>120000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8"/>
        <v>4629587</v>
      </c>
      <c r="AA23" s="95">
        <f t="shared" si="0"/>
        <v>0</v>
      </c>
      <c r="AB23" s="153">
        <f t="shared" si="4"/>
        <v>0</v>
      </c>
      <c r="AC23" s="198">
        <v>4451531.7299999995</v>
      </c>
      <c r="AD23" s="135">
        <f t="shared" si="5"/>
        <v>178056</v>
      </c>
      <c r="AE23" s="277">
        <f t="shared" si="6"/>
        <v>4629587.7299999995</v>
      </c>
      <c r="AG23" s="135">
        <f t="shared" si="7"/>
        <v>811531.73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9">30*121333.33</f>
        <v>3639999.9</v>
      </c>
      <c r="L24" s="51">
        <f t="shared" ref="L24:L29" si="10">3640000*0.84%</f>
        <v>30575.999999999996</v>
      </c>
      <c r="M24" s="267">
        <f>(3640000+47000)*4%</f>
        <v>147480</v>
      </c>
      <c r="N24" s="51">
        <v>162000</v>
      </c>
      <c r="O24" s="51">
        <v>69000</v>
      </c>
      <c r="P24" s="51">
        <v>3797803.03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7893858</v>
      </c>
      <c r="AA24" s="95">
        <f t="shared" si="0"/>
        <v>0.01</v>
      </c>
      <c r="AB24" s="153">
        <f t="shared" si="4"/>
        <v>78938</v>
      </c>
      <c r="AC24" s="198">
        <v>7715803.0299999993</v>
      </c>
      <c r="AD24" s="135">
        <f t="shared" si="5"/>
        <v>178056</v>
      </c>
      <c r="AE24" s="277">
        <f t="shared" si="6"/>
        <v>7893859.0299999993</v>
      </c>
      <c r="AG24" s="135">
        <f t="shared" si="7"/>
        <v>4075803.03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9"/>
        <v>3639999.9</v>
      </c>
      <c r="L25" s="51">
        <f t="shared" si="10"/>
        <v>30575.999999999996</v>
      </c>
      <c r="M25" s="267">
        <f>(3640000+61000)*4%</f>
        <v>148040</v>
      </c>
      <c r="N25" s="51">
        <v>162000</v>
      </c>
      <c r="O25" s="51">
        <v>42000</v>
      </c>
      <c r="P25" s="51">
        <v>3398034.29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7481650</v>
      </c>
      <c r="AA25" s="95">
        <f t="shared" si="0"/>
        <v>0.01</v>
      </c>
      <c r="AB25" s="153">
        <f t="shared" si="4"/>
        <v>74816</v>
      </c>
      <c r="AC25" s="198">
        <v>7303034.2899999991</v>
      </c>
      <c r="AD25" s="135">
        <f t="shared" si="5"/>
        <v>178616</v>
      </c>
      <c r="AE25" s="277">
        <f t="shared" si="6"/>
        <v>7481650.2899999991</v>
      </c>
      <c r="AG25" s="135">
        <f t="shared" si="7"/>
        <v>3663034.29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9"/>
        <v>3639999.9</v>
      </c>
      <c r="L26" s="51">
        <f t="shared" si="10"/>
        <v>30575.999999999996</v>
      </c>
      <c r="M26" s="267">
        <f>(3640000+24000)*4%</f>
        <v>146560</v>
      </c>
      <c r="N26" s="51">
        <v>108000</v>
      </c>
      <c r="O26" s="51">
        <v>66000</v>
      </c>
      <c r="P26" s="51">
        <v>2503814.7400000002</v>
      </c>
      <c r="Q26" s="51"/>
      <c r="R26" s="51">
        <v>533866.74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7052817</v>
      </c>
      <c r="AA26" s="95">
        <f t="shared" si="0"/>
        <v>1.2500000000000001E-2</v>
      </c>
      <c r="AB26" s="153">
        <f t="shared" si="4"/>
        <v>88160</v>
      </c>
      <c r="AC26" s="198">
        <v>6875681.4800000004</v>
      </c>
      <c r="AD26" s="135">
        <f t="shared" si="5"/>
        <v>177136</v>
      </c>
      <c r="AE26" s="277">
        <f t="shared" si="6"/>
        <v>7052817.4800000004</v>
      </c>
      <c r="AG26" s="135">
        <f t="shared" si="7"/>
        <v>3235681.4800000004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9"/>
        <v>3639999.9</v>
      </c>
      <c r="L27" s="51">
        <f t="shared" si="10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631213.80000000005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4687629</v>
      </c>
      <c r="AA27" s="95">
        <f t="shared" si="0"/>
        <v>0</v>
      </c>
      <c r="AB27" s="153">
        <f t="shared" si="4"/>
        <v>0</v>
      </c>
      <c r="AC27" s="198">
        <v>4509713.8</v>
      </c>
      <c r="AD27" s="135">
        <f t="shared" si="5"/>
        <v>177916</v>
      </c>
      <c r="AE27" s="277">
        <f t="shared" si="6"/>
        <v>4687629.8</v>
      </c>
      <c r="AG27" s="135">
        <f t="shared" si="7"/>
        <v>869713.8</v>
      </c>
    </row>
    <row r="28" spans="2:33" s="27" customForma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9"/>
        <v>3639999.9</v>
      </c>
      <c r="L28" s="51">
        <f t="shared" si="10"/>
        <v>30575.999999999996</v>
      </c>
      <c r="M28" s="267">
        <f>(3640000+43500)*4%</f>
        <v>147340</v>
      </c>
      <c r="N28" s="51">
        <v>135000</v>
      </c>
      <c r="O28" s="51">
        <v>66000</v>
      </c>
      <c r="P28" s="51">
        <v>3513756.8200000003</v>
      </c>
      <c r="Q28" s="51"/>
      <c r="R28" s="51">
        <v>509600.07</v>
      </c>
      <c r="S28" s="51">
        <v>43500</v>
      </c>
      <c r="T28" s="51"/>
      <c r="U28" s="51"/>
      <c r="V28" s="51"/>
      <c r="W28" s="51">
        <v>0</v>
      </c>
      <c r="X28" s="51"/>
      <c r="Y28" s="51"/>
      <c r="Z28" s="94">
        <f t="shared" si="8"/>
        <v>8085772</v>
      </c>
      <c r="AA28" s="95">
        <f t="shared" si="0"/>
        <v>0.01</v>
      </c>
      <c r="AB28" s="153">
        <f t="shared" si="4"/>
        <v>80857</v>
      </c>
      <c r="AC28" s="198">
        <v>7907856.8900000006</v>
      </c>
      <c r="AD28" s="135">
        <f t="shared" si="5"/>
        <v>177916</v>
      </c>
      <c r="AE28" s="277">
        <f t="shared" si="6"/>
        <v>8085772.8900000006</v>
      </c>
      <c r="AG28" s="135">
        <f t="shared" si="7"/>
        <v>4267856.8900000006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9"/>
        <v>3639999.9</v>
      </c>
      <c r="L29" s="51">
        <f t="shared" si="10"/>
        <v>30575.999999999996</v>
      </c>
      <c r="M29" s="267">
        <f>(3640000+47000)*4%</f>
        <v>147480</v>
      </c>
      <c r="N29" s="51">
        <v>130500</v>
      </c>
      <c r="O29" s="51">
        <v>51000</v>
      </c>
      <c r="P29" s="51">
        <v>2177687.6100000003</v>
      </c>
      <c r="Q29" s="51"/>
      <c r="R29" s="51">
        <v>388266.72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6491176</v>
      </c>
      <c r="AA29" s="95">
        <f t="shared" si="0"/>
        <v>2.5000000000000001E-3</v>
      </c>
      <c r="AB29" s="153">
        <f t="shared" si="4"/>
        <v>16227</v>
      </c>
      <c r="AC29" s="198">
        <v>6313120.9966666661</v>
      </c>
      <c r="AD29" s="135">
        <f t="shared" si="5"/>
        <v>178056</v>
      </c>
      <c r="AE29" s="277">
        <f t="shared" si="6"/>
        <v>6491176.9966666661</v>
      </c>
      <c r="AG29" s="135">
        <f t="shared" si="7"/>
        <v>2673121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O30" si="11">SUM(K6:K29)</f>
        <v>83794997.700000003</v>
      </c>
      <c r="L30" s="126">
        <f t="shared" si="11"/>
        <v>703877.99999999988</v>
      </c>
      <c r="M30" s="301">
        <f t="shared" si="11"/>
        <v>3394000</v>
      </c>
      <c r="N30" s="301">
        <f t="shared" si="11"/>
        <v>2804400</v>
      </c>
      <c r="O30" s="126">
        <f t="shared" si="11"/>
        <v>396000</v>
      </c>
      <c r="P30" s="126">
        <f>SUM(P6:P29)</f>
        <v>30578479.080000002</v>
      </c>
      <c r="Q30" s="126">
        <f>SUM(Q6:Q29)</f>
        <v>780000</v>
      </c>
      <c r="R30" s="126">
        <f>SUM(R6:R29)</f>
        <v>1431733.53</v>
      </c>
      <c r="S30" s="126">
        <f>SUM(S6:S29)</f>
        <v>1055000</v>
      </c>
      <c r="T30" s="126"/>
      <c r="U30" s="126"/>
      <c r="V30" s="126"/>
      <c r="W30" s="126">
        <f>SUM(W6:W29)</f>
        <v>-849333.30999999994</v>
      </c>
      <c r="X30" s="126"/>
      <c r="Y30" s="126"/>
      <c r="Z30" s="126">
        <f>SUM(Z6:Z29)</f>
        <v>124089139</v>
      </c>
      <c r="AA30" s="126">
        <f t="shared" ref="AA30" si="12">SUM(AA6:AA29)</f>
        <v>7.4999999999999997E-2</v>
      </c>
      <c r="AB30" s="126">
        <f>SUM(AB6:AB29)</f>
        <v>529525</v>
      </c>
      <c r="AC30" s="303">
        <f>SUM(AC6:AC29)</f>
        <v>119991279.27666669</v>
      </c>
      <c r="AD30" s="302">
        <f>SUM(AD6:AD29)</f>
        <v>4097878</v>
      </c>
      <c r="AE30" s="302">
        <f>SUM(AE6:AE29)</f>
        <v>124089157.27666669</v>
      </c>
      <c r="AG30" s="302">
        <f>SUM(AG6:AG29)</f>
        <v>36196279.300000004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O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6.140625" style="27" customWidth="1"/>
    <col min="3" max="3" width="19.7109375" style="28" customWidth="1"/>
    <col min="4" max="4" width="22.85546875" style="22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3" width="19.5703125" style="28" customWidth="1"/>
    <col min="14" max="15" width="17.140625" style="28" customWidth="1"/>
    <col min="16" max="16" width="17" style="28" customWidth="1"/>
    <col min="17" max="17" width="14.7109375" style="28" customWidth="1"/>
    <col min="18" max="18" width="15.42578125" style="28" customWidth="1"/>
    <col min="19" max="19" width="14.5703125" style="28" customWidth="1"/>
    <col min="20" max="21" width="23.28515625" style="28" hidden="1" customWidth="1"/>
    <col min="22" max="22" width="17.5703125" style="28" hidden="1" customWidth="1"/>
    <col min="23" max="23" width="18.7109375" style="28" customWidth="1"/>
    <col min="24" max="24" width="12.7109375" style="28" hidden="1" customWidth="1"/>
    <col min="25" max="25" width="0.42578125" style="28" hidden="1" customWidth="1"/>
    <col min="26" max="26" width="13.5703125" style="28" customWidth="1" collapsed="1"/>
    <col min="27" max="27" width="10.7109375" style="88" customWidth="1"/>
    <col min="28" max="28" width="14" style="28" customWidth="1"/>
    <col min="29" max="31" width="16.5703125" style="27" customWidth="1"/>
    <col min="32" max="32" width="9.28515625" style="59"/>
    <col min="33" max="33" width="13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191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64.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228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4112549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f>Z6-AD6</f>
        <v>3933933</v>
      </c>
      <c r="AD6" s="135">
        <f>L6+M6</f>
        <v>178616</v>
      </c>
      <c r="AE6" s="135">
        <f>AC6+AD6</f>
        <v>4112549</v>
      </c>
      <c r="AG6" s="135">
        <f>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15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143">
        <v>2535375.4300000002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6606074</v>
      </c>
      <c r="AA7" s="95">
        <f t="shared" si="0"/>
        <v>0.01</v>
      </c>
      <c r="AB7" s="153">
        <f t="shared" ref="AB7:AB29" si="4">ROUNDDOWN(IF(E7=0,Z7*AA7*120%,Z7*AA7),0)</f>
        <v>66060</v>
      </c>
      <c r="AC7" s="198">
        <f t="shared" ref="AC7:AC29" si="5">Z7-AD7</f>
        <v>6427458</v>
      </c>
      <c r="AD7" s="135">
        <f t="shared" ref="AD7:AD29" si="6">L7+M7</f>
        <v>178616</v>
      </c>
      <c r="AE7" s="135">
        <f t="shared" ref="AE7:AE29" si="7">AC7+AD7</f>
        <v>6606074</v>
      </c>
      <c r="AG7" s="135">
        <f t="shared" ref="AG7:AG29" si="8">SUM(N7:W7)</f>
        <v>2666125.4300000002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143">
        <v>1178265.76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9">ROUNDDOWN(SUM(K8:Y8),0)</f>
        <v>5300514</v>
      </c>
      <c r="AA8" s="95">
        <f t="shared" si="0"/>
        <v>0</v>
      </c>
      <c r="AB8" s="153">
        <f t="shared" si="4"/>
        <v>0</v>
      </c>
      <c r="AC8" s="198">
        <f t="shared" si="5"/>
        <v>5122598</v>
      </c>
      <c r="AD8" s="135">
        <f t="shared" si="6"/>
        <v>177916</v>
      </c>
      <c r="AE8" s="135">
        <f t="shared" si="7"/>
        <v>5300514</v>
      </c>
      <c r="AG8" s="135">
        <f t="shared" si="8"/>
        <v>1361265.76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143">
        <v>168323.68000000005</v>
      </c>
      <c r="Q9" s="143">
        <v>620000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4910572</v>
      </c>
      <c r="AA9" s="95">
        <f t="shared" si="0"/>
        <v>0</v>
      </c>
      <c r="AB9" s="153">
        <f t="shared" si="4"/>
        <v>0</v>
      </c>
      <c r="AC9" s="198">
        <f t="shared" si="5"/>
        <v>4732656</v>
      </c>
      <c r="AD9" s="135">
        <f t="shared" si="6"/>
        <v>177916</v>
      </c>
      <c r="AE9" s="135">
        <f t="shared" si="7"/>
        <v>4910572</v>
      </c>
      <c r="AG9" s="135">
        <f t="shared" si="8"/>
        <v>971323.68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50000</v>
      </c>
      <c r="P10" s="143">
        <v>1504392.89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9"/>
        <v>5606892</v>
      </c>
      <c r="AA10" s="95">
        <f t="shared" si="0"/>
        <v>2.5000000000000001E-3</v>
      </c>
      <c r="AB10" s="153">
        <f t="shared" si="4"/>
        <v>14017</v>
      </c>
      <c r="AC10" s="198">
        <f t="shared" si="5"/>
        <v>5428976</v>
      </c>
      <c r="AD10" s="135">
        <f t="shared" si="6"/>
        <v>177916</v>
      </c>
      <c r="AE10" s="135">
        <f t="shared" si="7"/>
        <v>5606892</v>
      </c>
      <c r="AG10" s="135">
        <f t="shared" si="8"/>
        <v>1667642.89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167400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9"/>
        <v>4153789</v>
      </c>
      <c r="AA11" s="95">
        <f t="shared" si="0"/>
        <v>0</v>
      </c>
      <c r="AB11" s="153">
        <f t="shared" si="4"/>
        <v>0</v>
      </c>
      <c r="AC11" s="198">
        <f t="shared" si="5"/>
        <v>3975733</v>
      </c>
      <c r="AD11" s="135">
        <f t="shared" si="6"/>
        <v>178056</v>
      </c>
      <c r="AE11" s="135">
        <f t="shared" si="7"/>
        <v>4153789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143">
        <v>1967283.01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9"/>
        <v>6012502</v>
      </c>
      <c r="AA12" s="95">
        <f t="shared" si="0"/>
        <v>7.4999999999999997E-3</v>
      </c>
      <c r="AB12" s="153">
        <f t="shared" si="4"/>
        <v>45093</v>
      </c>
      <c r="AC12" s="198">
        <f t="shared" si="5"/>
        <v>5834866</v>
      </c>
      <c r="AD12" s="135">
        <f t="shared" si="6"/>
        <v>177636</v>
      </c>
      <c r="AE12" s="135">
        <f t="shared" si="7"/>
        <v>6012502</v>
      </c>
      <c r="AG12" s="135">
        <f t="shared" si="8"/>
        <v>2073533.01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143">
        <v>389248.51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9"/>
        <v>4539397</v>
      </c>
      <c r="AA13" s="95">
        <f t="shared" si="0"/>
        <v>0</v>
      </c>
      <c r="AB13" s="153">
        <f t="shared" si="4"/>
        <v>0</v>
      </c>
      <c r="AC13" s="198">
        <f t="shared" si="5"/>
        <v>4361481</v>
      </c>
      <c r="AD13" s="135">
        <f t="shared" si="6"/>
        <v>177916</v>
      </c>
      <c r="AE13" s="135">
        <f t="shared" si="7"/>
        <v>4539397</v>
      </c>
      <c r="AG13" s="135">
        <f t="shared" si="8"/>
        <v>600148.51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111600</v>
      </c>
      <c r="O14" s="143"/>
      <c r="P14" s="143">
        <v>115722.53</v>
      </c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9"/>
        <v>4228271</v>
      </c>
      <c r="AA14" s="95">
        <f t="shared" si="0"/>
        <v>0</v>
      </c>
      <c r="AB14" s="153">
        <f t="shared" si="4"/>
        <v>0</v>
      </c>
      <c r="AC14" s="198">
        <f t="shared" si="5"/>
        <v>4049655</v>
      </c>
      <c r="AD14" s="135">
        <f t="shared" si="6"/>
        <v>178616</v>
      </c>
      <c r="AE14" s="135">
        <f t="shared" si="7"/>
        <v>4228271</v>
      </c>
      <c r="AG14" s="135">
        <f t="shared" si="8"/>
        <v>288322.53000000003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139500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9"/>
        <v>4108209</v>
      </c>
      <c r="AA15" s="95">
        <f t="shared" si="0"/>
        <v>0</v>
      </c>
      <c r="AB15" s="153">
        <f t="shared" si="4"/>
        <v>0</v>
      </c>
      <c r="AC15" s="198">
        <f t="shared" si="5"/>
        <v>3930833</v>
      </c>
      <c r="AD15" s="135">
        <f t="shared" si="6"/>
        <v>177376</v>
      </c>
      <c r="AE15" s="135">
        <f t="shared" si="7"/>
        <v>4108209</v>
      </c>
      <c r="AG15" s="135">
        <f t="shared" si="8"/>
        <v>169500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143"/>
      <c r="Q16" s="143"/>
      <c r="R16" s="143"/>
      <c r="S16" s="143">
        <v>0</v>
      </c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3">
        <f t="shared" si="4"/>
        <v>0</v>
      </c>
      <c r="AC16" s="198">
        <f t="shared" si="5"/>
        <v>0</v>
      </c>
      <c r="AD16" s="135">
        <f t="shared" si="6"/>
        <v>0</v>
      </c>
      <c r="AE16" s="135">
        <f t="shared" si="7"/>
        <v>0</v>
      </c>
      <c r="AG16" s="135">
        <f t="shared" si="8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ref="K17:K21" si="10">31*121333.33</f>
        <v>3761333.23</v>
      </c>
      <c r="L17" s="51">
        <f t="shared" si="3"/>
        <v>30575.999999999996</v>
      </c>
      <c r="M17" s="267">
        <f>(3640000+61000)*4%</f>
        <v>148040</v>
      </c>
      <c r="N17" s="143">
        <v>139500</v>
      </c>
      <c r="O17" s="143"/>
      <c r="P17" s="143"/>
      <c r="Q17" s="143">
        <v>180000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4320449</v>
      </c>
      <c r="AA17" s="95">
        <f t="shared" si="0"/>
        <v>0</v>
      </c>
      <c r="AB17" s="153">
        <f t="shared" si="4"/>
        <v>0</v>
      </c>
      <c r="AC17" s="198">
        <f t="shared" si="5"/>
        <v>4141833</v>
      </c>
      <c r="AD17" s="135">
        <f t="shared" si="6"/>
        <v>178616</v>
      </c>
      <c r="AE17" s="135">
        <f t="shared" si="7"/>
        <v>4320449</v>
      </c>
      <c r="AG17" s="135">
        <f t="shared" si="8"/>
        <v>380500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10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9"/>
        <v>3973055</v>
      </c>
      <c r="AA18" s="95">
        <f t="shared" si="0"/>
        <v>0</v>
      </c>
      <c r="AB18" s="153">
        <f t="shared" si="4"/>
        <v>0</v>
      </c>
      <c r="AC18" s="198">
        <f t="shared" si="5"/>
        <v>3794999</v>
      </c>
      <c r="AD18" s="135">
        <f t="shared" si="6"/>
        <v>178056</v>
      </c>
      <c r="AE18" s="135">
        <f t="shared" si="7"/>
        <v>3973055</v>
      </c>
      <c r="AG18" s="135">
        <f t="shared" si="8"/>
        <v>33666.67</v>
      </c>
    </row>
    <row r="19" spans="2:33" s="27" customForma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10"/>
        <v>3761333.23</v>
      </c>
      <c r="L19" s="51">
        <f t="shared" si="3"/>
        <v>30575.999999999996</v>
      </c>
      <c r="M19" s="267">
        <f>(3640000+47000)*4%</f>
        <v>147480</v>
      </c>
      <c r="N19" s="143">
        <v>130500</v>
      </c>
      <c r="O19" s="143"/>
      <c r="P19" s="143">
        <v>220924.83</v>
      </c>
      <c r="Q19" s="143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9"/>
        <v>4095147</v>
      </c>
      <c r="AA19" s="95">
        <f t="shared" si="0"/>
        <v>0</v>
      </c>
      <c r="AB19" s="153">
        <f t="shared" si="4"/>
        <v>0</v>
      </c>
      <c r="AC19" s="198">
        <f t="shared" si="5"/>
        <v>3917091</v>
      </c>
      <c r="AD19" s="135">
        <f t="shared" si="6"/>
        <v>178056</v>
      </c>
      <c r="AE19" s="135">
        <f t="shared" si="7"/>
        <v>4095147</v>
      </c>
      <c r="AG19" s="135">
        <f t="shared" si="8"/>
        <v>155758.16999999995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10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143">
        <v>2419652.9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9"/>
        <v>6577082</v>
      </c>
      <c r="AA20" s="95">
        <f t="shared" si="0"/>
        <v>5.0000000000000001E-3</v>
      </c>
      <c r="AB20" s="153">
        <f t="shared" si="4"/>
        <v>32885</v>
      </c>
      <c r="AC20" s="198">
        <f t="shared" si="5"/>
        <v>6398886</v>
      </c>
      <c r="AD20" s="135">
        <f t="shared" si="6"/>
        <v>178196</v>
      </c>
      <c r="AE20" s="135">
        <f t="shared" si="7"/>
        <v>6577082</v>
      </c>
      <c r="AG20" s="135">
        <f t="shared" si="8"/>
        <v>2637552.9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10"/>
        <v>3761333.23</v>
      </c>
      <c r="L21" s="51">
        <f t="shared" si="3"/>
        <v>30575.999999999996</v>
      </c>
      <c r="M21" s="267">
        <f>(3640000+61000)*4%</f>
        <v>148040</v>
      </c>
      <c r="N21" s="143">
        <v>156600</v>
      </c>
      <c r="O21" s="143"/>
      <c r="P21" s="143">
        <v>252485.52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9"/>
        <v>4167368</v>
      </c>
      <c r="AA21" s="95">
        <f t="shared" si="0"/>
        <v>0</v>
      </c>
      <c r="AB21" s="153">
        <f t="shared" si="4"/>
        <v>0</v>
      </c>
      <c r="AC21" s="198">
        <f t="shared" si="5"/>
        <v>3988752</v>
      </c>
      <c r="AD21" s="135">
        <f t="shared" si="6"/>
        <v>178616</v>
      </c>
      <c r="AE21" s="135">
        <f t="shared" si="7"/>
        <v>4167368</v>
      </c>
      <c r="AG21" s="135">
        <f t="shared" si="8"/>
        <v>227418.86000000002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267">
        <f>(3715000+5000)*4%</f>
        <v>148800</v>
      </c>
      <c r="N22" s="143">
        <v>69750</v>
      </c>
      <c r="O22" s="143"/>
      <c r="P22" s="143">
        <v>2125924.58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9"/>
        <v>6219513</v>
      </c>
      <c r="AA22" s="95">
        <f t="shared" si="0"/>
        <v>7.4999999999999997E-3</v>
      </c>
      <c r="AB22" s="153">
        <f t="shared" si="4"/>
        <v>46646</v>
      </c>
      <c r="AC22" s="198">
        <f t="shared" si="5"/>
        <v>6039507</v>
      </c>
      <c r="AD22" s="135">
        <f t="shared" si="6"/>
        <v>180006</v>
      </c>
      <c r="AE22" s="135">
        <f t="shared" si="7"/>
        <v>6219513</v>
      </c>
      <c r="AG22" s="135">
        <f t="shared" si="8"/>
        <v>2200674.58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(3640000+47000)*4%</f>
        <v>147480</v>
      </c>
      <c r="N23" s="51">
        <v>111600</v>
      </c>
      <c r="O23" s="51"/>
      <c r="P23" s="51">
        <v>263005.75</v>
      </c>
      <c r="Q23" s="51">
        <v>100000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4460994</v>
      </c>
      <c r="AA23" s="95">
        <f t="shared" si="0"/>
        <v>0</v>
      </c>
      <c r="AB23" s="153">
        <f t="shared" si="4"/>
        <v>0</v>
      </c>
      <c r="AC23" s="198">
        <f t="shared" si="5"/>
        <v>4282938</v>
      </c>
      <c r="AD23" s="135">
        <f t="shared" si="6"/>
        <v>178056</v>
      </c>
      <c r="AE23" s="135">
        <f t="shared" si="7"/>
        <v>4460994</v>
      </c>
      <c r="AG23" s="135">
        <f t="shared" si="8"/>
        <v>521605.75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67">
        <f>(3640000+47000)*4%</f>
        <v>147480</v>
      </c>
      <c r="N24" s="51">
        <v>167400</v>
      </c>
      <c r="O24" s="51">
        <v>81000</v>
      </c>
      <c r="P24" s="51">
        <v>4471097.75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8705886</v>
      </c>
      <c r="AA24" s="95">
        <f t="shared" si="0"/>
        <v>0.01</v>
      </c>
      <c r="AB24" s="153">
        <f t="shared" si="4"/>
        <v>87058</v>
      </c>
      <c r="AC24" s="198">
        <f t="shared" si="5"/>
        <v>8527830</v>
      </c>
      <c r="AD24" s="135">
        <f t="shared" si="6"/>
        <v>178056</v>
      </c>
      <c r="AE24" s="135">
        <f t="shared" si="7"/>
        <v>8705886</v>
      </c>
      <c r="AG24" s="135">
        <f t="shared" si="8"/>
        <v>4766497.75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67">
        <f>(3640000+61000)*4%</f>
        <v>148040</v>
      </c>
      <c r="N25" s="51">
        <v>167400</v>
      </c>
      <c r="O25" s="51">
        <v>54000</v>
      </c>
      <c r="P25" s="51">
        <v>4471097.75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8693446</v>
      </c>
      <c r="AA25" s="95">
        <f t="shared" si="0"/>
        <v>0.01</v>
      </c>
      <c r="AB25" s="153">
        <f t="shared" si="4"/>
        <v>86934</v>
      </c>
      <c r="AC25" s="198">
        <f t="shared" si="5"/>
        <v>8514830</v>
      </c>
      <c r="AD25" s="135">
        <f t="shared" si="6"/>
        <v>178616</v>
      </c>
      <c r="AE25" s="135">
        <f t="shared" si="7"/>
        <v>8693446</v>
      </c>
      <c r="AG25" s="135">
        <f t="shared" si="8"/>
        <v>4753497.75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67">
        <f>(3640000+24000)*4%</f>
        <v>146560</v>
      </c>
      <c r="N26" s="51">
        <v>111600</v>
      </c>
      <c r="O26" s="51">
        <v>78000</v>
      </c>
      <c r="P26" s="51">
        <v>3471675.9</v>
      </c>
      <c r="Q26" s="51"/>
      <c r="R26" s="51">
        <v>606666.75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8230411</v>
      </c>
      <c r="AA26" s="95">
        <f t="shared" si="0"/>
        <v>1.5000000000000001E-2</v>
      </c>
      <c r="AB26" s="153">
        <f t="shared" si="4"/>
        <v>123456</v>
      </c>
      <c r="AC26" s="198">
        <f t="shared" si="5"/>
        <v>8053275</v>
      </c>
      <c r="AD26" s="135">
        <f t="shared" si="6"/>
        <v>177136</v>
      </c>
      <c r="AE26" s="135">
        <f t="shared" si="7"/>
        <v>8230411</v>
      </c>
      <c r="AG26" s="135">
        <f t="shared" si="8"/>
        <v>4291942.6500000004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67">
        <f>(3640000+43500)*4%</f>
        <v>147340</v>
      </c>
      <c r="N27" s="51">
        <v>167400</v>
      </c>
      <c r="O27" s="51">
        <v>75000</v>
      </c>
      <c r="P27" s="51">
        <v>2935144.17</v>
      </c>
      <c r="Q27" s="51"/>
      <c r="R27" s="51">
        <v>461066.73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7621360</v>
      </c>
      <c r="AA27" s="95">
        <f t="shared" si="0"/>
        <v>0.01</v>
      </c>
      <c r="AB27" s="153">
        <f t="shared" si="4"/>
        <v>76213</v>
      </c>
      <c r="AC27" s="198">
        <f t="shared" si="5"/>
        <v>7443444</v>
      </c>
      <c r="AD27" s="135">
        <f t="shared" si="6"/>
        <v>177916</v>
      </c>
      <c r="AE27" s="135">
        <f t="shared" si="7"/>
        <v>7621360</v>
      </c>
      <c r="AG27" s="135">
        <f t="shared" si="8"/>
        <v>3682110.9</v>
      </c>
    </row>
    <row r="28" spans="2:33" s="27" customFormat="1">
      <c r="B28" s="30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75">
        <f>(3640000+47000)*4%</f>
        <v>147480</v>
      </c>
      <c r="N28" s="51">
        <v>139500</v>
      </c>
      <c r="O28" s="51">
        <v>78000</v>
      </c>
      <c r="P28" s="51">
        <v>4113409.9299999997</v>
      </c>
      <c r="Q28" s="51"/>
      <c r="R28" s="51">
        <v>582400.07999999996</v>
      </c>
      <c r="S28" s="275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8899699</v>
      </c>
      <c r="AA28" s="95">
        <f t="shared" si="0"/>
        <v>0.01</v>
      </c>
      <c r="AB28" s="153">
        <f t="shared" si="4"/>
        <v>88996</v>
      </c>
      <c r="AC28" s="198">
        <f t="shared" si="5"/>
        <v>8721643</v>
      </c>
      <c r="AD28" s="135">
        <f t="shared" si="6"/>
        <v>178056</v>
      </c>
      <c r="AE28" s="135">
        <f t="shared" si="7"/>
        <v>8899699</v>
      </c>
      <c r="AG28" s="135">
        <f t="shared" si="8"/>
        <v>4960310.01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67">
        <f>(3640000+47000)*4%</f>
        <v>147480</v>
      </c>
      <c r="N29" s="51">
        <v>135000</v>
      </c>
      <c r="O29" s="51">
        <v>78000</v>
      </c>
      <c r="P29" s="51">
        <v>3576878.2</v>
      </c>
      <c r="Q29" s="51"/>
      <c r="R29" s="51">
        <v>533866.74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8188800</v>
      </c>
      <c r="AA29" s="95">
        <f t="shared" si="0"/>
        <v>0.01</v>
      </c>
      <c r="AB29" s="153">
        <f t="shared" si="4"/>
        <v>81888</v>
      </c>
      <c r="AC29" s="198">
        <f t="shared" si="5"/>
        <v>8010744</v>
      </c>
      <c r="AD29" s="135">
        <f t="shared" si="6"/>
        <v>178056</v>
      </c>
      <c r="AE29" s="135">
        <f t="shared" si="7"/>
        <v>8188800</v>
      </c>
      <c r="AG29" s="135">
        <f t="shared" si="8"/>
        <v>4249411.6100000003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>SUM(K6:K29)</f>
        <v>86588164.289999992</v>
      </c>
      <c r="L30" s="126">
        <f t="shared" ref="L30:S30" si="13">SUM(L6:L29)</f>
        <v>703877.99999999988</v>
      </c>
      <c r="M30" s="126">
        <f t="shared" si="13"/>
        <v>3394140</v>
      </c>
      <c r="N30" s="126">
        <f t="shared" si="13"/>
        <v>2957400</v>
      </c>
      <c r="O30" s="126">
        <f t="shared" si="13"/>
        <v>494000</v>
      </c>
      <c r="P30" s="126">
        <f t="shared" si="13"/>
        <v>36179909.090000004</v>
      </c>
      <c r="Q30" s="126">
        <f t="shared" si="13"/>
        <v>900000</v>
      </c>
      <c r="R30" s="126">
        <f t="shared" si="13"/>
        <v>2184000.2999999998</v>
      </c>
      <c r="S30" s="126">
        <f t="shared" si="13"/>
        <v>1058500</v>
      </c>
      <c r="T30" s="126"/>
      <c r="U30" s="126"/>
      <c r="V30" s="126"/>
      <c r="W30" s="126">
        <f>SUM(W6:W29)</f>
        <v>-727999.98</v>
      </c>
      <c r="X30" s="126"/>
      <c r="Y30" s="126"/>
      <c r="Z30" s="126">
        <f>SUM(Z6:Z29)</f>
        <v>133731979</v>
      </c>
      <c r="AA30" s="126">
        <f>SUM(AA6:AA29)</f>
        <v>9.7499999999999989E-2</v>
      </c>
      <c r="AB30" s="126">
        <f>SUM(AB6:AB29)</f>
        <v>749246</v>
      </c>
      <c r="AC30" s="237">
        <f>SUM(AC6:AC29)</f>
        <v>129633961</v>
      </c>
      <c r="AD30" s="232">
        <f>SUM(AD6:AD29)</f>
        <v>4098018</v>
      </c>
      <c r="AE30" s="232">
        <f>AC30+AD30</f>
        <v>133731979</v>
      </c>
      <c r="AG30" s="237">
        <f>SUM(AG6:AG29)</f>
        <v>43045809.409999996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K1" zoomScale="67" zoomScaleNormal="67" workbookViewId="0">
      <selection activeCell="AC29" sqref="AC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7" style="246" customWidth="1" outlineLevel="1"/>
    <col min="9" max="9" width="8.5703125" style="246" customWidth="1" outlineLevel="1"/>
    <col min="10" max="10" width="12.7109375" style="246" customWidth="1" outlineLevel="1"/>
    <col min="11" max="11" width="16.7109375" style="28" customWidth="1"/>
    <col min="12" max="19" width="14.5703125" style="28" customWidth="1"/>
    <col min="20" max="22" width="12.7109375" style="28" hidden="1" customWidth="1"/>
    <col min="23" max="23" width="18.5703125" style="28" customWidth="1"/>
    <col min="24" max="25" width="12.7109375" style="28" hidden="1" customWidth="1"/>
    <col min="26" max="26" width="16.85546875" style="28" customWidth="1" collapsed="1"/>
    <col min="27" max="27" width="12.42578125" style="88" customWidth="1"/>
    <col min="28" max="28" width="16.425781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192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4112549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35">
        <f>Z6-AD6</f>
        <v>3933933</v>
      </c>
      <c r="AD6" s="135">
        <f>L6+M6</f>
        <v>178616</v>
      </c>
      <c r="AE6" s="135">
        <f>AC6+AD6</f>
        <v>4112549</v>
      </c>
      <c r="AG6" s="135">
        <f>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305">
        <v>2388092.21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6458791</v>
      </c>
      <c r="AA7" s="95">
        <f t="shared" si="0"/>
        <v>0.01</v>
      </c>
      <c r="AB7" s="153">
        <f t="shared" ref="AB7:AB29" si="4">ROUNDDOWN(IF(E7=0,Z7*AA7*120%,Z7*AA7),0)</f>
        <v>64587</v>
      </c>
      <c r="AC7" s="135">
        <f t="shared" ref="AC7:AC29" si="5">Z7-AD7</f>
        <v>6280175</v>
      </c>
      <c r="AD7" s="135">
        <f t="shared" ref="AD7:AD29" si="6">L7+M7</f>
        <v>178616</v>
      </c>
      <c r="AE7" s="135">
        <f t="shared" ref="AE7:AE29" si="7">AC7+AD7</f>
        <v>6458791</v>
      </c>
      <c r="AG7" s="135">
        <f t="shared" ref="AG7:AG29" si="8">SUM(N7:W7)</f>
        <v>2518842.21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305">
        <v>1472832.2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9">ROUNDDOWN(SUM(K8:Y8),0)</f>
        <v>5595081</v>
      </c>
      <c r="AA8" s="95">
        <f t="shared" si="0"/>
        <v>0</v>
      </c>
      <c r="AB8" s="153">
        <f t="shared" si="4"/>
        <v>0</v>
      </c>
      <c r="AC8" s="135">
        <f t="shared" si="5"/>
        <v>5417165</v>
      </c>
      <c r="AD8" s="135">
        <f t="shared" si="6"/>
        <v>177916</v>
      </c>
      <c r="AE8" s="135">
        <f t="shared" si="7"/>
        <v>5595081</v>
      </c>
      <c r="AG8" s="135">
        <f t="shared" si="8"/>
        <v>1655832.2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305">
        <v>673294.72</v>
      </c>
      <c r="Q9" s="143">
        <v>560000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5355543</v>
      </c>
      <c r="AA9" s="95">
        <f t="shared" si="0"/>
        <v>0</v>
      </c>
      <c r="AB9" s="153">
        <f t="shared" si="4"/>
        <v>0</v>
      </c>
      <c r="AC9" s="135">
        <f t="shared" si="5"/>
        <v>5177627</v>
      </c>
      <c r="AD9" s="135">
        <f t="shared" si="6"/>
        <v>177916</v>
      </c>
      <c r="AE9" s="135">
        <f t="shared" si="7"/>
        <v>5355543</v>
      </c>
      <c r="AG9" s="135">
        <f t="shared" si="8"/>
        <v>1416294.72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46000</v>
      </c>
      <c r="P10" s="305">
        <v>1399190.59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9"/>
        <v>5497689</v>
      </c>
      <c r="AA10" s="95">
        <f t="shared" si="0"/>
        <v>2.5000000000000001E-3</v>
      </c>
      <c r="AB10" s="153">
        <f t="shared" si="4"/>
        <v>13744</v>
      </c>
      <c r="AC10" s="135">
        <f t="shared" si="5"/>
        <v>5319773</v>
      </c>
      <c r="AD10" s="135">
        <f t="shared" si="6"/>
        <v>177916</v>
      </c>
      <c r="AE10" s="135">
        <f t="shared" si="7"/>
        <v>5497689</v>
      </c>
      <c r="AG10" s="135">
        <f t="shared" si="8"/>
        <v>1558440.59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167400</v>
      </c>
      <c r="O11" s="143"/>
      <c r="P11" s="305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9"/>
        <v>4153789</v>
      </c>
      <c r="AA11" s="95">
        <f t="shared" si="0"/>
        <v>0</v>
      </c>
      <c r="AB11" s="153">
        <f t="shared" si="4"/>
        <v>0</v>
      </c>
      <c r="AC11" s="135">
        <f t="shared" si="5"/>
        <v>3975733</v>
      </c>
      <c r="AD11" s="135">
        <f t="shared" si="6"/>
        <v>178056</v>
      </c>
      <c r="AE11" s="135">
        <f t="shared" si="7"/>
        <v>4153789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305">
        <v>4870866.51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9"/>
        <v>8916085</v>
      </c>
      <c r="AA12" s="95">
        <f t="shared" si="0"/>
        <v>1.7500000000000002E-2</v>
      </c>
      <c r="AB12" s="153">
        <f t="shared" si="4"/>
        <v>156031</v>
      </c>
      <c r="AC12" s="135">
        <f t="shared" si="5"/>
        <v>8738449</v>
      </c>
      <c r="AD12" s="135">
        <f t="shared" si="6"/>
        <v>177636</v>
      </c>
      <c r="AE12" s="135">
        <f t="shared" si="7"/>
        <v>8916085</v>
      </c>
      <c r="AG12" s="135">
        <f t="shared" si="8"/>
        <v>4977116.51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305">
        <v>652254.26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9"/>
        <v>4802403</v>
      </c>
      <c r="AA13" s="95">
        <f t="shared" si="0"/>
        <v>0</v>
      </c>
      <c r="AB13" s="153">
        <f t="shared" si="4"/>
        <v>0</v>
      </c>
      <c r="AC13" s="135">
        <f t="shared" si="5"/>
        <v>4624487</v>
      </c>
      <c r="AD13" s="135">
        <f t="shared" si="6"/>
        <v>177916</v>
      </c>
      <c r="AE13" s="135">
        <f t="shared" si="7"/>
        <v>4802403</v>
      </c>
      <c r="AG13" s="135">
        <f t="shared" si="8"/>
        <v>863154.26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111600</v>
      </c>
      <c r="O14" s="143"/>
      <c r="P14" s="305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9"/>
        <v>4112549</v>
      </c>
      <c r="AA14" s="95">
        <f t="shared" si="0"/>
        <v>0</v>
      </c>
      <c r="AB14" s="153">
        <f t="shared" si="4"/>
        <v>0</v>
      </c>
      <c r="AC14" s="135">
        <f t="shared" si="5"/>
        <v>3933933</v>
      </c>
      <c r="AD14" s="135">
        <f t="shared" si="6"/>
        <v>178616</v>
      </c>
      <c r="AE14" s="135">
        <f t="shared" si="7"/>
        <v>4112549</v>
      </c>
      <c r="AG14" s="135">
        <f t="shared" si="8"/>
        <v>172600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139500</v>
      </c>
      <c r="O15" s="143"/>
      <c r="P15" s="305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9"/>
        <v>4108209</v>
      </c>
      <c r="AA15" s="95">
        <f t="shared" si="0"/>
        <v>0</v>
      </c>
      <c r="AB15" s="153">
        <f t="shared" si="4"/>
        <v>0</v>
      </c>
      <c r="AC15" s="135">
        <f t="shared" si="5"/>
        <v>3930833</v>
      </c>
      <c r="AD15" s="135">
        <f t="shared" si="6"/>
        <v>177376</v>
      </c>
      <c r="AE15" s="135">
        <f t="shared" si="7"/>
        <v>4108209</v>
      </c>
      <c r="AG15" s="135">
        <f t="shared" si="8"/>
        <v>169500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305">
        <v>0</v>
      </c>
      <c r="Q16" s="143"/>
      <c r="R16" s="143"/>
      <c r="S16" s="143">
        <v>0</v>
      </c>
      <c r="T16" s="143"/>
      <c r="U16" s="143"/>
      <c r="V16" s="143"/>
      <c r="W16" s="143">
        <v>0</v>
      </c>
      <c r="X16" s="143"/>
      <c r="Y16" s="143"/>
      <c r="Z16" s="94">
        <f t="shared" si="9"/>
        <v>0</v>
      </c>
      <c r="AA16" s="95">
        <f t="shared" si="0"/>
        <v>0</v>
      </c>
      <c r="AB16" s="153">
        <f t="shared" si="4"/>
        <v>0</v>
      </c>
      <c r="AC16" s="135">
        <f t="shared" si="5"/>
        <v>0</v>
      </c>
      <c r="AD16" s="135">
        <f t="shared" si="6"/>
        <v>0</v>
      </c>
      <c r="AE16" s="135">
        <f t="shared" si="7"/>
        <v>0</v>
      </c>
      <c r="AG16" s="135">
        <f t="shared" si="8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305"/>
      <c r="Q17" s="143">
        <v>140000</v>
      </c>
      <c r="R17" s="143"/>
      <c r="S17" s="143">
        <v>61000</v>
      </c>
      <c r="T17" s="143"/>
      <c r="U17" s="143"/>
      <c r="V17" s="143"/>
      <c r="W17" s="143">
        <v>-121333.33</v>
      </c>
      <c r="X17" s="143"/>
      <c r="Y17" s="143"/>
      <c r="Z17" s="94">
        <f>ROUNDDOWN(SUM(K17:Y17),0)</f>
        <v>4154615</v>
      </c>
      <c r="AA17" s="95">
        <f t="shared" si="0"/>
        <v>0</v>
      </c>
      <c r="AB17" s="153">
        <f t="shared" si="4"/>
        <v>0</v>
      </c>
      <c r="AC17" s="135">
        <f t="shared" si="5"/>
        <v>3975999</v>
      </c>
      <c r="AD17" s="135">
        <f t="shared" si="6"/>
        <v>178616</v>
      </c>
      <c r="AE17" s="135">
        <f t="shared" si="7"/>
        <v>4154615</v>
      </c>
      <c r="AG17" s="135">
        <f t="shared" si="8"/>
        <v>214666.66999999998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305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9"/>
        <v>3973055</v>
      </c>
      <c r="AA18" s="95">
        <f t="shared" si="0"/>
        <v>0</v>
      </c>
      <c r="AB18" s="153">
        <f t="shared" si="4"/>
        <v>0</v>
      </c>
      <c r="AC18" s="135">
        <f t="shared" si="5"/>
        <v>3794999</v>
      </c>
      <c r="AD18" s="135">
        <f t="shared" si="6"/>
        <v>178056</v>
      </c>
      <c r="AE18" s="135">
        <f t="shared" si="7"/>
        <v>3973055</v>
      </c>
      <c r="AG18" s="135">
        <f t="shared" si="8"/>
        <v>33666.67</v>
      </c>
    </row>
    <row r="19" spans="2:33" s="27" customForma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67">
        <f>(3640000+47000)*4%</f>
        <v>147480</v>
      </c>
      <c r="N19" s="143">
        <v>130500</v>
      </c>
      <c r="O19" s="143"/>
      <c r="P19" s="305">
        <v>441849.66</v>
      </c>
      <c r="Q19" s="143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9"/>
        <v>4316072</v>
      </c>
      <c r="AA19" s="95">
        <f t="shared" si="0"/>
        <v>0</v>
      </c>
      <c r="AB19" s="153">
        <f t="shared" si="4"/>
        <v>0</v>
      </c>
      <c r="AC19" s="135">
        <f t="shared" si="5"/>
        <v>4138016</v>
      </c>
      <c r="AD19" s="135">
        <f t="shared" si="6"/>
        <v>178056</v>
      </c>
      <c r="AE19" s="135">
        <f t="shared" si="7"/>
        <v>4316072</v>
      </c>
      <c r="AG19" s="135">
        <f t="shared" si="8"/>
        <v>376682.99999999988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305">
        <v>3513756.82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9"/>
        <v>7671186</v>
      </c>
      <c r="AA20" s="95">
        <f t="shared" si="0"/>
        <v>0.01</v>
      </c>
      <c r="AB20" s="153">
        <f t="shared" si="4"/>
        <v>76711</v>
      </c>
      <c r="AC20" s="135">
        <f t="shared" si="5"/>
        <v>7492990</v>
      </c>
      <c r="AD20" s="135">
        <f t="shared" si="6"/>
        <v>178196</v>
      </c>
      <c r="AE20" s="135">
        <f t="shared" si="7"/>
        <v>7671186</v>
      </c>
      <c r="AG20" s="135">
        <f t="shared" si="8"/>
        <v>3731656.82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67">
        <f>(3640000+61000)*4%</f>
        <v>148040</v>
      </c>
      <c r="N21" s="143">
        <v>145800</v>
      </c>
      <c r="O21" s="143"/>
      <c r="P21" s="305">
        <v>410288.97</v>
      </c>
      <c r="Q21" s="143"/>
      <c r="R21" s="143"/>
      <c r="S21" s="143">
        <v>61000</v>
      </c>
      <c r="T21" s="143"/>
      <c r="U21" s="143"/>
      <c r="V21" s="143"/>
      <c r="W21" s="143">
        <v>-485333.32</v>
      </c>
      <c r="X21" s="143"/>
      <c r="Y21" s="143"/>
      <c r="Z21" s="94">
        <f t="shared" si="9"/>
        <v>4071704</v>
      </c>
      <c r="AA21" s="95">
        <f t="shared" si="0"/>
        <v>0</v>
      </c>
      <c r="AB21" s="153">
        <f t="shared" si="4"/>
        <v>0</v>
      </c>
      <c r="AC21" s="135">
        <f t="shared" si="5"/>
        <v>3893088</v>
      </c>
      <c r="AD21" s="135">
        <f t="shared" si="6"/>
        <v>178616</v>
      </c>
      <c r="AE21" s="135">
        <f t="shared" si="7"/>
        <v>4071704</v>
      </c>
      <c r="AG21" s="135">
        <f t="shared" si="8"/>
        <v>131755.64999999997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306">
        <f>(3715000+5000)*4%</f>
        <v>148800</v>
      </c>
      <c r="N22" s="143">
        <v>69750</v>
      </c>
      <c r="O22" s="143"/>
      <c r="P22" s="305">
        <v>2093713.6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9"/>
        <v>6187302</v>
      </c>
      <c r="AA22" s="95">
        <f t="shared" si="0"/>
        <v>7.4999999999999997E-3</v>
      </c>
      <c r="AB22" s="153">
        <f t="shared" si="4"/>
        <v>46404</v>
      </c>
      <c r="AC22" s="135">
        <f t="shared" si="5"/>
        <v>6007296</v>
      </c>
      <c r="AD22" s="135">
        <f t="shared" si="6"/>
        <v>180006</v>
      </c>
      <c r="AE22" s="135">
        <f t="shared" si="7"/>
        <v>6187302</v>
      </c>
      <c r="AG22" s="135">
        <f t="shared" si="8"/>
        <v>2168463.6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(3640000+47000)*4%</f>
        <v>147480</v>
      </c>
      <c r="N23" s="51">
        <v>111600</v>
      </c>
      <c r="O23" s="51"/>
      <c r="P23" s="267">
        <v>483930.58</v>
      </c>
      <c r="Q23" s="51">
        <v>40000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4621919</v>
      </c>
      <c r="AA23" s="95">
        <f t="shared" si="0"/>
        <v>0</v>
      </c>
      <c r="AB23" s="153">
        <f t="shared" si="4"/>
        <v>0</v>
      </c>
      <c r="AC23" s="135">
        <f t="shared" si="5"/>
        <v>4443863</v>
      </c>
      <c r="AD23" s="135">
        <f t="shared" si="6"/>
        <v>178056</v>
      </c>
      <c r="AE23" s="135">
        <f t="shared" si="7"/>
        <v>4621919</v>
      </c>
      <c r="AG23" s="135">
        <f t="shared" si="8"/>
        <v>682530.58000000007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0">31*121333.33</f>
        <v>3761333.23</v>
      </c>
      <c r="L24" s="51">
        <f t="shared" ref="L24:L29" si="11">3640000*0.84%</f>
        <v>30575.999999999996</v>
      </c>
      <c r="M24" s="267">
        <f>(3640000+47000)*4%</f>
        <v>147480</v>
      </c>
      <c r="N24" s="51">
        <v>167400</v>
      </c>
      <c r="O24" s="51">
        <v>75000</v>
      </c>
      <c r="P24" s="267">
        <v>3482196.13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7710985</v>
      </c>
      <c r="AA24" s="95">
        <f t="shared" si="0"/>
        <v>0.01</v>
      </c>
      <c r="AB24" s="153">
        <f t="shared" si="4"/>
        <v>77109</v>
      </c>
      <c r="AC24" s="135">
        <f t="shared" si="5"/>
        <v>7532929</v>
      </c>
      <c r="AD24" s="135">
        <f t="shared" si="6"/>
        <v>178056</v>
      </c>
      <c r="AE24" s="135">
        <f t="shared" si="7"/>
        <v>7710985</v>
      </c>
      <c r="AG24" s="135">
        <f t="shared" si="8"/>
        <v>3771596.13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0"/>
        <v>3761333.23</v>
      </c>
      <c r="L25" s="51">
        <f t="shared" si="11"/>
        <v>30575.999999999996</v>
      </c>
      <c r="M25" s="267">
        <f>(3640000+61000)*4%</f>
        <v>148040</v>
      </c>
      <c r="N25" s="51">
        <v>167400</v>
      </c>
      <c r="O25" s="51">
        <v>50000</v>
      </c>
      <c r="P25" s="267">
        <v>3966126.74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8184475</v>
      </c>
      <c r="AA25" s="95">
        <f t="shared" si="0"/>
        <v>0.01</v>
      </c>
      <c r="AB25" s="153">
        <f t="shared" si="4"/>
        <v>81844</v>
      </c>
      <c r="AC25" s="135">
        <f t="shared" si="5"/>
        <v>8005859</v>
      </c>
      <c r="AD25" s="135">
        <f t="shared" si="6"/>
        <v>178616</v>
      </c>
      <c r="AE25" s="135">
        <f t="shared" si="7"/>
        <v>8184475</v>
      </c>
      <c r="AG25" s="135">
        <f t="shared" si="8"/>
        <v>4244526.74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0"/>
        <v>3761333.23</v>
      </c>
      <c r="L26" s="51">
        <f t="shared" si="11"/>
        <v>30575.999999999996</v>
      </c>
      <c r="M26" s="267">
        <f>(3640000+24000)*4%</f>
        <v>146560</v>
      </c>
      <c r="N26" s="51">
        <v>111600</v>
      </c>
      <c r="O26" s="51">
        <v>75000</v>
      </c>
      <c r="P26" s="267">
        <v>3440115.21</v>
      </c>
      <c r="Q26" s="51"/>
      <c r="R26" s="51">
        <v>582400.07999999996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8171584</v>
      </c>
      <c r="AA26" s="95">
        <f t="shared" si="0"/>
        <v>1.5000000000000001E-2</v>
      </c>
      <c r="AB26" s="153">
        <f t="shared" si="4"/>
        <v>122573</v>
      </c>
      <c r="AC26" s="135">
        <f t="shared" si="5"/>
        <v>7994448</v>
      </c>
      <c r="AD26" s="135">
        <f t="shared" si="6"/>
        <v>177136</v>
      </c>
      <c r="AE26" s="135">
        <f t="shared" si="7"/>
        <v>8171584</v>
      </c>
      <c r="AG26" s="135">
        <f t="shared" si="8"/>
        <v>4233115.29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0"/>
        <v>3761333.23</v>
      </c>
      <c r="L27" s="51">
        <f t="shared" si="11"/>
        <v>30575.999999999996</v>
      </c>
      <c r="M27" s="267">
        <f>(3640000+43500)*4%</f>
        <v>147340</v>
      </c>
      <c r="N27" s="51">
        <v>167400</v>
      </c>
      <c r="O27" s="51">
        <v>69000</v>
      </c>
      <c r="P27" s="267">
        <v>2388092.21</v>
      </c>
      <c r="Q27" s="51"/>
      <c r="R27" s="51">
        <v>485333.4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7092574</v>
      </c>
      <c r="AA27" s="95">
        <f t="shared" si="0"/>
        <v>7.4999999999999997E-3</v>
      </c>
      <c r="AB27" s="153">
        <f t="shared" si="4"/>
        <v>53194</v>
      </c>
      <c r="AC27" s="135">
        <f t="shared" si="5"/>
        <v>6914658</v>
      </c>
      <c r="AD27" s="135">
        <f t="shared" si="6"/>
        <v>177916</v>
      </c>
      <c r="AE27" s="135">
        <f t="shared" si="7"/>
        <v>7092574</v>
      </c>
      <c r="AG27" s="135">
        <f t="shared" si="8"/>
        <v>3153325.61</v>
      </c>
    </row>
    <row r="28" spans="2:33" s="27" customForma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0"/>
        <v>3761333.23</v>
      </c>
      <c r="L28" s="51">
        <f t="shared" si="11"/>
        <v>30575.999999999996</v>
      </c>
      <c r="M28" s="267">
        <f>(3640000+47000)*4%</f>
        <v>147480</v>
      </c>
      <c r="N28" s="51">
        <v>139500</v>
      </c>
      <c r="O28" s="51">
        <v>69000</v>
      </c>
      <c r="P28" s="267">
        <v>3545317.5100000002</v>
      </c>
      <c r="Q28" s="51"/>
      <c r="R28" s="51">
        <v>485333.4</v>
      </c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8225540</v>
      </c>
      <c r="AA28" s="95">
        <f t="shared" si="0"/>
        <v>0.01</v>
      </c>
      <c r="AB28" s="153">
        <f t="shared" si="4"/>
        <v>82255</v>
      </c>
      <c r="AC28" s="135">
        <f t="shared" si="5"/>
        <v>8047484</v>
      </c>
      <c r="AD28" s="135">
        <f t="shared" si="6"/>
        <v>178056</v>
      </c>
      <c r="AE28" s="135">
        <f t="shared" si="7"/>
        <v>8225540</v>
      </c>
      <c r="AG28" s="135">
        <f t="shared" si="8"/>
        <v>4286150.91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0"/>
        <v>3761333.23</v>
      </c>
      <c r="L29" s="51">
        <f t="shared" si="11"/>
        <v>30575.999999999996</v>
      </c>
      <c r="M29" s="267">
        <f>(3640000+47000)*4%</f>
        <v>147480</v>
      </c>
      <c r="N29" s="51">
        <v>135000</v>
      </c>
      <c r="O29" s="51">
        <v>66000</v>
      </c>
      <c r="P29" s="267">
        <v>3103467.85</v>
      </c>
      <c r="Q29" s="51"/>
      <c r="R29" s="51">
        <v>461066.73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7630590</v>
      </c>
      <c r="AA29" s="95">
        <f t="shared" si="0"/>
        <v>0.01</v>
      </c>
      <c r="AB29" s="153">
        <f t="shared" si="4"/>
        <v>76305</v>
      </c>
      <c r="AC29" s="135">
        <f t="shared" si="5"/>
        <v>7452534</v>
      </c>
      <c r="AD29" s="135">
        <f t="shared" si="6"/>
        <v>178056</v>
      </c>
      <c r="AE29" s="135">
        <f t="shared" si="7"/>
        <v>7630590</v>
      </c>
      <c r="AG29" s="135">
        <f t="shared" si="8"/>
        <v>3691201.25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2">SUM(K6:K29)</f>
        <v>86588164.289999992</v>
      </c>
      <c r="L30" s="126">
        <f t="shared" si="12"/>
        <v>703877.99999999988</v>
      </c>
      <c r="M30" s="126">
        <f t="shared" si="12"/>
        <v>3394140</v>
      </c>
      <c r="N30" s="126">
        <f t="shared" si="12"/>
        <v>2942100</v>
      </c>
      <c r="O30" s="126">
        <f t="shared" si="12"/>
        <v>450000</v>
      </c>
      <c r="P30" s="126">
        <f>SUM(P6:P29)</f>
        <v>38325385.770000003</v>
      </c>
      <c r="Q30" s="126">
        <f t="shared" si="12"/>
        <v>740000</v>
      </c>
      <c r="R30" s="126">
        <f>SUM(R6:R29)</f>
        <v>2014133.6099999999</v>
      </c>
      <c r="S30" s="126">
        <f t="shared" si="12"/>
        <v>1058500</v>
      </c>
      <c r="T30" s="126"/>
      <c r="U30" s="126"/>
      <c r="V30" s="126"/>
      <c r="W30" s="126">
        <f>SUM(W6:W29)</f>
        <v>-1091999.97</v>
      </c>
      <c r="X30" s="126"/>
      <c r="Y30" s="126"/>
      <c r="Z30" s="126">
        <f>SUM(Z6:Z29)</f>
        <v>135124289</v>
      </c>
      <c r="AA30" s="126">
        <f>SUM(AA6:AA29)</f>
        <v>0.10999999999999999</v>
      </c>
      <c r="AB30" s="126">
        <f>SUM(AB6:AB29)</f>
        <v>850757</v>
      </c>
      <c r="AC30" s="232">
        <f>SUM(AC6:AC29)</f>
        <v>131026271</v>
      </c>
      <c r="AD30" s="232">
        <f>SUM(AD6:AD29)</f>
        <v>4098018</v>
      </c>
      <c r="AE30" s="232">
        <f>AC30+AD30</f>
        <v>135124289</v>
      </c>
      <c r="AG30" s="232">
        <f>SUM(AG6:AG29)</f>
        <v>44438119.409999996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45"/>
      <c r="E36" s="30"/>
      <c r="F36" s="28"/>
      <c r="G36" s="31"/>
      <c r="H36" s="246"/>
      <c r="I36" s="246"/>
      <c r="J36" s="246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45"/>
      <c r="E37" s="30"/>
      <c r="F37" s="28"/>
      <c r="G37" s="31"/>
      <c r="H37" s="246"/>
      <c r="I37" s="246"/>
      <c r="J37" s="246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45"/>
      <c r="E38" s="30"/>
      <c r="F38" s="28"/>
      <c r="G38" s="31"/>
      <c r="H38" s="246"/>
      <c r="I38" s="246"/>
      <c r="J38" s="246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2"/>
  <sheetViews>
    <sheetView view="pageBreakPreview" zoomScale="67" zoomScaleNormal="67" zoomScaleSheetLayoutView="67" workbookViewId="0">
      <pane xSplit="4" topLeftCell="J1" activePane="topRight" state="frozen"/>
      <selection activeCell="A4" sqref="A4"/>
      <selection pane="topRight" activeCell="AH7" sqref="AH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18.28515625" style="245" customWidth="1" outlineLevel="1"/>
    <col min="5" max="5" width="17" style="30" customWidth="1" outlineLevel="1"/>
    <col min="6" max="6" width="19.42578125" style="28" customWidth="1" outlineLevel="1"/>
    <col min="7" max="7" width="26.85546875" style="31" customWidth="1" outlineLevel="1"/>
    <col min="8" max="8" width="6" style="246" customWidth="1" outlineLevel="1"/>
    <col min="9" max="9" width="8.5703125" style="246" customWidth="1" outlineLevel="1"/>
    <col min="10" max="10" width="9.7109375" style="246" customWidth="1" outlineLevel="1"/>
    <col min="11" max="11" width="15.85546875" style="28" customWidth="1"/>
    <col min="12" max="12" width="13.140625" style="28" customWidth="1"/>
    <col min="13" max="13" width="14.140625" style="28" customWidth="1"/>
    <col min="14" max="14" width="13.7109375" style="28" customWidth="1"/>
    <col min="15" max="15" width="12.7109375" style="28" customWidth="1"/>
    <col min="16" max="16" width="15.85546875" style="28" customWidth="1"/>
    <col min="17" max="17" width="12.140625" style="28" customWidth="1"/>
    <col min="18" max="18" width="14.140625" style="28" customWidth="1"/>
    <col min="19" max="19" width="14.85546875" style="28" customWidth="1"/>
    <col min="20" max="22" width="12.7109375" style="28" hidden="1" customWidth="1"/>
    <col min="23" max="23" width="18" style="28" customWidth="1"/>
    <col min="24" max="25" width="12.7109375" style="28" hidden="1" customWidth="1"/>
    <col min="26" max="26" width="16.140625" style="28" customWidth="1" collapsed="1"/>
    <col min="27" max="27" width="8.42578125" style="88" customWidth="1"/>
    <col min="28" max="28" width="13.7109375" style="28" customWidth="1"/>
    <col min="29" max="29" width="15" style="27" customWidth="1"/>
    <col min="30" max="30" width="13.7109375" style="27" customWidth="1"/>
    <col min="31" max="31" width="14.140625" style="27" customWidth="1"/>
    <col min="32" max="32" width="11.42578125" style="59" bestFit="1" customWidth="1"/>
    <col min="33" max="33" width="9.28515625" style="59"/>
    <col min="34" max="34" width="12.5703125" style="59" bestFit="1" customWidth="1"/>
    <col min="35" max="16384" width="9.28515625" style="59"/>
  </cols>
  <sheetData>
    <row r="1" spans="2:34">
      <c r="B1" s="324" t="s">
        <v>71</v>
      </c>
      <c r="D1" s="320"/>
    </row>
    <row r="2" spans="2:34">
      <c r="B2" s="324" t="s">
        <v>193</v>
      </c>
      <c r="D2" s="320"/>
    </row>
    <row r="3" spans="2:34">
      <c r="B3" s="324" t="s">
        <v>173</v>
      </c>
      <c r="D3" s="320"/>
    </row>
    <row r="4" spans="2:34" s="27" customFormat="1" ht="13.5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4" s="27" customFormat="1" ht="51.75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H5" s="27" t="s">
        <v>228</v>
      </c>
    </row>
    <row r="6" spans="2:34" s="27" customFormat="1">
      <c r="B6" s="212">
        <v>1</v>
      </c>
      <c r="C6" s="207" t="s">
        <v>94</v>
      </c>
      <c r="D6" s="165" t="s">
        <v>116</v>
      </c>
      <c r="E6" s="332">
        <v>972282958305000</v>
      </c>
      <c r="F6" s="325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6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31" si="0">IF(J6="TER A",VLOOKUP(Z6,Ter_A,4,TRUE),IF(J6="TER B",VLOOKUP(Z6,Ter_B,4,TRUE),VLOOKUP(Z6,Ter_C,4,TRUE)))</f>
        <v>0</v>
      </c>
      <c r="AB6" s="153">
        <f>ROUNDDOWN(IF(E6=0,Z6*AA6*120%,Z6*AA6),0)</f>
        <v>0</v>
      </c>
      <c r="AC6" s="135">
        <f>Z6-AD6</f>
        <v>3808999</v>
      </c>
      <c r="AD6" s="135">
        <f>L6+M6</f>
        <v>178616</v>
      </c>
      <c r="AE6" s="135">
        <f>AC6+AD6</f>
        <v>3987615</v>
      </c>
      <c r="AF6" s="135">
        <f>Z6-L6-M6</f>
        <v>3808999</v>
      </c>
      <c r="AH6" s="135">
        <f>SUM(N6:W6)</f>
        <v>169000</v>
      </c>
    </row>
    <row r="7" spans="2:34" s="27" customFormat="1">
      <c r="B7" s="313">
        <v>2</v>
      </c>
      <c r="C7" s="208" t="s">
        <v>95</v>
      </c>
      <c r="D7" s="170" t="s">
        <v>117</v>
      </c>
      <c r="E7" s="333">
        <v>972282982305000</v>
      </c>
      <c r="F7" s="326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67">
        <f>(3640000+61000)*4%</f>
        <v>148040</v>
      </c>
      <c r="N7" s="143">
        <v>67500</v>
      </c>
      <c r="O7" s="143"/>
      <c r="P7" s="305">
        <v>3366473.6</v>
      </c>
      <c r="Q7" s="305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7313589</v>
      </c>
      <c r="AA7" s="95">
        <f t="shared" si="0"/>
        <v>1.2500000000000001E-2</v>
      </c>
      <c r="AB7" s="153">
        <f t="shared" ref="AB7:AB31" si="4">ROUNDDOWN(IF(E7=0,Z7*AA7*120%,Z7*AA7),0)</f>
        <v>91419</v>
      </c>
      <c r="AC7" s="135">
        <f t="shared" ref="AC7:AC31" si="5">Z7-AD7</f>
        <v>7134973</v>
      </c>
      <c r="AD7" s="135">
        <f t="shared" ref="AD7:AD30" si="6">L7+M7</f>
        <v>178616</v>
      </c>
      <c r="AE7" s="135">
        <f t="shared" ref="AE7:AE31" si="7">AC7+AD7</f>
        <v>7313589</v>
      </c>
      <c r="AF7" s="135">
        <f t="shared" ref="AF7:AF31" si="8">Z7-L7-M7</f>
        <v>7134973</v>
      </c>
      <c r="AH7" s="135">
        <f t="shared" ref="AH7:AH31" si="9">SUM(N7:W7)</f>
        <v>3494973.6</v>
      </c>
    </row>
    <row r="8" spans="2:34" s="27" customFormat="1">
      <c r="B8" s="313">
        <v>3</v>
      </c>
      <c r="C8" s="208" t="s">
        <v>96</v>
      </c>
      <c r="D8" s="170" t="s">
        <v>118</v>
      </c>
      <c r="E8" s="333">
        <v>972283055305000</v>
      </c>
      <c r="F8" s="326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78">
        <f>(3640000+47000)*4%</f>
        <v>147480</v>
      </c>
      <c r="N8" s="143">
        <v>135000</v>
      </c>
      <c r="O8" s="143"/>
      <c r="P8" s="305">
        <v>1767398.64</v>
      </c>
      <c r="Q8" s="305"/>
      <c r="R8" s="143"/>
      <c r="S8" s="143">
        <v>47000</v>
      </c>
      <c r="T8" s="143"/>
      <c r="U8" s="143"/>
      <c r="V8" s="143"/>
      <c r="W8" s="143">
        <v>0</v>
      </c>
      <c r="X8" s="143"/>
      <c r="Y8" s="143"/>
      <c r="Z8" s="94">
        <f t="shared" ref="Z8:Z31" si="10">ROUNDDOWN(SUM(K8:Y8),0)</f>
        <v>5767454</v>
      </c>
      <c r="AA8" s="95">
        <f t="shared" si="0"/>
        <v>0</v>
      </c>
      <c r="AB8" s="153">
        <f t="shared" si="4"/>
        <v>0</v>
      </c>
      <c r="AC8" s="135">
        <f t="shared" si="5"/>
        <v>5589398</v>
      </c>
      <c r="AD8" s="135">
        <f t="shared" si="6"/>
        <v>178056</v>
      </c>
      <c r="AE8" s="135">
        <f t="shared" si="7"/>
        <v>5767454</v>
      </c>
      <c r="AF8" s="135">
        <f t="shared" si="8"/>
        <v>5589398</v>
      </c>
      <c r="AH8" s="135">
        <f t="shared" si="9"/>
        <v>1949398.64</v>
      </c>
    </row>
    <row r="9" spans="2:34" s="27" customFormat="1">
      <c r="B9" s="313">
        <v>4</v>
      </c>
      <c r="C9" s="208" t="s">
        <v>97</v>
      </c>
      <c r="D9" s="170" t="s">
        <v>119</v>
      </c>
      <c r="E9" s="333">
        <v>972282974305000</v>
      </c>
      <c r="F9" s="326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67">
        <f>(3640000+43500)*4%</f>
        <v>147340</v>
      </c>
      <c r="N9" s="143">
        <v>135000</v>
      </c>
      <c r="O9" s="143"/>
      <c r="P9" s="305">
        <v>199884.37</v>
      </c>
      <c r="Q9" s="305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 t="shared" si="10"/>
        <v>4676300</v>
      </c>
      <c r="AA9" s="95">
        <f t="shared" si="0"/>
        <v>0</v>
      </c>
      <c r="AB9" s="153">
        <f t="shared" si="4"/>
        <v>0</v>
      </c>
      <c r="AC9" s="135">
        <f t="shared" si="5"/>
        <v>4498384</v>
      </c>
      <c r="AD9" s="135">
        <f t="shared" si="6"/>
        <v>177916</v>
      </c>
      <c r="AE9" s="135">
        <f t="shared" si="7"/>
        <v>4676300</v>
      </c>
      <c r="AF9" s="135">
        <f t="shared" si="8"/>
        <v>4498384</v>
      </c>
      <c r="AH9" s="135">
        <f t="shared" si="9"/>
        <v>858384.37</v>
      </c>
    </row>
    <row r="10" spans="2:34" s="27" customFormat="1">
      <c r="B10" s="313">
        <v>5</v>
      </c>
      <c r="C10" s="353" t="s">
        <v>98</v>
      </c>
      <c r="D10" s="170" t="s">
        <v>120</v>
      </c>
      <c r="E10" s="333">
        <v>972280226305000</v>
      </c>
      <c r="F10" s="326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78">
        <f>(3640000+47000)*4%</f>
        <v>147480</v>
      </c>
      <c r="N10" s="143">
        <v>67500</v>
      </c>
      <c r="O10" s="143">
        <v>44000</v>
      </c>
      <c r="P10" s="305">
        <v>1336069.21</v>
      </c>
      <c r="Q10" s="305"/>
      <c r="R10" s="143"/>
      <c r="S10" s="143">
        <v>47000</v>
      </c>
      <c r="T10" s="143"/>
      <c r="U10" s="143"/>
      <c r="V10" s="143"/>
      <c r="W10" s="143">
        <v>0</v>
      </c>
      <c r="X10" s="143"/>
      <c r="Y10" s="143"/>
      <c r="Z10" s="94">
        <f t="shared" si="10"/>
        <v>5312625</v>
      </c>
      <c r="AA10" s="95">
        <f t="shared" si="0"/>
        <v>0</v>
      </c>
      <c r="AB10" s="153">
        <f t="shared" si="4"/>
        <v>0</v>
      </c>
      <c r="AC10" s="135">
        <f t="shared" si="5"/>
        <v>5134569</v>
      </c>
      <c r="AD10" s="135">
        <f t="shared" si="6"/>
        <v>178056</v>
      </c>
      <c r="AE10" s="135">
        <f t="shared" si="7"/>
        <v>5312625</v>
      </c>
      <c r="AF10" s="135">
        <f t="shared" si="8"/>
        <v>5134569</v>
      </c>
      <c r="AH10" s="135">
        <f t="shared" si="9"/>
        <v>1494569.21</v>
      </c>
    </row>
    <row r="11" spans="2:34" s="27" customFormat="1">
      <c r="B11" s="313">
        <v>6</v>
      </c>
      <c r="C11" s="208" t="s">
        <v>99</v>
      </c>
      <c r="D11" s="170" t="s">
        <v>121</v>
      </c>
      <c r="E11" s="333">
        <v>972283014305000</v>
      </c>
      <c r="F11" s="326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305"/>
      <c r="Q11" s="305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10"/>
        <v>4027055</v>
      </c>
      <c r="AA11" s="95">
        <f t="shared" si="0"/>
        <v>0</v>
      </c>
      <c r="AB11" s="153">
        <f t="shared" si="4"/>
        <v>0</v>
      </c>
      <c r="AC11" s="135">
        <f t="shared" si="5"/>
        <v>3848999</v>
      </c>
      <c r="AD11" s="135">
        <f t="shared" si="6"/>
        <v>178056</v>
      </c>
      <c r="AE11" s="135">
        <f t="shared" si="7"/>
        <v>4027055</v>
      </c>
      <c r="AF11" s="135">
        <f t="shared" si="8"/>
        <v>3848999</v>
      </c>
      <c r="AH11" s="135">
        <f t="shared" si="9"/>
        <v>209000</v>
      </c>
    </row>
    <row r="12" spans="2:34" s="27" customFormat="1">
      <c r="B12" s="313">
        <v>7</v>
      </c>
      <c r="C12" s="208" t="s">
        <v>100</v>
      </c>
      <c r="D12" s="170" t="s">
        <v>122</v>
      </c>
      <c r="E12" s="333">
        <v>972283048305000</v>
      </c>
      <c r="F12" s="326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67">
        <f>(3640000+36500)*4%</f>
        <v>147060</v>
      </c>
      <c r="N12" s="143">
        <v>67500</v>
      </c>
      <c r="O12" s="143"/>
      <c r="P12" s="305">
        <v>2346011.29</v>
      </c>
      <c r="Q12" s="305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10"/>
        <v>6267647</v>
      </c>
      <c r="AA12" s="95">
        <f t="shared" si="0"/>
        <v>7.4999999999999997E-3</v>
      </c>
      <c r="AB12" s="153">
        <f t="shared" si="4"/>
        <v>47007</v>
      </c>
      <c r="AC12" s="135">
        <f t="shared" si="5"/>
        <v>6090011</v>
      </c>
      <c r="AD12" s="135">
        <f t="shared" si="6"/>
        <v>177636</v>
      </c>
      <c r="AE12" s="135">
        <f t="shared" si="7"/>
        <v>6267647</v>
      </c>
      <c r="AF12" s="135">
        <f t="shared" si="8"/>
        <v>6090011</v>
      </c>
      <c r="AH12" s="135">
        <f t="shared" si="9"/>
        <v>2450011.29</v>
      </c>
    </row>
    <row r="13" spans="2:34" s="27" customFormat="1">
      <c r="B13" s="313">
        <v>8</v>
      </c>
      <c r="C13" s="208" t="s">
        <v>101</v>
      </c>
      <c r="D13" s="170" t="s">
        <v>123</v>
      </c>
      <c r="E13" s="333">
        <v>972280150305000</v>
      </c>
      <c r="F13" s="326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67">
        <f>(3640000+43500)*4%</f>
        <v>147340</v>
      </c>
      <c r="N13" s="143">
        <v>162000</v>
      </c>
      <c r="O13" s="143"/>
      <c r="P13" s="305">
        <v>746936.33</v>
      </c>
      <c r="Q13" s="305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10"/>
        <v>4770352</v>
      </c>
      <c r="AA13" s="95">
        <f t="shared" si="0"/>
        <v>0</v>
      </c>
      <c r="AB13" s="153">
        <f t="shared" si="4"/>
        <v>0</v>
      </c>
      <c r="AC13" s="135">
        <f>Z13-AD13</f>
        <v>4592436</v>
      </c>
      <c r="AD13" s="135">
        <f t="shared" si="6"/>
        <v>177916</v>
      </c>
      <c r="AE13" s="135">
        <f t="shared" si="7"/>
        <v>4770352</v>
      </c>
      <c r="AF13" s="135">
        <f t="shared" si="8"/>
        <v>4592436</v>
      </c>
      <c r="AH13" s="135">
        <f t="shared" si="9"/>
        <v>952436.33</v>
      </c>
    </row>
    <row r="14" spans="2:34" s="27" customFormat="1">
      <c r="B14" s="313">
        <v>9</v>
      </c>
      <c r="C14" s="208" t="s">
        <v>104</v>
      </c>
      <c r="D14" s="170" t="s">
        <v>126</v>
      </c>
      <c r="E14" s="333">
        <v>972285720305000</v>
      </c>
      <c r="F14" s="326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10"/>
        <v>3987615</v>
      </c>
      <c r="AA14" s="95">
        <f t="shared" si="0"/>
        <v>0</v>
      </c>
      <c r="AB14" s="153">
        <f t="shared" si="4"/>
        <v>0</v>
      </c>
      <c r="AC14" s="135">
        <f t="shared" si="5"/>
        <v>3808999</v>
      </c>
      <c r="AD14" s="135">
        <f t="shared" si="6"/>
        <v>178616</v>
      </c>
      <c r="AE14" s="135">
        <f t="shared" si="7"/>
        <v>3987615</v>
      </c>
      <c r="AF14" s="135">
        <f t="shared" si="8"/>
        <v>3808999</v>
      </c>
      <c r="AH14" s="135">
        <f t="shared" si="9"/>
        <v>169000</v>
      </c>
    </row>
    <row r="15" spans="2:34" s="27" customFormat="1">
      <c r="B15" s="313">
        <v>10</v>
      </c>
      <c r="C15" s="208" t="s">
        <v>105</v>
      </c>
      <c r="D15" s="170" t="s">
        <v>127</v>
      </c>
      <c r="E15" s="333">
        <v>743653768305000</v>
      </c>
      <c r="F15" s="326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67">
        <f>(3640000+30000)*4%</f>
        <v>146800</v>
      </c>
      <c r="N15" s="143">
        <v>135000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10"/>
        <v>3982375</v>
      </c>
      <c r="AA15" s="95">
        <f t="shared" si="0"/>
        <v>0</v>
      </c>
      <c r="AB15" s="153">
        <f t="shared" si="4"/>
        <v>0</v>
      </c>
      <c r="AC15" s="135">
        <f t="shared" si="5"/>
        <v>3804999</v>
      </c>
      <c r="AD15" s="135">
        <f t="shared" si="6"/>
        <v>177376</v>
      </c>
      <c r="AE15" s="135">
        <f t="shared" si="7"/>
        <v>3982375</v>
      </c>
      <c r="AF15" s="135">
        <f t="shared" si="8"/>
        <v>3804999</v>
      </c>
      <c r="AH15" s="135">
        <f t="shared" si="9"/>
        <v>165000</v>
      </c>
    </row>
    <row r="16" spans="2:34" s="27" customFormat="1">
      <c r="B16" s="339"/>
      <c r="C16" s="340" t="s">
        <v>106</v>
      </c>
      <c r="D16" s="341" t="s">
        <v>128</v>
      </c>
      <c r="E16" s="342">
        <v>972283287305000</v>
      </c>
      <c r="F16" s="343" t="s">
        <v>151</v>
      </c>
      <c r="G16" s="344" t="s">
        <v>88</v>
      </c>
      <c r="H16" s="345" t="s">
        <v>39</v>
      </c>
      <c r="I16" s="346" t="s">
        <v>9</v>
      </c>
      <c r="J16" s="347" t="str">
        <f t="shared" si="1"/>
        <v>TER B</v>
      </c>
      <c r="K16" s="348">
        <v>0</v>
      </c>
      <c r="L16" s="348">
        <v>0</v>
      </c>
      <c r="M16" s="348">
        <v>0</v>
      </c>
      <c r="N16" s="349">
        <v>0</v>
      </c>
      <c r="O16" s="349"/>
      <c r="P16" s="349">
        <v>0</v>
      </c>
      <c r="Q16" s="349"/>
      <c r="R16" s="349"/>
      <c r="S16" s="349">
        <v>0</v>
      </c>
      <c r="T16" s="349"/>
      <c r="U16" s="349"/>
      <c r="V16" s="349"/>
      <c r="W16" s="349">
        <v>0</v>
      </c>
      <c r="X16" s="349"/>
      <c r="Y16" s="349"/>
      <c r="Z16" s="94">
        <f t="shared" si="10"/>
        <v>0</v>
      </c>
      <c r="AA16" s="350">
        <f t="shared" si="0"/>
        <v>0</v>
      </c>
      <c r="AB16" s="153">
        <f t="shared" si="4"/>
        <v>0</v>
      </c>
      <c r="AC16" s="135">
        <f t="shared" si="5"/>
        <v>0</v>
      </c>
      <c r="AD16" s="135">
        <f t="shared" si="6"/>
        <v>0</v>
      </c>
      <c r="AE16" s="135">
        <f t="shared" si="7"/>
        <v>0</v>
      </c>
      <c r="AF16" s="135">
        <f t="shared" si="8"/>
        <v>0</v>
      </c>
      <c r="AH16" s="135">
        <f t="shared" si="9"/>
        <v>0</v>
      </c>
    </row>
    <row r="17" spans="2:34" s="27" customFormat="1">
      <c r="B17" s="313">
        <v>11</v>
      </c>
      <c r="C17" s="208" t="s">
        <v>107</v>
      </c>
      <c r="D17" s="170" t="s">
        <v>129</v>
      </c>
      <c r="E17" s="334">
        <v>972282966305000</v>
      </c>
      <c r="F17" s="326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305">
        <v>160000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 t="shared" si="10"/>
        <v>4174615</v>
      </c>
      <c r="AA17" s="95">
        <f t="shared" si="0"/>
        <v>0</v>
      </c>
      <c r="AB17" s="153">
        <f t="shared" si="4"/>
        <v>0</v>
      </c>
      <c r="AC17" s="135">
        <f t="shared" si="5"/>
        <v>3995999</v>
      </c>
      <c r="AD17" s="135">
        <f t="shared" si="6"/>
        <v>178616</v>
      </c>
      <c r="AE17" s="135">
        <f t="shared" si="7"/>
        <v>4174615</v>
      </c>
      <c r="AF17" s="135">
        <f t="shared" si="8"/>
        <v>3995999</v>
      </c>
      <c r="AH17" s="135">
        <f t="shared" si="9"/>
        <v>356000</v>
      </c>
    </row>
    <row r="18" spans="2:34" s="27" customFormat="1">
      <c r="B18" s="313">
        <v>12</v>
      </c>
      <c r="C18" s="208" t="s">
        <v>102</v>
      </c>
      <c r="D18" s="175" t="s">
        <v>124</v>
      </c>
      <c r="E18" s="333">
        <v>972280218305000</v>
      </c>
      <c r="F18" s="326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305"/>
      <c r="R18" s="143"/>
      <c r="S18" s="143">
        <v>47000</v>
      </c>
      <c r="T18" s="143"/>
      <c r="U18" s="143"/>
      <c r="V18" s="143"/>
      <c r="W18" s="143">
        <v>0</v>
      </c>
      <c r="X18" s="143"/>
      <c r="Y18" s="143"/>
      <c r="Z18" s="94">
        <f t="shared" si="10"/>
        <v>3973055</v>
      </c>
      <c r="AA18" s="95">
        <f t="shared" si="0"/>
        <v>0</v>
      </c>
      <c r="AB18" s="153">
        <f t="shared" si="4"/>
        <v>0</v>
      </c>
      <c r="AC18" s="135">
        <f t="shared" si="5"/>
        <v>3794999</v>
      </c>
      <c r="AD18" s="135">
        <f t="shared" si="6"/>
        <v>178056</v>
      </c>
      <c r="AE18" s="135">
        <f t="shared" si="7"/>
        <v>3973055</v>
      </c>
      <c r="AF18" s="135">
        <f t="shared" si="8"/>
        <v>3794999</v>
      </c>
      <c r="AH18" s="135">
        <f t="shared" si="9"/>
        <v>155000</v>
      </c>
    </row>
    <row r="19" spans="2:34" s="27" customFormat="1">
      <c r="B19" s="313">
        <v>13</v>
      </c>
      <c r="C19" s="208" t="s">
        <v>108</v>
      </c>
      <c r="D19" s="170" t="s">
        <v>130</v>
      </c>
      <c r="E19" s="334">
        <v>972285506305000</v>
      </c>
      <c r="F19" s="326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67">
        <f>(3640000+47000)*4%</f>
        <v>147480</v>
      </c>
      <c r="N19" s="143">
        <v>126000</v>
      </c>
      <c r="O19" s="143"/>
      <c r="P19" s="305">
        <v>378728.28</v>
      </c>
      <c r="Q19" s="305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10"/>
        <v>4127117</v>
      </c>
      <c r="AA19" s="95">
        <f t="shared" si="0"/>
        <v>0</v>
      </c>
      <c r="AB19" s="153">
        <f t="shared" si="4"/>
        <v>0</v>
      </c>
      <c r="AC19" s="135">
        <f t="shared" si="5"/>
        <v>3949061</v>
      </c>
      <c r="AD19" s="135">
        <f t="shared" si="6"/>
        <v>178056</v>
      </c>
      <c r="AE19" s="135">
        <f t="shared" si="7"/>
        <v>4127117</v>
      </c>
      <c r="AF19" s="135">
        <f t="shared" si="8"/>
        <v>3949061</v>
      </c>
      <c r="AH19" s="135">
        <f t="shared" si="9"/>
        <v>309061.62</v>
      </c>
    </row>
    <row r="20" spans="2:34" s="27" customFormat="1">
      <c r="B20" s="313">
        <v>14</v>
      </c>
      <c r="C20" s="208" t="s">
        <v>110</v>
      </c>
      <c r="D20" s="170" t="s">
        <v>132</v>
      </c>
      <c r="E20" s="334">
        <v>972374425305000</v>
      </c>
      <c r="F20" s="326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3639999.9</v>
      </c>
      <c r="L20" s="51">
        <f t="shared" si="3"/>
        <v>30575.999999999996</v>
      </c>
      <c r="M20" s="267">
        <f>(3640000+50500)*4%</f>
        <v>147620</v>
      </c>
      <c r="N20" s="143">
        <v>162000</v>
      </c>
      <c r="O20" s="143"/>
      <c r="P20" s="305">
        <v>4292253.84</v>
      </c>
      <c r="Q20" s="305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10"/>
        <v>8322949</v>
      </c>
      <c r="AA20" s="95">
        <f t="shared" si="0"/>
        <v>0.01</v>
      </c>
      <c r="AB20" s="153">
        <f t="shared" si="4"/>
        <v>83229</v>
      </c>
      <c r="AC20" s="135">
        <f t="shared" si="5"/>
        <v>8144753</v>
      </c>
      <c r="AD20" s="135">
        <f t="shared" si="6"/>
        <v>178196</v>
      </c>
      <c r="AE20" s="135">
        <f t="shared" si="7"/>
        <v>8322949</v>
      </c>
      <c r="AF20" s="135">
        <f t="shared" si="8"/>
        <v>8144753</v>
      </c>
      <c r="AH20" s="135">
        <f t="shared" si="9"/>
        <v>4504753.84</v>
      </c>
    </row>
    <row r="21" spans="2:34" s="27" customFormat="1">
      <c r="B21" s="313">
        <v>15</v>
      </c>
      <c r="C21" s="208" t="s">
        <v>113</v>
      </c>
      <c r="D21" s="170" t="s">
        <v>135</v>
      </c>
      <c r="E21" s="334">
        <v>972285704305000</v>
      </c>
      <c r="F21" s="326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3639999.9</v>
      </c>
      <c r="L21" s="51">
        <f t="shared" si="3"/>
        <v>30575.999999999996</v>
      </c>
      <c r="M21" s="267">
        <f>(3640000+61000)*4%</f>
        <v>148040</v>
      </c>
      <c r="N21" s="143">
        <v>151200</v>
      </c>
      <c r="O21" s="143"/>
      <c r="P21" s="305">
        <v>378728.28</v>
      </c>
      <c r="Q21" s="305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10"/>
        <v>4166877</v>
      </c>
      <c r="AA21" s="95">
        <f t="shared" si="0"/>
        <v>0</v>
      </c>
      <c r="AB21" s="153">
        <f t="shared" si="4"/>
        <v>0</v>
      </c>
      <c r="AC21" s="135">
        <f t="shared" si="5"/>
        <v>3988261</v>
      </c>
      <c r="AD21" s="135">
        <f t="shared" si="6"/>
        <v>178616</v>
      </c>
      <c r="AE21" s="135">
        <f t="shared" si="7"/>
        <v>4166877</v>
      </c>
      <c r="AF21" s="135">
        <f t="shared" si="8"/>
        <v>3988261</v>
      </c>
      <c r="AH21" s="135">
        <f t="shared" si="9"/>
        <v>348261.62</v>
      </c>
    </row>
    <row r="22" spans="2:34" s="27" customFormat="1">
      <c r="B22" s="313">
        <v>16</v>
      </c>
      <c r="C22" s="353" t="s">
        <v>164</v>
      </c>
      <c r="D22" s="170" t="s">
        <v>136</v>
      </c>
      <c r="E22" s="206">
        <v>269338422305000</v>
      </c>
      <c r="F22" s="326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193">
        <f>30*123833.33</f>
        <v>3714999.9</v>
      </c>
      <c r="L22" s="231">
        <f>3715000*0.84%</f>
        <v>31205.999999999996</v>
      </c>
      <c r="M22" s="267">
        <f>(3715000+5000)*4%</f>
        <v>148800</v>
      </c>
      <c r="N22" s="143">
        <v>67500</v>
      </c>
      <c r="O22" s="143"/>
      <c r="P22" s="305">
        <v>1900447.73</v>
      </c>
      <c r="Q22" s="305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10"/>
        <v>5867953</v>
      </c>
      <c r="AA22" s="95">
        <f t="shared" si="0"/>
        <v>5.0000000000000001E-3</v>
      </c>
      <c r="AB22" s="153">
        <f t="shared" si="4"/>
        <v>29339</v>
      </c>
      <c r="AC22" s="135">
        <f t="shared" si="5"/>
        <v>5687947</v>
      </c>
      <c r="AD22" s="135">
        <f t="shared" si="6"/>
        <v>180006</v>
      </c>
      <c r="AE22" s="135">
        <f t="shared" si="7"/>
        <v>5867953</v>
      </c>
      <c r="AF22" s="135">
        <f t="shared" si="8"/>
        <v>5687947</v>
      </c>
      <c r="AH22" s="135">
        <f t="shared" si="9"/>
        <v>1972947.73</v>
      </c>
    </row>
    <row r="23" spans="2:34" s="27" customFormat="1">
      <c r="B23" s="313">
        <v>17</v>
      </c>
      <c r="C23" s="210" t="s">
        <v>115</v>
      </c>
      <c r="D23" s="177" t="s">
        <v>139</v>
      </c>
      <c r="E23" s="335">
        <v>972285225305000</v>
      </c>
      <c r="F23" s="326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51">
        <f>30*121333.33</f>
        <v>3639999.9</v>
      </c>
      <c r="L23" s="51">
        <f>3640000*0.84%</f>
        <v>30575.999999999996</v>
      </c>
      <c r="M23" s="267">
        <f>(3640000+47000)*4%</f>
        <v>147480</v>
      </c>
      <c r="N23" s="51">
        <v>108000</v>
      </c>
      <c r="O23" s="51"/>
      <c r="P23" s="267">
        <v>294566.44</v>
      </c>
      <c r="Q23" s="267">
        <v>80000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10"/>
        <v>4347622</v>
      </c>
      <c r="AA23" s="95">
        <f t="shared" si="0"/>
        <v>0</v>
      </c>
      <c r="AB23" s="153">
        <f t="shared" si="4"/>
        <v>0</v>
      </c>
      <c r="AC23" s="135">
        <f t="shared" si="5"/>
        <v>4169566</v>
      </c>
      <c r="AD23" s="135">
        <f t="shared" si="6"/>
        <v>178056</v>
      </c>
      <c r="AE23" s="135">
        <f t="shared" si="7"/>
        <v>4347622</v>
      </c>
      <c r="AF23" s="135">
        <f t="shared" si="8"/>
        <v>4169566</v>
      </c>
      <c r="AH23" s="135">
        <f t="shared" si="9"/>
        <v>529566.43999999994</v>
      </c>
    </row>
    <row r="24" spans="2:34" s="27" customFormat="1">
      <c r="B24" s="313">
        <v>18</v>
      </c>
      <c r="C24" s="208" t="s">
        <v>103</v>
      </c>
      <c r="D24" s="175" t="s">
        <v>125</v>
      </c>
      <c r="E24" s="333">
        <v>972280259305000</v>
      </c>
      <c r="F24" s="326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51">
        <f t="shared" ref="K24:K31" si="11">30*121333.33</f>
        <v>3639999.9</v>
      </c>
      <c r="L24" s="51">
        <f t="shared" ref="L24:L31" si="12">3640000*0.84%</f>
        <v>30575.999999999996</v>
      </c>
      <c r="M24" s="267">
        <f>(3640000+47000)*4%</f>
        <v>147480</v>
      </c>
      <c r="N24" s="51">
        <v>162000</v>
      </c>
      <c r="O24" s="51">
        <v>72000</v>
      </c>
      <c r="P24" s="51">
        <v>2987745.32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10"/>
        <v>7086801</v>
      </c>
      <c r="AA24" s="95">
        <f t="shared" si="0"/>
        <v>7.4999999999999997E-3</v>
      </c>
      <c r="AB24" s="153">
        <f t="shared" si="4"/>
        <v>53151</v>
      </c>
      <c r="AC24" s="135">
        <f t="shared" si="5"/>
        <v>6908745</v>
      </c>
      <c r="AD24" s="135">
        <f t="shared" si="6"/>
        <v>178056</v>
      </c>
      <c r="AE24" s="135">
        <f t="shared" si="7"/>
        <v>7086801</v>
      </c>
      <c r="AF24" s="135">
        <f t="shared" si="8"/>
        <v>6908745</v>
      </c>
      <c r="AH24" s="135">
        <f t="shared" si="9"/>
        <v>3268745.32</v>
      </c>
    </row>
    <row r="25" spans="2:34" s="27" customFormat="1">
      <c r="B25" s="313">
        <v>19</v>
      </c>
      <c r="C25" s="208" t="s">
        <v>109</v>
      </c>
      <c r="D25" s="170" t="s">
        <v>131</v>
      </c>
      <c r="E25" s="334">
        <v>972286066305000</v>
      </c>
      <c r="F25" s="326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51">
        <f t="shared" si="11"/>
        <v>3639999.9</v>
      </c>
      <c r="L25" s="51">
        <f t="shared" si="12"/>
        <v>30575.999999999996</v>
      </c>
      <c r="M25" s="267">
        <f>(3640000+61000)*4%</f>
        <v>148040</v>
      </c>
      <c r="N25" s="51">
        <v>162000</v>
      </c>
      <c r="O25" s="51">
        <v>48000</v>
      </c>
      <c r="P25" s="51">
        <v>2987745.32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10"/>
        <v>7077361</v>
      </c>
      <c r="AA25" s="95">
        <f t="shared" si="0"/>
        <v>7.4999999999999997E-3</v>
      </c>
      <c r="AB25" s="153">
        <f t="shared" si="4"/>
        <v>53080</v>
      </c>
      <c r="AC25" s="135">
        <f>Z25-AD25</f>
        <v>6898745</v>
      </c>
      <c r="AD25" s="135">
        <f t="shared" si="6"/>
        <v>178616</v>
      </c>
      <c r="AE25" s="135">
        <f t="shared" si="7"/>
        <v>7077361</v>
      </c>
      <c r="AF25" s="135">
        <f t="shared" si="8"/>
        <v>6898745</v>
      </c>
      <c r="AH25" s="135">
        <f t="shared" si="9"/>
        <v>3258745.32</v>
      </c>
    </row>
    <row r="26" spans="2:34" s="27" customFormat="1">
      <c r="B26" s="313">
        <v>20</v>
      </c>
      <c r="C26" s="208" t="s">
        <v>111</v>
      </c>
      <c r="D26" s="170" t="s">
        <v>133</v>
      </c>
      <c r="E26" s="334">
        <v>743653420305000</v>
      </c>
      <c r="F26" s="326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51">
        <f t="shared" si="11"/>
        <v>3639999.9</v>
      </c>
      <c r="L26" s="51">
        <f t="shared" si="12"/>
        <v>30575.999999999996</v>
      </c>
      <c r="M26" s="267">
        <f>(3640000+24000)*4%</f>
        <v>146560</v>
      </c>
      <c r="N26" s="51">
        <v>108000</v>
      </c>
      <c r="O26" s="51">
        <v>69000</v>
      </c>
      <c r="P26" s="51">
        <v>2577456.3499999996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10"/>
        <v>7153725</v>
      </c>
      <c r="AA26" s="95">
        <f t="shared" si="0"/>
        <v>1.2500000000000001E-2</v>
      </c>
      <c r="AB26" s="153">
        <f t="shared" si="4"/>
        <v>89421</v>
      </c>
      <c r="AC26" s="135">
        <f t="shared" si="5"/>
        <v>6976589</v>
      </c>
      <c r="AD26" s="135">
        <f t="shared" si="6"/>
        <v>177136</v>
      </c>
      <c r="AE26" s="135">
        <f t="shared" si="7"/>
        <v>7153725</v>
      </c>
      <c r="AF26" s="135">
        <f t="shared" si="8"/>
        <v>6976589</v>
      </c>
      <c r="AH26" s="135">
        <f t="shared" si="9"/>
        <v>3336589.76</v>
      </c>
    </row>
    <row r="27" spans="2:34" s="27" customFormat="1">
      <c r="B27" s="313">
        <v>21</v>
      </c>
      <c r="C27" s="211" t="s">
        <v>112</v>
      </c>
      <c r="D27" s="170" t="s">
        <v>134</v>
      </c>
      <c r="E27" s="334">
        <v>972285597305000</v>
      </c>
      <c r="F27" s="326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51">
        <f t="shared" si="11"/>
        <v>3639999.9</v>
      </c>
      <c r="L27" s="51">
        <f t="shared" si="12"/>
        <v>30575.999999999996</v>
      </c>
      <c r="M27" s="267">
        <f>(3640000+43500)*4%</f>
        <v>147340</v>
      </c>
      <c r="N27" s="51">
        <v>162000</v>
      </c>
      <c r="O27" s="51">
        <v>66000</v>
      </c>
      <c r="P27" s="51">
        <v>2398612.44</v>
      </c>
      <c r="Q27" s="51"/>
      <c r="R27" s="51">
        <v>436800.06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10"/>
        <v>6924828</v>
      </c>
      <c r="AA27" s="95">
        <f t="shared" si="0"/>
        <v>7.4999999999999997E-3</v>
      </c>
      <c r="AB27" s="153">
        <f t="shared" si="4"/>
        <v>51936</v>
      </c>
      <c r="AC27" s="135">
        <f t="shared" si="5"/>
        <v>6746912</v>
      </c>
      <c r="AD27" s="135">
        <f t="shared" si="6"/>
        <v>177916</v>
      </c>
      <c r="AE27" s="135">
        <f t="shared" si="7"/>
        <v>6924828</v>
      </c>
      <c r="AF27" s="135">
        <f t="shared" si="8"/>
        <v>6746912</v>
      </c>
      <c r="AH27" s="135">
        <f t="shared" si="9"/>
        <v>3106912.5</v>
      </c>
    </row>
    <row r="28" spans="2:34" s="27" customFormat="1">
      <c r="B28" s="313">
        <v>22</v>
      </c>
      <c r="C28" s="211" t="s">
        <v>114</v>
      </c>
      <c r="D28" s="170" t="s">
        <v>137</v>
      </c>
      <c r="E28" s="333">
        <v>972280192305000</v>
      </c>
      <c r="F28" s="326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51">
        <f t="shared" si="11"/>
        <v>3639999.9</v>
      </c>
      <c r="L28" s="51">
        <f t="shared" si="12"/>
        <v>30575.999999999996</v>
      </c>
      <c r="M28" s="267">
        <f>(3640000+47000)*4%</f>
        <v>147480</v>
      </c>
      <c r="N28" s="51">
        <v>135000</v>
      </c>
      <c r="O28" s="51">
        <v>69000</v>
      </c>
      <c r="P28" s="51">
        <v>2072485.31</v>
      </c>
      <c r="Q28" s="51"/>
      <c r="R28" s="51"/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10"/>
        <v>6141541</v>
      </c>
      <c r="AA28" s="95">
        <f t="shared" si="0"/>
        <v>0</v>
      </c>
      <c r="AB28" s="153">
        <f t="shared" si="4"/>
        <v>0</v>
      </c>
      <c r="AC28" s="135">
        <f t="shared" si="5"/>
        <v>5963485</v>
      </c>
      <c r="AD28" s="135">
        <f t="shared" si="6"/>
        <v>178056</v>
      </c>
      <c r="AE28" s="135">
        <f t="shared" si="7"/>
        <v>6141541</v>
      </c>
      <c r="AF28" s="135">
        <f t="shared" si="8"/>
        <v>5963485</v>
      </c>
      <c r="AH28" s="135">
        <f t="shared" si="9"/>
        <v>2323485.31</v>
      </c>
    </row>
    <row r="29" spans="2:34" s="27" customFormat="1">
      <c r="B29" s="313">
        <v>23</v>
      </c>
      <c r="C29" s="307" t="s">
        <v>108</v>
      </c>
      <c r="D29" s="177" t="s">
        <v>138</v>
      </c>
      <c r="E29" s="335">
        <v>972283733305000</v>
      </c>
      <c r="F29" s="326" t="s">
        <v>160</v>
      </c>
      <c r="G29" s="308" t="s">
        <v>87</v>
      </c>
      <c r="H29" s="106" t="s">
        <v>39</v>
      </c>
      <c r="I29" s="107" t="s">
        <v>9</v>
      </c>
      <c r="J29" s="309" t="str">
        <f t="shared" si="1"/>
        <v>TER B</v>
      </c>
      <c r="K29" s="51">
        <f t="shared" si="11"/>
        <v>3639999.9</v>
      </c>
      <c r="L29" s="51">
        <f t="shared" si="12"/>
        <v>30575.999999999996</v>
      </c>
      <c r="M29" s="314">
        <f>(3640000+47000)*4%</f>
        <v>147480</v>
      </c>
      <c r="N29" s="310">
        <v>130500</v>
      </c>
      <c r="O29" s="310">
        <v>69000</v>
      </c>
      <c r="P29" s="310">
        <v>441849.66000000003</v>
      </c>
      <c r="Q29" s="310"/>
      <c r="R29" s="310">
        <v>48533.34</v>
      </c>
      <c r="S29" s="310">
        <v>47000</v>
      </c>
      <c r="T29" s="310"/>
      <c r="U29" s="310"/>
      <c r="V29" s="310"/>
      <c r="W29" s="310">
        <v>-121333.33</v>
      </c>
      <c r="X29" s="310"/>
      <c r="Y29" s="310"/>
      <c r="Z29" s="94">
        <f t="shared" si="10"/>
        <v>4433605</v>
      </c>
      <c r="AA29" s="311">
        <f t="shared" si="0"/>
        <v>0</v>
      </c>
      <c r="AB29" s="153">
        <f t="shared" si="4"/>
        <v>0</v>
      </c>
      <c r="AC29" s="135">
        <f t="shared" si="5"/>
        <v>4255549</v>
      </c>
      <c r="AD29" s="135">
        <f t="shared" si="6"/>
        <v>178056</v>
      </c>
      <c r="AE29" s="135">
        <f t="shared" si="7"/>
        <v>4433605</v>
      </c>
      <c r="AF29" s="135">
        <f t="shared" si="8"/>
        <v>4255549</v>
      </c>
      <c r="AH29" s="135">
        <f t="shared" si="9"/>
        <v>615549.67000000004</v>
      </c>
    </row>
    <row r="30" spans="2:34" s="27" customFormat="1">
      <c r="B30" s="313">
        <v>24</v>
      </c>
      <c r="C30" s="352" t="s">
        <v>200</v>
      </c>
      <c r="D30" s="321" t="s">
        <v>196</v>
      </c>
      <c r="E30" s="331" t="s">
        <v>73</v>
      </c>
      <c r="F30" s="329" t="s">
        <v>198</v>
      </c>
      <c r="G30" s="154" t="s">
        <v>88</v>
      </c>
      <c r="H30" s="337" t="s">
        <v>39</v>
      </c>
      <c r="I30" s="351" t="s">
        <v>17</v>
      </c>
      <c r="J30" s="217" t="str">
        <f t="shared" si="1"/>
        <v>TER A</v>
      </c>
      <c r="K30" s="51">
        <f t="shared" si="11"/>
        <v>3639999.9</v>
      </c>
      <c r="L30" s="51">
        <f t="shared" si="12"/>
        <v>30575.999999999996</v>
      </c>
      <c r="M30" s="314">
        <f>(3640000+10000)*4%</f>
        <v>146000</v>
      </c>
      <c r="N30" s="51">
        <v>130500</v>
      </c>
      <c r="O30" s="51"/>
      <c r="P30" s="267">
        <v>504971.04</v>
      </c>
      <c r="Q30" s="51"/>
      <c r="R30" s="51"/>
      <c r="S30" s="51">
        <v>10000</v>
      </c>
      <c r="T30" s="51"/>
      <c r="U30" s="51"/>
      <c r="V30" s="51"/>
      <c r="W30" s="51">
        <v>-121333.33</v>
      </c>
      <c r="X30" s="51"/>
      <c r="Y30" s="51"/>
      <c r="Z30" s="94">
        <f t="shared" si="10"/>
        <v>4340713</v>
      </c>
      <c r="AA30" s="311">
        <f t="shared" si="0"/>
        <v>0</v>
      </c>
      <c r="AB30" s="153">
        <f t="shared" si="4"/>
        <v>0</v>
      </c>
      <c r="AC30" s="135">
        <f t="shared" si="5"/>
        <v>4164137</v>
      </c>
      <c r="AD30" s="135">
        <f t="shared" si="6"/>
        <v>176576</v>
      </c>
      <c r="AE30" s="135">
        <f t="shared" si="7"/>
        <v>4340713</v>
      </c>
      <c r="AF30" s="135">
        <f t="shared" si="8"/>
        <v>4164137</v>
      </c>
      <c r="AH30" s="135">
        <f t="shared" si="9"/>
        <v>524137.71</v>
      </c>
    </row>
    <row r="31" spans="2:34" s="27" customFormat="1">
      <c r="B31" s="313">
        <v>25</v>
      </c>
      <c r="C31" s="315" t="s">
        <v>194</v>
      </c>
      <c r="D31" s="321" t="s">
        <v>197</v>
      </c>
      <c r="E31" s="336" t="s">
        <v>195</v>
      </c>
      <c r="F31" s="330" t="s">
        <v>199</v>
      </c>
      <c r="G31" s="154" t="s">
        <v>88</v>
      </c>
      <c r="H31" s="338" t="s">
        <v>39</v>
      </c>
      <c r="I31" s="322" t="s">
        <v>9</v>
      </c>
      <c r="J31" s="309" t="str">
        <f t="shared" si="1"/>
        <v>TER B</v>
      </c>
      <c r="K31" s="310">
        <f t="shared" si="11"/>
        <v>3639999.9</v>
      </c>
      <c r="L31" s="310">
        <f t="shared" si="12"/>
        <v>30575.999999999996</v>
      </c>
      <c r="M31" s="314">
        <f>(3640000+43500)*4%</f>
        <v>147340</v>
      </c>
      <c r="N31" s="299">
        <v>130500</v>
      </c>
      <c r="O31" s="299"/>
      <c r="P31" s="328">
        <v>504971.04</v>
      </c>
      <c r="Q31" s="299"/>
      <c r="R31" s="299"/>
      <c r="S31" s="299">
        <v>43500</v>
      </c>
      <c r="T31" s="299"/>
      <c r="U31" s="299"/>
      <c r="V31" s="299"/>
      <c r="W31" s="299">
        <v>-121333.33</v>
      </c>
      <c r="X31" s="299"/>
      <c r="Y31" s="299"/>
      <c r="Z31" s="94">
        <f t="shared" si="10"/>
        <v>4375553</v>
      </c>
      <c r="AA31" s="311">
        <f t="shared" si="0"/>
        <v>0</v>
      </c>
      <c r="AB31" s="153">
        <f t="shared" si="4"/>
        <v>0</v>
      </c>
      <c r="AC31" s="135">
        <f t="shared" si="5"/>
        <v>4197637</v>
      </c>
      <c r="AD31" s="135">
        <f>L31+M31</f>
        <v>177916</v>
      </c>
      <c r="AE31" s="135">
        <f t="shared" si="7"/>
        <v>4375553</v>
      </c>
      <c r="AF31" s="135">
        <f t="shared" si="8"/>
        <v>4197637</v>
      </c>
      <c r="AH31" s="135">
        <f t="shared" si="9"/>
        <v>557637.71000000008</v>
      </c>
    </row>
    <row r="32" spans="2:34" s="58" customFormat="1" ht="13.5" thickBot="1">
      <c r="B32" s="316"/>
      <c r="C32" s="317"/>
      <c r="D32" s="317"/>
      <c r="E32" s="317"/>
      <c r="F32" s="323"/>
      <c r="G32" s="323"/>
      <c r="H32" s="323"/>
      <c r="I32" s="317"/>
      <c r="J32" s="318" t="str">
        <f t="shared" si="1"/>
        <v/>
      </c>
      <c r="K32" s="319">
        <f t="shared" ref="K32:Q32" si="13">SUM(K6:K31)</f>
        <v>91074997.500000015</v>
      </c>
      <c r="L32" s="319">
        <f t="shared" si="13"/>
        <v>765029.99999999988</v>
      </c>
      <c r="M32" s="319">
        <f t="shared" si="13"/>
        <v>3687760</v>
      </c>
      <c r="N32" s="312">
        <f t="shared" si="13"/>
        <v>3125700</v>
      </c>
      <c r="O32" s="312">
        <f t="shared" si="13"/>
        <v>437000</v>
      </c>
      <c r="P32" s="312">
        <f>SUM(P6:P31)</f>
        <v>31483334.489999998</v>
      </c>
      <c r="Q32" s="312">
        <f t="shared" si="13"/>
        <v>720000</v>
      </c>
      <c r="R32" s="312">
        <f>SUM(R6:R31)</f>
        <v>1043466.8099999999</v>
      </c>
      <c r="S32" s="312">
        <f>SUM(S6:S31)</f>
        <v>1119000</v>
      </c>
      <c r="T32" s="312"/>
      <c r="U32" s="312"/>
      <c r="V32" s="312"/>
      <c r="W32" s="312">
        <f>SUM(W6:W31)</f>
        <v>-849333.30999999994</v>
      </c>
      <c r="X32" s="312"/>
      <c r="Y32" s="312"/>
      <c r="Z32" s="319">
        <f>SUM(Z6:Z31)</f>
        <v>132606942</v>
      </c>
      <c r="AA32" s="319">
        <f>SUM(AA6:AA29)</f>
        <v>7.0000000000000007E-2</v>
      </c>
      <c r="AB32" s="319">
        <f>SUM(AB6:AB31)</f>
        <v>498582</v>
      </c>
      <c r="AC32" s="327">
        <f>SUM(AC6:AC31)</f>
        <v>128154152</v>
      </c>
      <c r="AD32" s="327">
        <f>SUM(AD6:AD31)</f>
        <v>4452790</v>
      </c>
      <c r="AE32" s="327">
        <f>SUM(AE6:AE31)</f>
        <v>132606942</v>
      </c>
      <c r="AH32" s="327">
        <f>SUM(AH6:AH31)</f>
        <v>37079167.99000001</v>
      </c>
    </row>
    <row r="33" spans="2:53">
      <c r="K33" s="28">
        <f>+'[8]GAJI '!$G$61+'[8]GAJI '!$G$31</f>
        <v>90225666.666666657</v>
      </c>
      <c r="Z33" s="28">
        <f>+'[8]GAJI '!$AH$30+'[8]GAJI '!$AH$60</f>
        <v>128154167.96666665</v>
      </c>
    </row>
    <row r="34" spans="2:53">
      <c r="B34" s="57" t="s">
        <v>48</v>
      </c>
      <c r="K34" s="28">
        <f>K32-K33</f>
        <v>849330.83333335817</v>
      </c>
      <c r="M34" s="61"/>
      <c r="N34" s="61"/>
      <c r="O34" s="61"/>
      <c r="P34" s="61"/>
      <c r="Q34" s="61"/>
      <c r="Z34" s="28">
        <f>Z32-Z33</f>
        <v>4452774.0333333462</v>
      </c>
    </row>
    <row r="35" spans="2:53">
      <c r="B35" s="27" t="s">
        <v>49</v>
      </c>
      <c r="M35" s="61"/>
      <c r="N35" s="61"/>
      <c r="O35" s="61"/>
      <c r="P35" s="61"/>
      <c r="Q35" s="61"/>
    </row>
    <row r="36" spans="2:53">
      <c r="B36" s="27" t="s">
        <v>57</v>
      </c>
      <c r="M36" s="61"/>
      <c r="N36" s="61"/>
      <c r="O36" s="61"/>
      <c r="P36" s="61"/>
      <c r="Q36" s="61"/>
    </row>
    <row r="37" spans="2:53">
      <c r="B37" s="27" t="s">
        <v>50</v>
      </c>
      <c r="M37" s="61"/>
      <c r="N37" s="61"/>
      <c r="O37" s="61"/>
      <c r="P37" s="61"/>
      <c r="Q37" s="61"/>
    </row>
    <row r="38" spans="2:53" s="33" customFormat="1">
      <c r="B38" s="27" t="s">
        <v>58</v>
      </c>
      <c r="C38" s="28"/>
      <c r="D38" s="245"/>
      <c r="E38" s="30"/>
      <c r="F38" s="28"/>
      <c r="G38" s="31"/>
      <c r="H38" s="246"/>
      <c r="I38" s="246"/>
      <c r="J38" s="246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51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52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53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59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 t="s">
        <v>60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 t="s">
        <v>65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264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>
        <f>Z32-L32-M32</f>
        <v>128154152</v>
      </c>
      <c r="AA47" s="88"/>
      <c r="AB47" s="28">
        <f>'[8]GAJI '!$AT$30+'[8]GAJI '!$AT$60</f>
        <v>498582</v>
      </c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>
      <c r="D48" s="725" t="s">
        <v>167</v>
      </c>
      <c r="E48" s="725"/>
      <c r="K48" s="725" t="s">
        <v>169</v>
      </c>
      <c r="L48" s="725"/>
      <c r="M48" s="725"/>
      <c r="N48" s="725"/>
      <c r="O48" s="61"/>
      <c r="P48" s="61"/>
      <c r="Q48" s="61"/>
      <c r="Z48" s="28">
        <f>'[8]GAJI '!$AH$30+'[8]GAJI '!$AH$60</f>
        <v>128154167.96666665</v>
      </c>
    </row>
    <row r="49" spans="4:26">
      <c r="Z49" s="28">
        <f>Z47-Z48</f>
        <v>-15.966666653752327</v>
      </c>
    </row>
    <row r="51" spans="4:26">
      <c r="D51" s="725" t="s">
        <v>98</v>
      </c>
      <c r="E51" s="725"/>
      <c r="K51" s="725" t="s">
        <v>170</v>
      </c>
      <c r="L51" s="725"/>
      <c r="M51" s="725"/>
      <c r="N51" s="725"/>
    </row>
    <row r="52" spans="4:26">
      <c r="D52" s="725" t="s">
        <v>168</v>
      </c>
      <c r="E52" s="725"/>
      <c r="K52" s="725" t="s">
        <v>171</v>
      </c>
      <c r="L52" s="725"/>
      <c r="M52" s="725"/>
      <c r="N52" s="725"/>
    </row>
  </sheetData>
  <mergeCells count="6">
    <mergeCell ref="D48:E48"/>
    <mergeCell ref="K48:N48"/>
    <mergeCell ref="D51:E51"/>
    <mergeCell ref="K51:N51"/>
    <mergeCell ref="D52:E52"/>
    <mergeCell ref="K52:N52"/>
  </mergeCells>
  <dataValidations count="2">
    <dataValidation type="list" allowBlank="1" showInputMessage="1" showErrorMessage="1" sqref="H6:H31">
      <formula1>"L,P"</formula1>
    </dataValidation>
    <dataValidation type="list" allowBlank="1" showInputMessage="1" showErrorMessage="1" sqref="I6:I31">
      <formula1>"TK/0,TK/1,TK/2,TK/3,K/0,K/1,K/2,K/3"</formula1>
    </dataValidation>
  </dataValidations>
  <pageMargins left="0.31496062992125984" right="0.31496062992125984" top="0.15748031496062992" bottom="0.15748031496062992" header="0.31496062992125984" footer="0.31496062992125984"/>
  <pageSetup paperSize="9" scale="40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51" sqref="G51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6" customWidth="1" outlineLevel="1"/>
    <col min="9" max="9" width="8.5703125" style="246" customWidth="1" outlineLevel="1"/>
    <col min="10" max="10" width="10.85546875" style="246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</row>
    <row r="6" spans="2:28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4">
        <f>(3640000+61000)*4%</f>
        <v>148040</v>
      </c>
      <c r="N6" s="44"/>
      <c r="O6" s="44"/>
      <c r="P6" s="44"/>
      <c r="Q6" s="44"/>
      <c r="R6" s="44"/>
      <c r="S6" s="44"/>
      <c r="T6" s="143"/>
      <c r="U6" s="143"/>
      <c r="V6" s="143"/>
      <c r="W6" s="44"/>
      <c r="X6" s="44"/>
      <c r="Y6" s="44"/>
      <c r="Z6" s="151">
        <f>ROUNDDOWN(SUM(K6:Y6),0)</f>
        <v>3939949</v>
      </c>
      <c r="AA6" s="152">
        <f t="shared" ref="AA6:AA32" si="0">IF(J6="TER A",VLOOKUP(Z6,Ter_A,4,TRUE),IF(J6="TER B",VLOOKUP(Z6,Ter_B,4,TRUE),VLOOKUP(Z6,Ter_C,4,TRUE)))</f>
        <v>0</v>
      </c>
      <c r="AB6" s="153">
        <f t="shared" ref="AB6:AB32" si="1">ROUND(IF(E6=0,Z6*AA6*120%,Z6*AA6),0)</f>
        <v>0</v>
      </c>
    </row>
    <row r="7" spans="2:28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5">
        <f>(3640000+61000)*4%</f>
        <v>148040</v>
      </c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94">
        <f>ROUNDDOWN(SUM(K7:Y7),0)</f>
        <v>3939949</v>
      </c>
      <c r="AA7" s="95">
        <f t="shared" si="0"/>
        <v>0</v>
      </c>
      <c r="AB7" s="155">
        <f t="shared" si="1"/>
        <v>0</v>
      </c>
    </row>
    <row r="8" spans="2:28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5">
        <f>(3640000+43500)*4%</f>
        <v>147340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94">
        <f t="shared" ref="Z8:Z32" si="5">ROUNDDOWN(SUM(K8:Y8),0)</f>
        <v>3939249</v>
      </c>
      <c r="AA8" s="95">
        <f t="shared" si="0"/>
        <v>0</v>
      </c>
      <c r="AB8" s="155">
        <f t="shared" si="1"/>
        <v>0</v>
      </c>
    </row>
    <row r="9" spans="2:28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5">
        <f>(3640000+43500)*4%</f>
        <v>147340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94">
        <f>ROUNDDOWN(SUM(K9:Y9),0)</f>
        <v>3939249</v>
      </c>
      <c r="AA9" s="95">
        <f t="shared" si="0"/>
        <v>0</v>
      </c>
      <c r="AB9" s="155">
        <f t="shared" si="1"/>
        <v>0</v>
      </c>
    </row>
    <row r="10" spans="2:28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5">
        <f>(3640000+43500)*4%</f>
        <v>147340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94">
        <f t="shared" si="5"/>
        <v>3939249</v>
      </c>
      <c r="AA10" s="95">
        <f t="shared" si="0"/>
        <v>0</v>
      </c>
      <c r="AB10" s="155">
        <f t="shared" si="1"/>
        <v>0</v>
      </c>
    </row>
    <row r="11" spans="2:28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5">
        <f>(3640000+47000)*4%</f>
        <v>147480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94">
        <f t="shared" si="5"/>
        <v>3939389</v>
      </c>
      <c r="AA11" s="95">
        <f t="shared" si="0"/>
        <v>0</v>
      </c>
      <c r="AB11" s="155">
        <f t="shared" si="1"/>
        <v>0</v>
      </c>
    </row>
    <row r="12" spans="2:28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5">
        <f>(3640000+36500)*4%</f>
        <v>147060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94">
        <f t="shared" si="5"/>
        <v>3938969</v>
      </c>
      <c r="AA12" s="95">
        <f t="shared" si="0"/>
        <v>0</v>
      </c>
      <c r="AB12" s="155">
        <f t="shared" si="1"/>
        <v>0</v>
      </c>
    </row>
    <row r="13" spans="2:28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5">
        <f>(3640000+43500)*4%</f>
        <v>147340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94">
        <f t="shared" si="5"/>
        <v>3939249</v>
      </c>
      <c r="AA13" s="95">
        <f t="shared" si="0"/>
        <v>0</v>
      </c>
      <c r="AB13" s="155">
        <f t="shared" si="1"/>
        <v>0</v>
      </c>
    </row>
    <row r="14" spans="2:28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5">
        <f>(3640000+61000)*4%</f>
        <v>148040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94">
        <f t="shared" si="5"/>
        <v>3939949</v>
      </c>
      <c r="AA14" s="95">
        <f t="shared" si="0"/>
        <v>0</v>
      </c>
      <c r="AB14" s="155">
        <f t="shared" si="1"/>
        <v>0</v>
      </c>
    </row>
    <row r="15" spans="2:28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5">
        <f>(3640000+30000)*4%</f>
        <v>146800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94">
        <f t="shared" si="5"/>
        <v>3938709</v>
      </c>
      <c r="AA15" s="95">
        <f t="shared" si="0"/>
        <v>0</v>
      </c>
      <c r="AB15" s="155">
        <f t="shared" si="1"/>
        <v>0</v>
      </c>
    </row>
    <row r="16" spans="2:28" s="27" customFormat="1" ht="35.1" customHeigh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5"/>
        <v>3791909</v>
      </c>
      <c r="AA16" s="95">
        <f t="shared" si="0"/>
        <v>0</v>
      </c>
      <c r="AB16" s="155">
        <f t="shared" si="1"/>
        <v>0</v>
      </c>
    </row>
    <row r="17" spans="2:28" s="27" customFormat="1" ht="35.1" customHeigh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5">
        <f>(3640000+61000)*4%</f>
        <v>148040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94">
        <f>ROUNDDOWN(SUM(K17:Y17),0)</f>
        <v>3939949</v>
      </c>
      <c r="AA17" s="95">
        <f t="shared" si="0"/>
        <v>0</v>
      </c>
      <c r="AB17" s="155">
        <f t="shared" si="1"/>
        <v>0</v>
      </c>
    </row>
    <row r="18" spans="2:28" s="27" customFormat="1" ht="35.1" customHeigh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5">
        <f>(3640000+47000)*4%</f>
        <v>147480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94">
        <f t="shared" si="5"/>
        <v>3939389</v>
      </c>
      <c r="AA18" s="95">
        <f t="shared" si="0"/>
        <v>0</v>
      </c>
      <c r="AB18" s="155">
        <f t="shared" si="1"/>
        <v>0</v>
      </c>
    </row>
    <row r="19" spans="2:28" s="27" customFormat="1" ht="35.1" customHeigh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5">
        <f>(3640000+43500)*4%</f>
        <v>147340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94">
        <f t="shared" si="5"/>
        <v>3939249</v>
      </c>
      <c r="AA19" s="95">
        <f t="shared" si="0"/>
        <v>0</v>
      </c>
      <c r="AB19" s="155">
        <f t="shared" si="1"/>
        <v>0</v>
      </c>
    </row>
    <row r="20" spans="2:28" s="27" customFormat="1" ht="35.1" customHeigh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5">
        <f>(3640000+50500)*4%</f>
        <v>147620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94">
        <f t="shared" si="5"/>
        <v>3939529</v>
      </c>
      <c r="AA20" s="95">
        <f t="shared" si="0"/>
        <v>0</v>
      </c>
      <c r="AB20" s="155">
        <f t="shared" si="1"/>
        <v>0</v>
      </c>
    </row>
    <row r="21" spans="2:28" s="27" customFormat="1" ht="35.1" customHeigh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3">
        <f>(3640000+61000)*4%</f>
        <v>148040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94">
        <f t="shared" si="5"/>
        <v>3939949</v>
      </c>
      <c r="AA21" s="95">
        <f t="shared" si="0"/>
        <v>0</v>
      </c>
      <c r="AB21" s="155">
        <f t="shared" si="1"/>
        <v>0</v>
      </c>
    </row>
    <row r="22" spans="2:28" s="27" customFormat="1" ht="35.1" customHeigh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2"/>
        <v>TER A</v>
      </c>
      <c r="K22" s="230">
        <f>31*123833.33</f>
        <v>3838833.23</v>
      </c>
      <c r="L22" s="231">
        <f>3715000*0.84%</f>
        <v>31205.999999999996</v>
      </c>
      <c r="M22" s="235">
        <f>(3715000+2500)*4%</f>
        <v>148700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94">
        <f t="shared" si="5"/>
        <v>4018739</v>
      </c>
      <c r="AA22" s="95">
        <f t="shared" si="0"/>
        <v>0</v>
      </c>
      <c r="AB22" s="155">
        <f t="shared" si="1"/>
        <v>0</v>
      </c>
    </row>
    <row r="23" spans="2:28" s="27" customFormat="1" ht="35.1" customHeigh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5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5">
        <f t="shared" si="1"/>
        <v>0</v>
      </c>
    </row>
    <row r="24" spans="2:28" s="27" customFormat="1" ht="35.1" customHeigh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5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5">
        <f t="shared" si="1"/>
        <v>0</v>
      </c>
    </row>
    <row r="25" spans="2:28" s="27" customFormat="1" ht="35.1" customHeigh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5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5">
        <f t="shared" si="1"/>
        <v>0</v>
      </c>
    </row>
    <row r="26" spans="2:28" s="27" customFormat="1" ht="35.1" customHeigh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5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5">
        <f t="shared" si="1"/>
        <v>0</v>
      </c>
    </row>
    <row r="27" spans="2:28" s="27" customFormat="1" ht="35.1" customHeigh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3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5">
        <f t="shared" si="1"/>
        <v>0</v>
      </c>
    </row>
    <row r="28" spans="2:28" s="27" customFormat="1" ht="35.1" customHeigh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5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5">
        <f t="shared" si="1"/>
        <v>0</v>
      </c>
    </row>
    <row r="29" spans="2:28" s="27" customFormat="1" ht="35.1" customHeigh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5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5">
        <f t="shared" si="1"/>
        <v>0</v>
      </c>
    </row>
    <row r="30" spans="2:28" s="27" customFormat="1" ht="35.1" customHeight="1">
      <c r="B30" s="214">
        <v>25</v>
      </c>
      <c r="C30" s="215"/>
      <c r="D30" s="218"/>
      <c r="E30" s="219"/>
      <c r="F30" s="220"/>
      <c r="G30" s="216"/>
      <c r="H30" s="221"/>
      <c r="I30" s="222"/>
      <c r="J30" s="217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5">
        <f t="shared" si="1"/>
        <v>0</v>
      </c>
    </row>
    <row r="31" spans="2:28" s="27" customFormat="1" ht="35.1" customHeight="1">
      <c r="B31" s="139">
        <v>26</v>
      </c>
      <c r="C31" s="140"/>
      <c r="D31" s="47"/>
      <c r="E31" s="48"/>
      <c r="F31" s="46"/>
      <c r="G31" s="154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5">
        <f t="shared" si="1"/>
        <v>0</v>
      </c>
    </row>
    <row r="32" spans="2:28" s="27" customFormat="1" ht="35.1" customHeight="1" thickBot="1">
      <c r="B32" s="139">
        <v>27</v>
      </c>
      <c r="C32" s="140"/>
      <c r="D32" s="47"/>
      <c r="E32" s="48"/>
      <c r="F32" s="46"/>
      <c r="G32" s="154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5">
        <f t="shared" si="1"/>
        <v>0</v>
      </c>
    </row>
    <row r="33" spans="2:53" s="58" customFormat="1" ht="22.15" customHeight="1" thickBot="1">
      <c r="B33" s="124"/>
      <c r="C33" s="125"/>
      <c r="D33" s="125"/>
      <c r="E33" s="125"/>
      <c r="F33" s="125"/>
      <c r="G33" s="125"/>
      <c r="H33" s="125"/>
      <c r="I33" s="125"/>
      <c r="J33" s="125"/>
      <c r="K33" s="126">
        <f>SUM(K6:K32)</f>
        <v>90349497.519999996</v>
      </c>
      <c r="L33" s="126">
        <f>SUM(L6:L32)</f>
        <v>734453.99999999988</v>
      </c>
      <c r="M33" s="126">
        <f>SUM(M6:M32)</f>
        <v>3393480</v>
      </c>
      <c r="N33" s="126"/>
      <c r="O33" s="126"/>
      <c r="P33" s="126"/>
      <c r="Q33" s="126"/>
      <c r="R33" s="126">
        <f>SUM(R6:R32)</f>
        <v>0</v>
      </c>
      <c r="S33" s="126"/>
      <c r="T33" s="126"/>
      <c r="U33" s="126"/>
      <c r="V33" s="126"/>
      <c r="W33" s="126"/>
      <c r="X33" s="126"/>
      <c r="Y33" s="126"/>
      <c r="Z33" s="126">
        <f>SUM(Z6:Z32)</f>
        <v>94477426</v>
      </c>
      <c r="AA33" s="126">
        <f>SUM(AA6:AA32)</f>
        <v>0</v>
      </c>
      <c r="AB33" s="126">
        <f>SUM(AB6:AB32)</f>
        <v>0</v>
      </c>
      <c r="AC33" s="57"/>
      <c r="AD33" s="57"/>
      <c r="AE33" s="57"/>
    </row>
    <row r="34" spans="2:53" ht="15" customHeight="1">
      <c r="K34" s="28">
        <f>+'[9]PPH21-STAFF'!$F$81</f>
        <v>118230083.31999999</v>
      </c>
      <c r="L34" s="28">
        <f>+'[9]PPH21-STAFF'!$G$81</f>
        <v>1055149.8998880002</v>
      </c>
      <c r="M34" s="28">
        <f>+'[9]PPH21-STAFF'!$H$81</f>
        <v>5024523.3328</v>
      </c>
      <c r="Z34" s="28">
        <f>+'[9]PPH21-STAFF'!$S$81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5"/>
      <c r="E48" s="30"/>
      <c r="F48" s="28"/>
      <c r="G48" s="31"/>
      <c r="H48" s="246"/>
      <c r="I48" s="246"/>
      <c r="J48" s="246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25" t="s">
        <v>167</v>
      </c>
      <c r="E49" s="725"/>
      <c r="K49" s="725" t="s">
        <v>169</v>
      </c>
      <c r="L49" s="725"/>
      <c r="M49" s="725"/>
      <c r="N49" s="725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25" t="s">
        <v>98</v>
      </c>
      <c r="E52" s="725"/>
      <c r="K52" s="725" t="s">
        <v>170</v>
      </c>
      <c r="L52" s="725"/>
      <c r="M52" s="725"/>
      <c r="N52" s="725"/>
    </row>
    <row r="53" spans="4:17" ht="35.1" customHeight="1">
      <c r="D53" s="725" t="s">
        <v>168</v>
      </c>
      <c r="E53" s="725"/>
      <c r="K53" s="725" t="s">
        <v>171</v>
      </c>
      <c r="L53" s="725"/>
      <c r="M53" s="725"/>
      <c r="N53" s="725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I6:I32">
      <formula1>"TK/0,TK/1,TK/2,TK/3,K/0,K/1,K/2,K/3"</formula1>
    </dataValidation>
    <dataValidation type="list" allowBlank="1" showInputMessage="1" showErrorMessage="1" sqref="H6:H32">
      <formula1>"L,P"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14" sqref="G14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6" customWidth="1" outlineLevel="1"/>
    <col min="9" max="9" width="8.5703125" style="246" customWidth="1" outlineLevel="1"/>
    <col min="10" max="10" width="10.85546875" style="246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</row>
    <row r="6" spans="2:28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4">
        <f>(3640000+61000)*4%</f>
        <v>148040</v>
      </c>
      <c r="N6" s="44"/>
      <c r="O6" s="44"/>
      <c r="P6" s="44"/>
      <c r="Q6" s="44"/>
      <c r="R6" s="44"/>
      <c r="S6" s="44"/>
      <c r="T6" s="143"/>
      <c r="U6" s="143"/>
      <c r="V6" s="143"/>
      <c r="W6" s="44"/>
      <c r="X6" s="44"/>
      <c r="Y6" s="44"/>
      <c r="Z6" s="151">
        <f>ROUNDDOWN(SUM(K6:Y6),0)</f>
        <v>3939949</v>
      </c>
      <c r="AA6" s="152">
        <f t="shared" ref="AA6:AA32" si="0">IF(J6="TER A",VLOOKUP(Z6,Ter_A,4,TRUE),IF(J6="TER B",VLOOKUP(Z6,Ter_B,4,TRUE),VLOOKUP(Z6,Ter_C,4,TRUE)))</f>
        <v>0</v>
      </c>
      <c r="AB6" s="153">
        <f t="shared" ref="AB6:AB32" si="1">ROUND(IF(E6=0,Z6*AA6*120%,Z6*AA6),0)</f>
        <v>0</v>
      </c>
    </row>
    <row r="7" spans="2:28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5">
        <f>(3640000+61000)*4%</f>
        <v>148040</v>
      </c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94">
        <f>ROUNDDOWN(SUM(K7:Y7),0)</f>
        <v>3939949</v>
      </c>
      <c r="AA7" s="95">
        <f t="shared" si="0"/>
        <v>0</v>
      </c>
      <c r="AB7" s="155">
        <f t="shared" si="1"/>
        <v>0</v>
      </c>
    </row>
    <row r="8" spans="2:28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5">
        <f>(3640000+43500)*4%</f>
        <v>147340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94">
        <f t="shared" ref="Z8:Z32" si="5">ROUNDDOWN(SUM(K8:Y8),0)</f>
        <v>3939249</v>
      </c>
      <c r="AA8" s="95">
        <f t="shared" si="0"/>
        <v>0</v>
      </c>
      <c r="AB8" s="155">
        <f t="shared" si="1"/>
        <v>0</v>
      </c>
    </row>
    <row r="9" spans="2:28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5">
        <f>(3640000+43500)*4%</f>
        <v>147340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94">
        <f>ROUNDDOWN(SUM(K9:Y9),0)</f>
        <v>3939249</v>
      </c>
      <c r="AA9" s="95">
        <f t="shared" si="0"/>
        <v>0</v>
      </c>
      <c r="AB9" s="155">
        <f t="shared" si="1"/>
        <v>0</v>
      </c>
    </row>
    <row r="10" spans="2:28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5">
        <f>(3640000+43500)*4%</f>
        <v>147340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94">
        <f t="shared" si="5"/>
        <v>3939249</v>
      </c>
      <c r="AA10" s="95">
        <f t="shared" si="0"/>
        <v>0</v>
      </c>
      <c r="AB10" s="155">
        <f t="shared" si="1"/>
        <v>0</v>
      </c>
    </row>
    <row r="11" spans="2:28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5">
        <f>(3640000+47000)*4%</f>
        <v>147480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94">
        <f t="shared" si="5"/>
        <v>3939389</v>
      </c>
      <c r="AA11" s="95">
        <f t="shared" si="0"/>
        <v>0</v>
      </c>
      <c r="AB11" s="155">
        <f t="shared" si="1"/>
        <v>0</v>
      </c>
    </row>
    <row r="12" spans="2:28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5">
        <f>(3640000+36500)*4%</f>
        <v>147060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94">
        <f t="shared" si="5"/>
        <v>3938969</v>
      </c>
      <c r="AA12" s="95">
        <f t="shared" si="0"/>
        <v>0</v>
      </c>
      <c r="AB12" s="155">
        <f t="shared" si="1"/>
        <v>0</v>
      </c>
    </row>
    <row r="13" spans="2:28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5">
        <f>(3640000+43500)*4%</f>
        <v>147340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94">
        <f t="shared" si="5"/>
        <v>3939249</v>
      </c>
      <c r="AA13" s="95">
        <f t="shared" si="0"/>
        <v>0</v>
      </c>
      <c r="AB13" s="155">
        <f t="shared" si="1"/>
        <v>0</v>
      </c>
    </row>
    <row r="14" spans="2:28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5">
        <f>(3640000+61000)*4%</f>
        <v>148040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94">
        <f t="shared" si="5"/>
        <v>3939949</v>
      </c>
      <c r="AA14" s="95">
        <f t="shared" si="0"/>
        <v>0</v>
      </c>
      <c r="AB14" s="155">
        <f t="shared" si="1"/>
        <v>0</v>
      </c>
    </row>
    <row r="15" spans="2:28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5">
        <f>(3640000+30000)*4%</f>
        <v>146800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94">
        <f t="shared" si="5"/>
        <v>3938709</v>
      </c>
      <c r="AA15" s="95">
        <f t="shared" si="0"/>
        <v>0</v>
      </c>
      <c r="AB15" s="155">
        <f t="shared" si="1"/>
        <v>0</v>
      </c>
    </row>
    <row r="16" spans="2:28" s="27" customFormat="1" ht="35.1" customHeigh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5"/>
        <v>3791909</v>
      </c>
      <c r="AA16" s="95">
        <f t="shared" si="0"/>
        <v>0</v>
      </c>
      <c r="AB16" s="155">
        <f t="shared" si="1"/>
        <v>0</v>
      </c>
    </row>
    <row r="17" spans="2:28" s="27" customFormat="1" ht="35.1" customHeigh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5">
        <f>(3640000+61000)*4%</f>
        <v>148040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94">
        <f>ROUNDDOWN(SUM(K17:Y17),0)</f>
        <v>3939949</v>
      </c>
      <c r="AA17" s="95">
        <f t="shared" si="0"/>
        <v>0</v>
      </c>
      <c r="AB17" s="155">
        <f t="shared" si="1"/>
        <v>0</v>
      </c>
    </row>
    <row r="18" spans="2:28" s="27" customFormat="1" ht="35.1" customHeigh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5">
        <f>(3640000+47000)*4%</f>
        <v>147480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94">
        <f t="shared" si="5"/>
        <v>3939389</v>
      </c>
      <c r="AA18" s="95">
        <f t="shared" si="0"/>
        <v>0</v>
      </c>
      <c r="AB18" s="155">
        <f t="shared" si="1"/>
        <v>0</v>
      </c>
    </row>
    <row r="19" spans="2:28" s="27" customFormat="1" ht="35.1" customHeigh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5">
        <f>(3640000+43500)*4%</f>
        <v>147340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94">
        <f t="shared" si="5"/>
        <v>3939249</v>
      </c>
      <c r="AA19" s="95">
        <f t="shared" si="0"/>
        <v>0</v>
      </c>
      <c r="AB19" s="155">
        <f t="shared" si="1"/>
        <v>0</v>
      </c>
    </row>
    <row r="20" spans="2:28" s="27" customFormat="1" ht="35.1" customHeigh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5">
        <f>(3640000+50500)*4%</f>
        <v>147620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94">
        <f t="shared" si="5"/>
        <v>3939529</v>
      </c>
      <c r="AA20" s="95">
        <f t="shared" si="0"/>
        <v>0</v>
      </c>
      <c r="AB20" s="155">
        <f t="shared" si="1"/>
        <v>0</v>
      </c>
    </row>
    <row r="21" spans="2:28" s="27" customFormat="1" ht="35.1" customHeigh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3">
        <f>(3640000+61000)*4%</f>
        <v>148040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94">
        <f t="shared" si="5"/>
        <v>3939949</v>
      </c>
      <c r="AA21" s="95">
        <f t="shared" si="0"/>
        <v>0</v>
      </c>
      <c r="AB21" s="155">
        <f t="shared" si="1"/>
        <v>0</v>
      </c>
    </row>
    <row r="22" spans="2:28" s="27" customFormat="1" ht="35.1" customHeigh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2"/>
        <v>TER A</v>
      </c>
      <c r="K22" s="230">
        <f>31*123833.33</f>
        <v>3838833.23</v>
      </c>
      <c r="L22" s="231">
        <f>3715000*0.84%</f>
        <v>31205.999999999996</v>
      </c>
      <c r="M22" s="235">
        <f>(3715000+2500)*4%</f>
        <v>148700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94">
        <f t="shared" si="5"/>
        <v>4018739</v>
      </c>
      <c r="AA22" s="95">
        <f t="shared" si="0"/>
        <v>0</v>
      </c>
      <c r="AB22" s="155">
        <f t="shared" si="1"/>
        <v>0</v>
      </c>
    </row>
    <row r="23" spans="2:28" s="27" customFormat="1" ht="35.1" customHeigh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5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5">
        <f t="shared" si="1"/>
        <v>0</v>
      </c>
    </row>
    <row r="24" spans="2:28" s="27" customFormat="1" ht="35.1" customHeigh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5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5">
        <f t="shared" si="1"/>
        <v>0</v>
      </c>
    </row>
    <row r="25" spans="2:28" s="27" customFormat="1" ht="35.1" customHeigh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5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5">
        <f t="shared" si="1"/>
        <v>0</v>
      </c>
    </row>
    <row r="26" spans="2:28" s="27" customFormat="1" ht="35.1" customHeigh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5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5">
        <f t="shared" si="1"/>
        <v>0</v>
      </c>
    </row>
    <row r="27" spans="2:28" s="27" customFormat="1" ht="35.1" customHeigh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3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5">
        <f t="shared" si="1"/>
        <v>0</v>
      </c>
    </row>
    <row r="28" spans="2:28" s="27" customFormat="1" ht="35.1" customHeigh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5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5">
        <f t="shared" si="1"/>
        <v>0</v>
      </c>
    </row>
    <row r="29" spans="2:28" s="27" customFormat="1" ht="35.1" customHeigh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5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5">
        <f t="shared" si="1"/>
        <v>0</v>
      </c>
    </row>
    <row r="30" spans="2:28" s="27" customFormat="1" ht="35.1" customHeight="1">
      <c r="B30" s="214">
        <v>25</v>
      </c>
      <c r="C30" s="215"/>
      <c r="D30" s="218"/>
      <c r="E30" s="219"/>
      <c r="F30" s="220"/>
      <c r="G30" s="216"/>
      <c r="H30" s="221"/>
      <c r="I30" s="222"/>
      <c r="J30" s="217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5">
        <f t="shared" si="1"/>
        <v>0</v>
      </c>
    </row>
    <row r="31" spans="2:28" s="27" customFormat="1" ht="35.1" customHeight="1">
      <c r="B31" s="139">
        <v>26</v>
      </c>
      <c r="C31" s="140"/>
      <c r="D31" s="47"/>
      <c r="E31" s="48"/>
      <c r="F31" s="46"/>
      <c r="G31" s="154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5">
        <f t="shared" si="1"/>
        <v>0</v>
      </c>
    </row>
    <row r="32" spans="2:28" s="27" customFormat="1" ht="35.1" customHeight="1" thickBot="1">
      <c r="B32" s="139">
        <v>27</v>
      </c>
      <c r="C32" s="140"/>
      <c r="D32" s="47"/>
      <c r="E32" s="48"/>
      <c r="F32" s="46"/>
      <c r="G32" s="154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5">
        <f t="shared" si="1"/>
        <v>0</v>
      </c>
    </row>
    <row r="33" spans="2:53" s="58" customFormat="1" ht="22.15" customHeight="1" thickBot="1">
      <c r="B33" s="124"/>
      <c r="C33" s="125"/>
      <c r="D33" s="125"/>
      <c r="E33" s="125"/>
      <c r="F33" s="125"/>
      <c r="G33" s="125"/>
      <c r="H33" s="125"/>
      <c r="I33" s="125"/>
      <c r="J33" s="125"/>
      <c r="K33" s="126">
        <f>SUM(K6:K32)</f>
        <v>90349497.519999996</v>
      </c>
      <c r="L33" s="126">
        <f>SUM(L6:L32)</f>
        <v>734453.99999999988</v>
      </c>
      <c r="M33" s="126">
        <f>SUM(M6:M32)</f>
        <v>3393480</v>
      </c>
      <c r="N33" s="126"/>
      <c r="O33" s="126"/>
      <c r="P33" s="126"/>
      <c r="Q33" s="126"/>
      <c r="R33" s="126">
        <f>SUM(R6:R32)</f>
        <v>0</v>
      </c>
      <c r="S33" s="126"/>
      <c r="T33" s="126"/>
      <c r="U33" s="126"/>
      <c r="V33" s="126"/>
      <c r="W33" s="126"/>
      <c r="X33" s="126"/>
      <c r="Y33" s="126"/>
      <c r="Z33" s="126">
        <f>SUM(Z6:Z32)</f>
        <v>94477426</v>
      </c>
      <c r="AA33" s="126">
        <f>SUM(AA6:AA32)</f>
        <v>0</v>
      </c>
      <c r="AB33" s="126">
        <f>SUM(AB6:AB32)</f>
        <v>0</v>
      </c>
      <c r="AC33" s="57"/>
      <c r="AD33" s="57"/>
      <c r="AE33" s="57"/>
    </row>
    <row r="34" spans="2:53" ht="15" customHeight="1">
      <c r="K34" s="28">
        <f>+'[9]PPH21-STAFF'!$F$81</f>
        <v>118230083.31999999</v>
      </c>
      <c r="L34" s="28">
        <f>+'[9]PPH21-STAFF'!$G$81</f>
        <v>1055149.8998880002</v>
      </c>
      <c r="M34" s="28">
        <f>+'[9]PPH21-STAFF'!$H$81</f>
        <v>5024523.3328</v>
      </c>
      <c r="Z34" s="28">
        <f>+'[9]PPH21-STAFF'!$S$81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5"/>
      <c r="E48" s="30"/>
      <c r="F48" s="28"/>
      <c r="G48" s="31"/>
      <c r="H48" s="246"/>
      <c r="I48" s="246"/>
      <c r="J48" s="246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25" t="s">
        <v>167</v>
      </c>
      <c r="E49" s="725"/>
      <c r="K49" s="725" t="s">
        <v>169</v>
      </c>
      <c r="L49" s="725"/>
      <c r="M49" s="725"/>
      <c r="N49" s="725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25" t="s">
        <v>98</v>
      </c>
      <c r="E52" s="725"/>
      <c r="K52" s="725" t="s">
        <v>170</v>
      </c>
      <c r="L52" s="725"/>
      <c r="M52" s="725"/>
      <c r="N52" s="725"/>
    </row>
    <row r="53" spans="4:17" ht="35.1" customHeight="1">
      <c r="D53" s="725" t="s">
        <v>168</v>
      </c>
      <c r="E53" s="725"/>
      <c r="K53" s="725" t="s">
        <v>171</v>
      </c>
      <c r="L53" s="725"/>
      <c r="M53" s="725"/>
      <c r="N53" s="725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H6:H32">
      <formula1>"L,P"</formula1>
    </dataValidation>
    <dataValidation type="list" allowBlank="1" showInputMessage="1" showErrorMessage="1" sqref="I6:I32">
      <formula1>"TK/0,TK/1,TK/2,TK/3,K/0,K/1,K/2,K/3"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N23" sqref="N23"/>
    </sheetView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>
      <pane xSplit="3" topLeftCell="K1" activePane="topRight" state="frozen"/>
      <selection activeCell="A7" sqref="A7:A38"/>
      <selection pane="topRight" activeCell="M25" sqref="M25"/>
    </sheetView>
  </sheetViews>
  <sheetFormatPr defaultRowHeight="15"/>
  <cols>
    <col min="1" max="1" width="4.5703125" style="372" customWidth="1"/>
    <col min="2" max="2" width="21" style="373" customWidth="1"/>
    <col min="3" max="3" width="3.5703125" style="373" customWidth="1"/>
    <col min="4" max="4" width="5.140625" style="373" customWidth="1"/>
    <col min="5" max="5" width="6.28515625" style="373" customWidth="1"/>
    <col min="6" max="14" width="12.28515625" style="373" customWidth="1"/>
    <col min="15" max="16" width="12.28515625" style="374" customWidth="1"/>
    <col min="17" max="17" width="12.28515625" style="373" customWidth="1"/>
    <col min="18" max="18" width="13.42578125" style="373" customWidth="1"/>
    <col min="19" max="19" width="12.5703125" style="373" customWidth="1"/>
    <col min="20" max="20" width="12.42578125" style="373" customWidth="1"/>
    <col min="21" max="21" width="9.7109375" style="373" customWidth="1"/>
    <col min="22" max="22" width="13.42578125" style="373" customWidth="1"/>
    <col min="23" max="23" width="16.85546875" style="373" customWidth="1"/>
    <col min="24" max="24" width="14.7109375" style="373" customWidth="1"/>
    <col min="25" max="16384" width="9.140625" style="375"/>
  </cols>
  <sheetData>
    <row r="1" spans="1:25">
      <c r="A1" s="372" t="s">
        <v>71</v>
      </c>
    </row>
    <row r="2" spans="1:25" ht="15.75" thickBot="1">
      <c r="A2" s="372" t="s">
        <v>348</v>
      </c>
      <c r="H2" s="376"/>
      <c r="I2" s="376"/>
      <c r="J2" s="376"/>
      <c r="K2" s="376"/>
      <c r="L2" s="376"/>
      <c r="M2" s="376"/>
      <c r="N2" s="376"/>
      <c r="O2" s="377"/>
      <c r="P2" s="377"/>
      <c r="Q2" s="376"/>
      <c r="R2" s="376"/>
      <c r="S2" s="376"/>
      <c r="T2" s="376"/>
      <c r="U2" s="376"/>
    </row>
    <row r="3" spans="1:25">
      <c r="A3" s="742" t="s">
        <v>0</v>
      </c>
      <c r="B3" s="735" t="s">
        <v>231</v>
      </c>
      <c r="C3" s="735" t="s">
        <v>37</v>
      </c>
      <c r="D3" s="735" t="s">
        <v>232</v>
      </c>
      <c r="E3" s="735" t="s">
        <v>233</v>
      </c>
      <c r="F3" s="737" t="s">
        <v>234</v>
      </c>
      <c r="G3" s="738"/>
      <c r="H3" s="738"/>
      <c r="I3" s="738"/>
      <c r="J3" s="738"/>
      <c r="K3" s="738"/>
      <c r="L3" s="738"/>
      <c r="M3" s="738"/>
      <c r="N3" s="738"/>
      <c r="O3" s="738"/>
      <c r="P3" s="738"/>
      <c r="Q3" s="738"/>
      <c r="R3" s="738"/>
      <c r="S3" s="738"/>
      <c r="T3" s="738"/>
      <c r="U3" s="739"/>
      <c r="V3" s="378" t="s">
        <v>235</v>
      </c>
      <c r="W3" s="735" t="s">
        <v>6</v>
      </c>
      <c r="X3" s="379" t="s">
        <v>236</v>
      </c>
    </row>
    <row r="4" spans="1:25" s="383" customFormat="1" ht="15.75" customHeight="1">
      <c r="A4" s="743"/>
      <c r="B4" s="736"/>
      <c r="C4" s="736"/>
      <c r="D4" s="736"/>
      <c r="E4" s="736"/>
      <c r="F4" s="733" t="s">
        <v>237</v>
      </c>
      <c r="G4" s="733" t="s">
        <v>238</v>
      </c>
      <c r="H4" s="733" t="s">
        <v>239</v>
      </c>
      <c r="I4" s="733" t="s">
        <v>240</v>
      </c>
      <c r="J4" s="733" t="s">
        <v>241</v>
      </c>
      <c r="K4" s="733" t="s">
        <v>242</v>
      </c>
      <c r="L4" s="733" t="s">
        <v>243</v>
      </c>
      <c r="M4" s="733" t="s">
        <v>244</v>
      </c>
      <c r="N4" s="733" t="s">
        <v>245</v>
      </c>
      <c r="O4" s="740" t="s">
        <v>246</v>
      </c>
      <c r="P4" s="740" t="s">
        <v>247</v>
      </c>
      <c r="Q4" s="733" t="s">
        <v>248</v>
      </c>
      <c r="R4" s="625" t="s">
        <v>249</v>
      </c>
      <c r="S4" s="733" t="s">
        <v>79</v>
      </c>
      <c r="T4" s="733" t="s">
        <v>250</v>
      </c>
      <c r="U4" s="625" t="s">
        <v>251</v>
      </c>
      <c r="V4" s="380" t="s">
        <v>252</v>
      </c>
      <c r="W4" s="736"/>
      <c r="X4" s="381" t="s">
        <v>253</v>
      </c>
      <c r="Y4" s="382"/>
    </row>
    <row r="5" spans="1:25" ht="16.5" customHeight="1" thickBot="1">
      <c r="A5" s="744"/>
      <c r="B5" s="734"/>
      <c r="C5" s="734"/>
      <c r="D5" s="734"/>
      <c r="E5" s="736"/>
      <c r="F5" s="734"/>
      <c r="G5" s="734"/>
      <c r="H5" s="734"/>
      <c r="I5" s="734"/>
      <c r="J5" s="734"/>
      <c r="K5" s="734"/>
      <c r="L5" s="734"/>
      <c r="M5" s="734"/>
      <c r="N5" s="734"/>
      <c r="O5" s="741"/>
      <c r="P5" s="741"/>
      <c r="Q5" s="734"/>
      <c r="R5" s="627" t="s">
        <v>254</v>
      </c>
      <c r="S5" s="734"/>
      <c r="T5" s="734"/>
      <c r="U5" s="626" t="s">
        <v>255</v>
      </c>
      <c r="V5" s="384" t="s">
        <v>256</v>
      </c>
      <c r="W5" s="734"/>
      <c r="X5" s="385" t="s">
        <v>257</v>
      </c>
      <c r="Y5" s="386"/>
    </row>
    <row r="6" spans="1:25" ht="15.75" thickTop="1">
      <c r="A6" s="397">
        <v>1</v>
      </c>
      <c r="B6" s="398" t="s">
        <v>356</v>
      </c>
      <c r="C6" s="399" t="str">
        <f>+Des!H6</f>
        <v>L</v>
      </c>
      <c r="D6" s="399" t="str">
        <f>+Des!I6</f>
        <v>K/1</v>
      </c>
      <c r="E6" s="400">
        <f t="shared" ref="E6:E28" si="0">COUNT(F6:Q6)</f>
        <v>11</v>
      </c>
      <c r="F6" s="401">
        <v>4048599.5599999996</v>
      </c>
      <c r="G6" s="401">
        <v>7080249.5599999996</v>
      </c>
      <c r="H6" s="401">
        <v>9732522.5600000005</v>
      </c>
      <c r="I6" s="401">
        <v>8456289.5600000005</v>
      </c>
      <c r="J6" s="402">
        <v>9340381.5600000005</v>
      </c>
      <c r="K6" s="401">
        <v>8904451.5600000005</v>
      </c>
      <c r="L6" s="401">
        <v>8824994.3599999994</v>
      </c>
      <c r="M6" s="401">
        <v>8768974.3599999994</v>
      </c>
      <c r="N6" s="401">
        <v>8915655.3599999994</v>
      </c>
      <c r="O6" s="403">
        <v>9205932.3599999994</v>
      </c>
      <c r="P6" s="403">
        <v>8624350.3599999994</v>
      </c>
      <c r="Q6" s="401"/>
      <c r="R6" s="404">
        <f t="shared" ref="R6:R38" si="1">SUM(F6:Q6)</f>
        <v>91902401.159999996</v>
      </c>
      <c r="S6" s="404">
        <v>4053100</v>
      </c>
      <c r="T6" s="401">
        <v>600000</v>
      </c>
      <c r="U6" s="401"/>
      <c r="V6" s="401">
        <f t="shared" ref="V6:V38" si="2">R6+S6+T6+U6</f>
        <v>96555501.159999996</v>
      </c>
      <c r="W6" s="395">
        <f t="shared" ref="W6:W38" si="3">IF(D6="TK/0",54000000,IF(D6="K/0",58500000,IF(D6="K/1",63000000,IF(D6="K/2",67500000,IF(D6="K/3",72000000)))))</f>
        <v>63000000</v>
      </c>
      <c r="X6" s="405">
        <v>0</v>
      </c>
    </row>
    <row r="7" spans="1:25">
      <c r="A7" s="397">
        <v>2</v>
      </c>
      <c r="B7" s="398" t="s">
        <v>302</v>
      </c>
      <c r="C7" s="399" t="str">
        <f>+Des!H7</f>
        <v>L</v>
      </c>
      <c r="D7" s="399" t="str">
        <f>+Des!I7</f>
        <v>K/0</v>
      </c>
      <c r="E7" s="400">
        <f t="shared" si="0"/>
        <v>11</v>
      </c>
      <c r="F7" s="401">
        <v>4455774.5599999996</v>
      </c>
      <c r="G7" s="401">
        <v>4108373.5599999996</v>
      </c>
      <c r="H7" s="401">
        <v>4192069.5599999996</v>
      </c>
      <c r="I7" s="401">
        <v>5359269.5599999996</v>
      </c>
      <c r="J7" s="402">
        <v>7161142.5599999996</v>
      </c>
      <c r="K7" s="401">
        <v>5205912.5599999996</v>
      </c>
      <c r="L7" s="401">
        <v>6705275.96</v>
      </c>
      <c r="M7" s="401">
        <v>6660459.96</v>
      </c>
      <c r="N7" s="407">
        <v>5844542.96</v>
      </c>
      <c r="O7" s="407">
        <v>5810930.96</v>
      </c>
      <c r="P7" s="407">
        <v>6079827.96</v>
      </c>
      <c r="Q7" s="407"/>
      <c r="R7" s="404">
        <f t="shared" si="1"/>
        <v>61583580.159999996</v>
      </c>
      <c r="S7" s="404">
        <v>4059600</v>
      </c>
      <c r="T7" s="401">
        <v>200000</v>
      </c>
      <c r="U7" s="401"/>
      <c r="V7" s="401">
        <f t="shared" si="2"/>
        <v>65843180.159999996</v>
      </c>
      <c r="W7" s="395">
        <f t="shared" si="3"/>
        <v>58500000</v>
      </c>
      <c r="X7" s="405">
        <v>0</v>
      </c>
    </row>
    <row r="8" spans="1:25">
      <c r="A8" s="397">
        <v>3</v>
      </c>
      <c r="B8" s="398" t="s">
        <v>357</v>
      </c>
      <c r="C8" s="399" t="str">
        <f>+Des!H8</f>
        <v>L</v>
      </c>
      <c r="D8" s="399" t="str">
        <f>+Des!I8</f>
        <v>K/1</v>
      </c>
      <c r="E8" s="400">
        <f t="shared" si="0"/>
        <v>11</v>
      </c>
      <c r="F8" s="401">
        <v>4497624.5599999996</v>
      </c>
      <c r="G8" s="401">
        <v>4229501.5599999996</v>
      </c>
      <c r="H8" s="401">
        <v>4183528.5599999996</v>
      </c>
      <c r="I8" s="401">
        <v>5449585.5599999996</v>
      </c>
      <c r="J8" s="402">
        <v>6871920.5599999996</v>
      </c>
      <c r="K8" s="401">
        <v>5453085.5599999996</v>
      </c>
      <c r="L8" s="401">
        <v>7077093.5599999996</v>
      </c>
      <c r="M8" s="401">
        <v>6998665.5599999996</v>
      </c>
      <c r="N8" s="401">
        <v>5934859.5599999996</v>
      </c>
      <c r="O8" s="403">
        <v>6068729.5599999996</v>
      </c>
      <c r="P8" s="403">
        <v>6349409.5599999996</v>
      </c>
      <c r="Q8" s="401"/>
      <c r="R8" s="404">
        <f t="shared" si="1"/>
        <v>63114004.160000004</v>
      </c>
      <c r="S8" s="404">
        <v>4105100</v>
      </c>
      <c r="T8" s="401">
        <v>600000</v>
      </c>
      <c r="U8" s="401"/>
      <c r="V8" s="401">
        <f t="shared" si="2"/>
        <v>67819104.159999996</v>
      </c>
      <c r="W8" s="395">
        <f t="shared" si="3"/>
        <v>63000000</v>
      </c>
      <c r="X8" s="405">
        <v>0</v>
      </c>
    </row>
    <row r="9" spans="1:25">
      <c r="A9" s="397">
        <v>4</v>
      </c>
      <c r="B9" s="408" t="s">
        <v>358</v>
      </c>
      <c r="C9" s="399" t="str">
        <f>+Des!H9</f>
        <v>L</v>
      </c>
      <c r="D9" s="399" t="str">
        <f>+Des!I9</f>
        <v>K/1</v>
      </c>
      <c r="E9" s="400">
        <f t="shared" si="0"/>
        <v>11</v>
      </c>
      <c r="F9" s="401">
        <v>4374380.5599999996</v>
      </c>
      <c r="G9" s="401">
        <v>4251909.5599999996</v>
      </c>
      <c r="H9" s="401">
        <v>4261956.5599999996</v>
      </c>
      <c r="I9" s="401">
        <v>5285024.5599999996</v>
      </c>
      <c r="J9" s="402">
        <v>6337626.5599999996</v>
      </c>
      <c r="K9" s="401">
        <v>4836862.5599999996</v>
      </c>
      <c r="L9" s="401">
        <v>7043481.5599999996</v>
      </c>
      <c r="M9" s="401">
        <v>6752176.5599999996</v>
      </c>
      <c r="N9" s="401">
        <v>6013287.5599999996</v>
      </c>
      <c r="O9" s="403">
        <v>6046321.5599999996</v>
      </c>
      <c r="P9" s="403">
        <v>6226164.5599999996</v>
      </c>
      <c r="Q9" s="401"/>
      <c r="R9" s="404">
        <f t="shared" si="1"/>
        <v>61429192.160000004</v>
      </c>
      <c r="S9" s="404">
        <v>4105100</v>
      </c>
      <c r="T9" s="401">
        <v>600000</v>
      </c>
      <c r="U9" s="401"/>
      <c r="V9" s="401">
        <f t="shared" si="2"/>
        <v>66134292.160000004</v>
      </c>
      <c r="W9" s="395">
        <f t="shared" si="3"/>
        <v>63000000</v>
      </c>
      <c r="X9" s="405">
        <v>0</v>
      </c>
    </row>
    <row r="10" spans="1:25">
      <c r="A10" s="397">
        <v>5</v>
      </c>
      <c r="B10" s="398" t="s">
        <v>360</v>
      </c>
      <c r="C10" s="399" t="str">
        <f>+Des!H10</f>
        <v>L</v>
      </c>
      <c r="D10" s="399" t="str">
        <f>+Des!I10</f>
        <v>K/1</v>
      </c>
      <c r="E10" s="400">
        <f t="shared" si="0"/>
        <v>11</v>
      </c>
      <c r="F10" s="401">
        <v>4451624.5599999996</v>
      </c>
      <c r="G10" s="401">
        <v>4592459.5599999996</v>
      </c>
      <c r="H10" s="401">
        <v>5487047.5599999996</v>
      </c>
      <c r="I10" s="401">
        <v>5745318.5599999996</v>
      </c>
      <c r="J10" s="402">
        <v>6663472.5599999996</v>
      </c>
      <c r="K10" s="401">
        <v>5543646.5599999996</v>
      </c>
      <c r="L10" s="401">
        <v>6924165.3600000003</v>
      </c>
      <c r="M10" s="401">
        <v>6812124.3600000003</v>
      </c>
      <c r="N10" s="401">
        <v>5961195.3600000003</v>
      </c>
      <c r="O10" s="403">
        <v>5165130.3600000003</v>
      </c>
      <c r="P10" s="403">
        <v>6442969.3600000003</v>
      </c>
      <c r="Q10" s="401"/>
      <c r="R10" s="404">
        <f t="shared" si="1"/>
        <v>63789154.159999996</v>
      </c>
      <c r="S10" s="404">
        <v>4031100</v>
      </c>
      <c r="T10" s="401">
        <v>600000</v>
      </c>
      <c r="U10" s="401"/>
      <c r="V10" s="401">
        <f t="shared" si="2"/>
        <v>68420254.159999996</v>
      </c>
      <c r="W10" s="395">
        <f t="shared" si="3"/>
        <v>63000000</v>
      </c>
      <c r="X10" s="405">
        <v>0</v>
      </c>
    </row>
    <row r="11" spans="1:25">
      <c r="A11" s="397">
        <v>6</v>
      </c>
      <c r="B11" s="398" t="s">
        <v>361</v>
      </c>
      <c r="C11" s="399" t="str">
        <f>+Des!H11</f>
        <v>P</v>
      </c>
      <c r="D11" s="399" t="str">
        <f>+Des!I11</f>
        <v>TK/0</v>
      </c>
      <c r="E11" s="400">
        <f t="shared" si="0"/>
        <v>11</v>
      </c>
      <c r="F11" s="401">
        <v>4159160.5599999996</v>
      </c>
      <c r="G11" s="401">
        <v>3596689.56</v>
      </c>
      <c r="H11" s="401">
        <v>3991099.56</v>
      </c>
      <c r="I11" s="401">
        <v>3991099.56</v>
      </c>
      <c r="J11" s="402">
        <v>3991099.56</v>
      </c>
      <c r="K11" s="401">
        <v>3859629.56</v>
      </c>
      <c r="L11" s="401">
        <v>4316017.76</v>
      </c>
      <c r="M11" s="401">
        <v>3863130.36</v>
      </c>
      <c r="N11" s="401">
        <v>3731660.36</v>
      </c>
      <c r="O11" s="403">
        <v>3863130.36</v>
      </c>
      <c r="P11" s="403">
        <v>3986374.36</v>
      </c>
      <c r="Q11" s="401"/>
      <c r="R11" s="404">
        <f t="shared" si="1"/>
        <v>43349091.559999995</v>
      </c>
      <c r="S11" s="404">
        <v>3991100</v>
      </c>
      <c r="T11" s="401">
        <v>200000</v>
      </c>
      <c r="U11" s="401"/>
      <c r="V11" s="401">
        <f t="shared" si="2"/>
        <v>47540191.559999995</v>
      </c>
      <c r="W11" s="395">
        <f t="shared" si="3"/>
        <v>54000000</v>
      </c>
      <c r="X11" s="405">
        <v>0</v>
      </c>
    </row>
    <row r="12" spans="1:25">
      <c r="A12" s="397">
        <v>7</v>
      </c>
      <c r="B12" s="398" t="s">
        <v>362</v>
      </c>
      <c r="C12" s="399" t="str">
        <f>+Des!H12</f>
        <v>P</v>
      </c>
      <c r="D12" s="399" t="str">
        <f>+Des!I12</f>
        <v>TK/0</v>
      </c>
      <c r="E12" s="400">
        <f t="shared" si="0"/>
        <v>11</v>
      </c>
      <c r="F12" s="401">
        <v>4130160.5599999996</v>
      </c>
      <c r="G12" s="401">
        <v>3735750.56</v>
      </c>
      <c r="H12" s="401">
        <v>3962099.56</v>
      </c>
      <c r="I12" s="401">
        <v>3830629.56</v>
      </c>
      <c r="J12" s="402">
        <v>3962099.56</v>
      </c>
      <c r="K12" s="401">
        <v>3830629.56</v>
      </c>
      <c r="L12" s="401">
        <v>4418487.3600000003</v>
      </c>
      <c r="M12" s="401">
        <v>3962100.36</v>
      </c>
      <c r="N12" s="401">
        <v>3830630.36</v>
      </c>
      <c r="O12" s="403">
        <v>3998712.16</v>
      </c>
      <c r="P12" s="403">
        <v>3956874.16</v>
      </c>
      <c r="Q12" s="401"/>
      <c r="R12" s="404">
        <f t="shared" si="1"/>
        <v>43618173.75999999</v>
      </c>
      <c r="S12" s="404">
        <v>3962100</v>
      </c>
      <c r="T12" s="401">
        <v>200000</v>
      </c>
      <c r="U12" s="401"/>
      <c r="V12" s="401">
        <f t="shared" si="2"/>
        <v>47780273.75999999</v>
      </c>
      <c r="W12" s="395">
        <f t="shared" si="3"/>
        <v>54000000</v>
      </c>
      <c r="X12" s="405">
        <v>0</v>
      </c>
    </row>
    <row r="13" spans="1:25">
      <c r="A13" s="397">
        <v>8</v>
      </c>
      <c r="B13" s="398" t="s">
        <v>363</v>
      </c>
      <c r="C13" s="399" t="str">
        <f>+Des!H13</f>
        <v>P</v>
      </c>
      <c r="D13" s="399" t="str">
        <f>+Des!I13</f>
        <v>TK/0</v>
      </c>
      <c r="E13" s="400">
        <f t="shared" si="0"/>
        <v>11</v>
      </c>
      <c r="F13" s="401">
        <v>4108569.5599999996</v>
      </c>
      <c r="G13" s="401">
        <v>3882220.56</v>
      </c>
      <c r="H13" s="401">
        <v>3977099.56</v>
      </c>
      <c r="I13" s="401">
        <v>3977099.56</v>
      </c>
      <c r="J13" s="402">
        <v>4108569.5599999996</v>
      </c>
      <c r="K13" s="401">
        <v>3977099.56</v>
      </c>
      <c r="L13" s="401">
        <v>4433487.3600000003</v>
      </c>
      <c r="M13" s="401">
        <v>3977100.36</v>
      </c>
      <c r="N13" s="401">
        <v>3977100.36</v>
      </c>
      <c r="O13" s="403">
        <v>3747772.36</v>
      </c>
      <c r="P13" s="403">
        <v>4100344.3600000003</v>
      </c>
      <c r="Q13" s="401"/>
      <c r="R13" s="404">
        <f t="shared" si="1"/>
        <v>44266463.159999996</v>
      </c>
      <c r="S13" s="404">
        <v>3977100</v>
      </c>
      <c r="T13" s="401">
        <v>200000</v>
      </c>
      <c r="U13" s="401"/>
      <c r="V13" s="401">
        <f t="shared" si="2"/>
        <v>48443563.159999996</v>
      </c>
      <c r="W13" s="395">
        <f t="shared" si="3"/>
        <v>54000000</v>
      </c>
      <c r="X13" s="405">
        <v>0</v>
      </c>
    </row>
    <row r="14" spans="1:25">
      <c r="A14" s="397">
        <v>9</v>
      </c>
      <c r="B14" s="398" t="s">
        <v>364</v>
      </c>
      <c r="C14" s="399" t="str">
        <f>+Des!H14</f>
        <v>P</v>
      </c>
      <c r="D14" s="399" t="str">
        <f>+Des!I14</f>
        <v>TK/0</v>
      </c>
      <c r="E14" s="400">
        <f t="shared" si="0"/>
        <v>11</v>
      </c>
      <c r="F14" s="401">
        <v>4297630.5599999996</v>
      </c>
      <c r="G14" s="401">
        <v>3903220.56</v>
      </c>
      <c r="H14" s="401">
        <v>4129569.5599999996</v>
      </c>
      <c r="I14" s="401">
        <v>4031712.56</v>
      </c>
      <c r="J14" s="402">
        <v>4129569.5599999996</v>
      </c>
      <c r="K14" s="401">
        <v>3998099.56</v>
      </c>
      <c r="L14" s="401">
        <v>4454486.96</v>
      </c>
      <c r="M14" s="401">
        <v>4129569.96</v>
      </c>
      <c r="N14" s="401">
        <v>3998099.96</v>
      </c>
      <c r="O14" s="403">
        <v>4166682.5599999996</v>
      </c>
      <c r="P14" s="403">
        <v>4124844.5599999996</v>
      </c>
      <c r="Q14" s="401"/>
      <c r="R14" s="404">
        <f t="shared" si="1"/>
        <v>45363486.360000007</v>
      </c>
      <c r="S14" s="404">
        <v>3998100</v>
      </c>
      <c r="T14" s="401">
        <v>600000</v>
      </c>
      <c r="U14" s="401"/>
      <c r="V14" s="401">
        <f t="shared" si="2"/>
        <v>49961586.360000007</v>
      </c>
      <c r="W14" s="395">
        <f t="shared" si="3"/>
        <v>54000000</v>
      </c>
      <c r="X14" s="405">
        <v>0</v>
      </c>
    </row>
    <row r="15" spans="1:25">
      <c r="A15" s="397">
        <v>10</v>
      </c>
      <c r="B15" s="398" t="s">
        <v>365</v>
      </c>
      <c r="C15" s="399" t="str">
        <f>+Des!H15</f>
        <v>P</v>
      </c>
      <c r="D15" s="399" t="str">
        <f>+Des!I15</f>
        <v>TK/0</v>
      </c>
      <c r="E15" s="400">
        <f t="shared" si="0"/>
        <v>11</v>
      </c>
      <c r="F15" s="401">
        <v>4276630.5599999996</v>
      </c>
      <c r="G15" s="401">
        <v>3882220.56</v>
      </c>
      <c r="H15" s="401">
        <v>4108569.5599999996</v>
      </c>
      <c r="I15" s="401">
        <v>4044324.5599999996</v>
      </c>
      <c r="J15" s="402">
        <v>4108569.5599999996</v>
      </c>
      <c r="K15" s="401">
        <v>3977099.56</v>
      </c>
      <c r="L15" s="401">
        <v>4433487.3600000003</v>
      </c>
      <c r="M15" s="401">
        <v>4108570.3600000003</v>
      </c>
      <c r="N15" s="401">
        <v>3977100.36</v>
      </c>
      <c r="O15" s="403">
        <v>4142182.3600000003</v>
      </c>
      <c r="P15" s="403">
        <v>4100344.3600000003</v>
      </c>
      <c r="Q15" s="401"/>
      <c r="R15" s="404">
        <f t="shared" si="1"/>
        <v>45159099.159999996</v>
      </c>
      <c r="S15" s="404">
        <v>3977100</v>
      </c>
      <c r="T15" s="401">
        <v>600000</v>
      </c>
      <c r="U15" s="401"/>
      <c r="V15" s="401">
        <f t="shared" si="2"/>
        <v>49736199.159999996</v>
      </c>
      <c r="W15" s="395">
        <f t="shared" si="3"/>
        <v>54000000</v>
      </c>
      <c r="X15" s="405">
        <v>0</v>
      </c>
    </row>
    <row r="16" spans="1:25">
      <c r="A16" s="397">
        <v>11</v>
      </c>
      <c r="B16" s="398" t="s">
        <v>366</v>
      </c>
      <c r="C16" s="399" t="str">
        <f>+Des!H16</f>
        <v>P</v>
      </c>
      <c r="D16" s="399" t="str">
        <f>+Des!I16</f>
        <v>TK/0</v>
      </c>
      <c r="E16" s="400">
        <f t="shared" si="0"/>
        <v>11</v>
      </c>
      <c r="F16" s="401">
        <v>4297630.5599999996</v>
      </c>
      <c r="G16" s="401">
        <v>3903220.56</v>
      </c>
      <c r="H16" s="401">
        <v>4129569.5599999996</v>
      </c>
      <c r="I16" s="401">
        <v>4065324.5599999996</v>
      </c>
      <c r="J16" s="402">
        <v>4129569.5599999996</v>
      </c>
      <c r="K16" s="401">
        <v>3998099.56</v>
      </c>
      <c r="L16" s="401">
        <v>4454486.96</v>
      </c>
      <c r="M16" s="401">
        <v>4129569.96</v>
      </c>
      <c r="N16" s="401">
        <v>3998099.96</v>
      </c>
      <c r="O16" s="403">
        <v>4166682.5599999996</v>
      </c>
      <c r="P16" s="403">
        <v>4124844.5599999996</v>
      </c>
      <c r="Q16" s="401"/>
      <c r="R16" s="404">
        <f t="shared" si="1"/>
        <v>45397098.359999999</v>
      </c>
      <c r="S16" s="404">
        <v>3998100</v>
      </c>
      <c r="T16" s="401">
        <v>600000</v>
      </c>
      <c r="U16" s="401"/>
      <c r="V16" s="401">
        <f t="shared" si="2"/>
        <v>49995198.359999999</v>
      </c>
      <c r="W16" s="395">
        <f t="shared" si="3"/>
        <v>54000000</v>
      </c>
      <c r="X16" s="405">
        <v>0</v>
      </c>
    </row>
    <row r="17" spans="1:24">
      <c r="A17" s="397">
        <v>12</v>
      </c>
      <c r="B17" s="398" t="s">
        <v>367</v>
      </c>
      <c r="C17" s="399" t="str">
        <f>+Des!H17</f>
        <v>L</v>
      </c>
      <c r="D17" s="399" t="str">
        <f>+Des!I17</f>
        <v>K/0</v>
      </c>
      <c r="E17" s="400">
        <f t="shared" si="0"/>
        <v>11</v>
      </c>
      <c r="F17" s="401">
        <v>4199660.5599999996</v>
      </c>
      <c r="G17" s="401">
        <v>3936820.56</v>
      </c>
      <c r="H17" s="401">
        <v>4167519.5599999996</v>
      </c>
      <c r="I17" s="401">
        <v>3901679.56</v>
      </c>
      <c r="J17" s="402">
        <v>4167519.5599999996</v>
      </c>
      <c r="K17" s="401">
        <v>3901679.56</v>
      </c>
      <c r="L17" s="401">
        <v>4492437.76</v>
      </c>
      <c r="M17" s="401">
        <v>4034599.76</v>
      </c>
      <c r="N17" s="401">
        <v>3901679.76</v>
      </c>
      <c r="O17" s="403">
        <v>4024711.76</v>
      </c>
      <c r="P17" s="403">
        <v>3986374.36</v>
      </c>
      <c r="Q17" s="401"/>
      <c r="R17" s="404">
        <f t="shared" si="1"/>
        <v>44714682.75999999</v>
      </c>
      <c r="S17" s="404">
        <v>4034600</v>
      </c>
      <c r="T17" s="401">
        <v>200000</v>
      </c>
      <c r="U17" s="401"/>
      <c r="V17" s="401">
        <f t="shared" si="2"/>
        <v>48949282.75999999</v>
      </c>
      <c r="W17" s="395">
        <f t="shared" si="3"/>
        <v>58500000</v>
      </c>
      <c r="X17" s="405">
        <v>0</v>
      </c>
    </row>
    <row r="18" spans="1:24">
      <c r="A18" s="397">
        <v>13</v>
      </c>
      <c r="B18" s="398" t="s">
        <v>368</v>
      </c>
      <c r="C18" s="399" t="str">
        <f>+Des!H18</f>
        <v>L</v>
      </c>
      <c r="D18" s="399" t="str">
        <f>+Des!I18</f>
        <v>K/1</v>
      </c>
      <c r="E18" s="400">
        <f t="shared" si="0"/>
        <v>11</v>
      </c>
      <c r="F18" s="401">
        <v>4469624.5599999996</v>
      </c>
      <c r="G18" s="401">
        <v>4957784.5599999996</v>
      </c>
      <c r="H18" s="401">
        <v>4586315.5599999996</v>
      </c>
      <c r="I18" s="401">
        <v>5472013.5599999996</v>
      </c>
      <c r="J18" s="402">
        <v>6692676.5599999996</v>
      </c>
      <c r="K18" s="401">
        <v>5763318.5599999996</v>
      </c>
      <c r="L18" s="401">
        <v>6939165.3600000003</v>
      </c>
      <c r="M18" s="401">
        <v>6771104.3600000003</v>
      </c>
      <c r="N18" s="401">
        <v>6054624.3600000003</v>
      </c>
      <c r="O18" s="403">
        <v>5717924.3600000003</v>
      </c>
      <c r="P18" s="403">
        <v>6054624.3600000003</v>
      </c>
      <c r="Q18" s="401"/>
      <c r="R18" s="404">
        <f t="shared" si="1"/>
        <v>63479176.159999996</v>
      </c>
      <c r="S18" s="404">
        <v>4049100</v>
      </c>
      <c r="T18" s="401">
        <v>600000</v>
      </c>
      <c r="U18" s="401"/>
      <c r="V18" s="401">
        <f t="shared" si="2"/>
        <v>68128276.159999996</v>
      </c>
      <c r="W18" s="395">
        <f t="shared" si="3"/>
        <v>63000000</v>
      </c>
      <c r="X18" s="405">
        <v>0</v>
      </c>
    </row>
    <row r="19" spans="1:24">
      <c r="A19" s="397">
        <v>14</v>
      </c>
      <c r="B19" s="409" t="s">
        <v>369</v>
      </c>
      <c r="C19" s="399" t="str">
        <f>+Des!H19</f>
        <v>L</v>
      </c>
      <c r="D19" s="399" t="str">
        <f>+Des!I19</f>
        <v>K/0</v>
      </c>
      <c r="E19" s="400">
        <f t="shared" si="0"/>
        <v>11</v>
      </c>
      <c r="F19" s="401">
        <v>4318530.5599999996</v>
      </c>
      <c r="G19" s="401">
        <v>3924220.56</v>
      </c>
      <c r="H19" s="401">
        <v>4024599.56</v>
      </c>
      <c r="I19" s="401">
        <v>4024599.56</v>
      </c>
      <c r="J19" s="402">
        <v>4024599.56</v>
      </c>
      <c r="K19" s="401">
        <v>4024599.56</v>
      </c>
      <c r="L19" s="401">
        <v>4481987.3600000003</v>
      </c>
      <c r="M19" s="401">
        <v>4157070.3600000003</v>
      </c>
      <c r="N19" s="401">
        <v>4024600.36</v>
      </c>
      <c r="O19" s="403">
        <v>4058212.3600000003</v>
      </c>
      <c r="P19" s="403">
        <v>3892130.36</v>
      </c>
      <c r="Q19" s="401"/>
      <c r="R19" s="404">
        <f t="shared" si="1"/>
        <v>44955150.159999996</v>
      </c>
      <c r="S19" s="404">
        <v>4024600</v>
      </c>
      <c r="T19" s="401">
        <v>200000</v>
      </c>
      <c r="U19" s="401"/>
      <c r="V19" s="401">
        <f t="shared" si="2"/>
        <v>49179750.159999996</v>
      </c>
      <c r="W19" s="395">
        <f t="shared" si="3"/>
        <v>58500000</v>
      </c>
      <c r="X19" s="405">
        <v>0</v>
      </c>
    </row>
    <row r="20" spans="1:24">
      <c r="A20" s="397">
        <v>15</v>
      </c>
      <c r="B20" s="409" t="s">
        <v>370</v>
      </c>
      <c r="C20" s="421" t="str">
        <f>+Des!H20</f>
        <v>L</v>
      </c>
      <c r="D20" s="421" t="str">
        <f>+Des!I20</f>
        <v>K/2</v>
      </c>
      <c r="E20" s="400">
        <f t="shared" si="0"/>
        <v>11</v>
      </c>
      <c r="F20" s="401">
        <v>4087040.5599999996</v>
      </c>
      <c r="G20" s="401">
        <v>3552310.56</v>
      </c>
      <c r="H20" s="401">
        <v>3923329.56</v>
      </c>
      <c r="I20" s="401">
        <v>3653789.56</v>
      </c>
      <c r="J20" s="402">
        <v>4901724.5599999996</v>
      </c>
      <c r="K20" s="401">
        <v>3926329.56</v>
      </c>
      <c r="L20" s="401">
        <v>4744225.3600000003</v>
      </c>
      <c r="M20" s="401">
        <v>5685686.3600000003</v>
      </c>
      <c r="N20" s="401">
        <v>4721495.3600000003</v>
      </c>
      <c r="O20" s="403">
        <v>4217635.3600000003</v>
      </c>
      <c r="P20" s="403">
        <v>3510494.36</v>
      </c>
      <c r="Q20" s="401"/>
      <c r="R20" s="404">
        <f t="shared" si="1"/>
        <v>46924061.159999996</v>
      </c>
      <c r="S20" s="404">
        <v>4058100</v>
      </c>
      <c r="T20" s="401">
        <v>200000</v>
      </c>
      <c r="U20" s="401"/>
      <c r="V20" s="401">
        <f t="shared" si="2"/>
        <v>51182161.159999996</v>
      </c>
      <c r="W20" s="395">
        <f t="shared" si="3"/>
        <v>67500000</v>
      </c>
      <c r="X20" s="405">
        <v>0</v>
      </c>
    </row>
    <row r="21" spans="1:24">
      <c r="A21" s="397">
        <v>16</v>
      </c>
      <c r="B21" s="409" t="s">
        <v>418</v>
      </c>
      <c r="C21" s="399" t="s">
        <v>38</v>
      </c>
      <c r="D21" s="399" t="s">
        <v>7</v>
      </c>
      <c r="E21" s="400">
        <f t="shared" si="0"/>
        <v>11</v>
      </c>
      <c r="F21" s="401">
        <v>5502554.5599999996</v>
      </c>
      <c r="G21" s="401">
        <v>5258093.5599999996</v>
      </c>
      <c r="H21" s="401">
        <v>5388606.5599999996</v>
      </c>
      <c r="I21" s="401">
        <v>5227228.5599999996</v>
      </c>
      <c r="J21" s="401">
        <v>5825564.5599999996</v>
      </c>
      <c r="K21" s="401">
        <v>5182412.5599999996</v>
      </c>
      <c r="L21" s="401">
        <v>5779544.3600000003</v>
      </c>
      <c r="M21" s="401">
        <v>6049645.3600000003</v>
      </c>
      <c r="N21" s="401">
        <v>5528534.3600000003</v>
      </c>
      <c r="O21" s="403">
        <v>5897789.3600000003</v>
      </c>
      <c r="P21" s="403">
        <v>4174048.3600000003</v>
      </c>
      <c r="Q21" s="401"/>
      <c r="R21" s="404">
        <f t="shared" si="1"/>
        <v>59814022.159999996</v>
      </c>
      <c r="S21" s="401">
        <v>3994600</v>
      </c>
      <c r="T21" s="401">
        <v>600000</v>
      </c>
      <c r="U21" s="401"/>
      <c r="V21" s="401">
        <f t="shared" si="2"/>
        <v>64408622.159999996</v>
      </c>
      <c r="W21" s="395">
        <f t="shared" si="3"/>
        <v>54000000</v>
      </c>
      <c r="X21" s="405">
        <v>0</v>
      </c>
    </row>
    <row r="22" spans="1:24">
      <c r="A22" s="397">
        <v>17</v>
      </c>
      <c r="B22" s="409"/>
      <c r="C22" s="399"/>
      <c r="D22" s="399"/>
      <c r="E22" s="400">
        <f t="shared" si="0"/>
        <v>0</v>
      </c>
      <c r="F22" s="401"/>
      <c r="G22" s="401"/>
      <c r="H22" s="401"/>
      <c r="I22" s="401"/>
      <c r="J22" s="402"/>
      <c r="K22" s="401"/>
      <c r="L22" s="401"/>
      <c r="M22" s="401"/>
      <c r="N22" s="401"/>
      <c r="O22" s="403"/>
      <c r="P22" s="403"/>
      <c r="Q22" s="401"/>
      <c r="R22" s="404">
        <f t="shared" si="1"/>
        <v>0</v>
      </c>
      <c r="S22" s="401"/>
      <c r="T22" s="401"/>
      <c r="U22" s="401"/>
      <c r="V22" s="401">
        <f t="shared" si="2"/>
        <v>0</v>
      </c>
      <c r="W22" s="395" t="b">
        <f t="shared" si="3"/>
        <v>0</v>
      </c>
      <c r="X22" s="405">
        <v>0</v>
      </c>
    </row>
    <row r="23" spans="1:24">
      <c r="A23" s="397">
        <v>18</v>
      </c>
      <c r="B23" s="411"/>
      <c r="C23" s="412"/>
      <c r="D23" s="412"/>
      <c r="E23" s="400">
        <f t="shared" si="0"/>
        <v>0</v>
      </c>
      <c r="F23" s="413"/>
      <c r="G23" s="413"/>
      <c r="H23" s="413"/>
      <c r="I23" s="413"/>
      <c r="J23" s="414"/>
      <c r="K23" s="413"/>
      <c r="L23" s="413"/>
      <c r="M23" s="413"/>
      <c r="N23" s="413"/>
      <c r="O23" s="415"/>
      <c r="P23" s="415"/>
      <c r="Q23" s="413"/>
      <c r="R23" s="416">
        <f t="shared" si="1"/>
        <v>0</v>
      </c>
      <c r="S23" s="413"/>
      <c r="T23" s="413"/>
      <c r="U23" s="413"/>
      <c r="V23" s="413">
        <f t="shared" si="2"/>
        <v>0</v>
      </c>
      <c r="W23" s="395" t="b">
        <f t="shared" si="3"/>
        <v>0</v>
      </c>
      <c r="X23" s="417">
        <v>0</v>
      </c>
    </row>
    <row r="24" spans="1:24">
      <c r="A24" s="397">
        <v>19</v>
      </c>
      <c r="B24" s="409"/>
      <c r="C24" s="399"/>
      <c r="D24" s="399"/>
      <c r="E24" s="400">
        <f t="shared" si="0"/>
        <v>0</v>
      </c>
      <c r="F24" s="401"/>
      <c r="G24" s="401"/>
      <c r="H24" s="401"/>
      <c r="I24" s="401"/>
      <c r="J24" s="402"/>
      <c r="K24" s="401"/>
      <c r="L24" s="401"/>
      <c r="M24" s="401"/>
      <c r="N24" s="401"/>
      <c r="O24" s="403"/>
      <c r="P24" s="403"/>
      <c r="Q24" s="401"/>
      <c r="R24" s="404">
        <f t="shared" si="1"/>
        <v>0</v>
      </c>
      <c r="S24" s="401"/>
      <c r="T24" s="401"/>
      <c r="U24" s="401"/>
      <c r="V24" s="413">
        <f t="shared" si="2"/>
        <v>0</v>
      </c>
      <c r="W24" s="395" t="b">
        <f t="shared" si="3"/>
        <v>0</v>
      </c>
      <c r="X24" s="401">
        <v>0</v>
      </c>
    </row>
    <row r="25" spans="1:24">
      <c r="A25" s="397">
        <v>20</v>
      </c>
      <c r="B25" s="409"/>
      <c r="C25" s="399"/>
      <c r="D25" s="399"/>
      <c r="E25" s="400">
        <f t="shared" si="0"/>
        <v>0</v>
      </c>
      <c r="F25" s="401"/>
      <c r="G25" s="401"/>
      <c r="H25" s="401"/>
      <c r="I25" s="401"/>
      <c r="J25" s="402"/>
      <c r="K25" s="401"/>
      <c r="L25" s="401"/>
      <c r="M25" s="401"/>
      <c r="N25" s="401"/>
      <c r="O25" s="403"/>
      <c r="P25" s="403"/>
      <c r="Q25" s="401"/>
      <c r="R25" s="404">
        <f t="shared" si="1"/>
        <v>0</v>
      </c>
      <c r="S25" s="419"/>
      <c r="T25" s="419"/>
      <c r="U25" s="419"/>
      <c r="V25" s="413">
        <f t="shared" si="2"/>
        <v>0</v>
      </c>
      <c r="W25" s="395" t="b">
        <f t="shared" si="3"/>
        <v>0</v>
      </c>
      <c r="X25" s="401">
        <v>0</v>
      </c>
    </row>
    <row r="26" spans="1:24">
      <c r="A26" s="397">
        <v>21</v>
      </c>
      <c r="B26" s="409"/>
      <c r="C26" s="399"/>
      <c r="D26" s="399"/>
      <c r="E26" s="400">
        <f t="shared" si="0"/>
        <v>0</v>
      </c>
      <c r="F26" s="401"/>
      <c r="G26" s="401"/>
      <c r="H26" s="401"/>
      <c r="I26" s="401"/>
      <c r="J26" s="402"/>
      <c r="K26" s="401"/>
      <c r="L26" s="401"/>
      <c r="M26" s="401"/>
      <c r="N26" s="401"/>
      <c r="O26" s="403"/>
      <c r="P26" s="403"/>
      <c r="Q26" s="401"/>
      <c r="R26" s="404">
        <f t="shared" si="1"/>
        <v>0</v>
      </c>
      <c r="S26" s="401"/>
      <c r="T26" s="401"/>
      <c r="U26" s="401"/>
      <c r="V26" s="413">
        <f t="shared" si="2"/>
        <v>0</v>
      </c>
      <c r="W26" s="395" t="b">
        <f t="shared" si="3"/>
        <v>0</v>
      </c>
      <c r="X26" s="401">
        <v>0</v>
      </c>
    </row>
    <row r="27" spans="1:24">
      <c r="A27" s="397">
        <v>22</v>
      </c>
      <c r="B27" s="409"/>
      <c r="C27" s="399"/>
      <c r="D27" s="399"/>
      <c r="E27" s="400">
        <f t="shared" si="0"/>
        <v>0</v>
      </c>
      <c r="F27" s="401"/>
      <c r="G27" s="401"/>
      <c r="H27" s="401"/>
      <c r="I27" s="401"/>
      <c r="J27" s="402"/>
      <c r="K27" s="401"/>
      <c r="L27" s="401"/>
      <c r="M27" s="401"/>
      <c r="N27" s="401"/>
      <c r="O27" s="403"/>
      <c r="P27" s="403"/>
      <c r="Q27" s="401"/>
      <c r="R27" s="404">
        <f t="shared" si="1"/>
        <v>0</v>
      </c>
      <c r="S27" s="401"/>
      <c r="T27" s="401"/>
      <c r="U27" s="401"/>
      <c r="V27" s="401">
        <f t="shared" si="2"/>
        <v>0</v>
      </c>
      <c r="W27" s="395" t="b">
        <f t="shared" si="3"/>
        <v>0</v>
      </c>
      <c r="X27" s="401">
        <v>0</v>
      </c>
    </row>
    <row r="28" spans="1:24">
      <c r="A28" s="397">
        <v>23</v>
      </c>
      <c r="B28" s="411"/>
      <c r="C28" s="412"/>
      <c r="D28" s="412"/>
      <c r="E28" s="608">
        <f t="shared" si="0"/>
        <v>0</v>
      </c>
      <c r="F28" s="413"/>
      <c r="G28" s="413"/>
      <c r="H28" s="413"/>
      <c r="I28" s="413"/>
      <c r="J28" s="414"/>
      <c r="K28" s="413"/>
      <c r="L28" s="413"/>
      <c r="M28" s="413"/>
      <c r="N28" s="413"/>
      <c r="O28" s="415"/>
      <c r="P28" s="415"/>
      <c r="Q28" s="413"/>
      <c r="R28" s="416">
        <f t="shared" si="1"/>
        <v>0</v>
      </c>
      <c r="S28" s="413"/>
      <c r="T28" s="413"/>
      <c r="U28" s="413"/>
      <c r="V28" s="413">
        <f t="shared" si="2"/>
        <v>0</v>
      </c>
      <c r="W28" s="609" t="b">
        <f t="shared" si="3"/>
        <v>0</v>
      </c>
      <c r="X28" s="413">
        <v>0</v>
      </c>
    </row>
    <row r="29" spans="1:24">
      <c r="A29" s="397">
        <v>24</v>
      </c>
      <c r="B29" s="409"/>
      <c r="C29" s="399"/>
      <c r="D29" s="399"/>
      <c r="E29" s="400">
        <f>COUNT(F29:Q29)-COUNT(#REF!)</f>
        <v>0</v>
      </c>
      <c r="F29" s="401"/>
      <c r="G29" s="401"/>
      <c r="H29" s="401"/>
      <c r="I29" s="401"/>
      <c r="J29" s="402"/>
      <c r="K29" s="401"/>
      <c r="L29" s="401"/>
      <c r="M29" s="401"/>
      <c r="N29" s="401"/>
      <c r="O29" s="403"/>
      <c r="P29" s="403"/>
      <c r="Q29" s="401"/>
      <c r="R29" s="404">
        <f t="shared" si="1"/>
        <v>0</v>
      </c>
      <c r="S29" s="401"/>
      <c r="T29" s="401"/>
      <c r="U29" s="401"/>
      <c r="V29" s="401">
        <f t="shared" si="2"/>
        <v>0</v>
      </c>
      <c r="W29" s="485" t="b">
        <f t="shared" si="3"/>
        <v>0</v>
      </c>
      <c r="X29" s="401">
        <v>0</v>
      </c>
    </row>
    <row r="30" spans="1:24">
      <c r="A30" s="397">
        <v>25</v>
      </c>
      <c r="B30" s="409"/>
      <c r="C30" s="399"/>
      <c r="D30" s="399"/>
      <c r="E30" s="400">
        <f>COUNT(F30:Q30)-COUNT(#REF!)</f>
        <v>0</v>
      </c>
      <c r="F30" s="401"/>
      <c r="G30" s="401"/>
      <c r="H30" s="401"/>
      <c r="I30" s="401"/>
      <c r="J30" s="402"/>
      <c r="K30" s="401"/>
      <c r="L30" s="401"/>
      <c r="M30" s="401"/>
      <c r="N30" s="401"/>
      <c r="O30" s="403"/>
      <c r="P30" s="403"/>
      <c r="Q30" s="401"/>
      <c r="R30" s="404">
        <f t="shared" si="1"/>
        <v>0</v>
      </c>
      <c r="S30" s="401"/>
      <c r="T30" s="401"/>
      <c r="U30" s="401"/>
      <c r="V30" s="401">
        <f t="shared" si="2"/>
        <v>0</v>
      </c>
      <c r="W30" s="485" t="b">
        <f t="shared" si="3"/>
        <v>0</v>
      </c>
      <c r="X30" s="401">
        <v>0</v>
      </c>
    </row>
    <row r="31" spans="1:24">
      <c r="A31" s="397">
        <v>26</v>
      </c>
      <c r="B31" s="409"/>
      <c r="C31" s="399"/>
      <c r="D31" s="399"/>
      <c r="E31" s="400">
        <f>COUNT(F31:Q31)-COUNT(#REF!)</f>
        <v>0</v>
      </c>
      <c r="F31" s="401"/>
      <c r="G31" s="401"/>
      <c r="H31" s="401"/>
      <c r="I31" s="401"/>
      <c r="J31" s="402"/>
      <c r="K31" s="401"/>
      <c r="L31" s="401"/>
      <c r="M31" s="401"/>
      <c r="N31" s="401"/>
      <c r="O31" s="403"/>
      <c r="P31" s="403"/>
      <c r="Q31" s="401"/>
      <c r="R31" s="404">
        <f t="shared" si="1"/>
        <v>0</v>
      </c>
      <c r="S31" s="401"/>
      <c r="T31" s="401"/>
      <c r="U31" s="401"/>
      <c r="V31" s="401">
        <f t="shared" si="2"/>
        <v>0</v>
      </c>
      <c r="W31" s="485" t="b">
        <f t="shared" si="3"/>
        <v>0</v>
      </c>
      <c r="X31" s="401">
        <v>0</v>
      </c>
    </row>
    <row r="32" spans="1:24">
      <c r="A32" s="397">
        <v>27</v>
      </c>
      <c r="B32" s="409"/>
      <c r="C32" s="399"/>
      <c r="D32" s="399"/>
      <c r="E32" s="400">
        <f>COUNT(F32:Q32)-COUNT(#REF!)</f>
        <v>0</v>
      </c>
      <c r="F32" s="401"/>
      <c r="G32" s="401"/>
      <c r="H32" s="401"/>
      <c r="I32" s="401"/>
      <c r="J32" s="402"/>
      <c r="K32" s="401"/>
      <c r="L32" s="401"/>
      <c r="M32" s="401"/>
      <c r="N32" s="401"/>
      <c r="O32" s="403"/>
      <c r="P32" s="403"/>
      <c r="Q32" s="401"/>
      <c r="R32" s="404">
        <f t="shared" si="1"/>
        <v>0</v>
      </c>
      <c r="S32" s="401"/>
      <c r="T32" s="401"/>
      <c r="U32" s="401"/>
      <c r="V32" s="401">
        <f t="shared" si="2"/>
        <v>0</v>
      </c>
      <c r="W32" s="485" t="b">
        <f t="shared" si="3"/>
        <v>0</v>
      </c>
      <c r="X32" s="401">
        <v>0</v>
      </c>
    </row>
    <row r="33" spans="1:24">
      <c r="A33" s="397">
        <v>28</v>
      </c>
      <c r="B33" s="409"/>
      <c r="C33" s="399"/>
      <c r="D33" s="399"/>
      <c r="E33" s="400">
        <f>COUNT(F33:Q33)-COUNT(#REF!)</f>
        <v>0</v>
      </c>
      <c r="F33" s="401"/>
      <c r="G33" s="401"/>
      <c r="H33" s="401"/>
      <c r="I33" s="401"/>
      <c r="J33" s="402"/>
      <c r="K33" s="401"/>
      <c r="L33" s="401"/>
      <c r="M33" s="401"/>
      <c r="N33" s="401"/>
      <c r="O33" s="403"/>
      <c r="P33" s="403"/>
      <c r="Q33" s="401"/>
      <c r="R33" s="404">
        <f t="shared" si="1"/>
        <v>0</v>
      </c>
      <c r="S33" s="401"/>
      <c r="T33" s="401"/>
      <c r="U33" s="401"/>
      <c r="V33" s="401">
        <f t="shared" si="2"/>
        <v>0</v>
      </c>
      <c r="W33" s="485" t="b">
        <f t="shared" si="3"/>
        <v>0</v>
      </c>
      <c r="X33" s="401">
        <v>0</v>
      </c>
    </row>
    <row r="34" spans="1:24">
      <c r="A34" s="397">
        <v>29</v>
      </c>
      <c r="B34" s="409"/>
      <c r="C34" s="399"/>
      <c r="D34" s="399"/>
      <c r="E34" s="400">
        <f>COUNT(F34:Q34)-COUNT(#REF!)</f>
        <v>0</v>
      </c>
      <c r="F34" s="401"/>
      <c r="G34" s="401"/>
      <c r="H34" s="401"/>
      <c r="I34" s="401"/>
      <c r="J34" s="402"/>
      <c r="K34" s="401"/>
      <c r="L34" s="401"/>
      <c r="M34" s="401"/>
      <c r="N34" s="401"/>
      <c r="O34" s="403"/>
      <c r="P34" s="403"/>
      <c r="Q34" s="401"/>
      <c r="R34" s="404">
        <f t="shared" si="1"/>
        <v>0</v>
      </c>
      <c r="S34" s="401"/>
      <c r="T34" s="401"/>
      <c r="U34" s="401"/>
      <c r="V34" s="401">
        <f t="shared" si="2"/>
        <v>0</v>
      </c>
      <c r="W34" s="485" t="b">
        <f t="shared" si="3"/>
        <v>0</v>
      </c>
      <c r="X34" s="401">
        <v>0</v>
      </c>
    </row>
    <row r="35" spans="1:24">
      <c r="A35" s="397">
        <v>30</v>
      </c>
      <c r="B35" s="409"/>
      <c r="C35" s="399"/>
      <c r="D35" s="399"/>
      <c r="E35" s="400">
        <f>COUNT(F35:Q35)-COUNT(#REF!)</f>
        <v>0</v>
      </c>
      <c r="F35" s="401"/>
      <c r="G35" s="401"/>
      <c r="H35" s="401"/>
      <c r="I35" s="401"/>
      <c r="J35" s="402"/>
      <c r="K35" s="401"/>
      <c r="L35" s="401"/>
      <c r="M35" s="401"/>
      <c r="N35" s="401"/>
      <c r="O35" s="403"/>
      <c r="P35" s="403"/>
      <c r="Q35" s="401"/>
      <c r="R35" s="404">
        <f t="shared" si="1"/>
        <v>0</v>
      </c>
      <c r="S35" s="401"/>
      <c r="T35" s="401"/>
      <c r="U35" s="401"/>
      <c r="V35" s="401">
        <f t="shared" si="2"/>
        <v>0</v>
      </c>
      <c r="W35" s="485" t="b">
        <f t="shared" si="3"/>
        <v>0</v>
      </c>
      <c r="X35" s="401">
        <v>0</v>
      </c>
    </row>
    <row r="36" spans="1:24">
      <c r="A36" s="397">
        <v>31</v>
      </c>
      <c r="B36" s="409"/>
      <c r="C36" s="399"/>
      <c r="D36" s="399"/>
      <c r="E36" s="400">
        <f>COUNT(F36:Q36)-COUNT(#REF!)</f>
        <v>0</v>
      </c>
      <c r="F36" s="401"/>
      <c r="G36" s="401"/>
      <c r="H36" s="401"/>
      <c r="I36" s="401"/>
      <c r="J36" s="402"/>
      <c r="K36" s="401"/>
      <c r="L36" s="401"/>
      <c r="M36" s="401"/>
      <c r="N36" s="401"/>
      <c r="O36" s="403"/>
      <c r="P36" s="403"/>
      <c r="Q36" s="401"/>
      <c r="R36" s="404">
        <f t="shared" si="1"/>
        <v>0</v>
      </c>
      <c r="S36" s="401"/>
      <c r="T36" s="401"/>
      <c r="U36" s="401"/>
      <c r="V36" s="401">
        <f t="shared" si="2"/>
        <v>0</v>
      </c>
      <c r="W36" s="485" t="b">
        <f t="shared" si="3"/>
        <v>0</v>
      </c>
      <c r="X36" s="401">
        <v>0</v>
      </c>
    </row>
    <row r="37" spans="1:24">
      <c r="A37" s="397">
        <v>32</v>
      </c>
      <c r="B37" s="409"/>
      <c r="C37" s="399"/>
      <c r="D37" s="399"/>
      <c r="E37" s="400">
        <f>COUNT(F37:Q37)-COUNT(#REF!)</f>
        <v>0</v>
      </c>
      <c r="F37" s="401"/>
      <c r="G37" s="401"/>
      <c r="H37" s="401"/>
      <c r="I37" s="401"/>
      <c r="J37" s="402"/>
      <c r="K37" s="401"/>
      <c r="L37" s="401"/>
      <c r="M37" s="401"/>
      <c r="N37" s="401"/>
      <c r="O37" s="403"/>
      <c r="P37" s="403"/>
      <c r="Q37" s="401"/>
      <c r="R37" s="404">
        <f t="shared" si="1"/>
        <v>0</v>
      </c>
      <c r="S37" s="401"/>
      <c r="T37" s="401"/>
      <c r="U37" s="401"/>
      <c r="V37" s="401">
        <f t="shared" si="2"/>
        <v>0</v>
      </c>
      <c r="W37" s="485" t="b">
        <f t="shared" si="3"/>
        <v>0</v>
      </c>
      <c r="X37" s="401">
        <v>0</v>
      </c>
    </row>
    <row r="38" spans="1:24" ht="15.75" thickBot="1">
      <c r="A38" s="397">
        <v>33</v>
      </c>
      <c r="B38" s="420"/>
      <c r="C38" s="421"/>
      <c r="D38" s="421"/>
      <c r="E38" s="400">
        <f>COUNT(F38:Q38)-COUNT(#REF!)</f>
        <v>0</v>
      </c>
      <c r="F38" s="419"/>
      <c r="G38" s="419"/>
      <c r="H38" s="419"/>
      <c r="I38" s="419"/>
      <c r="J38" s="600"/>
      <c r="K38" s="419"/>
      <c r="L38" s="419"/>
      <c r="M38" s="419"/>
      <c r="N38" s="419"/>
      <c r="O38" s="601"/>
      <c r="P38" s="601"/>
      <c r="Q38" s="419"/>
      <c r="R38" s="404">
        <f t="shared" si="1"/>
        <v>0</v>
      </c>
      <c r="S38" s="419"/>
      <c r="T38" s="419"/>
      <c r="U38" s="419"/>
      <c r="V38" s="401">
        <f t="shared" si="2"/>
        <v>0</v>
      </c>
      <c r="W38" s="485" t="b">
        <f t="shared" si="3"/>
        <v>0</v>
      </c>
      <c r="X38" s="401">
        <v>0</v>
      </c>
    </row>
    <row r="39" spans="1:24" s="425" customFormat="1" ht="13.5" thickBot="1">
      <c r="A39" s="422"/>
      <c r="B39" s="423"/>
      <c r="C39" s="423"/>
      <c r="D39" s="423"/>
      <c r="E39" s="424">
        <f t="shared" ref="E39:X39" si="4">SUM(E6:E38)</f>
        <v>176</v>
      </c>
      <c r="F39" s="424">
        <f t="shared" si="4"/>
        <v>69675196.960000008</v>
      </c>
      <c r="G39" s="424">
        <f t="shared" si="4"/>
        <v>68795045.960000008</v>
      </c>
      <c r="H39" s="424">
        <f t="shared" si="4"/>
        <v>74245502.960000008</v>
      </c>
      <c r="I39" s="424">
        <f t="shared" si="4"/>
        <v>76514988.960000023</v>
      </c>
      <c r="J39" s="424">
        <f t="shared" si="4"/>
        <v>86416105.960000023</v>
      </c>
      <c r="K39" s="424">
        <f t="shared" si="4"/>
        <v>76382955.960000023</v>
      </c>
      <c r="L39" s="424">
        <f t="shared" si="4"/>
        <v>89522824.75999999</v>
      </c>
      <c r="M39" s="424">
        <f t="shared" si="4"/>
        <v>86860548.359999999</v>
      </c>
      <c r="N39" s="424">
        <f t="shared" si="4"/>
        <v>80413166.359999999</v>
      </c>
      <c r="O39" s="424">
        <f t="shared" si="4"/>
        <v>80298480.359999999</v>
      </c>
      <c r="P39" s="424">
        <f t="shared" si="4"/>
        <v>79734019.959999993</v>
      </c>
      <c r="Q39" s="424">
        <f t="shared" si="4"/>
        <v>0</v>
      </c>
      <c r="R39" s="424">
        <f t="shared" si="4"/>
        <v>868858836.55999982</v>
      </c>
      <c r="S39" s="424">
        <f t="shared" si="4"/>
        <v>64418600</v>
      </c>
      <c r="T39" s="424">
        <f t="shared" si="4"/>
        <v>6800000</v>
      </c>
      <c r="U39" s="424">
        <f t="shared" si="4"/>
        <v>0</v>
      </c>
      <c r="V39" s="424">
        <f t="shared" si="4"/>
        <v>940077436.55999982</v>
      </c>
      <c r="W39" s="424">
        <f t="shared" si="4"/>
        <v>936000000</v>
      </c>
      <c r="X39" s="424">
        <f t="shared" si="4"/>
        <v>0</v>
      </c>
    </row>
    <row r="40" spans="1:24">
      <c r="F40" s="426"/>
    </row>
    <row r="41" spans="1:24" hidden="1">
      <c r="A41" s="397">
        <v>3</v>
      </c>
      <c r="B41" s="398" t="s">
        <v>258</v>
      </c>
      <c r="C41" s="406" t="s">
        <v>39</v>
      </c>
      <c r="D41" s="399" t="s">
        <v>259</v>
      </c>
      <c r="E41" s="400">
        <f>COUNT(F41:Q41)-COUNT(#REF!)</f>
        <v>3</v>
      </c>
      <c r="F41" s="401">
        <v>3844595.0700000003</v>
      </c>
      <c r="G41" s="401">
        <v>3477247.16</v>
      </c>
      <c r="H41" s="401">
        <v>3850095.0700000003</v>
      </c>
      <c r="I41" s="401"/>
      <c r="J41" s="402"/>
      <c r="K41" s="401"/>
      <c r="L41" s="401"/>
      <c r="M41" s="401"/>
      <c r="N41" s="401"/>
      <c r="O41" s="403"/>
      <c r="P41" s="403"/>
      <c r="Q41" s="401"/>
      <c r="R41" s="404">
        <f t="shared" ref="R41:R47" si="5">SUM(F41:Q41)</f>
        <v>11171937.300000001</v>
      </c>
      <c r="S41" s="404">
        <v>3676979</v>
      </c>
      <c r="T41" s="401"/>
      <c r="U41" s="401"/>
      <c r="V41" s="401">
        <f t="shared" ref="V41:V47" si="6">R41+S41+T41+U41</f>
        <v>14848916.300000001</v>
      </c>
      <c r="W41" s="395">
        <f t="shared" ref="W41:W47" si="7">IF(D41="TK",54000000,IF(D41="K0",58500000,IF(D41="K1",63000000,IF(D41="K2",67500000,IF(D41="K3",72000000)))))</f>
        <v>63000000</v>
      </c>
      <c r="X41" s="405">
        <v>0</v>
      </c>
    </row>
    <row r="42" spans="1:24" hidden="1">
      <c r="A42" s="397">
        <v>5</v>
      </c>
      <c r="B42" s="398" t="s">
        <v>260</v>
      </c>
      <c r="C42" s="406" t="s">
        <v>39</v>
      </c>
      <c r="D42" s="399" t="s">
        <v>261</v>
      </c>
      <c r="E42" s="400">
        <f>COUNT(F42:Q42)-COUNT(#REF!)</f>
        <v>3</v>
      </c>
      <c r="F42" s="401">
        <v>6434687.25</v>
      </c>
      <c r="G42" s="401">
        <v>5492300.3700000001</v>
      </c>
      <c r="H42" s="401">
        <v>6131350.9500000002</v>
      </c>
      <c r="I42" s="401"/>
      <c r="J42" s="402"/>
      <c r="K42" s="401"/>
      <c r="L42" s="401"/>
      <c r="M42" s="401"/>
      <c r="N42" s="401"/>
      <c r="O42" s="403"/>
      <c r="P42" s="403"/>
      <c r="Q42" s="401"/>
      <c r="R42" s="404">
        <f t="shared" si="5"/>
        <v>18058338.57</v>
      </c>
      <c r="S42" s="404">
        <v>3703979</v>
      </c>
      <c r="T42" s="401"/>
      <c r="U42" s="401"/>
      <c r="V42" s="401">
        <f t="shared" si="6"/>
        <v>21762317.57</v>
      </c>
      <c r="W42" s="395">
        <f t="shared" si="7"/>
        <v>67500000</v>
      </c>
      <c r="X42" s="405">
        <v>0</v>
      </c>
    </row>
    <row r="43" spans="1:24" hidden="1">
      <c r="A43" s="397">
        <v>14</v>
      </c>
      <c r="B43" s="398" t="s">
        <v>262</v>
      </c>
      <c r="C43" s="406" t="s">
        <v>39</v>
      </c>
      <c r="D43" s="399" t="s">
        <v>261</v>
      </c>
      <c r="E43" s="400">
        <f>COUNT(F43:Q43)-COUNT(#REF!)</f>
        <v>3</v>
      </c>
      <c r="F43" s="401">
        <v>4696169.45</v>
      </c>
      <c r="G43" s="401">
        <v>4240231.8600000003</v>
      </c>
      <c r="H43" s="401">
        <v>4665835.82</v>
      </c>
      <c r="I43" s="401"/>
      <c r="J43" s="402"/>
      <c r="K43" s="401"/>
      <c r="L43" s="401"/>
      <c r="M43" s="401"/>
      <c r="N43" s="401"/>
      <c r="O43" s="403"/>
      <c r="P43" s="403"/>
      <c r="Q43" s="403"/>
      <c r="R43" s="404">
        <f t="shared" si="5"/>
        <v>13602237.130000001</v>
      </c>
      <c r="S43" s="404">
        <v>3707479</v>
      </c>
      <c r="T43" s="401"/>
      <c r="U43" s="401"/>
      <c r="V43" s="401">
        <f t="shared" si="6"/>
        <v>17309716.130000003</v>
      </c>
      <c r="W43" s="395">
        <f t="shared" si="7"/>
        <v>67500000</v>
      </c>
      <c r="X43" s="405">
        <v>0</v>
      </c>
    </row>
    <row r="44" spans="1:24" hidden="1">
      <c r="A44" s="397">
        <v>16</v>
      </c>
      <c r="B44" s="398" t="s">
        <v>114</v>
      </c>
      <c r="C44" s="406" t="s">
        <v>39</v>
      </c>
      <c r="D44" s="399" t="s">
        <v>259</v>
      </c>
      <c r="E44" s="400">
        <f>COUNT(F44:Q44)-COUNT(#REF!)</f>
        <v>3</v>
      </c>
      <c r="F44" s="401">
        <v>6650177.8200000003</v>
      </c>
      <c r="G44" s="401">
        <v>5870381.5099999998</v>
      </c>
      <c r="H44" s="401">
        <v>6538954.5099999998</v>
      </c>
      <c r="I44" s="401"/>
      <c r="J44" s="402"/>
      <c r="K44" s="401"/>
      <c r="L44" s="401"/>
      <c r="M44" s="401"/>
      <c r="N44" s="401"/>
      <c r="O44" s="403"/>
      <c r="P44" s="403"/>
      <c r="Q44" s="401"/>
      <c r="R44" s="404">
        <f t="shared" si="5"/>
        <v>19059513.84</v>
      </c>
      <c r="S44" s="404">
        <v>3673479</v>
      </c>
      <c r="T44" s="401"/>
      <c r="U44" s="401"/>
      <c r="V44" s="401">
        <f t="shared" si="6"/>
        <v>22732992.84</v>
      </c>
      <c r="W44" s="395">
        <f t="shared" si="7"/>
        <v>63000000</v>
      </c>
      <c r="X44" s="405">
        <v>0</v>
      </c>
    </row>
    <row r="45" spans="1:24" hidden="1">
      <c r="A45" s="397">
        <v>3</v>
      </c>
      <c r="B45" s="398" t="s">
        <v>263</v>
      </c>
      <c r="C45" s="406" t="s">
        <v>38</v>
      </c>
      <c r="D45" s="399" t="s">
        <v>264</v>
      </c>
      <c r="E45" s="400">
        <f>COUNT(F45:Q45)-COUNT(#REF!)</f>
        <v>3</v>
      </c>
      <c r="F45" s="401">
        <v>3745845.0700000003</v>
      </c>
      <c r="G45" s="401">
        <v>3389247.16</v>
      </c>
      <c r="H45" s="401">
        <v>3745845.0700000003</v>
      </c>
      <c r="I45" s="401"/>
      <c r="J45" s="402"/>
      <c r="K45" s="401"/>
      <c r="L45" s="401"/>
      <c r="M45" s="401"/>
      <c r="N45" s="401"/>
      <c r="O45" s="403"/>
      <c r="P45" s="403"/>
      <c r="Q45" s="401"/>
      <c r="R45" s="404">
        <f t="shared" si="5"/>
        <v>10880937.300000001</v>
      </c>
      <c r="S45" s="404">
        <v>3626979</v>
      </c>
      <c r="T45" s="401"/>
      <c r="U45" s="401"/>
      <c r="V45" s="401">
        <f t="shared" si="6"/>
        <v>14507916.300000001</v>
      </c>
      <c r="W45" s="395">
        <f t="shared" si="7"/>
        <v>54000000</v>
      </c>
      <c r="X45" s="405">
        <v>0</v>
      </c>
    </row>
    <row r="46" spans="1:24" hidden="1">
      <c r="A46" s="397">
        <v>15</v>
      </c>
      <c r="B46" s="398" t="s">
        <v>265</v>
      </c>
      <c r="C46" s="406" t="s">
        <v>38</v>
      </c>
      <c r="D46" s="399" t="s">
        <v>264</v>
      </c>
      <c r="E46" s="400">
        <f>COUNT(F46:Q46)-COUNT(#REF!)</f>
        <v>3</v>
      </c>
      <c r="F46" s="401">
        <v>3745845.0700000003</v>
      </c>
      <c r="G46" s="401">
        <v>3389247.16</v>
      </c>
      <c r="H46" s="401">
        <v>3745845.07</v>
      </c>
      <c r="I46" s="401"/>
      <c r="J46" s="402"/>
      <c r="K46" s="401"/>
      <c r="L46" s="401"/>
      <c r="M46" s="401"/>
      <c r="N46" s="401"/>
      <c r="O46" s="403"/>
      <c r="P46" s="403"/>
      <c r="Q46" s="401"/>
      <c r="R46" s="404">
        <f t="shared" si="5"/>
        <v>10880937.300000001</v>
      </c>
      <c r="S46" s="404">
        <v>3626979</v>
      </c>
      <c r="T46" s="401"/>
      <c r="U46" s="401"/>
      <c r="V46" s="401">
        <f t="shared" si="6"/>
        <v>14507916.300000001</v>
      </c>
      <c r="W46" s="395">
        <f t="shared" si="7"/>
        <v>54000000</v>
      </c>
      <c r="X46" s="405">
        <v>0</v>
      </c>
    </row>
    <row r="47" spans="1:24" hidden="1">
      <c r="A47" s="397">
        <v>22</v>
      </c>
      <c r="B47" s="409" t="s">
        <v>266</v>
      </c>
      <c r="C47" s="399" t="s">
        <v>38</v>
      </c>
      <c r="D47" s="399" t="s">
        <v>264</v>
      </c>
      <c r="E47" s="400">
        <f>COUNT(F47:Q47)-COUNT(#REF!)</f>
        <v>3</v>
      </c>
      <c r="F47" s="401">
        <v>3728345.0700000003</v>
      </c>
      <c r="G47" s="401">
        <v>3375247.16</v>
      </c>
      <c r="H47" s="401">
        <v>3731845.0700000003</v>
      </c>
      <c r="I47" s="401"/>
      <c r="J47" s="401"/>
      <c r="K47" s="401"/>
      <c r="L47" s="401"/>
      <c r="M47" s="401"/>
      <c r="N47" s="401"/>
      <c r="O47" s="403"/>
      <c r="P47" s="403"/>
      <c r="Q47" s="401"/>
      <c r="R47" s="404">
        <f t="shared" si="5"/>
        <v>10835437.300000001</v>
      </c>
      <c r="S47" s="401">
        <v>3612979</v>
      </c>
      <c r="T47" s="401"/>
      <c r="U47" s="401"/>
      <c r="V47" s="401">
        <f t="shared" si="6"/>
        <v>14448416.300000001</v>
      </c>
      <c r="W47" s="395">
        <f t="shared" si="7"/>
        <v>54000000</v>
      </c>
      <c r="X47" s="405">
        <v>0</v>
      </c>
    </row>
    <row r="48" spans="1:24" hidden="1">
      <c r="G48" s="426"/>
      <c r="J48" s="426"/>
      <c r="N48" s="426"/>
    </row>
    <row r="49" spans="1:24" hidden="1">
      <c r="A49" s="372" t="s">
        <v>71</v>
      </c>
      <c r="B49" s="372"/>
    </row>
    <row r="50" spans="1:24" ht="15.75" hidden="1" thickBot="1">
      <c r="A50" s="372" t="s">
        <v>267</v>
      </c>
      <c r="B50" s="372"/>
      <c r="H50" s="376"/>
      <c r="I50" s="376"/>
      <c r="J50" s="376"/>
      <c r="K50" s="376"/>
      <c r="L50" s="376"/>
      <c r="M50" s="376"/>
      <c r="N50" s="376"/>
      <c r="O50" s="377"/>
      <c r="P50" s="377"/>
      <c r="Q50" s="376"/>
      <c r="R50" s="376"/>
      <c r="S50" s="376"/>
      <c r="T50" s="376"/>
      <c r="U50" s="376"/>
    </row>
    <row r="51" spans="1:24" hidden="1">
      <c r="A51" s="742" t="s">
        <v>0</v>
      </c>
      <c r="B51" s="735" t="s">
        <v>231</v>
      </c>
      <c r="C51" s="735" t="s">
        <v>37</v>
      </c>
      <c r="D51" s="735" t="s">
        <v>232</v>
      </c>
      <c r="E51" s="735" t="s">
        <v>233</v>
      </c>
      <c r="F51" s="427" t="s">
        <v>234</v>
      </c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9"/>
      <c r="V51" s="430" t="s">
        <v>268</v>
      </c>
      <c r="W51" s="431" t="s">
        <v>257</v>
      </c>
    </row>
    <row r="52" spans="1:24" hidden="1">
      <c r="A52" s="743"/>
      <c r="B52" s="736"/>
      <c r="C52" s="736"/>
      <c r="D52" s="736"/>
      <c r="E52" s="736"/>
      <c r="F52" s="729" t="s">
        <v>237</v>
      </c>
      <c r="G52" s="729" t="s">
        <v>238</v>
      </c>
      <c r="H52" s="729" t="s">
        <v>239</v>
      </c>
      <c r="I52" s="729" t="s">
        <v>240</v>
      </c>
      <c r="J52" s="733" t="s">
        <v>241</v>
      </c>
      <c r="K52" s="729" t="s">
        <v>242</v>
      </c>
      <c r="L52" s="729" t="s">
        <v>243</v>
      </c>
      <c r="M52" s="729" t="s">
        <v>244</v>
      </c>
      <c r="N52" s="729" t="s">
        <v>245</v>
      </c>
      <c r="O52" s="727" t="s">
        <v>246</v>
      </c>
      <c r="P52" s="727" t="s">
        <v>247</v>
      </c>
      <c r="Q52" s="729" t="s">
        <v>248</v>
      </c>
      <c r="R52" s="624" t="s">
        <v>269</v>
      </c>
      <c r="S52" s="731" t="s">
        <v>79</v>
      </c>
      <c r="T52" s="733" t="s">
        <v>250</v>
      </c>
      <c r="U52" s="432" t="s">
        <v>251</v>
      </c>
      <c r="V52" s="433" t="s">
        <v>270</v>
      </c>
      <c r="W52" s="434" t="s">
        <v>271</v>
      </c>
    </row>
    <row r="53" spans="1:24" ht="15.75" hidden="1" thickBot="1">
      <c r="A53" s="744"/>
      <c r="B53" s="734"/>
      <c r="C53" s="734"/>
      <c r="D53" s="734"/>
      <c r="E53" s="734"/>
      <c r="F53" s="730"/>
      <c r="G53" s="730"/>
      <c r="H53" s="730"/>
      <c r="I53" s="730"/>
      <c r="J53" s="734"/>
      <c r="K53" s="730"/>
      <c r="L53" s="730"/>
      <c r="M53" s="730"/>
      <c r="N53" s="730"/>
      <c r="O53" s="728"/>
      <c r="P53" s="728"/>
      <c r="Q53" s="730"/>
      <c r="R53" s="435"/>
      <c r="S53" s="732"/>
      <c r="T53" s="734"/>
      <c r="U53" s="436" t="s">
        <v>255</v>
      </c>
      <c r="V53" s="437" t="s">
        <v>272</v>
      </c>
      <c r="W53" s="438"/>
    </row>
    <row r="54" spans="1:24" ht="15.75" hidden="1" thickTop="1">
      <c r="A54" s="439">
        <v>1</v>
      </c>
      <c r="B54" s="388" t="str">
        <f>B120</f>
        <v>NURANI</v>
      </c>
      <c r="C54" s="388" t="str">
        <f>C120</f>
        <v>P</v>
      </c>
      <c r="D54" s="388" t="str">
        <f>D120</f>
        <v>TK/0</v>
      </c>
      <c r="E54" s="388">
        <f>E120</f>
        <v>11</v>
      </c>
      <c r="F54" s="440"/>
      <c r="G54" s="390">
        <v>0</v>
      </c>
      <c r="H54" s="390">
        <v>3748</v>
      </c>
      <c r="I54" s="390">
        <v>0</v>
      </c>
      <c r="J54" s="390"/>
      <c r="K54" s="390"/>
      <c r="L54" s="390"/>
      <c r="M54" s="390"/>
      <c r="N54" s="390"/>
      <c r="O54" s="392"/>
      <c r="P54" s="392"/>
      <c r="Q54" s="390"/>
      <c r="R54" s="401">
        <f t="shared" ref="R54:R75" si="8">SUM(F54:Q54)</f>
        <v>3748</v>
      </c>
      <c r="S54" s="390">
        <v>115075</v>
      </c>
      <c r="T54" s="441"/>
      <c r="U54" s="442"/>
      <c r="V54" s="443">
        <f>R54+S54+T54+U54</f>
        <v>118823</v>
      </c>
      <c r="W54" s="444">
        <f t="shared" ref="W54:W78" si="9">SUM(F54:P54)+S54+T54</f>
        <v>118823</v>
      </c>
      <c r="X54" s="445">
        <f>V54-Q54</f>
        <v>118823</v>
      </c>
    </row>
    <row r="55" spans="1:24" hidden="1">
      <c r="A55" s="397">
        <v>2</v>
      </c>
      <c r="B55" s="398" t="str">
        <f t="shared" ref="B55:E58" si="10">B6</f>
        <v>SARWANDI</v>
      </c>
      <c r="C55" s="398" t="str">
        <f t="shared" si="10"/>
        <v>L</v>
      </c>
      <c r="D55" s="398" t="str">
        <f t="shared" si="10"/>
        <v>K/1</v>
      </c>
      <c r="E55" s="398">
        <f t="shared" si="10"/>
        <v>11</v>
      </c>
      <c r="F55" s="446">
        <v>64167</v>
      </c>
      <c r="G55" s="401">
        <v>13793</v>
      </c>
      <c r="H55" s="401">
        <v>50156</v>
      </c>
      <c r="I55" s="401">
        <v>14102</v>
      </c>
      <c r="J55" s="401">
        <v>86788</v>
      </c>
      <c r="K55" s="401">
        <v>46725</v>
      </c>
      <c r="L55" s="401">
        <v>66060</v>
      </c>
      <c r="M55" s="401">
        <v>64587</v>
      </c>
      <c r="N55" s="401">
        <v>91419</v>
      </c>
      <c r="O55" s="401"/>
      <c r="P55" s="401"/>
      <c r="Q55" s="401"/>
      <c r="R55" s="401">
        <f t="shared" si="8"/>
        <v>497797</v>
      </c>
      <c r="S55" s="401">
        <v>148708</v>
      </c>
      <c r="T55" s="447"/>
      <c r="U55" s="443"/>
      <c r="V55" s="443">
        <f>R55+S55+T55+U55</f>
        <v>646505</v>
      </c>
      <c r="W55" s="448">
        <f t="shared" si="9"/>
        <v>646505</v>
      </c>
      <c r="X55" s="445">
        <f>V55-Q55</f>
        <v>646505</v>
      </c>
    </row>
    <row r="56" spans="1:24" hidden="1">
      <c r="A56" s="397">
        <v>3</v>
      </c>
      <c r="B56" s="398" t="str">
        <f t="shared" si="10"/>
        <v>SUHARMAN</v>
      </c>
      <c r="C56" s="398" t="str">
        <f t="shared" si="10"/>
        <v>L</v>
      </c>
      <c r="D56" s="398" t="str">
        <f t="shared" si="10"/>
        <v>K/0</v>
      </c>
      <c r="E56" s="398">
        <f t="shared" si="10"/>
        <v>11</v>
      </c>
      <c r="F56" s="446"/>
      <c r="G56" s="401">
        <v>0</v>
      </c>
      <c r="H56" s="401">
        <v>3775</v>
      </c>
      <c r="I56" s="401">
        <v>0</v>
      </c>
      <c r="J56" s="401">
        <v>33371</v>
      </c>
      <c r="K56" s="401"/>
      <c r="L56" s="401"/>
      <c r="M56" s="401"/>
      <c r="N56" s="407"/>
      <c r="O56" s="407"/>
      <c r="P56" s="407"/>
      <c r="Q56" s="407"/>
      <c r="R56" s="401">
        <f t="shared" si="8"/>
        <v>37146</v>
      </c>
      <c r="S56" s="401">
        <v>146265</v>
      </c>
      <c r="T56" s="401"/>
      <c r="U56" s="443"/>
      <c r="V56" s="443">
        <f t="shared" ref="V56:V75" si="11">R56+S56+T56+U56</f>
        <v>183411</v>
      </c>
      <c r="W56" s="448">
        <f t="shared" si="9"/>
        <v>183411</v>
      </c>
      <c r="X56" s="445">
        <f t="shared" ref="X56:X75" si="12">V56-Q56</f>
        <v>183411</v>
      </c>
    </row>
    <row r="57" spans="1:24" hidden="1">
      <c r="A57" s="397">
        <v>4</v>
      </c>
      <c r="B57" s="398" t="str">
        <f t="shared" si="10"/>
        <v>DARMAWAN</v>
      </c>
      <c r="C57" s="398" t="str">
        <f t="shared" si="10"/>
        <v>L</v>
      </c>
      <c r="D57" s="398" t="str">
        <f t="shared" si="10"/>
        <v>K/1</v>
      </c>
      <c r="E57" s="398">
        <f t="shared" si="10"/>
        <v>11</v>
      </c>
      <c r="F57" s="446"/>
      <c r="G57" s="401">
        <v>0</v>
      </c>
      <c r="H57" s="401">
        <v>8872</v>
      </c>
      <c r="I57" s="401">
        <v>0</v>
      </c>
      <c r="J57" s="401"/>
      <c r="K57" s="401"/>
      <c r="L57" s="401"/>
      <c r="M57" s="401"/>
      <c r="N57" s="401"/>
      <c r="O57" s="401"/>
      <c r="P57" s="401"/>
      <c r="Q57" s="401"/>
      <c r="R57" s="401">
        <f t="shared" si="8"/>
        <v>8872</v>
      </c>
      <c r="S57" s="401">
        <v>80890</v>
      </c>
      <c r="T57" s="401"/>
      <c r="U57" s="443"/>
      <c r="V57" s="443">
        <f t="shared" si="11"/>
        <v>89762</v>
      </c>
      <c r="W57" s="448">
        <f t="shared" si="9"/>
        <v>89762</v>
      </c>
      <c r="X57" s="445">
        <f t="shared" si="12"/>
        <v>89762</v>
      </c>
    </row>
    <row r="58" spans="1:24" hidden="1">
      <c r="A58" s="397">
        <v>5</v>
      </c>
      <c r="B58" s="398" t="str">
        <f t="shared" si="10"/>
        <v>SUMARDI</v>
      </c>
      <c r="C58" s="398" t="str">
        <f t="shared" si="10"/>
        <v>L</v>
      </c>
      <c r="D58" s="398" t="str">
        <f t="shared" si="10"/>
        <v>K/1</v>
      </c>
      <c r="E58" s="398">
        <f t="shared" si="10"/>
        <v>11</v>
      </c>
      <c r="F58" s="446"/>
      <c r="G58" s="401">
        <v>0</v>
      </c>
      <c r="H58" s="401">
        <v>6824</v>
      </c>
      <c r="I58" s="401">
        <v>0</v>
      </c>
      <c r="J58" s="401">
        <v>45410</v>
      </c>
      <c r="K58" s="401"/>
      <c r="L58" s="401">
        <v>14017</v>
      </c>
      <c r="M58" s="401">
        <v>13744</v>
      </c>
      <c r="N58" s="401"/>
      <c r="O58" s="401"/>
      <c r="P58" s="401"/>
      <c r="Q58" s="401"/>
      <c r="R58" s="401">
        <f t="shared" si="8"/>
        <v>79995</v>
      </c>
      <c r="S58" s="401">
        <v>153704</v>
      </c>
      <c r="T58" s="401"/>
      <c r="U58" s="443"/>
      <c r="V58" s="443">
        <f t="shared" si="11"/>
        <v>233699</v>
      </c>
      <c r="W58" s="448">
        <f t="shared" si="9"/>
        <v>233699</v>
      </c>
      <c r="X58" s="445">
        <f t="shared" si="12"/>
        <v>233699</v>
      </c>
    </row>
    <row r="59" spans="1:24" hidden="1">
      <c r="A59" s="397">
        <v>6</v>
      </c>
      <c r="B59" s="398" t="str">
        <f>B121</f>
        <v>UJANG SANUSI</v>
      </c>
      <c r="C59" s="398" t="str">
        <f>C121</f>
        <v>L</v>
      </c>
      <c r="D59" s="398" t="str">
        <f>D121</f>
        <v>K/1</v>
      </c>
      <c r="E59" s="398">
        <f>E121</f>
        <v>11</v>
      </c>
      <c r="F59" s="446"/>
      <c r="G59" s="401">
        <v>0</v>
      </c>
      <c r="H59" s="401">
        <v>1267</v>
      </c>
      <c r="I59" s="401">
        <v>0</v>
      </c>
      <c r="J59" s="401"/>
      <c r="K59" s="401"/>
      <c r="L59" s="401"/>
      <c r="M59" s="401"/>
      <c r="N59" s="401"/>
      <c r="O59" s="401"/>
      <c r="P59" s="401"/>
      <c r="Q59" s="401"/>
      <c r="R59" s="401">
        <f t="shared" si="8"/>
        <v>1267</v>
      </c>
      <c r="S59" s="401">
        <v>77493</v>
      </c>
      <c r="T59" s="401"/>
      <c r="U59" s="443"/>
      <c r="V59" s="443">
        <f t="shared" si="11"/>
        <v>78760</v>
      </c>
      <c r="W59" s="448">
        <f t="shared" si="9"/>
        <v>78760</v>
      </c>
      <c r="X59" s="445">
        <f t="shared" si="12"/>
        <v>78760</v>
      </c>
    </row>
    <row r="60" spans="1:24" hidden="1">
      <c r="A60" s="397">
        <v>7</v>
      </c>
      <c r="B60" s="398" t="str">
        <f t="shared" ref="B60:E66" si="13">B10</f>
        <v>EKI SUMANTRI</v>
      </c>
      <c r="C60" s="398" t="str">
        <f t="shared" si="13"/>
        <v>L</v>
      </c>
      <c r="D60" s="398" t="str">
        <f t="shared" si="13"/>
        <v>K/1</v>
      </c>
      <c r="E60" s="398">
        <f t="shared" si="13"/>
        <v>11</v>
      </c>
      <c r="F60" s="446">
        <v>66753</v>
      </c>
      <c r="G60" s="401">
        <v>0</v>
      </c>
      <c r="H60" s="401">
        <v>42997</v>
      </c>
      <c r="I60" s="401">
        <v>66148</v>
      </c>
      <c r="J60" s="401">
        <v>158431</v>
      </c>
      <c r="K60" s="401">
        <v>47244</v>
      </c>
      <c r="L60" s="401">
        <v>45093</v>
      </c>
      <c r="M60" s="401">
        <v>156031</v>
      </c>
      <c r="N60" s="401">
        <v>47007</v>
      </c>
      <c r="O60" s="401"/>
      <c r="P60" s="401"/>
      <c r="Q60" s="401"/>
      <c r="R60" s="401">
        <f t="shared" si="8"/>
        <v>629704</v>
      </c>
      <c r="S60" s="401">
        <v>150028</v>
      </c>
      <c r="T60" s="401"/>
      <c r="U60" s="443"/>
      <c r="V60" s="443">
        <f t="shared" si="11"/>
        <v>779732</v>
      </c>
      <c r="W60" s="448">
        <f t="shared" si="9"/>
        <v>779732</v>
      </c>
      <c r="X60" s="445">
        <f t="shared" si="12"/>
        <v>779732</v>
      </c>
    </row>
    <row r="61" spans="1:24" hidden="1">
      <c r="A61" s="397">
        <v>8</v>
      </c>
      <c r="B61" s="398" t="str">
        <f t="shared" si="13"/>
        <v>SULISTIYANI SAPUTRI</v>
      </c>
      <c r="C61" s="398" t="str">
        <f t="shared" si="13"/>
        <v>P</v>
      </c>
      <c r="D61" s="398" t="str">
        <f t="shared" si="13"/>
        <v>TK/0</v>
      </c>
      <c r="E61" s="398">
        <f t="shared" si="13"/>
        <v>11</v>
      </c>
      <c r="F61" s="446"/>
      <c r="G61" s="401">
        <v>0</v>
      </c>
      <c r="H61" s="401">
        <v>3377</v>
      </c>
      <c r="I61" s="401">
        <v>0</v>
      </c>
      <c r="J61" s="401"/>
      <c r="K61" s="401"/>
      <c r="L61" s="401"/>
      <c r="M61" s="401"/>
      <c r="N61" s="401"/>
      <c r="O61" s="401"/>
      <c r="P61" s="401"/>
      <c r="Q61" s="401"/>
      <c r="R61" s="401">
        <f t="shared" si="8"/>
        <v>3377</v>
      </c>
      <c r="S61" s="401">
        <v>80577</v>
      </c>
      <c r="T61" s="401"/>
      <c r="U61" s="443"/>
      <c r="V61" s="443">
        <f t="shared" si="11"/>
        <v>83954</v>
      </c>
      <c r="W61" s="448">
        <f t="shared" si="9"/>
        <v>83954</v>
      </c>
      <c r="X61" s="445">
        <f t="shared" si="12"/>
        <v>83954</v>
      </c>
    </row>
    <row r="62" spans="1:24" hidden="1">
      <c r="A62" s="397">
        <v>9</v>
      </c>
      <c r="B62" s="398" t="str">
        <f t="shared" si="13"/>
        <v>TRISNAWATI</v>
      </c>
      <c r="C62" s="398" t="str">
        <f t="shared" si="13"/>
        <v>P</v>
      </c>
      <c r="D62" s="398" t="str">
        <f t="shared" si="13"/>
        <v>TK/0</v>
      </c>
      <c r="E62" s="398">
        <f t="shared" si="13"/>
        <v>11</v>
      </c>
      <c r="F62" s="446"/>
      <c r="G62" s="401">
        <v>0</v>
      </c>
      <c r="H62" s="401">
        <v>3748</v>
      </c>
      <c r="I62" s="401">
        <v>0</v>
      </c>
      <c r="J62" s="401"/>
      <c r="K62" s="401"/>
      <c r="L62" s="401"/>
      <c r="M62" s="401"/>
      <c r="N62" s="401"/>
      <c r="O62" s="403"/>
      <c r="P62" s="403"/>
      <c r="Q62" s="401"/>
      <c r="R62" s="401">
        <f t="shared" si="8"/>
        <v>3748</v>
      </c>
      <c r="S62" s="401">
        <v>113201</v>
      </c>
      <c r="T62" s="401"/>
      <c r="U62" s="443"/>
      <c r="V62" s="443">
        <f t="shared" si="11"/>
        <v>116949</v>
      </c>
      <c r="W62" s="448">
        <f t="shared" si="9"/>
        <v>116949</v>
      </c>
      <c r="X62" s="445">
        <f t="shared" si="12"/>
        <v>116949</v>
      </c>
    </row>
    <row r="63" spans="1:24" hidden="1">
      <c r="A63" s="397">
        <v>10</v>
      </c>
      <c r="B63" s="398" t="str">
        <f t="shared" si="13"/>
        <v>ELNI</v>
      </c>
      <c r="C63" s="398" t="str">
        <f t="shared" si="13"/>
        <v>P</v>
      </c>
      <c r="D63" s="398" t="str">
        <f t="shared" si="13"/>
        <v>TK/0</v>
      </c>
      <c r="E63" s="398">
        <f t="shared" si="13"/>
        <v>11</v>
      </c>
      <c r="F63" s="446"/>
      <c r="G63" s="401">
        <v>0</v>
      </c>
      <c r="H63" s="401">
        <v>2516</v>
      </c>
      <c r="I63" s="401">
        <v>0</v>
      </c>
      <c r="J63" s="401"/>
      <c r="K63" s="401"/>
      <c r="L63" s="401"/>
      <c r="M63" s="401"/>
      <c r="N63" s="401"/>
      <c r="O63" s="403"/>
      <c r="P63" s="403"/>
      <c r="Q63" s="403"/>
      <c r="R63" s="401">
        <f t="shared" si="8"/>
        <v>2516</v>
      </c>
      <c r="S63" s="401">
        <v>75357</v>
      </c>
      <c r="T63" s="401"/>
      <c r="U63" s="443"/>
      <c r="V63" s="443">
        <f t="shared" si="11"/>
        <v>77873</v>
      </c>
      <c r="W63" s="448">
        <f t="shared" si="9"/>
        <v>77873</v>
      </c>
      <c r="X63" s="445">
        <f t="shared" si="12"/>
        <v>77873</v>
      </c>
    </row>
    <row r="64" spans="1:24" hidden="1">
      <c r="A64" s="397">
        <v>11</v>
      </c>
      <c r="B64" s="398" t="str">
        <f t="shared" si="13"/>
        <v>YUSTIANA</v>
      </c>
      <c r="C64" s="398" t="str">
        <f t="shared" si="13"/>
        <v>P</v>
      </c>
      <c r="D64" s="398" t="str">
        <f t="shared" si="13"/>
        <v>TK/0</v>
      </c>
      <c r="E64" s="398">
        <f t="shared" si="13"/>
        <v>11</v>
      </c>
      <c r="F64" s="446"/>
      <c r="G64" s="401">
        <v>0</v>
      </c>
      <c r="H64" s="401">
        <v>0</v>
      </c>
      <c r="I64" s="401"/>
      <c r="J64" s="401"/>
      <c r="K64" s="401"/>
      <c r="L64" s="401"/>
      <c r="M64" s="401"/>
      <c r="N64" s="401"/>
      <c r="O64" s="403"/>
      <c r="P64" s="403"/>
      <c r="Q64" s="403"/>
      <c r="R64" s="401">
        <f t="shared" si="8"/>
        <v>0</v>
      </c>
      <c r="S64" s="401"/>
      <c r="T64" s="401"/>
      <c r="U64" s="443"/>
      <c r="V64" s="443">
        <f t="shared" si="11"/>
        <v>0</v>
      </c>
      <c r="W64" s="448">
        <f t="shared" si="9"/>
        <v>0</v>
      </c>
      <c r="X64" s="445">
        <f t="shared" si="12"/>
        <v>0</v>
      </c>
    </row>
    <row r="65" spans="1:24" hidden="1">
      <c r="A65" s="397">
        <v>12</v>
      </c>
      <c r="B65" s="398" t="str">
        <f t="shared" si="13"/>
        <v>YULIANA</v>
      </c>
      <c r="C65" s="398" t="str">
        <f t="shared" si="13"/>
        <v>P</v>
      </c>
      <c r="D65" s="398" t="str">
        <f t="shared" si="13"/>
        <v>TK/0</v>
      </c>
      <c r="E65" s="398">
        <f t="shared" si="13"/>
        <v>11</v>
      </c>
      <c r="F65" s="446"/>
      <c r="G65" s="401">
        <v>0</v>
      </c>
      <c r="H65" s="401">
        <v>1459</v>
      </c>
      <c r="I65" s="401">
        <v>0</v>
      </c>
      <c r="J65" s="401"/>
      <c r="K65" s="401"/>
      <c r="L65" s="401"/>
      <c r="M65" s="401"/>
      <c r="N65" s="401"/>
      <c r="O65" s="403"/>
      <c r="P65" s="403"/>
      <c r="Q65" s="403"/>
      <c r="R65" s="401">
        <f t="shared" si="8"/>
        <v>1459</v>
      </c>
      <c r="S65" s="401">
        <v>78847</v>
      </c>
      <c r="T65" s="401"/>
      <c r="U65" s="443"/>
      <c r="V65" s="443">
        <f t="shared" si="11"/>
        <v>80306</v>
      </c>
      <c r="W65" s="448">
        <f t="shared" si="9"/>
        <v>80306</v>
      </c>
      <c r="X65" s="445">
        <f t="shared" si="12"/>
        <v>80306</v>
      </c>
    </row>
    <row r="66" spans="1:24" hidden="1">
      <c r="A66" s="397">
        <v>13</v>
      </c>
      <c r="B66" s="398" t="str">
        <f t="shared" si="13"/>
        <v>SALMIA</v>
      </c>
      <c r="C66" s="398" t="str">
        <f t="shared" si="13"/>
        <v>P</v>
      </c>
      <c r="D66" s="398" t="str">
        <f t="shared" si="13"/>
        <v>TK/0</v>
      </c>
      <c r="E66" s="398">
        <f t="shared" si="13"/>
        <v>11</v>
      </c>
      <c r="F66" s="446"/>
      <c r="G66" s="401">
        <v>0</v>
      </c>
      <c r="H66" s="401">
        <v>3748</v>
      </c>
      <c r="I66" s="401">
        <v>0</v>
      </c>
      <c r="J66" s="401"/>
      <c r="K66" s="401"/>
      <c r="L66" s="401"/>
      <c r="M66" s="401"/>
      <c r="N66" s="401"/>
      <c r="O66" s="403"/>
      <c r="P66" s="403"/>
      <c r="Q66" s="403"/>
      <c r="R66" s="401">
        <f t="shared" si="8"/>
        <v>3748</v>
      </c>
      <c r="S66" s="401">
        <v>112772</v>
      </c>
      <c r="T66" s="401"/>
      <c r="U66" s="443"/>
      <c r="V66" s="443">
        <f t="shared" si="11"/>
        <v>116520</v>
      </c>
      <c r="W66" s="448">
        <f t="shared" si="9"/>
        <v>116520</v>
      </c>
      <c r="X66" s="445">
        <f t="shared" si="12"/>
        <v>116520</v>
      </c>
    </row>
    <row r="67" spans="1:24" hidden="1">
      <c r="A67" s="397">
        <v>14</v>
      </c>
      <c r="B67" s="398" t="e">
        <f>#REF!</f>
        <v>#REF!</v>
      </c>
      <c r="C67" s="398" t="e">
        <f>#REF!</f>
        <v>#REF!</v>
      </c>
      <c r="D67" s="398" t="e">
        <f>#REF!</f>
        <v>#REF!</v>
      </c>
      <c r="E67" s="398" t="e">
        <f>#REF!</f>
        <v>#REF!</v>
      </c>
      <c r="F67" s="446"/>
      <c r="G67" s="401">
        <v>0</v>
      </c>
      <c r="H67" s="401">
        <v>2516</v>
      </c>
      <c r="I67" s="401">
        <v>0</v>
      </c>
      <c r="J67" s="401"/>
      <c r="K67" s="401"/>
      <c r="L67" s="401"/>
      <c r="M67" s="401"/>
      <c r="N67" s="401"/>
      <c r="O67" s="403"/>
      <c r="P67" s="403"/>
      <c r="Q67" s="403"/>
      <c r="R67" s="401">
        <f t="shared" si="8"/>
        <v>2516</v>
      </c>
      <c r="S67" s="401">
        <v>76579</v>
      </c>
      <c r="T67" s="401"/>
      <c r="U67" s="443"/>
      <c r="V67" s="443">
        <f t="shared" si="11"/>
        <v>79095</v>
      </c>
      <c r="W67" s="448">
        <f t="shared" si="9"/>
        <v>79095</v>
      </c>
      <c r="X67" s="445">
        <f t="shared" si="12"/>
        <v>79095</v>
      </c>
    </row>
    <row r="68" spans="1:24" hidden="1">
      <c r="A68" s="397">
        <v>15</v>
      </c>
      <c r="B68" s="398" t="str">
        <f t="shared" ref="B68:E80" si="14">B17</f>
        <v>SISWANDI</v>
      </c>
      <c r="C68" s="398" t="str">
        <f t="shared" si="14"/>
        <v>L</v>
      </c>
      <c r="D68" s="398" t="str">
        <f t="shared" si="14"/>
        <v>K/0</v>
      </c>
      <c r="E68" s="398">
        <f t="shared" si="14"/>
        <v>11</v>
      </c>
      <c r="F68" s="446">
        <v>53877</v>
      </c>
      <c r="G68" s="401">
        <v>32881</v>
      </c>
      <c r="H68" s="401">
        <v>33842</v>
      </c>
      <c r="I68" s="401">
        <v>16152</v>
      </c>
      <c r="J68" s="401">
        <v>76189</v>
      </c>
      <c r="K68" s="401">
        <v>32725</v>
      </c>
      <c r="L68" s="401">
        <v>32885</v>
      </c>
      <c r="M68" s="401">
        <v>76711</v>
      </c>
      <c r="N68" s="401">
        <v>83229</v>
      </c>
      <c r="O68" s="403"/>
      <c r="P68" s="403"/>
      <c r="Q68" s="403"/>
      <c r="R68" s="401">
        <f t="shared" si="8"/>
        <v>438491</v>
      </c>
      <c r="S68" s="401">
        <v>123548</v>
      </c>
      <c r="T68" s="401"/>
      <c r="U68" s="443"/>
      <c r="V68" s="443">
        <f t="shared" si="11"/>
        <v>562039</v>
      </c>
      <c r="W68" s="448">
        <f t="shared" si="9"/>
        <v>562039</v>
      </c>
      <c r="X68" s="445">
        <f t="shared" si="12"/>
        <v>562039</v>
      </c>
    </row>
    <row r="69" spans="1:24" hidden="1">
      <c r="A69" s="397">
        <v>16</v>
      </c>
      <c r="B69" s="398" t="str">
        <f t="shared" si="14"/>
        <v>ERWIN HAZANI</v>
      </c>
      <c r="C69" s="398" t="str">
        <f t="shared" si="14"/>
        <v>L</v>
      </c>
      <c r="D69" s="398" t="str">
        <f t="shared" si="14"/>
        <v>K/1</v>
      </c>
      <c r="E69" s="398">
        <f t="shared" si="14"/>
        <v>11</v>
      </c>
      <c r="F69" s="446"/>
      <c r="G69" s="401">
        <v>0</v>
      </c>
      <c r="H69" s="401">
        <v>2517</v>
      </c>
      <c r="I69" s="401">
        <v>0</v>
      </c>
      <c r="J69" s="401"/>
      <c r="K69" s="401"/>
      <c r="L69" s="401"/>
      <c r="M69" s="401"/>
      <c r="N69" s="401"/>
      <c r="O69" s="403"/>
      <c r="P69" s="403"/>
      <c r="Q69" s="403"/>
      <c r="R69" s="401">
        <f t="shared" si="8"/>
        <v>2517</v>
      </c>
      <c r="S69" s="401">
        <v>75677</v>
      </c>
      <c r="T69" s="401"/>
      <c r="U69" s="443"/>
      <c r="V69" s="443">
        <f t="shared" si="11"/>
        <v>78194</v>
      </c>
      <c r="W69" s="448">
        <f t="shared" si="9"/>
        <v>78194</v>
      </c>
      <c r="X69" s="445">
        <f t="shared" si="12"/>
        <v>78194</v>
      </c>
    </row>
    <row r="70" spans="1:24" hidden="1">
      <c r="A70" s="397">
        <v>17</v>
      </c>
      <c r="B70" s="398" t="str">
        <f t="shared" si="14"/>
        <v>SERIHAN</v>
      </c>
      <c r="C70" s="398" t="str">
        <f t="shared" si="14"/>
        <v>L</v>
      </c>
      <c r="D70" s="398" t="str">
        <f t="shared" si="14"/>
        <v>K/0</v>
      </c>
      <c r="E70" s="398">
        <f t="shared" si="14"/>
        <v>11</v>
      </c>
      <c r="F70" s="446">
        <v>46385</v>
      </c>
      <c r="G70" s="401">
        <v>13865</v>
      </c>
      <c r="H70" s="401">
        <v>47610</v>
      </c>
      <c r="I70" s="401">
        <v>0</v>
      </c>
      <c r="J70" s="401">
        <v>67135</v>
      </c>
      <c r="K70" s="401">
        <v>63833</v>
      </c>
      <c r="L70" s="401">
        <v>46646</v>
      </c>
      <c r="M70" s="401">
        <v>46404</v>
      </c>
      <c r="N70" s="401">
        <v>29339</v>
      </c>
      <c r="O70" s="403"/>
      <c r="P70" s="403"/>
      <c r="Q70" s="403"/>
      <c r="R70" s="401">
        <f t="shared" si="8"/>
        <v>361217</v>
      </c>
      <c r="S70" s="401">
        <v>149471</v>
      </c>
      <c r="T70" s="401"/>
      <c r="U70" s="443"/>
      <c r="V70" s="443">
        <f t="shared" si="11"/>
        <v>510688</v>
      </c>
      <c r="W70" s="448">
        <f t="shared" si="9"/>
        <v>510688</v>
      </c>
      <c r="X70" s="445">
        <f t="shared" si="12"/>
        <v>510688</v>
      </c>
    </row>
    <row r="71" spans="1:24" hidden="1">
      <c r="A71" s="397">
        <v>18</v>
      </c>
      <c r="B71" s="398" t="str">
        <f t="shared" si="14"/>
        <v>IMAM ROHMANU,SIP</v>
      </c>
      <c r="C71" s="398" t="str">
        <f t="shared" si="14"/>
        <v>L</v>
      </c>
      <c r="D71" s="398" t="str">
        <f t="shared" si="14"/>
        <v>K/2</v>
      </c>
      <c r="E71" s="398">
        <f t="shared" si="14"/>
        <v>11</v>
      </c>
      <c r="F71" s="446"/>
      <c r="G71" s="401">
        <v>0</v>
      </c>
      <c r="H71" s="401">
        <v>8135</v>
      </c>
      <c r="I71" s="401">
        <v>0</v>
      </c>
      <c r="J71" s="401"/>
      <c r="K71" s="401"/>
      <c r="L71" s="401"/>
      <c r="M71" s="401"/>
      <c r="N71" s="401"/>
      <c r="O71" s="403"/>
      <c r="P71" s="403"/>
      <c r="Q71" s="403"/>
      <c r="R71" s="401">
        <f t="shared" si="8"/>
        <v>8135</v>
      </c>
      <c r="S71" s="401">
        <v>117980</v>
      </c>
      <c r="T71" s="401"/>
      <c r="U71" s="443"/>
      <c r="V71" s="443">
        <f t="shared" si="11"/>
        <v>126115</v>
      </c>
      <c r="W71" s="448">
        <f t="shared" si="9"/>
        <v>126115</v>
      </c>
      <c r="X71" s="445">
        <f t="shared" si="12"/>
        <v>126115</v>
      </c>
    </row>
    <row r="72" spans="1:24" hidden="1">
      <c r="A72" s="397">
        <v>19</v>
      </c>
      <c r="B72" s="398" t="str">
        <f t="shared" si="14"/>
        <v>ARLINI</v>
      </c>
      <c r="C72" s="398" t="str">
        <f t="shared" si="14"/>
        <v>P</v>
      </c>
      <c r="D72" s="398" t="str">
        <f t="shared" si="14"/>
        <v>TK/0</v>
      </c>
      <c r="E72" s="398">
        <f t="shared" si="14"/>
        <v>11</v>
      </c>
      <c r="F72" s="446">
        <v>81814</v>
      </c>
      <c r="G72" s="401">
        <v>32824</v>
      </c>
      <c r="H72" s="401">
        <v>37820</v>
      </c>
      <c r="I72" s="401">
        <v>73693</v>
      </c>
      <c r="J72" s="401">
        <v>88314</v>
      </c>
      <c r="K72" s="401">
        <v>78938</v>
      </c>
      <c r="L72" s="401">
        <v>87058</v>
      </c>
      <c r="M72" s="401">
        <v>77109</v>
      </c>
      <c r="N72" s="401">
        <v>53151</v>
      </c>
      <c r="O72" s="403"/>
      <c r="P72" s="403"/>
      <c r="Q72" s="403"/>
      <c r="R72" s="401">
        <f t="shared" si="8"/>
        <v>610721</v>
      </c>
      <c r="S72" s="401">
        <v>123383</v>
      </c>
      <c r="T72" s="401"/>
      <c r="U72" s="443"/>
      <c r="V72" s="443">
        <f t="shared" si="11"/>
        <v>734104</v>
      </c>
      <c r="W72" s="448">
        <f t="shared" si="9"/>
        <v>734104</v>
      </c>
      <c r="X72" s="445">
        <f t="shared" si="12"/>
        <v>734104</v>
      </c>
    </row>
    <row r="73" spans="1:24" hidden="1">
      <c r="A73" s="397">
        <v>20</v>
      </c>
      <c r="B73" s="398">
        <f t="shared" si="14"/>
        <v>0</v>
      </c>
      <c r="C73" s="398">
        <f t="shared" si="14"/>
        <v>0</v>
      </c>
      <c r="D73" s="398">
        <f t="shared" si="14"/>
        <v>0</v>
      </c>
      <c r="E73" s="449">
        <f t="shared" si="14"/>
        <v>0</v>
      </c>
      <c r="F73" s="446">
        <v>84916</v>
      </c>
      <c r="G73" s="413">
        <v>0</v>
      </c>
      <c r="H73" s="413">
        <v>11910</v>
      </c>
      <c r="I73" s="413">
        <v>73639</v>
      </c>
      <c r="J73" s="413">
        <v>85522</v>
      </c>
      <c r="K73" s="413">
        <v>74816</v>
      </c>
      <c r="L73" s="413">
        <v>86934</v>
      </c>
      <c r="M73" s="413">
        <v>81844</v>
      </c>
      <c r="N73" s="413">
        <v>53080</v>
      </c>
      <c r="O73" s="415"/>
      <c r="P73" s="415"/>
      <c r="Q73" s="415"/>
      <c r="R73" s="401">
        <f t="shared" si="8"/>
        <v>552661</v>
      </c>
      <c r="S73" s="413">
        <v>147626</v>
      </c>
      <c r="T73" s="413"/>
      <c r="U73" s="450"/>
      <c r="V73" s="443">
        <f t="shared" si="11"/>
        <v>700287</v>
      </c>
      <c r="W73" s="451">
        <f t="shared" si="9"/>
        <v>700287</v>
      </c>
      <c r="X73" s="445">
        <f t="shared" si="12"/>
        <v>700287</v>
      </c>
    </row>
    <row r="74" spans="1:24" hidden="1">
      <c r="A74" s="410">
        <v>21</v>
      </c>
      <c r="B74" s="449">
        <f t="shared" si="14"/>
        <v>0</v>
      </c>
      <c r="C74" s="449">
        <f t="shared" si="14"/>
        <v>0</v>
      </c>
      <c r="D74" s="449">
        <f t="shared" si="14"/>
        <v>0</v>
      </c>
      <c r="E74" s="449">
        <f t="shared" si="14"/>
        <v>0</v>
      </c>
      <c r="F74" s="446">
        <v>114906</v>
      </c>
      <c r="G74" s="413">
        <v>88493</v>
      </c>
      <c r="H74" s="413">
        <v>154141</v>
      </c>
      <c r="I74" s="413">
        <v>64976</v>
      </c>
      <c r="J74" s="413">
        <v>118542</v>
      </c>
      <c r="K74" s="413">
        <v>88160</v>
      </c>
      <c r="L74" s="413">
        <v>123456</v>
      </c>
      <c r="M74" s="413">
        <v>122573</v>
      </c>
      <c r="N74" s="413">
        <v>89421</v>
      </c>
      <c r="O74" s="415"/>
      <c r="P74" s="415"/>
      <c r="Q74" s="415"/>
      <c r="R74" s="413">
        <f t="shared" si="8"/>
        <v>964668</v>
      </c>
      <c r="S74" s="413">
        <v>237050</v>
      </c>
      <c r="T74" s="413"/>
      <c r="U74" s="450"/>
      <c r="V74" s="443">
        <f t="shared" si="11"/>
        <v>1201718</v>
      </c>
      <c r="W74" s="451">
        <f t="shared" si="9"/>
        <v>1201718</v>
      </c>
      <c r="X74" s="445">
        <f t="shared" si="12"/>
        <v>1201718</v>
      </c>
    </row>
    <row r="75" spans="1:24" hidden="1">
      <c r="A75" s="397">
        <v>22</v>
      </c>
      <c r="B75" s="398">
        <f t="shared" si="14"/>
        <v>0</v>
      </c>
      <c r="C75" s="398">
        <f t="shared" si="14"/>
        <v>0</v>
      </c>
      <c r="D75" s="398">
        <f t="shared" si="14"/>
        <v>0</v>
      </c>
      <c r="E75" s="398">
        <f t="shared" si="14"/>
        <v>0</v>
      </c>
      <c r="F75" s="446"/>
      <c r="G75" s="401">
        <v>0</v>
      </c>
      <c r="H75" s="401">
        <v>3800</v>
      </c>
      <c r="I75" s="401">
        <v>0</v>
      </c>
      <c r="J75" s="401"/>
      <c r="K75" s="401"/>
      <c r="L75" s="401">
        <v>76213</v>
      </c>
      <c r="M75" s="401">
        <v>53194</v>
      </c>
      <c r="N75" s="401">
        <v>51936</v>
      </c>
      <c r="O75" s="403"/>
      <c r="P75" s="403"/>
      <c r="Q75" s="403"/>
      <c r="R75" s="401">
        <f t="shared" si="8"/>
        <v>185143</v>
      </c>
      <c r="S75" s="401">
        <v>77484</v>
      </c>
      <c r="T75" s="401"/>
      <c r="U75" s="443"/>
      <c r="V75" s="443">
        <f t="shared" si="11"/>
        <v>262627</v>
      </c>
      <c r="W75" s="443">
        <f t="shared" si="9"/>
        <v>262627</v>
      </c>
      <c r="X75" s="445">
        <f t="shared" si="12"/>
        <v>262627</v>
      </c>
    </row>
    <row r="76" spans="1:24" hidden="1">
      <c r="A76" s="397">
        <v>23</v>
      </c>
      <c r="B76" s="398">
        <f t="shared" si="14"/>
        <v>0</v>
      </c>
      <c r="C76" s="398">
        <f t="shared" si="14"/>
        <v>0</v>
      </c>
      <c r="D76" s="398">
        <f t="shared" si="14"/>
        <v>0</v>
      </c>
      <c r="E76" s="398">
        <f t="shared" si="14"/>
        <v>0</v>
      </c>
      <c r="F76" s="446">
        <v>80424</v>
      </c>
      <c r="G76" s="401">
        <v>79675</v>
      </c>
      <c r="H76" s="401">
        <v>89105</v>
      </c>
      <c r="I76" s="401">
        <v>74710</v>
      </c>
      <c r="J76" s="401">
        <v>91217</v>
      </c>
      <c r="K76" s="401">
        <v>80857</v>
      </c>
      <c r="L76" s="401">
        <v>88996</v>
      </c>
      <c r="M76" s="401">
        <v>82255</v>
      </c>
      <c r="N76" s="401"/>
      <c r="O76" s="403"/>
      <c r="P76" s="403"/>
      <c r="Q76" s="403"/>
      <c r="R76" s="401">
        <f>SUM(F76:Q76)</f>
        <v>667239</v>
      </c>
      <c r="S76" s="401">
        <v>273903</v>
      </c>
      <c r="T76" s="401"/>
      <c r="U76" s="443"/>
      <c r="V76" s="443">
        <f>R76+S76+T76+U76</f>
        <v>941142</v>
      </c>
      <c r="W76" s="443">
        <f t="shared" si="9"/>
        <v>941142</v>
      </c>
      <c r="X76" s="445"/>
    </row>
    <row r="77" spans="1:24" hidden="1">
      <c r="A77" s="397">
        <v>24</v>
      </c>
      <c r="B77" s="398">
        <f t="shared" si="14"/>
        <v>0</v>
      </c>
      <c r="C77" s="398">
        <f t="shared" si="14"/>
        <v>0</v>
      </c>
      <c r="D77" s="398">
        <f t="shared" si="14"/>
        <v>0</v>
      </c>
      <c r="E77" s="398">
        <f t="shared" si="14"/>
        <v>0</v>
      </c>
      <c r="F77" s="446"/>
      <c r="G77" s="401">
        <v>53131</v>
      </c>
      <c r="H77" s="401">
        <v>54776</v>
      </c>
      <c r="I77" s="401">
        <v>53558</v>
      </c>
      <c r="J77" s="401">
        <v>86283</v>
      </c>
      <c r="K77" s="401">
        <v>16227</v>
      </c>
      <c r="L77" s="401">
        <v>81888</v>
      </c>
      <c r="M77" s="401">
        <v>76305</v>
      </c>
      <c r="N77" s="401"/>
      <c r="O77" s="403"/>
      <c r="P77" s="403"/>
      <c r="Q77" s="403"/>
      <c r="R77" s="401">
        <f t="shared" ref="R77:R80" si="15">SUM(F77:Q77)</f>
        <v>422168</v>
      </c>
      <c r="S77" s="401">
        <v>164992</v>
      </c>
      <c r="T77" s="401"/>
      <c r="U77" s="443"/>
      <c r="V77" s="443">
        <f t="shared" ref="V77:V80" si="16">R77+S77+T77+U77</f>
        <v>587160</v>
      </c>
      <c r="W77" s="443">
        <f t="shared" si="9"/>
        <v>587160</v>
      </c>
      <c r="X77" s="445"/>
    </row>
    <row r="78" spans="1:24" hidden="1">
      <c r="A78" s="418">
        <v>25</v>
      </c>
      <c r="B78" s="398">
        <f t="shared" si="14"/>
        <v>0</v>
      </c>
      <c r="C78" s="398">
        <f t="shared" si="14"/>
        <v>0</v>
      </c>
      <c r="D78" s="398">
        <f t="shared" si="14"/>
        <v>0</v>
      </c>
      <c r="E78" s="398">
        <f t="shared" si="14"/>
        <v>0</v>
      </c>
      <c r="F78" s="401"/>
      <c r="G78" s="401"/>
      <c r="H78" s="401">
        <v>24229</v>
      </c>
      <c r="I78" s="401"/>
      <c r="J78" s="401"/>
      <c r="K78" s="401"/>
      <c r="L78" s="401"/>
      <c r="M78" s="401"/>
      <c r="N78" s="401"/>
      <c r="O78" s="403"/>
      <c r="P78" s="403"/>
      <c r="Q78" s="403"/>
      <c r="R78" s="401">
        <f t="shared" si="15"/>
        <v>24229</v>
      </c>
      <c r="S78" s="401">
        <v>93033</v>
      </c>
      <c r="T78" s="401"/>
      <c r="U78" s="443"/>
      <c r="V78" s="443">
        <f t="shared" si="16"/>
        <v>117262</v>
      </c>
      <c r="W78" s="443">
        <f t="shared" si="9"/>
        <v>117262</v>
      </c>
      <c r="X78" s="445"/>
    </row>
    <row r="79" spans="1:24" hidden="1">
      <c r="A79" s="397">
        <v>26</v>
      </c>
      <c r="B79" s="398">
        <f t="shared" si="14"/>
        <v>0</v>
      </c>
      <c r="C79" s="398">
        <f t="shared" si="14"/>
        <v>0</v>
      </c>
      <c r="D79" s="398">
        <f t="shared" si="14"/>
        <v>0</v>
      </c>
      <c r="E79" s="398">
        <f t="shared" si="14"/>
        <v>0</v>
      </c>
      <c r="F79" s="401"/>
      <c r="G79" s="401"/>
      <c r="H79" s="401">
        <v>2833</v>
      </c>
      <c r="I79" s="401"/>
      <c r="J79" s="401"/>
      <c r="K79" s="401"/>
      <c r="L79" s="401"/>
      <c r="M79" s="401"/>
      <c r="N79" s="401"/>
      <c r="O79" s="403"/>
      <c r="P79" s="403"/>
      <c r="Q79" s="403"/>
      <c r="R79" s="401">
        <f t="shared" si="15"/>
        <v>2833</v>
      </c>
      <c r="S79" s="401">
        <v>78081</v>
      </c>
      <c r="T79" s="401"/>
      <c r="U79" s="443"/>
      <c r="V79" s="443">
        <f t="shared" si="16"/>
        <v>80914</v>
      </c>
      <c r="W79" s="443">
        <f t="shared" ref="W79:W80" si="17">SUM(F79:P79)+S79+T79</f>
        <v>80914</v>
      </c>
      <c r="X79" s="445"/>
    </row>
    <row r="80" spans="1:24" ht="15.75" hidden="1" thickBot="1">
      <c r="A80" s="418">
        <v>27</v>
      </c>
      <c r="B80" s="452">
        <f t="shared" si="14"/>
        <v>0</v>
      </c>
      <c r="C80" s="452">
        <f t="shared" si="14"/>
        <v>0</v>
      </c>
      <c r="D80" s="452">
        <f t="shared" si="14"/>
        <v>0</v>
      </c>
      <c r="E80" s="452">
        <f t="shared" si="14"/>
        <v>0</v>
      </c>
      <c r="F80" s="419"/>
      <c r="G80" s="419"/>
      <c r="H80" s="419"/>
      <c r="I80" s="419"/>
      <c r="J80" s="419"/>
      <c r="K80" s="419"/>
      <c r="L80" s="419"/>
      <c r="M80" s="419"/>
      <c r="N80" s="419"/>
      <c r="O80" s="601"/>
      <c r="P80" s="601"/>
      <c r="Q80" s="601"/>
      <c r="R80" s="453">
        <f t="shared" si="15"/>
        <v>0</v>
      </c>
      <c r="S80" s="419"/>
      <c r="T80" s="419"/>
      <c r="U80" s="454"/>
      <c r="V80" s="455">
        <f t="shared" si="16"/>
        <v>0</v>
      </c>
      <c r="W80" s="455">
        <f t="shared" si="17"/>
        <v>0</v>
      </c>
      <c r="X80" s="445"/>
    </row>
    <row r="81" spans="1:24" ht="15.75" hidden="1" thickBot="1">
      <c r="A81" s="745" t="s">
        <v>249</v>
      </c>
      <c r="B81" s="746"/>
      <c r="C81" s="456"/>
      <c r="D81" s="456"/>
      <c r="E81" s="457" t="e">
        <f>SUM(E54:E80)</f>
        <v>#REF!</v>
      </c>
      <c r="F81" s="457">
        <f t="shared" ref="F81:W81" si="18">SUM(F54:F80)</f>
        <v>593242</v>
      </c>
      <c r="G81" s="457">
        <f t="shared" si="18"/>
        <v>314662</v>
      </c>
      <c r="H81" s="457">
        <f t="shared" si="18"/>
        <v>605721</v>
      </c>
      <c r="I81" s="457">
        <f t="shared" si="18"/>
        <v>436978</v>
      </c>
      <c r="J81" s="457">
        <f t="shared" si="18"/>
        <v>937202</v>
      </c>
      <c r="K81" s="457">
        <f t="shared" si="18"/>
        <v>529525</v>
      </c>
      <c r="L81" s="457">
        <f t="shared" si="18"/>
        <v>749246</v>
      </c>
      <c r="M81" s="457">
        <f t="shared" si="18"/>
        <v>850757</v>
      </c>
      <c r="N81" s="457">
        <f t="shared" si="18"/>
        <v>498582</v>
      </c>
      <c r="O81" s="457">
        <f t="shared" si="18"/>
        <v>0</v>
      </c>
      <c r="P81" s="457">
        <f t="shared" si="18"/>
        <v>0</v>
      </c>
      <c r="Q81" s="457">
        <f t="shared" si="18"/>
        <v>0</v>
      </c>
      <c r="R81" s="457">
        <f>SUM(R54:R80)</f>
        <v>5515915</v>
      </c>
      <c r="S81" s="457">
        <f>SUM(S54:S80)</f>
        <v>3071724</v>
      </c>
      <c r="T81" s="457">
        <f t="shared" si="18"/>
        <v>0</v>
      </c>
      <c r="U81" s="457">
        <f t="shared" si="18"/>
        <v>0</v>
      </c>
      <c r="V81" s="457">
        <f t="shared" si="18"/>
        <v>8587639</v>
      </c>
      <c r="W81" s="457">
        <f t="shared" si="18"/>
        <v>8587639</v>
      </c>
      <c r="X81" s="458"/>
    </row>
    <row r="82" spans="1:24" hidden="1">
      <c r="V82" s="459"/>
      <c r="X82" s="375"/>
    </row>
    <row r="83" spans="1:24" hidden="1">
      <c r="P83" s="460"/>
      <c r="V83" s="459"/>
      <c r="X83" s="375"/>
    </row>
    <row r="84" spans="1:24" hidden="1">
      <c r="V84" s="459"/>
    </row>
    <row r="85" spans="1:24" hidden="1">
      <c r="V85" s="459"/>
    </row>
    <row r="86" spans="1:24" hidden="1">
      <c r="V86" s="459"/>
    </row>
    <row r="87" spans="1:24" hidden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459"/>
      <c r="W87" s="375"/>
      <c r="X87" s="375"/>
    </row>
    <row r="88" spans="1:24" hidden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459"/>
      <c r="W88" s="375"/>
      <c r="X88" s="375"/>
    </row>
    <row r="89" spans="1:24" hidden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459"/>
      <c r="W89" s="375"/>
      <c r="X89" s="375"/>
    </row>
    <row r="90" spans="1:24" hidden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459"/>
      <c r="W90" s="375"/>
      <c r="X90" s="375"/>
    </row>
    <row r="91" spans="1:24" hidden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459"/>
      <c r="W91" s="375"/>
      <c r="X91" s="375"/>
    </row>
    <row r="92" spans="1:24" hidden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459"/>
      <c r="W92" s="375"/>
      <c r="X92" s="375"/>
    </row>
    <row r="93" spans="1:24" hidden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459"/>
      <c r="W93" s="375"/>
      <c r="X93" s="375"/>
    </row>
    <row r="94" spans="1:24" hidden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459"/>
      <c r="W94" s="375"/>
      <c r="X94" s="375"/>
    </row>
    <row r="95" spans="1:24" hidden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459"/>
      <c r="W95" s="375"/>
      <c r="X95" s="375"/>
    </row>
    <row r="96" spans="1:24" hidden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459"/>
      <c r="W96" s="375"/>
      <c r="X96" s="375"/>
    </row>
    <row r="97" spans="1:24" hidden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459"/>
      <c r="W97" s="375"/>
      <c r="X97" s="375"/>
    </row>
    <row r="98" spans="1:24" hidden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459"/>
      <c r="W98" s="375"/>
      <c r="X98" s="375"/>
    </row>
    <row r="99" spans="1:24" hidden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459"/>
      <c r="W99" s="375"/>
      <c r="X99" s="375"/>
    </row>
    <row r="100" spans="1:24" hidden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459"/>
      <c r="W100" s="375"/>
      <c r="X100" s="375"/>
    </row>
    <row r="101" spans="1:24" hidden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459"/>
      <c r="W101" s="375"/>
      <c r="X101" s="375"/>
    </row>
    <row r="102" spans="1:24" hidden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459"/>
      <c r="W102" s="375"/>
      <c r="X102" s="375"/>
    </row>
    <row r="103" spans="1:24" hidden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459"/>
      <c r="W103" s="375"/>
      <c r="X103" s="375"/>
    </row>
    <row r="104" spans="1:24" hidden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459"/>
      <c r="W104" s="375"/>
      <c r="X104" s="375"/>
    </row>
    <row r="105" spans="1:24" hidden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459"/>
      <c r="W105" s="375"/>
      <c r="X105" s="375"/>
    </row>
    <row r="106" spans="1:24" hidden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459"/>
      <c r="W106" s="375"/>
      <c r="X106" s="375"/>
    </row>
    <row r="107" spans="1:24" hidden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459"/>
      <c r="W107" s="375"/>
      <c r="X107" s="375"/>
    </row>
    <row r="108" spans="1:24" hidden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459"/>
      <c r="W108" s="375"/>
      <c r="X108" s="375"/>
    </row>
    <row r="109" spans="1:24" hidden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459"/>
      <c r="W109" s="375"/>
      <c r="X109" s="375"/>
    </row>
    <row r="110" spans="1:24" hidden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459"/>
      <c r="W110" s="375"/>
      <c r="X110" s="375"/>
    </row>
    <row r="111" spans="1:24" hidden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459"/>
      <c r="W111" s="375"/>
      <c r="X111" s="375"/>
    </row>
    <row r="112" spans="1:24" hidden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459"/>
      <c r="W112" s="375"/>
      <c r="X112" s="375"/>
    </row>
    <row r="113" spans="1:24" hidden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459"/>
      <c r="W113" s="375"/>
      <c r="X113" s="375"/>
    </row>
    <row r="114" spans="1:24" hidden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459"/>
      <c r="W114" s="375"/>
      <c r="X114" s="375"/>
    </row>
    <row r="115" spans="1:24" hidden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459"/>
      <c r="W115" s="375"/>
      <c r="X115" s="375"/>
    </row>
    <row r="116" spans="1:24" hidden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459"/>
      <c r="W116" s="375"/>
      <c r="X116" s="375"/>
    </row>
    <row r="117" spans="1:24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459"/>
      <c r="W117" s="375"/>
      <c r="X117" s="375"/>
    </row>
    <row r="118" spans="1:24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459"/>
      <c r="W118" s="375"/>
      <c r="X118" s="375"/>
    </row>
    <row r="119" spans="1:24" ht="15.75" thickBot="1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459"/>
      <c r="W119" s="375"/>
      <c r="X119" s="375"/>
    </row>
    <row r="120" spans="1:24" ht="15.75" thickTop="1">
      <c r="A120" s="387">
        <v>1</v>
      </c>
      <c r="B120" s="388" t="s">
        <v>355</v>
      </c>
      <c r="C120" s="389" t="str">
        <f>+Des!H53</f>
        <v>P</v>
      </c>
      <c r="D120" s="389" t="str">
        <f>+Des!I53</f>
        <v>TK/0</v>
      </c>
      <c r="E120" s="400">
        <f>COUNT(F120:Q120)</f>
        <v>11</v>
      </c>
      <c r="F120" s="390">
        <v>6790408.5599999996</v>
      </c>
      <c r="G120" s="390">
        <v>7076741.5599999996</v>
      </c>
      <c r="H120" s="390">
        <v>5603575.5599999996</v>
      </c>
      <c r="I120" s="390">
        <v>5035851.5599999996</v>
      </c>
      <c r="J120" s="391">
        <v>7396222.5599999996</v>
      </c>
      <c r="K120" s="390">
        <v>5902063.5599999996</v>
      </c>
      <c r="L120" s="390">
        <v>6756888.1600000001</v>
      </c>
      <c r="M120" s="390">
        <v>6342338.7599999998</v>
      </c>
      <c r="N120" s="390">
        <v>5259932.76</v>
      </c>
      <c r="O120" s="392">
        <v>5953696.7599999998</v>
      </c>
      <c r="P120" s="392">
        <v>5075759.76</v>
      </c>
      <c r="Q120" s="393"/>
      <c r="R120" s="394">
        <f>SUM(F120:Q120)</f>
        <v>67193479.559999987</v>
      </c>
      <c r="S120" s="393">
        <v>3987600</v>
      </c>
      <c r="T120" s="390">
        <v>900000</v>
      </c>
      <c r="U120" s="390"/>
      <c r="V120" s="390">
        <f>R120+S120+T120+U120</f>
        <v>72081079.559999987</v>
      </c>
      <c r="W120" s="395">
        <f>IF(D120="TK/0",54000000,IF(D120="K/0",58500000,IF(D120="K/1",63000000,IF(D120="K/2",67500000,IF(D120="K/3",72000000)))))</f>
        <v>54000000</v>
      </c>
      <c r="X120" s="396">
        <v>0</v>
      </c>
    </row>
    <row r="121" spans="1:24">
      <c r="A121" s="397">
        <v>6</v>
      </c>
      <c r="B121" s="398" t="s">
        <v>359</v>
      </c>
      <c r="C121" s="399" t="str">
        <f>+Des!H54</f>
        <v>L</v>
      </c>
      <c r="D121" s="399" t="str">
        <f>+Des!I54</f>
        <v>K/1</v>
      </c>
      <c r="E121" s="400">
        <f>COUNT(F121:Q121)</f>
        <v>11</v>
      </c>
      <c r="F121" s="401">
        <v>6348396.5599999996</v>
      </c>
      <c r="G121" s="401">
        <v>7875832.5599999996</v>
      </c>
      <c r="H121" s="401">
        <v>6689168.5599999996</v>
      </c>
      <c r="I121" s="401">
        <v>4974627.5599999996</v>
      </c>
      <c r="J121" s="402">
        <v>8036653.5599999996</v>
      </c>
      <c r="K121" s="401">
        <v>6467765.5599999996</v>
      </c>
      <c r="L121" s="401">
        <v>7868592.7599999998</v>
      </c>
      <c r="M121" s="401">
        <v>7398022.7599999998</v>
      </c>
      <c r="N121" s="401">
        <v>6266092.7599999998</v>
      </c>
      <c r="O121" s="403">
        <v>7879796.7599999998</v>
      </c>
      <c r="P121" s="403">
        <v>5795522.7599999998</v>
      </c>
      <c r="Q121" s="401"/>
      <c r="R121" s="404">
        <f>SUM(F121:Q121)</f>
        <v>75600472.159999996</v>
      </c>
      <c r="S121" s="404">
        <v>4067100</v>
      </c>
      <c r="T121" s="401">
        <v>600000</v>
      </c>
      <c r="U121" s="401"/>
      <c r="V121" s="401">
        <f>R121+S121+T121+U121</f>
        <v>80267572.159999996</v>
      </c>
      <c r="W121" s="395">
        <f>IF(D121="TK/0",54000000,IF(D121="K/0",58500000,IF(D121="K/1",63000000,IF(D121="K/2",67500000,IF(D121="K/3",72000000)))))</f>
        <v>63000000</v>
      </c>
      <c r="X121" s="405">
        <v>0</v>
      </c>
    </row>
    <row r="122" spans="1:24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459"/>
      <c r="W122" s="375"/>
      <c r="X122" s="375"/>
    </row>
    <row r="123" spans="1:24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459"/>
      <c r="W123" s="375"/>
      <c r="X123" s="375"/>
    </row>
    <row r="124" spans="1:24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459"/>
      <c r="W124" s="375"/>
      <c r="X124" s="375"/>
    </row>
    <row r="125" spans="1:24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459"/>
      <c r="W125" s="375"/>
      <c r="X125" s="375"/>
    </row>
    <row r="126" spans="1:24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459"/>
      <c r="W126" s="375"/>
      <c r="X126" s="375"/>
    </row>
  </sheetData>
  <mergeCells count="41">
    <mergeCell ref="A81:B81"/>
    <mergeCell ref="J52:J53"/>
    <mergeCell ref="K52:K53"/>
    <mergeCell ref="L52:L53"/>
    <mergeCell ref="M52:M53"/>
    <mergeCell ref="F52:F53"/>
    <mergeCell ref="G52:G53"/>
    <mergeCell ref="H52:H53"/>
    <mergeCell ref="I52:I53"/>
    <mergeCell ref="A51:A53"/>
    <mergeCell ref="B51:B53"/>
    <mergeCell ref="C51:C53"/>
    <mergeCell ref="D51:D53"/>
    <mergeCell ref="E51:E53"/>
    <mergeCell ref="A3:A5"/>
    <mergeCell ref="B3:B5"/>
    <mergeCell ref="C3:C5"/>
    <mergeCell ref="D3:D5"/>
    <mergeCell ref="E3:E5"/>
    <mergeCell ref="W3:W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F3:U3"/>
    <mergeCell ref="O4:O5"/>
    <mergeCell ref="P4:P5"/>
    <mergeCell ref="Q4:Q5"/>
    <mergeCell ref="S4:S5"/>
    <mergeCell ref="T4:T5"/>
    <mergeCell ref="P52:P53"/>
    <mergeCell ref="Q52:Q53"/>
    <mergeCell ref="S52:S53"/>
    <mergeCell ref="T52:T53"/>
    <mergeCell ref="N52:N53"/>
    <mergeCell ref="O52:O53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workbookViewId="0">
      <selection activeCell="L22" sqref="L22"/>
    </sheetView>
  </sheetViews>
  <sheetFormatPr defaultRowHeight="15"/>
  <cols>
    <col min="1" max="1" width="8.7109375" style="375" customWidth="1"/>
    <col min="2" max="2" width="21.5703125" style="375" customWidth="1"/>
    <col min="3" max="3" width="5.42578125" style="375" customWidth="1"/>
    <col min="4" max="4" width="7.28515625" style="375" customWidth="1"/>
    <col min="5" max="5" width="5.7109375" style="375" customWidth="1"/>
    <col min="6" max="6" width="15.5703125" style="375" customWidth="1"/>
    <col min="7" max="7" width="20.5703125" style="375" customWidth="1"/>
    <col min="8" max="8" width="13" style="375" customWidth="1"/>
    <col min="9" max="9" width="13.140625" style="491" customWidth="1"/>
    <col min="10" max="10" width="12.7109375" style="375" customWidth="1"/>
    <col min="11" max="11" width="11.7109375" style="491" customWidth="1"/>
    <col min="12" max="12" width="22.140625" style="375" customWidth="1"/>
    <col min="13" max="13" width="19.140625" style="375" customWidth="1"/>
    <col min="14" max="14" width="18.28515625" style="375" customWidth="1"/>
    <col min="15" max="15" width="20.42578125" style="375" customWidth="1"/>
    <col min="16" max="16" width="17" style="375" customWidth="1"/>
    <col min="17" max="18" width="16.140625" style="375" customWidth="1"/>
    <col min="19" max="19" width="16.28515625" style="375" customWidth="1"/>
    <col min="20" max="20" width="9.5703125" style="375" hidden="1" customWidth="1"/>
    <col min="21" max="21" width="10.140625" style="375" bestFit="1" customWidth="1"/>
    <col min="22" max="22" width="12.5703125" style="375" customWidth="1"/>
    <col min="23" max="16384" width="9.140625" style="375"/>
  </cols>
  <sheetData>
    <row r="1" spans="1:22" s="464" customFormat="1" ht="15.75">
      <c r="A1" s="461" t="s">
        <v>273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3"/>
      <c r="S1" s="463"/>
    </row>
    <row r="2" spans="1:22" s="464" customFormat="1" ht="15.75">
      <c r="A2" s="461" t="s">
        <v>349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3"/>
      <c r="S2" s="463"/>
    </row>
    <row r="3" spans="1:22" ht="15.75" thickBot="1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5"/>
      <c r="N3" s="465"/>
      <c r="O3" s="465"/>
      <c r="P3" s="465"/>
      <c r="Q3" s="465"/>
      <c r="R3" s="467"/>
      <c r="S3" s="467"/>
    </row>
    <row r="4" spans="1:22">
      <c r="A4" s="754" t="s">
        <v>0</v>
      </c>
      <c r="B4" s="747" t="s">
        <v>231</v>
      </c>
      <c r="C4" s="756" t="s">
        <v>37</v>
      </c>
      <c r="D4" s="747" t="s">
        <v>232</v>
      </c>
      <c r="E4" s="747" t="s">
        <v>233</v>
      </c>
      <c r="F4" s="749" t="s">
        <v>275</v>
      </c>
      <c r="G4" s="750"/>
      <c r="H4" s="750"/>
      <c r="I4" s="750"/>
      <c r="J4" s="750"/>
      <c r="K4" s="751"/>
      <c r="L4" s="468" t="s">
        <v>276</v>
      </c>
      <c r="M4" s="749" t="s">
        <v>277</v>
      </c>
      <c r="N4" s="750"/>
      <c r="O4" s="750"/>
      <c r="P4" s="751"/>
      <c r="Q4" s="589" t="s">
        <v>252</v>
      </c>
      <c r="R4" s="747" t="s">
        <v>6</v>
      </c>
      <c r="S4" s="469" t="s">
        <v>236</v>
      </c>
    </row>
    <row r="5" spans="1:22">
      <c r="A5" s="755"/>
      <c r="B5" s="748"/>
      <c r="C5" s="757"/>
      <c r="D5" s="748"/>
      <c r="E5" s="748"/>
      <c r="F5" s="758" t="s">
        <v>278</v>
      </c>
      <c r="G5" s="591" t="s">
        <v>230</v>
      </c>
      <c r="H5" s="470" t="s">
        <v>279</v>
      </c>
      <c r="I5" s="758" t="s">
        <v>202</v>
      </c>
      <c r="J5" s="471" t="s">
        <v>280</v>
      </c>
      <c r="K5" s="758" t="s">
        <v>250</v>
      </c>
      <c r="L5" s="472" t="s">
        <v>236</v>
      </c>
      <c r="M5" s="472" t="s">
        <v>281</v>
      </c>
      <c r="N5" s="472" t="s">
        <v>282</v>
      </c>
      <c r="O5" s="473" t="s">
        <v>283</v>
      </c>
      <c r="P5" s="473" t="s">
        <v>235</v>
      </c>
      <c r="Q5" s="590" t="s">
        <v>284</v>
      </c>
      <c r="R5" s="748"/>
      <c r="S5" s="474" t="s">
        <v>253</v>
      </c>
    </row>
    <row r="6" spans="1:22">
      <c r="A6" s="755"/>
      <c r="B6" s="748"/>
      <c r="C6" s="757"/>
      <c r="D6" s="748"/>
      <c r="E6" s="748"/>
      <c r="F6" s="748"/>
      <c r="G6" s="590" t="s">
        <v>285</v>
      </c>
      <c r="H6" s="475">
        <v>8.3999999999999995E-3</v>
      </c>
      <c r="I6" s="748"/>
      <c r="J6" s="476" t="s">
        <v>286</v>
      </c>
      <c r="K6" s="748"/>
      <c r="L6" s="472" t="s">
        <v>256</v>
      </c>
      <c r="M6" s="477" t="s">
        <v>287</v>
      </c>
      <c r="N6" s="472" t="s">
        <v>288</v>
      </c>
      <c r="O6" s="478">
        <v>0.01</v>
      </c>
      <c r="P6" s="473" t="s">
        <v>289</v>
      </c>
      <c r="Q6" s="472" t="s">
        <v>290</v>
      </c>
      <c r="R6" s="748"/>
      <c r="S6" s="474" t="s">
        <v>257</v>
      </c>
    </row>
    <row r="7" spans="1:22" s="489" customFormat="1" ht="17.25" customHeight="1">
      <c r="A7" s="490">
        <v>1</v>
      </c>
      <c r="B7" s="398" t="str">
        <f>+PERBULAN!B6</f>
        <v>SARWANDI</v>
      </c>
      <c r="C7" s="398" t="str">
        <f>+PERBULAN!C6</f>
        <v>L</v>
      </c>
      <c r="D7" s="398" t="str">
        <f>+PERBULAN!D6</f>
        <v>K/1</v>
      </c>
      <c r="E7" s="398">
        <f>+PERBULAN!E6</f>
        <v>11</v>
      </c>
      <c r="F7" s="483">
        <f>+PERBULAN!R6</f>
        <v>91902401.159999996</v>
      </c>
      <c r="G7" s="483">
        <f>+BPJS!O7</f>
        <v>1727924</v>
      </c>
      <c r="H7" s="602">
        <f>+BPJS!O56</f>
        <v>360318.84</v>
      </c>
      <c r="I7" s="484">
        <f>+PERBULAN!S6</f>
        <v>4053100</v>
      </c>
      <c r="J7" s="401"/>
      <c r="K7" s="484">
        <f>+PERBULAN!T6</f>
        <v>600000</v>
      </c>
      <c r="L7" s="483">
        <f>SUM(F7:K7)</f>
        <v>98643744</v>
      </c>
      <c r="M7" s="602">
        <f>+'ASTEK+PENSIUN'!O8</f>
        <v>857902</v>
      </c>
      <c r="N7" s="483">
        <f>L7*0.05</f>
        <v>4932187.2</v>
      </c>
      <c r="O7" s="602">
        <f>+'ASTEK+PENSIUN'!O51</f>
        <v>428951</v>
      </c>
      <c r="P7" s="483">
        <f>SUM(M7:O7)</f>
        <v>6219040.2000000002</v>
      </c>
      <c r="Q7" s="484">
        <f>L7-P7</f>
        <v>92424703.799999997</v>
      </c>
      <c r="R7" s="485">
        <f t="shared" ref="R7:R30" si="0">IF(D7="TK/0",54000000,IF(D7="K/0",58500000,IF(D7="K/1",63000000,IF(D7="K/2",67500000,IF(D7="K/3",72000000)))))</f>
        <v>63000000</v>
      </c>
      <c r="S7" s="486">
        <f>IF(Q7&lt;=R7,0,IF(Q7&gt;R7,Q7-R7))</f>
        <v>29424703.799999997</v>
      </c>
      <c r="T7" s="487">
        <f t="shared" ref="T7:T27" si="1">F7-G7-H7</f>
        <v>89814158.319999993</v>
      </c>
      <c r="U7" s="488">
        <f t="shared" ref="U7:U39" si="2">G7+H7</f>
        <v>2088242.84</v>
      </c>
      <c r="V7" s="606">
        <f t="shared" ref="V7:V39" si="3">M7+O7</f>
        <v>1286853</v>
      </c>
    </row>
    <row r="8" spans="1:22" s="491" customFormat="1" ht="17.25" customHeight="1">
      <c r="A8" s="490">
        <v>2</v>
      </c>
      <c r="B8" s="398" t="str">
        <f>+PERBULAN!B7</f>
        <v>SUHARMAN</v>
      </c>
      <c r="C8" s="398" t="str">
        <f>+PERBULAN!C7</f>
        <v>L</v>
      </c>
      <c r="D8" s="398" t="str">
        <f>+PERBULAN!D7</f>
        <v>K/0</v>
      </c>
      <c r="E8" s="398">
        <f>+PERBULAN!E7</f>
        <v>11</v>
      </c>
      <c r="F8" s="483">
        <f>+PERBULAN!R7</f>
        <v>61583580.159999996</v>
      </c>
      <c r="G8" s="483">
        <f>+BPJS!O8</f>
        <v>1743184</v>
      </c>
      <c r="H8" s="602">
        <f>+BPJS!O57</f>
        <v>361935.83999999997</v>
      </c>
      <c r="I8" s="484">
        <f>+PERBULAN!S7</f>
        <v>4059600</v>
      </c>
      <c r="J8" s="401"/>
      <c r="K8" s="484">
        <f>+PERBULAN!T7</f>
        <v>200000</v>
      </c>
      <c r="L8" s="483">
        <f t="shared" ref="L8:L25" si="4">SUM(F8:K8)</f>
        <v>67948300</v>
      </c>
      <c r="M8" s="602">
        <f>+'ASTEK+PENSIUN'!O9</f>
        <v>861752</v>
      </c>
      <c r="N8" s="483">
        <f t="shared" ref="N8:N30" si="5">L8*0.05</f>
        <v>3397415</v>
      </c>
      <c r="O8" s="602">
        <f>+'ASTEK+PENSIUN'!O52</f>
        <v>430876</v>
      </c>
      <c r="P8" s="483">
        <f t="shared" ref="P8:P23" si="6">SUM(M8:O8)</f>
        <v>4690043</v>
      </c>
      <c r="Q8" s="484">
        <f t="shared" ref="Q8:Q30" si="7">L8-P8</f>
        <v>63258257</v>
      </c>
      <c r="R8" s="485">
        <f t="shared" si="0"/>
        <v>58500000</v>
      </c>
      <c r="S8" s="486">
        <f t="shared" ref="S8:S30" si="8">IF(Q8&lt;=R8,0,IF(Q8&gt;R8,Q8-R8))</f>
        <v>4758257</v>
      </c>
      <c r="T8" s="487">
        <f t="shared" si="1"/>
        <v>59478460.319999993</v>
      </c>
      <c r="U8" s="488">
        <f t="shared" si="2"/>
        <v>2105119.84</v>
      </c>
      <c r="V8" s="606">
        <f t="shared" si="3"/>
        <v>1292628</v>
      </c>
    </row>
    <row r="9" spans="1:22" s="489" customFormat="1" ht="17.25" customHeight="1">
      <c r="A9" s="490">
        <v>3</v>
      </c>
      <c r="B9" s="398" t="str">
        <f>+PERBULAN!B8</f>
        <v>DARMAWAN</v>
      </c>
      <c r="C9" s="398" t="str">
        <f>+PERBULAN!C8</f>
        <v>L</v>
      </c>
      <c r="D9" s="398" t="str">
        <f>+PERBULAN!D8</f>
        <v>K/1</v>
      </c>
      <c r="E9" s="398">
        <f>+PERBULAN!E8</f>
        <v>11</v>
      </c>
      <c r="F9" s="483">
        <f>+PERBULAN!R8</f>
        <v>63114004.160000004</v>
      </c>
      <c r="G9" s="483">
        <f>+BPJS!O9</f>
        <v>1744584</v>
      </c>
      <c r="H9" s="602">
        <f>+BPJS!O58</f>
        <v>362082.83999999997</v>
      </c>
      <c r="I9" s="484">
        <f>+PERBULAN!S8</f>
        <v>4105100</v>
      </c>
      <c r="J9" s="401"/>
      <c r="K9" s="484">
        <f>+PERBULAN!T8</f>
        <v>600000</v>
      </c>
      <c r="L9" s="483">
        <f t="shared" si="4"/>
        <v>69925771</v>
      </c>
      <c r="M9" s="602">
        <f>+'ASTEK+PENSIUN'!O10</f>
        <v>862102</v>
      </c>
      <c r="N9" s="483">
        <f t="shared" si="5"/>
        <v>3496288.5500000003</v>
      </c>
      <c r="O9" s="602">
        <f>+'ASTEK+PENSIUN'!O53</f>
        <v>431051</v>
      </c>
      <c r="P9" s="483">
        <f t="shared" si="6"/>
        <v>4789441.5500000007</v>
      </c>
      <c r="Q9" s="484">
        <f t="shared" si="7"/>
        <v>65136329.450000003</v>
      </c>
      <c r="R9" s="485">
        <f t="shared" si="0"/>
        <v>63000000</v>
      </c>
      <c r="S9" s="486">
        <f t="shared" si="8"/>
        <v>2136329.450000003</v>
      </c>
      <c r="T9" s="487">
        <f t="shared" si="1"/>
        <v>61007337.32</v>
      </c>
      <c r="U9" s="488">
        <f t="shared" si="2"/>
        <v>2106666.84</v>
      </c>
      <c r="V9" s="606">
        <f t="shared" si="3"/>
        <v>1293153</v>
      </c>
    </row>
    <row r="10" spans="1:22" s="489" customFormat="1" ht="17.25" customHeight="1">
      <c r="A10" s="490">
        <v>4</v>
      </c>
      <c r="B10" s="398" t="str">
        <f>+PERBULAN!B9</f>
        <v>SUMARDI</v>
      </c>
      <c r="C10" s="398" t="str">
        <f>+PERBULAN!C9</f>
        <v>L</v>
      </c>
      <c r="D10" s="398" t="str">
        <f>+PERBULAN!D9</f>
        <v>K/1</v>
      </c>
      <c r="E10" s="398">
        <f>+PERBULAN!E9</f>
        <v>11</v>
      </c>
      <c r="F10" s="483">
        <f>+PERBULAN!R9</f>
        <v>61429192.160000004</v>
      </c>
      <c r="G10" s="483">
        <f>+BPJS!O10</f>
        <v>1744864</v>
      </c>
      <c r="H10" s="602">
        <f>+BPJS!O59</f>
        <v>362082.83999999997</v>
      </c>
      <c r="I10" s="484">
        <f>+PERBULAN!S9</f>
        <v>4105100</v>
      </c>
      <c r="J10" s="401"/>
      <c r="K10" s="484">
        <f>+PERBULAN!T9</f>
        <v>600000</v>
      </c>
      <c r="L10" s="483">
        <f t="shared" si="4"/>
        <v>68241239</v>
      </c>
      <c r="M10" s="602">
        <f>+'ASTEK+PENSIUN'!O11</f>
        <v>862102</v>
      </c>
      <c r="N10" s="483">
        <f t="shared" si="5"/>
        <v>3412061.95</v>
      </c>
      <c r="O10" s="602">
        <f>+'ASTEK+PENSIUN'!O54</f>
        <v>431051</v>
      </c>
      <c r="P10" s="483">
        <f t="shared" si="6"/>
        <v>4705214.95</v>
      </c>
      <c r="Q10" s="484">
        <f t="shared" si="7"/>
        <v>63536024.049999997</v>
      </c>
      <c r="R10" s="485">
        <f t="shared" si="0"/>
        <v>63000000</v>
      </c>
      <c r="S10" s="486">
        <f t="shared" si="8"/>
        <v>536024.04999999702</v>
      </c>
      <c r="T10" s="487">
        <f t="shared" si="1"/>
        <v>59322245.32</v>
      </c>
      <c r="U10" s="488">
        <f t="shared" si="2"/>
        <v>2106946.84</v>
      </c>
      <c r="V10" s="606">
        <f t="shared" si="3"/>
        <v>1293153</v>
      </c>
    </row>
    <row r="11" spans="1:22" s="489" customFormat="1" ht="17.25" customHeight="1">
      <c r="A11" s="490">
        <v>5</v>
      </c>
      <c r="B11" s="398" t="str">
        <f>+PERBULAN!B10</f>
        <v>EKI SUMANTRI</v>
      </c>
      <c r="C11" s="398" t="str">
        <f>+PERBULAN!C10</f>
        <v>L</v>
      </c>
      <c r="D11" s="398" t="str">
        <f>+PERBULAN!D10</f>
        <v>K/1</v>
      </c>
      <c r="E11" s="398">
        <f>+PERBULAN!E10</f>
        <v>11</v>
      </c>
      <c r="F11" s="483">
        <f>+PERBULAN!R10</f>
        <v>63789154.159999996</v>
      </c>
      <c r="G11" s="483">
        <f>+BPJS!O12</f>
        <v>1712904</v>
      </c>
      <c r="H11" s="602">
        <f>+BPJS!O60</f>
        <v>358953.84</v>
      </c>
      <c r="I11" s="484">
        <f>+PERBULAN!S10</f>
        <v>4031100</v>
      </c>
      <c r="J11" s="401"/>
      <c r="K11" s="484">
        <f>+PERBULAN!T10</f>
        <v>600000</v>
      </c>
      <c r="L11" s="483">
        <f t="shared" si="4"/>
        <v>70492112</v>
      </c>
      <c r="M11" s="602">
        <f>+'ASTEK+PENSIUN'!O12</f>
        <v>854652</v>
      </c>
      <c r="N11" s="483">
        <f t="shared" si="5"/>
        <v>3524605.6</v>
      </c>
      <c r="O11" s="602">
        <f>+'ASTEK+PENSIUN'!O55</f>
        <v>427326</v>
      </c>
      <c r="P11" s="483">
        <f t="shared" si="6"/>
        <v>4806583.5999999996</v>
      </c>
      <c r="Q11" s="484">
        <f t="shared" si="7"/>
        <v>65685528.399999999</v>
      </c>
      <c r="R11" s="485">
        <f t="shared" si="0"/>
        <v>63000000</v>
      </c>
      <c r="S11" s="486">
        <f t="shared" si="8"/>
        <v>2685528.3999999985</v>
      </c>
      <c r="T11" s="487">
        <f t="shared" si="1"/>
        <v>61717296.319999993</v>
      </c>
      <c r="U11" s="488">
        <f t="shared" si="2"/>
        <v>2071857.84</v>
      </c>
      <c r="V11" s="606">
        <f t="shared" si="3"/>
        <v>1281978</v>
      </c>
    </row>
    <row r="12" spans="1:22" s="489" customFormat="1" ht="17.25" customHeight="1">
      <c r="A12" s="490">
        <v>6</v>
      </c>
      <c r="B12" s="398" t="str">
        <f>+PERBULAN!B11</f>
        <v>SULISTIYANI SAPUTRI</v>
      </c>
      <c r="C12" s="398" t="str">
        <f>+PERBULAN!C11</f>
        <v>P</v>
      </c>
      <c r="D12" s="398" t="str">
        <f>+PERBULAN!D11</f>
        <v>TK/0</v>
      </c>
      <c r="E12" s="398">
        <f>+PERBULAN!E11</f>
        <v>11</v>
      </c>
      <c r="F12" s="483">
        <f>+PERBULAN!R11</f>
        <v>43349091.559999995</v>
      </c>
      <c r="G12" s="483">
        <f>+BPJS!O13</f>
        <v>1726944</v>
      </c>
      <c r="H12" s="602">
        <f>+BPJS!O61</f>
        <v>360289.44</v>
      </c>
      <c r="I12" s="484">
        <f>+PERBULAN!S11</f>
        <v>3991100</v>
      </c>
      <c r="J12" s="401"/>
      <c r="K12" s="484">
        <f>+PERBULAN!T11</f>
        <v>200000</v>
      </c>
      <c r="L12" s="483">
        <f t="shared" si="4"/>
        <v>49627424.999999993</v>
      </c>
      <c r="M12" s="602">
        <f>+'ASTEK+PENSIUN'!O13</f>
        <v>857832</v>
      </c>
      <c r="N12" s="483">
        <f t="shared" si="5"/>
        <v>2481371.2499999995</v>
      </c>
      <c r="O12" s="602">
        <f>+'ASTEK+PENSIUN'!O56</f>
        <v>428916</v>
      </c>
      <c r="P12" s="483">
        <f t="shared" si="6"/>
        <v>3768119.2499999995</v>
      </c>
      <c r="Q12" s="484">
        <f t="shared" si="7"/>
        <v>45859305.749999993</v>
      </c>
      <c r="R12" s="485">
        <f t="shared" si="0"/>
        <v>54000000</v>
      </c>
      <c r="S12" s="486">
        <f t="shared" si="8"/>
        <v>0</v>
      </c>
      <c r="T12" s="487">
        <f t="shared" si="1"/>
        <v>41261858.119999997</v>
      </c>
      <c r="U12" s="488">
        <f t="shared" si="2"/>
        <v>2087233.44</v>
      </c>
      <c r="V12" s="606">
        <f t="shared" si="3"/>
        <v>1286748</v>
      </c>
    </row>
    <row r="13" spans="1:22" s="489" customFormat="1" ht="17.25" customHeight="1">
      <c r="A13" s="490">
        <v>7</v>
      </c>
      <c r="B13" s="398" t="str">
        <f>+PERBULAN!B12</f>
        <v>TRISNAWATI</v>
      </c>
      <c r="C13" s="398" t="str">
        <f>+PERBULAN!C12</f>
        <v>P</v>
      </c>
      <c r="D13" s="398" t="str">
        <f>+PERBULAN!D12</f>
        <v>TK/0</v>
      </c>
      <c r="E13" s="398">
        <f>+PERBULAN!E12</f>
        <v>11</v>
      </c>
      <c r="F13" s="483">
        <f>+PERBULAN!R12</f>
        <v>43618173.75999999</v>
      </c>
      <c r="G13" s="483">
        <f>+BPJS!O14</f>
        <v>1713864</v>
      </c>
      <c r="H13" s="602">
        <f>+BPJS!O62</f>
        <v>359004.24</v>
      </c>
      <c r="I13" s="484">
        <f>+PERBULAN!S12</f>
        <v>3962100</v>
      </c>
      <c r="J13" s="401"/>
      <c r="K13" s="484">
        <f>+PERBULAN!T12</f>
        <v>200000</v>
      </c>
      <c r="L13" s="483">
        <f t="shared" si="4"/>
        <v>49853141.999999993</v>
      </c>
      <c r="M13" s="602">
        <f>+'ASTEK+PENSIUN'!O14</f>
        <v>854772</v>
      </c>
      <c r="N13" s="483">
        <f t="shared" si="5"/>
        <v>2492657.0999999996</v>
      </c>
      <c r="O13" s="602">
        <f>+'ASTEK+PENSIUN'!O57</f>
        <v>427386</v>
      </c>
      <c r="P13" s="483">
        <f t="shared" si="6"/>
        <v>3774815.0999999996</v>
      </c>
      <c r="Q13" s="484">
        <f t="shared" si="7"/>
        <v>46078326.899999991</v>
      </c>
      <c r="R13" s="485">
        <v>58500000</v>
      </c>
      <c r="S13" s="486">
        <f t="shared" si="8"/>
        <v>0</v>
      </c>
      <c r="T13" s="487">
        <f t="shared" si="1"/>
        <v>41545305.519999988</v>
      </c>
      <c r="U13" s="488">
        <f t="shared" si="2"/>
        <v>2072868.24</v>
      </c>
      <c r="V13" s="606">
        <f t="shared" si="3"/>
        <v>1282158</v>
      </c>
    </row>
    <row r="14" spans="1:22" s="489" customFormat="1" ht="17.25" customHeight="1">
      <c r="A14" s="490">
        <v>8</v>
      </c>
      <c r="B14" s="398" t="str">
        <f>+PERBULAN!B13</f>
        <v>ELNI</v>
      </c>
      <c r="C14" s="398" t="str">
        <f>+PERBULAN!C13</f>
        <v>P</v>
      </c>
      <c r="D14" s="398" t="str">
        <f>+PERBULAN!D13</f>
        <v>TK/0</v>
      </c>
      <c r="E14" s="398">
        <f>+PERBULAN!E13</f>
        <v>11</v>
      </c>
      <c r="F14" s="483">
        <f>+PERBULAN!R13</f>
        <v>44266463.159999996</v>
      </c>
      <c r="G14" s="483">
        <f>+BPJS!O15</f>
        <v>1720224</v>
      </c>
      <c r="H14" s="602">
        <f>+BPJS!O63</f>
        <v>359583.84</v>
      </c>
      <c r="I14" s="484">
        <f>+PERBULAN!S13</f>
        <v>3977100</v>
      </c>
      <c r="J14" s="401"/>
      <c r="K14" s="484">
        <f>+PERBULAN!T13</f>
        <v>200000</v>
      </c>
      <c r="L14" s="483">
        <f t="shared" si="4"/>
        <v>50523371</v>
      </c>
      <c r="M14" s="602">
        <f>+'ASTEK+PENSIUN'!O15</f>
        <v>856152</v>
      </c>
      <c r="N14" s="483">
        <f t="shared" si="5"/>
        <v>2526168.5500000003</v>
      </c>
      <c r="O14" s="602">
        <f>+'ASTEK+PENSIUN'!O58</f>
        <v>428076</v>
      </c>
      <c r="P14" s="483">
        <f t="shared" si="6"/>
        <v>3810396.5500000003</v>
      </c>
      <c r="Q14" s="484">
        <f t="shared" si="7"/>
        <v>46712974.450000003</v>
      </c>
      <c r="R14" s="485">
        <f t="shared" si="0"/>
        <v>54000000</v>
      </c>
      <c r="S14" s="486">
        <f t="shared" si="8"/>
        <v>0</v>
      </c>
      <c r="T14" s="487">
        <f t="shared" si="1"/>
        <v>42186655.319999993</v>
      </c>
      <c r="U14" s="488">
        <f t="shared" si="2"/>
        <v>2079807.84</v>
      </c>
      <c r="V14" s="606">
        <f t="shared" si="3"/>
        <v>1284228</v>
      </c>
    </row>
    <row r="15" spans="1:22" s="489" customFormat="1" ht="17.25" customHeight="1">
      <c r="A15" s="490">
        <v>9</v>
      </c>
      <c r="B15" s="398" t="str">
        <f>+PERBULAN!B14</f>
        <v>YUSTIANA</v>
      </c>
      <c r="C15" s="398" t="str">
        <f>+PERBULAN!C14</f>
        <v>P</v>
      </c>
      <c r="D15" s="398" t="str">
        <f>+PERBULAN!D14</f>
        <v>TK/0</v>
      </c>
      <c r="E15" s="398">
        <f>+PERBULAN!E14</f>
        <v>11</v>
      </c>
      <c r="F15" s="483">
        <f>+PERBULAN!R14</f>
        <v>45363486.360000007</v>
      </c>
      <c r="G15" s="483">
        <f>+BPJS!O16</f>
        <v>1729744</v>
      </c>
      <c r="H15" s="602">
        <f>+BPJS!O64</f>
        <v>360524.64</v>
      </c>
      <c r="I15" s="484">
        <f>+PERBULAN!S14</f>
        <v>3998100</v>
      </c>
      <c r="J15" s="401"/>
      <c r="K15" s="484">
        <f>+PERBULAN!T14</f>
        <v>600000</v>
      </c>
      <c r="L15" s="483">
        <f t="shared" si="4"/>
        <v>52051855.000000007</v>
      </c>
      <c r="M15" s="602">
        <f>+'ASTEK+PENSIUN'!O16</f>
        <v>858392</v>
      </c>
      <c r="N15" s="483">
        <f t="shared" si="5"/>
        <v>2602592.7500000005</v>
      </c>
      <c r="O15" s="602">
        <f>+'ASTEK+PENSIUN'!O59</f>
        <v>429196</v>
      </c>
      <c r="P15" s="483">
        <f t="shared" si="6"/>
        <v>3890180.7500000005</v>
      </c>
      <c r="Q15" s="484">
        <f t="shared" si="7"/>
        <v>48161674.250000007</v>
      </c>
      <c r="R15" s="485">
        <f t="shared" si="0"/>
        <v>54000000</v>
      </c>
      <c r="S15" s="486">
        <f t="shared" si="8"/>
        <v>0</v>
      </c>
      <c r="T15" s="487">
        <f t="shared" si="1"/>
        <v>43273217.720000006</v>
      </c>
      <c r="U15" s="488">
        <f t="shared" si="2"/>
        <v>2090268.6400000001</v>
      </c>
      <c r="V15" s="606">
        <f t="shared" si="3"/>
        <v>1287588</v>
      </c>
    </row>
    <row r="16" spans="1:22" s="489" customFormat="1" ht="17.25" customHeight="1">
      <c r="A16" s="490">
        <v>10</v>
      </c>
      <c r="B16" s="398" t="str">
        <f>+PERBULAN!B15</f>
        <v>YULIANA</v>
      </c>
      <c r="C16" s="398" t="str">
        <f>+PERBULAN!C15</f>
        <v>P</v>
      </c>
      <c r="D16" s="398" t="str">
        <f>+PERBULAN!D15</f>
        <v>TK/0</v>
      </c>
      <c r="E16" s="398">
        <f>+PERBULAN!E15</f>
        <v>11</v>
      </c>
      <c r="F16" s="483">
        <f>+PERBULAN!R15</f>
        <v>45159099.159999996</v>
      </c>
      <c r="G16" s="483">
        <f>+BPJS!O17</f>
        <v>1720224</v>
      </c>
      <c r="H16" s="602">
        <f>+BPJS!O65</f>
        <v>359583.84</v>
      </c>
      <c r="I16" s="484">
        <f>+PERBULAN!S15</f>
        <v>3977100</v>
      </c>
      <c r="J16" s="401"/>
      <c r="K16" s="484">
        <f>+PERBULAN!T15</f>
        <v>600000</v>
      </c>
      <c r="L16" s="483">
        <f t="shared" si="4"/>
        <v>51816007</v>
      </c>
      <c r="M16" s="602">
        <f>+'ASTEK+PENSIUN'!O17</f>
        <v>856152</v>
      </c>
      <c r="N16" s="483">
        <f t="shared" si="5"/>
        <v>2590800.35</v>
      </c>
      <c r="O16" s="602">
        <f>+'ASTEK+PENSIUN'!O60</f>
        <v>428076</v>
      </c>
      <c r="P16" s="483">
        <f t="shared" si="6"/>
        <v>3875028.35</v>
      </c>
      <c r="Q16" s="484">
        <f t="shared" si="7"/>
        <v>47940978.649999999</v>
      </c>
      <c r="R16" s="485">
        <f t="shared" si="0"/>
        <v>54000000</v>
      </c>
      <c r="S16" s="486">
        <f t="shared" si="8"/>
        <v>0</v>
      </c>
      <c r="T16" s="487">
        <f t="shared" si="1"/>
        <v>43079291.319999993</v>
      </c>
      <c r="U16" s="488">
        <f t="shared" si="2"/>
        <v>2079807.84</v>
      </c>
      <c r="V16" s="606">
        <f t="shared" si="3"/>
        <v>1284228</v>
      </c>
    </row>
    <row r="17" spans="1:22" s="489" customFormat="1" ht="17.25" customHeight="1">
      <c r="A17" s="490">
        <v>11</v>
      </c>
      <c r="B17" s="398" t="str">
        <f>+PERBULAN!B16</f>
        <v>SALMIA</v>
      </c>
      <c r="C17" s="398" t="str">
        <f>+PERBULAN!C16</f>
        <v>P</v>
      </c>
      <c r="D17" s="398" t="str">
        <f>+PERBULAN!D16</f>
        <v>TK/0</v>
      </c>
      <c r="E17" s="398">
        <f>+PERBULAN!E16</f>
        <v>11</v>
      </c>
      <c r="F17" s="483">
        <f>+PERBULAN!R16</f>
        <v>45397098.359999999</v>
      </c>
      <c r="G17" s="483">
        <f>+BPJS!O18</f>
        <v>1729744</v>
      </c>
      <c r="H17" s="602">
        <f>+BPJS!O66</f>
        <v>360524.64</v>
      </c>
      <c r="I17" s="484">
        <f>+PERBULAN!S16</f>
        <v>3998100</v>
      </c>
      <c r="J17" s="401"/>
      <c r="K17" s="484">
        <f>+PERBULAN!T16</f>
        <v>600000</v>
      </c>
      <c r="L17" s="483">
        <f t="shared" si="4"/>
        <v>52085467</v>
      </c>
      <c r="M17" s="602">
        <f>+'ASTEK+PENSIUN'!O18</f>
        <v>858392</v>
      </c>
      <c r="N17" s="483">
        <f t="shared" si="5"/>
        <v>2604273.35</v>
      </c>
      <c r="O17" s="602">
        <f>+'ASTEK+PENSIUN'!O61</f>
        <v>429196</v>
      </c>
      <c r="P17" s="483">
        <f t="shared" si="6"/>
        <v>3891861.35</v>
      </c>
      <c r="Q17" s="484">
        <f t="shared" si="7"/>
        <v>48193605.649999999</v>
      </c>
      <c r="R17" s="485">
        <f t="shared" si="0"/>
        <v>54000000</v>
      </c>
      <c r="S17" s="486">
        <f t="shared" si="8"/>
        <v>0</v>
      </c>
      <c r="T17" s="487">
        <f t="shared" si="1"/>
        <v>43306829.719999999</v>
      </c>
      <c r="U17" s="488">
        <f t="shared" si="2"/>
        <v>2090268.6400000001</v>
      </c>
      <c r="V17" s="606">
        <f t="shared" si="3"/>
        <v>1287588</v>
      </c>
    </row>
    <row r="18" spans="1:22" s="489" customFormat="1" ht="17.25" customHeight="1">
      <c r="A18" s="490">
        <v>12</v>
      </c>
      <c r="B18" s="398" t="str">
        <f>+PERBULAN!B17</f>
        <v>SISWANDI</v>
      </c>
      <c r="C18" s="398" t="str">
        <f>+PERBULAN!C17</f>
        <v>L</v>
      </c>
      <c r="D18" s="398" t="str">
        <f>+PERBULAN!D17</f>
        <v>K/0</v>
      </c>
      <c r="E18" s="398">
        <f>+PERBULAN!E17</f>
        <v>11</v>
      </c>
      <c r="F18" s="483">
        <f>+PERBULAN!R17</f>
        <v>44714682.75999999</v>
      </c>
      <c r="G18" s="483">
        <f>+BPJS!O19</f>
        <v>1726524</v>
      </c>
      <c r="H18" s="602">
        <f>+BPJS!O67</f>
        <v>360201.24</v>
      </c>
      <c r="I18" s="484">
        <f>+PERBULAN!S17</f>
        <v>4034600</v>
      </c>
      <c r="J18" s="401"/>
      <c r="K18" s="484">
        <f>+PERBULAN!T17</f>
        <v>200000</v>
      </c>
      <c r="L18" s="483">
        <f t="shared" si="4"/>
        <v>51036007.999999993</v>
      </c>
      <c r="M18" s="602">
        <f>+'ASTEK+PENSIUN'!O19</f>
        <v>857622</v>
      </c>
      <c r="N18" s="483">
        <f t="shared" si="5"/>
        <v>2551800.4</v>
      </c>
      <c r="O18" s="602">
        <f>+'ASTEK+PENSIUN'!O62</f>
        <v>428811</v>
      </c>
      <c r="P18" s="483">
        <f t="shared" si="6"/>
        <v>3838233.4</v>
      </c>
      <c r="Q18" s="484">
        <f t="shared" si="7"/>
        <v>47197774.599999994</v>
      </c>
      <c r="R18" s="485">
        <f t="shared" si="0"/>
        <v>58500000</v>
      </c>
      <c r="S18" s="486">
        <f t="shared" si="8"/>
        <v>0</v>
      </c>
      <c r="T18" s="487">
        <f t="shared" si="1"/>
        <v>42627957.519999988</v>
      </c>
      <c r="U18" s="488">
        <f t="shared" si="2"/>
        <v>2086725.24</v>
      </c>
      <c r="V18" s="606">
        <f t="shared" si="3"/>
        <v>1286433</v>
      </c>
    </row>
    <row r="19" spans="1:22" s="489" customFormat="1" ht="17.25" customHeight="1">
      <c r="A19" s="490">
        <v>13</v>
      </c>
      <c r="B19" s="398" t="str">
        <f>+PERBULAN!B18</f>
        <v>ERWIN HAZANI</v>
      </c>
      <c r="C19" s="398" t="str">
        <f>+PERBULAN!C18</f>
        <v>L</v>
      </c>
      <c r="D19" s="398" t="str">
        <f>+PERBULAN!D18</f>
        <v>K/1</v>
      </c>
      <c r="E19" s="398">
        <f>+PERBULAN!E18</f>
        <v>11</v>
      </c>
      <c r="F19" s="483">
        <f>+PERBULAN!R18</f>
        <v>63479176.159999996</v>
      </c>
      <c r="G19" s="483">
        <f>+BPJS!O20</f>
        <v>1720224</v>
      </c>
      <c r="H19" s="602">
        <f>+BPJS!O68</f>
        <v>359583.84</v>
      </c>
      <c r="I19" s="484">
        <f>+PERBULAN!S18</f>
        <v>4049100</v>
      </c>
      <c r="J19" s="401"/>
      <c r="K19" s="484">
        <f>+PERBULAN!T18</f>
        <v>600000</v>
      </c>
      <c r="L19" s="483">
        <f t="shared" si="4"/>
        <v>70208084</v>
      </c>
      <c r="M19" s="602">
        <f>+'ASTEK+PENSIUN'!O20</f>
        <v>856152</v>
      </c>
      <c r="N19" s="483">
        <f t="shared" si="5"/>
        <v>3510404.2</v>
      </c>
      <c r="O19" s="602">
        <f>+'ASTEK+PENSIUN'!O63</f>
        <v>428076</v>
      </c>
      <c r="P19" s="483">
        <f t="shared" si="6"/>
        <v>4794632.2</v>
      </c>
      <c r="Q19" s="484">
        <f t="shared" si="7"/>
        <v>65413451.799999997</v>
      </c>
      <c r="R19" s="485">
        <f t="shared" si="0"/>
        <v>63000000</v>
      </c>
      <c r="S19" s="486">
        <f t="shared" si="8"/>
        <v>2413451.799999997</v>
      </c>
      <c r="T19" s="487">
        <f t="shared" si="1"/>
        <v>61399368.319999993</v>
      </c>
      <c r="U19" s="488">
        <f t="shared" si="2"/>
        <v>2079807.84</v>
      </c>
      <c r="V19" s="606">
        <f t="shared" si="3"/>
        <v>1284228</v>
      </c>
    </row>
    <row r="20" spans="1:22" s="489" customFormat="1" ht="17.25" customHeight="1">
      <c r="A20" s="490">
        <v>14</v>
      </c>
      <c r="B20" s="398" t="str">
        <f>+PERBULAN!B19</f>
        <v>SERIHAN</v>
      </c>
      <c r="C20" s="398" t="str">
        <f>+PERBULAN!C19</f>
        <v>L</v>
      </c>
      <c r="D20" s="398" t="str">
        <f>+PERBULAN!D19</f>
        <v>K/0</v>
      </c>
      <c r="E20" s="398">
        <f>+PERBULAN!E19</f>
        <v>11</v>
      </c>
      <c r="F20" s="483">
        <f>+PERBULAN!R19</f>
        <v>44955150.159999996</v>
      </c>
      <c r="G20" s="483">
        <f>+BPJS!O21</f>
        <v>1727644</v>
      </c>
      <c r="H20" s="602">
        <f>+BPJS!O69</f>
        <v>360318.84</v>
      </c>
      <c r="I20" s="484">
        <f>+PERBULAN!S19</f>
        <v>4024600</v>
      </c>
      <c r="J20" s="401"/>
      <c r="K20" s="484">
        <f>+PERBULAN!T19</f>
        <v>200000</v>
      </c>
      <c r="L20" s="483">
        <f t="shared" si="4"/>
        <v>51267713</v>
      </c>
      <c r="M20" s="602">
        <f>+'ASTEK+PENSIUN'!O21</f>
        <v>857902</v>
      </c>
      <c r="N20" s="483">
        <f t="shared" si="5"/>
        <v>2563385.6500000004</v>
      </c>
      <c r="O20" s="602">
        <f>+'ASTEK+PENSIUN'!O64</f>
        <v>428951</v>
      </c>
      <c r="P20" s="483">
        <f t="shared" si="6"/>
        <v>3850238.6500000004</v>
      </c>
      <c r="Q20" s="484">
        <f t="shared" si="7"/>
        <v>47417474.350000001</v>
      </c>
      <c r="R20" s="485">
        <f t="shared" si="0"/>
        <v>58500000</v>
      </c>
      <c r="S20" s="486">
        <f t="shared" si="8"/>
        <v>0</v>
      </c>
      <c r="T20" s="487">
        <f t="shared" si="1"/>
        <v>42867187.319999993</v>
      </c>
      <c r="U20" s="488">
        <f t="shared" si="2"/>
        <v>2087962.84</v>
      </c>
      <c r="V20" s="606">
        <f t="shared" si="3"/>
        <v>1286853</v>
      </c>
    </row>
    <row r="21" spans="1:22" s="489" customFormat="1" ht="17.25" customHeight="1">
      <c r="A21" s="490">
        <v>15</v>
      </c>
      <c r="B21" s="398" t="str">
        <f>+PERBULAN!B20</f>
        <v>IMAM ROHMANU,SIP</v>
      </c>
      <c r="C21" s="398" t="str">
        <f>+PERBULAN!C20</f>
        <v>L</v>
      </c>
      <c r="D21" s="398" t="str">
        <f>+PERBULAN!D20</f>
        <v>K/2</v>
      </c>
      <c r="E21" s="398">
        <f>+PERBULAN!E20</f>
        <v>11</v>
      </c>
      <c r="F21" s="483">
        <f>+PERBULAN!R20</f>
        <v>46924061.159999996</v>
      </c>
      <c r="G21" s="483">
        <f>+BPJS!O22</f>
        <v>1713144</v>
      </c>
      <c r="H21" s="602">
        <f>+BPJS!O70</f>
        <v>358953.84</v>
      </c>
      <c r="I21" s="484">
        <f>+PERBULAN!S20</f>
        <v>4058100</v>
      </c>
      <c r="J21" s="401"/>
      <c r="K21" s="484">
        <f>+PERBULAN!T20</f>
        <v>200000</v>
      </c>
      <c r="L21" s="483">
        <f t="shared" si="4"/>
        <v>53254259</v>
      </c>
      <c r="M21" s="602">
        <f>+'ASTEK+PENSIUN'!O22</f>
        <v>854652</v>
      </c>
      <c r="N21" s="483">
        <f t="shared" si="5"/>
        <v>2662712.9500000002</v>
      </c>
      <c r="O21" s="602">
        <f>+'ASTEK+PENSIUN'!O65</f>
        <v>427326</v>
      </c>
      <c r="P21" s="483">
        <f t="shared" si="6"/>
        <v>3944690.95</v>
      </c>
      <c r="Q21" s="484">
        <f t="shared" si="7"/>
        <v>49309568.049999997</v>
      </c>
      <c r="R21" s="485">
        <f t="shared" si="0"/>
        <v>67500000</v>
      </c>
      <c r="S21" s="486">
        <f t="shared" si="8"/>
        <v>0</v>
      </c>
      <c r="T21" s="487">
        <f t="shared" si="1"/>
        <v>44851963.319999993</v>
      </c>
      <c r="U21" s="488">
        <f t="shared" si="2"/>
        <v>2072097.84</v>
      </c>
      <c r="V21" s="606">
        <f t="shared" si="3"/>
        <v>1281978</v>
      </c>
    </row>
    <row r="22" spans="1:22" s="489" customFormat="1" ht="17.25" customHeight="1">
      <c r="A22" s="490">
        <v>16</v>
      </c>
      <c r="B22" s="398" t="str">
        <f>+PERBULAN!B21</f>
        <v>ARLINI</v>
      </c>
      <c r="C22" s="398" t="str">
        <f>+PERBULAN!C21</f>
        <v>P</v>
      </c>
      <c r="D22" s="398" t="str">
        <f>+PERBULAN!D21</f>
        <v>TK/0</v>
      </c>
      <c r="E22" s="398">
        <f>+PERBULAN!E21</f>
        <v>11</v>
      </c>
      <c r="F22" s="483">
        <f>+PERBULAN!R21</f>
        <v>59814022.159999996</v>
      </c>
      <c r="G22" s="483">
        <f>+BPJS!O23</f>
        <v>1727924</v>
      </c>
      <c r="H22" s="602">
        <f>+BPJS!O71</f>
        <v>360318.84</v>
      </c>
      <c r="I22" s="484">
        <f>+PERBULAN!S21</f>
        <v>3994600</v>
      </c>
      <c r="J22" s="401"/>
      <c r="K22" s="484">
        <f>+PERBULAN!T21</f>
        <v>600000</v>
      </c>
      <c r="L22" s="483">
        <f t="shared" si="4"/>
        <v>66496865</v>
      </c>
      <c r="M22" s="602">
        <f>+'ASTEK+PENSIUN'!O23</f>
        <v>857902</v>
      </c>
      <c r="N22" s="483">
        <f t="shared" si="5"/>
        <v>3324843.25</v>
      </c>
      <c r="O22" s="602">
        <f>+'ASTEK+PENSIUN'!O66</f>
        <v>428951</v>
      </c>
      <c r="P22" s="483">
        <f t="shared" si="6"/>
        <v>4611696.25</v>
      </c>
      <c r="Q22" s="484">
        <f t="shared" si="7"/>
        <v>61885168.75</v>
      </c>
      <c r="R22" s="485">
        <f t="shared" si="0"/>
        <v>54000000</v>
      </c>
      <c r="S22" s="486">
        <f t="shared" si="8"/>
        <v>7885168.75</v>
      </c>
      <c r="T22" s="487">
        <f t="shared" si="1"/>
        <v>57725779.319999993</v>
      </c>
      <c r="U22" s="488">
        <f t="shared" si="2"/>
        <v>2088242.84</v>
      </c>
      <c r="V22" s="606">
        <f t="shared" si="3"/>
        <v>1286853</v>
      </c>
    </row>
    <row r="23" spans="1:22" s="489" customFormat="1" ht="17.25" customHeight="1">
      <c r="A23" s="490">
        <v>17</v>
      </c>
      <c r="B23" s="398">
        <f>+PERBULAN!B22</f>
        <v>0</v>
      </c>
      <c r="C23" s="398">
        <f>+PERBULAN!C22</f>
        <v>0</v>
      </c>
      <c r="D23" s="398">
        <f>+PERBULAN!D22</f>
        <v>0</v>
      </c>
      <c r="E23" s="398">
        <f>+PERBULAN!E22</f>
        <v>0</v>
      </c>
      <c r="F23" s="483">
        <f>+PERBULAN!R22</f>
        <v>0</v>
      </c>
      <c r="G23" s="483">
        <f>+BPJS!O24</f>
        <v>0</v>
      </c>
      <c r="H23" s="602">
        <f>+BPJS!O72</f>
        <v>0</v>
      </c>
      <c r="I23" s="484">
        <f>+PERBULAN!S22</f>
        <v>0</v>
      </c>
      <c r="J23" s="401"/>
      <c r="K23" s="484">
        <f>+PERBULAN!T22</f>
        <v>0</v>
      </c>
      <c r="L23" s="483">
        <f t="shared" si="4"/>
        <v>0</v>
      </c>
      <c r="M23" s="602">
        <f>+'ASTEK+PENSIUN'!O24</f>
        <v>0</v>
      </c>
      <c r="N23" s="483">
        <f t="shared" si="5"/>
        <v>0</v>
      </c>
      <c r="O23" s="602">
        <f>+'ASTEK+PENSIUN'!O67</f>
        <v>0</v>
      </c>
      <c r="P23" s="483">
        <f t="shared" si="6"/>
        <v>0</v>
      </c>
      <c r="Q23" s="484">
        <f t="shared" si="7"/>
        <v>0</v>
      </c>
      <c r="R23" s="485" t="b">
        <f t="shared" si="0"/>
        <v>0</v>
      </c>
      <c r="S23" s="486">
        <f t="shared" si="8"/>
        <v>0</v>
      </c>
      <c r="T23" s="487">
        <f t="shared" si="1"/>
        <v>0</v>
      </c>
      <c r="U23" s="488">
        <f t="shared" si="2"/>
        <v>0</v>
      </c>
      <c r="V23" s="606">
        <f t="shared" si="3"/>
        <v>0</v>
      </c>
    </row>
    <row r="24" spans="1:22" s="489" customFormat="1" ht="17.25" customHeight="1">
      <c r="A24" s="490">
        <v>18</v>
      </c>
      <c r="B24" s="398">
        <f>+PERBULAN!B23</f>
        <v>0</v>
      </c>
      <c r="C24" s="398">
        <f>+PERBULAN!C23</f>
        <v>0</v>
      </c>
      <c r="D24" s="398">
        <f>+PERBULAN!D23</f>
        <v>0</v>
      </c>
      <c r="E24" s="398">
        <f>+PERBULAN!E23</f>
        <v>0</v>
      </c>
      <c r="F24" s="483">
        <f>+PERBULAN!R23</f>
        <v>0</v>
      </c>
      <c r="G24" s="483">
        <f>+BPJS!O25</f>
        <v>0</v>
      </c>
      <c r="H24" s="602">
        <f>+BPJS!O73</f>
        <v>0</v>
      </c>
      <c r="I24" s="484">
        <f>+PERBULAN!S23</f>
        <v>0</v>
      </c>
      <c r="J24" s="401"/>
      <c r="K24" s="484">
        <f>+PERBULAN!T23</f>
        <v>0</v>
      </c>
      <c r="L24" s="483">
        <f t="shared" si="4"/>
        <v>0</v>
      </c>
      <c r="M24" s="602">
        <f>+'ASTEK+PENSIUN'!O25</f>
        <v>0</v>
      </c>
      <c r="N24" s="483">
        <f t="shared" si="5"/>
        <v>0</v>
      </c>
      <c r="O24" s="602">
        <f>+'ASTEK+PENSIUN'!O68</f>
        <v>0</v>
      </c>
      <c r="P24" s="483">
        <f t="shared" ref="P24:P25" si="9">SUM(M24:O24)</f>
        <v>0</v>
      </c>
      <c r="Q24" s="484">
        <f t="shared" si="7"/>
        <v>0</v>
      </c>
      <c r="R24" s="485" t="b">
        <f t="shared" si="0"/>
        <v>0</v>
      </c>
      <c r="S24" s="486">
        <f t="shared" si="8"/>
        <v>0</v>
      </c>
      <c r="T24" s="487">
        <f t="shared" si="1"/>
        <v>0</v>
      </c>
      <c r="U24" s="488">
        <f t="shared" si="2"/>
        <v>0</v>
      </c>
      <c r="V24" s="606">
        <f t="shared" si="3"/>
        <v>0</v>
      </c>
    </row>
    <row r="25" spans="1:22" s="489" customFormat="1" ht="17.25" customHeight="1">
      <c r="A25" s="490">
        <v>19</v>
      </c>
      <c r="B25" s="398">
        <f>+PERBULAN!B24</f>
        <v>0</v>
      </c>
      <c r="C25" s="398">
        <f>+PERBULAN!C24</f>
        <v>0</v>
      </c>
      <c r="D25" s="398">
        <f>+PERBULAN!D24</f>
        <v>0</v>
      </c>
      <c r="E25" s="398">
        <f>+PERBULAN!E24</f>
        <v>0</v>
      </c>
      <c r="F25" s="483">
        <f>+PERBULAN!R24</f>
        <v>0</v>
      </c>
      <c r="G25" s="483">
        <f>+BPJS!O26</f>
        <v>0</v>
      </c>
      <c r="H25" s="602">
        <f>+BPJS!O74</f>
        <v>0</v>
      </c>
      <c r="I25" s="484">
        <f>+PERBULAN!S24</f>
        <v>0</v>
      </c>
      <c r="J25" s="401"/>
      <c r="K25" s="484">
        <f>+PERBULAN!T24</f>
        <v>0</v>
      </c>
      <c r="L25" s="483">
        <f t="shared" si="4"/>
        <v>0</v>
      </c>
      <c r="M25" s="602">
        <f>+'ASTEK+PENSIUN'!O26</f>
        <v>0</v>
      </c>
      <c r="N25" s="483">
        <f t="shared" si="5"/>
        <v>0</v>
      </c>
      <c r="O25" s="602">
        <f>+'ASTEK+PENSIUN'!O69</f>
        <v>0</v>
      </c>
      <c r="P25" s="483">
        <f t="shared" si="9"/>
        <v>0</v>
      </c>
      <c r="Q25" s="484">
        <f t="shared" si="7"/>
        <v>0</v>
      </c>
      <c r="R25" s="485" t="b">
        <f t="shared" si="0"/>
        <v>0</v>
      </c>
      <c r="S25" s="486">
        <f t="shared" si="8"/>
        <v>0</v>
      </c>
      <c r="T25" s="487">
        <f t="shared" si="1"/>
        <v>0</v>
      </c>
      <c r="U25" s="488">
        <f t="shared" si="2"/>
        <v>0</v>
      </c>
      <c r="V25" s="606">
        <f t="shared" si="3"/>
        <v>0</v>
      </c>
    </row>
    <row r="26" spans="1:22" s="489" customFormat="1" ht="17.25" customHeight="1">
      <c r="A26" s="490">
        <v>20</v>
      </c>
      <c r="B26" s="398">
        <f>+PERBULAN!B25</f>
        <v>0</v>
      </c>
      <c r="C26" s="398">
        <f>+PERBULAN!C25</f>
        <v>0</v>
      </c>
      <c r="D26" s="398">
        <f>+PERBULAN!D25</f>
        <v>0</v>
      </c>
      <c r="E26" s="398">
        <f>+PERBULAN!E25</f>
        <v>0</v>
      </c>
      <c r="F26" s="483">
        <f>+PERBULAN!R25</f>
        <v>0</v>
      </c>
      <c r="G26" s="483">
        <f>+BPJS!O27</f>
        <v>0</v>
      </c>
      <c r="H26" s="602">
        <f>+BPJS!O75</f>
        <v>0</v>
      </c>
      <c r="I26" s="484">
        <f>+PERBULAN!S25</f>
        <v>0</v>
      </c>
      <c r="J26" s="401"/>
      <c r="K26" s="484">
        <f>+PERBULAN!T25</f>
        <v>0</v>
      </c>
      <c r="L26" s="483">
        <f t="shared" ref="L26:L28" si="10">SUM(F26:K26)</f>
        <v>0</v>
      </c>
      <c r="M26" s="602">
        <f>+'ASTEK+PENSIUN'!O27</f>
        <v>0</v>
      </c>
      <c r="N26" s="483">
        <f t="shared" si="5"/>
        <v>0</v>
      </c>
      <c r="O26" s="602">
        <f>+'ASTEK+PENSIUN'!O70</f>
        <v>0</v>
      </c>
      <c r="P26" s="483">
        <f t="shared" ref="P26:P28" si="11">SUM(M26:O26)</f>
        <v>0</v>
      </c>
      <c r="Q26" s="484">
        <f t="shared" si="7"/>
        <v>0</v>
      </c>
      <c r="R26" s="485" t="b">
        <f t="shared" si="0"/>
        <v>0</v>
      </c>
      <c r="S26" s="486">
        <f t="shared" si="8"/>
        <v>0</v>
      </c>
      <c r="T26" s="487">
        <f t="shared" si="1"/>
        <v>0</v>
      </c>
      <c r="U26" s="488">
        <f t="shared" si="2"/>
        <v>0</v>
      </c>
      <c r="V26" s="606">
        <f t="shared" si="3"/>
        <v>0</v>
      </c>
    </row>
    <row r="27" spans="1:22" s="489" customFormat="1" ht="17.25" customHeight="1">
      <c r="A27" s="490">
        <v>21</v>
      </c>
      <c r="B27" s="398">
        <f>+PERBULAN!B26</f>
        <v>0</v>
      </c>
      <c r="C27" s="398">
        <f>+PERBULAN!C26</f>
        <v>0</v>
      </c>
      <c r="D27" s="398">
        <f>+PERBULAN!D26</f>
        <v>0</v>
      </c>
      <c r="E27" s="398">
        <f>+PERBULAN!E26</f>
        <v>0</v>
      </c>
      <c r="F27" s="483">
        <f>+PERBULAN!R26</f>
        <v>0</v>
      </c>
      <c r="G27" s="483">
        <f>+BPJS!O28</f>
        <v>0</v>
      </c>
      <c r="H27" s="602">
        <f>+BPJS!O76</f>
        <v>0</v>
      </c>
      <c r="I27" s="484">
        <f>+PERBULAN!S26</f>
        <v>0</v>
      </c>
      <c r="J27" s="401"/>
      <c r="K27" s="484">
        <f>+PERBULAN!T26</f>
        <v>0</v>
      </c>
      <c r="L27" s="483">
        <f t="shared" si="10"/>
        <v>0</v>
      </c>
      <c r="M27" s="602">
        <f>+'ASTEK+PENSIUN'!O28</f>
        <v>0</v>
      </c>
      <c r="N27" s="483">
        <f t="shared" si="5"/>
        <v>0</v>
      </c>
      <c r="O27" s="602">
        <f>+'ASTEK+PENSIUN'!O71</f>
        <v>0</v>
      </c>
      <c r="P27" s="483">
        <f t="shared" si="11"/>
        <v>0</v>
      </c>
      <c r="Q27" s="484">
        <f t="shared" si="7"/>
        <v>0</v>
      </c>
      <c r="R27" s="485" t="b">
        <f t="shared" si="0"/>
        <v>0</v>
      </c>
      <c r="S27" s="486">
        <f t="shared" si="8"/>
        <v>0</v>
      </c>
      <c r="T27" s="487">
        <f t="shared" si="1"/>
        <v>0</v>
      </c>
      <c r="U27" s="488">
        <f t="shared" si="2"/>
        <v>0</v>
      </c>
      <c r="V27" s="606">
        <f t="shared" si="3"/>
        <v>0</v>
      </c>
    </row>
    <row r="28" spans="1:22" s="489" customFormat="1" ht="17.25" customHeight="1">
      <c r="A28" s="490">
        <v>22</v>
      </c>
      <c r="B28" s="398">
        <f>+PERBULAN!B27</f>
        <v>0</v>
      </c>
      <c r="C28" s="398">
        <f>+PERBULAN!C27</f>
        <v>0</v>
      </c>
      <c r="D28" s="398">
        <f>+PERBULAN!D27</f>
        <v>0</v>
      </c>
      <c r="E28" s="398">
        <f>+PERBULAN!E27</f>
        <v>0</v>
      </c>
      <c r="F28" s="483">
        <f>+PERBULAN!R27</f>
        <v>0</v>
      </c>
      <c r="G28" s="483">
        <f>+BPJS!O29</f>
        <v>0</v>
      </c>
      <c r="H28" s="602">
        <f>+BPJS!O77</f>
        <v>0</v>
      </c>
      <c r="I28" s="484">
        <f>+PERBULAN!S27</f>
        <v>0</v>
      </c>
      <c r="J28" s="401"/>
      <c r="K28" s="484">
        <f>+PERBULAN!T27</f>
        <v>0</v>
      </c>
      <c r="L28" s="483">
        <f t="shared" si="10"/>
        <v>0</v>
      </c>
      <c r="M28" s="602">
        <f>+'ASTEK+PENSIUN'!O29</f>
        <v>0</v>
      </c>
      <c r="N28" s="483">
        <f t="shared" si="5"/>
        <v>0</v>
      </c>
      <c r="O28" s="602">
        <f>+'ASTEK+PENSIUN'!O72</f>
        <v>0</v>
      </c>
      <c r="P28" s="483">
        <f t="shared" si="11"/>
        <v>0</v>
      </c>
      <c r="Q28" s="484">
        <f t="shared" si="7"/>
        <v>0</v>
      </c>
      <c r="R28" s="485" t="b">
        <f t="shared" si="0"/>
        <v>0</v>
      </c>
      <c r="S28" s="486">
        <f t="shared" si="8"/>
        <v>0</v>
      </c>
      <c r="T28" s="492"/>
      <c r="U28" s="488">
        <f t="shared" si="2"/>
        <v>0</v>
      </c>
      <c r="V28" s="606">
        <f t="shared" si="3"/>
        <v>0</v>
      </c>
    </row>
    <row r="29" spans="1:22" s="489" customFormat="1" ht="17.25" customHeight="1">
      <c r="A29" s="490">
        <v>23</v>
      </c>
      <c r="B29" s="398">
        <f>+PERBULAN!B28</f>
        <v>0</v>
      </c>
      <c r="C29" s="398">
        <f>+PERBULAN!C28</f>
        <v>0</v>
      </c>
      <c r="D29" s="398">
        <f>+PERBULAN!D28</f>
        <v>0</v>
      </c>
      <c r="E29" s="398">
        <f>+PERBULAN!E28</f>
        <v>0</v>
      </c>
      <c r="F29" s="483">
        <f>+PERBULAN!R28</f>
        <v>0</v>
      </c>
      <c r="G29" s="483">
        <f>+BPJS!O30</f>
        <v>0</v>
      </c>
      <c r="H29" s="602">
        <f>+BPJS!O78</f>
        <v>0</v>
      </c>
      <c r="I29" s="484">
        <f>+PERBULAN!S28</f>
        <v>0</v>
      </c>
      <c r="J29" s="401"/>
      <c r="K29" s="484">
        <f>+PERBULAN!T28</f>
        <v>0</v>
      </c>
      <c r="L29" s="483">
        <f t="shared" ref="L29:L30" si="12">SUM(F29:K29)</f>
        <v>0</v>
      </c>
      <c r="M29" s="602">
        <f>+'ASTEK+PENSIUN'!O30</f>
        <v>0</v>
      </c>
      <c r="N29" s="483">
        <f t="shared" si="5"/>
        <v>0</v>
      </c>
      <c r="O29" s="602">
        <f>+'ASTEK+PENSIUN'!O73</f>
        <v>0</v>
      </c>
      <c r="P29" s="483">
        <f t="shared" ref="P29:P30" si="13">SUM(M29:O29)</f>
        <v>0</v>
      </c>
      <c r="Q29" s="484">
        <f t="shared" si="7"/>
        <v>0</v>
      </c>
      <c r="R29" s="485" t="b">
        <f t="shared" si="0"/>
        <v>0</v>
      </c>
      <c r="S29" s="486">
        <f t="shared" si="8"/>
        <v>0</v>
      </c>
      <c r="T29" s="492"/>
      <c r="U29" s="488">
        <f t="shared" si="2"/>
        <v>0</v>
      </c>
      <c r="V29" s="606">
        <f t="shared" si="3"/>
        <v>0</v>
      </c>
    </row>
    <row r="30" spans="1:22" s="489" customFormat="1">
      <c r="A30" s="490">
        <v>24</v>
      </c>
      <c r="B30" s="398">
        <f>+PERBULAN!B29</f>
        <v>0</v>
      </c>
      <c r="C30" s="398">
        <f>+PERBULAN!C29</f>
        <v>0</v>
      </c>
      <c r="D30" s="398">
        <f>+PERBULAN!D29</f>
        <v>0</v>
      </c>
      <c r="E30" s="398">
        <f>+PERBULAN!E29</f>
        <v>0</v>
      </c>
      <c r="F30" s="483">
        <f>+PERBULAN!R29</f>
        <v>0</v>
      </c>
      <c r="G30" s="483">
        <f>+BPJS!O31</f>
        <v>0</v>
      </c>
      <c r="H30" s="602">
        <f>+BPJS!O79</f>
        <v>0</v>
      </c>
      <c r="I30" s="484">
        <f>+PERBULAN!S29</f>
        <v>0</v>
      </c>
      <c r="J30" s="401"/>
      <c r="K30" s="484">
        <f>+PERBULAN!T29</f>
        <v>0</v>
      </c>
      <c r="L30" s="483">
        <f t="shared" si="12"/>
        <v>0</v>
      </c>
      <c r="M30" s="602">
        <f>+'ASTEK+PENSIUN'!O31</f>
        <v>0</v>
      </c>
      <c r="N30" s="483">
        <f t="shared" si="5"/>
        <v>0</v>
      </c>
      <c r="O30" s="602">
        <f>+'ASTEK+PENSIUN'!O74</f>
        <v>0</v>
      </c>
      <c r="P30" s="483">
        <f t="shared" si="13"/>
        <v>0</v>
      </c>
      <c r="Q30" s="484">
        <f t="shared" si="7"/>
        <v>0</v>
      </c>
      <c r="R30" s="485" t="b">
        <f t="shared" si="0"/>
        <v>0</v>
      </c>
      <c r="S30" s="486">
        <f t="shared" si="8"/>
        <v>0</v>
      </c>
      <c r="T30" s="492"/>
      <c r="U30" s="488">
        <f t="shared" si="2"/>
        <v>0</v>
      </c>
      <c r="V30" s="606">
        <f t="shared" si="3"/>
        <v>0</v>
      </c>
    </row>
    <row r="31" spans="1:22" s="489" customFormat="1">
      <c r="A31" s="490">
        <v>25</v>
      </c>
      <c r="B31" s="398">
        <f>+PERBULAN!B30</f>
        <v>0</v>
      </c>
      <c r="C31" s="398">
        <f>+PERBULAN!C30</f>
        <v>0</v>
      </c>
      <c r="D31" s="398">
        <f>+PERBULAN!D30</f>
        <v>0</v>
      </c>
      <c r="E31" s="398">
        <f>+PERBULAN!E30</f>
        <v>0</v>
      </c>
      <c r="F31" s="483">
        <f>+PERBULAN!R30</f>
        <v>0</v>
      </c>
      <c r="G31" s="483">
        <f>+BPJS!O32</f>
        <v>0</v>
      </c>
      <c r="H31" s="602">
        <f>+BPJS!O80</f>
        <v>0</v>
      </c>
      <c r="I31" s="484">
        <f>+PERBULAN!S30</f>
        <v>0</v>
      </c>
      <c r="J31" s="401"/>
      <c r="K31" s="484">
        <f>+PERBULAN!T30</f>
        <v>0</v>
      </c>
      <c r="L31" s="483">
        <f t="shared" ref="L31:L33" si="14">SUM(F31:K31)</f>
        <v>0</v>
      </c>
      <c r="M31" s="602">
        <f>+'ASTEK+PENSIUN'!O32</f>
        <v>0</v>
      </c>
      <c r="N31" s="483">
        <f t="shared" ref="N31:N33" si="15">L31*0.05</f>
        <v>0</v>
      </c>
      <c r="O31" s="602">
        <f>+'ASTEK+PENSIUN'!O75</f>
        <v>0</v>
      </c>
      <c r="P31" s="483">
        <f t="shared" ref="P31:P33" si="16">SUM(M31:O31)</f>
        <v>0</v>
      </c>
      <c r="Q31" s="484">
        <f t="shared" ref="Q31:Q33" si="17">L31-P31</f>
        <v>0</v>
      </c>
      <c r="R31" s="485" t="b">
        <f t="shared" ref="R31:R33" si="18">IF(D31="TK/0",54000000,IF(D31="K/0",58500000,IF(D31="K/1",63000000,IF(D31="K/2",67500000,IF(D31="K/3",72000000)))))</f>
        <v>0</v>
      </c>
      <c r="S31" s="486">
        <f t="shared" ref="S31:S33" si="19">IF(Q31&lt;=R31,0,IF(Q31&gt;R31,Q31-R31))</f>
        <v>0</v>
      </c>
      <c r="T31" s="492"/>
      <c r="U31" s="488">
        <f t="shared" si="2"/>
        <v>0</v>
      </c>
      <c r="V31" s="606">
        <f t="shared" si="3"/>
        <v>0</v>
      </c>
    </row>
    <row r="32" spans="1:22" s="489" customFormat="1">
      <c r="A32" s="490">
        <v>26</v>
      </c>
      <c r="B32" s="398">
        <f>+PERBULAN!B31</f>
        <v>0</v>
      </c>
      <c r="C32" s="398">
        <f>+PERBULAN!C31</f>
        <v>0</v>
      </c>
      <c r="D32" s="398">
        <f>+PERBULAN!D31</f>
        <v>0</v>
      </c>
      <c r="E32" s="398">
        <f>+PERBULAN!E31</f>
        <v>0</v>
      </c>
      <c r="F32" s="483">
        <f>+PERBULAN!R31</f>
        <v>0</v>
      </c>
      <c r="G32" s="483">
        <f>+BPJS!O33</f>
        <v>0</v>
      </c>
      <c r="H32" s="602">
        <f>+BPJS!O81</f>
        <v>0</v>
      </c>
      <c r="I32" s="484">
        <f>+PERBULAN!S31</f>
        <v>0</v>
      </c>
      <c r="J32" s="401"/>
      <c r="K32" s="484">
        <f>+PERBULAN!T31</f>
        <v>0</v>
      </c>
      <c r="L32" s="483">
        <f t="shared" si="14"/>
        <v>0</v>
      </c>
      <c r="M32" s="602">
        <f>+'ASTEK+PENSIUN'!O33</f>
        <v>0</v>
      </c>
      <c r="N32" s="483">
        <f t="shared" si="15"/>
        <v>0</v>
      </c>
      <c r="O32" s="602">
        <f>+'ASTEK+PENSIUN'!O76</f>
        <v>0</v>
      </c>
      <c r="P32" s="483">
        <f t="shared" si="16"/>
        <v>0</v>
      </c>
      <c r="Q32" s="484">
        <f t="shared" si="17"/>
        <v>0</v>
      </c>
      <c r="R32" s="485" t="b">
        <f t="shared" si="18"/>
        <v>0</v>
      </c>
      <c r="S32" s="486">
        <f t="shared" si="19"/>
        <v>0</v>
      </c>
      <c r="T32" s="492"/>
      <c r="U32" s="488">
        <f t="shared" si="2"/>
        <v>0</v>
      </c>
      <c r="V32" s="606">
        <f t="shared" si="3"/>
        <v>0</v>
      </c>
    </row>
    <row r="33" spans="1:22" s="489" customFormat="1">
      <c r="A33" s="490">
        <v>27</v>
      </c>
      <c r="B33" s="449">
        <f>+PERBULAN!B32</f>
        <v>0</v>
      </c>
      <c r="C33" s="449">
        <f>+PERBULAN!C32</f>
        <v>0</v>
      </c>
      <c r="D33" s="449">
        <f>+PERBULAN!D32</f>
        <v>0</v>
      </c>
      <c r="E33" s="449">
        <f>+PERBULAN!E32</f>
        <v>0</v>
      </c>
      <c r="F33" s="619">
        <f>+PERBULAN!R32</f>
        <v>0</v>
      </c>
      <c r="G33" s="619">
        <f>+BPJS!O34</f>
        <v>0</v>
      </c>
      <c r="H33" s="602">
        <f>+BPJS!O82</f>
        <v>0</v>
      </c>
      <c r="I33" s="620">
        <f>+PERBULAN!S32</f>
        <v>0</v>
      </c>
      <c r="J33" s="401"/>
      <c r="K33" s="620">
        <f>+PERBULAN!T32</f>
        <v>0</v>
      </c>
      <c r="L33" s="619">
        <f t="shared" si="14"/>
        <v>0</v>
      </c>
      <c r="M33" s="602">
        <f>+'ASTEK+PENSIUN'!O34</f>
        <v>0</v>
      </c>
      <c r="N33" s="619">
        <f t="shared" si="15"/>
        <v>0</v>
      </c>
      <c r="O33" s="602">
        <f>+'ASTEK+PENSIUN'!O77</f>
        <v>0</v>
      </c>
      <c r="P33" s="619">
        <f t="shared" si="16"/>
        <v>0</v>
      </c>
      <c r="Q33" s="620">
        <f t="shared" si="17"/>
        <v>0</v>
      </c>
      <c r="R33" s="621" t="b">
        <f t="shared" si="18"/>
        <v>0</v>
      </c>
      <c r="S33" s="622">
        <f t="shared" si="19"/>
        <v>0</v>
      </c>
      <c r="T33" s="492"/>
      <c r="U33" s="488">
        <f t="shared" si="2"/>
        <v>0</v>
      </c>
      <c r="V33" s="606">
        <f t="shared" si="3"/>
        <v>0</v>
      </c>
    </row>
    <row r="34" spans="1:22" s="489" customFormat="1">
      <c r="A34" s="490">
        <v>28</v>
      </c>
      <c r="B34" s="449">
        <f>+PERBULAN!B33</f>
        <v>0</v>
      </c>
      <c r="C34" s="449">
        <f>+PERBULAN!C33</f>
        <v>0</v>
      </c>
      <c r="D34" s="449">
        <f>+PERBULAN!D33</f>
        <v>0</v>
      </c>
      <c r="E34" s="449">
        <f>+PERBULAN!E33</f>
        <v>0</v>
      </c>
      <c r="F34" s="619">
        <f>+PERBULAN!R33</f>
        <v>0</v>
      </c>
      <c r="G34" s="619">
        <f>+BPJS!O35</f>
        <v>0</v>
      </c>
      <c r="H34" s="602">
        <f>+BPJS!O83</f>
        <v>0</v>
      </c>
      <c r="I34" s="620">
        <f>+PERBULAN!S33</f>
        <v>0</v>
      </c>
      <c r="J34" s="401"/>
      <c r="K34" s="620">
        <f>+PERBULAN!T33</f>
        <v>0</v>
      </c>
      <c r="L34" s="619">
        <f t="shared" ref="L34:L39" si="20">SUM(F34:K34)</f>
        <v>0</v>
      </c>
      <c r="M34" s="602">
        <f>+'ASTEK+PENSIUN'!O35</f>
        <v>0</v>
      </c>
      <c r="N34" s="619">
        <f t="shared" ref="N34:N39" si="21">L34*0.05</f>
        <v>0</v>
      </c>
      <c r="O34" s="602">
        <f>+'ASTEK+PENSIUN'!O78</f>
        <v>0</v>
      </c>
      <c r="P34" s="619">
        <f t="shared" ref="P34:P39" si="22">SUM(M34:O34)</f>
        <v>0</v>
      </c>
      <c r="Q34" s="620">
        <f t="shared" ref="Q34:Q39" si="23">L34-P34</f>
        <v>0</v>
      </c>
      <c r="R34" s="621" t="b">
        <f t="shared" ref="R34:R39" si="24">IF(D34="TK/0",54000000,IF(D34="K/0",58500000,IF(D34="K/1",63000000,IF(D34="K/2",67500000,IF(D34="K/3",72000000)))))</f>
        <v>0</v>
      </c>
      <c r="S34" s="622">
        <f t="shared" ref="S34:S39" si="25">IF(Q34&lt;=R34,0,IF(Q34&gt;R34,Q34-R34))</f>
        <v>0</v>
      </c>
      <c r="T34" s="492"/>
      <c r="U34" s="488">
        <f t="shared" si="2"/>
        <v>0</v>
      </c>
      <c r="V34" s="606">
        <f t="shared" si="3"/>
        <v>0</v>
      </c>
    </row>
    <row r="35" spans="1:22" s="489" customFormat="1">
      <c r="A35" s="490">
        <v>29</v>
      </c>
      <c r="B35" s="449">
        <f>+PERBULAN!B34</f>
        <v>0</v>
      </c>
      <c r="C35" s="449">
        <f>+PERBULAN!C34</f>
        <v>0</v>
      </c>
      <c r="D35" s="449">
        <f>+PERBULAN!D34</f>
        <v>0</v>
      </c>
      <c r="E35" s="449">
        <f>+PERBULAN!E34</f>
        <v>0</v>
      </c>
      <c r="F35" s="619">
        <f>+PERBULAN!R34</f>
        <v>0</v>
      </c>
      <c r="G35" s="619">
        <f>+BPJS!O36</f>
        <v>0</v>
      </c>
      <c r="H35" s="602">
        <f>+BPJS!O84</f>
        <v>0</v>
      </c>
      <c r="I35" s="620">
        <f>+PERBULAN!S34</f>
        <v>0</v>
      </c>
      <c r="J35" s="401"/>
      <c r="K35" s="620">
        <f>+PERBULAN!T34</f>
        <v>0</v>
      </c>
      <c r="L35" s="619">
        <f t="shared" si="20"/>
        <v>0</v>
      </c>
      <c r="M35" s="602">
        <f>+'ASTEK+PENSIUN'!O36</f>
        <v>0</v>
      </c>
      <c r="N35" s="619">
        <f t="shared" si="21"/>
        <v>0</v>
      </c>
      <c r="O35" s="602">
        <f>+'ASTEK+PENSIUN'!O79</f>
        <v>0</v>
      </c>
      <c r="P35" s="619">
        <f t="shared" si="22"/>
        <v>0</v>
      </c>
      <c r="Q35" s="620">
        <f t="shared" si="23"/>
        <v>0</v>
      </c>
      <c r="R35" s="621" t="b">
        <f t="shared" si="24"/>
        <v>0</v>
      </c>
      <c r="S35" s="622">
        <f t="shared" si="25"/>
        <v>0</v>
      </c>
      <c r="T35" s="492"/>
      <c r="U35" s="488">
        <f t="shared" si="2"/>
        <v>0</v>
      </c>
      <c r="V35" s="606">
        <f t="shared" si="3"/>
        <v>0</v>
      </c>
    </row>
    <row r="36" spans="1:22" s="489" customFormat="1">
      <c r="A36" s="490">
        <v>30</v>
      </c>
      <c r="B36" s="449">
        <f>+PERBULAN!B35</f>
        <v>0</v>
      </c>
      <c r="C36" s="449">
        <f>+PERBULAN!C35</f>
        <v>0</v>
      </c>
      <c r="D36" s="449">
        <f>+PERBULAN!D35</f>
        <v>0</v>
      </c>
      <c r="E36" s="449">
        <f>+PERBULAN!E35</f>
        <v>0</v>
      </c>
      <c r="F36" s="619">
        <f>+PERBULAN!R35</f>
        <v>0</v>
      </c>
      <c r="G36" s="619">
        <f>+BPJS!O37</f>
        <v>0</v>
      </c>
      <c r="H36" s="602">
        <f>+BPJS!O85</f>
        <v>0</v>
      </c>
      <c r="I36" s="620">
        <f>+PERBULAN!S35</f>
        <v>0</v>
      </c>
      <c r="J36" s="401"/>
      <c r="K36" s="620">
        <f>+PERBULAN!T35</f>
        <v>0</v>
      </c>
      <c r="L36" s="619">
        <f t="shared" si="20"/>
        <v>0</v>
      </c>
      <c r="M36" s="602">
        <f>+'ASTEK+PENSIUN'!O37</f>
        <v>0</v>
      </c>
      <c r="N36" s="619">
        <f t="shared" si="21"/>
        <v>0</v>
      </c>
      <c r="O36" s="602">
        <f>+'ASTEK+PENSIUN'!O80</f>
        <v>0</v>
      </c>
      <c r="P36" s="619">
        <f t="shared" si="22"/>
        <v>0</v>
      </c>
      <c r="Q36" s="620">
        <f t="shared" si="23"/>
        <v>0</v>
      </c>
      <c r="R36" s="621" t="b">
        <f t="shared" si="24"/>
        <v>0</v>
      </c>
      <c r="S36" s="622">
        <f t="shared" si="25"/>
        <v>0</v>
      </c>
      <c r="T36" s="492"/>
      <c r="U36" s="488">
        <f t="shared" si="2"/>
        <v>0</v>
      </c>
      <c r="V36" s="606">
        <f t="shared" si="3"/>
        <v>0</v>
      </c>
    </row>
    <row r="37" spans="1:22" s="489" customFormat="1">
      <c r="A37" s="490">
        <v>31</v>
      </c>
      <c r="B37" s="449">
        <f>+PERBULAN!B36</f>
        <v>0</v>
      </c>
      <c r="C37" s="449">
        <f>+PERBULAN!C36</f>
        <v>0</v>
      </c>
      <c r="D37" s="449">
        <f>+PERBULAN!D36</f>
        <v>0</v>
      </c>
      <c r="E37" s="449">
        <f>+PERBULAN!E36</f>
        <v>0</v>
      </c>
      <c r="F37" s="619">
        <f>+PERBULAN!R36</f>
        <v>0</v>
      </c>
      <c r="G37" s="619">
        <f>+BPJS!O38</f>
        <v>0</v>
      </c>
      <c r="H37" s="602">
        <f>+BPJS!O86</f>
        <v>0</v>
      </c>
      <c r="I37" s="620">
        <f>+PERBULAN!S36</f>
        <v>0</v>
      </c>
      <c r="J37" s="401"/>
      <c r="K37" s="620">
        <f>+PERBULAN!T36</f>
        <v>0</v>
      </c>
      <c r="L37" s="619">
        <f t="shared" si="20"/>
        <v>0</v>
      </c>
      <c r="M37" s="602">
        <f>+'ASTEK+PENSIUN'!O38</f>
        <v>0</v>
      </c>
      <c r="N37" s="619">
        <f t="shared" si="21"/>
        <v>0</v>
      </c>
      <c r="O37" s="602">
        <f>+'ASTEK+PENSIUN'!O81</f>
        <v>0</v>
      </c>
      <c r="P37" s="619">
        <f t="shared" si="22"/>
        <v>0</v>
      </c>
      <c r="Q37" s="620">
        <f t="shared" si="23"/>
        <v>0</v>
      </c>
      <c r="R37" s="621" t="b">
        <f t="shared" si="24"/>
        <v>0</v>
      </c>
      <c r="S37" s="622">
        <f t="shared" si="25"/>
        <v>0</v>
      </c>
      <c r="T37" s="492"/>
      <c r="U37" s="488">
        <f t="shared" si="2"/>
        <v>0</v>
      </c>
      <c r="V37" s="606">
        <f t="shared" si="3"/>
        <v>0</v>
      </c>
    </row>
    <row r="38" spans="1:22" s="489" customFormat="1">
      <c r="A38" s="490">
        <v>32</v>
      </c>
      <c r="B38" s="449">
        <f>+PERBULAN!B37</f>
        <v>0</v>
      </c>
      <c r="C38" s="449">
        <f>+PERBULAN!C37</f>
        <v>0</v>
      </c>
      <c r="D38" s="449">
        <f>+PERBULAN!D37</f>
        <v>0</v>
      </c>
      <c r="E38" s="449">
        <f>+PERBULAN!E37</f>
        <v>0</v>
      </c>
      <c r="F38" s="619">
        <f>+PERBULAN!R37</f>
        <v>0</v>
      </c>
      <c r="G38" s="619">
        <f>+BPJS!O39</f>
        <v>0</v>
      </c>
      <c r="H38" s="602">
        <f>+BPJS!O87</f>
        <v>0</v>
      </c>
      <c r="I38" s="620">
        <f>+PERBULAN!S37</f>
        <v>0</v>
      </c>
      <c r="J38" s="401"/>
      <c r="K38" s="620">
        <f>+PERBULAN!T37</f>
        <v>0</v>
      </c>
      <c r="L38" s="619">
        <f t="shared" si="20"/>
        <v>0</v>
      </c>
      <c r="M38" s="602">
        <f>+'ASTEK+PENSIUN'!O39</f>
        <v>0</v>
      </c>
      <c r="N38" s="619">
        <f t="shared" si="21"/>
        <v>0</v>
      </c>
      <c r="O38" s="602">
        <f>+'ASTEK+PENSIUN'!O82</f>
        <v>0</v>
      </c>
      <c r="P38" s="619">
        <f t="shared" si="22"/>
        <v>0</v>
      </c>
      <c r="Q38" s="620">
        <f t="shared" si="23"/>
        <v>0</v>
      </c>
      <c r="R38" s="621" t="b">
        <f t="shared" si="24"/>
        <v>0</v>
      </c>
      <c r="S38" s="622">
        <f t="shared" si="25"/>
        <v>0</v>
      </c>
      <c r="T38" s="492"/>
      <c r="U38" s="488">
        <f t="shared" si="2"/>
        <v>0</v>
      </c>
      <c r="V38" s="606">
        <f t="shared" si="3"/>
        <v>0</v>
      </c>
    </row>
    <row r="39" spans="1:22" s="489" customFormat="1" ht="15.75" thickBot="1">
      <c r="A39" s="490">
        <v>33</v>
      </c>
      <c r="B39" s="449">
        <f>+PERBULAN!B38</f>
        <v>0</v>
      </c>
      <c r="C39" s="449">
        <f>+PERBULAN!C38</f>
        <v>0</v>
      </c>
      <c r="D39" s="449">
        <f>+PERBULAN!D38</f>
        <v>0</v>
      </c>
      <c r="E39" s="449">
        <f>+PERBULAN!E38</f>
        <v>0</v>
      </c>
      <c r="F39" s="619">
        <f>+PERBULAN!R38</f>
        <v>0</v>
      </c>
      <c r="G39" s="619">
        <f>+BPJS!O40</f>
        <v>0</v>
      </c>
      <c r="H39" s="602">
        <f>+BPJS!O88</f>
        <v>0</v>
      </c>
      <c r="I39" s="620">
        <f>+PERBULAN!S38</f>
        <v>0</v>
      </c>
      <c r="J39" s="419"/>
      <c r="K39" s="620">
        <f>+PERBULAN!T38</f>
        <v>0</v>
      </c>
      <c r="L39" s="619">
        <f t="shared" si="20"/>
        <v>0</v>
      </c>
      <c r="M39" s="602">
        <f>+'ASTEK+PENSIUN'!O40</f>
        <v>0</v>
      </c>
      <c r="N39" s="619">
        <f t="shared" si="21"/>
        <v>0</v>
      </c>
      <c r="O39" s="602">
        <f>+'ASTEK+PENSIUN'!O83</f>
        <v>0</v>
      </c>
      <c r="P39" s="619">
        <f t="shared" si="22"/>
        <v>0</v>
      </c>
      <c r="Q39" s="620">
        <f t="shared" si="23"/>
        <v>0</v>
      </c>
      <c r="R39" s="621" t="b">
        <f t="shared" si="24"/>
        <v>0</v>
      </c>
      <c r="S39" s="622">
        <f t="shared" si="25"/>
        <v>0</v>
      </c>
      <c r="T39" s="492"/>
      <c r="U39" s="488">
        <f t="shared" si="2"/>
        <v>0</v>
      </c>
      <c r="V39" s="606">
        <f t="shared" si="3"/>
        <v>0</v>
      </c>
    </row>
    <row r="40" spans="1:22" s="373" customFormat="1" ht="13.5" thickBot="1">
      <c r="A40" s="752" t="s">
        <v>249</v>
      </c>
      <c r="B40" s="753"/>
      <c r="C40" s="493"/>
      <c r="D40" s="493"/>
      <c r="E40" s="457">
        <f t="shared" ref="E40:S40" si="26">SUM(E7:E39)</f>
        <v>176</v>
      </c>
      <c r="F40" s="457">
        <f t="shared" si="26"/>
        <v>868858836.55999982</v>
      </c>
      <c r="G40" s="457">
        <f t="shared" si="26"/>
        <v>27629664</v>
      </c>
      <c r="H40" s="457">
        <f t="shared" si="26"/>
        <v>5764261.4399999995</v>
      </c>
      <c r="I40" s="457">
        <f t="shared" si="26"/>
        <v>64418600</v>
      </c>
      <c r="J40" s="457">
        <f t="shared" si="26"/>
        <v>0</v>
      </c>
      <c r="K40" s="457">
        <f t="shared" si="26"/>
        <v>6800000</v>
      </c>
      <c r="L40" s="457">
        <f t="shared" si="26"/>
        <v>973471362</v>
      </c>
      <c r="M40" s="457">
        <f t="shared" si="26"/>
        <v>13724432</v>
      </c>
      <c r="N40" s="457">
        <f t="shared" si="26"/>
        <v>48673568.100000001</v>
      </c>
      <c r="O40" s="457">
        <f t="shared" si="26"/>
        <v>6862216</v>
      </c>
      <c r="P40" s="457">
        <f t="shared" si="26"/>
        <v>69260216.099999994</v>
      </c>
      <c r="Q40" s="457">
        <f t="shared" si="26"/>
        <v>904211145.89999986</v>
      </c>
      <c r="R40" s="457">
        <f t="shared" si="26"/>
        <v>940500000</v>
      </c>
      <c r="S40" s="457">
        <f t="shared" si="26"/>
        <v>49839463.249999993</v>
      </c>
      <c r="T40" s="494"/>
      <c r="U40" s="607">
        <f>SUM(U7:U30)</f>
        <v>33393925.439999998</v>
      </c>
      <c r="V40" s="607">
        <f>SUM(V7:V30)</f>
        <v>20586648</v>
      </c>
    </row>
    <row r="41" spans="1:22" s="373" customFormat="1" ht="12.75">
      <c r="A41" s="495"/>
      <c r="B41" s="495"/>
      <c r="C41" s="496"/>
      <c r="D41" s="496"/>
      <c r="E41" s="496"/>
      <c r="F41" s="497"/>
      <c r="G41" s="497"/>
      <c r="H41" s="497"/>
      <c r="I41" s="497"/>
      <c r="J41" s="497"/>
      <c r="K41" s="497"/>
      <c r="L41" s="498"/>
      <c r="M41" s="497"/>
      <c r="N41" s="497"/>
      <c r="O41" s="497"/>
      <c r="P41" s="497"/>
      <c r="Q41" s="497"/>
      <c r="R41" s="497"/>
      <c r="S41" s="497"/>
    </row>
    <row r="42" spans="1:22" s="489" customFormat="1" hidden="1">
      <c r="A42" s="490">
        <v>3</v>
      </c>
      <c r="B42" s="398" t="str">
        <f>[10]PERBULAN!B35</f>
        <v>ROSADI</v>
      </c>
      <c r="C42" s="398" t="str">
        <f>[10]PERBULAN!C35</f>
        <v>L</v>
      </c>
      <c r="D42" s="398" t="str">
        <f>[10]PERBULAN!D35</f>
        <v>K1</v>
      </c>
      <c r="E42" s="398">
        <f>[10]PERBULAN!E35</f>
        <v>3</v>
      </c>
      <c r="F42" s="483">
        <f>[10]PERBULAN!R35</f>
        <v>11171937.300000001</v>
      </c>
      <c r="G42" s="483" t="e">
        <f>'[10]BPJS 4%'!#REF!</f>
        <v>#REF!</v>
      </c>
      <c r="H42" s="602">
        <f t="shared" ref="H42:H48" si="27">(3498479*0.84%)*E42</f>
        <v>88161.670799999993</v>
      </c>
      <c r="I42" s="484">
        <f>[10]PERBULAN!S35</f>
        <v>3676979</v>
      </c>
      <c r="J42" s="401"/>
      <c r="K42" s="484">
        <f>[10]PERBULAN!T35</f>
        <v>0</v>
      </c>
      <c r="L42" s="483" t="e">
        <f t="shared" ref="L42:L48" si="28">SUM(F42:K42)</f>
        <v>#REF!</v>
      </c>
      <c r="M42" s="602">
        <f t="shared" ref="M42:M48" si="29">(3498479*2%)*E42</f>
        <v>209908.74</v>
      </c>
      <c r="N42" s="483" t="e">
        <f t="shared" ref="N42:N48" si="30">L42*0.05</f>
        <v>#REF!</v>
      </c>
      <c r="O42" s="602">
        <f t="shared" ref="O42:O48" si="31">+SUM(3498479*1%)*E42</f>
        <v>104954.37</v>
      </c>
      <c r="P42" s="483" t="e">
        <f t="shared" ref="P42:P48" si="32">SUM(M42:O42)</f>
        <v>#REF!</v>
      </c>
      <c r="Q42" s="484" t="e">
        <f t="shared" ref="Q42:Q48" si="33">L42-P42</f>
        <v>#REF!</v>
      </c>
      <c r="R42" s="485">
        <f t="shared" ref="R42:R48" si="34">IF(D42="TK",54000000,IF(D42="K0",58500000,IF(D42="K1",63000000,IF(D42="K2",67500000,IF(D42="K3",72000000)))))</f>
        <v>63000000</v>
      </c>
      <c r="S42" s="486" t="e">
        <f t="shared" ref="S42:S48" si="35">IF(Q42&lt;=R42,0,IF(Q42&gt;R42,Q42-R42))</f>
        <v>#REF!</v>
      </c>
      <c r="T42" s="492"/>
    </row>
    <row r="43" spans="1:22" s="489" customFormat="1" hidden="1">
      <c r="A43" s="490">
        <v>4</v>
      </c>
      <c r="B43" s="398" t="str">
        <f>[10]PERBULAN!B39</f>
        <v>SAINA</v>
      </c>
      <c r="C43" s="398" t="str">
        <f>[10]PERBULAN!C39</f>
        <v>P</v>
      </c>
      <c r="D43" s="398" t="str">
        <f>[10]PERBULAN!D39</f>
        <v>TK</v>
      </c>
      <c r="E43" s="398">
        <f>[10]PERBULAN!E39</f>
        <v>3</v>
      </c>
      <c r="F43" s="483">
        <f>[10]PERBULAN!R39</f>
        <v>10880937.300000001</v>
      </c>
      <c r="G43" s="483" t="e">
        <f>'[10]BPJS 4%'!#REF!</f>
        <v>#REF!</v>
      </c>
      <c r="H43" s="602">
        <f t="shared" si="27"/>
        <v>88161.670799999993</v>
      </c>
      <c r="I43" s="484">
        <f>[10]PERBULAN!S39</f>
        <v>3626979</v>
      </c>
      <c r="J43" s="401"/>
      <c r="K43" s="484">
        <f>[10]PERBULAN!T39</f>
        <v>0</v>
      </c>
      <c r="L43" s="483" t="e">
        <f t="shared" si="28"/>
        <v>#REF!</v>
      </c>
      <c r="M43" s="602">
        <f t="shared" si="29"/>
        <v>209908.74</v>
      </c>
      <c r="N43" s="483" t="e">
        <f t="shared" si="30"/>
        <v>#REF!</v>
      </c>
      <c r="O43" s="602">
        <f t="shared" si="31"/>
        <v>104954.37</v>
      </c>
      <c r="P43" s="483" t="e">
        <f t="shared" si="32"/>
        <v>#REF!</v>
      </c>
      <c r="Q43" s="484" t="e">
        <f t="shared" si="33"/>
        <v>#REF!</v>
      </c>
      <c r="R43" s="485">
        <f t="shared" si="34"/>
        <v>54000000</v>
      </c>
      <c r="S43" s="486" t="e">
        <f t="shared" si="35"/>
        <v>#REF!</v>
      </c>
      <c r="T43" s="492"/>
    </row>
    <row r="44" spans="1:22" s="489" customFormat="1" hidden="1">
      <c r="A44" s="490">
        <v>5</v>
      </c>
      <c r="B44" s="398" t="str">
        <f>[10]PERBULAN!B36</f>
        <v>FEBRIANSYAH</v>
      </c>
      <c r="C44" s="398" t="str">
        <f>[10]PERBULAN!C36</f>
        <v>L</v>
      </c>
      <c r="D44" s="398" t="str">
        <f>[10]PERBULAN!D36</f>
        <v>K2</v>
      </c>
      <c r="E44" s="398">
        <f>[10]PERBULAN!E36</f>
        <v>3</v>
      </c>
      <c r="F44" s="483">
        <f>[10]PERBULAN!R36</f>
        <v>18058338.57</v>
      </c>
      <c r="G44" s="483" t="e">
        <f>'[10]BPJS 4%'!#REF!</f>
        <v>#REF!</v>
      </c>
      <c r="H44" s="602">
        <f t="shared" si="27"/>
        <v>88161.670799999993</v>
      </c>
      <c r="I44" s="484">
        <f>[10]PERBULAN!S36</f>
        <v>3703979</v>
      </c>
      <c r="J44" s="401"/>
      <c r="K44" s="484">
        <f>[10]PERBULAN!T36</f>
        <v>0</v>
      </c>
      <c r="L44" s="483" t="e">
        <f t="shared" si="28"/>
        <v>#REF!</v>
      </c>
      <c r="M44" s="602">
        <f t="shared" si="29"/>
        <v>209908.74</v>
      </c>
      <c r="N44" s="483" t="e">
        <f t="shared" si="30"/>
        <v>#REF!</v>
      </c>
      <c r="O44" s="602">
        <f t="shared" si="31"/>
        <v>104954.37</v>
      </c>
      <c r="P44" s="483" t="e">
        <f t="shared" si="32"/>
        <v>#REF!</v>
      </c>
      <c r="Q44" s="484" t="e">
        <f t="shared" si="33"/>
        <v>#REF!</v>
      </c>
      <c r="R44" s="485">
        <f t="shared" si="34"/>
        <v>67500000</v>
      </c>
      <c r="S44" s="486" t="e">
        <f t="shared" si="35"/>
        <v>#REF!</v>
      </c>
      <c r="T44" s="492"/>
    </row>
    <row r="45" spans="1:22" s="489" customFormat="1" hidden="1">
      <c r="A45" s="490">
        <v>14</v>
      </c>
      <c r="B45" s="398" t="str">
        <f>[10]PERBULAN!B37</f>
        <v>SAYUTI</v>
      </c>
      <c r="C45" s="398" t="str">
        <f>[10]PERBULAN!C37</f>
        <v>L</v>
      </c>
      <c r="D45" s="398" t="str">
        <f>[10]PERBULAN!D37</f>
        <v>K2</v>
      </c>
      <c r="E45" s="398">
        <f>[10]PERBULAN!E37</f>
        <v>3</v>
      </c>
      <c r="F45" s="483">
        <f>[10]PERBULAN!R37</f>
        <v>13602237.130000001</v>
      </c>
      <c r="G45" s="483" t="e">
        <f>'[10]BPJS 4%'!#REF!</f>
        <v>#REF!</v>
      </c>
      <c r="H45" s="602">
        <f t="shared" si="27"/>
        <v>88161.670799999993</v>
      </c>
      <c r="I45" s="484">
        <f>[10]PERBULAN!S37</f>
        <v>3707479</v>
      </c>
      <c r="J45" s="401"/>
      <c r="K45" s="484">
        <f>[10]PERBULAN!T37</f>
        <v>0</v>
      </c>
      <c r="L45" s="483" t="e">
        <f t="shared" si="28"/>
        <v>#REF!</v>
      </c>
      <c r="M45" s="602">
        <f t="shared" si="29"/>
        <v>209908.74</v>
      </c>
      <c r="N45" s="483" t="e">
        <f t="shared" si="30"/>
        <v>#REF!</v>
      </c>
      <c r="O45" s="602">
        <f t="shared" si="31"/>
        <v>104954.37</v>
      </c>
      <c r="P45" s="483" t="e">
        <f t="shared" si="32"/>
        <v>#REF!</v>
      </c>
      <c r="Q45" s="484" t="e">
        <f t="shared" si="33"/>
        <v>#REF!</v>
      </c>
      <c r="R45" s="485">
        <f t="shared" si="34"/>
        <v>67500000</v>
      </c>
      <c r="S45" s="486" t="e">
        <f t="shared" si="35"/>
        <v>#REF!</v>
      </c>
      <c r="T45" s="492"/>
    </row>
    <row r="46" spans="1:22" s="489" customFormat="1" hidden="1">
      <c r="A46" s="490">
        <v>16</v>
      </c>
      <c r="B46" s="398" t="str">
        <f>[10]PERBULAN!B38</f>
        <v>MAHADI</v>
      </c>
      <c r="C46" s="398" t="str">
        <f>[10]PERBULAN!C38</f>
        <v>L</v>
      </c>
      <c r="D46" s="398" t="str">
        <f>[10]PERBULAN!D38</f>
        <v>K1</v>
      </c>
      <c r="E46" s="398">
        <f>[10]PERBULAN!E38</f>
        <v>3</v>
      </c>
      <c r="F46" s="483">
        <f>[10]PERBULAN!R38</f>
        <v>19059513.84</v>
      </c>
      <c r="G46" s="483" t="e">
        <f>'[10]BPJS 4%'!#REF!</f>
        <v>#REF!</v>
      </c>
      <c r="H46" s="602">
        <f t="shared" si="27"/>
        <v>88161.670799999993</v>
      </c>
      <c r="I46" s="484">
        <f>[10]PERBULAN!S38</f>
        <v>3673479</v>
      </c>
      <c r="J46" s="401"/>
      <c r="K46" s="484">
        <f>[10]PERBULAN!T38</f>
        <v>0</v>
      </c>
      <c r="L46" s="483" t="e">
        <f t="shared" si="28"/>
        <v>#REF!</v>
      </c>
      <c r="M46" s="602">
        <f t="shared" si="29"/>
        <v>209908.74</v>
      </c>
      <c r="N46" s="483" t="e">
        <f t="shared" si="30"/>
        <v>#REF!</v>
      </c>
      <c r="O46" s="602">
        <f t="shared" si="31"/>
        <v>104954.37</v>
      </c>
      <c r="P46" s="483" t="e">
        <f t="shared" si="32"/>
        <v>#REF!</v>
      </c>
      <c r="Q46" s="484" t="e">
        <f t="shared" si="33"/>
        <v>#REF!</v>
      </c>
      <c r="R46" s="485">
        <f t="shared" si="34"/>
        <v>63000000</v>
      </c>
      <c r="S46" s="486" t="e">
        <f t="shared" si="35"/>
        <v>#REF!</v>
      </c>
      <c r="T46" s="492"/>
    </row>
    <row r="47" spans="1:22" s="489" customFormat="1" hidden="1">
      <c r="A47" s="490">
        <v>19</v>
      </c>
      <c r="B47" s="398" t="str">
        <f>[10]PERBULAN!B40</f>
        <v>NUR AINI</v>
      </c>
      <c r="C47" s="398" t="str">
        <f>[10]PERBULAN!C40</f>
        <v>P</v>
      </c>
      <c r="D47" s="398" t="str">
        <f>[10]PERBULAN!D40</f>
        <v>TK</v>
      </c>
      <c r="E47" s="398">
        <f>[10]PERBULAN!E40</f>
        <v>3</v>
      </c>
      <c r="F47" s="483">
        <f>[10]PERBULAN!R40</f>
        <v>10880937.300000001</v>
      </c>
      <c r="G47" s="483" t="e">
        <f>'[10]BPJS 4%'!#REF!</f>
        <v>#REF!</v>
      </c>
      <c r="H47" s="602">
        <f t="shared" si="27"/>
        <v>88161.670799999993</v>
      </c>
      <c r="I47" s="484">
        <f>[10]PERBULAN!S40</f>
        <v>3626979</v>
      </c>
      <c r="J47" s="401"/>
      <c r="K47" s="484">
        <f>[10]PERBULAN!T40</f>
        <v>0</v>
      </c>
      <c r="L47" s="483" t="e">
        <f t="shared" si="28"/>
        <v>#REF!</v>
      </c>
      <c r="M47" s="602">
        <f t="shared" si="29"/>
        <v>209908.74</v>
      </c>
      <c r="N47" s="483" t="e">
        <f t="shared" si="30"/>
        <v>#REF!</v>
      </c>
      <c r="O47" s="602">
        <f t="shared" si="31"/>
        <v>104954.37</v>
      </c>
      <c r="P47" s="483" t="e">
        <f t="shared" si="32"/>
        <v>#REF!</v>
      </c>
      <c r="Q47" s="484" t="e">
        <f t="shared" si="33"/>
        <v>#REF!</v>
      </c>
      <c r="R47" s="485">
        <f t="shared" si="34"/>
        <v>54000000</v>
      </c>
      <c r="S47" s="486" t="e">
        <f t="shared" si="35"/>
        <v>#REF!</v>
      </c>
      <c r="T47" s="499"/>
    </row>
    <row r="48" spans="1:22" s="489" customFormat="1" hidden="1">
      <c r="A48" s="490">
        <v>26</v>
      </c>
      <c r="B48" s="398" t="str">
        <f>[10]PERBULAN!B41</f>
        <v>NOVIANTI</v>
      </c>
      <c r="C48" s="398" t="str">
        <f>[10]PERBULAN!C41</f>
        <v>P</v>
      </c>
      <c r="D48" s="398" t="str">
        <f>[10]PERBULAN!D41</f>
        <v>TK</v>
      </c>
      <c r="E48" s="398">
        <f>[10]PERBULAN!E41</f>
        <v>3</v>
      </c>
      <c r="F48" s="483">
        <f>[10]PERBULAN!R41</f>
        <v>10835437.300000001</v>
      </c>
      <c r="G48" s="483" t="e">
        <f>'[10]BPJS 4%'!#REF!</f>
        <v>#REF!</v>
      </c>
      <c r="H48" s="602">
        <f t="shared" si="27"/>
        <v>88161.670799999993</v>
      </c>
      <c r="I48" s="484">
        <f>[10]PERBULAN!S41</f>
        <v>3612979</v>
      </c>
      <c r="J48" s="401"/>
      <c r="K48" s="484">
        <f>[10]PERBULAN!T41</f>
        <v>0</v>
      </c>
      <c r="L48" s="483" t="e">
        <f t="shared" si="28"/>
        <v>#REF!</v>
      </c>
      <c r="M48" s="602">
        <f t="shared" si="29"/>
        <v>209908.74</v>
      </c>
      <c r="N48" s="483" t="e">
        <f t="shared" si="30"/>
        <v>#REF!</v>
      </c>
      <c r="O48" s="602">
        <f t="shared" si="31"/>
        <v>104954.37</v>
      </c>
      <c r="P48" s="483" t="e">
        <f t="shared" si="32"/>
        <v>#REF!</v>
      </c>
      <c r="Q48" s="484" t="e">
        <f t="shared" si="33"/>
        <v>#REF!</v>
      </c>
      <c r="R48" s="485">
        <f t="shared" si="34"/>
        <v>54000000</v>
      </c>
      <c r="S48" s="486" t="e">
        <f t="shared" si="35"/>
        <v>#REF!</v>
      </c>
      <c r="T48" s="492"/>
    </row>
    <row r="49" spans="1:20" s="373" customFormat="1" ht="12.75" hidden="1">
      <c r="A49" s="495"/>
      <c r="B49" s="495"/>
      <c r="C49" s="496"/>
      <c r="D49" s="496"/>
      <c r="E49" s="496"/>
      <c r="F49" s="497"/>
      <c r="G49" s="497"/>
      <c r="H49" s="497"/>
      <c r="I49" s="497"/>
      <c r="J49" s="497"/>
      <c r="K49" s="497"/>
      <c r="L49" s="498"/>
      <c r="M49" s="497"/>
      <c r="N49" s="497"/>
      <c r="O49" s="497"/>
      <c r="P49" s="497"/>
      <c r="Q49" s="497"/>
      <c r="R49" s="497"/>
      <c r="S49" s="497"/>
    </row>
    <row r="50" spans="1:20" s="373" customFormat="1" ht="12.75" hidden="1">
      <c r="A50" s="495"/>
      <c r="B50" s="495"/>
      <c r="C50" s="496"/>
      <c r="D50" s="496"/>
      <c r="E50" s="496"/>
      <c r="F50" s="497"/>
      <c r="G50" s="497"/>
      <c r="H50" s="497"/>
      <c r="I50" s="497"/>
      <c r="J50" s="497"/>
      <c r="K50" s="497"/>
      <c r="L50" s="498"/>
      <c r="M50" s="497"/>
      <c r="N50" s="497"/>
      <c r="O50" s="497"/>
      <c r="P50" s="497"/>
      <c r="Q50" s="497"/>
      <c r="R50" s="497"/>
      <c r="S50" s="497"/>
    </row>
    <row r="51" spans="1:20" s="373" customFormat="1" ht="12.75" hidden="1">
      <c r="A51" s="495"/>
      <c r="B51" s="495"/>
      <c r="C51" s="496"/>
      <c r="D51" s="496"/>
      <c r="E51" s="496"/>
      <c r="F51" s="497"/>
      <c r="G51" s="497"/>
      <c r="H51" s="497"/>
      <c r="I51" s="497"/>
      <c r="J51" s="497"/>
      <c r="K51" s="497"/>
      <c r="L51" s="498"/>
      <c r="M51" s="497"/>
      <c r="N51" s="497"/>
      <c r="O51" s="497"/>
      <c r="P51" s="497"/>
      <c r="Q51" s="497"/>
      <c r="R51" s="497"/>
      <c r="S51" s="497"/>
    </row>
    <row r="52" spans="1:20" s="503" customFormat="1" ht="15.75" hidden="1">
      <c r="A52" s="500" t="s">
        <v>273</v>
      </c>
      <c r="B52" s="501"/>
      <c r="C52" s="501"/>
      <c r="D52" s="501"/>
      <c r="E52" s="501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</row>
    <row r="53" spans="1:20" s="503" customFormat="1" ht="15.75" hidden="1">
      <c r="A53" s="500" t="s">
        <v>274</v>
      </c>
      <c r="B53" s="501"/>
      <c r="C53" s="501"/>
      <c r="D53" s="501"/>
      <c r="E53" s="501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</row>
    <row r="54" spans="1:20" ht="15.75" hidden="1">
      <c r="A54" s="504"/>
      <c r="B54" s="465"/>
      <c r="C54" s="465"/>
      <c r="D54" s="465"/>
      <c r="E54" s="46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</row>
    <row r="55" spans="1:20" s="506" customFormat="1" ht="15.75" hidden="1">
      <c r="A55" s="759" t="s">
        <v>291</v>
      </c>
      <c r="B55" s="759"/>
      <c r="C55" s="759"/>
      <c r="D55" s="759"/>
      <c r="E55" s="759"/>
      <c r="F55" s="759"/>
      <c r="G55" s="759"/>
      <c r="H55" s="759"/>
      <c r="I55" s="759"/>
      <c r="J55" s="759"/>
      <c r="K55" s="759"/>
      <c r="L55" s="759"/>
      <c r="M55" s="504"/>
      <c r="N55" s="504"/>
      <c r="O55" s="504"/>
      <c r="P55" s="504"/>
      <c r="Q55" s="504"/>
      <c r="R55" s="504"/>
      <c r="S55" s="504"/>
      <c r="T55" s="504"/>
    </row>
    <row r="56" spans="1:20" ht="16.5" hidden="1" thickBot="1">
      <c r="A56" s="760"/>
      <c r="B56" s="760"/>
      <c r="C56" s="760"/>
      <c r="D56" s="760"/>
      <c r="E56" s="760"/>
      <c r="F56" s="760"/>
      <c r="G56" s="760"/>
      <c r="H56" s="760"/>
      <c r="I56" s="760"/>
      <c r="J56" s="760"/>
      <c r="K56" s="760"/>
      <c r="L56" s="761"/>
      <c r="M56" s="505"/>
      <c r="N56" s="505"/>
      <c r="O56" s="505"/>
      <c r="P56" s="505"/>
      <c r="Q56" s="505"/>
      <c r="R56" s="505"/>
      <c r="S56" s="505"/>
      <c r="T56" s="505"/>
    </row>
    <row r="57" spans="1:20" hidden="1">
      <c r="A57" s="762" t="s">
        <v>0</v>
      </c>
      <c r="B57" s="764" t="s">
        <v>292</v>
      </c>
      <c r="C57" s="764" t="s">
        <v>37</v>
      </c>
      <c r="D57" s="764" t="s">
        <v>232</v>
      </c>
      <c r="E57" s="764" t="s">
        <v>233</v>
      </c>
      <c r="F57" s="507" t="s">
        <v>252</v>
      </c>
      <c r="G57" s="507" t="s">
        <v>252</v>
      </c>
      <c r="H57" s="587" t="s">
        <v>257</v>
      </c>
      <c r="I57" s="587" t="s">
        <v>257</v>
      </c>
      <c r="J57" s="587" t="s">
        <v>268</v>
      </c>
      <c r="K57" s="508" t="s">
        <v>257</v>
      </c>
      <c r="L57" s="766" t="s">
        <v>293</v>
      </c>
      <c r="M57" s="509"/>
      <c r="N57" s="510"/>
      <c r="O57" s="509"/>
      <c r="P57" s="509"/>
    </row>
    <row r="58" spans="1:20" hidden="1">
      <c r="A58" s="763"/>
      <c r="B58" s="765"/>
      <c r="C58" s="765"/>
      <c r="D58" s="765"/>
      <c r="E58" s="765"/>
      <c r="F58" s="511" t="s">
        <v>294</v>
      </c>
      <c r="G58" s="511" t="s">
        <v>294</v>
      </c>
      <c r="H58" s="588" t="s">
        <v>295</v>
      </c>
      <c r="I58" s="588" t="s">
        <v>296</v>
      </c>
      <c r="J58" s="588" t="s">
        <v>297</v>
      </c>
      <c r="K58" s="512" t="s">
        <v>298</v>
      </c>
      <c r="L58" s="766"/>
      <c r="M58" s="509"/>
      <c r="N58" s="510"/>
      <c r="O58" s="509"/>
      <c r="P58" s="513"/>
    </row>
    <row r="59" spans="1:20" ht="15.75" hidden="1" thickBot="1">
      <c r="A59" s="763"/>
      <c r="B59" s="765"/>
      <c r="C59" s="765"/>
      <c r="D59" s="765"/>
      <c r="E59" s="765"/>
      <c r="F59" s="511" t="s">
        <v>257</v>
      </c>
      <c r="G59" s="514" t="s">
        <v>299</v>
      </c>
      <c r="H59" s="515">
        <v>0.05</v>
      </c>
      <c r="I59" s="515"/>
      <c r="J59" s="515"/>
      <c r="K59" s="516"/>
      <c r="L59" s="767"/>
      <c r="M59" s="509"/>
      <c r="N59" s="510"/>
      <c r="O59" s="517"/>
      <c r="P59" s="513"/>
    </row>
    <row r="60" spans="1:20" ht="15.75" hidden="1" thickTop="1">
      <c r="A60" s="479">
        <v>1</v>
      </c>
      <c r="B60" s="388" t="str">
        <f>[10]PERBULAN!B6</f>
        <v>YOYO</v>
      </c>
      <c r="C60" s="388" t="str">
        <f>[10]PERBULAN!C6</f>
        <v>L</v>
      </c>
      <c r="D60" s="388" t="str">
        <f>[10]PERBULAN!D6</f>
        <v>K/0</v>
      </c>
      <c r="E60" s="388">
        <f>[10]PERBULAN!E6</f>
        <v>9</v>
      </c>
      <c r="F60" s="518">
        <f>S115</f>
        <v>15172071.699999988</v>
      </c>
      <c r="G60" s="455">
        <f t="shared" ref="G60" si="36">ROUNDDOWN(F60,-3)</f>
        <v>15172000</v>
      </c>
      <c r="H60" s="455">
        <f>IF(L60="",G60*6%,G60*5%)</f>
        <v>758600</v>
      </c>
      <c r="I60" s="455">
        <f>H60</f>
        <v>758600</v>
      </c>
      <c r="J60" s="455">
        <f>[10]PERBULAN!W48</f>
        <v>118823</v>
      </c>
      <c r="K60" s="519">
        <f>IF(I60&lt;=J60,0,IF(I60&gt;J60,I60-J60))</f>
        <v>639777</v>
      </c>
      <c r="L60" s="520">
        <v>972282958305000</v>
      </c>
      <c r="M60" s="521" t="str">
        <f>+B60</f>
        <v>YOYO</v>
      </c>
      <c r="N60" s="521" t="s">
        <v>116</v>
      </c>
      <c r="O60" s="375" t="s">
        <v>140</v>
      </c>
    </row>
    <row r="61" spans="1:20" hidden="1">
      <c r="A61" s="490">
        <v>2</v>
      </c>
      <c r="B61" s="398" t="str">
        <f>[10]PERBULAN!B7</f>
        <v>JAMILA</v>
      </c>
      <c r="C61" s="398" t="str">
        <f>[10]PERBULAN!C7</f>
        <v>P</v>
      </c>
      <c r="D61" s="398" t="str">
        <f>[10]PERBULAN!D7</f>
        <v>TK/0</v>
      </c>
      <c r="E61" s="398">
        <f>[10]PERBULAN!E7</f>
        <v>9</v>
      </c>
      <c r="F61" s="443">
        <f>S7</f>
        <v>29424703.799999997</v>
      </c>
      <c r="G61" s="443">
        <f>ROUNDDOWN(F61,-3)</f>
        <v>29424000</v>
      </c>
      <c r="H61" s="443">
        <f>IF(L61="",G61*6%,G61*5%)</f>
        <v>1471200</v>
      </c>
      <c r="I61" s="443">
        <f>H61</f>
        <v>1471200</v>
      </c>
      <c r="J61" s="443">
        <f>[10]PERBULAN!W49</f>
        <v>646505</v>
      </c>
      <c r="K61" s="522">
        <f>IF(I61&lt;=J61,0,IF(I61&gt;J61,I61-J61))</f>
        <v>824695</v>
      </c>
      <c r="L61" s="523">
        <v>972282982305000</v>
      </c>
      <c r="M61" s="521" t="str">
        <f t="shared" ref="M61:M85" si="37">+B61</f>
        <v>JAMILA</v>
      </c>
      <c r="N61" s="524" t="s">
        <v>117</v>
      </c>
      <c r="O61" s="375" t="s">
        <v>141</v>
      </c>
    </row>
    <row r="62" spans="1:20" hidden="1">
      <c r="A62" s="490">
        <v>3</v>
      </c>
      <c r="B62" s="398" t="str">
        <f>[10]PERBULAN!B8</f>
        <v xml:space="preserve">JUNI </v>
      </c>
      <c r="C62" s="398" t="str">
        <f>[10]PERBULAN!C8</f>
        <v>L</v>
      </c>
      <c r="D62" s="398" t="str">
        <f>[10]PERBULAN!D8</f>
        <v>K/1</v>
      </c>
      <c r="E62" s="398">
        <f>[10]PERBULAN!E8</f>
        <v>9</v>
      </c>
      <c r="F62" s="443">
        <f>S8</f>
        <v>4758257</v>
      </c>
      <c r="G62" s="443">
        <f t="shared" ref="G62:G86" si="38">ROUNDDOWN(F62,-3)</f>
        <v>4758000</v>
      </c>
      <c r="H62" s="443">
        <f t="shared" ref="H62:H81" si="39">IF(L62="",G62*6%,G62*5%)</f>
        <v>237900</v>
      </c>
      <c r="I62" s="443">
        <f t="shared" ref="I62:I86" si="40">H62</f>
        <v>237900</v>
      </c>
      <c r="J62" s="443">
        <f>[10]PERBULAN!W50</f>
        <v>183411</v>
      </c>
      <c r="K62" s="522">
        <f t="shared" ref="K62:K86" si="41">IF(I62&lt;=J62,0,IF(I62&gt;J62,I62-J62))</f>
        <v>54489</v>
      </c>
      <c r="L62" s="525">
        <v>972283055305000</v>
      </c>
      <c r="M62" s="521" t="str">
        <f t="shared" si="37"/>
        <v xml:space="preserve">JUNI </v>
      </c>
      <c r="N62" s="524" t="s">
        <v>118</v>
      </c>
      <c r="O62" s="375" t="s">
        <v>142</v>
      </c>
    </row>
    <row r="63" spans="1:20" hidden="1">
      <c r="A63" s="490">
        <v>4</v>
      </c>
      <c r="B63" s="398" t="str">
        <f>[10]PERBULAN!B9</f>
        <v>SUHANDI</v>
      </c>
      <c r="C63" s="398" t="str">
        <f>[10]PERBULAN!C9</f>
        <v>L</v>
      </c>
      <c r="D63" s="398" t="str">
        <f>[10]PERBULAN!D9</f>
        <v>K/1</v>
      </c>
      <c r="E63" s="398">
        <f>[10]PERBULAN!E9</f>
        <v>9</v>
      </c>
      <c r="F63" s="443">
        <f>S9</f>
        <v>2136329.450000003</v>
      </c>
      <c r="G63" s="443">
        <f t="shared" si="38"/>
        <v>2136000</v>
      </c>
      <c r="H63" s="443">
        <f t="shared" si="39"/>
        <v>106800</v>
      </c>
      <c r="I63" s="443">
        <f t="shared" si="40"/>
        <v>106800</v>
      </c>
      <c r="J63" s="443">
        <f>[10]PERBULAN!W51</f>
        <v>89762</v>
      </c>
      <c r="K63" s="522">
        <f t="shared" si="41"/>
        <v>17038</v>
      </c>
      <c r="L63" s="526">
        <v>972282974305000</v>
      </c>
      <c r="M63" s="521" t="str">
        <f t="shared" si="37"/>
        <v>SUHANDI</v>
      </c>
      <c r="N63" s="524" t="s">
        <v>119</v>
      </c>
      <c r="O63" s="375" t="s">
        <v>74</v>
      </c>
    </row>
    <row r="64" spans="1:20" hidden="1">
      <c r="A64" s="490">
        <v>5</v>
      </c>
      <c r="B64" s="398" t="str">
        <f>[10]PERBULAN!B10</f>
        <v>MINARNI</v>
      </c>
      <c r="C64" s="398" t="str">
        <f>[10]PERBULAN!C10</f>
        <v>P</v>
      </c>
      <c r="D64" s="398" t="str">
        <f>[10]PERBULAN!D10</f>
        <v>TK/0</v>
      </c>
      <c r="E64" s="398">
        <f>[10]PERBULAN!E10</f>
        <v>9</v>
      </c>
      <c r="F64" s="443">
        <f>S10</f>
        <v>536024.04999999702</v>
      </c>
      <c r="G64" s="443">
        <f t="shared" si="38"/>
        <v>536000</v>
      </c>
      <c r="H64" s="443">
        <f t="shared" si="39"/>
        <v>26800</v>
      </c>
      <c r="I64" s="443">
        <f t="shared" si="40"/>
        <v>26800</v>
      </c>
      <c r="J64" s="443">
        <f>[10]PERBULAN!W52</f>
        <v>233699</v>
      </c>
      <c r="K64" s="522">
        <f t="shared" si="41"/>
        <v>0</v>
      </c>
      <c r="L64" s="525">
        <v>972280226305000</v>
      </c>
      <c r="M64" s="521" t="str">
        <f t="shared" si="37"/>
        <v>MINARNI</v>
      </c>
      <c r="N64" s="524" t="s">
        <v>120</v>
      </c>
      <c r="O64" s="375" t="s">
        <v>143</v>
      </c>
    </row>
    <row r="65" spans="1:15" hidden="1">
      <c r="A65" s="490">
        <v>6</v>
      </c>
      <c r="B65" s="398" t="str">
        <f>[10]PERBULAN!B11</f>
        <v>SUPRIADI</v>
      </c>
      <c r="C65" s="398" t="str">
        <f>[10]PERBULAN!C11</f>
        <v>L</v>
      </c>
      <c r="D65" s="398" t="str">
        <f>[10]PERBULAN!D11</f>
        <v>K/2</v>
      </c>
      <c r="E65" s="398">
        <f>[10]PERBULAN!E11</f>
        <v>9</v>
      </c>
      <c r="F65" s="443">
        <f>S116</f>
        <v>13943479.599999994</v>
      </c>
      <c r="G65" s="443">
        <f t="shared" si="38"/>
        <v>13943000</v>
      </c>
      <c r="H65" s="443">
        <f t="shared" si="39"/>
        <v>697150</v>
      </c>
      <c r="I65" s="443">
        <f t="shared" si="40"/>
        <v>697150</v>
      </c>
      <c r="J65" s="443">
        <f>[10]PERBULAN!W53</f>
        <v>78760</v>
      </c>
      <c r="K65" s="522">
        <f t="shared" si="41"/>
        <v>618390</v>
      </c>
      <c r="L65" s="525">
        <v>972283014305000</v>
      </c>
      <c r="M65" s="521" t="str">
        <f t="shared" si="37"/>
        <v>SUPRIADI</v>
      </c>
      <c r="N65" s="524" t="s">
        <v>121</v>
      </c>
      <c r="O65" s="375" t="s">
        <v>144</v>
      </c>
    </row>
    <row r="66" spans="1:15" hidden="1">
      <c r="A66" s="490">
        <v>7</v>
      </c>
      <c r="B66" s="398" t="str">
        <f>[10]PERBULAN!B12</f>
        <v>HARIAH</v>
      </c>
      <c r="C66" s="398" t="str">
        <f>[10]PERBULAN!C12</f>
        <v>P</v>
      </c>
      <c r="D66" s="398" t="str">
        <f>[10]PERBULAN!D12</f>
        <v>TK/0</v>
      </c>
      <c r="E66" s="398">
        <f>[10]PERBULAN!E12</f>
        <v>9</v>
      </c>
      <c r="F66" s="443">
        <f t="shared" ref="F66:F72" si="42">S11</f>
        <v>2685528.3999999985</v>
      </c>
      <c r="G66" s="443">
        <f t="shared" si="38"/>
        <v>2685000</v>
      </c>
      <c r="H66" s="443">
        <f t="shared" si="39"/>
        <v>134250</v>
      </c>
      <c r="I66" s="443">
        <f t="shared" si="40"/>
        <v>134250</v>
      </c>
      <c r="J66" s="443">
        <f>[10]PERBULAN!W54</f>
        <v>779732</v>
      </c>
      <c r="K66" s="522">
        <f t="shared" si="41"/>
        <v>0</v>
      </c>
      <c r="L66" s="527">
        <v>972283048305000</v>
      </c>
      <c r="M66" s="521" t="str">
        <f t="shared" si="37"/>
        <v>HARIAH</v>
      </c>
      <c r="N66" s="524" t="s">
        <v>122</v>
      </c>
      <c r="O66" s="375" t="s">
        <v>145</v>
      </c>
    </row>
    <row r="67" spans="1:15" hidden="1">
      <c r="A67" s="490">
        <v>8</v>
      </c>
      <c r="B67" s="398" t="str">
        <f>[10]PERBULAN!B13</f>
        <v>YUSMARDIAN</v>
      </c>
      <c r="C67" s="398" t="str">
        <f>[10]PERBULAN!C13</f>
        <v>L</v>
      </c>
      <c r="D67" s="398" t="str">
        <f>[10]PERBULAN!D13</f>
        <v>K/2</v>
      </c>
      <c r="E67" s="398">
        <f>[10]PERBULAN!E13</f>
        <v>9</v>
      </c>
      <c r="F67" s="443">
        <f t="shared" si="42"/>
        <v>0</v>
      </c>
      <c r="G67" s="443">
        <f t="shared" si="38"/>
        <v>0</v>
      </c>
      <c r="H67" s="443">
        <f>IF(L67="",G67*6%,G67*5%)</f>
        <v>0</v>
      </c>
      <c r="I67" s="443">
        <f t="shared" si="40"/>
        <v>0</v>
      </c>
      <c r="J67" s="443">
        <f>[10]PERBULAN!W55</f>
        <v>83954</v>
      </c>
      <c r="K67" s="522">
        <f t="shared" si="41"/>
        <v>0</v>
      </c>
      <c r="L67" s="525">
        <v>972280150305000</v>
      </c>
      <c r="M67" s="521" t="str">
        <f t="shared" si="37"/>
        <v>YUSMARDIAN</v>
      </c>
      <c r="N67" s="524" t="s">
        <v>123</v>
      </c>
      <c r="O67" s="375" t="s">
        <v>146</v>
      </c>
    </row>
    <row r="68" spans="1:15" hidden="1">
      <c r="A68" s="490">
        <v>9</v>
      </c>
      <c r="B68" s="398" t="str">
        <f>[10]PERBULAN!B14</f>
        <v>YULHANI</v>
      </c>
      <c r="C68" s="398" t="str">
        <f>[10]PERBULAN!C14</f>
        <v>L</v>
      </c>
      <c r="D68" s="398" t="str">
        <f>[10]PERBULAN!D14</f>
        <v>K/0</v>
      </c>
      <c r="E68" s="398">
        <f>[10]PERBULAN!E14</f>
        <v>9</v>
      </c>
      <c r="F68" s="443">
        <f t="shared" si="42"/>
        <v>0</v>
      </c>
      <c r="G68" s="443">
        <f t="shared" si="38"/>
        <v>0</v>
      </c>
      <c r="H68" s="443">
        <f t="shared" si="39"/>
        <v>0</v>
      </c>
      <c r="I68" s="443">
        <f t="shared" si="40"/>
        <v>0</v>
      </c>
      <c r="J68" s="443">
        <f>[10]PERBULAN!W56</f>
        <v>116949</v>
      </c>
      <c r="K68" s="522">
        <f t="shared" si="41"/>
        <v>0</v>
      </c>
      <c r="L68" s="525">
        <v>972285720305000</v>
      </c>
      <c r="M68" s="521" t="str">
        <f t="shared" si="37"/>
        <v>YULHANI</v>
      </c>
      <c r="N68" s="524" t="s">
        <v>126</v>
      </c>
      <c r="O68" s="375" t="s">
        <v>149</v>
      </c>
    </row>
    <row r="69" spans="1:15" hidden="1">
      <c r="A69" s="490">
        <v>10</v>
      </c>
      <c r="B69" s="398" t="str">
        <f>[10]PERBULAN!B15</f>
        <v>HENDRIX</v>
      </c>
      <c r="C69" s="398" t="str">
        <f>[10]PERBULAN!C15</f>
        <v>L</v>
      </c>
      <c r="D69" s="398" t="str">
        <f>[10]PERBULAN!D15</f>
        <v>K/1</v>
      </c>
      <c r="E69" s="398">
        <f>[10]PERBULAN!E15</f>
        <v>9</v>
      </c>
      <c r="F69" s="443">
        <f t="shared" si="42"/>
        <v>0</v>
      </c>
      <c r="G69" s="443">
        <f t="shared" si="38"/>
        <v>0</v>
      </c>
      <c r="H69" s="443">
        <f t="shared" si="39"/>
        <v>0</v>
      </c>
      <c r="I69" s="443">
        <f t="shared" si="40"/>
        <v>0</v>
      </c>
      <c r="J69" s="443">
        <f>[10]PERBULAN!W57</f>
        <v>77873</v>
      </c>
      <c r="K69" s="522">
        <f t="shared" si="41"/>
        <v>0</v>
      </c>
      <c r="L69" s="525">
        <v>743653768305000</v>
      </c>
      <c r="M69" s="521" t="str">
        <f t="shared" si="37"/>
        <v>HENDRIX</v>
      </c>
      <c r="N69" s="528" t="s">
        <v>127</v>
      </c>
      <c r="O69" s="375" t="s">
        <v>150</v>
      </c>
    </row>
    <row r="70" spans="1:15" hidden="1">
      <c r="A70" s="490">
        <v>11</v>
      </c>
      <c r="B70" s="398" t="str">
        <f>[10]PERBULAN!B16</f>
        <v>ARIANTO.B</v>
      </c>
      <c r="C70" s="398" t="str">
        <f>[10]PERBULAN!C16</f>
        <v>L</v>
      </c>
      <c r="D70" s="398" t="str">
        <f>[10]PERBULAN!D16</f>
        <v>K/1</v>
      </c>
      <c r="E70" s="398">
        <f>[10]PERBULAN!E16</f>
        <v>2</v>
      </c>
      <c r="F70" s="443">
        <f t="shared" si="42"/>
        <v>0</v>
      </c>
      <c r="G70" s="443">
        <f t="shared" si="38"/>
        <v>0</v>
      </c>
      <c r="H70" s="443">
        <f t="shared" si="39"/>
        <v>0</v>
      </c>
      <c r="I70" s="443">
        <f t="shared" si="40"/>
        <v>0</v>
      </c>
      <c r="J70" s="443">
        <f>[10]PERBULAN!W58</f>
        <v>0</v>
      </c>
      <c r="K70" s="522">
        <f t="shared" si="41"/>
        <v>0</v>
      </c>
      <c r="L70" s="529">
        <v>972283287305000</v>
      </c>
      <c r="M70" s="521" t="str">
        <f t="shared" si="37"/>
        <v>ARIANTO.B</v>
      </c>
      <c r="N70" s="521" t="s">
        <v>128</v>
      </c>
      <c r="O70" s="375" t="s">
        <v>151</v>
      </c>
    </row>
    <row r="71" spans="1:15" hidden="1">
      <c r="A71" s="490">
        <v>12</v>
      </c>
      <c r="B71" s="398" t="str">
        <f>[10]PERBULAN!B17</f>
        <v>NANDI</v>
      </c>
      <c r="C71" s="398" t="str">
        <f>[10]PERBULAN!C17</f>
        <v>L</v>
      </c>
      <c r="D71" s="398" t="str">
        <f>[10]PERBULAN!D17</f>
        <v>K/1</v>
      </c>
      <c r="E71" s="398">
        <f>[10]PERBULAN!E17</f>
        <v>9</v>
      </c>
      <c r="F71" s="443">
        <f t="shared" si="42"/>
        <v>0</v>
      </c>
      <c r="G71" s="443">
        <f t="shared" si="38"/>
        <v>0</v>
      </c>
      <c r="H71" s="443">
        <f t="shared" si="39"/>
        <v>0</v>
      </c>
      <c r="I71" s="443">
        <f t="shared" si="40"/>
        <v>0</v>
      </c>
      <c r="J71" s="443">
        <f>[10]PERBULAN!W59</f>
        <v>80306</v>
      </c>
      <c r="K71" s="522">
        <f t="shared" si="41"/>
        <v>0</v>
      </c>
      <c r="L71" s="529">
        <v>972282966305000</v>
      </c>
      <c r="M71" s="521" t="str">
        <f t="shared" si="37"/>
        <v>NANDI</v>
      </c>
      <c r="N71" s="521" t="s">
        <v>129</v>
      </c>
      <c r="O71" s="375" t="s">
        <v>152</v>
      </c>
    </row>
    <row r="72" spans="1:15" hidden="1">
      <c r="A72" s="490">
        <v>13</v>
      </c>
      <c r="B72" s="398" t="str">
        <f>[10]PERBULAN!B18</f>
        <v>KAMELIA</v>
      </c>
      <c r="C72" s="398" t="str">
        <f>[10]PERBULAN!C18</f>
        <v>L</v>
      </c>
      <c r="D72" s="398" t="str">
        <f>[10]PERBULAN!D18</f>
        <v>K/0</v>
      </c>
      <c r="E72" s="398">
        <f>[10]PERBULAN!E18</f>
        <v>9</v>
      </c>
      <c r="F72" s="443">
        <f t="shared" si="42"/>
        <v>0</v>
      </c>
      <c r="G72" s="443">
        <f t="shared" si="38"/>
        <v>0</v>
      </c>
      <c r="H72" s="443">
        <f t="shared" si="39"/>
        <v>0</v>
      </c>
      <c r="I72" s="443">
        <f t="shared" si="40"/>
        <v>0</v>
      </c>
      <c r="J72" s="443">
        <f>[10]PERBULAN!W60</f>
        <v>116520</v>
      </c>
      <c r="K72" s="522">
        <f t="shared" si="41"/>
        <v>0</v>
      </c>
      <c r="L72" s="529">
        <v>972280218305000</v>
      </c>
      <c r="M72" s="521" t="str">
        <f t="shared" si="37"/>
        <v>KAMELIA</v>
      </c>
      <c r="N72" s="521" t="s">
        <v>124</v>
      </c>
      <c r="O72" s="375" t="s">
        <v>147</v>
      </c>
    </row>
    <row r="73" spans="1:15" hidden="1">
      <c r="A73" s="490">
        <v>14</v>
      </c>
      <c r="B73" s="398" t="str">
        <f>[10]PERBULAN!B19</f>
        <v>SISWANTO</v>
      </c>
      <c r="C73" s="398" t="str">
        <f>[10]PERBULAN!C19</f>
        <v>L</v>
      </c>
      <c r="D73" s="398" t="str">
        <f>[10]PERBULAN!D19</f>
        <v>K/1</v>
      </c>
      <c r="E73" s="398">
        <f>[10]PERBULAN!E19</f>
        <v>9</v>
      </c>
      <c r="F73" s="443" t="e">
        <f>#REF!</f>
        <v>#REF!</v>
      </c>
      <c r="G73" s="443" t="e">
        <f t="shared" si="38"/>
        <v>#REF!</v>
      </c>
      <c r="H73" s="443" t="e">
        <f t="shared" si="39"/>
        <v>#REF!</v>
      </c>
      <c r="I73" s="443" t="e">
        <f t="shared" si="40"/>
        <v>#REF!</v>
      </c>
      <c r="J73" s="443">
        <f>[10]PERBULAN!W61</f>
        <v>79095</v>
      </c>
      <c r="K73" s="522" t="e">
        <f t="shared" si="41"/>
        <v>#REF!</v>
      </c>
      <c r="L73" s="530">
        <v>972285506305000</v>
      </c>
      <c r="M73" s="521" t="str">
        <f t="shared" si="37"/>
        <v>SISWANTO</v>
      </c>
      <c r="N73" s="521" t="s">
        <v>130</v>
      </c>
      <c r="O73" s="375" t="s">
        <v>153</v>
      </c>
    </row>
    <row r="74" spans="1:15" hidden="1">
      <c r="A74" s="490">
        <v>15</v>
      </c>
      <c r="B74" s="398" t="str">
        <f>[10]PERBULAN!B20</f>
        <v>DARMA JAYA</v>
      </c>
      <c r="C74" s="398" t="str">
        <f>[10]PERBULAN!C20</f>
        <v>L</v>
      </c>
      <c r="D74" s="398" t="str">
        <f>[10]PERBULAN!D20</f>
        <v>K/2</v>
      </c>
      <c r="E74" s="398">
        <f>[10]PERBULAN!E20</f>
        <v>9</v>
      </c>
      <c r="F74" s="443">
        <f t="shared" ref="F74:F86" si="43">S18</f>
        <v>0</v>
      </c>
      <c r="G74" s="443">
        <f t="shared" si="38"/>
        <v>0</v>
      </c>
      <c r="H74" s="443">
        <f t="shared" si="39"/>
        <v>0</v>
      </c>
      <c r="I74" s="443">
        <f t="shared" si="40"/>
        <v>0</v>
      </c>
      <c r="J74" s="443">
        <f>[10]PERBULAN!W62</f>
        <v>562039</v>
      </c>
      <c r="K74" s="522">
        <f t="shared" si="41"/>
        <v>0</v>
      </c>
      <c r="L74" s="529">
        <v>972374425305000</v>
      </c>
      <c r="M74" s="521" t="str">
        <f t="shared" si="37"/>
        <v>DARMA JAYA</v>
      </c>
      <c r="N74" s="521" t="s">
        <v>132</v>
      </c>
      <c r="O74" s="375" t="s">
        <v>155</v>
      </c>
    </row>
    <row r="75" spans="1:15" hidden="1">
      <c r="A75" s="490">
        <v>16</v>
      </c>
      <c r="B75" s="398" t="str">
        <f>[10]PERBULAN!B21</f>
        <v>YUSMARNO</v>
      </c>
      <c r="C75" s="398" t="str">
        <f>[10]PERBULAN!C21</f>
        <v>L</v>
      </c>
      <c r="D75" s="398" t="str">
        <f>[10]PERBULAN!D21</f>
        <v>K/1</v>
      </c>
      <c r="E75" s="398">
        <f>[10]PERBULAN!E21</f>
        <v>9</v>
      </c>
      <c r="F75" s="443">
        <f t="shared" si="43"/>
        <v>2413451.799999997</v>
      </c>
      <c r="G75" s="443">
        <f t="shared" si="38"/>
        <v>2413000</v>
      </c>
      <c r="H75" s="443">
        <f t="shared" si="39"/>
        <v>120650</v>
      </c>
      <c r="I75" s="443">
        <f t="shared" si="40"/>
        <v>120650</v>
      </c>
      <c r="J75" s="443">
        <f>[10]PERBULAN!W63</f>
        <v>78194</v>
      </c>
      <c r="K75" s="522">
        <f t="shared" si="41"/>
        <v>42456</v>
      </c>
      <c r="L75" s="531">
        <v>972285704305000</v>
      </c>
      <c r="M75" s="521" t="str">
        <f t="shared" si="37"/>
        <v>YUSMARNO</v>
      </c>
      <c r="N75" s="521" t="s">
        <v>135</v>
      </c>
      <c r="O75" s="375" t="s">
        <v>157</v>
      </c>
    </row>
    <row r="76" spans="1:15" hidden="1">
      <c r="A76" s="490">
        <v>17</v>
      </c>
      <c r="B76" s="398" t="str">
        <f>[10]PERBULAN!B22</f>
        <v>MEGI EFRISA</v>
      </c>
      <c r="C76" s="398" t="str">
        <f>[10]PERBULAN!C22</f>
        <v>L</v>
      </c>
      <c r="D76" s="398" t="str">
        <f>[10]PERBULAN!D22</f>
        <v>TK/0</v>
      </c>
      <c r="E76" s="398">
        <f>[10]PERBULAN!E22</f>
        <v>9</v>
      </c>
      <c r="F76" s="443">
        <f t="shared" si="43"/>
        <v>0</v>
      </c>
      <c r="G76" s="443">
        <f t="shared" si="38"/>
        <v>0</v>
      </c>
      <c r="H76" s="443">
        <f t="shared" si="39"/>
        <v>0</v>
      </c>
      <c r="I76" s="443">
        <f t="shared" si="40"/>
        <v>0</v>
      </c>
      <c r="J76" s="443">
        <f>[10]PERBULAN!W64</f>
        <v>510688</v>
      </c>
      <c r="K76" s="522">
        <f t="shared" si="41"/>
        <v>0</v>
      </c>
      <c r="L76" s="532" t="s">
        <v>73</v>
      </c>
      <c r="M76" s="521" t="str">
        <f t="shared" si="37"/>
        <v>MEGI EFRISA</v>
      </c>
      <c r="N76" s="521" t="s">
        <v>136</v>
      </c>
      <c r="O76" s="375" t="s">
        <v>158</v>
      </c>
    </row>
    <row r="77" spans="1:15" hidden="1">
      <c r="A77" s="490">
        <v>18</v>
      </c>
      <c r="B77" s="398" t="str">
        <f>[10]PERBULAN!B23</f>
        <v>SURATMAN</v>
      </c>
      <c r="C77" s="398" t="str">
        <f>[10]PERBULAN!C23</f>
        <v>L</v>
      </c>
      <c r="D77" s="398" t="str">
        <f>[10]PERBULAN!D23</f>
        <v>K/0</v>
      </c>
      <c r="E77" s="398">
        <f>[10]PERBULAN!E23</f>
        <v>9</v>
      </c>
      <c r="F77" s="443">
        <f t="shared" si="43"/>
        <v>0</v>
      </c>
      <c r="G77" s="443">
        <f t="shared" si="38"/>
        <v>0</v>
      </c>
      <c r="H77" s="443">
        <f t="shared" si="39"/>
        <v>0</v>
      </c>
      <c r="I77" s="443">
        <f t="shared" si="40"/>
        <v>0</v>
      </c>
      <c r="J77" s="443">
        <f>[10]PERBULAN!W65</f>
        <v>126115</v>
      </c>
      <c r="K77" s="522">
        <f t="shared" si="41"/>
        <v>0</v>
      </c>
      <c r="L77" s="529">
        <v>972285225305000</v>
      </c>
      <c r="M77" s="521" t="str">
        <f t="shared" si="37"/>
        <v>SURATMAN</v>
      </c>
      <c r="N77" s="521" t="s">
        <v>139</v>
      </c>
      <c r="O77" s="375" t="s">
        <v>161</v>
      </c>
    </row>
    <row r="78" spans="1:15" hidden="1">
      <c r="A78" s="490">
        <v>19</v>
      </c>
      <c r="B78" s="398" t="str">
        <f>[10]PERBULAN!B24</f>
        <v>ARDI</v>
      </c>
      <c r="C78" s="398" t="str">
        <f>[10]PERBULAN!C24</f>
        <v>L</v>
      </c>
      <c r="D78" s="398" t="str">
        <f>[10]PERBULAN!D24</f>
        <v>K/2</v>
      </c>
      <c r="E78" s="398">
        <f>[10]PERBULAN!E24</f>
        <v>9</v>
      </c>
      <c r="F78" s="443">
        <f t="shared" si="43"/>
        <v>7885168.75</v>
      </c>
      <c r="G78" s="443">
        <f t="shared" si="38"/>
        <v>7885000</v>
      </c>
      <c r="H78" s="443">
        <f t="shared" si="39"/>
        <v>394250</v>
      </c>
      <c r="I78" s="443">
        <f t="shared" si="40"/>
        <v>394250</v>
      </c>
      <c r="J78" s="443">
        <f>[10]PERBULAN!W66</f>
        <v>734104</v>
      </c>
      <c r="K78" s="522">
        <f t="shared" si="41"/>
        <v>0</v>
      </c>
      <c r="L78" s="529">
        <v>972280259305000</v>
      </c>
      <c r="M78" s="521" t="str">
        <f t="shared" si="37"/>
        <v>ARDI</v>
      </c>
      <c r="N78" s="521" t="s">
        <v>125</v>
      </c>
      <c r="O78" s="375" t="s">
        <v>148</v>
      </c>
    </row>
    <row r="79" spans="1:15" hidden="1">
      <c r="A79" s="490">
        <v>20</v>
      </c>
      <c r="B79" s="398" t="str">
        <f>[10]PERBULAN!B25</f>
        <v xml:space="preserve">EDI </v>
      </c>
      <c r="C79" s="398" t="str">
        <f>[10]PERBULAN!C25</f>
        <v>L</v>
      </c>
      <c r="D79" s="398" t="str">
        <f>[10]PERBULAN!D25</f>
        <v>K/2</v>
      </c>
      <c r="E79" s="398">
        <f>[10]PERBULAN!E25</f>
        <v>9</v>
      </c>
      <c r="F79" s="443">
        <f t="shared" si="43"/>
        <v>0</v>
      </c>
      <c r="G79" s="443">
        <f t="shared" si="38"/>
        <v>0</v>
      </c>
      <c r="H79" s="443">
        <f t="shared" si="39"/>
        <v>0</v>
      </c>
      <c r="I79" s="443">
        <f t="shared" si="40"/>
        <v>0</v>
      </c>
      <c r="J79" s="443">
        <f>[10]PERBULAN!W67</f>
        <v>700287</v>
      </c>
      <c r="K79" s="522">
        <f t="shared" si="41"/>
        <v>0</v>
      </c>
      <c r="L79" s="533">
        <v>972286066305000</v>
      </c>
      <c r="M79" s="521" t="str">
        <f t="shared" si="37"/>
        <v xml:space="preserve">EDI </v>
      </c>
      <c r="N79" s="521" t="s">
        <v>131</v>
      </c>
      <c r="O79" s="375" t="s">
        <v>154</v>
      </c>
    </row>
    <row r="80" spans="1:15" hidden="1">
      <c r="A80" s="490">
        <v>21</v>
      </c>
      <c r="B80" s="398" t="str">
        <f>[10]PERBULAN!B26</f>
        <v>SUDIRMAN</v>
      </c>
      <c r="C80" s="398" t="str">
        <f>[10]PERBULAN!C26</f>
        <v>L</v>
      </c>
      <c r="D80" s="398" t="str">
        <f>[10]PERBULAN!D26</f>
        <v>K/0</v>
      </c>
      <c r="E80" s="398">
        <f>[10]PERBULAN!E26</f>
        <v>9</v>
      </c>
      <c r="F80" s="443">
        <f t="shared" si="43"/>
        <v>0</v>
      </c>
      <c r="G80" s="443">
        <f t="shared" si="38"/>
        <v>0</v>
      </c>
      <c r="H80" s="443">
        <f t="shared" si="39"/>
        <v>0</v>
      </c>
      <c r="I80" s="443">
        <f t="shared" si="40"/>
        <v>0</v>
      </c>
      <c r="J80" s="443">
        <f>[10]PERBULAN!W68</f>
        <v>1201718</v>
      </c>
      <c r="K80" s="522">
        <f t="shared" si="41"/>
        <v>0</v>
      </c>
      <c r="L80" s="533">
        <v>743653420305000</v>
      </c>
      <c r="M80" s="521" t="str">
        <f t="shared" si="37"/>
        <v>SUDIRMAN</v>
      </c>
      <c r="N80" s="521" t="s">
        <v>133</v>
      </c>
      <c r="O80" s="375" t="s">
        <v>156</v>
      </c>
    </row>
    <row r="81" spans="1:20" hidden="1">
      <c r="A81" s="490">
        <v>22</v>
      </c>
      <c r="B81" s="398" t="str">
        <f>[10]PERBULAN!B27</f>
        <v>APRIYADI</v>
      </c>
      <c r="C81" s="398" t="str">
        <f>[10]PERBULAN!C27</f>
        <v>L</v>
      </c>
      <c r="D81" s="398" t="str">
        <f>[10]PERBULAN!D27</f>
        <v>K/1</v>
      </c>
      <c r="E81" s="398">
        <f>[10]PERBULAN!E27</f>
        <v>9</v>
      </c>
      <c r="F81" s="443">
        <f t="shared" si="43"/>
        <v>0</v>
      </c>
      <c r="G81" s="443">
        <f t="shared" si="38"/>
        <v>0</v>
      </c>
      <c r="H81" s="443">
        <f t="shared" si="39"/>
        <v>0</v>
      </c>
      <c r="I81" s="443">
        <f t="shared" si="40"/>
        <v>0</v>
      </c>
      <c r="J81" s="443">
        <f>[10]PERBULAN!W69</f>
        <v>262627</v>
      </c>
      <c r="K81" s="522">
        <f t="shared" si="41"/>
        <v>0</v>
      </c>
      <c r="L81" s="533">
        <v>972285597305000</v>
      </c>
      <c r="M81" s="521" t="str">
        <f t="shared" si="37"/>
        <v>APRIYADI</v>
      </c>
      <c r="N81" s="375" t="s">
        <v>134</v>
      </c>
      <c r="O81" s="375" t="s">
        <v>149</v>
      </c>
    </row>
    <row r="82" spans="1:20" hidden="1">
      <c r="A82" s="490">
        <v>23</v>
      </c>
      <c r="B82" s="398" t="str">
        <f>[10]PERBULAN!B28</f>
        <v>MAHADI</v>
      </c>
      <c r="C82" s="398" t="str">
        <f>[10]PERBULAN!C28</f>
        <v>L</v>
      </c>
      <c r="D82" s="398" t="str">
        <f>[10]PERBULAN!D28</f>
        <v>K/1</v>
      </c>
      <c r="E82" s="398">
        <f>[10]PERBULAN!E28</f>
        <v>9</v>
      </c>
      <c r="F82" s="443">
        <f t="shared" si="43"/>
        <v>0</v>
      </c>
      <c r="G82" s="443">
        <f t="shared" si="38"/>
        <v>0</v>
      </c>
      <c r="H82" s="443">
        <f>IF(L82="",G82*6%,G82*5%)</f>
        <v>0</v>
      </c>
      <c r="I82" s="443">
        <f t="shared" si="40"/>
        <v>0</v>
      </c>
      <c r="J82" s="443">
        <f>[10]PERBULAN!W70</f>
        <v>941142</v>
      </c>
      <c r="K82" s="522">
        <f t="shared" si="41"/>
        <v>0</v>
      </c>
      <c r="L82" s="533">
        <v>972280192305000</v>
      </c>
      <c r="M82" s="521" t="str">
        <f t="shared" si="37"/>
        <v>MAHADI</v>
      </c>
      <c r="N82" s="375" t="s">
        <v>137</v>
      </c>
      <c r="O82" s="375" t="s">
        <v>159</v>
      </c>
    </row>
    <row r="83" spans="1:20" hidden="1">
      <c r="A83" s="490">
        <v>24</v>
      </c>
      <c r="B83" s="398" t="str">
        <f>[10]PERBULAN!B29</f>
        <v>SISWANTO</v>
      </c>
      <c r="C83" s="398" t="str">
        <f>[10]PERBULAN!C29</f>
        <v>L</v>
      </c>
      <c r="D83" s="398" t="str">
        <f>[10]PERBULAN!D29</f>
        <v>K/1</v>
      </c>
      <c r="E83" s="398">
        <f>[10]PERBULAN!E29</f>
        <v>9</v>
      </c>
      <c r="F83" s="443">
        <f t="shared" si="43"/>
        <v>0</v>
      </c>
      <c r="G83" s="443">
        <f t="shared" si="38"/>
        <v>0</v>
      </c>
      <c r="H83" s="443">
        <f t="shared" ref="H83:H86" si="44">IF(L83="",G83*6%,G83*5%)</f>
        <v>0</v>
      </c>
      <c r="I83" s="443">
        <f t="shared" si="40"/>
        <v>0</v>
      </c>
      <c r="J83" s="443">
        <f>[10]PERBULAN!W71</f>
        <v>587160</v>
      </c>
      <c r="K83" s="522">
        <f t="shared" si="41"/>
        <v>0</v>
      </c>
      <c r="L83" s="533">
        <v>972283733305000</v>
      </c>
      <c r="M83" s="521" t="str">
        <f t="shared" si="37"/>
        <v>SISWANTO</v>
      </c>
      <c r="N83" s="375" t="s">
        <v>138</v>
      </c>
      <c r="O83" s="375" t="s">
        <v>160</v>
      </c>
    </row>
    <row r="84" spans="1:20" hidden="1">
      <c r="A84" s="490">
        <v>25</v>
      </c>
      <c r="B84" s="398" t="str">
        <f>[10]PERBULAN!B30</f>
        <v>ANTON GIANTO NUGROHO</v>
      </c>
      <c r="C84" s="398" t="str">
        <f>[10]PERBULAN!C30</f>
        <v>L</v>
      </c>
      <c r="D84" s="398" t="str">
        <f>[10]PERBULAN!D30</f>
        <v>K/0</v>
      </c>
      <c r="E84" s="398">
        <f>[10]PERBULAN!E30</f>
        <v>9</v>
      </c>
      <c r="F84" s="443">
        <f t="shared" si="43"/>
        <v>0</v>
      </c>
      <c r="G84" s="443">
        <f t="shared" si="38"/>
        <v>0</v>
      </c>
      <c r="H84" s="443">
        <f t="shared" si="44"/>
        <v>0</v>
      </c>
      <c r="I84" s="443">
        <f t="shared" si="40"/>
        <v>0</v>
      </c>
      <c r="J84" s="443">
        <f>[10]PERBULAN!W72</f>
        <v>117262</v>
      </c>
      <c r="K84" s="522">
        <f t="shared" si="41"/>
        <v>0</v>
      </c>
      <c r="L84" s="534" t="s">
        <v>73</v>
      </c>
      <c r="M84" s="521" t="str">
        <f t="shared" si="37"/>
        <v>ANTON GIANTO NUGROHO</v>
      </c>
      <c r="N84" s="375" t="s">
        <v>196</v>
      </c>
      <c r="O84" s="375" t="s">
        <v>300</v>
      </c>
    </row>
    <row r="85" spans="1:20" hidden="1">
      <c r="A85" s="490">
        <v>26</v>
      </c>
      <c r="B85" s="398" t="str">
        <f>[10]PERBULAN!B31</f>
        <v>SARTONO</v>
      </c>
      <c r="C85" s="398" t="str">
        <f>[10]PERBULAN!C31</f>
        <v>L</v>
      </c>
      <c r="D85" s="398" t="str">
        <f>[10]PERBULAN!D31</f>
        <v>K/1</v>
      </c>
      <c r="E85" s="398">
        <f>[10]PERBULAN!E31</f>
        <v>9</v>
      </c>
      <c r="F85" s="443">
        <f t="shared" si="43"/>
        <v>0</v>
      </c>
      <c r="G85" s="443">
        <f t="shared" si="38"/>
        <v>0</v>
      </c>
      <c r="H85" s="443">
        <f t="shared" si="44"/>
        <v>0</v>
      </c>
      <c r="I85" s="443">
        <f t="shared" si="40"/>
        <v>0</v>
      </c>
      <c r="J85" s="443">
        <f>[10]PERBULAN!W73</f>
        <v>80914</v>
      </c>
      <c r="K85" s="522">
        <f t="shared" si="41"/>
        <v>0</v>
      </c>
      <c r="L85" s="535" t="s">
        <v>195</v>
      </c>
      <c r="M85" s="521" t="str">
        <f t="shared" si="37"/>
        <v>SARTONO</v>
      </c>
      <c r="N85" s="375" t="s">
        <v>197</v>
      </c>
      <c r="O85" s="375" t="s">
        <v>301</v>
      </c>
    </row>
    <row r="86" spans="1:20" ht="15.75" hidden="1" thickBot="1">
      <c r="A86" s="490">
        <v>27</v>
      </c>
      <c r="B86" s="398">
        <f>[10]PERBULAN!B32</f>
        <v>0</v>
      </c>
      <c r="C86" s="398">
        <f>[10]PERBULAN!C32</f>
        <v>0</v>
      </c>
      <c r="D86" s="398">
        <f>[10]PERBULAN!D32</f>
        <v>0</v>
      </c>
      <c r="E86" s="398">
        <f>[10]PERBULAN!E32</f>
        <v>0</v>
      </c>
      <c r="F86" s="443">
        <f t="shared" si="43"/>
        <v>0</v>
      </c>
      <c r="G86" s="443">
        <f t="shared" si="38"/>
        <v>0</v>
      </c>
      <c r="H86" s="443">
        <f t="shared" si="44"/>
        <v>0</v>
      </c>
      <c r="I86" s="443">
        <f t="shared" si="40"/>
        <v>0</v>
      </c>
      <c r="J86" s="443">
        <f>[10]PERBULAN!W74</f>
        <v>0</v>
      </c>
      <c r="K86" s="522">
        <f t="shared" si="41"/>
        <v>0</v>
      </c>
      <c r="L86" s="536"/>
      <c r="M86" s="492"/>
    </row>
    <row r="87" spans="1:20" ht="15.75" hidden="1" thickBot="1">
      <c r="A87" s="537"/>
      <c r="B87" s="538" t="s">
        <v>249</v>
      </c>
      <c r="C87" s="539"/>
      <c r="D87" s="539"/>
      <c r="E87" s="540">
        <f>SUM(E60:E86)</f>
        <v>227</v>
      </c>
      <c r="F87" s="540" t="e">
        <f t="shared" ref="F87:K87" si="45">SUM(F60:F86)</f>
        <v>#REF!</v>
      </c>
      <c r="G87" s="540" t="e">
        <f t="shared" si="45"/>
        <v>#REF!</v>
      </c>
      <c r="H87" s="540" t="e">
        <f t="shared" si="45"/>
        <v>#REF!</v>
      </c>
      <c r="I87" s="540" t="e">
        <f t="shared" si="45"/>
        <v>#REF!</v>
      </c>
      <c r="J87" s="540">
        <f t="shared" si="45"/>
        <v>8587639</v>
      </c>
      <c r="K87" s="540" t="e">
        <f t="shared" si="45"/>
        <v>#REF!</v>
      </c>
      <c r="L87" s="541"/>
      <c r="M87" s="542"/>
      <c r="N87" s="542"/>
      <c r="O87" s="542"/>
    </row>
    <row r="88" spans="1:20" hidden="1">
      <c r="A88" s="542"/>
      <c r="B88" s="543"/>
      <c r="C88" s="542"/>
      <c r="D88" s="542"/>
      <c r="E88" s="542"/>
      <c r="F88" s="544"/>
      <c r="G88" s="544"/>
      <c r="H88" s="544"/>
      <c r="I88" s="544"/>
      <c r="J88" s="544">
        <f>[10]PERBULAN!W75</f>
        <v>8587639</v>
      </c>
      <c r="K88" s="544"/>
      <c r="L88" s="544"/>
      <c r="M88" s="542"/>
      <c r="N88" s="542"/>
      <c r="O88" s="542"/>
    </row>
    <row r="89" spans="1:20" hidden="1">
      <c r="A89" s="542"/>
      <c r="B89" s="543"/>
      <c r="C89" s="542"/>
      <c r="D89" s="542"/>
      <c r="E89" s="542"/>
      <c r="F89" s="544"/>
      <c r="G89" s="544"/>
      <c r="H89" s="544"/>
      <c r="I89" s="544"/>
      <c r="J89" s="544"/>
      <c r="K89" s="544"/>
      <c r="L89" s="544"/>
      <c r="M89" s="542"/>
      <c r="N89" s="542"/>
      <c r="O89" s="542"/>
    </row>
    <row r="90" spans="1:20" hidden="1">
      <c r="A90" s="542"/>
      <c r="B90" s="543"/>
      <c r="C90" s="542"/>
      <c r="D90" s="542"/>
      <c r="E90" s="542"/>
      <c r="F90" s="544"/>
      <c r="G90" s="544"/>
      <c r="H90" s="544"/>
      <c r="I90" s="544"/>
      <c r="J90" s="544"/>
      <c r="K90" s="544"/>
      <c r="L90" s="542"/>
    </row>
    <row r="91" spans="1:20" hidden="1">
      <c r="A91" s="490">
        <v>49</v>
      </c>
      <c r="B91" s="398" t="s">
        <v>302</v>
      </c>
      <c r="C91" s="399" t="e">
        <f>#REF!</f>
        <v>#REF!</v>
      </c>
      <c r="D91" s="399" t="e">
        <f>#REF!</f>
        <v>#REF!</v>
      </c>
      <c r="E91" s="399" t="e">
        <f>#REF!</f>
        <v>#REF!</v>
      </c>
      <c r="F91" s="443" t="e">
        <f>#REF!</f>
        <v>#REF!</v>
      </c>
      <c r="G91" s="443" t="e">
        <f>ROUNDDOWN(F91,-3)</f>
        <v>#REF!</v>
      </c>
      <c r="H91" s="443" t="e">
        <f>IF(L91="",G91*6%,G91*5%)</f>
        <v>#REF!</v>
      </c>
      <c r="I91" s="443" t="e">
        <f>H91/12*9</f>
        <v>#REF!</v>
      </c>
      <c r="J91" s="443" t="e">
        <f>[10]PERBULAN!#REF!</f>
        <v>#REF!</v>
      </c>
      <c r="K91" s="443" t="e">
        <f>IF(I91&lt;=J91,0,IF(I91&gt;J91,I91-J91))</f>
        <v>#REF!</v>
      </c>
      <c r="L91" s="545"/>
      <c r="M91" s="546"/>
      <c r="N91" s="547"/>
      <c r="O91" s="548"/>
      <c r="P91" s="549"/>
      <c r="Q91" s="550"/>
      <c r="R91" s="550"/>
      <c r="S91" s="551"/>
      <c r="T91" s="513"/>
    </row>
    <row r="92" spans="1:20" hidden="1">
      <c r="A92" s="490">
        <v>50</v>
      </c>
      <c r="B92" s="398" t="s">
        <v>303</v>
      </c>
      <c r="C92" s="399" t="e">
        <f>#REF!</f>
        <v>#REF!</v>
      </c>
      <c r="D92" s="399" t="e">
        <f>#REF!</f>
        <v>#REF!</v>
      </c>
      <c r="E92" s="399" t="e">
        <f>#REF!</f>
        <v>#REF!</v>
      </c>
      <c r="F92" s="443" t="e">
        <f>#REF!</f>
        <v>#REF!</v>
      </c>
      <c r="G92" s="443" t="e">
        <f>ROUNDDOWN(F92,-3)</f>
        <v>#REF!</v>
      </c>
      <c r="H92" s="443" t="e">
        <f>IF(L92="",G92*6%,G92*5%)</f>
        <v>#REF!</v>
      </c>
      <c r="I92" s="443" t="e">
        <f>H92/12*9</f>
        <v>#REF!</v>
      </c>
      <c r="J92" s="443" t="e">
        <f>[10]PERBULAN!#REF!</f>
        <v>#REF!</v>
      </c>
      <c r="K92" s="443" t="e">
        <f>IF(I92&lt;=J92,0,IF(I92&gt;J92,I92-J92))</f>
        <v>#REF!</v>
      </c>
      <c r="L92" s="545"/>
      <c r="M92" s="546"/>
      <c r="N92" s="547"/>
      <c r="O92" s="548"/>
      <c r="P92" s="549"/>
      <c r="Q92" s="550"/>
      <c r="R92" s="550"/>
      <c r="S92" s="551"/>
      <c r="T92" s="513"/>
    </row>
    <row r="93" spans="1:20" hidden="1">
      <c r="A93" s="490">
        <v>53</v>
      </c>
      <c r="B93" s="398" t="s">
        <v>304</v>
      </c>
      <c r="C93" s="399" t="e">
        <f>#REF!</f>
        <v>#REF!</v>
      </c>
      <c r="D93" s="399" t="e">
        <f>#REF!</f>
        <v>#REF!</v>
      </c>
      <c r="E93" s="399" t="e">
        <f>#REF!</f>
        <v>#REF!</v>
      </c>
      <c r="F93" s="443" t="e">
        <f>#REF!</f>
        <v>#REF!</v>
      </c>
      <c r="G93" s="443" t="e">
        <f>ROUNDDOWN(F93,-3)</f>
        <v>#REF!</v>
      </c>
      <c r="H93" s="443" t="e">
        <f>IF(L93="",G93*6%,G93*5%)</f>
        <v>#REF!</v>
      </c>
      <c r="I93" s="443" t="e">
        <f>H93/12*9</f>
        <v>#REF!</v>
      </c>
      <c r="J93" s="443" t="e">
        <f>[10]PERBULAN!#REF!</f>
        <v>#REF!</v>
      </c>
      <c r="K93" s="443" t="e">
        <f>IF(I93&lt;=J93,0,IF(I93&gt;J93,I93-J93))</f>
        <v>#REF!</v>
      </c>
      <c r="L93" s="545"/>
      <c r="M93" s="546"/>
      <c r="N93" s="547"/>
      <c r="O93" s="548"/>
      <c r="P93" s="552"/>
      <c r="Q93" s="553"/>
      <c r="R93" s="553"/>
      <c r="S93" s="554"/>
      <c r="T93" s="555"/>
    </row>
    <row r="94" spans="1:20" hidden="1">
      <c r="A94" s="490">
        <v>68</v>
      </c>
      <c r="B94" s="408" t="s">
        <v>305</v>
      </c>
      <c r="C94" s="399" t="e">
        <f>#REF!</f>
        <v>#REF!</v>
      </c>
      <c r="D94" s="399" t="e">
        <f>#REF!</f>
        <v>#REF!</v>
      </c>
      <c r="E94" s="399" t="e">
        <f>#REF!</f>
        <v>#REF!</v>
      </c>
      <c r="F94" s="443" t="e">
        <f>#REF!</f>
        <v>#REF!</v>
      </c>
      <c r="G94" s="443" t="e">
        <f>ROUNDDOWN(F94,-3)</f>
        <v>#REF!</v>
      </c>
      <c r="H94" s="443" t="e">
        <f>IF(L94="",G94*6%,G94*5%)</f>
        <v>#REF!</v>
      </c>
      <c r="I94" s="443" t="e">
        <f>H94/12*9</f>
        <v>#REF!</v>
      </c>
      <c r="J94" s="443" t="e">
        <f>[10]PERBULAN!#REF!</f>
        <v>#REF!</v>
      </c>
      <c r="K94" s="443" t="e">
        <f>IF(I94&lt;=J94,0,IF(I94&gt;J94,I94-J94))</f>
        <v>#REF!</v>
      </c>
      <c r="L94" s="545"/>
      <c r="M94" s="546"/>
      <c r="N94" s="547"/>
      <c r="O94" s="548"/>
      <c r="P94" s="549"/>
      <c r="Q94" s="550"/>
      <c r="R94" s="550"/>
      <c r="S94" s="551"/>
      <c r="T94" s="513"/>
    </row>
    <row r="95" spans="1:20" hidden="1">
      <c r="A95" s="556"/>
      <c r="B95" s="499"/>
      <c r="C95" s="557"/>
      <c r="D95" s="557"/>
      <c r="E95" s="557"/>
      <c r="F95" s="459"/>
      <c r="G95" s="459"/>
      <c r="H95" s="459"/>
      <c r="I95" s="459"/>
      <c r="J95" s="459"/>
      <c r="K95" s="459"/>
      <c r="L95" s="558"/>
      <c r="M95" s="559"/>
      <c r="N95" s="560"/>
      <c r="O95" s="560"/>
      <c r="P95" s="549"/>
      <c r="Q95" s="550"/>
      <c r="R95" s="550"/>
      <c r="S95" s="551"/>
      <c r="T95" s="513"/>
    </row>
    <row r="96" spans="1:20" hidden="1">
      <c r="A96" s="556"/>
      <c r="B96" s="499"/>
      <c r="C96" s="557"/>
      <c r="D96" s="557"/>
      <c r="E96" s="557"/>
      <c r="F96" s="459"/>
      <c r="G96" s="459"/>
      <c r="H96" s="459"/>
      <c r="I96" s="459"/>
      <c r="J96" s="459"/>
      <c r="K96" s="459"/>
      <c r="L96" s="558"/>
      <c r="M96" s="559"/>
      <c r="N96" s="560"/>
      <c r="O96" s="560"/>
      <c r="P96" s="549"/>
      <c r="Q96" s="550"/>
      <c r="R96" s="550"/>
      <c r="S96" s="551"/>
      <c r="T96" s="513"/>
    </row>
    <row r="97" spans="1:20" hidden="1">
      <c r="A97" s="556"/>
      <c r="B97" s="499"/>
      <c r="C97" s="557"/>
      <c r="D97" s="557"/>
      <c r="E97" s="557"/>
      <c r="F97" s="459"/>
      <c r="G97" s="459"/>
      <c r="H97" s="459"/>
      <c r="I97" s="459"/>
      <c r="J97" s="459"/>
      <c r="K97" s="459"/>
      <c r="L97" s="558"/>
      <c r="M97" s="559"/>
      <c r="N97" s="560"/>
      <c r="O97" s="560"/>
      <c r="P97" s="549"/>
      <c r="Q97" s="550"/>
      <c r="R97" s="550"/>
      <c r="S97" s="551"/>
      <c r="T97" s="513"/>
    </row>
    <row r="98" spans="1:20" hidden="1">
      <c r="A98" s="768" t="s">
        <v>167</v>
      </c>
      <c r="B98" s="768"/>
      <c r="C98" s="768" t="s">
        <v>306</v>
      </c>
      <c r="D98" s="768"/>
      <c r="E98" s="768"/>
      <c r="F98" s="768"/>
      <c r="G98" s="768" t="s">
        <v>307</v>
      </c>
      <c r="H98" s="768"/>
      <c r="I98" s="768"/>
      <c r="J98" s="768"/>
      <c r="K98" s="768"/>
      <c r="L98" s="768"/>
      <c r="M98" s="585"/>
    </row>
    <row r="99" spans="1:20" hidden="1">
      <c r="A99" s="561"/>
      <c r="B99" s="562"/>
      <c r="C99" s="563"/>
      <c r="D99" s="542"/>
      <c r="E99" s="562"/>
      <c r="F99" s="562"/>
      <c r="G99" s="562"/>
      <c r="H99" s="561"/>
      <c r="I99" s="562"/>
      <c r="J99" s="562"/>
      <c r="K99" s="563"/>
      <c r="L99" s="562"/>
      <c r="M99" s="562"/>
    </row>
    <row r="100" spans="1:20" hidden="1">
      <c r="A100" s="561"/>
      <c r="B100" s="562"/>
      <c r="C100" s="562"/>
      <c r="D100" s="542"/>
      <c r="E100" s="562"/>
      <c r="F100" s="562"/>
      <c r="G100" s="562"/>
      <c r="H100" s="562"/>
      <c r="I100" s="564"/>
      <c r="J100" s="562"/>
      <c r="K100" s="562"/>
      <c r="L100" s="561"/>
      <c r="M100" s="562"/>
    </row>
    <row r="101" spans="1:20" hidden="1">
      <c r="A101" s="769" t="s">
        <v>98</v>
      </c>
      <c r="B101" s="769"/>
      <c r="C101" s="769" t="s">
        <v>308</v>
      </c>
      <c r="D101" s="769"/>
      <c r="E101" s="769"/>
      <c r="F101" s="769"/>
      <c r="G101" s="769" t="s">
        <v>309</v>
      </c>
      <c r="H101" s="769"/>
      <c r="I101" s="769"/>
      <c r="J101" s="769"/>
      <c r="K101" s="769"/>
      <c r="L101" s="769"/>
      <c r="M101" s="586"/>
    </row>
    <row r="102" spans="1:20" hidden="1">
      <c r="A102" s="768" t="s">
        <v>310</v>
      </c>
      <c r="B102" s="768"/>
      <c r="C102" s="768" t="s">
        <v>171</v>
      </c>
      <c r="D102" s="768"/>
      <c r="E102" s="768"/>
      <c r="F102" s="768"/>
      <c r="G102" s="768" t="s">
        <v>311</v>
      </c>
      <c r="H102" s="768"/>
      <c r="I102" s="768"/>
      <c r="J102" s="768"/>
      <c r="K102" s="768"/>
      <c r="L102" s="768"/>
      <c r="M102" s="585"/>
    </row>
    <row r="103" spans="1:20" hidden="1">
      <c r="A103" s="542"/>
      <c r="B103" s="543"/>
      <c r="C103" s="542"/>
      <c r="D103" s="542"/>
      <c r="E103" s="542"/>
      <c r="F103" s="544"/>
      <c r="G103" s="544"/>
      <c r="H103" s="544"/>
      <c r="I103" s="544"/>
      <c r="J103" s="544"/>
      <c r="K103" s="544"/>
      <c r="L103" s="542"/>
    </row>
    <row r="104" spans="1:20" hidden="1">
      <c r="A104" s="542"/>
      <c r="B104" s="543"/>
      <c r="C104" s="542"/>
      <c r="D104" s="542"/>
      <c r="E104" s="542"/>
      <c r="F104" s="544"/>
      <c r="G104" s="544"/>
      <c r="H104" s="544"/>
      <c r="I104" s="544"/>
      <c r="J104" s="544"/>
      <c r="K104" s="544"/>
      <c r="L104" s="542"/>
    </row>
    <row r="105" spans="1:20" hidden="1">
      <c r="A105" s="490">
        <v>3</v>
      </c>
      <c r="B105" s="398" t="str">
        <f>[10]PERBULAN!B35</f>
        <v>ROSADI</v>
      </c>
      <c r="C105" s="398" t="str">
        <f>[10]PERBULAN!C35</f>
        <v>L</v>
      </c>
      <c r="D105" s="398" t="str">
        <f>[10]PERBULAN!D35</f>
        <v>K1</v>
      </c>
      <c r="E105" s="398">
        <f>[10]PERBULAN!E35</f>
        <v>3</v>
      </c>
      <c r="F105" s="443" t="e">
        <f t="shared" ref="F105:F111" si="46">S42</f>
        <v>#REF!</v>
      </c>
      <c r="G105" s="443" t="e">
        <f t="shared" ref="G105:G111" si="47">ROUNDDOWN(F105,-3)</f>
        <v>#REF!</v>
      </c>
      <c r="H105" s="443" t="e">
        <f t="shared" ref="H105:H111" si="48">IF(L105="",G105*6%,G105*5%)</f>
        <v>#REF!</v>
      </c>
      <c r="I105" s="443" t="e">
        <f t="shared" ref="I105:I111" si="49">H105</f>
        <v>#REF!</v>
      </c>
      <c r="J105" s="443" t="e">
        <f>[10]PERBULAN!#REF!</f>
        <v>#REF!</v>
      </c>
      <c r="K105" s="522" t="e">
        <f t="shared" ref="K105:K111" si="50">IF(I105&lt;=J105,0,IF(I105&gt;J105,I105-J105))</f>
        <v>#REF!</v>
      </c>
      <c r="L105" s="565" t="s">
        <v>312</v>
      </c>
      <c r="M105" s="524" t="s">
        <v>258</v>
      </c>
      <c r="N105" s="524" t="s">
        <v>313</v>
      </c>
      <c r="O105" s="375" t="s">
        <v>314</v>
      </c>
    </row>
    <row r="106" spans="1:20" hidden="1">
      <c r="A106" s="490">
        <v>4</v>
      </c>
      <c r="B106" s="398" t="str">
        <f>[10]PERBULAN!B39</f>
        <v>SAINA</v>
      </c>
      <c r="C106" s="398" t="str">
        <f>[10]PERBULAN!C39</f>
        <v>P</v>
      </c>
      <c r="D106" s="398" t="str">
        <f>[10]PERBULAN!D39</f>
        <v>TK</v>
      </c>
      <c r="E106" s="398">
        <f>[10]PERBULAN!E39</f>
        <v>3</v>
      </c>
      <c r="F106" s="443" t="e">
        <f t="shared" si="46"/>
        <v>#REF!</v>
      </c>
      <c r="G106" s="443" t="e">
        <f t="shared" si="47"/>
        <v>#REF!</v>
      </c>
      <c r="H106" s="443" t="e">
        <f t="shared" si="48"/>
        <v>#REF!</v>
      </c>
      <c r="I106" s="443" t="e">
        <f t="shared" si="49"/>
        <v>#REF!</v>
      </c>
      <c r="J106" s="443" t="e">
        <f>[10]PERBULAN!#REF!</f>
        <v>#REF!</v>
      </c>
      <c r="K106" s="522" t="e">
        <f t="shared" si="50"/>
        <v>#REF!</v>
      </c>
      <c r="L106" s="566" t="s">
        <v>315</v>
      </c>
      <c r="M106" s="524" t="s">
        <v>316</v>
      </c>
      <c r="N106" s="524" t="s">
        <v>317</v>
      </c>
      <c r="O106" s="375" t="s">
        <v>314</v>
      </c>
    </row>
    <row r="107" spans="1:20" hidden="1">
      <c r="A107" s="490">
        <v>5</v>
      </c>
      <c r="B107" s="398" t="str">
        <f>[10]PERBULAN!B36</f>
        <v>FEBRIANSYAH</v>
      </c>
      <c r="C107" s="398" t="str">
        <f>[10]PERBULAN!C36</f>
        <v>L</v>
      </c>
      <c r="D107" s="398" t="str">
        <f>[10]PERBULAN!D36</f>
        <v>K2</v>
      </c>
      <c r="E107" s="398">
        <f>[10]PERBULAN!E36</f>
        <v>3</v>
      </c>
      <c r="F107" s="443" t="e">
        <f t="shared" si="46"/>
        <v>#REF!</v>
      </c>
      <c r="G107" s="443" t="e">
        <f t="shared" si="47"/>
        <v>#REF!</v>
      </c>
      <c r="H107" s="443" t="e">
        <f t="shared" si="48"/>
        <v>#REF!</v>
      </c>
      <c r="I107" s="443" t="e">
        <f t="shared" si="49"/>
        <v>#REF!</v>
      </c>
      <c r="J107" s="443" t="e">
        <f>[10]PERBULAN!#REF!</f>
        <v>#REF!</v>
      </c>
      <c r="K107" s="522" t="e">
        <f t="shared" si="50"/>
        <v>#REF!</v>
      </c>
      <c r="L107" s="397" t="s">
        <v>318</v>
      </c>
      <c r="M107" s="524" t="s">
        <v>260</v>
      </c>
      <c r="N107" s="524" t="s">
        <v>319</v>
      </c>
      <c r="O107" s="375" t="s">
        <v>320</v>
      </c>
    </row>
    <row r="108" spans="1:20" hidden="1">
      <c r="A108" s="490">
        <v>14</v>
      </c>
      <c r="B108" s="398" t="str">
        <f>[10]PERBULAN!B37</f>
        <v>SAYUTI</v>
      </c>
      <c r="C108" s="398" t="str">
        <f>[10]PERBULAN!C37</f>
        <v>L</v>
      </c>
      <c r="D108" s="398" t="str">
        <f>[10]PERBULAN!D37</f>
        <v>K2</v>
      </c>
      <c r="E108" s="398">
        <f>[10]PERBULAN!E37</f>
        <v>3</v>
      </c>
      <c r="F108" s="443" t="e">
        <f t="shared" si="46"/>
        <v>#REF!</v>
      </c>
      <c r="G108" s="443" t="e">
        <f t="shared" si="47"/>
        <v>#REF!</v>
      </c>
      <c r="H108" s="443" t="e">
        <f t="shared" si="48"/>
        <v>#REF!</v>
      </c>
      <c r="I108" s="443" t="e">
        <f t="shared" si="49"/>
        <v>#REF!</v>
      </c>
      <c r="J108" s="443" t="e">
        <f>[10]PERBULAN!#REF!</f>
        <v>#REF!</v>
      </c>
      <c r="K108" s="522" t="e">
        <f t="shared" si="50"/>
        <v>#REF!</v>
      </c>
      <c r="L108" s="567" t="s">
        <v>321</v>
      </c>
      <c r="M108" s="528" t="s">
        <v>262</v>
      </c>
      <c r="N108" s="528" t="s">
        <v>322</v>
      </c>
      <c r="O108" s="375" t="s">
        <v>323</v>
      </c>
    </row>
    <row r="109" spans="1:20" hidden="1">
      <c r="A109" s="490">
        <v>16</v>
      </c>
      <c r="B109" s="398" t="str">
        <f>[10]PERBULAN!B38</f>
        <v>MAHADI</v>
      </c>
      <c r="C109" s="398" t="str">
        <f>[10]PERBULAN!C38</f>
        <v>L</v>
      </c>
      <c r="D109" s="398" t="str">
        <f>[10]PERBULAN!D38</f>
        <v>K1</v>
      </c>
      <c r="E109" s="398">
        <f>[10]PERBULAN!E38</f>
        <v>3</v>
      </c>
      <c r="F109" s="443" t="e">
        <f t="shared" si="46"/>
        <v>#REF!</v>
      </c>
      <c r="G109" s="443" t="e">
        <f t="shared" si="47"/>
        <v>#REF!</v>
      </c>
      <c r="H109" s="443" t="e">
        <f t="shared" si="48"/>
        <v>#REF!</v>
      </c>
      <c r="I109" s="443" t="e">
        <f t="shared" si="49"/>
        <v>#REF!</v>
      </c>
      <c r="J109" s="443" t="e">
        <f>[10]PERBULAN!#REF!</f>
        <v>#REF!</v>
      </c>
      <c r="K109" s="522" t="e">
        <f t="shared" si="50"/>
        <v>#REF!</v>
      </c>
      <c r="L109" s="567" t="s">
        <v>324</v>
      </c>
      <c r="M109" s="524" t="s">
        <v>114</v>
      </c>
      <c r="N109" s="521" t="s">
        <v>137</v>
      </c>
      <c r="O109" s="375" t="s">
        <v>159</v>
      </c>
    </row>
    <row r="110" spans="1:20" hidden="1">
      <c r="A110" s="490">
        <v>19</v>
      </c>
      <c r="B110" s="398" t="str">
        <f>[10]PERBULAN!B40</f>
        <v>NUR AINI</v>
      </c>
      <c r="C110" s="398" t="str">
        <f>[10]PERBULAN!C40</f>
        <v>P</v>
      </c>
      <c r="D110" s="398" t="str">
        <f>[10]PERBULAN!D40</f>
        <v>TK</v>
      </c>
      <c r="E110" s="398">
        <f>[10]PERBULAN!E40</f>
        <v>3</v>
      </c>
      <c r="F110" s="443" t="e">
        <f t="shared" si="46"/>
        <v>#REF!</v>
      </c>
      <c r="G110" s="443" t="e">
        <f t="shared" si="47"/>
        <v>#REF!</v>
      </c>
      <c r="H110" s="443" t="e">
        <f t="shared" si="48"/>
        <v>#REF!</v>
      </c>
      <c r="I110" s="443" t="e">
        <f t="shared" si="49"/>
        <v>#REF!</v>
      </c>
      <c r="J110" s="443" t="e">
        <f>[10]PERBULAN!#REF!</f>
        <v>#REF!</v>
      </c>
      <c r="K110" s="522" t="e">
        <f t="shared" si="50"/>
        <v>#REF!</v>
      </c>
      <c r="L110" s="567" t="s">
        <v>325</v>
      </c>
      <c r="M110" s="524" t="s">
        <v>326</v>
      </c>
      <c r="N110" s="521" t="s">
        <v>327</v>
      </c>
      <c r="O110" s="375" t="s">
        <v>328</v>
      </c>
    </row>
    <row r="111" spans="1:20" hidden="1">
      <c r="A111" s="490">
        <v>26</v>
      </c>
      <c r="B111" s="398" t="str">
        <f>[10]PERBULAN!B41</f>
        <v>NOVIANTI</v>
      </c>
      <c r="C111" s="398" t="str">
        <f>[10]PERBULAN!C41</f>
        <v>P</v>
      </c>
      <c r="D111" s="398" t="str">
        <f>[10]PERBULAN!D41</f>
        <v>TK</v>
      </c>
      <c r="E111" s="398">
        <f>[10]PERBULAN!E41</f>
        <v>3</v>
      </c>
      <c r="F111" s="443" t="e">
        <f t="shared" si="46"/>
        <v>#REF!</v>
      </c>
      <c r="G111" s="443" t="e">
        <f t="shared" si="47"/>
        <v>#REF!</v>
      </c>
      <c r="H111" s="443" t="e">
        <f t="shared" si="48"/>
        <v>#REF!</v>
      </c>
      <c r="I111" s="443" t="e">
        <f t="shared" si="49"/>
        <v>#REF!</v>
      </c>
      <c r="J111" s="443" t="e">
        <f>[10]PERBULAN!#REF!</f>
        <v>#REF!</v>
      </c>
      <c r="K111" s="522" t="e">
        <f t="shared" si="50"/>
        <v>#REF!</v>
      </c>
      <c r="L111" s="568" t="s">
        <v>329</v>
      </c>
      <c r="M111" s="524" t="s">
        <v>266</v>
      </c>
      <c r="N111" s="521" t="s">
        <v>330</v>
      </c>
      <c r="O111" s="375" t="s">
        <v>331</v>
      </c>
    </row>
    <row r="114" spans="1:22" ht="15.75" thickBot="1"/>
    <row r="115" spans="1:22" s="489" customFormat="1" ht="17.25" customHeight="1" thickTop="1">
      <c r="A115" s="479">
        <v>1</v>
      </c>
      <c r="B115" s="388" t="str">
        <f>+PERBULAN!B120</f>
        <v>NURANI</v>
      </c>
      <c r="C115" s="388" t="str">
        <f>+PERBULAN!C120</f>
        <v>P</v>
      </c>
      <c r="D115" s="388" t="str">
        <f>+PERBULAN!D120</f>
        <v>TK/0</v>
      </c>
      <c r="E115" s="388">
        <f>+PERBULAN!E120</f>
        <v>11</v>
      </c>
      <c r="F115" s="483">
        <f>+PERBULAN!R120</f>
        <v>67193479.559999987</v>
      </c>
      <c r="G115" s="480">
        <f>+BPJS!O44</f>
        <v>1725404</v>
      </c>
      <c r="H115" s="602">
        <f>+BPJS!O92</f>
        <v>360142.43999999994</v>
      </c>
      <c r="I115" s="481">
        <f>+PERBULAN!S120</f>
        <v>3987600</v>
      </c>
      <c r="J115" s="401"/>
      <c r="K115" s="482">
        <f>+PERBULAN!T120</f>
        <v>900000</v>
      </c>
      <c r="L115" s="483">
        <f>SUM(F115:K115)</f>
        <v>74166625.999999985</v>
      </c>
      <c r="M115" s="602">
        <f>+'ASTEK+PENSIUN'!O43</f>
        <v>857482</v>
      </c>
      <c r="N115" s="483">
        <f>L115*0.05</f>
        <v>3708331.2999999993</v>
      </c>
      <c r="O115" s="602">
        <f>+'ASTEK+PENSIUN'!O88</f>
        <v>428741</v>
      </c>
      <c r="P115" s="483">
        <f>SUM(M115:O115)</f>
        <v>4994554.2999999989</v>
      </c>
      <c r="Q115" s="484">
        <f>L115-P115</f>
        <v>69172071.699999988</v>
      </c>
      <c r="R115" s="485">
        <f>IF(D115="TK/0",54000000,IF(D115="K/0",58500000,IF(D115="K/1",63000000,IF(D115="K/2",67500000,IF(D115="K/3",72000000)))))</f>
        <v>54000000</v>
      </c>
      <c r="S115" s="486">
        <f>IF(Q115&lt;=R115,0,IF(Q115&gt;R115,Q115-R115))</f>
        <v>15172071.699999988</v>
      </c>
      <c r="T115" s="487">
        <f>F115-G115-H115</f>
        <v>65107933.11999999</v>
      </c>
      <c r="U115" s="488">
        <f>G115+H115</f>
        <v>2085546.44</v>
      </c>
      <c r="V115" s="606">
        <f>M115+O115</f>
        <v>1286223</v>
      </c>
    </row>
    <row r="116" spans="1:22" s="489" customFormat="1" ht="17.25" customHeight="1">
      <c r="A116" s="490">
        <v>6</v>
      </c>
      <c r="B116" s="398" t="str">
        <f>+PERBULAN!B121</f>
        <v>UJANG SANUSI</v>
      </c>
      <c r="C116" s="398" t="str">
        <f>+PERBULAN!C121</f>
        <v>L</v>
      </c>
      <c r="D116" s="398" t="str">
        <f>+PERBULAN!D121</f>
        <v>K/1</v>
      </c>
      <c r="E116" s="398">
        <f>+PERBULAN!E121</f>
        <v>11</v>
      </c>
      <c r="F116" s="483">
        <f>+PERBULAN!R121</f>
        <v>75600472.159999996</v>
      </c>
      <c r="G116" s="483">
        <f>+BPJS!O45</f>
        <v>1717104</v>
      </c>
      <c r="H116" s="602">
        <f>+BPJS!O93</f>
        <v>359331.83999999997</v>
      </c>
      <c r="I116" s="484">
        <f>+PERBULAN!S121</f>
        <v>4067100</v>
      </c>
      <c r="J116" s="401"/>
      <c r="K116" s="484">
        <f>+PERBULAN!T121</f>
        <v>600000</v>
      </c>
      <c r="L116" s="483">
        <f>SUM(F116:K116)</f>
        <v>82344008</v>
      </c>
      <c r="M116" s="602">
        <f>+'ASTEK+PENSIUN'!O44</f>
        <v>855552</v>
      </c>
      <c r="N116" s="483">
        <f>L116*0.05</f>
        <v>4117200.4000000004</v>
      </c>
      <c r="O116" s="602">
        <f>+'ASTEK+PENSIUN'!O89</f>
        <v>427776</v>
      </c>
      <c r="P116" s="483">
        <f>SUM(M116:O116)</f>
        <v>5400528.4000000004</v>
      </c>
      <c r="Q116" s="484">
        <f>L116-P116</f>
        <v>76943479.599999994</v>
      </c>
      <c r="R116" s="485">
        <f>IF(D116="TK/0",54000000,IF(D116="K/0",58500000,IF(D116="K/1",63000000,IF(D116="K/2",67500000,IF(D116="K/3",72000000)))))</f>
        <v>63000000</v>
      </c>
      <c r="S116" s="486">
        <f>IF(Q116&lt;=R116,0,IF(Q116&gt;R116,Q116-R116))</f>
        <v>13943479.599999994</v>
      </c>
      <c r="T116" s="487">
        <f>F116-G116-H116</f>
        <v>73524036.319999993</v>
      </c>
      <c r="U116" s="488">
        <f>G116+H116</f>
        <v>2076435.8399999999</v>
      </c>
      <c r="V116" s="606">
        <f>M116+O116</f>
        <v>1283328</v>
      </c>
    </row>
  </sheetData>
  <mergeCells count="32">
    <mergeCell ref="A102:B102"/>
    <mergeCell ref="C102:F102"/>
    <mergeCell ref="G102:I102"/>
    <mergeCell ref="J102:L102"/>
    <mergeCell ref="A98:B98"/>
    <mergeCell ref="C98:F98"/>
    <mergeCell ref="G98:I98"/>
    <mergeCell ref="J98:L98"/>
    <mergeCell ref="A101:B101"/>
    <mergeCell ref="C101:F101"/>
    <mergeCell ref="G101:I101"/>
    <mergeCell ref="J101:L101"/>
    <mergeCell ref="A55:L55"/>
    <mergeCell ref="A56:L56"/>
    <mergeCell ref="A57:A59"/>
    <mergeCell ref="B57:B59"/>
    <mergeCell ref="C57:C59"/>
    <mergeCell ref="D57:D59"/>
    <mergeCell ref="E57:E59"/>
    <mergeCell ref="L57:L59"/>
    <mergeCell ref="M4:P4"/>
    <mergeCell ref="R4:R6"/>
    <mergeCell ref="F5:F6"/>
    <mergeCell ref="I5:I6"/>
    <mergeCell ref="K5:K6"/>
    <mergeCell ref="E4:E6"/>
    <mergeCell ref="F4:K4"/>
    <mergeCell ref="A40:B40"/>
    <mergeCell ref="A4:A6"/>
    <mergeCell ref="B4:B6"/>
    <mergeCell ref="C4:C6"/>
    <mergeCell ref="D4:D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workbookViewId="0">
      <selection activeCell="R11" sqref="R11"/>
    </sheetView>
  </sheetViews>
  <sheetFormatPr defaultRowHeight="15"/>
  <cols>
    <col min="1" max="1" width="3.28515625" style="491" customWidth="1"/>
    <col min="2" max="2" width="28.140625" style="491" customWidth="1"/>
    <col min="3" max="3" width="20.28515625" style="491" customWidth="1"/>
    <col min="4" max="4" width="10.5703125" style="491" customWidth="1"/>
    <col min="5" max="5" width="10.42578125" style="491" customWidth="1"/>
    <col min="6" max="6" width="10.7109375" style="491" customWidth="1"/>
    <col min="7" max="7" width="9.140625" style="491" customWidth="1"/>
    <col min="8" max="8" width="10.7109375" style="491" hidden="1" customWidth="1"/>
    <col min="9" max="9" width="10.5703125" style="491" customWidth="1"/>
    <col min="10" max="10" width="12" style="491" hidden="1" customWidth="1"/>
    <col min="11" max="12" width="9.140625" style="491" customWidth="1"/>
    <col min="13" max="13" width="10.42578125" style="491" customWidth="1"/>
    <col min="14" max="16" width="9.140625" style="491" customWidth="1"/>
    <col min="17" max="17" width="11.7109375" style="491" customWidth="1"/>
    <col min="18" max="18" width="12.5703125" style="491" customWidth="1"/>
    <col min="19" max="19" width="14.5703125" style="491" customWidth="1"/>
    <col min="20" max="20" width="12.28515625" style="491" customWidth="1"/>
    <col min="21" max="22" width="9.140625" style="491" customWidth="1"/>
    <col min="23" max="16384" width="9.140625" style="491"/>
  </cols>
  <sheetData>
    <row r="1" spans="1:22" ht="15" customHeight="1">
      <c r="B1" s="770" t="s">
        <v>332</v>
      </c>
      <c r="C1" s="772" t="s">
        <v>333</v>
      </c>
      <c r="D1" s="774" t="s">
        <v>350</v>
      </c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491" t="s">
        <v>334</v>
      </c>
      <c r="S1" s="491" t="s">
        <v>335</v>
      </c>
      <c r="T1" s="491" t="s">
        <v>336</v>
      </c>
    </row>
    <row r="2" spans="1:22" ht="15.75" thickBot="1">
      <c r="B2" s="771"/>
      <c r="C2" s="773"/>
      <c r="D2" s="615" t="s">
        <v>337</v>
      </c>
      <c r="E2" s="615" t="s">
        <v>338</v>
      </c>
      <c r="F2" s="615" t="s">
        <v>339</v>
      </c>
      <c r="G2" s="615" t="s">
        <v>340</v>
      </c>
      <c r="H2" s="615" t="s">
        <v>79</v>
      </c>
      <c r="I2" s="615" t="s">
        <v>341</v>
      </c>
      <c r="J2" s="615" t="s">
        <v>222</v>
      </c>
      <c r="K2" s="615" t="s">
        <v>342</v>
      </c>
      <c r="L2" s="615" t="s">
        <v>343</v>
      </c>
      <c r="M2" s="615" t="s">
        <v>344</v>
      </c>
      <c r="N2" s="615" t="s">
        <v>345</v>
      </c>
      <c r="O2" s="615" t="s">
        <v>346</v>
      </c>
      <c r="P2" s="615" t="s">
        <v>347</v>
      </c>
      <c r="Q2" s="615" t="s">
        <v>31</v>
      </c>
      <c r="R2" s="575"/>
    </row>
    <row r="3" spans="1:22">
      <c r="A3" s="491">
        <v>1</v>
      </c>
      <c r="B3" s="576" t="str">
        <f>+PERBULAN!B6</f>
        <v>SARWANDI</v>
      </c>
      <c r="C3" s="612" t="str">
        <f>+Des!E6</f>
        <v>97.228.383.2-305.000</v>
      </c>
      <c r="D3" s="446">
        <v>0</v>
      </c>
      <c r="E3" s="574">
        <v>54524</v>
      </c>
      <c r="F3" s="574">
        <v>698764</v>
      </c>
      <c r="G3" s="574">
        <v>86459</v>
      </c>
      <c r="H3" s="574"/>
      <c r="I3" s="574">
        <v>151950</v>
      </c>
      <c r="J3" s="574"/>
      <c r="K3" s="574">
        <v>90941</v>
      </c>
      <c r="L3" s="574">
        <v>90151</v>
      </c>
      <c r="M3" s="574">
        <v>89590</v>
      </c>
      <c r="N3" s="574">
        <v>91057</v>
      </c>
      <c r="O3" s="574">
        <v>140940</v>
      </c>
      <c r="P3" s="574">
        <v>88144</v>
      </c>
      <c r="Q3" s="574">
        <f ca="1">+Des!AJ6</f>
        <v>322830</v>
      </c>
      <c r="R3" s="577">
        <f t="shared" ref="R3:R29" ca="1" si="0">SUM(D3:Q3)</f>
        <v>1905350</v>
      </c>
      <c r="S3" s="575">
        <f>+Des!AH6</f>
        <v>1905350</v>
      </c>
      <c r="T3" s="577">
        <f t="shared" ref="T3:T29" ca="1" si="1">R3-S3</f>
        <v>0</v>
      </c>
      <c r="U3" s="577">
        <f ca="1">COUNT(D3:Q3)-COUNT(H3)-COUNT(J3)</f>
        <v>12</v>
      </c>
      <c r="V3" s="273"/>
    </row>
    <row r="4" spans="1:22">
      <c r="A4" s="491">
        <v>2</v>
      </c>
      <c r="B4" s="576" t="str">
        <f>+PERBULAN!B7</f>
        <v>SUHARMAN</v>
      </c>
      <c r="C4" s="612" t="str">
        <f>+Des!E7</f>
        <v>97.228.314.7-305.000</v>
      </c>
      <c r="D4" s="446">
        <v>0</v>
      </c>
      <c r="E4" s="574">
        <v>0</v>
      </c>
      <c r="F4" s="574">
        <v>126641</v>
      </c>
      <c r="G4" s="574">
        <v>13876</v>
      </c>
      <c r="H4" s="574"/>
      <c r="I4" s="574">
        <v>113283</v>
      </c>
      <c r="J4" s="574"/>
      <c r="K4" s="574">
        <v>0</v>
      </c>
      <c r="L4" s="574">
        <v>86215</v>
      </c>
      <c r="M4" s="574">
        <v>85655</v>
      </c>
      <c r="N4" s="574">
        <v>45274</v>
      </c>
      <c r="O4" s="574">
        <v>45021</v>
      </c>
      <c r="P4" s="574">
        <v>47038</v>
      </c>
      <c r="Q4" s="574">
        <f ca="1">+Des!AJ7</f>
        <v>0</v>
      </c>
      <c r="R4" s="577">
        <f t="shared" ca="1" si="0"/>
        <v>563003</v>
      </c>
      <c r="S4" s="575">
        <f>+Des!AH7</f>
        <v>513600</v>
      </c>
      <c r="T4" s="577">
        <f t="shared" ca="1" si="1"/>
        <v>49403</v>
      </c>
      <c r="U4" s="577">
        <f t="shared" ref="U4:U29" ca="1" si="2">COUNT(D4:Q4)-COUNT(H4)-COUNT(J4)</f>
        <v>12</v>
      </c>
      <c r="V4" s="273"/>
    </row>
    <row r="5" spans="1:22">
      <c r="A5" s="491">
        <v>3</v>
      </c>
      <c r="B5" s="576" t="str">
        <f>+PERBULAN!B8</f>
        <v>DARMAWAN</v>
      </c>
      <c r="C5" s="612" t="str">
        <f>+Des!E8</f>
        <v>97.237.829.3-305.000</v>
      </c>
      <c r="D5" s="446">
        <v>0</v>
      </c>
      <c r="E5" s="574">
        <v>0</v>
      </c>
      <c r="F5" s="574">
        <v>84798</v>
      </c>
      <c r="G5" s="574">
        <v>0</v>
      </c>
      <c r="H5" s="574"/>
      <c r="I5" s="574">
        <v>76631</v>
      </c>
      <c r="J5" s="574"/>
      <c r="K5" s="574">
        <v>0</v>
      </c>
      <c r="L5" s="574">
        <v>54519</v>
      </c>
      <c r="M5" s="574">
        <v>53931</v>
      </c>
      <c r="N5" s="574">
        <v>0</v>
      </c>
      <c r="O5" s="574">
        <v>15652</v>
      </c>
      <c r="P5" s="574">
        <v>32708</v>
      </c>
      <c r="Q5" s="574">
        <f ca="1">+Des!AJ8</f>
        <v>73411</v>
      </c>
      <c r="R5" s="577">
        <f t="shared" ca="1" si="0"/>
        <v>391650</v>
      </c>
      <c r="S5" s="575">
        <f>+Des!AH8</f>
        <v>391650</v>
      </c>
      <c r="T5" s="577">
        <f t="shared" ca="1" si="1"/>
        <v>0</v>
      </c>
      <c r="U5" s="577">
        <f t="shared" ca="1" si="2"/>
        <v>12</v>
      </c>
      <c r="V5" s="273"/>
    </row>
    <row r="6" spans="1:22">
      <c r="A6" s="491">
        <v>4</v>
      </c>
      <c r="B6" s="576" t="str">
        <f>+PERBULAN!B9</f>
        <v>SUMARDI</v>
      </c>
      <c r="C6" s="612" t="str">
        <f>+Des!E9</f>
        <v>97.228.327.9-305.000</v>
      </c>
      <c r="D6" s="446">
        <v>0</v>
      </c>
      <c r="E6" s="574">
        <v>0</v>
      </c>
      <c r="F6" s="574">
        <v>85582</v>
      </c>
      <c r="G6" s="574">
        <v>0</v>
      </c>
      <c r="H6" s="574"/>
      <c r="I6" s="574">
        <v>53467</v>
      </c>
      <c r="J6" s="574"/>
      <c r="K6" s="574">
        <v>0</v>
      </c>
      <c r="L6" s="574">
        <v>54267</v>
      </c>
      <c r="M6" s="574">
        <v>52082</v>
      </c>
      <c r="N6" s="574">
        <v>15513</v>
      </c>
      <c r="O6" s="574">
        <v>15596</v>
      </c>
      <c r="P6" s="574">
        <v>16046</v>
      </c>
      <c r="Q6" s="574">
        <f ca="1">+Des!AJ9</f>
        <v>45147</v>
      </c>
      <c r="R6" s="577">
        <f t="shared" ca="1" si="0"/>
        <v>337700</v>
      </c>
      <c r="S6" s="575">
        <f>+Des!AH9</f>
        <v>337700</v>
      </c>
      <c r="T6" s="577">
        <f t="shared" ca="1" si="1"/>
        <v>0</v>
      </c>
      <c r="U6" s="577">
        <f t="shared" ca="1" si="2"/>
        <v>12</v>
      </c>
      <c r="V6" s="273"/>
    </row>
    <row r="7" spans="1:22">
      <c r="A7" s="491">
        <v>5</v>
      </c>
      <c r="B7" s="576" t="str">
        <f>+PERBULAN!B10</f>
        <v>EKI SUMANTRI</v>
      </c>
      <c r="C7" s="612" t="str">
        <f>+Des!E10</f>
        <v>-</v>
      </c>
      <c r="D7" s="446">
        <v>0</v>
      </c>
      <c r="E7" s="574">
        <v>0</v>
      </c>
      <c r="F7" s="574">
        <v>145596</v>
      </c>
      <c r="G7" s="574">
        <v>0</v>
      </c>
      <c r="H7" s="574"/>
      <c r="I7" s="574">
        <v>74517</v>
      </c>
      <c r="J7" s="574"/>
      <c r="K7" s="574">
        <v>0</v>
      </c>
      <c r="L7" s="574">
        <v>53345</v>
      </c>
      <c r="M7" s="574">
        <v>52505</v>
      </c>
      <c r="N7" s="574">
        <v>0</v>
      </c>
      <c r="O7" s="574">
        <v>0</v>
      </c>
      <c r="P7" s="574">
        <v>33157</v>
      </c>
      <c r="Q7" s="574">
        <f ca="1">+Des!AJ10</f>
        <v>152380</v>
      </c>
      <c r="R7" s="577">
        <f t="shared" ca="1" si="0"/>
        <v>511500</v>
      </c>
      <c r="S7" s="575">
        <f>+Des!AH10</f>
        <v>511500</v>
      </c>
      <c r="T7" s="577">
        <f t="shared" ca="1" si="1"/>
        <v>0</v>
      </c>
      <c r="U7" s="577">
        <f t="shared" ca="1" si="2"/>
        <v>12</v>
      </c>
      <c r="V7" s="273"/>
    </row>
    <row r="8" spans="1:22">
      <c r="A8" s="491">
        <v>6</v>
      </c>
      <c r="B8" s="576" t="str">
        <f>+PERBULAN!B11</f>
        <v>SULISTIYANI SAPUTRI</v>
      </c>
      <c r="C8" s="612" t="str">
        <f>+Des!E11</f>
        <v>97.228.324.6-305.000</v>
      </c>
      <c r="D8" s="446">
        <v>0</v>
      </c>
      <c r="E8" s="574">
        <v>0</v>
      </c>
      <c r="F8" s="574">
        <v>122576</v>
      </c>
      <c r="G8" s="574">
        <v>0</v>
      </c>
      <c r="H8" s="574"/>
      <c r="I8" s="574">
        <v>0</v>
      </c>
      <c r="J8" s="574"/>
      <c r="K8" s="574">
        <v>0</v>
      </c>
      <c r="L8" s="574">
        <v>0</v>
      </c>
      <c r="M8" s="574">
        <v>0</v>
      </c>
      <c r="N8" s="574">
        <v>0</v>
      </c>
      <c r="O8" s="574">
        <v>0</v>
      </c>
      <c r="P8" s="574">
        <v>0</v>
      </c>
      <c r="Q8" s="574">
        <f ca="1">+Des!AJ11</f>
        <v>0</v>
      </c>
      <c r="R8" s="577">
        <f t="shared" ca="1" si="0"/>
        <v>122576</v>
      </c>
      <c r="S8" s="575">
        <f>+Des!AH11</f>
        <v>0</v>
      </c>
      <c r="T8" s="577">
        <f t="shared" ca="1" si="1"/>
        <v>122576</v>
      </c>
      <c r="U8" s="577">
        <f t="shared" ca="1" si="2"/>
        <v>12</v>
      </c>
      <c r="V8" s="273"/>
    </row>
    <row r="9" spans="1:22">
      <c r="A9" s="491">
        <v>7</v>
      </c>
      <c r="B9" s="576" t="str">
        <f>+PERBULAN!B12</f>
        <v>TRISNAWATI</v>
      </c>
      <c r="C9" s="612" t="str">
        <f>+Des!E12</f>
        <v>-</v>
      </c>
      <c r="D9" s="446">
        <v>0</v>
      </c>
      <c r="E9" s="574">
        <v>0</v>
      </c>
      <c r="F9" s="574">
        <v>121688</v>
      </c>
      <c r="G9" s="574">
        <v>0</v>
      </c>
      <c r="H9" s="574"/>
      <c r="I9" s="574">
        <v>0</v>
      </c>
      <c r="J9" s="574"/>
      <c r="K9" s="574">
        <v>0</v>
      </c>
      <c r="L9" s="574">
        <v>0</v>
      </c>
      <c r="M9" s="574">
        <v>0</v>
      </c>
      <c r="N9" s="574">
        <v>0</v>
      </c>
      <c r="O9" s="574">
        <v>0</v>
      </c>
      <c r="P9" s="574">
        <v>0</v>
      </c>
      <c r="Q9" s="574">
        <f ca="1">+Des!AJ12</f>
        <v>0</v>
      </c>
      <c r="R9" s="577">
        <f t="shared" ca="1" si="0"/>
        <v>121688</v>
      </c>
      <c r="S9" s="575">
        <f>+Des!AH12</f>
        <v>0</v>
      </c>
      <c r="T9" s="577">
        <f t="shared" ca="1" si="1"/>
        <v>121688</v>
      </c>
      <c r="U9" s="577">
        <f t="shared" ca="1" si="2"/>
        <v>12</v>
      </c>
      <c r="V9" s="273"/>
    </row>
    <row r="10" spans="1:22">
      <c r="A10" s="491">
        <v>8</v>
      </c>
      <c r="B10" s="576" t="str">
        <f>+PERBULAN!B13</f>
        <v>ELNI</v>
      </c>
      <c r="C10" s="612" t="str">
        <f>+Des!E13</f>
        <v>55.166.633.2-305.000</v>
      </c>
      <c r="D10" s="446">
        <v>0</v>
      </c>
      <c r="E10" s="574">
        <v>0</v>
      </c>
      <c r="F10" s="574">
        <v>122147</v>
      </c>
      <c r="G10" s="574">
        <v>0</v>
      </c>
      <c r="H10" s="574"/>
      <c r="I10" s="574">
        <v>0</v>
      </c>
      <c r="J10" s="574"/>
      <c r="K10" s="574">
        <v>0</v>
      </c>
      <c r="L10" s="574">
        <v>0</v>
      </c>
      <c r="M10" s="574">
        <v>0</v>
      </c>
      <c r="N10" s="574">
        <v>0</v>
      </c>
      <c r="O10" s="574">
        <v>0</v>
      </c>
      <c r="P10" s="574">
        <v>0</v>
      </c>
      <c r="Q10" s="574">
        <f ca="1">+Des!AJ13</f>
        <v>0</v>
      </c>
      <c r="R10" s="577">
        <f t="shared" ca="1" si="0"/>
        <v>122147</v>
      </c>
      <c r="S10" s="575">
        <f>+Des!AH13</f>
        <v>0</v>
      </c>
      <c r="T10" s="577">
        <f t="shared" ca="1" si="1"/>
        <v>122147</v>
      </c>
      <c r="U10" s="577">
        <f t="shared" ca="1" si="2"/>
        <v>12</v>
      </c>
      <c r="V10" s="273"/>
    </row>
    <row r="11" spans="1:22">
      <c r="A11" s="491">
        <v>9</v>
      </c>
      <c r="B11" s="576" t="str">
        <f>+PERBULAN!B14</f>
        <v>YUSTIANA</v>
      </c>
      <c r="C11" s="612" t="str">
        <f>+Des!E14</f>
        <v>97.228.361.8-305.000</v>
      </c>
      <c r="D11" s="446">
        <v>0</v>
      </c>
      <c r="E11" s="574">
        <v>0</v>
      </c>
      <c r="F11" s="574">
        <v>124762</v>
      </c>
      <c r="G11" s="574">
        <v>0</v>
      </c>
      <c r="H11" s="574"/>
      <c r="I11" s="574">
        <v>0</v>
      </c>
      <c r="J11" s="574"/>
      <c r="K11" s="574">
        <v>0</v>
      </c>
      <c r="L11" s="574">
        <v>0</v>
      </c>
      <c r="M11" s="574">
        <v>0</v>
      </c>
      <c r="N11" s="574">
        <v>0</v>
      </c>
      <c r="O11" s="574">
        <v>0</v>
      </c>
      <c r="P11" s="574">
        <v>0</v>
      </c>
      <c r="Q11" s="574">
        <f ca="1">+Des!AJ14</f>
        <v>0</v>
      </c>
      <c r="R11" s="577">
        <f t="shared" ca="1" si="0"/>
        <v>124762</v>
      </c>
      <c r="S11" s="575">
        <f>+Des!AH14</f>
        <v>0</v>
      </c>
      <c r="T11" s="577">
        <f t="shared" ca="1" si="1"/>
        <v>124762</v>
      </c>
      <c r="U11" s="577">
        <f t="shared" ca="1" si="2"/>
        <v>12</v>
      </c>
      <c r="V11" s="273"/>
    </row>
    <row r="12" spans="1:22">
      <c r="A12" s="491">
        <v>10</v>
      </c>
      <c r="B12" s="576" t="str">
        <f>+PERBULAN!B15</f>
        <v>YULIANA</v>
      </c>
      <c r="C12" s="612" t="str">
        <f>+Des!E15</f>
        <v>55.166.797.5.305.000</v>
      </c>
      <c r="D12" s="446">
        <v>0</v>
      </c>
      <c r="E12" s="574">
        <v>0</v>
      </c>
      <c r="F12" s="574">
        <v>124119</v>
      </c>
      <c r="G12" s="574">
        <v>0</v>
      </c>
      <c r="H12" s="574"/>
      <c r="I12" s="574">
        <v>0</v>
      </c>
      <c r="J12" s="574"/>
      <c r="K12" s="574">
        <v>0</v>
      </c>
      <c r="L12" s="574">
        <v>0</v>
      </c>
      <c r="M12" s="574">
        <v>0</v>
      </c>
      <c r="N12" s="574">
        <v>0</v>
      </c>
      <c r="O12" s="574">
        <v>0</v>
      </c>
      <c r="P12" s="574">
        <v>0</v>
      </c>
      <c r="Q12" s="574">
        <f ca="1">+Des!AJ15</f>
        <v>0</v>
      </c>
      <c r="R12" s="577">
        <f t="shared" ca="1" si="0"/>
        <v>124119</v>
      </c>
      <c r="S12" s="575">
        <f>+Des!AH15</f>
        <v>0</v>
      </c>
      <c r="T12" s="577">
        <f t="shared" ca="1" si="1"/>
        <v>124119</v>
      </c>
      <c r="U12" s="577">
        <f t="shared" ca="1" si="2"/>
        <v>12</v>
      </c>
      <c r="V12" s="273"/>
    </row>
    <row r="13" spans="1:22">
      <c r="A13" s="491">
        <v>11</v>
      </c>
      <c r="B13" s="576" t="str">
        <f>+PERBULAN!B16</f>
        <v>SALMIA</v>
      </c>
      <c r="C13" s="612" t="str">
        <f>+Des!E16</f>
        <v>97.228.362.6-305.000</v>
      </c>
      <c r="D13" s="446">
        <v>0</v>
      </c>
      <c r="E13" s="574">
        <v>0</v>
      </c>
      <c r="F13" s="574">
        <v>124762</v>
      </c>
      <c r="G13" s="574">
        <v>0</v>
      </c>
      <c r="H13" s="574"/>
      <c r="I13" s="574">
        <v>0</v>
      </c>
      <c r="J13" s="574"/>
      <c r="K13" s="574">
        <v>0</v>
      </c>
      <c r="L13" s="574">
        <v>0</v>
      </c>
      <c r="M13" s="574">
        <v>0</v>
      </c>
      <c r="N13" s="574">
        <v>0</v>
      </c>
      <c r="O13" s="574">
        <v>0</v>
      </c>
      <c r="P13" s="574">
        <v>0</v>
      </c>
      <c r="Q13" s="574">
        <f ca="1">+Des!AJ16</f>
        <v>0</v>
      </c>
      <c r="R13" s="577">
        <f t="shared" ca="1" si="0"/>
        <v>124762</v>
      </c>
      <c r="S13" s="575">
        <f>+Des!AH16</f>
        <v>0</v>
      </c>
      <c r="T13" s="577">
        <f t="shared" ca="1" si="1"/>
        <v>124762</v>
      </c>
      <c r="U13" s="577">
        <f t="shared" ca="1" si="2"/>
        <v>12</v>
      </c>
      <c r="V13" s="273"/>
    </row>
    <row r="14" spans="1:22">
      <c r="A14" s="491">
        <v>12</v>
      </c>
      <c r="B14" s="576" t="str">
        <f>+PERBULAN!B17</f>
        <v>SISWANDI</v>
      </c>
      <c r="C14" s="612" t="str">
        <f>+Des!E17</f>
        <v>97.228.330.3-305.000</v>
      </c>
      <c r="D14" s="446">
        <v>0</v>
      </c>
      <c r="E14" s="574">
        <v>0</v>
      </c>
      <c r="F14" s="574">
        <v>125874</v>
      </c>
      <c r="G14" s="574">
        <v>0</v>
      </c>
      <c r="H14" s="574"/>
      <c r="I14" s="574">
        <v>0</v>
      </c>
      <c r="J14" s="574"/>
      <c r="K14" s="574">
        <v>0</v>
      </c>
      <c r="L14" s="574">
        <v>0</v>
      </c>
      <c r="M14" s="574">
        <v>0</v>
      </c>
      <c r="N14" s="574">
        <v>0</v>
      </c>
      <c r="O14" s="574">
        <v>0</v>
      </c>
      <c r="P14" s="574">
        <v>0</v>
      </c>
      <c r="Q14" s="574">
        <f ca="1">+Des!AJ17</f>
        <v>0</v>
      </c>
      <c r="R14" s="577">
        <f t="shared" ca="1" si="0"/>
        <v>125874</v>
      </c>
      <c r="S14" s="575">
        <f>+Des!AH17</f>
        <v>0</v>
      </c>
      <c r="T14" s="577">
        <f t="shared" ca="1" si="1"/>
        <v>125874</v>
      </c>
      <c r="U14" s="577">
        <f t="shared" ca="1" si="2"/>
        <v>12</v>
      </c>
      <c r="V14" s="273"/>
    </row>
    <row r="15" spans="1:22">
      <c r="A15" s="491">
        <v>13</v>
      </c>
      <c r="B15" s="576" t="str">
        <f>+PERBULAN!B18</f>
        <v>ERWIN HAZANI</v>
      </c>
      <c r="C15" s="612" t="str">
        <f>+Des!E18</f>
        <v>55.161.754.1-305.000</v>
      </c>
      <c r="D15" s="446">
        <v>0</v>
      </c>
      <c r="E15" s="574">
        <v>0</v>
      </c>
      <c r="F15" s="574">
        <v>88244</v>
      </c>
      <c r="G15" s="574">
        <v>0</v>
      </c>
      <c r="H15" s="574"/>
      <c r="I15" s="574">
        <v>74816</v>
      </c>
      <c r="J15" s="574"/>
      <c r="K15" s="574">
        <v>0</v>
      </c>
      <c r="L15" s="574">
        <v>53463</v>
      </c>
      <c r="M15" s="574">
        <v>52202</v>
      </c>
      <c r="N15" s="574">
        <v>15610</v>
      </c>
      <c r="O15" s="574">
        <v>0</v>
      </c>
      <c r="P15" s="574">
        <v>15610</v>
      </c>
      <c r="Q15" s="574">
        <f ca="1">+Des!AJ18</f>
        <v>168455</v>
      </c>
      <c r="R15" s="577">
        <f t="shared" ca="1" si="0"/>
        <v>468400</v>
      </c>
      <c r="S15" s="575">
        <f>+Des!AH18</f>
        <v>468400</v>
      </c>
      <c r="T15" s="577">
        <f t="shared" ca="1" si="1"/>
        <v>0</v>
      </c>
      <c r="U15" s="577">
        <f t="shared" ca="1" si="2"/>
        <v>12</v>
      </c>
      <c r="V15" s="273"/>
    </row>
    <row r="16" spans="1:22">
      <c r="A16" s="491">
        <v>14</v>
      </c>
      <c r="B16" s="576" t="str">
        <f>+PERBULAN!B19</f>
        <v>SERIHAN</v>
      </c>
      <c r="C16" s="612" t="str">
        <f>+Des!E19</f>
        <v>97.387.469.6-305.000</v>
      </c>
      <c r="D16" s="446">
        <v>0</v>
      </c>
      <c r="E16" s="574">
        <v>0</v>
      </c>
      <c r="F16" s="574">
        <v>123583</v>
      </c>
      <c r="G16" s="574">
        <v>0</v>
      </c>
      <c r="H16" s="574"/>
      <c r="I16" s="574">
        <v>0</v>
      </c>
      <c r="J16" s="574"/>
      <c r="K16" s="574">
        <v>0</v>
      </c>
      <c r="L16" s="574">
        <v>0</v>
      </c>
      <c r="M16" s="574">
        <v>0</v>
      </c>
      <c r="N16" s="574">
        <v>0</v>
      </c>
      <c r="O16" s="574">
        <v>0</v>
      </c>
      <c r="P16" s="574">
        <v>0</v>
      </c>
      <c r="Q16" s="574">
        <f ca="1">+Des!AJ19</f>
        <v>0</v>
      </c>
      <c r="R16" s="577">
        <f t="shared" ca="1" si="0"/>
        <v>123583</v>
      </c>
      <c r="S16" s="575">
        <f>+Des!AH19</f>
        <v>0</v>
      </c>
      <c r="T16" s="577">
        <f t="shared" ca="1" si="1"/>
        <v>123583</v>
      </c>
      <c r="U16" s="577">
        <f t="shared" ca="1" si="2"/>
        <v>12</v>
      </c>
      <c r="V16" s="273"/>
    </row>
    <row r="17" spans="1:22">
      <c r="A17" s="491">
        <v>15</v>
      </c>
      <c r="B17" s="576" t="str">
        <f>+PERBULAN!B20</f>
        <v>IMAM ROHMANU,SIP</v>
      </c>
      <c r="C17" s="612" t="str">
        <f>+Des!E20</f>
        <v>-</v>
      </c>
      <c r="D17" s="446">
        <v>0</v>
      </c>
      <c r="E17" s="574">
        <v>0</v>
      </c>
      <c r="F17" s="574">
        <v>81697</v>
      </c>
      <c r="G17" s="574">
        <v>0</v>
      </c>
      <c r="H17" s="574"/>
      <c r="I17" s="574">
        <v>0</v>
      </c>
      <c r="J17" s="574"/>
      <c r="K17" s="574">
        <v>0</v>
      </c>
      <c r="L17" s="574">
        <v>0</v>
      </c>
      <c r="M17" s="574">
        <v>0</v>
      </c>
      <c r="N17" s="574">
        <v>0</v>
      </c>
      <c r="O17" s="574">
        <v>0</v>
      </c>
      <c r="P17" s="574">
        <v>0</v>
      </c>
      <c r="Q17" s="574">
        <f ca="1">+Des!AJ20</f>
        <v>0</v>
      </c>
      <c r="R17" s="577">
        <f t="shared" ca="1" si="0"/>
        <v>81697</v>
      </c>
      <c r="S17" s="575">
        <f>+Des!AH20</f>
        <v>0</v>
      </c>
      <c r="T17" s="577">
        <f t="shared" ca="1" si="1"/>
        <v>81697</v>
      </c>
      <c r="U17" s="577">
        <f t="shared" ca="1" si="2"/>
        <v>12</v>
      </c>
      <c r="V17" s="273"/>
    </row>
    <row r="18" spans="1:22">
      <c r="A18" s="491">
        <v>16</v>
      </c>
      <c r="B18" s="576" t="str">
        <f>+PERBULAN!B21</f>
        <v>ARLINI</v>
      </c>
      <c r="C18" s="612" t="str">
        <f>+Des!E21</f>
        <v>97.228.571.2-305.000</v>
      </c>
      <c r="D18" s="603">
        <v>28461</v>
      </c>
      <c r="E18" s="574">
        <v>13619</v>
      </c>
      <c r="F18" s="574">
        <v>167525</v>
      </c>
      <c r="G18" s="574">
        <v>13542</v>
      </c>
      <c r="H18" s="574"/>
      <c r="I18" s="574">
        <v>66152</v>
      </c>
      <c r="J18" s="574"/>
      <c r="K18" s="574">
        <v>0</v>
      </c>
      <c r="L18" s="574">
        <v>44772</v>
      </c>
      <c r="M18" s="574">
        <v>46798</v>
      </c>
      <c r="N18" s="574">
        <v>28593</v>
      </c>
      <c r="O18" s="574">
        <v>45659</v>
      </c>
      <c r="P18" s="574">
        <v>0</v>
      </c>
      <c r="Q18" s="574">
        <f ca="1">+Des!AJ21</f>
        <v>145029</v>
      </c>
      <c r="R18" s="577">
        <f t="shared" ca="1" si="0"/>
        <v>600150</v>
      </c>
      <c r="S18" s="575">
        <f>+Des!AH21</f>
        <v>600150</v>
      </c>
      <c r="T18" s="577">
        <f t="shared" ca="1" si="1"/>
        <v>0</v>
      </c>
      <c r="U18" s="577">
        <f t="shared" ca="1" si="2"/>
        <v>12</v>
      </c>
      <c r="V18" s="273"/>
    </row>
    <row r="19" spans="1:22">
      <c r="A19" s="491">
        <v>17</v>
      </c>
      <c r="B19" s="576">
        <f>+PERBULAN!B22</f>
        <v>0</v>
      </c>
      <c r="C19" s="579"/>
      <c r="D19" s="446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7">
        <f t="shared" si="0"/>
        <v>0</v>
      </c>
      <c r="S19" s="575">
        <v>0</v>
      </c>
      <c r="T19" s="577">
        <f t="shared" si="1"/>
        <v>0</v>
      </c>
      <c r="U19" s="577">
        <f t="shared" si="2"/>
        <v>0</v>
      </c>
      <c r="V19" s="273"/>
    </row>
    <row r="20" spans="1:22">
      <c r="A20" s="491">
        <v>18</v>
      </c>
      <c r="B20" s="576">
        <f>+PERBULAN!B23</f>
        <v>0</v>
      </c>
      <c r="C20" s="579"/>
      <c r="D20" s="446"/>
      <c r="E20" s="574"/>
      <c r="F20" s="574"/>
      <c r="G20" s="574"/>
      <c r="H20" s="574"/>
      <c r="I20" s="574"/>
      <c r="J20" s="574"/>
      <c r="K20" s="574"/>
      <c r="L20" s="574"/>
      <c r="M20" s="574"/>
      <c r="N20" s="574"/>
      <c r="O20" s="574"/>
      <c r="P20" s="574"/>
      <c r="Q20" s="574"/>
      <c r="R20" s="577">
        <f t="shared" si="0"/>
        <v>0</v>
      </c>
      <c r="S20" s="575">
        <v>0</v>
      </c>
      <c r="T20" s="577">
        <f t="shared" si="1"/>
        <v>0</v>
      </c>
      <c r="U20" s="577">
        <f t="shared" si="2"/>
        <v>0</v>
      </c>
      <c r="V20" s="273"/>
    </row>
    <row r="21" spans="1:22">
      <c r="A21" s="491">
        <v>19</v>
      </c>
      <c r="B21" s="576">
        <f>+PERBULAN!B24</f>
        <v>0</v>
      </c>
      <c r="C21" s="579"/>
      <c r="D21" s="446"/>
      <c r="E21" s="574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  <c r="R21" s="577">
        <f t="shared" si="0"/>
        <v>0</v>
      </c>
      <c r="S21" s="575">
        <v>0</v>
      </c>
      <c r="T21" s="577">
        <f t="shared" si="1"/>
        <v>0</v>
      </c>
      <c r="U21" s="577">
        <f t="shared" si="2"/>
        <v>0</v>
      </c>
      <c r="V21" s="273"/>
    </row>
    <row r="22" spans="1:22">
      <c r="A22" s="491">
        <v>20</v>
      </c>
      <c r="B22" s="576">
        <f>+PERBULAN!B25</f>
        <v>0</v>
      </c>
      <c r="C22" s="579"/>
      <c r="D22" s="446"/>
      <c r="E22" s="574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  <c r="R22" s="577">
        <f t="shared" si="0"/>
        <v>0</v>
      </c>
      <c r="S22" s="575">
        <v>0</v>
      </c>
      <c r="T22" s="577">
        <f t="shared" si="1"/>
        <v>0</v>
      </c>
      <c r="U22" s="577">
        <f t="shared" si="2"/>
        <v>0</v>
      </c>
      <c r="V22" s="273"/>
    </row>
    <row r="23" spans="1:22">
      <c r="A23" s="491">
        <v>21</v>
      </c>
      <c r="B23" s="576">
        <f>+PERBULAN!B26</f>
        <v>0</v>
      </c>
      <c r="C23" s="579"/>
      <c r="D23" s="580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7">
        <f t="shared" si="0"/>
        <v>0</v>
      </c>
      <c r="S23" s="575">
        <v>0</v>
      </c>
      <c r="T23" s="577">
        <f t="shared" si="1"/>
        <v>0</v>
      </c>
      <c r="U23" s="577">
        <f t="shared" si="2"/>
        <v>0</v>
      </c>
      <c r="V23" s="273"/>
    </row>
    <row r="24" spans="1:22">
      <c r="A24" s="491">
        <v>22</v>
      </c>
      <c r="B24" s="576">
        <f>+PERBULAN!B27</f>
        <v>0</v>
      </c>
      <c r="C24" s="579"/>
      <c r="D24" s="574"/>
      <c r="E24" s="574"/>
      <c r="F24" s="574"/>
      <c r="G24" s="574"/>
      <c r="H24" s="574"/>
      <c r="I24" s="574"/>
      <c r="J24" s="574"/>
      <c r="K24" s="574"/>
      <c r="L24" s="574"/>
      <c r="M24" s="574"/>
      <c r="N24" s="574"/>
      <c r="O24" s="574"/>
      <c r="P24" s="574"/>
      <c r="Q24" s="574"/>
      <c r="R24" s="577">
        <f t="shared" si="0"/>
        <v>0</v>
      </c>
      <c r="S24" s="575">
        <v>0</v>
      </c>
      <c r="T24" s="577">
        <f t="shared" si="1"/>
        <v>0</v>
      </c>
      <c r="U24" s="577">
        <f t="shared" si="2"/>
        <v>0</v>
      </c>
      <c r="V24" s="273"/>
    </row>
    <row r="25" spans="1:22">
      <c r="A25" s="491">
        <v>23</v>
      </c>
      <c r="B25" s="576">
        <f>+PERBULAN!B28</f>
        <v>0</v>
      </c>
      <c r="C25" s="579"/>
      <c r="D25" s="574"/>
      <c r="E25" s="574"/>
      <c r="F25" s="574"/>
      <c r="G25" s="574"/>
      <c r="H25" s="574"/>
      <c r="I25" s="574"/>
      <c r="J25" s="574"/>
      <c r="K25" s="574"/>
      <c r="L25" s="574"/>
      <c r="M25" s="574"/>
      <c r="N25" s="574"/>
      <c r="O25" s="574"/>
      <c r="P25" s="574"/>
      <c r="Q25" s="574"/>
      <c r="R25" s="577">
        <f t="shared" si="0"/>
        <v>0</v>
      </c>
      <c r="S25" s="575">
        <v>0</v>
      </c>
      <c r="T25" s="577">
        <f t="shared" si="1"/>
        <v>0</v>
      </c>
      <c r="U25" s="577">
        <f t="shared" si="2"/>
        <v>0</v>
      </c>
    </row>
    <row r="26" spans="1:22">
      <c r="A26" s="491">
        <v>24</v>
      </c>
      <c r="B26" s="576">
        <f>+PERBULAN!B29</f>
        <v>0</v>
      </c>
      <c r="C26" s="579"/>
      <c r="D26" s="574"/>
      <c r="E26" s="574"/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/>
      <c r="Q26" s="574"/>
      <c r="R26" s="577">
        <f t="shared" si="0"/>
        <v>0</v>
      </c>
      <c r="S26" s="575">
        <v>0</v>
      </c>
      <c r="T26" s="577">
        <f t="shared" si="1"/>
        <v>0</v>
      </c>
      <c r="U26" s="577">
        <f t="shared" si="2"/>
        <v>0</v>
      </c>
    </row>
    <row r="27" spans="1:22">
      <c r="A27" s="491">
        <v>25</v>
      </c>
      <c r="B27" s="576">
        <f>+PERBULAN!B30</f>
        <v>0</v>
      </c>
      <c r="C27" s="579"/>
      <c r="D27" s="574"/>
      <c r="E27" s="574"/>
      <c r="F27" s="574"/>
      <c r="G27" s="574"/>
      <c r="H27" s="574"/>
      <c r="I27" s="574"/>
      <c r="J27" s="574"/>
      <c r="K27" s="574"/>
      <c r="L27" s="574"/>
      <c r="M27" s="574"/>
      <c r="N27" s="574"/>
      <c r="O27" s="574"/>
      <c r="P27" s="574"/>
      <c r="Q27" s="574"/>
      <c r="R27" s="577">
        <f t="shared" si="0"/>
        <v>0</v>
      </c>
      <c r="S27" s="575">
        <v>0</v>
      </c>
      <c r="T27" s="577">
        <f t="shared" si="1"/>
        <v>0</v>
      </c>
      <c r="U27" s="577">
        <f t="shared" si="2"/>
        <v>0</v>
      </c>
    </row>
    <row r="28" spans="1:22">
      <c r="A28" s="491">
        <v>26</v>
      </c>
      <c r="B28" s="576">
        <f>+PERBULAN!B31</f>
        <v>0</v>
      </c>
      <c r="C28" s="579"/>
      <c r="D28" s="574"/>
      <c r="E28" s="574"/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574"/>
      <c r="Q28" s="574"/>
      <c r="R28" s="577">
        <f t="shared" si="0"/>
        <v>0</v>
      </c>
      <c r="S28" s="575">
        <v>0</v>
      </c>
      <c r="T28" s="577">
        <f t="shared" si="1"/>
        <v>0</v>
      </c>
      <c r="U28" s="577">
        <f t="shared" si="2"/>
        <v>0</v>
      </c>
    </row>
    <row r="29" spans="1:22">
      <c r="A29" s="491">
        <v>27</v>
      </c>
      <c r="B29" s="576">
        <f>+PERBULAN!B32</f>
        <v>0</v>
      </c>
      <c r="C29" s="579"/>
      <c r="D29" s="574"/>
      <c r="E29" s="574"/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/>
      <c r="Q29" s="574"/>
      <c r="R29" s="577">
        <f t="shared" si="0"/>
        <v>0</v>
      </c>
      <c r="S29" s="575">
        <v>0</v>
      </c>
      <c r="T29" s="577">
        <f t="shared" si="1"/>
        <v>0</v>
      </c>
      <c r="U29" s="577">
        <f t="shared" si="2"/>
        <v>0</v>
      </c>
    </row>
    <row r="30" spans="1:22">
      <c r="A30" s="491">
        <v>28</v>
      </c>
      <c r="B30" s="576">
        <f>+PERBULAN!B33</f>
        <v>0</v>
      </c>
      <c r="C30" s="579"/>
      <c r="D30" s="574"/>
      <c r="E30" s="574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7"/>
      <c r="S30" s="575"/>
      <c r="T30" s="577"/>
      <c r="U30" s="577"/>
    </row>
    <row r="31" spans="1:22">
      <c r="A31" s="491">
        <v>29</v>
      </c>
      <c r="B31" s="576">
        <f>+PERBULAN!B34</f>
        <v>0</v>
      </c>
      <c r="C31" s="579"/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574"/>
      <c r="R31" s="577"/>
      <c r="S31" s="575"/>
      <c r="T31" s="577"/>
      <c r="U31" s="577"/>
    </row>
    <row r="32" spans="1:22">
      <c r="A32" s="491">
        <v>30</v>
      </c>
      <c r="B32" s="576">
        <f>+PERBULAN!B35</f>
        <v>0</v>
      </c>
      <c r="C32" s="579"/>
      <c r="D32" s="574"/>
      <c r="E32" s="574"/>
      <c r="F32" s="574"/>
      <c r="G32" s="574"/>
      <c r="H32" s="574"/>
      <c r="I32" s="574"/>
      <c r="J32" s="574"/>
      <c r="K32" s="574"/>
      <c r="L32" s="574"/>
      <c r="M32" s="574"/>
      <c r="N32" s="574"/>
      <c r="O32" s="574"/>
      <c r="P32" s="574"/>
      <c r="Q32" s="574"/>
      <c r="R32" s="577"/>
      <c r="S32" s="575"/>
      <c r="T32" s="577"/>
      <c r="U32" s="577"/>
    </row>
    <row r="33" spans="1:22">
      <c r="A33" s="491">
        <v>31</v>
      </c>
      <c r="B33" s="576">
        <f>+PERBULAN!B36</f>
        <v>0</v>
      </c>
      <c r="C33" s="579"/>
      <c r="D33" s="574"/>
      <c r="E33" s="574"/>
      <c r="F33" s="574"/>
      <c r="G33" s="574"/>
      <c r="H33" s="574"/>
      <c r="I33" s="574"/>
      <c r="J33" s="574"/>
      <c r="K33" s="574"/>
      <c r="L33" s="574"/>
      <c r="M33" s="574"/>
      <c r="N33" s="574"/>
      <c r="O33" s="574"/>
      <c r="P33" s="574"/>
      <c r="Q33" s="574"/>
      <c r="R33" s="577"/>
      <c r="S33" s="575"/>
      <c r="T33" s="577"/>
      <c r="U33" s="577"/>
    </row>
    <row r="34" spans="1:22">
      <c r="A34" s="491">
        <v>32</v>
      </c>
      <c r="B34" s="576">
        <f>+PERBULAN!B37</f>
        <v>0</v>
      </c>
      <c r="C34" s="579"/>
      <c r="D34" s="574"/>
      <c r="E34" s="574"/>
      <c r="F34" s="574"/>
      <c r="G34" s="574"/>
      <c r="H34" s="574"/>
      <c r="I34" s="574"/>
      <c r="J34" s="574"/>
      <c r="K34" s="574"/>
      <c r="L34" s="574"/>
      <c r="M34" s="574"/>
      <c r="N34" s="574"/>
      <c r="O34" s="574"/>
      <c r="P34" s="574"/>
      <c r="Q34" s="574"/>
      <c r="R34" s="577"/>
      <c r="S34" s="575"/>
      <c r="T34" s="577"/>
      <c r="U34" s="577"/>
    </row>
    <row r="35" spans="1:22">
      <c r="A35" s="491">
        <v>33</v>
      </c>
      <c r="B35" s="576">
        <f>+PERBULAN!B38</f>
        <v>0</v>
      </c>
      <c r="C35" s="579"/>
      <c r="D35" s="574"/>
      <c r="E35" s="574"/>
      <c r="F35" s="574"/>
      <c r="G35" s="574"/>
      <c r="H35" s="574"/>
      <c r="I35" s="574"/>
      <c r="J35" s="574"/>
      <c r="K35" s="574"/>
      <c r="L35" s="574"/>
      <c r="M35" s="574"/>
      <c r="N35" s="574"/>
      <c r="O35" s="574"/>
      <c r="P35" s="574"/>
      <c r="Q35" s="574"/>
      <c r="R35" s="577"/>
      <c r="S35" s="575"/>
      <c r="T35" s="577"/>
      <c r="U35" s="577"/>
    </row>
    <row r="36" spans="1:22">
      <c r="B36" s="581" t="s">
        <v>249</v>
      </c>
      <c r="C36" s="581"/>
      <c r="D36" s="581">
        <f t="shared" ref="D36:Q36" si="3">SUM(D3:D29)</f>
        <v>28461</v>
      </c>
      <c r="E36" s="581">
        <f t="shared" si="3"/>
        <v>68143</v>
      </c>
      <c r="F36" s="581">
        <f t="shared" si="3"/>
        <v>2468358</v>
      </c>
      <c r="G36" s="581">
        <f t="shared" si="3"/>
        <v>113877</v>
      </c>
      <c r="H36" s="581">
        <f t="shared" si="3"/>
        <v>0</v>
      </c>
      <c r="I36" s="581">
        <f t="shared" si="3"/>
        <v>610816</v>
      </c>
      <c r="J36" s="581">
        <f t="shared" si="3"/>
        <v>0</v>
      </c>
      <c r="K36" s="581">
        <f t="shared" si="3"/>
        <v>90941</v>
      </c>
      <c r="L36" s="581">
        <f t="shared" si="3"/>
        <v>436732</v>
      </c>
      <c r="M36" s="581">
        <f t="shared" si="3"/>
        <v>432763</v>
      </c>
      <c r="N36" s="581">
        <f t="shared" si="3"/>
        <v>196047</v>
      </c>
      <c r="O36" s="581">
        <f t="shared" si="3"/>
        <v>262868</v>
      </c>
      <c r="P36" s="581">
        <f t="shared" si="3"/>
        <v>232703</v>
      </c>
      <c r="Q36" s="581">
        <f t="shared" ca="1" si="3"/>
        <v>907252</v>
      </c>
    </row>
    <row r="37" spans="1:22">
      <c r="R37" s="577">
        <f ca="1">SUM(R3:R29)</f>
        <v>5848961</v>
      </c>
      <c r="S37" s="577">
        <f>SUM(S3:S29)</f>
        <v>4728350</v>
      </c>
      <c r="T37" s="577">
        <f ca="1">SUM(T3:T29)</f>
        <v>1120611</v>
      </c>
      <c r="U37" s="577">
        <f ca="1">SUM(U3:U29)</f>
        <v>192</v>
      </c>
      <c r="V37" s="577"/>
    </row>
    <row r="38" spans="1:22">
      <c r="D38" s="491">
        <f t="shared" ref="D38:Q38" si="4">COUNT(D3:D29)</f>
        <v>16</v>
      </c>
      <c r="E38" s="491">
        <f t="shared" si="4"/>
        <v>16</v>
      </c>
      <c r="F38" s="491">
        <f t="shared" si="4"/>
        <v>16</v>
      </c>
      <c r="G38" s="491">
        <f t="shared" si="4"/>
        <v>16</v>
      </c>
      <c r="H38" s="491">
        <f t="shared" si="4"/>
        <v>0</v>
      </c>
      <c r="I38" s="491">
        <f t="shared" si="4"/>
        <v>16</v>
      </c>
      <c r="J38" s="491">
        <f t="shared" si="4"/>
        <v>0</v>
      </c>
      <c r="K38" s="491">
        <f t="shared" si="4"/>
        <v>16</v>
      </c>
      <c r="L38" s="491">
        <f t="shared" si="4"/>
        <v>16</v>
      </c>
      <c r="M38" s="491">
        <f t="shared" si="4"/>
        <v>16</v>
      </c>
      <c r="N38" s="491">
        <f t="shared" si="4"/>
        <v>16</v>
      </c>
      <c r="O38" s="491">
        <f t="shared" si="4"/>
        <v>16</v>
      </c>
      <c r="P38" s="491">
        <f t="shared" si="4"/>
        <v>16</v>
      </c>
      <c r="Q38" s="491">
        <f t="shared" ca="1" si="4"/>
        <v>16</v>
      </c>
    </row>
    <row r="44" spans="1:22" hidden="1">
      <c r="A44" s="491">
        <v>14</v>
      </c>
      <c r="B44" s="576" t="e">
        <f>+PERBULAN!#REF!</f>
        <v>#REF!</v>
      </c>
      <c r="C44" s="578">
        <v>972374425305000</v>
      </c>
      <c r="D44" s="446">
        <v>138130</v>
      </c>
      <c r="E44" s="574">
        <v>82525</v>
      </c>
      <c r="F44" s="574">
        <v>511052</v>
      </c>
      <c r="G44" s="574">
        <v>82083</v>
      </c>
      <c r="H44" s="574"/>
      <c r="I44" s="574">
        <v>148394</v>
      </c>
      <c r="J44" s="574"/>
      <c r="K44" s="574"/>
      <c r="L44" s="574"/>
      <c r="M44" s="574"/>
      <c r="N44" s="574"/>
      <c r="O44" s="574"/>
      <c r="P44" s="574"/>
      <c r="Q44" s="574"/>
      <c r="R44" s="577">
        <f>SUM(D44:Q44)</f>
        <v>962184</v>
      </c>
      <c r="S44" s="575">
        <v>0</v>
      </c>
      <c r="T44" s="577">
        <f>R44-S44</f>
        <v>962184</v>
      </c>
      <c r="U44" s="577">
        <f>COUNT(D44:Q44)-COUNT(H44)-COUNT(J44)</f>
        <v>5</v>
      </c>
      <c r="V44" s="273"/>
    </row>
    <row r="45" spans="1:22" hidden="1">
      <c r="A45" s="491">
        <v>28</v>
      </c>
      <c r="B45" s="576" t="e">
        <f>+PERBULAN!#REF!</f>
        <v>#REF!</v>
      </c>
      <c r="C45" s="579">
        <v>972285258305000</v>
      </c>
      <c r="D45" s="574">
        <v>0</v>
      </c>
      <c r="E45" s="574">
        <v>0</v>
      </c>
      <c r="F45" s="574">
        <v>124548</v>
      </c>
      <c r="G45" s="574">
        <v>0</v>
      </c>
      <c r="H45" s="574"/>
      <c r="I45" s="574">
        <v>0</v>
      </c>
      <c r="J45" s="574"/>
      <c r="K45" s="574">
        <v>0</v>
      </c>
      <c r="L45" s="574">
        <v>0</v>
      </c>
      <c r="M45" s="574"/>
      <c r="N45" s="574"/>
      <c r="O45" s="574"/>
      <c r="P45" s="574"/>
      <c r="Q45" s="574"/>
      <c r="R45" s="577">
        <f>SUM(D45:Q45)</f>
        <v>124548</v>
      </c>
      <c r="S45" s="575">
        <v>0</v>
      </c>
      <c r="T45" s="577">
        <f>R45-S45</f>
        <v>124548</v>
      </c>
      <c r="U45" s="577">
        <f>COUNT(D45:Q45)-COUNT(H45)-COUNT(J45)</f>
        <v>7</v>
      </c>
    </row>
    <row r="46" spans="1:22" hidden="1">
      <c r="A46" s="491">
        <v>31</v>
      </c>
      <c r="B46" s="576" t="e">
        <f>+PERBULAN!#REF!</f>
        <v>#REF!</v>
      </c>
      <c r="C46" s="579" t="s">
        <v>354</v>
      </c>
      <c r="D46" s="574">
        <v>0</v>
      </c>
      <c r="E46" s="574">
        <v>0</v>
      </c>
      <c r="F46" s="574">
        <v>126441</v>
      </c>
      <c r="G46" s="574">
        <v>0</v>
      </c>
      <c r="H46" s="574"/>
      <c r="I46" s="574">
        <v>0</v>
      </c>
      <c r="J46" s="574"/>
      <c r="K46" s="574">
        <v>0</v>
      </c>
      <c r="L46" s="574">
        <v>0</v>
      </c>
      <c r="M46" s="574"/>
      <c r="N46" s="574"/>
      <c r="O46" s="574"/>
      <c r="P46" s="574"/>
      <c r="Q46" s="574"/>
      <c r="R46" s="577">
        <f>SUM(D46:Q46)</f>
        <v>126441</v>
      </c>
      <c r="S46" s="575">
        <v>0</v>
      </c>
      <c r="T46" s="577">
        <f>R46-S46</f>
        <v>126441</v>
      </c>
      <c r="U46" s="577">
        <f>COUNT(D46:Q46)-COUNT(H46)-COUNT(J46)</f>
        <v>7</v>
      </c>
    </row>
    <row r="48" spans="1:22">
      <c r="A48" s="491">
        <v>1</v>
      </c>
      <c r="B48" s="611" t="str">
        <f>+PERBULAN!B120</f>
        <v>NURANI</v>
      </c>
      <c r="C48" s="612" t="str">
        <f>+Des!E53</f>
        <v>97.228.711.4-305.000</v>
      </c>
      <c r="D48" s="613">
        <v>87247</v>
      </c>
      <c r="E48" s="614">
        <v>90826</v>
      </c>
      <c r="F48" s="614">
        <v>195611</v>
      </c>
      <c r="G48" s="614">
        <v>0</v>
      </c>
      <c r="H48" s="614"/>
      <c r="I48" s="614">
        <v>127284</v>
      </c>
      <c r="J48" s="614"/>
      <c r="K48" s="614">
        <v>45686</v>
      </c>
      <c r="L48" s="614">
        <v>86833</v>
      </c>
      <c r="M48" s="614">
        <v>65322</v>
      </c>
      <c r="N48" s="614">
        <v>13625</v>
      </c>
      <c r="O48" s="614">
        <v>46077</v>
      </c>
      <c r="P48" s="614">
        <v>0</v>
      </c>
      <c r="Q48" s="614"/>
      <c r="R48" s="577">
        <f>SUM(D48:Q48)</f>
        <v>758511</v>
      </c>
      <c r="S48" s="575">
        <v>0</v>
      </c>
      <c r="T48" s="577">
        <f>R48-S48</f>
        <v>758511</v>
      </c>
      <c r="U48" s="577">
        <f>COUNT(D48:Q48)-COUNT(H48)-COUNT(J48)</f>
        <v>11</v>
      </c>
      <c r="V48" s="273"/>
    </row>
    <row r="49" spans="1:22">
      <c r="A49" s="491">
        <v>6</v>
      </c>
      <c r="B49" s="576" t="str">
        <f>+PERBULAN!B121</f>
        <v>UJANG SANUSI</v>
      </c>
      <c r="C49" s="612" t="str">
        <f>+Des!E54</f>
        <v>75.749.196.4-305.000</v>
      </c>
      <c r="D49" s="446">
        <v>32684</v>
      </c>
      <c r="E49" s="574">
        <v>80644</v>
      </c>
      <c r="F49" s="574">
        <v>218897</v>
      </c>
      <c r="G49" s="574">
        <v>0</v>
      </c>
      <c r="H49" s="574"/>
      <c r="I49" s="574">
        <v>88254</v>
      </c>
      <c r="J49" s="574"/>
      <c r="K49" s="574">
        <v>33282</v>
      </c>
      <c r="L49" s="574">
        <v>80575</v>
      </c>
      <c r="M49" s="574">
        <v>75870</v>
      </c>
      <c r="N49" s="574">
        <v>16138</v>
      </c>
      <c r="O49" s="574">
        <v>80687</v>
      </c>
      <c r="P49" s="574">
        <v>0</v>
      </c>
      <c r="Q49" s="574"/>
      <c r="R49" s="577">
        <f>SUM(D49:Q49)</f>
        <v>707031</v>
      </c>
      <c r="S49" s="575">
        <v>0</v>
      </c>
      <c r="T49" s="577">
        <f>R49-S49</f>
        <v>707031</v>
      </c>
      <c r="U49" s="577">
        <f>COUNT(D49:Q49)-COUNT(H49)-COUNT(J49)</f>
        <v>11</v>
      </c>
      <c r="V49" s="273"/>
    </row>
  </sheetData>
  <mergeCells count="3">
    <mergeCell ref="B1:B2"/>
    <mergeCell ref="C1:C2"/>
    <mergeCell ref="D1:Q1"/>
  </mergeCells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opLeftCell="A49" workbookViewId="0">
      <selection activeCell="N26" sqref="N26"/>
    </sheetView>
  </sheetViews>
  <sheetFormatPr defaultRowHeight="15"/>
  <cols>
    <col min="1" max="1" width="7" style="375" customWidth="1"/>
    <col min="2" max="2" width="16.7109375" style="375" customWidth="1"/>
    <col min="3" max="3" width="10.140625" style="375" customWidth="1"/>
    <col min="4" max="4" width="11" style="375" customWidth="1"/>
    <col min="5" max="5" width="10.5703125" style="375" customWidth="1"/>
    <col min="6" max="6" width="10.140625" style="375" customWidth="1"/>
    <col min="7" max="7" width="10.42578125" style="375" customWidth="1"/>
    <col min="8" max="8" width="10.5703125" style="375" customWidth="1"/>
    <col min="9" max="10" width="10.42578125" style="375" customWidth="1"/>
    <col min="11" max="11" width="10" style="375" customWidth="1"/>
    <col min="12" max="12" width="10.28515625" style="375" customWidth="1"/>
    <col min="13" max="13" width="11.28515625" style="375" customWidth="1"/>
    <col min="14" max="14" width="10.28515625" style="375" customWidth="1"/>
    <col min="15" max="15" width="12.140625" style="375" customWidth="1"/>
    <col min="16" max="16384" width="9.140625" style="375"/>
  </cols>
  <sheetData>
    <row r="1" spans="1:15">
      <c r="A1" s="372" t="s">
        <v>71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4"/>
      <c r="M1" s="374"/>
      <c r="N1" s="373"/>
      <c r="O1" s="373"/>
    </row>
    <row r="2" spans="1:15" ht="15.75" thickBot="1">
      <c r="A2" s="372" t="s">
        <v>348</v>
      </c>
      <c r="B2" s="373"/>
      <c r="C2" s="373"/>
      <c r="D2" s="373"/>
      <c r="E2" s="376"/>
      <c r="F2" s="376"/>
      <c r="G2" s="376"/>
      <c r="H2" s="376"/>
      <c r="I2" s="376"/>
      <c r="J2" s="376"/>
      <c r="K2" s="376"/>
      <c r="L2" s="377"/>
      <c r="M2" s="377"/>
      <c r="N2" s="376"/>
      <c r="O2" s="376"/>
    </row>
    <row r="3" spans="1:15">
      <c r="A3" s="742" t="s">
        <v>0</v>
      </c>
      <c r="B3" s="735" t="s">
        <v>231</v>
      </c>
      <c r="C3" s="775" t="s">
        <v>234</v>
      </c>
      <c r="D3" s="776"/>
      <c r="E3" s="776"/>
      <c r="F3" s="776"/>
      <c r="G3" s="776"/>
      <c r="H3" s="776"/>
      <c r="I3" s="776"/>
      <c r="J3" s="776"/>
      <c r="K3" s="776"/>
      <c r="L3" s="776"/>
      <c r="M3" s="776"/>
      <c r="N3" s="776"/>
      <c r="O3" s="777"/>
    </row>
    <row r="4" spans="1:15">
      <c r="A4" s="743"/>
      <c r="B4" s="736"/>
      <c r="C4" s="729" t="s">
        <v>237</v>
      </c>
      <c r="D4" s="729" t="s">
        <v>238</v>
      </c>
      <c r="E4" s="729" t="s">
        <v>239</v>
      </c>
      <c r="F4" s="778" t="s">
        <v>240</v>
      </c>
      <c r="G4" s="729" t="s">
        <v>241</v>
      </c>
      <c r="H4" s="729" t="s">
        <v>242</v>
      </c>
      <c r="I4" s="729" t="s">
        <v>243</v>
      </c>
      <c r="J4" s="729" t="s">
        <v>244</v>
      </c>
      <c r="K4" s="729" t="s">
        <v>245</v>
      </c>
      <c r="L4" s="727" t="s">
        <v>246</v>
      </c>
      <c r="M4" s="727" t="s">
        <v>247</v>
      </c>
      <c r="N4" s="729" t="s">
        <v>248</v>
      </c>
      <c r="O4" s="569" t="s">
        <v>249</v>
      </c>
    </row>
    <row r="5" spans="1:15" ht="15.75" thickBot="1">
      <c r="A5" s="744"/>
      <c r="B5" s="734"/>
      <c r="C5" s="730"/>
      <c r="D5" s="730"/>
      <c r="E5" s="730"/>
      <c r="F5" s="779"/>
      <c r="G5" s="730"/>
      <c r="H5" s="730"/>
      <c r="I5" s="730"/>
      <c r="J5" s="733"/>
      <c r="K5" s="730"/>
      <c r="L5" s="728"/>
      <c r="M5" s="728"/>
      <c r="N5" s="733"/>
      <c r="O5" s="385" t="s">
        <v>254</v>
      </c>
    </row>
    <row r="6" spans="1:15" ht="15.75" thickTop="1"/>
    <row r="7" spans="1:15">
      <c r="A7" s="397">
        <v>2</v>
      </c>
      <c r="B7" s="398" t="str">
        <f>+PERBULAN!B6</f>
        <v>SARWANDI</v>
      </c>
      <c r="C7" s="401">
        <v>157084</v>
      </c>
      <c r="D7" s="401">
        <v>157084</v>
      </c>
      <c r="E7" s="401">
        <v>157084</v>
      </c>
      <c r="F7" s="401">
        <v>157084</v>
      </c>
      <c r="G7" s="401">
        <v>157084</v>
      </c>
      <c r="H7" s="413">
        <v>157084</v>
      </c>
      <c r="I7" s="401">
        <v>157084</v>
      </c>
      <c r="J7" s="401">
        <v>157084</v>
      </c>
      <c r="K7" s="401">
        <v>157084</v>
      </c>
      <c r="L7" s="401">
        <v>157084</v>
      </c>
      <c r="M7" s="401">
        <v>157084</v>
      </c>
      <c r="N7" s="401"/>
      <c r="O7" s="404">
        <f t="shared" ref="O7:O30" si="0">SUM(C7:N7)</f>
        <v>1727924</v>
      </c>
    </row>
    <row r="8" spans="1:15">
      <c r="A8" s="397">
        <v>3</v>
      </c>
      <c r="B8" s="398" t="str">
        <f>+PERBULAN!B7</f>
        <v>SUHARMAN</v>
      </c>
      <c r="C8" s="401">
        <v>157504</v>
      </c>
      <c r="D8" s="401">
        <v>158484</v>
      </c>
      <c r="E8" s="401">
        <v>158484</v>
      </c>
      <c r="F8" s="413">
        <v>158484</v>
      </c>
      <c r="G8" s="413">
        <v>158484</v>
      </c>
      <c r="H8" s="413">
        <v>158624</v>
      </c>
      <c r="I8" s="401">
        <v>158624</v>
      </c>
      <c r="J8" s="401">
        <v>158624</v>
      </c>
      <c r="K8" s="401">
        <v>158624</v>
      </c>
      <c r="L8" s="401">
        <v>158624</v>
      </c>
      <c r="M8" s="401">
        <v>158624</v>
      </c>
      <c r="N8" s="401"/>
      <c r="O8" s="404">
        <f t="shared" si="0"/>
        <v>1743184</v>
      </c>
    </row>
    <row r="9" spans="1:15">
      <c r="A9" s="397">
        <v>4</v>
      </c>
      <c r="B9" s="398" t="str">
        <f>+PERBULAN!B8</f>
        <v>DARMAWAN</v>
      </c>
      <c r="C9" s="401">
        <v>157504</v>
      </c>
      <c r="D9" s="401">
        <v>158624</v>
      </c>
      <c r="E9" s="401">
        <v>158624</v>
      </c>
      <c r="F9" s="401">
        <v>158624</v>
      </c>
      <c r="G9" s="401">
        <v>158624</v>
      </c>
      <c r="H9" s="401">
        <v>158764</v>
      </c>
      <c r="I9" s="401">
        <v>158764</v>
      </c>
      <c r="J9" s="401">
        <v>158764</v>
      </c>
      <c r="K9" s="401">
        <v>158764</v>
      </c>
      <c r="L9" s="401">
        <v>158764</v>
      </c>
      <c r="M9" s="401">
        <v>158764</v>
      </c>
      <c r="N9" s="401"/>
      <c r="O9" s="404">
        <f t="shared" si="0"/>
        <v>1744584</v>
      </c>
    </row>
    <row r="10" spans="1:15">
      <c r="A10" s="397">
        <v>5</v>
      </c>
      <c r="B10" s="398" t="str">
        <f>+PERBULAN!B9</f>
        <v>SUMARDI</v>
      </c>
      <c r="C10" s="401">
        <v>157504</v>
      </c>
      <c r="D10" s="401">
        <v>158624</v>
      </c>
      <c r="E10" s="401">
        <v>158624</v>
      </c>
      <c r="F10" s="401">
        <v>158764</v>
      </c>
      <c r="G10" s="401">
        <v>158764</v>
      </c>
      <c r="H10" s="401">
        <v>158764</v>
      </c>
      <c r="I10" s="401">
        <v>158764</v>
      </c>
      <c r="J10" s="401">
        <v>158764</v>
      </c>
      <c r="K10" s="401">
        <v>158764</v>
      </c>
      <c r="L10" s="401">
        <v>158764</v>
      </c>
      <c r="M10" s="401">
        <v>158764</v>
      </c>
      <c r="N10" s="401"/>
      <c r="O10" s="404">
        <f t="shared" si="0"/>
        <v>1744864</v>
      </c>
    </row>
    <row r="12" spans="1:15">
      <c r="A12" s="397">
        <v>7</v>
      </c>
      <c r="B12" s="398" t="str">
        <f>+PERBULAN!B10</f>
        <v>EKI SUMANTRI</v>
      </c>
      <c r="C12" s="401">
        <v>155664</v>
      </c>
      <c r="D12" s="401">
        <v>155664</v>
      </c>
      <c r="E12" s="401">
        <v>155664</v>
      </c>
      <c r="F12" s="401">
        <v>155664</v>
      </c>
      <c r="G12" s="401">
        <v>155664</v>
      </c>
      <c r="H12" s="401">
        <v>155664</v>
      </c>
      <c r="I12" s="401">
        <v>155784</v>
      </c>
      <c r="J12" s="401">
        <v>155784</v>
      </c>
      <c r="K12" s="401">
        <v>155784</v>
      </c>
      <c r="L12" s="401">
        <v>155784</v>
      </c>
      <c r="M12" s="401">
        <v>155784</v>
      </c>
      <c r="N12" s="401"/>
      <c r="O12" s="404">
        <f t="shared" si="0"/>
        <v>1712904</v>
      </c>
    </row>
    <row r="13" spans="1:15">
      <c r="A13" s="397">
        <v>8</v>
      </c>
      <c r="B13" s="398" t="str">
        <f>+PERBULAN!B11</f>
        <v>SULISTIYANI SAPUTRI</v>
      </c>
      <c r="C13" s="401">
        <v>156944</v>
      </c>
      <c r="D13" s="401">
        <v>156944</v>
      </c>
      <c r="E13" s="401">
        <v>156944</v>
      </c>
      <c r="F13" s="401">
        <v>156944</v>
      </c>
      <c r="G13" s="401">
        <v>156944</v>
      </c>
      <c r="H13" s="401">
        <v>156944</v>
      </c>
      <c r="I13" s="401">
        <v>156944</v>
      </c>
      <c r="J13" s="401">
        <v>157084</v>
      </c>
      <c r="K13" s="401">
        <v>157084</v>
      </c>
      <c r="L13" s="401">
        <v>157084</v>
      </c>
      <c r="M13" s="401">
        <v>157084</v>
      </c>
      <c r="N13" s="401"/>
      <c r="O13" s="404">
        <f t="shared" si="0"/>
        <v>1726944</v>
      </c>
    </row>
    <row r="14" spans="1:15">
      <c r="A14" s="397">
        <v>9</v>
      </c>
      <c r="B14" s="398" t="str">
        <f>+PERBULAN!B12</f>
        <v>TRISNAWATI</v>
      </c>
      <c r="C14" s="401">
        <v>155784</v>
      </c>
      <c r="D14" s="401">
        <v>155784</v>
      </c>
      <c r="E14" s="401">
        <v>155784</v>
      </c>
      <c r="F14" s="401">
        <v>155784</v>
      </c>
      <c r="G14" s="401">
        <v>155784</v>
      </c>
      <c r="H14" s="401">
        <v>155784</v>
      </c>
      <c r="I14" s="401">
        <v>155784</v>
      </c>
      <c r="J14" s="401">
        <v>155784</v>
      </c>
      <c r="K14" s="401">
        <v>155784</v>
      </c>
      <c r="L14" s="401">
        <v>155904</v>
      </c>
      <c r="M14" s="401">
        <v>155904</v>
      </c>
      <c r="N14" s="401"/>
      <c r="O14" s="404">
        <f t="shared" si="0"/>
        <v>1713864</v>
      </c>
    </row>
    <row r="15" spans="1:15">
      <c r="A15" s="397">
        <v>10</v>
      </c>
      <c r="B15" s="398" t="str">
        <f>+PERBULAN!B13</f>
        <v>ELNI</v>
      </c>
      <c r="C15" s="401">
        <v>156384</v>
      </c>
      <c r="D15" s="401">
        <v>156384</v>
      </c>
      <c r="E15" s="401">
        <v>156384</v>
      </c>
      <c r="F15" s="401">
        <v>156384</v>
      </c>
      <c r="G15" s="401">
        <v>156384</v>
      </c>
      <c r="H15" s="401">
        <v>156384</v>
      </c>
      <c r="I15" s="401">
        <v>156384</v>
      </c>
      <c r="J15" s="401">
        <v>156384</v>
      </c>
      <c r="K15" s="401">
        <v>156384</v>
      </c>
      <c r="L15" s="401">
        <v>156384</v>
      </c>
      <c r="M15" s="401">
        <v>156384</v>
      </c>
      <c r="N15" s="401"/>
      <c r="O15" s="404">
        <f t="shared" si="0"/>
        <v>1720224</v>
      </c>
    </row>
    <row r="16" spans="1:15">
      <c r="A16" s="397">
        <v>11</v>
      </c>
      <c r="B16" s="398" t="str">
        <f>+PERBULAN!B14</f>
        <v>YUSTIANA</v>
      </c>
      <c r="C16" s="401">
        <v>157224</v>
      </c>
      <c r="D16" s="401">
        <v>157224</v>
      </c>
      <c r="E16" s="401">
        <v>157224</v>
      </c>
      <c r="F16" s="401">
        <v>157224</v>
      </c>
      <c r="G16" s="401">
        <v>157224</v>
      </c>
      <c r="H16" s="401">
        <v>157224</v>
      </c>
      <c r="I16" s="401">
        <v>157224</v>
      </c>
      <c r="J16" s="401">
        <v>157224</v>
      </c>
      <c r="K16" s="401">
        <v>157224</v>
      </c>
      <c r="L16" s="401">
        <v>157364</v>
      </c>
      <c r="M16" s="401">
        <v>157364</v>
      </c>
      <c r="N16" s="401"/>
      <c r="O16" s="404">
        <f t="shared" si="0"/>
        <v>1729744</v>
      </c>
    </row>
    <row r="17" spans="1:15">
      <c r="A17" s="397">
        <v>12</v>
      </c>
      <c r="B17" s="398" t="str">
        <f>+PERBULAN!B15</f>
        <v>YULIANA</v>
      </c>
      <c r="C17" s="401">
        <v>156384</v>
      </c>
      <c r="D17" s="401">
        <v>156384</v>
      </c>
      <c r="E17" s="401">
        <v>156384</v>
      </c>
      <c r="F17" s="401">
        <v>156384</v>
      </c>
      <c r="G17" s="401">
        <v>156384</v>
      </c>
      <c r="H17" s="401">
        <v>156384</v>
      </c>
      <c r="I17" s="401">
        <v>156384</v>
      </c>
      <c r="J17" s="401">
        <v>156384</v>
      </c>
      <c r="K17" s="401">
        <v>156384</v>
      </c>
      <c r="L17" s="401">
        <v>156384</v>
      </c>
      <c r="M17" s="401">
        <v>156384</v>
      </c>
      <c r="N17" s="401"/>
      <c r="O17" s="404">
        <f t="shared" si="0"/>
        <v>1720224</v>
      </c>
    </row>
    <row r="18" spans="1:15">
      <c r="A18" s="397">
        <v>13</v>
      </c>
      <c r="B18" s="398" t="str">
        <f>+PERBULAN!B16</f>
        <v>SALMIA</v>
      </c>
      <c r="C18" s="401">
        <v>157224</v>
      </c>
      <c r="D18" s="401">
        <v>157224</v>
      </c>
      <c r="E18" s="401">
        <v>157224</v>
      </c>
      <c r="F18" s="401">
        <v>157224</v>
      </c>
      <c r="G18" s="401">
        <v>157224</v>
      </c>
      <c r="H18" s="401">
        <v>157224</v>
      </c>
      <c r="I18" s="401">
        <v>157224</v>
      </c>
      <c r="J18" s="401">
        <v>157224</v>
      </c>
      <c r="K18" s="401">
        <v>157224</v>
      </c>
      <c r="L18" s="401">
        <v>157364</v>
      </c>
      <c r="M18" s="401">
        <v>157364</v>
      </c>
      <c r="N18" s="401"/>
      <c r="O18" s="404">
        <f t="shared" si="0"/>
        <v>1729744</v>
      </c>
    </row>
    <row r="19" spans="1:15">
      <c r="A19" s="397">
        <v>14</v>
      </c>
      <c r="B19" s="398" t="str">
        <f>+PERBULAN!B17</f>
        <v>SISWANDI</v>
      </c>
      <c r="C19" s="401">
        <v>156944</v>
      </c>
      <c r="D19" s="401">
        <v>156944</v>
      </c>
      <c r="E19" s="401">
        <v>156944</v>
      </c>
      <c r="F19" s="401">
        <v>156944</v>
      </c>
      <c r="G19" s="401">
        <v>156944</v>
      </c>
      <c r="H19" s="401">
        <v>156944</v>
      </c>
      <c r="I19" s="401">
        <v>156944</v>
      </c>
      <c r="J19" s="401">
        <v>156944</v>
      </c>
      <c r="K19" s="401">
        <v>156944</v>
      </c>
      <c r="L19" s="401">
        <v>156944</v>
      </c>
      <c r="M19" s="401">
        <v>157084</v>
      </c>
      <c r="N19" s="401"/>
      <c r="O19" s="404">
        <f t="shared" si="0"/>
        <v>1726524</v>
      </c>
    </row>
    <row r="20" spans="1:15">
      <c r="A20" s="397">
        <v>15</v>
      </c>
      <c r="B20" s="398" t="str">
        <f>+PERBULAN!B18</f>
        <v>ERWIN HAZANI</v>
      </c>
      <c r="C20" s="401">
        <v>156384</v>
      </c>
      <c r="D20" s="401">
        <v>156384</v>
      </c>
      <c r="E20" s="401">
        <v>156384</v>
      </c>
      <c r="F20" s="401">
        <v>156384</v>
      </c>
      <c r="G20" s="401">
        <v>156384</v>
      </c>
      <c r="H20" s="401">
        <v>156384</v>
      </c>
      <c r="I20" s="401">
        <v>156384</v>
      </c>
      <c r="J20" s="401">
        <v>156384</v>
      </c>
      <c r="K20" s="401">
        <v>156384</v>
      </c>
      <c r="L20" s="401">
        <v>156384</v>
      </c>
      <c r="M20" s="401">
        <v>156384</v>
      </c>
      <c r="N20" s="401"/>
      <c r="O20" s="404">
        <f t="shared" si="0"/>
        <v>1720224</v>
      </c>
    </row>
    <row r="21" spans="1:15">
      <c r="A21" s="397">
        <v>16</v>
      </c>
      <c r="B21" s="398" t="str">
        <f>+PERBULAN!B19</f>
        <v>SERIHAN</v>
      </c>
      <c r="C21" s="401">
        <v>156944</v>
      </c>
      <c r="D21" s="401">
        <v>156944</v>
      </c>
      <c r="E21" s="401">
        <v>157084</v>
      </c>
      <c r="F21" s="401">
        <v>157084</v>
      </c>
      <c r="G21" s="401">
        <v>157084</v>
      </c>
      <c r="H21" s="401">
        <v>157084</v>
      </c>
      <c r="I21" s="401">
        <v>157084</v>
      </c>
      <c r="J21" s="401">
        <v>157084</v>
      </c>
      <c r="K21" s="401">
        <v>157084</v>
      </c>
      <c r="L21" s="401">
        <v>157084</v>
      </c>
      <c r="M21" s="401">
        <v>157084</v>
      </c>
      <c r="N21" s="401"/>
      <c r="O21" s="404">
        <f t="shared" si="0"/>
        <v>1727644</v>
      </c>
    </row>
    <row r="22" spans="1:15">
      <c r="A22" s="397">
        <v>17</v>
      </c>
      <c r="B22" s="398" t="str">
        <f>+PERBULAN!B20</f>
        <v>IMAM ROHMANU,SIP</v>
      </c>
      <c r="C22" s="401">
        <v>155664</v>
      </c>
      <c r="D22" s="401">
        <v>155664</v>
      </c>
      <c r="E22" s="401">
        <v>155664</v>
      </c>
      <c r="F22" s="401">
        <v>155664</v>
      </c>
      <c r="G22" s="401">
        <v>155784</v>
      </c>
      <c r="H22" s="401">
        <v>155784</v>
      </c>
      <c r="I22" s="401">
        <v>155784</v>
      </c>
      <c r="J22" s="401">
        <v>155784</v>
      </c>
      <c r="K22" s="401">
        <v>155784</v>
      </c>
      <c r="L22" s="401">
        <v>155784</v>
      </c>
      <c r="M22" s="401">
        <v>155784</v>
      </c>
      <c r="N22" s="401"/>
      <c r="O22" s="404">
        <f t="shared" si="0"/>
        <v>1713144</v>
      </c>
    </row>
    <row r="23" spans="1:15">
      <c r="A23" s="397">
        <v>18</v>
      </c>
      <c r="B23" s="398" t="str">
        <f>+PERBULAN!B21</f>
        <v>ARLINI</v>
      </c>
      <c r="C23" s="401">
        <v>157084</v>
      </c>
      <c r="D23" s="401">
        <v>157084</v>
      </c>
      <c r="E23" s="401">
        <v>157084</v>
      </c>
      <c r="F23" s="401">
        <v>157084</v>
      </c>
      <c r="G23" s="401">
        <v>157084</v>
      </c>
      <c r="H23" s="401">
        <v>157084</v>
      </c>
      <c r="I23" s="401">
        <v>157084</v>
      </c>
      <c r="J23" s="401">
        <v>157084</v>
      </c>
      <c r="K23" s="401">
        <v>157084</v>
      </c>
      <c r="L23" s="401">
        <v>157084</v>
      </c>
      <c r="M23" s="401">
        <v>157084</v>
      </c>
      <c r="N23" s="401"/>
      <c r="O23" s="404">
        <f t="shared" si="0"/>
        <v>1727924</v>
      </c>
    </row>
    <row r="24" spans="1:15">
      <c r="A24" s="397">
        <v>19</v>
      </c>
      <c r="B24" s="398">
        <f>+PERBULAN!B22</f>
        <v>0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4">
        <f t="shared" si="0"/>
        <v>0</v>
      </c>
    </row>
    <row r="25" spans="1:15">
      <c r="A25" s="397">
        <v>20</v>
      </c>
      <c r="B25" s="398">
        <f>+PERBULAN!B23</f>
        <v>0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4">
        <f t="shared" si="0"/>
        <v>0</v>
      </c>
    </row>
    <row r="26" spans="1:15">
      <c r="A26" s="397">
        <v>21</v>
      </c>
      <c r="B26" s="398">
        <f>+PERBULAN!B24</f>
        <v>0</v>
      </c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4">
        <f t="shared" si="0"/>
        <v>0</v>
      </c>
    </row>
    <row r="27" spans="1:15">
      <c r="A27" s="397">
        <v>22</v>
      </c>
      <c r="B27" s="398">
        <f>+PERBULAN!B25</f>
        <v>0</v>
      </c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4">
        <f t="shared" si="0"/>
        <v>0</v>
      </c>
    </row>
    <row r="28" spans="1:15">
      <c r="A28" s="397">
        <v>23</v>
      </c>
      <c r="B28" s="398">
        <f>+PERBULAN!B26</f>
        <v>0</v>
      </c>
      <c r="C28" s="401"/>
      <c r="D28" s="401"/>
      <c r="E28" s="401"/>
      <c r="F28" s="401"/>
      <c r="G28" s="401"/>
      <c r="H28" s="453"/>
      <c r="I28" s="401"/>
      <c r="J28" s="401"/>
      <c r="K28" s="401"/>
      <c r="L28" s="401"/>
      <c r="M28" s="401"/>
      <c r="N28" s="401"/>
      <c r="O28" s="404">
        <f t="shared" si="0"/>
        <v>0</v>
      </c>
    </row>
    <row r="29" spans="1:15">
      <c r="A29" s="397">
        <v>24</v>
      </c>
      <c r="B29" s="398">
        <f>+PERBULAN!B27</f>
        <v>0</v>
      </c>
      <c r="C29" s="413"/>
      <c r="D29" s="413"/>
      <c r="E29" s="413"/>
      <c r="F29" s="419"/>
      <c r="G29" s="419"/>
      <c r="H29" s="419"/>
      <c r="I29" s="419"/>
      <c r="J29" s="401"/>
      <c r="K29" s="401"/>
      <c r="L29" s="401"/>
      <c r="M29" s="419"/>
      <c r="N29" s="401"/>
      <c r="O29" s="404">
        <f t="shared" si="0"/>
        <v>0</v>
      </c>
    </row>
    <row r="30" spans="1:15">
      <c r="A30" s="397">
        <v>25</v>
      </c>
      <c r="B30" s="398">
        <f>+PERBULAN!B28</f>
        <v>0</v>
      </c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4">
        <f t="shared" si="0"/>
        <v>0</v>
      </c>
    </row>
    <row r="31" spans="1:15">
      <c r="A31" s="397">
        <v>26</v>
      </c>
      <c r="B31" s="398">
        <f>+PERBULAN!B29</f>
        <v>0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4">
        <f>C31+D31+E31+F31+G31+H31+I31+J31+K31+L31+M31+N31</f>
        <v>0</v>
      </c>
    </row>
    <row r="32" spans="1:15">
      <c r="A32" s="397">
        <v>27</v>
      </c>
      <c r="B32" s="398">
        <f>+PERBULAN!B30</f>
        <v>0</v>
      </c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4">
        <f>C32+D32+E32+F32+G32+H32+I32+J32+K32+L32+M32+N32</f>
        <v>0</v>
      </c>
    </row>
    <row r="33" spans="1:15">
      <c r="A33" s="397">
        <v>28</v>
      </c>
      <c r="B33" s="398">
        <f>+PERBULAN!B31</f>
        <v>0</v>
      </c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4">
        <f t="shared" ref="O33:O40" si="1">C33+D33+E33+F33+G33+H33+I33+J33+K33+L33+M33+N33</f>
        <v>0</v>
      </c>
    </row>
    <row r="34" spans="1:15">
      <c r="A34" s="397">
        <v>29</v>
      </c>
      <c r="B34" s="398">
        <f>+PERBULAN!B32</f>
        <v>0</v>
      </c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4">
        <f t="shared" si="1"/>
        <v>0</v>
      </c>
    </row>
    <row r="35" spans="1:15">
      <c r="A35" s="397">
        <v>30</v>
      </c>
      <c r="B35" s="398">
        <f>+PERBULAN!B33</f>
        <v>0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4">
        <f t="shared" si="1"/>
        <v>0</v>
      </c>
    </row>
    <row r="36" spans="1:15">
      <c r="A36" s="397">
        <v>31</v>
      </c>
      <c r="B36" s="398">
        <f>+PERBULAN!B34</f>
        <v>0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4">
        <f t="shared" si="1"/>
        <v>0</v>
      </c>
    </row>
    <row r="37" spans="1:15">
      <c r="A37" s="397">
        <v>32</v>
      </c>
      <c r="B37" s="398">
        <f>+PERBULAN!B35</f>
        <v>0</v>
      </c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4">
        <f t="shared" si="1"/>
        <v>0</v>
      </c>
    </row>
    <row r="38" spans="1:15">
      <c r="A38" s="397">
        <v>33</v>
      </c>
      <c r="B38" s="398">
        <f>+PERBULAN!B36</f>
        <v>0</v>
      </c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4">
        <f t="shared" si="1"/>
        <v>0</v>
      </c>
    </row>
    <row r="39" spans="1:15">
      <c r="A39" s="397">
        <v>34</v>
      </c>
      <c r="B39" s="398">
        <f>+PERBULAN!B37</f>
        <v>0</v>
      </c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4">
        <f t="shared" si="1"/>
        <v>0</v>
      </c>
    </row>
    <row r="40" spans="1:15" ht="15.75" thickBot="1">
      <c r="A40" s="397">
        <v>35</v>
      </c>
      <c r="B40" s="398">
        <f>+PERBULAN!B38</f>
        <v>0</v>
      </c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04">
        <f t="shared" si="1"/>
        <v>0</v>
      </c>
    </row>
    <row r="41" spans="1:15" ht="15.75" thickBot="1">
      <c r="A41" s="422"/>
      <c r="B41" s="423"/>
      <c r="C41" s="572">
        <f t="shared" ref="C41:O41" si="2">SUM(C6:C40)</f>
        <v>2508224</v>
      </c>
      <c r="D41" s="572">
        <f t="shared" si="2"/>
        <v>2511444</v>
      </c>
      <c r="E41" s="572">
        <f t="shared" si="2"/>
        <v>2511584</v>
      </c>
      <c r="F41" s="572">
        <f t="shared" si="2"/>
        <v>2511724</v>
      </c>
      <c r="G41" s="572">
        <f t="shared" si="2"/>
        <v>2511844</v>
      </c>
      <c r="H41" s="572">
        <f t="shared" si="2"/>
        <v>2512124</v>
      </c>
      <c r="I41" s="572">
        <f t="shared" si="2"/>
        <v>2512244</v>
      </c>
      <c r="J41" s="572">
        <f t="shared" si="2"/>
        <v>2512384</v>
      </c>
      <c r="K41" s="572">
        <f t="shared" si="2"/>
        <v>2512384</v>
      </c>
      <c r="L41" s="572">
        <f t="shared" si="2"/>
        <v>2512784</v>
      </c>
      <c r="M41" s="572">
        <f t="shared" si="2"/>
        <v>2512924</v>
      </c>
      <c r="N41" s="572">
        <f t="shared" si="2"/>
        <v>0</v>
      </c>
      <c r="O41" s="572">
        <f t="shared" si="2"/>
        <v>27629664</v>
      </c>
    </row>
    <row r="42" spans="1:15">
      <c r="D42" s="445"/>
      <c r="G42" s="445"/>
      <c r="H42" s="445"/>
      <c r="L42" s="445"/>
      <c r="M42" s="573"/>
      <c r="N42" s="445"/>
    </row>
    <row r="43" spans="1:15" ht="15.75" thickBot="1">
      <c r="F43" s="445"/>
      <c r="J43" s="445"/>
    </row>
    <row r="44" spans="1:15" ht="15.75" thickTop="1">
      <c r="A44" s="387">
        <v>1</v>
      </c>
      <c r="B44" s="388" t="str">
        <f>+PERBULAN!B120</f>
        <v>NURANI</v>
      </c>
      <c r="C44" s="390">
        <v>156804</v>
      </c>
      <c r="D44" s="390">
        <v>156804</v>
      </c>
      <c r="E44" s="390">
        <v>156804</v>
      </c>
      <c r="F44" s="390">
        <v>156804</v>
      </c>
      <c r="G44" s="390">
        <v>156804</v>
      </c>
      <c r="H44" s="390">
        <v>156804</v>
      </c>
      <c r="I44" s="570">
        <v>156804</v>
      </c>
      <c r="J44" s="401">
        <v>156944</v>
      </c>
      <c r="K44" s="401">
        <v>156944</v>
      </c>
      <c r="L44" s="401">
        <v>156944</v>
      </c>
      <c r="M44" s="570">
        <v>156944</v>
      </c>
      <c r="N44" s="401"/>
      <c r="O44" s="571">
        <f>SUM(C44:N44)</f>
        <v>1725404</v>
      </c>
    </row>
    <row r="45" spans="1:15">
      <c r="A45" s="397">
        <v>6</v>
      </c>
      <c r="B45" s="398" t="str">
        <f>+PERBULAN!B121</f>
        <v>UJANG SANUSI</v>
      </c>
      <c r="C45" s="401">
        <v>156024</v>
      </c>
      <c r="D45" s="401">
        <v>156024</v>
      </c>
      <c r="E45" s="401">
        <v>156024</v>
      </c>
      <c r="F45" s="401">
        <v>156024</v>
      </c>
      <c r="G45" s="401">
        <v>156144</v>
      </c>
      <c r="H45" s="401">
        <v>156144</v>
      </c>
      <c r="I45" s="401">
        <v>156144</v>
      </c>
      <c r="J45" s="401">
        <v>156144</v>
      </c>
      <c r="K45" s="401">
        <v>156144</v>
      </c>
      <c r="L45" s="401">
        <v>156144</v>
      </c>
      <c r="M45" s="401">
        <v>156144</v>
      </c>
      <c r="N45" s="401"/>
      <c r="O45" s="404">
        <f>SUM(C45:N45)</f>
        <v>1717104</v>
      </c>
    </row>
    <row r="46" spans="1:15" ht="14.25" hidden="1" customHeight="1">
      <c r="A46" s="397">
        <v>14</v>
      </c>
      <c r="B46" s="398" t="e">
        <f>+PERBULAN!#REF!</f>
        <v>#REF!</v>
      </c>
      <c r="C46" s="401">
        <v>157084</v>
      </c>
      <c r="D46" s="401">
        <v>157224</v>
      </c>
      <c r="E46" s="401">
        <v>157224</v>
      </c>
      <c r="F46" s="401">
        <v>157224</v>
      </c>
      <c r="G46" s="401">
        <v>157224</v>
      </c>
      <c r="H46" s="401"/>
      <c r="I46" s="401"/>
      <c r="J46" s="401"/>
      <c r="K46" s="401"/>
      <c r="L46" s="401"/>
      <c r="M46" s="401"/>
      <c r="N46" s="401"/>
      <c r="O46" s="404">
        <f>SUM(C46:N46)</f>
        <v>785980</v>
      </c>
    </row>
    <row r="47" spans="1:15" ht="14.25" hidden="1" customHeight="1"/>
    <row r="48" spans="1:15" hidden="1"/>
    <row r="51" spans="1:15">
      <c r="A51" s="372" t="s">
        <v>71</v>
      </c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4"/>
      <c r="M51" s="374"/>
      <c r="N51" s="373"/>
      <c r="O51" s="373"/>
    </row>
    <row r="52" spans="1:15" ht="15.75" thickBot="1">
      <c r="A52" s="372" t="s">
        <v>348</v>
      </c>
      <c r="B52" s="373"/>
      <c r="C52" s="373"/>
      <c r="D52" s="373" t="s">
        <v>351</v>
      </c>
      <c r="E52" s="376"/>
      <c r="F52" s="376"/>
      <c r="G52" s="376"/>
      <c r="H52" s="376"/>
      <c r="I52" s="376"/>
      <c r="J52" s="376"/>
      <c r="K52" s="376"/>
      <c r="L52" s="377"/>
      <c r="M52" s="377"/>
      <c r="N52" s="376"/>
      <c r="O52" s="376"/>
    </row>
    <row r="53" spans="1:15">
      <c r="A53" s="742" t="s">
        <v>0</v>
      </c>
      <c r="B53" s="735" t="s">
        <v>231</v>
      </c>
      <c r="C53" s="775" t="s">
        <v>234</v>
      </c>
      <c r="D53" s="776"/>
      <c r="E53" s="776"/>
      <c r="F53" s="776"/>
      <c r="G53" s="776"/>
      <c r="H53" s="776"/>
      <c r="I53" s="776"/>
      <c r="J53" s="776"/>
      <c r="K53" s="776"/>
      <c r="L53" s="776"/>
      <c r="M53" s="776"/>
      <c r="N53" s="776"/>
      <c r="O53" s="777"/>
    </row>
    <row r="54" spans="1:15">
      <c r="A54" s="743"/>
      <c r="B54" s="736"/>
      <c r="C54" s="729" t="s">
        <v>237</v>
      </c>
      <c r="D54" s="729" t="s">
        <v>238</v>
      </c>
      <c r="E54" s="729" t="s">
        <v>239</v>
      </c>
      <c r="F54" s="778" t="s">
        <v>240</v>
      </c>
      <c r="G54" s="729" t="s">
        <v>241</v>
      </c>
      <c r="H54" s="729" t="s">
        <v>242</v>
      </c>
      <c r="I54" s="729" t="s">
        <v>243</v>
      </c>
      <c r="J54" s="729" t="s">
        <v>244</v>
      </c>
      <c r="K54" s="729" t="s">
        <v>245</v>
      </c>
      <c r="L54" s="727" t="s">
        <v>246</v>
      </c>
      <c r="M54" s="727" t="s">
        <v>247</v>
      </c>
      <c r="N54" s="729" t="s">
        <v>248</v>
      </c>
      <c r="O54" s="569" t="s">
        <v>249</v>
      </c>
    </row>
    <row r="55" spans="1:15" ht="15.75" thickBot="1">
      <c r="A55" s="744"/>
      <c r="B55" s="734"/>
      <c r="C55" s="730"/>
      <c r="D55" s="730"/>
      <c r="E55" s="730"/>
      <c r="F55" s="779"/>
      <c r="G55" s="730"/>
      <c r="H55" s="730"/>
      <c r="I55" s="730"/>
      <c r="J55" s="733"/>
      <c r="K55" s="730"/>
      <c r="L55" s="728"/>
      <c r="M55" s="728"/>
      <c r="N55" s="733"/>
      <c r="O55" s="385" t="s">
        <v>254</v>
      </c>
    </row>
    <row r="56" spans="1:15" ht="15.75" thickTop="1">
      <c r="A56" s="397">
        <v>1</v>
      </c>
      <c r="B56" s="398" t="str">
        <f>+B7</f>
        <v>SARWANDI</v>
      </c>
      <c r="C56" s="401">
        <v>32563.439999999999</v>
      </c>
      <c r="D56" s="401">
        <v>32563.439999999999</v>
      </c>
      <c r="E56" s="401">
        <v>32563.439999999999</v>
      </c>
      <c r="F56" s="401">
        <v>32563.439999999999</v>
      </c>
      <c r="G56" s="401">
        <v>32563.439999999999</v>
      </c>
      <c r="H56" s="401">
        <v>32563.439999999999</v>
      </c>
      <c r="I56" s="401">
        <v>32987.64</v>
      </c>
      <c r="J56" s="401">
        <v>32987.64</v>
      </c>
      <c r="K56" s="401">
        <v>32987.64</v>
      </c>
      <c r="L56" s="401">
        <v>32987.64</v>
      </c>
      <c r="M56" s="401">
        <v>32987.64</v>
      </c>
      <c r="N56" s="401"/>
      <c r="O56" s="404">
        <f t="shared" ref="O56:O78" si="3">SUM(C56:N56)</f>
        <v>360318.84</v>
      </c>
    </row>
    <row r="57" spans="1:15">
      <c r="A57" s="397">
        <v>2</v>
      </c>
      <c r="B57" s="398" t="str">
        <f>+B8</f>
        <v>SUHARMAN</v>
      </c>
      <c r="C57" s="401">
        <v>32563.439999999999</v>
      </c>
      <c r="D57" s="401">
        <v>32563.439999999999</v>
      </c>
      <c r="E57" s="401">
        <v>32563.439999999999</v>
      </c>
      <c r="F57" s="401">
        <v>32563.439999999999</v>
      </c>
      <c r="G57" s="401">
        <v>32563.439999999999</v>
      </c>
      <c r="H57" s="401">
        <v>32563.439999999999</v>
      </c>
      <c r="I57" s="401">
        <v>33311.040000000001</v>
      </c>
      <c r="J57" s="401">
        <v>33311.040000000001</v>
      </c>
      <c r="K57" s="401">
        <v>33311.040000000001</v>
      </c>
      <c r="L57" s="401">
        <v>33311.040000000001</v>
      </c>
      <c r="M57" s="401">
        <v>33311.040000000001</v>
      </c>
      <c r="N57" s="401"/>
      <c r="O57" s="404">
        <f t="shared" si="3"/>
        <v>361935.83999999997</v>
      </c>
    </row>
    <row r="58" spans="1:15">
      <c r="A58" s="397">
        <v>3</v>
      </c>
      <c r="B58" s="398" t="str">
        <f>+B9</f>
        <v>DARMAWAN</v>
      </c>
      <c r="C58" s="401">
        <v>32563.439999999999</v>
      </c>
      <c r="D58" s="401">
        <v>32563.439999999999</v>
      </c>
      <c r="E58" s="401">
        <v>32563.439999999999</v>
      </c>
      <c r="F58" s="401">
        <v>32563.439999999999</v>
      </c>
      <c r="G58" s="401">
        <v>32563.439999999999</v>
      </c>
      <c r="H58" s="401">
        <v>32563.439999999999</v>
      </c>
      <c r="I58" s="401">
        <v>33340.439999999995</v>
      </c>
      <c r="J58" s="401">
        <v>33340.439999999995</v>
      </c>
      <c r="K58" s="401">
        <v>33340.439999999995</v>
      </c>
      <c r="L58" s="401">
        <v>33340.439999999995</v>
      </c>
      <c r="M58" s="401">
        <v>33340.439999999995</v>
      </c>
      <c r="N58" s="401"/>
      <c r="O58" s="404">
        <f t="shared" si="3"/>
        <v>362082.83999999997</v>
      </c>
    </row>
    <row r="59" spans="1:15">
      <c r="A59" s="397">
        <v>4</v>
      </c>
      <c r="B59" s="398" t="str">
        <f>+B10</f>
        <v>SUMARDI</v>
      </c>
      <c r="C59" s="401">
        <v>32563.439999999999</v>
      </c>
      <c r="D59" s="401">
        <v>32563.439999999999</v>
      </c>
      <c r="E59" s="401">
        <v>32563.439999999999</v>
      </c>
      <c r="F59" s="401">
        <v>32563.439999999999</v>
      </c>
      <c r="G59" s="401">
        <v>32563.439999999999</v>
      </c>
      <c r="H59" s="401">
        <v>32563.439999999999</v>
      </c>
      <c r="I59" s="401">
        <v>33340.439999999995</v>
      </c>
      <c r="J59" s="401">
        <v>33340.439999999995</v>
      </c>
      <c r="K59" s="401">
        <v>33340.439999999995</v>
      </c>
      <c r="L59" s="401">
        <v>33340.439999999995</v>
      </c>
      <c r="M59" s="401">
        <v>33340.439999999995</v>
      </c>
      <c r="N59" s="401"/>
      <c r="O59" s="404">
        <f t="shared" si="3"/>
        <v>362082.83999999997</v>
      </c>
    </row>
    <row r="60" spans="1:15">
      <c r="A60" s="397">
        <v>5</v>
      </c>
      <c r="B60" s="398" t="str">
        <f t="shared" ref="B60:B88" si="4">+B12</f>
        <v>EKI SUMANTRI</v>
      </c>
      <c r="C60" s="401">
        <v>32563.439999999999</v>
      </c>
      <c r="D60" s="401">
        <v>32563.439999999999</v>
      </c>
      <c r="E60" s="401">
        <v>32563.439999999999</v>
      </c>
      <c r="F60" s="401">
        <v>32563.439999999999</v>
      </c>
      <c r="G60" s="401">
        <v>32563.439999999999</v>
      </c>
      <c r="H60" s="401">
        <v>32563.439999999999</v>
      </c>
      <c r="I60" s="401">
        <v>32714.639999999999</v>
      </c>
      <c r="J60" s="401">
        <v>32714.639999999999</v>
      </c>
      <c r="K60" s="401">
        <v>32714.639999999999</v>
      </c>
      <c r="L60" s="401">
        <v>32714.639999999999</v>
      </c>
      <c r="M60" s="401">
        <v>32714.639999999999</v>
      </c>
      <c r="N60" s="401"/>
      <c r="O60" s="404">
        <f t="shared" si="3"/>
        <v>358953.84</v>
      </c>
    </row>
    <row r="61" spans="1:15">
      <c r="A61" s="397">
        <v>6</v>
      </c>
      <c r="B61" s="398" t="str">
        <f t="shared" si="4"/>
        <v>SULISTIYANI SAPUTRI</v>
      </c>
      <c r="C61" s="401">
        <v>32563.439999999999</v>
      </c>
      <c r="D61" s="401">
        <v>32563.439999999999</v>
      </c>
      <c r="E61" s="401">
        <v>32563.439999999999</v>
      </c>
      <c r="F61" s="401">
        <v>32563.439999999999</v>
      </c>
      <c r="G61" s="401">
        <v>32563.439999999999</v>
      </c>
      <c r="H61" s="401">
        <v>32563.439999999999</v>
      </c>
      <c r="I61" s="401">
        <v>32958.239999999998</v>
      </c>
      <c r="J61" s="401">
        <v>32987.64</v>
      </c>
      <c r="K61" s="401">
        <v>32987.64</v>
      </c>
      <c r="L61" s="401">
        <v>32987.64</v>
      </c>
      <c r="M61" s="401">
        <v>32987.64</v>
      </c>
      <c r="N61" s="401"/>
      <c r="O61" s="404">
        <f t="shared" si="3"/>
        <v>360289.44</v>
      </c>
    </row>
    <row r="62" spans="1:15">
      <c r="A62" s="397">
        <v>7</v>
      </c>
      <c r="B62" s="398" t="str">
        <f t="shared" si="4"/>
        <v>TRISNAWATI</v>
      </c>
      <c r="C62" s="401">
        <v>32563.439999999999</v>
      </c>
      <c r="D62" s="401">
        <v>32563.439999999999</v>
      </c>
      <c r="E62" s="401">
        <v>32563.439999999999</v>
      </c>
      <c r="F62" s="401">
        <v>32563.439999999999</v>
      </c>
      <c r="G62" s="401">
        <v>32563.439999999999</v>
      </c>
      <c r="H62" s="401">
        <v>32563.439999999999</v>
      </c>
      <c r="I62" s="401">
        <v>32714.639999999999</v>
      </c>
      <c r="J62" s="401">
        <v>32714.639999999999</v>
      </c>
      <c r="K62" s="401">
        <v>32714.639999999999</v>
      </c>
      <c r="L62" s="401">
        <v>32739.839999999997</v>
      </c>
      <c r="M62" s="401">
        <v>32739.839999999997</v>
      </c>
      <c r="N62" s="401"/>
      <c r="O62" s="404">
        <f t="shared" si="3"/>
        <v>359004.24</v>
      </c>
    </row>
    <row r="63" spans="1:15">
      <c r="A63" s="397">
        <v>8</v>
      </c>
      <c r="B63" s="398" t="str">
        <f t="shared" si="4"/>
        <v>ELNI</v>
      </c>
      <c r="C63" s="401">
        <v>32563.439999999999</v>
      </c>
      <c r="D63" s="401">
        <v>32563.439999999999</v>
      </c>
      <c r="E63" s="401">
        <v>32563.439999999999</v>
      </c>
      <c r="F63" s="401">
        <v>32563.439999999999</v>
      </c>
      <c r="G63" s="401">
        <v>32563.439999999999</v>
      </c>
      <c r="H63" s="401">
        <v>32563.439999999999</v>
      </c>
      <c r="I63" s="401">
        <v>32840.639999999999</v>
      </c>
      <c r="J63" s="401">
        <v>32840.639999999999</v>
      </c>
      <c r="K63" s="401">
        <v>32840.639999999999</v>
      </c>
      <c r="L63" s="401">
        <v>32840.639999999999</v>
      </c>
      <c r="M63" s="401">
        <v>32840.639999999999</v>
      </c>
      <c r="N63" s="401"/>
      <c r="O63" s="404">
        <f t="shared" si="3"/>
        <v>359583.84</v>
      </c>
    </row>
    <row r="64" spans="1:15">
      <c r="A64" s="397">
        <v>9</v>
      </c>
      <c r="B64" s="398" t="str">
        <f t="shared" si="4"/>
        <v>YUSTIANA</v>
      </c>
      <c r="C64" s="401">
        <v>32563.439999999999</v>
      </c>
      <c r="D64" s="401">
        <v>32563.439999999999</v>
      </c>
      <c r="E64" s="401">
        <v>32563.439999999999</v>
      </c>
      <c r="F64" s="401">
        <v>32563.439999999999</v>
      </c>
      <c r="G64" s="401">
        <v>32563.439999999999</v>
      </c>
      <c r="H64" s="401">
        <v>32563.439999999999</v>
      </c>
      <c r="I64" s="401">
        <v>33017.040000000001</v>
      </c>
      <c r="J64" s="401">
        <v>33017.040000000001</v>
      </c>
      <c r="K64" s="401">
        <v>33017.040000000001</v>
      </c>
      <c r="L64" s="401">
        <v>33046.439999999995</v>
      </c>
      <c r="M64" s="401">
        <v>33046.439999999995</v>
      </c>
      <c r="N64" s="401"/>
      <c r="O64" s="404">
        <f t="shared" si="3"/>
        <v>360524.64</v>
      </c>
    </row>
    <row r="65" spans="1:15">
      <c r="A65" s="397">
        <v>10</v>
      </c>
      <c r="B65" s="398" t="str">
        <f t="shared" si="4"/>
        <v>YULIANA</v>
      </c>
      <c r="C65" s="401">
        <v>32563.439999999999</v>
      </c>
      <c r="D65" s="401">
        <v>32563.439999999999</v>
      </c>
      <c r="E65" s="401">
        <v>32563.439999999999</v>
      </c>
      <c r="F65" s="401">
        <v>32563.439999999999</v>
      </c>
      <c r="G65" s="401">
        <v>32563.439999999999</v>
      </c>
      <c r="H65" s="401">
        <v>32563.439999999999</v>
      </c>
      <c r="I65" s="401">
        <v>32840.639999999999</v>
      </c>
      <c r="J65" s="401">
        <v>32840.639999999999</v>
      </c>
      <c r="K65" s="401">
        <v>32840.639999999999</v>
      </c>
      <c r="L65" s="401">
        <v>32840.639999999999</v>
      </c>
      <c r="M65" s="401">
        <v>32840.639999999999</v>
      </c>
      <c r="N65" s="401"/>
      <c r="O65" s="404">
        <f t="shared" si="3"/>
        <v>359583.84</v>
      </c>
    </row>
    <row r="66" spans="1:15">
      <c r="A66" s="397">
        <v>11</v>
      </c>
      <c r="B66" s="398" t="str">
        <f t="shared" si="4"/>
        <v>SALMIA</v>
      </c>
      <c r="C66" s="401">
        <v>32563.439999999999</v>
      </c>
      <c r="D66" s="401">
        <v>32563.439999999999</v>
      </c>
      <c r="E66" s="401">
        <v>32563.439999999999</v>
      </c>
      <c r="F66" s="401">
        <v>32563.439999999999</v>
      </c>
      <c r="G66" s="401">
        <v>32563.439999999999</v>
      </c>
      <c r="H66" s="401">
        <v>32563.439999999999</v>
      </c>
      <c r="I66" s="401">
        <v>33017.040000000001</v>
      </c>
      <c r="J66" s="401">
        <v>33017.040000000001</v>
      </c>
      <c r="K66" s="401">
        <v>33017.040000000001</v>
      </c>
      <c r="L66" s="401">
        <v>33046.439999999995</v>
      </c>
      <c r="M66" s="401">
        <v>33046.439999999995</v>
      </c>
      <c r="N66" s="401"/>
      <c r="O66" s="404">
        <f t="shared" si="3"/>
        <v>360524.64</v>
      </c>
    </row>
    <row r="67" spans="1:15">
      <c r="A67" s="397">
        <v>12</v>
      </c>
      <c r="B67" s="398" t="str">
        <f t="shared" si="4"/>
        <v>SISWANDI</v>
      </c>
      <c r="C67" s="401">
        <v>32563.439999999999</v>
      </c>
      <c r="D67" s="401">
        <v>32563.439999999999</v>
      </c>
      <c r="E67" s="401">
        <v>32563.439999999999</v>
      </c>
      <c r="F67" s="401">
        <v>32563.439999999999</v>
      </c>
      <c r="G67" s="401">
        <v>32563.439999999999</v>
      </c>
      <c r="H67" s="401">
        <v>32563.439999999999</v>
      </c>
      <c r="I67" s="401">
        <v>32958.239999999998</v>
      </c>
      <c r="J67" s="401">
        <v>32958.239999999998</v>
      </c>
      <c r="K67" s="401">
        <v>32958.239999999998</v>
      </c>
      <c r="L67" s="401">
        <v>32958.239999999998</v>
      </c>
      <c r="M67" s="401">
        <v>32987.64</v>
      </c>
      <c r="N67" s="401"/>
      <c r="O67" s="404">
        <f t="shared" si="3"/>
        <v>360201.24</v>
      </c>
    </row>
    <row r="68" spans="1:15">
      <c r="A68" s="397">
        <v>13</v>
      </c>
      <c r="B68" s="398" t="str">
        <f t="shared" si="4"/>
        <v>ERWIN HAZANI</v>
      </c>
      <c r="C68" s="401">
        <v>32563.439999999999</v>
      </c>
      <c r="D68" s="401">
        <v>32563.439999999999</v>
      </c>
      <c r="E68" s="401">
        <v>32563.439999999999</v>
      </c>
      <c r="F68" s="401">
        <v>32563.439999999999</v>
      </c>
      <c r="G68" s="401">
        <v>32563.439999999999</v>
      </c>
      <c r="H68" s="401">
        <v>32563.439999999999</v>
      </c>
      <c r="I68" s="401">
        <v>32840.639999999999</v>
      </c>
      <c r="J68" s="401">
        <v>32840.639999999999</v>
      </c>
      <c r="K68" s="401">
        <v>32840.639999999999</v>
      </c>
      <c r="L68" s="401">
        <v>32840.639999999999</v>
      </c>
      <c r="M68" s="401">
        <v>32840.639999999999</v>
      </c>
      <c r="N68" s="401"/>
      <c r="O68" s="404">
        <f t="shared" si="3"/>
        <v>359583.84</v>
      </c>
    </row>
    <row r="69" spans="1:15">
      <c r="A69" s="397">
        <v>14</v>
      </c>
      <c r="B69" s="398" t="str">
        <f t="shared" si="4"/>
        <v>SERIHAN</v>
      </c>
      <c r="C69" s="401">
        <v>32563.439999999999</v>
      </c>
      <c r="D69" s="401">
        <v>32563.439999999999</v>
      </c>
      <c r="E69" s="401">
        <v>32563.439999999999</v>
      </c>
      <c r="F69" s="401">
        <v>32563.439999999999</v>
      </c>
      <c r="G69" s="401">
        <v>32563.439999999999</v>
      </c>
      <c r="H69" s="401">
        <v>32563.439999999999</v>
      </c>
      <c r="I69" s="401">
        <v>32987.64</v>
      </c>
      <c r="J69" s="401">
        <v>32987.64</v>
      </c>
      <c r="K69" s="401">
        <v>32987.64</v>
      </c>
      <c r="L69" s="401">
        <v>32987.64</v>
      </c>
      <c r="M69" s="401">
        <v>32987.64</v>
      </c>
      <c r="N69" s="401"/>
      <c r="O69" s="404">
        <f t="shared" si="3"/>
        <v>360318.84</v>
      </c>
    </row>
    <row r="70" spans="1:15" ht="15" customHeight="1">
      <c r="A70" s="397">
        <v>15</v>
      </c>
      <c r="B70" s="398" t="str">
        <f t="shared" si="4"/>
        <v>IMAM ROHMANU,SIP</v>
      </c>
      <c r="C70" s="401">
        <v>32563.439999999999</v>
      </c>
      <c r="D70" s="401">
        <v>32563.439999999999</v>
      </c>
      <c r="E70" s="401">
        <v>32563.439999999999</v>
      </c>
      <c r="F70" s="401">
        <v>32563.439999999999</v>
      </c>
      <c r="G70" s="401">
        <v>32563.439999999999</v>
      </c>
      <c r="H70" s="401">
        <v>32563.439999999999</v>
      </c>
      <c r="I70" s="401">
        <v>32714.639999999999</v>
      </c>
      <c r="J70" s="401">
        <v>32714.639999999999</v>
      </c>
      <c r="K70" s="401">
        <v>32714.639999999999</v>
      </c>
      <c r="L70" s="401">
        <v>32714.639999999999</v>
      </c>
      <c r="M70" s="401">
        <v>32714.639999999999</v>
      </c>
      <c r="N70" s="401"/>
      <c r="O70" s="404">
        <f t="shared" si="3"/>
        <v>358953.84</v>
      </c>
    </row>
    <row r="71" spans="1:15" ht="15" customHeight="1">
      <c r="A71" s="397">
        <v>16</v>
      </c>
      <c r="B71" s="398" t="str">
        <f t="shared" si="4"/>
        <v>ARLINI</v>
      </c>
      <c r="C71" s="419">
        <v>32563.439999999999</v>
      </c>
      <c r="D71" s="453">
        <v>32563.439999999999</v>
      </c>
      <c r="E71" s="419">
        <v>32563.439999999999</v>
      </c>
      <c r="F71" s="419">
        <v>32563.439999999999</v>
      </c>
      <c r="G71" s="419">
        <v>32563.439999999999</v>
      </c>
      <c r="H71" s="419">
        <v>32563.439999999999</v>
      </c>
      <c r="I71" s="401">
        <v>32987.64</v>
      </c>
      <c r="J71" s="401">
        <v>32987.64</v>
      </c>
      <c r="K71" s="401">
        <v>32987.64</v>
      </c>
      <c r="L71" s="401">
        <v>32987.64</v>
      </c>
      <c r="M71" s="401">
        <v>32987.64</v>
      </c>
      <c r="N71" s="401"/>
      <c r="O71" s="404">
        <f t="shared" si="3"/>
        <v>360318.84</v>
      </c>
    </row>
    <row r="72" spans="1:15" ht="15" customHeight="1">
      <c r="A72" s="397">
        <v>17</v>
      </c>
      <c r="B72" s="398">
        <f t="shared" si="4"/>
        <v>0</v>
      </c>
      <c r="C72" s="401"/>
      <c r="D72" s="401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4">
        <f t="shared" si="3"/>
        <v>0</v>
      </c>
    </row>
    <row r="73" spans="1:15" ht="15" customHeight="1">
      <c r="A73" s="397">
        <v>18</v>
      </c>
      <c r="B73" s="398">
        <f t="shared" si="4"/>
        <v>0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1"/>
      <c r="O73" s="404">
        <f t="shared" si="3"/>
        <v>0</v>
      </c>
    </row>
    <row r="74" spans="1:15" ht="15" customHeight="1">
      <c r="A74" s="397">
        <v>19</v>
      </c>
      <c r="B74" s="398">
        <f t="shared" si="4"/>
        <v>0</v>
      </c>
      <c r="C74" s="401"/>
      <c r="D74" s="401"/>
      <c r="E74" s="401"/>
      <c r="F74" s="401"/>
      <c r="G74" s="401"/>
      <c r="H74" s="401"/>
      <c r="I74" s="401"/>
      <c r="J74" s="401"/>
      <c r="K74" s="401"/>
      <c r="L74" s="401"/>
      <c r="M74" s="401"/>
      <c r="N74" s="401"/>
      <c r="O74" s="404">
        <f t="shared" si="3"/>
        <v>0</v>
      </c>
    </row>
    <row r="75" spans="1:15" ht="15" customHeight="1">
      <c r="A75" s="397">
        <v>20</v>
      </c>
      <c r="B75" s="398">
        <f t="shared" si="4"/>
        <v>0</v>
      </c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4">
        <f t="shared" si="3"/>
        <v>0</v>
      </c>
    </row>
    <row r="76" spans="1:15" ht="15" customHeight="1">
      <c r="A76" s="397">
        <v>21</v>
      </c>
      <c r="B76" s="398">
        <f t="shared" si="4"/>
        <v>0</v>
      </c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4">
        <f t="shared" si="3"/>
        <v>0</v>
      </c>
    </row>
    <row r="77" spans="1:15" ht="15" customHeight="1">
      <c r="A77" s="397">
        <v>22</v>
      </c>
      <c r="B77" s="398">
        <f t="shared" si="4"/>
        <v>0</v>
      </c>
      <c r="C77" s="401"/>
      <c r="D77" s="401"/>
      <c r="E77" s="401"/>
      <c r="F77" s="401"/>
      <c r="G77" s="401"/>
      <c r="H77" s="401"/>
      <c r="I77" s="419"/>
      <c r="J77" s="401"/>
      <c r="K77" s="401"/>
      <c r="L77" s="401"/>
      <c r="M77" s="419"/>
      <c r="N77" s="401"/>
      <c r="O77" s="404">
        <f t="shared" si="3"/>
        <v>0</v>
      </c>
    </row>
    <row r="78" spans="1:15" ht="15" customHeight="1">
      <c r="A78" s="397">
        <v>23</v>
      </c>
      <c r="B78" s="398">
        <f t="shared" si="4"/>
        <v>0</v>
      </c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401"/>
      <c r="O78" s="404">
        <f t="shared" si="3"/>
        <v>0</v>
      </c>
    </row>
    <row r="79" spans="1:15" ht="15" customHeight="1">
      <c r="A79" s="397">
        <v>24</v>
      </c>
      <c r="B79" s="398">
        <f t="shared" si="4"/>
        <v>0</v>
      </c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4">
        <f>C79+D79+E79+F79+G79+H79+I79+J79+K79+L79+M79+N79</f>
        <v>0</v>
      </c>
    </row>
    <row r="80" spans="1:15" ht="15" customHeight="1">
      <c r="A80" s="397">
        <v>25</v>
      </c>
      <c r="B80" s="398">
        <f t="shared" si="4"/>
        <v>0</v>
      </c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4">
        <f>C80+D80+E80+F80+G80+H80+I80+J80+K80+L80+M80+N80</f>
        <v>0</v>
      </c>
    </row>
    <row r="81" spans="1:15" ht="15" customHeight="1">
      <c r="A81" s="397">
        <v>26</v>
      </c>
      <c r="B81" s="398">
        <f t="shared" si="4"/>
        <v>0</v>
      </c>
      <c r="C81" s="401"/>
      <c r="D81" s="401"/>
      <c r="E81" s="401"/>
      <c r="F81" s="401"/>
      <c r="G81" s="401"/>
      <c r="H81" s="401"/>
      <c r="I81" s="401"/>
      <c r="J81" s="401"/>
      <c r="K81" s="401"/>
      <c r="L81" s="401"/>
      <c r="M81" s="401"/>
      <c r="N81" s="401"/>
      <c r="O81" s="404">
        <f t="shared" ref="O81:O88" si="5">C81+D81+E81+F81+G81+H81+I81+J81+K81+L81+M81+N81</f>
        <v>0</v>
      </c>
    </row>
    <row r="82" spans="1:15" ht="15" customHeight="1">
      <c r="A82" s="397">
        <v>27</v>
      </c>
      <c r="B82" s="398">
        <f t="shared" si="4"/>
        <v>0</v>
      </c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01"/>
      <c r="N82" s="401"/>
      <c r="O82" s="404">
        <f t="shared" si="5"/>
        <v>0</v>
      </c>
    </row>
    <row r="83" spans="1:15" ht="15" customHeight="1">
      <c r="A83" s="397">
        <v>28</v>
      </c>
      <c r="B83" s="398">
        <f t="shared" si="4"/>
        <v>0</v>
      </c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01"/>
      <c r="N83" s="401"/>
      <c r="O83" s="404">
        <f t="shared" si="5"/>
        <v>0</v>
      </c>
    </row>
    <row r="84" spans="1:15">
      <c r="A84" s="397">
        <v>29</v>
      </c>
      <c r="B84" s="398">
        <f t="shared" si="4"/>
        <v>0</v>
      </c>
      <c r="C84" s="401"/>
      <c r="D84" s="401"/>
      <c r="E84" s="401"/>
      <c r="F84" s="401"/>
      <c r="G84" s="401"/>
      <c r="H84" s="401"/>
      <c r="I84" s="401"/>
      <c r="J84" s="401"/>
      <c r="K84" s="401"/>
      <c r="L84" s="401"/>
      <c r="M84" s="401"/>
      <c r="N84" s="401"/>
      <c r="O84" s="404">
        <f t="shared" si="5"/>
        <v>0</v>
      </c>
    </row>
    <row r="85" spans="1:15">
      <c r="A85" s="397">
        <v>30</v>
      </c>
      <c r="B85" s="398">
        <f t="shared" si="4"/>
        <v>0</v>
      </c>
      <c r="C85" s="401"/>
      <c r="D85" s="401"/>
      <c r="E85" s="401"/>
      <c r="F85" s="401"/>
      <c r="G85" s="401"/>
      <c r="H85" s="401"/>
      <c r="I85" s="401"/>
      <c r="J85" s="401"/>
      <c r="K85" s="401"/>
      <c r="L85" s="401"/>
      <c r="M85" s="401"/>
      <c r="N85" s="401"/>
      <c r="O85" s="404">
        <f t="shared" si="5"/>
        <v>0</v>
      </c>
    </row>
    <row r="86" spans="1:15">
      <c r="A86" s="397">
        <v>31</v>
      </c>
      <c r="B86" s="398">
        <f t="shared" si="4"/>
        <v>0</v>
      </c>
      <c r="C86" s="401"/>
      <c r="D86" s="401"/>
      <c r="E86" s="401"/>
      <c r="F86" s="401"/>
      <c r="G86" s="401"/>
      <c r="H86" s="401"/>
      <c r="I86" s="401"/>
      <c r="J86" s="401"/>
      <c r="K86" s="401"/>
      <c r="L86" s="401"/>
      <c r="M86" s="401"/>
      <c r="N86" s="401"/>
      <c r="O86" s="404">
        <f t="shared" si="5"/>
        <v>0</v>
      </c>
    </row>
    <row r="87" spans="1:15">
      <c r="A87" s="397">
        <v>32</v>
      </c>
      <c r="B87" s="398">
        <f t="shared" si="4"/>
        <v>0</v>
      </c>
      <c r="C87" s="401"/>
      <c r="D87" s="401"/>
      <c r="E87" s="401"/>
      <c r="F87" s="401"/>
      <c r="G87" s="401"/>
      <c r="H87" s="401"/>
      <c r="I87" s="401"/>
      <c r="J87" s="401"/>
      <c r="K87" s="401"/>
      <c r="L87" s="401"/>
      <c r="M87" s="401"/>
      <c r="N87" s="401"/>
      <c r="O87" s="404">
        <f t="shared" si="5"/>
        <v>0</v>
      </c>
    </row>
    <row r="88" spans="1:15" ht="15.75" thickBot="1">
      <c r="A88" s="397">
        <v>33</v>
      </c>
      <c r="B88" s="398">
        <f t="shared" si="4"/>
        <v>0</v>
      </c>
      <c r="C88" s="419"/>
      <c r="D88" s="419"/>
      <c r="E88" s="419"/>
      <c r="F88" s="419"/>
      <c r="G88" s="419"/>
      <c r="H88" s="419"/>
      <c r="I88" s="419"/>
      <c r="J88" s="419"/>
      <c r="K88" s="419"/>
      <c r="L88" s="419"/>
      <c r="M88" s="419"/>
      <c r="N88" s="419"/>
      <c r="O88" s="404">
        <f t="shared" si="5"/>
        <v>0</v>
      </c>
    </row>
    <row r="89" spans="1:15" ht="15.75" thickBot="1">
      <c r="A89" s="422"/>
      <c r="B89" s="423"/>
      <c r="C89" s="572">
        <f t="shared" ref="C89:O89" si="6">SUM(C56:C88)</f>
        <v>521015.03999999998</v>
      </c>
      <c r="D89" s="572">
        <f t="shared" si="6"/>
        <v>521015.03999999998</v>
      </c>
      <c r="E89" s="572">
        <f t="shared" si="6"/>
        <v>521015.03999999998</v>
      </c>
      <c r="F89" s="572">
        <f t="shared" si="6"/>
        <v>521015.03999999998</v>
      </c>
      <c r="G89" s="572">
        <f t="shared" si="6"/>
        <v>521015.03999999998</v>
      </c>
      <c r="H89" s="572">
        <f t="shared" si="6"/>
        <v>521015.03999999998</v>
      </c>
      <c r="I89" s="572">
        <f t="shared" si="6"/>
        <v>527571.24</v>
      </c>
      <c r="J89" s="572">
        <f t="shared" si="6"/>
        <v>527600.64000000001</v>
      </c>
      <c r="K89" s="572">
        <f t="shared" si="6"/>
        <v>527600.64000000001</v>
      </c>
      <c r="L89" s="572">
        <f t="shared" si="6"/>
        <v>527684.64</v>
      </c>
      <c r="M89" s="572">
        <f t="shared" si="6"/>
        <v>527714.04</v>
      </c>
      <c r="N89" s="572">
        <f t="shared" si="6"/>
        <v>0</v>
      </c>
      <c r="O89" s="572">
        <f t="shared" si="6"/>
        <v>5764261.4399999995</v>
      </c>
    </row>
    <row r="91" spans="1:15" ht="15.75" thickBot="1"/>
    <row r="92" spans="1:15" ht="15.75" thickTop="1">
      <c r="A92" s="387">
        <v>1</v>
      </c>
      <c r="B92" s="388" t="str">
        <f>+B44</f>
        <v>NURANI</v>
      </c>
      <c r="C92" s="390">
        <v>32563.439999999999</v>
      </c>
      <c r="D92" s="390">
        <v>32563.439999999999</v>
      </c>
      <c r="E92" s="390">
        <v>32563.439999999999</v>
      </c>
      <c r="F92" s="390">
        <v>32563.439999999999</v>
      </c>
      <c r="G92" s="390">
        <v>32563.439999999999</v>
      </c>
      <c r="H92" s="390">
        <v>32563.439999999999</v>
      </c>
      <c r="I92" s="570">
        <v>32928.839999999997</v>
      </c>
      <c r="J92" s="401">
        <v>32958.239999999998</v>
      </c>
      <c r="K92" s="401">
        <v>32958.239999999998</v>
      </c>
      <c r="L92" s="401">
        <v>32958.239999999998</v>
      </c>
      <c r="M92" s="570">
        <v>32958.239999999998</v>
      </c>
      <c r="N92" s="401"/>
      <c r="O92" s="571">
        <f>SUM(C92:N92)</f>
        <v>360142.43999999994</v>
      </c>
    </row>
    <row r="93" spans="1:15">
      <c r="A93" s="397">
        <v>6</v>
      </c>
      <c r="B93" s="398" t="str">
        <f>+B45</f>
        <v>UJANG SANUSI</v>
      </c>
      <c r="C93" s="401">
        <v>32563.439999999999</v>
      </c>
      <c r="D93" s="401">
        <v>32563.439999999999</v>
      </c>
      <c r="E93" s="401">
        <v>32563.439999999999</v>
      </c>
      <c r="F93" s="401">
        <v>32563.439999999999</v>
      </c>
      <c r="G93" s="401">
        <v>32563.439999999999</v>
      </c>
      <c r="H93" s="401">
        <v>32563.439999999999</v>
      </c>
      <c r="I93" s="401">
        <v>32790.239999999998</v>
      </c>
      <c r="J93" s="401">
        <v>32790.239999999998</v>
      </c>
      <c r="K93" s="401">
        <v>32790.239999999998</v>
      </c>
      <c r="L93" s="401">
        <v>32790.239999999998</v>
      </c>
      <c r="M93" s="401">
        <v>32790.239999999998</v>
      </c>
      <c r="N93" s="401"/>
      <c r="O93" s="404">
        <f>SUM(C93:N93)</f>
        <v>359331.83999999997</v>
      </c>
    </row>
  </sheetData>
  <mergeCells count="30">
    <mergeCell ref="A3:A5"/>
    <mergeCell ref="B3:B5"/>
    <mergeCell ref="C3:O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53:A55"/>
    <mergeCell ref="B53:B55"/>
    <mergeCell ref="C53:O53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O89"/>
  <sheetViews>
    <sheetView workbookViewId="0">
      <selection activeCell="N8" sqref="N8"/>
    </sheetView>
  </sheetViews>
  <sheetFormatPr defaultRowHeight="15"/>
  <cols>
    <col min="1" max="1" width="7" style="375" customWidth="1"/>
    <col min="2" max="2" width="16.7109375" style="375" customWidth="1"/>
    <col min="3" max="3" width="10.140625" style="375" customWidth="1"/>
    <col min="4" max="4" width="11" style="375" customWidth="1"/>
    <col min="5" max="5" width="10.5703125" style="375" customWidth="1"/>
    <col min="6" max="6" width="10.140625" style="375" customWidth="1"/>
    <col min="7" max="7" width="10.42578125" style="375" customWidth="1"/>
    <col min="8" max="8" width="10.5703125" style="375" customWidth="1"/>
    <col min="9" max="10" width="10.42578125" style="375" customWidth="1"/>
    <col min="11" max="11" width="10" style="375" customWidth="1"/>
    <col min="12" max="12" width="10.28515625" style="375" customWidth="1"/>
    <col min="13" max="13" width="11.28515625" style="375" customWidth="1"/>
    <col min="14" max="14" width="10.28515625" style="375" customWidth="1"/>
    <col min="15" max="15" width="12.140625" style="375" customWidth="1"/>
    <col min="16" max="16384" width="9.140625" style="375"/>
  </cols>
  <sheetData>
    <row r="3" spans="1:15">
      <c r="A3" s="372" t="s">
        <v>71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4"/>
      <c r="M3" s="374"/>
      <c r="N3" s="373"/>
      <c r="O3" s="373"/>
    </row>
    <row r="4" spans="1:15" ht="15.75" thickBot="1">
      <c r="A4" s="372" t="s">
        <v>348</v>
      </c>
      <c r="B4" s="373"/>
      <c r="C4" s="373"/>
      <c r="D4" s="373" t="s">
        <v>352</v>
      </c>
      <c r="E4" s="376"/>
      <c r="F4" s="376"/>
      <c r="G4" s="376"/>
      <c r="H4" s="376"/>
      <c r="I4" s="376"/>
      <c r="J4" s="376"/>
      <c r="K4" s="376"/>
      <c r="L4" s="377"/>
      <c r="M4" s="377"/>
      <c r="N4" s="376"/>
      <c r="O4" s="376"/>
    </row>
    <row r="5" spans="1:15">
      <c r="A5" s="742" t="s">
        <v>0</v>
      </c>
      <c r="B5" s="735" t="s">
        <v>231</v>
      </c>
      <c r="C5" s="775" t="s">
        <v>234</v>
      </c>
      <c r="D5" s="776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7"/>
    </row>
    <row r="6" spans="1:15">
      <c r="A6" s="743"/>
      <c r="B6" s="736"/>
      <c r="C6" s="729" t="s">
        <v>237</v>
      </c>
      <c r="D6" s="729" t="s">
        <v>238</v>
      </c>
      <c r="E6" s="729" t="s">
        <v>239</v>
      </c>
      <c r="F6" s="778" t="s">
        <v>240</v>
      </c>
      <c r="G6" s="729" t="s">
        <v>241</v>
      </c>
      <c r="H6" s="729" t="s">
        <v>242</v>
      </c>
      <c r="I6" s="729" t="s">
        <v>243</v>
      </c>
      <c r="J6" s="729" t="s">
        <v>244</v>
      </c>
      <c r="K6" s="729" t="s">
        <v>245</v>
      </c>
      <c r="L6" s="727" t="s">
        <v>246</v>
      </c>
      <c r="M6" s="727" t="s">
        <v>247</v>
      </c>
      <c r="N6" s="729" t="s">
        <v>248</v>
      </c>
      <c r="O6" s="569" t="s">
        <v>249</v>
      </c>
    </row>
    <row r="7" spans="1:15" ht="15.75" thickBot="1">
      <c r="A7" s="744"/>
      <c r="B7" s="734"/>
      <c r="C7" s="730"/>
      <c r="D7" s="730"/>
      <c r="E7" s="730"/>
      <c r="F7" s="779"/>
      <c r="G7" s="730"/>
      <c r="H7" s="730"/>
      <c r="I7" s="730"/>
      <c r="J7" s="733"/>
      <c r="K7" s="730"/>
      <c r="L7" s="728"/>
      <c r="M7" s="728"/>
      <c r="N7" s="733"/>
      <c r="O7" s="385" t="s">
        <v>254</v>
      </c>
    </row>
    <row r="8" spans="1:15" ht="15.75" thickTop="1">
      <c r="A8" s="397">
        <v>1</v>
      </c>
      <c r="B8" s="398" t="str">
        <f>+BPJS!B7</f>
        <v>SARWANDI</v>
      </c>
      <c r="C8" s="401">
        <f t="shared" ref="C8:H44" si="0">3876600*2%</f>
        <v>77532</v>
      </c>
      <c r="D8" s="401">
        <f t="shared" ref="D8:H44" si="1">3876600*2%</f>
        <v>77532</v>
      </c>
      <c r="E8" s="401">
        <f t="shared" si="1"/>
        <v>77532</v>
      </c>
      <c r="F8" s="401">
        <f t="shared" si="1"/>
        <v>77532</v>
      </c>
      <c r="G8" s="401">
        <f t="shared" si="1"/>
        <v>77532</v>
      </c>
      <c r="H8" s="401">
        <f t="shared" si="1"/>
        <v>77532</v>
      </c>
      <c r="I8" s="401">
        <v>78542</v>
      </c>
      <c r="J8" s="401">
        <v>78542</v>
      </c>
      <c r="K8" s="401">
        <v>78542</v>
      </c>
      <c r="L8" s="401">
        <v>78542</v>
      </c>
      <c r="M8" s="401">
        <v>78542</v>
      </c>
      <c r="N8" s="401"/>
      <c r="O8" s="404">
        <f t="shared" ref="O8:O30" si="2">SUM(C8:N8)</f>
        <v>857902</v>
      </c>
    </row>
    <row r="9" spans="1:15">
      <c r="A9" s="397">
        <v>2</v>
      </c>
      <c r="B9" s="398" t="str">
        <f>+BPJS!B8</f>
        <v>SUHARMAN</v>
      </c>
      <c r="C9" s="401">
        <f t="shared" si="0"/>
        <v>77532</v>
      </c>
      <c r="D9" s="401">
        <f t="shared" si="1"/>
        <v>77532</v>
      </c>
      <c r="E9" s="401">
        <f t="shared" si="1"/>
        <v>77532</v>
      </c>
      <c r="F9" s="401">
        <f t="shared" si="1"/>
        <v>77532</v>
      </c>
      <c r="G9" s="401">
        <f t="shared" si="1"/>
        <v>77532</v>
      </c>
      <c r="H9" s="401">
        <f t="shared" si="1"/>
        <v>77532</v>
      </c>
      <c r="I9" s="401">
        <v>79312</v>
      </c>
      <c r="J9" s="401">
        <v>79312</v>
      </c>
      <c r="K9" s="401">
        <v>79312</v>
      </c>
      <c r="L9" s="401">
        <v>79312</v>
      </c>
      <c r="M9" s="401">
        <v>79312</v>
      </c>
      <c r="N9" s="401"/>
      <c r="O9" s="404">
        <f t="shared" si="2"/>
        <v>861752</v>
      </c>
    </row>
    <row r="10" spans="1:15">
      <c r="A10" s="397">
        <v>3</v>
      </c>
      <c r="B10" s="398" t="str">
        <f>+BPJS!B9</f>
        <v>DARMAWAN</v>
      </c>
      <c r="C10" s="401">
        <f t="shared" si="0"/>
        <v>77532</v>
      </c>
      <c r="D10" s="401">
        <f t="shared" si="1"/>
        <v>77532</v>
      </c>
      <c r="E10" s="401">
        <f t="shared" si="1"/>
        <v>77532</v>
      </c>
      <c r="F10" s="401">
        <f t="shared" si="1"/>
        <v>77532</v>
      </c>
      <c r="G10" s="401">
        <f t="shared" si="1"/>
        <v>77532</v>
      </c>
      <c r="H10" s="401">
        <f t="shared" si="1"/>
        <v>77532</v>
      </c>
      <c r="I10" s="401">
        <v>79382</v>
      </c>
      <c r="J10" s="401">
        <v>79382</v>
      </c>
      <c r="K10" s="401">
        <v>79382</v>
      </c>
      <c r="L10" s="401">
        <v>79382</v>
      </c>
      <c r="M10" s="401">
        <v>79382</v>
      </c>
      <c r="N10" s="401"/>
      <c r="O10" s="404">
        <f t="shared" si="2"/>
        <v>862102</v>
      </c>
    </row>
    <row r="11" spans="1:15">
      <c r="A11" s="397">
        <v>4</v>
      </c>
      <c r="B11" s="398" t="str">
        <f>+BPJS!B10</f>
        <v>SUMARDI</v>
      </c>
      <c r="C11" s="401">
        <f t="shared" si="0"/>
        <v>77532</v>
      </c>
      <c r="D11" s="401">
        <f t="shared" si="1"/>
        <v>77532</v>
      </c>
      <c r="E11" s="401">
        <f t="shared" si="1"/>
        <v>77532</v>
      </c>
      <c r="F11" s="401">
        <f t="shared" si="1"/>
        <v>77532</v>
      </c>
      <c r="G11" s="401">
        <f t="shared" si="1"/>
        <v>77532</v>
      </c>
      <c r="H11" s="401">
        <f t="shared" si="1"/>
        <v>77532</v>
      </c>
      <c r="I11" s="401">
        <v>79382</v>
      </c>
      <c r="J11" s="401">
        <v>79382</v>
      </c>
      <c r="K11" s="401">
        <v>79382</v>
      </c>
      <c r="L11" s="401">
        <v>79382</v>
      </c>
      <c r="M11" s="401">
        <v>79382</v>
      </c>
      <c r="N11" s="401"/>
      <c r="O11" s="404">
        <f t="shared" si="2"/>
        <v>862102</v>
      </c>
    </row>
    <row r="12" spans="1:15">
      <c r="A12" s="397">
        <v>5</v>
      </c>
      <c r="B12" s="398" t="str">
        <f>+BPJS!B12</f>
        <v>EKI SUMANTRI</v>
      </c>
      <c r="C12" s="401">
        <f t="shared" si="0"/>
        <v>77532</v>
      </c>
      <c r="D12" s="401">
        <f t="shared" si="1"/>
        <v>77532</v>
      </c>
      <c r="E12" s="401">
        <f t="shared" si="1"/>
        <v>77532</v>
      </c>
      <c r="F12" s="401">
        <f t="shared" si="1"/>
        <v>77532</v>
      </c>
      <c r="G12" s="401">
        <f t="shared" si="1"/>
        <v>77532</v>
      </c>
      <c r="H12" s="401">
        <f t="shared" si="1"/>
        <v>77532</v>
      </c>
      <c r="I12" s="401">
        <v>77892</v>
      </c>
      <c r="J12" s="401">
        <v>77892</v>
      </c>
      <c r="K12" s="401">
        <v>77892</v>
      </c>
      <c r="L12" s="401">
        <v>77892</v>
      </c>
      <c r="M12" s="401">
        <v>77892</v>
      </c>
      <c r="N12" s="401"/>
      <c r="O12" s="404">
        <f t="shared" si="2"/>
        <v>854652</v>
      </c>
    </row>
    <row r="13" spans="1:15">
      <c r="A13" s="397">
        <v>6</v>
      </c>
      <c r="B13" s="398" t="str">
        <f>+BPJS!B13</f>
        <v>SULISTIYANI SAPUTRI</v>
      </c>
      <c r="C13" s="401">
        <f t="shared" si="0"/>
        <v>77532</v>
      </c>
      <c r="D13" s="401">
        <f t="shared" si="1"/>
        <v>77532</v>
      </c>
      <c r="E13" s="401">
        <f t="shared" si="1"/>
        <v>77532</v>
      </c>
      <c r="F13" s="401">
        <f t="shared" si="1"/>
        <v>77532</v>
      </c>
      <c r="G13" s="401">
        <f t="shared" si="1"/>
        <v>77532</v>
      </c>
      <c r="H13" s="401">
        <f t="shared" si="1"/>
        <v>77532</v>
      </c>
      <c r="I13" s="401">
        <v>78472</v>
      </c>
      <c r="J13" s="401">
        <v>78542</v>
      </c>
      <c r="K13" s="401">
        <v>78542</v>
      </c>
      <c r="L13" s="401">
        <v>78542</v>
      </c>
      <c r="M13" s="401">
        <v>78542</v>
      </c>
      <c r="N13" s="401"/>
      <c r="O13" s="404">
        <f t="shared" si="2"/>
        <v>857832</v>
      </c>
    </row>
    <row r="14" spans="1:15">
      <c r="A14" s="397">
        <v>7</v>
      </c>
      <c r="B14" s="398" t="str">
        <f>+BPJS!B14</f>
        <v>TRISNAWATI</v>
      </c>
      <c r="C14" s="401">
        <f t="shared" si="0"/>
        <v>77532</v>
      </c>
      <c r="D14" s="401">
        <f t="shared" si="1"/>
        <v>77532</v>
      </c>
      <c r="E14" s="401">
        <f t="shared" si="1"/>
        <v>77532</v>
      </c>
      <c r="F14" s="401">
        <f t="shared" si="1"/>
        <v>77532</v>
      </c>
      <c r="G14" s="401">
        <f t="shared" si="1"/>
        <v>77532</v>
      </c>
      <c r="H14" s="401">
        <f t="shared" si="1"/>
        <v>77532</v>
      </c>
      <c r="I14" s="401">
        <v>77892</v>
      </c>
      <c r="J14" s="401">
        <v>77892</v>
      </c>
      <c r="K14" s="401">
        <v>77892</v>
      </c>
      <c r="L14" s="401">
        <v>77952</v>
      </c>
      <c r="M14" s="401">
        <v>77952</v>
      </c>
      <c r="N14" s="401"/>
      <c r="O14" s="404">
        <f t="shared" si="2"/>
        <v>854772</v>
      </c>
    </row>
    <row r="15" spans="1:15">
      <c r="A15" s="397">
        <v>8</v>
      </c>
      <c r="B15" s="398" t="str">
        <f>+BPJS!B15</f>
        <v>ELNI</v>
      </c>
      <c r="C15" s="401">
        <f t="shared" si="0"/>
        <v>77532</v>
      </c>
      <c r="D15" s="401">
        <f t="shared" si="1"/>
        <v>77532</v>
      </c>
      <c r="E15" s="401">
        <f t="shared" si="1"/>
        <v>77532</v>
      </c>
      <c r="F15" s="401">
        <f t="shared" si="1"/>
        <v>77532</v>
      </c>
      <c r="G15" s="401">
        <f t="shared" si="1"/>
        <v>77532</v>
      </c>
      <c r="H15" s="401">
        <f t="shared" si="1"/>
        <v>77532</v>
      </c>
      <c r="I15" s="401">
        <v>78192</v>
      </c>
      <c r="J15" s="401">
        <v>78192</v>
      </c>
      <c r="K15" s="401">
        <v>78192</v>
      </c>
      <c r="L15" s="401">
        <v>78192</v>
      </c>
      <c r="M15" s="401">
        <v>78192</v>
      </c>
      <c r="N15" s="401"/>
      <c r="O15" s="404">
        <f t="shared" si="2"/>
        <v>856152</v>
      </c>
    </row>
    <row r="16" spans="1:15">
      <c r="A16" s="397">
        <v>9</v>
      </c>
      <c r="B16" s="398" t="str">
        <f>+BPJS!B16</f>
        <v>YUSTIANA</v>
      </c>
      <c r="C16" s="401">
        <f t="shared" si="0"/>
        <v>77532</v>
      </c>
      <c r="D16" s="401">
        <f t="shared" si="1"/>
        <v>77532</v>
      </c>
      <c r="E16" s="401">
        <f t="shared" si="1"/>
        <v>77532</v>
      </c>
      <c r="F16" s="401">
        <f t="shared" si="1"/>
        <v>77532</v>
      </c>
      <c r="G16" s="401">
        <f t="shared" si="1"/>
        <v>77532</v>
      </c>
      <c r="H16" s="401">
        <f t="shared" si="1"/>
        <v>77532</v>
      </c>
      <c r="I16" s="401">
        <v>78612</v>
      </c>
      <c r="J16" s="401">
        <v>78612</v>
      </c>
      <c r="K16" s="401">
        <v>78612</v>
      </c>
      <c r="L16" s="401">
        <v>78682</v>
      </c>
      <c r="M16" s="401">
        <v>78682</v>
      </c>
      <c r="N16" s="401"/>
      <c r="O16" s="404">
        <f t="shared" si="2"/>
        <v>858392</v>
      </c>
    </row>
    <row r="17" spans="1:15">
      <c r="A17" s="397">
        <v>10</v>
      </c>
      <c r="B17" s="398" t="str">
        <f>+BPJS!B17</f>
        <v>YULIANA</v>
      </c>
      <c r="C17" s="401">
        <f t="shared" si="0"/>
        <v>77532</v>
      </c>
      <c r="D17" s="401">
        <f t="shared" si="1"/>
        <v>77532</v>
      </c>
      <c r="E17" s="401">
        <f t="shared" si="1"/>
        <v>77532</v>
      </c>
      <c r="F17" s="401">
        <f t="shared" si="1"/>
        <v>77532</v>
      </c>
      <c r="G17" s="401">
        <f t="shared" si="1"/>
        <v>77532</v>
      </c>
      <c r="H17" s="401">
        <f t="shared" si="1"/>
        <v>77532</v>
      </c>
      <c r="I17" s="401">
        <v>78192</v>
      </c>
      <c r="J17" s="401">
        <v>78192</v>
      </c>
      <c r="K17" s="401">
        <v>78192</v>
      </c>
      <c r="L17" s="401">
        <v>78192</v>
      </c>
      <c r="M17" s="401">
        <v>78192</v>
      </c>
      <c r="N17" s="401"/>
      <c r="O17" s="404">
        <f t="shared" si="2"/>
        <v>856152</v>
      </c>
    </row>
    <row r="18" spans="1:15">
      <c r="A18" s="397">
        <v>11</v>
      </c>
      <c r="B18" s="398" t="str">
        <f>+BPJS!B18</f>
        <v>SALMIA</v>
      </c>
      <c r="C18" s="401">
        <f t="shared" si="0"/>
        <v>77532</v>
      </c>
      <c r="D18" s="401">
        <f t="shared" si="1"/>
        <v>77532</v>
      </c>
      <c r="E18" s="401">
        <f t="shared" si="1"/>
        <v>77532</v>
      </c>
      <c r="F18" s="401">
        <f t="shared" si="1"/>
        <v>77532</v>
      </c>
      <c r="G18" s="401">
        <f t="shared" si="1"/>
        <v>77532</v>
      </c>
      <c r="H18" s="401">
        <f t="shared" si="1"/>
        <v>77532</v>
      </c>
      <c r="I18" s="401">
        <v>78612</v>
      </c>
      <c r="J18" s="401">
        <v>78612</v>
      </c>
      <c r="K18" s="401">
        <v>78612</v>
      </c>
      <c r="L18" s="401">
        <v>78682</v>
      </c>
      <c r="M18" s="401">
        <v>78682</v>
      </c>
      <c r="N18" s="401"/>
      <c r="O18" s="404">
        <f t="shared" si="2"/>
        <v>858392</v>
      </c>
    </row>
    <row r="19" spans="1:15">
      <c r="A19" s="397">
        <v>12</v>
      </c>
      <c r="B19" s="398" t="str">
        <f>+BPJS!B19</f>
        <v>SISWANDI</v>
      </c>
      <c r="C19" s="401">
        <f t="shared" si="0"/>
        <v>77532</v>
      </c>
      <c r="D19" s="401">
        <f t="shared" si="1"/>
        <v>77532</v>
      </c>
      <c r="E19" s="401">
        <f t="shared" si="1"/>
        <v>77532</v>
      </c>
      <c r="F19" s="401">
        <f t="shared" si="1"/>
        <v>77532</v>
      </c>
      <c r="G19" s="401">
        <f t="shared" si="1"/>
        <v>77532</v>
      </c>
      <c r="H19" s="401">
        <f t="shared" si="1"/>
        <v>77532</v>
      </c>
      <c r="I19" s="401">
        <v>78472</v>
      </c>
      <c r="J19" s="401">
        <v>78472</v>
      </c>
      <c r="K19" s="401">
        <v>78472</v>
      </c>
      <c r="L19" s="401">
        <v>78472</v>
      </c>
      <c r="M19" s="401">
        <v>78542</v>
      </c>
      <c r="N19" s="401"/>
      <c r="O19" s="404">
        <f t="shared" si="2"/>
        <v>857622</v>
      </c>
    </row>
    <row r="20" spans="1:15">
      <c r="A20" s="397">
        <v>13</v>
      </c>
      <c r="B20" s="398" t="str">
        <f>+BPJS!B20</f>
        <v>ERWIN HAZANI</v>
      </c>
      <c r="C20" s="401">
        <f t="shared" si="0"/>
        <v>77532</v>
      </c>
      <c r="D20" s="401">
        <f t="shared" si="1"/>
        <v>77532</v>
      </c>
      <c r="E20" s="401">
        <f t="shared" si="1"/>
        <v>77532</v>
      </c>
      <c r="F20" s="401">
        <f t="shared" si="1"/>
        <v>77532</v>
      </c>
      <c r="G20" s="401">
        <f t="shared" si="1"/>
        <v>77532</v>
      </c>
      <c r="H20" s="401">
        <f t="shared" si="1"/>
        <v>77532</v>
      </c>
      <c r="I20" s="401">
        <v>78192</v>
      </c>
      <c r="J20" s="401">
        <v>78192</v>
      </c>
      <c r="K20" s="401">
        <v>78192</v>
      </c>
      <c r="L20" s="401">
        <v>78192</v>
      </c>
      <c r="M20" s="401">
        <v>78192</v>
      </c>
      <c r="N20" s="401"/>
      <c r="O20" s="404">
        <f t="shared" si="2"/>
        <v>856152</v>
      </c>
    </row>
    <row r="21" spans="1:15">
      <c r="A21" s="397">
        <v>14</v>
      </c>
      <c r="B21" s="398" t="str">
        <f>+BPJS!B21</f>
        <v>SERIHAN</v>
      </c>
      <c r="C21" s="401">
        <f t="shared" si="0"/>
        <v>77532</v>
      </c>
      <c r="D21" s="401">
        <f t="shared" si="1"/>
        <v>77532</v>
      </c>
      <c r="E21" s="401">
        <f t="shared" si="1"/>
        <v>77532</v>
      </c>
      <c r="F21" s="401">
        <f t="shared" si="1"/>
        <v>77532</v>
      </c>
      <c r="G21" s="401">
        <f t="shared" si="1"/>
        <v>77532</v>
      </c>
      <c r="H21" s="401">
        <f t="shared" si="1"/>
        <v>77532</v>
      </c>
      <c r="I21" s="401">
        <v>78542</v>
      </c>
      <c r="J21" s="401">
        <v>78542</v>
      </c>
      <c r="K21" s="401">
        <v>78542</v>
      </c>
      <c r="L21" s="401">
        <v>78542</v>
      </c>
      <c r="M21" s="401">
        <v>78542</v>
      </c>
      <c r="N21" s="401"/>
      <c r="O21" s="404">
        <f t="shared" si="2"/>
        <v>857902</v>
      </c>
    </row>
    <row r="22" spans="1:15">
      <c r="A22" s="397">
        <v>15</v>
      </c>
      <c r="B22" s="398" t="str">
        <f>+BPJS!B22</f>
        <v>IMAM ROHMANU,SIP</v>
      </c>
      <c r="C22" s="401">
        <f t="shared" si="0"/>
        <v>77532</v>
      </c>
      <c r="D22" s="401">
        <f t="shared" si="0"/>
        <v>77532</v>
      </c>
      <c r="E22" s="401">
        <f t="shared" si="0"/>
        <v>77532</v>
      </c>
      <c r="F22" s="401">
        <f t="shared" si="0"/>
        <v>77532</v>
      </c>
      <c r="G22" s="401">
        <f t="shared" si="0"/>
        <v>77532</v>
      </c>
      <c r="H22" s="401">
        <f t="shared" si="0"/>
        <v>77532</v>
      </c>
      <c r="I22" s="401">
        <v>77892</v>
      </c>
      <c r="J22" s="401">
        <v>77892</v>
      </c>
      <c r="K22" s="401">
        <v>77892</v>
      </c>
      <c r="L22" s="401">
        <v>77892</v>
      </c>
      <c r="M22" s="401">
        <v>77892</v>
      </c>
      <c r="N22" s="401"/>
      <c r="O22" s="404">
        <f t="shared" si="2"/>
        <v>854652</v>
      </c>
    </row>
    <row r="23" spans="1:15">
      <c r="A23" s="397">
        <v>16</v>
      </c>
      <c r="B23" s="398" t="str">
        <f>+BPJS!B23</f>
        <v>ARLINI</v>
      </c>
      <c r="C23" s="419">
        <f t="shared" ref="C23:H23" si="3">3876600*2%</f>
        <v>77532</v>
      </c>
      <c r="D23" s="419">
        <f t="shared" si="3"/>
        <v>77532</v>
      </c>
      <c r="E23" s="419">
        <f t="shared" si="3"/>
        <v>77532</v>
      </c>
      <c r="F23" s="419">
        <f t="shared" si="3"/>
        <v>77532</v>
      </c>
      <c r="G23" s="419">
        <f t="shared" si="3"/>
        <v>77532</v>
      </c>
      <c r="H23" s="419">
        <f t="shared" si="3"/>
        <v>77532</v>
      </c>
      <c r="I23" s="401">
        <v>78542</v>
      </c>
      <c r="J23" s="401">
        <v>78542</v>
      </c>
      <c r="K23" s="401">
        <v>78542</v>
      </c>
      <c r="L23" s="401">
        <v>78542</v>
      </c>
      <c r="M23" s="401">
        <v>78542</v>
      </c>
      <c r="N23" s="401"/>
      <c r="O23" s="404">
        <f t="shared" si="2"/>
        <v>857902</v>
      </c>
    </row>
    <row r="24" spans="1:15">
      <c r="A24" s="397">
        <v>17</v>
      </c>
      <c r="B24" s="398">
        <f>+BPJS!B24</f>
        <v>0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4">
        <f t="shared" si="2"/>
        <v>0</v>
      </c>
    </row>
    <row r="25" spans="1:15">
      <c r="A25" s="397">
        <v>18</v>
      </c>
      <c r="B25" s="398">
        <f>+BPJS!B25</f>
        <v>0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4">
        <f t="shared" si="2"/>
        <v>0</v>
      </c>
    </row>
    <row r="26" spans="1:15">
      <c r="A26" s="397">
        <v>19</v>
      </c>
      <c r="B26" s="398">
        <f>+BPJS!B26</f>
        <v>0</v>
      </c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4">
        <f t="shared" si="2"/>
        <v>0</v>
      </c>
    </row>
    <row r="27" spans="1:15">
      <c r="A27" s="397">
        <v>20</v>
      </c>
      <c r="B27" s="398">
        <f>+BPJS!B27</f>
        <v>0</v>
      </c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4">
        <f t="shared" si="2"/>
        <v>0</v>
      </c>
    </row>
    <row r="28" spans="1:15">
      <c r="A28" s="397">
        <v>21</v>
      </c>
      <c r="B28" s="398">
        <f>+BPJS!B28</f>
        <v>0</v>
      </c>
      <c r="C28" s="401"/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4">
        <f t="shared" si="2"/>
        <v>0</v>
      </c>
    </row>
    <row r="29" spans="1:15">
      <c r="A29" s="397">
        <v>22</v>
      </c>
      <c r="B29" s="398">
        <f>+BPJS!B29</f>
        <v>0</v>
      </c>
      <c r="C29" s="401"/>
      <c r="D29" s="401"/>
      <c r="E29" s="401"/>
      <c r="F29" s="401"/>
      <c r="G29" s="401"/>
      <c r="H29" s="401"/>
      <c r="I29" s="419"/>
      <c r="J29" s="401"/>
      <c r="K29" s="401"/>
      <c r="L29" s="401"/>
      <c r="M29" s="419"/>
      <c r="N29" s="401"/>
      <c r="O29" s="404">
        <f t="shared" si="2"/>
        <v>0</v>
      </c>
    </row>
    <row r="30" spans="1:15">
      <c r="A30" s="397">
        <v>23</v>
      </c>
      <c r="B30" s="398">
        <f>+BPJS!B30</f>
        <v>0</v>
      </c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4">
        <f t="shared" si="2"/>
        <v>0</v>
      </c>
    </row>
    <row r="31" spans="1:15">
      <c r="A31" s="397">
        <v>24</v>
      </c>
      <c r="B31" s="398">
        <f>+BPJS!B31</f>
        <v>0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4">
        <f>C31+D31+E31+F31+G31+H31+I31+J31+K31+L31+M31+N31</f>
        <v>0</v>
      </c>
    </row>
    <row r="32" spans="1:15">
      <c r="A32" s="397">
        <v>25</v>
      </c>
      <c r="B32" s="398">
        <f>+BPJS!B32</f>
        <v>0</v>
      </c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4">
        <f>C32+D32+E32+F32+G32+H32+I32+J32+K32+L32+M32+N32</f>
        <v>0</v>
      </c>
    </row>
    <row r="33" spans="1:15">
      <c r="A33" s="397">
        <v>26</v>
      </c>
      <c r="B33" s="398">
        <f>+BPJS!B33</f>
        <v>0</v>
      </c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4">
        <f t="shared" ref="O33:O34" si="4">C33+D33+E33+F33+G33+H33+I33+J33+K33+L33+M33+N33</f>
        <v>0</v>
      </c>
    </row>
    <row r="34" spans="1:15">
      <c r="A34" s="397">
        <v>27</v>
      </c>
      <c r="B34" s="398">
        <f>+BPJS!B34</f>
        <v>0</v>
      </c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4">
        <f t="shared" si="4"/>
        <v>0</v>
      </c>
    </row>
    <row r="35" spans="1:15">
      <c r="A35" s="397">
        <v>28</v>
      </c>
      <c r="B35" s="398">
        <f>+BPJS!B35</f>
        <v>0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4">
        <f t="shared" ref="O35:O40" si="5">C35+D35+E35+F35+G35+H35+I35+J35+K35+L35+M35+N35</f>
        <v>0</v>
      </c>
    </row>
    <row r="36" spans="1:15">
      <c r="A36" s="397">
        <v>29</v>
      </c>
      <c r="B36" s="398">
        <f>+BPJS!B36</f>
        <v>0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4">
        <f t="shared" si="5"/>
        <v>0</v>
      </c>
    </row>
    <row r="37" spans="1:15">
      <c r="A37" s="397">
        <v>30</v>
      </c>
      <c r="B37" s="398">
        <f>+BPJS!B37</f>
        <v>0</v>
      </c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4">
        <f t="shared" si="5"/>
        <v>0</v>
      </c>
    </row>
    <row r="38" spans="1:15">
      <c r="A38" s="397">
        <v>31</v>
      </c>
      <c r="B38" s="398">
        <f>+BPJS!B38</f>
        <v>0</v>
      </c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4">
        <f t="shared" si="5"/>
        <v>0</v>
      </c>
    </row>
    <row r="39" spans="1:15">
      <c r="A39" s="397">
        <v>32</v>
      </c>
      <c r="B39" s="398">
        <f>+BPJS!B39</f>
        <v>0</v>
      </c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4">
        <f t="shared" si="5"/>
        <v>0</v>
      </c>
    </row>
    <row r="40" spans="1:15" ht="15.75" thickBot="1">
      <c r="A40" s="397">
        <v>33</v>
      </c>
      <c r="B40" s="398">
        <f>+BPJS!B40</f>
        <v>0</v>
      </c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623">
        <f t="shared" si="5"/>
        <v>0</v>
      </c>
    </row>
    <row r="41" spans="1:15" ht="15.75" thickBot="1">
      <c r="A41" s="422"/>
      <c r="B41" s="423"/>
      <c r="C41" s="572">
        <f t="shared" ref="C41:O41" si="6">SUM(C8:C40)</f>
        <v>1240512</v>
      </c>
      <c r="D41" s="572">
        <f t="shared" si="6"/>
        <v>1240512</v>
      </c>
      <c r="E41" s="572">
        <f t="shared" si="6"/>
        <v>1240512</v>
      </c>
      <c r="F41" s="572">
        <f t="shared" si="6"/>
        <v>1240512</v>
      </c>
      <c r="G41" s="572">
        <f t="shared" si="6"/>
        <v>1240512</v>
      </c>
      <c r="H41" s="572">
        <f t="shared" si="6"/>
        <v>1240512</v>
      </c>
      <c r="I41" s="572">
        <f t="shared" si="6"/>
        <v>1256122</v>
      </c>
      <c r="J41" s="572">
        <f t="shared" si="6"/>
        <v>1256192</v>
      </c>
      <c r="K41" s="572">
        <f t="shared" si="6"/>
        <v>1256192</v>
      </c>
      <c r="L41" s="572">
        <f t="shared" si="6"/>
        <v>1256392</v>
      </c>
      <c r="M41" s="572">
        <f t="shared" si="6"/>
        <v>1256462</v>
      </c>
      <c r="N41" s="572">
        <f t="shared" si="6"/>
        <v>0</v>
      </c>
      <c r="O41" s="572">
        <f t="shared" si="6"/>
        <v>13724432</v>
      </c>
    </row>
    <row r="42" spans="1:15" ht="15.75" thickBot="1"/>
    <row r="43" spans="1:15" s="669" customFormat="1" ht="15.75" thickTop="1">
      <c r="A43" s="663">
        <v>1</v>
      </c>
      <c r="B43" s="664" t="str">
        <f>+BPJS!B44</f>
        <v>NURANI</v>
      </c>
      <c r="C43" s="665">
        <f>3876600*2%</f>
        <v>77532</v>
      </c>
      <c r="D43" s="665">
        <f t="shared" si="1"/>
        <v>77532</v>
      </c>
      <c r="E43" s="665">
        <f t="shared" si="1"/>
        <v>77532</v>
      </c>
      <c r="F43" s="665">
        <f t="shared" si="1"/>
        <v>77532</v>
      </c>
      <c r="G43" s="665">
        <f t="shared" si="1"/>
        <v>77532</v>
      </c>
      <c r="H43" s="665">
        <f t="shared" si="1"/>
        <v>77532</v>
      </c>
      <c r="I43" s="665">
        <v>78402</v>
      </c>
      <c r="J43" s="666">
        <v>78472</v>
      </c>
      <c r="K43" s="666">
        <v>78472</v>
      </c>
      <c r="L43" s="666">
        <v>78472</v>
      </c>
      <c r="M43" s="667">
        <v>78472</v>
      </c>
      <c r="N43" s="666"/>
      <c r="O43" s="668">
        <f>SUM(C43:N43)</f>
        <v>857482</v>
      </c>
    </row>
    <row r="44" spans="1:15" s="669" customFormat="1">
      <c r="A44" s="670">
        <v>6</v>
      </c>
      <c r="B44" s="671" t="str">
        <f>+BPJS!B45</f>
        <v>UJANG SANUSI</v>
      </c>
      <c r="C44" s="666">
        <f t="shared" si="0"/>
        <v>77532</v>
      </c>
      <c r="D44" s="666">
        <f t="shared" si="1"/>
        <v>77532</v>
      </c>
      <c r="E44" s="666">
        <f t="shared" si="1"/>
        <v>77532</v>
      </c>
      <c r="F44" s="666">
        <f t="shared" si="1"/>
        <v>77532</v>
      </c>
      <c r="G44" s="666">
        <f t="shared" si="1"/>
        <v>77532</v>
      </c>
      <c r="H44" s="666">
        <f t="shared" si="1"/>
        <v>77532</v>
      </c>
      <c r="I44" s="666">
        <v>78072</v>
      </c>
      <c r="J44" s="666">
        <v>78072</v>
      </c>
      <c r="K44" s="666">
        <v>78072</v>
      </c>
      <c r="L44" s="666">
        <v>78072</v>
      </c>
      <c r="M44" s="666">
        <v>78072</v>
      </c>
      <c r="N44" s="666"/>
      <c r="O44" s="672">
        <f>SUM(C44:N44)</f>
        <v>855552</v>
      </c>
    </row>
    <row r="46" spans="1:15">
      <c r="A46" s="372" t="s">
        <v>71</v>
      </c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4"/>
      <c r="M46" s="374"/>
      <c r="N46" s="373"/>
      <c r="O46" s="373"/>
    </row>
    <row r="47" spans="1:15" ht="15.75" thickBot="1">
      <c r="A47" s="372" t="s">
        <v>348</v>
      </c>
      <c r="B47" s="373"/>
      <c r="C47" s="373"/>
      <c r="D47" s="373" t="s">
        <v>353</v>
      </c>
      <c r="E47" s="376"/>
      <c r="F47" s="376"/>
      <c r="G47" s="376"/>
      <c r="H47" s="376"/>
      <c r="I47" s="376"/>
      <c r="J47" s="376"/>
      <c r="K47" s="376"/>
      <c r="L47" s="377"/>
      <c r="M47" s="377"/>
      <c r="N47" s="376"/>
      <c r="O47" s="376"/>
    </row>
    <row r="48" spans="1:15">
      <c r="A48" s="742" t="s">
        <v>0</v>
      </c>
      <c r="B48" s="735" t="s">
        <v>231</v>
      </c>
      <c r="C48" s="775" t="s">
        <v>234</v>
      </c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7"/>
    </row>
    <row r="49" spans="1:15">
      <c r="A49" s="743"/>
      <c r="B49" s="736"/>
      <c r="C49" s="729" t="s">
        <v>237</v>
      </c>
      <c r="D49" s="729" t="s">
        <v>238</v>
      </c>
      <c r="E49" s="729" t="s">
        <v>239</v>
      </c>
      <c r="F49" s="778" t="s">
        <v>240</v>
      </c>
      <c r="G49" s="729" t="s">
        <v>241</v>
      </c>
      <c r="H49" s="729" t="s">
        <v>242</v>
      </c>
      <c r="I49" s="729" t="s">
        <v>243</v>
      </c>
      <c r="J49" s="729" t="s">
        <v>244</v>
      </c>
      <c r="K49" s="729" t="s">
        <v>245</v>
      </c>
      <c r="L49" s="727" t="s">
        <v>246</v>
      </c>
      <c r="M49" s="727" t="s">
        <v>247</v>
      </c>
      <c r="N49" s="729" t="s">
        <v>248</v>
      </c>
      <c r="O49" s="569" t="s">
        <v>249</v>
      </c>
    </row>
    <row r="50" spans="1:15" ht="15.75" thickBot="1">
      <c r="A50" s="744"/>
      <c r="B50" s="734"/>
      <c r="C50" s="730"/>
      <c r="D50" s="730"/>
      <c r="E50" s="730"/>
      <c r="F50" s="779"/>
      <c r="G50" s="730"/>
      <c r="H50" s="730"/>
      <c r="I50" s="730"/>
      <c r="J50" s="733"/>
      <c r="K50" s="730"/>
      <c r="L50" s="728"/>
      <c r="M50" s="728"/>
      <c r="N50" s="733"/>
      <c r="O50" s="385" t="s">
        <v>254</v>
      </c>
    </row>
    <row r="51" spans="1:15" ht="15.75" thickTop="1">
      <c r="A51" s="397">
        <v>1</v>
      </c>
      <c r="B51" s="398" t="str">
        <f t="shared" ref="B51:B83" si="7">+B8</f>
        <v>SARWANDI</v>
      </c>
      <c r="C51" s="401">
        <f t="shared" ref="C51:H89" si="8">3876600*1%</f>
        <v>38766</v>
      </c>
      <c r="D51" s="401">
        <f t="shared" ref="D51:H89" si="9">3876600*1%</f>
        <v>38766</v>
      </c>
      <c r="E51" s="401">
        <f t="shared" si="9"/>
        <v>38766</v>
      </c>
      <c r="F51" s="401">
        <f t="shared" si="9"/>
        <v>38766</v>
      </c>
      <c r="G51" s="401">
        <f t="shared" si="9"/>
        <v>38766</v>
      </c>
      <c r="H51" s="401">
        <f t="shared" si="9"/>
        <v>38766</v>
      </c>
      <c r="I51" s="401">
        <v>39271</v>
      </c>
      <c r="J51" s="401">
        <v>39271</v>
      </c>
      <c r="K51" s="401">
        <v>39271</v>
      </c>
      <c r="L51" s="401">
        <v>39271</v>
      </c>
      <c r="M51" s="401">
        <v>39271</v>
      </c>
      <c r="N51" s="401"/>
      <c r="O51" s="404">
        <f t="shared" ref="O51:O73" si="10">SUM(C51:N51)</f>
        <v>428951</v>
      </c>
    </row>
    <row r="52" spans="1:15">
      <c r="A52" s="397">
        <v>2</v>
      </c>
      <c r="B52" s="398" t="str">
        <f t="shared" si="7"/>
        <v>SUHARMAN</v>
      </c>
      <c r="C52" s="401">
        <f t="shared" si="8"/>
        <v>38766</v>
      </c>
      <c r="D52" s="401">
        <f t="shared" si="9"/>
        <v>38766</v>
      </c>
      <c r="E52" s="401">
        <f t="shared" si="9"/>
        <v>38766</v>
      </c>
      <c r="F52" s="401">
        <f t="shared" si="9"/>
        <v>38766</v>
      </c>
      <c r="G52" s="401">
        <f t="shared" si="9"/>
        <v>38766</v>
      </c>
      <c r="H52" s="401">
        <f t="shared" si="9"/>
        <v>38766</v>
      </c>
      <c r="I52" s="401">
        <v>39656</v>
      </c>
      <c r="J52" s="401">
        <v>39656</v>
      </c>
      <c r="K52" s="401">
        <v>39656</v>
      </c>
      <c r="L52" s="401">
        <v>39656</v>
      </c>
      <c r="M52" s="401">
        <v>39656</v>
      </c>
      <c r="N52" s="401"/>
      <c r="O52" s="404">
        <f t="shared" si="10"/>
        <v>430876</v>
      </c>
    </row>
    <row r="53" spans="1:15">
      <c r="A53" s="397">
        <v>3</v>
      </c>
      <c r="B53" s="398" t="str">
        <f t="shared" si="7"/>
        <v>DARMAWAN</v>
      </c>
      <c r="C53" s="401">
        <f t="shared" si="8"/>
        <v>38766</v>
      </c>
      <c r="D53" s="401">
        <f t="shared" si="9"/>
        <v>38766</v>
      </c>
      <c r="E53" s="401">
        <f t="shared" si="9"/>
        <v>38766</v>
      </c>
      <c r="F53" s="401">
        <f t="shared" si="9"/>
        <v>38766</v>
      </c>
      <c r="G53" s="401">
        <f t="shared" si="9"/>
        <v>38766</v>
      </c>
      <c r="H53" s="401">
        <f t="shared" si="9"/>
        <v>38766</v>
      </c>
      <c r="I53" s="401">
        <v>39691</v>
      </c>
      <c r="J53" s="401">
        <v>39691</v>
      </c>
      <c r="K53" s="401">
        <v>39691</v>
      </c>
      <c r="L53" s="401">
        <v>39691</v>
      </c>
      <c r="M53" s="401">
        <v>39691</v>
      </c>
      <c r="N53" s="401"/>
      <c r="O53" s="404">
        <f t="shared" si="10"/>
        <v>431051</v>
      </c>
    </row>
    <row r="54" spans="1:15">
      <c r="A54" s="397">
        <v>4</v>
      </c>
      <c r="B54" s="398" t="str">
        <f t="shared" si="7"/>
        <v>SUMARDI</v>
      </c>
      <c r="C54" s="401">
        <f t="shared" si="8"/>
        <v>38766</v>
      </c>
      <c r="D54" s="401">
        <f t="shared" si="9"/>
        <v>38766</v>
      </c>
      <c r="E54" s="401">
        <f t="shared" si="9"/>
        <v>38766</v>
      </c>
      <c r="F54" s="401">
        <f t="shared" si="9"/>
        <v>38766</v>
      </c>
      <c r="G54" s="401">
        <f t="shared" si="9"/>
        <v>38766</v>
      </c>
      <c r="H54" s="401">
        <f t="shared" si="9"/>
        <v>38766</v>
      </c>
      <c r="I54" s="401">
        <v>39691</v>
      </c>
      <c r="J54" s="401">
        <v>39691</v>
      </c>
      <c r="K54" s="401">
        <v>39691</v>
      </c>
      <c r="L54" s="401">
        <v>39691</v>
      </c>
      <c r="M54" s="401">
        <v>39691</v>
      </c>
      <c r="N54" s="401"/>
      <c r="O54" s="404">
        <f t="shared" si="10"/>
        <v>431051</v>
      </c>
    </row>
    <row r="55" spans="1:15">
      <c r="A55" s="397">
        <v>5</v>
      </c>
      <c r="B55" s="398" t="str">
        <f t="shared" si="7"/>
        <v>EKI SUMANTRI</v>
      </c>
      <c r="C55" s="401">
        <f t="shared" si="8"/>
        <v>38766</v>
      </c>
      <c r="D55" s="401">
        <f t="shared" si="9"/>
        <v>38766</v>
      </c>
      <c r="E55" s="401">
        <f t="shared" si="9"/>
        <v>38766</v>
      </c>
      <c r="F55" s="401">
        <f t="shared" si="9"/>
        <v>38766</v>
      </c>
      <c r="G55" s="401">
        <f t="shared" si="9"/>
        <v>38766</v>
      </c>
      <c r="H55" s="401">
        <f t="shared" si="9"/>
        <v>38766</v>
      </c>
      <c r="I55" s="401">
        <v>38946</v>
      </c>
      <c r="J55" s="401">
        <v>38946</v>
      </c>
      <c r="K55" s="401">
        <v>38946</v>
      </c>
      <c r="L55" s="401">
        <v>38946</v>
      </c>
      <c r="M55" s="401">
        <v>38946</v>
      </c>
      <c r="N55" s="401"/>
      <c r="O55" s="404">
        <f t="shared" si="10"/>
        <v>427326</v>
      </c>
    </row>
    <row r="56" spans="1:15">
      <c r="A56" s="397">
        <v>6</v>
      </c>
      <c r="B56" s="398" t="str">
        <f t="shared" si="7"/>
        <v>SULISTIYANI SAPUTRI</v>
      </c>
      <c r="C56" s="401">
        <f t="shared" si="8"/>
        <v>38766</v>
      </c>
      <c r="D56" s="401">
        <f t="shared" si="9"/>
        <v>38766</v>
      </c>
      <c r="E56" s="401">
        <f t="shared" si="9"/>
        <v>38766</v>
      </c>
      <c r="F56" s="401">
        <f t="shared" si="9"/>
        <v>38766</v>
      </c>
      <c r="G56" s="401">
        <f t="shared" si="9"/>
        <v>38766</v>
      </c>
      <c r="H56" s="401">
        <f t="shared" si="9"/>
        <v>38766</v>
      </c>
      <c r="I56" s="401">
        <v>39236</v>
      </c>
      <c r="J56" s="401">
        <v>39271</v>
      </c>
      <c r="K56" s="401">
        <v>39271</v>
      </c>
      <c r="L56" s="401">
        <v>39271</v>
      </c>
      <c r="M56" s="401">
        <v>39271</v>
      </c>
      <c r="N56" s="401"/>
      <c r="O56" s="404">
        <f t="shared" si="10"/>
        <v>428916</v>
      </c>
    </row>
    <row r="57" spans="1:15">
      <c r="A57" s="397">
        <v>7</v>
      </c>
      <c r="B57" s="398" t="str">
        <f t="shared" si="7"/>
        <v>TRISNAWATI</v>
      </c>
      <c r="C57" s="401">
        <f t="shared" si="8"/>
        <v>38766</v>
      </c>
      <c r="D57" s="401">
        <f t="shared" si="9"/>
        <v>38766</v>
      </c>
      <c r="E57" s="401">
        <f t="shared" si="9"/>
        <v>38766</v>
      </c>
      <c r="F57" s="401">
        <f t="shared" si="9"/>
        <v>38766</v>
      </c>
      <c r="G57" s="401">
        <f t="shared" si="9"/>
        <v>38766</v>
      </c>
      <c r="H57" s="401">
        <f t="shared" si="9"/>
        <v>38766</v>
      </c>
      <c r="I57" s="401">
        <v>38946</v>
      </c>
      <c r="J57" s="401">
        <v>38946</v>
      </c>
      <c r="K57" s="401">
        <v>38946</v>
      </c>
      <c r="L57" s="401">
        <v>38976</v>
      </c>
      <c r="M57" s="401">
        <v>38976</v>
      </c>
      <c r="N57" s="401"/>
      <c r="O57" s="404">
        <f t="shared" si="10"/>
        <v>427386</v>
      </c>
    </row>
    <row r="58" spans="1:15">
      <c r="A58" s="397">
        <v>8</v>
      </c>
      <c r="B58" s="398" t="str">
        <f t="shared" si="7"/>
        <v>ELNI</v>
      </c>
      <c r="C58" s="401">
        <f t="shared" si="8"/>
        <v>38766</v>
      </c>
      <c r="D58" s="401">
        <f t="shared" si="9"/>
        <v>38766</v>
      </c>
      <c r="E58" s="401">
        <f t="shared" si="9"/>
        <v>38766</v>
      </c>
      <c r="F58" s="401">
        <f t="shared" si="9"/>
        <v>38766</v>
      </c>
      <c r="G58" s="401">
        <f t="shared" si="9"/>
        <v>38766</v>
      </c>
      <c r="H58" s="401">
        <f t="shared" si="9"/>
        <v>38766</v>
      </c>
      <c r="I58" s="401">
        <v>39096</v>
      </c>
      <c r="J58" s="401">
        <v>39096</v>
      </c>
      <c r="K58" s="401">
        <v>39096</v>
      </c>
      <c r="L58" s="401">
        <v>39096</v>
      </c>
      <c r="M58" s="401">
        <v>39096</v>
      </c>
      <c r="N58" s="401"/>
      <c r="O58" s="404">
        <f t="shared" si="10"/>
        <v>428076</v>
      </c>
    </row>
    <row r="59" spans="1:15">
      <c r="A59" s="397">
        <v>9</v>
      </c>
      <c r="B59" s="398" t="str">
        <f t="shared" si="7"/>
        <v>YUSTIANA</v>
      </c>
      <c r="C59" s="401">
        <f t="shared" si="8"/>
        <v>38766</v>
      </c>
      <c r="D59" s="401">
        <f t="shared" si="9"/>
        <v>38766</v>
      </c>
      <c r="E59" s="401">
        <f t="shared" si="9"/>
        <v>38766</v>
      </c>
      <c r="F59" s="401">
        <f t="shared" si="9"/>
        <v>38766</v>
      </c>
      <c r="G59" s="401">
        <f t="shared" si="9"/>
        <v>38766</v>
      </c>
      <c r="H59" s="401">
        <f t="shared" si="9"/>
        <v>38766</v>
      </c>
      <c r="I59" s="401">
        <v>39306</v>
      </c>
      <c r="J59" s="401">
        <v>39306</v>
      </c>
      <c r="K59" s="401">
        <v>39306</v>
      </c>
      <c r="L59" s="401">
        <v>39341</v>
      </c>
      <c r="M59" s="401">
        <v>39341</v>
      </c>
      <c r="N59" s="401"/>
      <c r="O59" s="404">
        <f t="shared" si="10"/>
        <v>429196</v>
      </c>
    </row>
    <row r="60" spans="1:15">
      <c r="A60" s="397">
        <v>10</v>
      </c>
      <c r="B60" s="398" t="str">
        <f t="shared" si="7"/>
        <v>YULIANA</v>
      </c>
      <c r="C60" s="401">
        <f t="shared" si="8"/>
        <v>38766</v>
      </c>
      <c r="D60" s="401">
        <f t="shared" si="9"/>
        <v>38766</v>
      </c>
      <c r="E60" s="401">
        <f t="shared" si="9"/>
        <v>38766</v>
      </c>
      <c r="F60" s="401">
        <f t="shared" si="9"/>
        <v>38766</v>
      </c>
      <c r="G60" s="401">
        <f t="shared" si="9"/>
        <v>38766</v>
      </c>
      <c r="H60" s="401">
        <f t="shared" si="9"/>
        <v>38766</v>
      </c>
      <c r="I60" s="401">
        <v>39096</v>
      </c>
      <c r="J60" s="401">
        <v>39096</v>
      </c>
      <c r="K60" s="401">
        <v>39096</v>
      </c>
      <c r="L60" s="401">
        <v>39096</v>
      </c>
      <c r="M60" s="401">
        <v>39096</v>
      </c>
      <c r="N60" s="401"/>
      <c r="O60" s="404">
        <f t="shared" si="10"/>
        <v>428076</v>
      </c>
    </row>
    <row r="61" spans="1:15">
      <c r="A61" s="397">
        <v>11</v>
      </c>
      <c r="B61" s="398" t="str">
        <f t="shared" si="7"/>
        <v>SALMIA</v>
      </c>
      <c r="C61" s="401">
        <f t="shared" si="8"/>
        <v>38766</v>
      </c>
      <c r="D61" s="401">
        <f t="shared" si="9"/>
        <v>38766</v>
      </c>
      <c r="E61" s="401">
        <f t="shared" si="9"/>
        <v>38766</v>
      </c>
      <c r="F61" s="401">
        <f t="shared" si="9"/>
        <v>38766</v>
      </c>
      <c r="G61" s="401">
        <f t="shared" si="9"/>
        <v>38766</v>
      </c>
      <c r="H61" s="401">
        <f t="shared" si="9"/>
        <v>38766</v>
      </c>
      <c r="I61" s="401">
        <v>39306</v>
      </c>
      <c r="J61" s="401">
        <v>39306</v>
      </c>
      <c r="K61" s="401">
        <v>39306</v>
      </c>
      <c r="L61" s="401">
        <v>39341</v>
      </c>
      <c r="M61" s="401">
        <v>39341</v>
      </c>
      <c r="N61" s="401"/>
      <c r="O61" s="404">
        <f t="shared" si="10"/>
        <v>429196</v>
      </c>
    </row>
    <row r="62" spans="1:15">
      <c r="A62" s="397">
        <v>12</v>
      </c>
      <c r="B62" s="398" t="str">
        <f t="shared" si="7"/>
        <v>SISWANDI</v>
      </c>
      <c r="C62" s="401">
        <f t="shared" si="8"/>
        <v>38766</v>
      </c>
      <c r="D62" s="401">
        <f t="shared" si="9"/>
        <v>38766</v>
      </c>
      <c r="E62" s="401">
        <f t="shared" si="9"/>
        <v>38766</v>
      </c>
      <c r="F62" s="401">
        <f t="shared" si="9"/>
        <v>38766</v>
      </c>
      <c r="G62" s="401">
        <f t="shared" si="9"/>
        <v>38766</v>
      </c>
      <c r="H62" s="401">
        <f t="shared" si="9"/>
        <v>38766</v>
      </c>
      <c r="I62" s="401">
        <v>39236</v>
      </c>
      <c r="J62" s="401">
        <v>39236</v>
      </c>
      <c r="K62" s="401">
        <v>39236</v>
      </c>
      <c r="L62" s="401">
        <v>39236</v>
      </c>
      <c r="M62" s="401">
        <v>39271</v>
      </c>
      <c r="N62" s="401"/>
      <c r="O62" s="404">
        <f t="shared" si="10"/>
        <v>428811</v>
      </c>
    </row>
    <row r="63" spans="1:15">
      <c r="A63" s="397">
        <v>13</v>
      </c>
      <c r="B63" s="398" t="str">
        <f t="shared" si="7"/>
        <v>ERWIN HAZANI</v>
      </c>
      <c r="C63" s="401">
        <f t="shared" si="8"/>
        <v>38766</v>
      </c>
      <c r="D63" s="401">
        <f t="shared" si="9"/>
        <v>38766</v>
      </c>
      <c r="E63" s="401">
        <f t="shared" si="9"/>
        <v>38766</v>
      </c>
      <c r="F63" s="401">
        <f t="shared" si="9"/>
        <v>38766</v>
      </c>
      <c r="G63" s="401">
        <f t="shared" si="9"/>
        <v>38766</v>
      </c>
      <c r="H63" s="401">
        <f t="shared" si="9"/>
        <v>38766</v>
      </c>
      <c r="I63" s="401">
        <v>39096</v>
      </c>
      <c r="J63" s="401">
        <v>39096</v>
      </c>
      <c r="K63" s="401">
        <v>39096</v>
      </c>
      <c r="L63" s="401">
        <v>39096</v>
      </c>
      <c r="M63" s="401">
        <v>39096</v>
      </c>
      <c r="N63" s="401"/>
      <c r="O63" s="404">
        <f t="shared" si="10"/>
        <v>428076</v>
      </c>
    </row>
    <row r="64" spans="1:15">
      <c r="A64" s="397">
        <v>14</v>
      </c>
      <c r="B64" s="398" t="str">
        <f t="shared" si="7"/>
        <v>SERIHAN</v>
      </c>
      <c r="C64" s="401">
        <f t="shared" si="8"/>
        <v>38766</v>
      </c>
      <c r="D64" s="401">
        <f t="shared" si="9"/>
        <v>38766</v>
      </c>
      <c r="E64" s="401">
        <f t="shared" si="9"/>
        <v>38766</v>
      </c>
      <c r="F64" s="401">
        <f t="shared" si="9"/>
        <v>38766</v>
      </c>
      <c r="G64" s="401">
        <f t="shared" si="9"/>
        <v>38766</v>
      </c>
      <c r="H64" s="401">
        <f t="shared" si="9"/>
        <v>38766</v>
      </c>
      <c r="I64" s="401">
        <v>39271</v>
      </c>
      <c r="J64" s="401">
        <v>39271</v>
      </c>
      <c r="K64" s="401">
        <v>39271</v>
      </c>
      <c r="L64" s="401">
        <v>39271</v>
      </c>
      <c r="M64" s="401">
        <v>39271</v>
      </c>
      <c r="N64" s="401"/>
      <c r="O64" s="404">
        <f t="shared" si="10"/>
        <v>428951</v>
      </c>
    </row>
    <row r="65" spans="1:15">
      <c r="A65" s="397">
        <v>15</v>
      </c>
      <c r="B65" s="398" t="str">
        <f t="shared" si="7"/>
        <v>IMAM ROHMANU,SIP</v>
      </c>
      <c r="C65" s="401">
        <f t="shared" si="8"/>
        <v>38766</v>
      </c>
      <c r="D65" s="401">
        <f t="shared" si="8"/>
        <v>38766</v>
      </c>
      <c r="E65" s="401">
        <f t="shared" si="8"/>
        <v>38766</v>
      </c>
      <c r="F65" s="401">
        <f t="shared" si="8"/>
        <v>38766</v>
      </c>
      <c r="G65" s="401">
        <f t="shared" si="8"/>
        <v>38766</v>
      </c>
      <c r="H65" s="401">
        <f t="shared" si="8"/>
        <v>38766</v>
      </c>
      <c r="I65" s="401">
        <v>38946</v>
      </c>
      <c r="J65" s="401">
        <v>38946</v>
      </c>
      <c r="K65" s="401">
        <v>38946</v>
      </c>
      <c r="L65" s="401">
        <v>38946</v>
      </c>
      <c r="M65" s="401">
        <v>38946</v>
      </c>
      <c r="N65" s="401"/>
      <c r="O65" s="404">
        <f t="shared" si="10"/>
        <v>427326</v>
      </c>
    </row>
    <row r="66" spans="1:15">
      <c r="A66" s="397">
        <v>16</v>
      </c>
      <c r="B66" s="398" t="str">
        <f t="shared" si="7"/>
        <v>ARLINI</v>
      </c>
      <c r="C66" s="419">
        <f t="shared" ref="C66:H66" si="11">3876600*1%</f>
        <v>38766</v>
      </c>
      <c r="D66" s="419">
        <f t="shared" si="11"/>
        <v>38766</v>
      </c>
      <c r="E66" s="419">
        <f t="shared" si="11"/>
        <v>38766</v>
      </c>
      <c r="F66" s="419">
        <f t="shared" si="11"/>
        <v>38766</v>
      </c>
      <c r="G66" s="419">
        <f t="shared" si="11"/>
        <v>38766</v>
      </c>
      <c r="H66" s="419">
        <f t="shared" si="11"/>
        <v>38766</v>
      </c>
      <c r="I66" s="401">
        <v>39271</v>
      </c>
      <c r="J66" s="401">
        <v>39271</v>
      </c>
      <c r="K66" s="401">
        <v>39271</v>
      </c>
      <c r="L66" s="401">
        <v>39271</v>
      </c>
      <c r="M66" s="401">
        <v>39271</v>
      </c>
      <c r="N66" s="401"/>
      <c r="O66" s="404">
        <f t="shared" si="10"/>
        <v>428951</v>
      </c>
    </row>
    <row r="67" spans="1:15">
      <c r="A67" s="397">
        <v>17</v>
      </c>
      <c r="B67" s="398">
        <f t="shared" si="7"/>
        <v>0</v>
      </c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401"/>
      <c r="O67" s="404">
        <f t="shared" si="10"/>
        <v>0</v>
      </c>
    </row>
    <row r="68" spans="1:15">
      <c r="A68" s="397">
        <v>18</v>
      </c>
      <c r="B68" s="398">
        <f t="shared" si="7"/>
        <v>0</v>
      </c>
      <c r="C68" s="401"/>
      <c r="D68" s="401"/>
      <c r="E68" s="401"/>
      <c r="F68" s="401"/>
      <c r="G68" s="401"/>
      <c r="H68" s="401"/>
      <c r="I68" s="401"/>
      <c r="J68" s="401"/>
      <c r="K68" s="401"/>
      <c r="L68" s="401"/>
      <c r="M68" s="401"/>
      <c r="N68" s="401"/>
      <c r="O68" s="404">
        <f t="shared" si="10"/>
        <v>0</v>
      </c>
    </row>
    <row r="69" spans="1:15">
      <c r="A69" s="397">
        <v>19</v>
      </c>
      <c r="B69" s="398">
        <f t="shared" si="7"/>
        <v>0</v>
      </c>
      <c r="C69" s="401"/>
      <c r="D69" s="401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4">
        <f t="shared" si="10"/>
        <v>0</v>
      </c>
    </row>
    <row r="70" spans="1:15">
      <c r="A70" s="397">
        <v>20</v>
      </c>
      <c r="B70" s="398">
        <f t="shared" si="7"/>
        <v>0</v>
      </c>
      <c r="C70" s="401"/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401"/>
      <c r="O70" s="404">
        <f t="shared" si="10"/>
        <v>0</v>
      </c>
    </row>
    <row r="71" spans="1:15">
      <c r="A71" s="397">
        <v>21</v>
      </c>
      <c r="B71" s="398">
        <f t="shared" si="7"/>
        <v>0</v>
      </c>
      <c r="C71" s="401"/>
      <c r="D71" s="401"/>
      <c r="E71" s="401"/>
      <c r="F71" s="401"/>
      <c r="G71" s="401"/>
      <c r="H71" s="401"/>
      <c r="I71" s="401"/>
      <c r="J71" s="401"/>
      <c r="K71" s="401"/>
      <c r="L71" s="401"/>
      <c r="M71" s="401"/>
      <c r="N71" s="401"/>
      <c r="O71" s="404">
        <f t="shared" si="10"/>
        <v>0</v>
      </c>
    </row>
    <row r="72" spans="1:15">
      <c r="A72" s="397">
        <v>22</v>
      </c>
      <c r="B72" s="398">
        <f t="shared" si="7"/>
        <v>0</v>
      </c>
      <c r="C72" s="401"/>
      <c r="D72" s="401"/>
      <c r="E72" s="401"/>
      <c r="F72" s="401"/>
      <c r="G72" s="401"/>
      <c r="H72" s="401"/>
      <c r="I72" s="419"/>
      <c r="J72" s="401"/>
      <c r="K72" s="401"/>
      <c r="L72" s="401"/>
      <c r="M72" s="419"/>
      <c r="N72" s="401"/>
      <c r="O72" s="404">
        <f t="shared" si="10"/>
        <v>0</v>
      </c>
    </row>
    <row r="73" spans="1:15">
      <c r="A73" s="397">
        <v>23</v>
      </c>
      <c r="B73" s="398">
        <f t="shared" si="7"/>
        <v>0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1"/>
      <c r="O73" s="404">
        <f t="shared" si="10"/>
        <v>0</v>
      </c>
    </row>
    <row r="74" spans="1:15">
      <c r="A74" s="397">
        <v>24</v>
      </c>
      <c r="B74" s="398">
        <f t="shared" si="7"/>
        <v>0</v>
      </c>
      <c r="C74" s="401"/>
      <c r="D74" s="401"/>
      <c r="E74" s="401"/>
      <c r="F74" s="401"/>
      <c r="G74" s="401"/>
      <c r="H74" s="401"/>
      <c r="I74" s="401"/>
      <c r="J74" s="401"/>
      <c r="K74" s="401"/>
      <c r="L74" s="401"/>
      <c r="M74" s="401"/>
      <c r="N74" s="401"/>
      <c r="O74" s="404">
        <f>C74+D74+E74+F74+G74+H74+I74+J74+K74+L74+M74+N74</f>
        <v>0</v>
      </c>
    </row>
    <row r="75" spans="1:15">
      <c r="A75" s="397">
        <v>25</v>
      </c>
      <c r="B75" s="398">
        <f t="shared" si="7"/>
        <v>0</v>
      </c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4">
        <f>C75+D75+E75+F75+G75+H75+I75+J75+K75+L75+M75+N75</f>
        <v>0</v>
      </c>
    </row>
    <row r="76" spans="1:15">
      <c r="A76" s="397">
        <v>26</v>
      </c>
      <c r="B76" s="398">
        <f t="shared" si="7"/>
        <v>0</v>
      </c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4">
        <f t="shared" ref="O76:O83" si="12">C76+D76+E76+F76+G76+H76+I76+J76+K76+L76+M76+N76</f>
        <v>0</v>
      </c>
    </row>
    <row r="77" spans="1:15">
      <c r="A77" s="397">
        <v>27</v>
      </c>
      <c r="B77" s="398">
        <f t="shared" si="7"/>
        <v>0</v>
      </c>
      <c r="C77" s="401"/>
      <c r="D77" s="401"/>
      <c r="E77" s="401"/>
      <c r="F77" s="401"/>
      <c r="G77" s="401"/>
      <c r="H77" s="401"/>
      <c r="I77" s="401"/>
      <c r="J77" s="401"/>
      <c r="K77" s="401"/>
      <c r="L77" s="401"/>
      <c r="M77" s="401"/>
      <c r="N77" s="401"/>
      <c r="O77" s="404">
        <f t="shared" si="12"/>
        <v>0</v>
      </c>
    </row>
    <row r="78" spans="1:15">
      <c r="A78" s="397">
        <v>28</v>
      </c>
      <c r="B78" s="398">
        <f t="shared" si="7"/>
        <v>0</v>
      </c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401"/>
      <c r="O78" s="404">
        <f t="shared" si="12"/>
        <v>0</v>
      </c>
    </row>
    <row r="79" spans="1:15">
      <c r="A79" s="397">
        <v>29</v>
      </c>
      <c r="B79" s="398">
        <f t="shared" si="7"/>
        <v>0</v>
      </c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4">
        <f t="shared" si="12"/>
        <v>0</v>
      </c>
    </row>
    <row r="80" spans="1:15">
      <c r="A80" s="397">
        <v>30</v>
      </c>
      <c r="B80" s="398">
        <f t="shared" si="7"/>
        <v>0</v>
      </c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4">
        <f t="shared" si="12"/>
        <v>0</v>
      </c>
    </row>
    <row r="81" spans="1:15">
      <c r="A81" s="397">
        <v>31</v>
      </c>
      <c r="B81" s="398">
        <f t="shared" si="7"/>
        <v>0</v>
      </c>
      <c r="C81" s="401"/>
      <c r="D81" s="401"/>
      <c r="E81" s="401"/>
      <c r="F81" s="401"/>
      <c r="G81" s="401"/>
      <c r="H81" s="401"/>
      <c r="I81" s="401"/>
      <c r="J81" s="401"/>
      <c r="K81" s="401"/>
      <c r="L81" s="401"/>
      <c r="M81" s="401"/>
      <c r="N81" s="401"/>
      <c r="O81" s="404">
        <f t="shared" si="12"/>
        <v>0</v>
      </c>
    </row>
    <row r="82" spans="1:15">
      <c r="A82" s="397">
        <v>32</v>
      </c>
      <c r="B82" s="398">
        <f t="shared" si="7"/>
        <v>0</v>
      </c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01"/>
      <c r="N82" s="401"/>
      <c r="O82" s="404">
        <f t="shared" si="12"/>
        <v>0</v>
      </c>
    </row>
    <row r="83" spans="1:15" ht="15.75" thickBot="1">
      <c r="A83" s="397">
        <v>33</v>
      </c>
      <c r="B83" s="398">
        <f t="shared" si="7"/>
        <v>0</v>
      </c>
      <c r="C83" s="419"/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623">
        <f t="shared" si="12"/>
        <v>0</v>
      </c>
    </row>
    <row r="84" spans="1:15" ht="15.75" thickBot="1">
      <c r="A84" s="422"/>
      <c r="B84" s="423"/>
      <c r="C84" s="572">
        <f t="shared" ref="C84:O84" si="13">SUM(C51:C77)</f>
        <v>620256</v>
      </c>
      <c r="D84" s="572">
        <f t="shared" si="13"/>
        <v>620256</v>
      </c>
      <c r="E84" s="572">
        <f t="shared" si="13"/>
        <v>620256</v>
      </c>
      <c r="F84" s="572">
        <f t="shared" si="13"/>
        <v>620256</v>
      </c>
      <c r="G84" s="572">
        <f t="shared" si="13"/>
        <v>620256</v>
      </c>
      <c r="H84" s="572">
        <f t="shared" si="13"/>
        <v>620256</v>
      </c>
      <c r="I84" s="572">
        <f t="shared" si="13"/>
        <v>628061</v>
      </c>
      <c r="J84" s="572">
        <f t="shared" si="13"/>
        <v>628096</v>
      </c>
      <c r="K84" s="572">
        <f t="shared" si="13"/>
        <v>628096</v>
      </c>
      <c r="L84" s="572">
        <f t="shared" si="13"/>
        <v>628196</v>
      </c>
      <c r="M84" s="572">
        <f t="shared" si="13"/>
        <v>628231</v>
      </c>
      <c r="N84" s="572">
        <f t="shared" si="13"/>
        <v>0</v>
      </c>
      <c r="O84" s="572">
        <f t="shared" si="13"/>
        <v>6862216</v>
      </c>
    </row>
    <row r="87" spans="1:15" ht="15.75" thickBot="1"/>
    <row r="88" spans="1:15" ht="15.75" thickTop="1">
      <c r="A88" s="387">
        <v>1</v>
      </c>
      <c r="B88" s="388" t="str">
        <f>+B43</f>
        <v>NURANI</v>
      </c>
      <c r="C88" s="390">
        <f>3876600*1%</f>
        <v>38766</v>
      </c>
      <c r="D88" s="390">
        <f t="shared" si="9"/>
        <v>38766</v>
      </c>
      <c r="E88" s="390">
        <f t="shared" si="9"/>
        <v>38766</v>
      </c>
      <c r="F88" s="390">
        <f t="shared" si="9"/>
        <v>38766</v>
      </c>
      <c r="G88" s="390">
        <f t="shared" si="9"/>
        <v>38766</v>
      </c>
      <c r="H88" s="390">
        <f t="shared" si="9"/>
        <v>38766</v>
      </c>
      <c r="I88" s="570">
        <v>39201</v>
      </c>
      <c r="J88" s="401">
        <v>39236</v>
      </c>
      <c r="K88" s="401">
        <v>39236</v>
      </c>
      <c r="L88" s="401">
        <v>39236</v>
      </c>
      <c r="M88" s="570">
        <v>39236</v>
      </c>
      <c r="N88" s="401"/>
      <c r="O88" s="571">
        <f>SUM(C88:N88)</f>
        <v>428741</v>
      </c>
    </row>
    <row r="89" spans="1:15">
      <c r="A89" s="397">
        <v>6</v>
      </c>
      <c r="B89" s="398" t="str">
        <f>+B44</f>
        <v>UJANG SANUSI</v>
      </c>
      <c r="C89" s="401">
        <f t="shared" si="8"/>
        <v>38766</v>
      </c>
      <c r="D89" s="401">
        <f t="shared" si="9"/>
        <v>38766</v>
      </c>
      <c r="E89" s="401">
        <f t="shared" si="9"/>
        <v>38766</v>
      </c>
      <c r="F89" s="401">
        <f t="shared" si="9"/>
        <v>38766</v>
      </c>
      <c r="G89" s="401">
        <f t="shared" si="9"/>
        <v>38766</v>
      </c>
      <c r="H89" s="401">
        <f t="shared" si="9"/>
        <v>38766</v>
      </c>
      <c r="I89" s="401">
        <v>39036</v>
      </c>
      <c r="J89" s="401">
        <v>39036</v>
      </c>
      <c r="K89" s="401">
        <v>39036</v>
      </c>
      <c r="L89" s="401">
        <v>39036</v>
      </c>
      <c r="M89" s="401">
        <v>39036</v>
      </c>
      <c r="N89" s="401"/>
      <c r="O89" s="404">
        <f>SUM(C89:N89)</f>
        <v>427776</v>
      </c>
    </row>
  </sheetData>
  <mergeCells count="30">
    <mergeCell ref="A48:A50"/>
    <mergeCell ref="B48:B50"/>
    <mergeCell ref="C48:O48"/>
    <mergeCell ref="C49:C50"/>
    <mergeCell ref="D49:D50"/>
    <mergeCell ref="E49:E50"/>
    <mergeCell ref="L49:L50"/>
    <mergeCell ref="M49:M50"/>
    <mergeCell ref="N49:N50"/>
    <mergeCell ref="F49:F50"/>
    <mergeCell ref="G49:G50"/>
    <mergeCell ref="H49:H50"/>
    <mergeCell ref="I49:I50"/>
    <mergeCell ref="J49:J50"/>
    <mergeCell ref="K49:K50"/>
    <mergeCell ref="A5:A7"/>
    <mergeCell ref="B5:B7"/>
    <mergeCell ref="C5:O5"/>
    <mergeCell ref="C6:C7"/>
    <mergeCell ref="D6:D7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TARIF</vt:lpstr>
      <vt:lpstr>Des</vt:lpstr>
      <vt:lpstr>Jan'24</vt:lpstr>
      <vt:lpstr>Feb'24</vt:lpstr>
      <vt:lpstr>Feb'24 THR</vt:lpstr>
      <vt:lpstr>Maret'24</vt:lpstr>
      <vt:lpstr>April '24</vt:lpstr>
      <vt:lpstr>PPH EXGRATIA</vt:lpstr>
      <vt:lpstr>Mei '24</vt:lpstr>
      <vt:lpstr>Juni '24 </vt:lpstr>
      <vt:lpstr>Juli '24</vt:lpstr>
      <vt:lpstr>Agust '24 </vt:lpstr>
      <vt:lpstr>Sept '24</vt:lpstr>
      <vt:lpstr>Okt '24 </vt:lpstr>
      <vt:lpstr>Nop '24 </vt:lpstr>
      <vt:lpstr>Sheet1</vt:lpstr>
      <vt:lpstr>PERBULAN</vt:lpstr>
      <vt:lpstr>SETAHUN</vt:lpstr>
      <vt:lpstr>PAJAK JAN-NOV</vt:lpstr>
      <vt:lpstr>BPJS</vt:lpstr>
      <vt:lpstr>ASTEK+PENSIUN</vt:lpstr>
      <vt:lpstr>'Feb''24'!Print_Area</vt:lpstr>
      <vt:lpstr>'Feb''24 THR'!Print_Area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AGROQC</cp:lastModifiedBy>
  <cp:lastPrinted>2024-10-28T03:02:51Z</cp:lastPrinted>
  <dcterms:created xsi:type="dcterms:W3CDTF">2023-11-09T03:35:36Z</dcterms:created>
  <dcterms:modified xsi:type="dcterms:W3CDTF">2026-01-02T02:55:56Z</dcterms:modified>
</cp:coreProperties>
</file>