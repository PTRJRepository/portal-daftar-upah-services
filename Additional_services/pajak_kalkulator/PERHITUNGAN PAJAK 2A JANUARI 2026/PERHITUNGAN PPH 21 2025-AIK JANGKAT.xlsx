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420" windowWidth="15600" windowHeight="11220" tabRatio="499" firstSheet="1" activeTab="3"/>
  </bookViews>
  <sheets>
    <sheet name="TARIF" sheetId="1" state="hidden" r:id="rId1"/>
    <sheet name="Des" sheetId="3" r:id="rId2"/>
    <sheet name="PPH EXGRATIA" sheetId="32" state="hidden" r:id="rId3"/>
    <sheet name="PERBULAN" sheetId="33" r:id="rId4"/>
    <sheet name="SETAHUN" sheetId="34" state="hidden" r:id="rId5"/>
    <sheet name="PAJAK JAN-NOV" sheetId="36" state="hidden" r:id="rId6"/>
    <sheet name="BPJS" sheetId="35" state="hidden" r:id="rId7"/>
    <sheet name="ASTEK+PENSIUN-DIISI SMPAI DES" sheetId="37" r:id="rId8"/>
    <sheet name="Sheet1" sheetId="38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februari" localSheetId="2">TARIF!#REF!</definedName>
    <definedName name="februari">TARIF!#REF!</definedName>
    <definedName name="PH" localSheetId="2">[1]TARIF!#REF!</definedName>
    <definedName name="PH">TARIF!#REF!</definedName>
    <definedName name="_xlnm.Print_Area" localSheetId="1">Des!$A$1:$AJ$93</definedName>
    <definedName name="PTKP" localSheetId="2">[1]TARIF!#REF!</definedName>
    <definedName name="PTKP">TARIF!#REF!</definedName>
    <definedName name="TARIF">[2]TARIF!$S$18:$U$25</definedName>
    <definedName name="Ter_A" localSheetId="2">[1]TARIF!$B$3:$E$46</definedName>
    <definedName name="Ter_A">TARIF!$B$3:$E$46</definedName>
    <definedName name="Ter_B" localSheetId="2">[1]TARIF!$H$3:$K$42</definedName>
    <definedName name="Ter_B">TARIF!$H$3:$K$42</definedName>
    <definedName name="Ter_C" localSheetId="2">[1]TARIF!$N$3:$Q$43</definedName>
    <definedName name="Ter_C">TARIF!$N$3:$Q$43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2" i="38" l="1"/>
  <c r="O71" i="38"/>
  <c r="O70" i="38"/>
  <c r="O75" i="38" s="1"/>
  <c r="O68" i="38"/>
  <c r="N73" i="38"/>
  <c r="N72" i="38"/>
  <c r="N71" i="38"/>
  <c r="N70" i="38"/>
  <c r="N75" i="38" s="1"/>
  <c r="N69" i="38"/>
  <c r="N68" i="38"/>
  <c r="M73" i="38"/>
  <c r="M72" i="38"/>
  <c r="M71" i="38"/>
  <c r="M70" i="38"/>
  <c r="M69" i="38"/>
  <c r="M68" i="38"/>
  <c r="Q69" i="38"/>
  <c r="AK89" i="38"/>
  <c r="AI89" i="38"/>
  <c r="AE89" i="38"/>
  <c r="AC89" i="38"/>
  <c r="W89" i="38"/>
  <c r="U89" i="38"/>
  <c r="S89" i="38"/>
  <c r="R89" i="38"/>
  <c r="Q89" i="38"/>
  <c r="J89" i="38"/>
  <c r="C89" i="38"/>
  <c r="AK88" i="38"/>
  <c r="AI88" i="38"/>
  <c r="AE88" i="38"/>
  <c r="AC88" i="38"/>
  <c r="W88" i="38"/>
  <c r="U88" i="38"/>
  <c r="S88" i="38"/>
  <c r="R88" i="38"/>
  <c r="Q88" i="38"/>
  <c r="J88" i="38"/>
  <c r="C88" i="38"/>
  <c r="AK87" i="38"/>
  <c r="AI87" i="38"/>
  <c r="AE87" i="38"/>
  <c r="AC87" i="38"/>
  <c r="W87" i="38"/>
  <c r="U87" i="38"/>
  <c r="S87" i="38"/>
  <c r="R87" i="38"/>
  <c r="Q87" i="38"/>
  <c r="J87" i="38"/>
  <c r="C87" i="38"/>
  <c r="AK86" i="38"/>
  <c r="AI86" i="38"/>
  <c r="AE86" i="38"/>
  <c r="AC86" i="38"/>
  <c r="W86" i="38"/>
  <c r="U86" i="38"/>
  <c r="S86" i="38"/>
  <c r="R86" i="38"/>
  <c r="Q86" i="38"/>
  <c r="J86" i="38"/>
  <c r="C86" i="38"/>
  <c r="AK85" i="38"/>
  <c r="AI85" i="38"/>
  <c r="AE85" i="38"/>
  <c r="AC85" i="38"/>
  <c r="W85" i="38"/>
  <c r="U85" i="38"/>
  <c r="S85" i="38"/>
  <c r="R85" i="38"/>
  <c r="Q85" i="38"/>
  <c r="J85" i="38"/>
  <c r="C85" i="38"/>
  <c r="AK84" i="38"/>
  <c r="AI84" i="38"/>
  <c r="AE84" i="38"/>
  <c r="AC84" i="38"/>
  <c r="W84" i="38"/>
  <c r="U84" i="38"/>
  <c r="S84" i="38"/>
  <c r="R84" i="38"/>
  <c r="Q84" i="38"/>
  <c r="J84" i="38"/>
  <c r="C84" i="38"/>
  <c r="AK83" i="38"/>
  <c r="AI83" i="38"/>
  <c r="AE83" i="38"/>
  <c r="AC83" i="38"/>
  <c r="W83" i="38"/>
  <c r="U83" i="38"/>
  <c r="S83" i="38"/>
  <c r="R83" i="38"/>
  <c r="Q83" i="38"/>
  <c r="J83" i="38"/>
  <c r="C83" i="38"/>
  <c r="AI82" i="38"/>
  <c r="AE82" i="38"/>
  <c r="AC82" i="38"/>
  <c r="W82" i="38"/>
  <c r="U82" i="38"/>
  <c r="S82" i="38"/>
  <c r="R82" i="38"/>
  <c r="Q82" i="38"/>
  <c r="J82" i="38"/>
  <c r="C82" i="38"/>
  <c r="AI81" i="38"/>
  <c r="AE81" i="38"/>
  <c r="AC81" i="38"/>
  <c r="W81" i="38"/>
  <c r="U81" i="38"/>
  <c r="S81" i="38"/>
  <c r="R81" i="38"/>
  <c r="Q81" i="38"/>
  <c r="J81" i="38"/>
  <c r="C81" i="38"/>
  <c r="AI80" i="38"/>
  <c r="AE80" i="38"/>
  <c r="AC80" i="38"/>
  <c r="W80" i="38"/>
  <c r="U80" i="38"/>
  <c r="S80" i="38"/>
  <c r="R80" i="38"/>
  <c r="Q80" i="38"/>
  <c r="J80" i="38"/>
  <c r="C80" i="38"/>
  <c r="AI79" i="38"/>
  <c r="AE79" i="38"/>
  <c r="AC79" i="38"/>
  <c r="W79" i="38"/>
  <c r="U79" i="38"/>
  <c r="S79" i="38"/>
  <c r="R79" i="38"/>
  <c r="Q79" i="38"/>
  <c r="J79" i="38"/>
  <c r="C79" i="38"/>
  <c r="AH71" i="38"/>
  <c r="Y64" i="38"/>
  <c r="X64" i="38"/>
  <c r="V64" i="38"/>
  <c r="T64" i="38"/>
  <c r="P64" i="38"/>
  <c r="O64" i="38"/>
  <c r="N64" i="38"/>
  <c r="AK63" i="38"/>
  <c r="AI63" i="38"/>
  <c r="AE63" i="38"/>
  <c r="AC63" i="38"/>
  <c r="W63" i="38"/>
  <c r="U63" i="38"/>
  <c r="S63" i="38"/>
  <c r="R63" i="38"/>
  <c r="Q63" i="38"/>
  <c r="J63" i="38"/>
  <c r="C63" i="38"/>
  <c r="AK62" i="38"/>
  <c r="AI62" i="38"/>
  <c r="AE62" i="38"/>
  <c r="AC62" i="38"/>
  <c r="W62" i="38"/>
  <c r="U62" i="38"/>
  <c r="S62" i="38"/>
  <c r="R62" i="38"/>
  <c r="Q62" i="38"/>
  <c r="J62" i="38"/>
  <c r="C62" i="38"/>
  <c r="AK61" i="38"/>
  <c r="AI61" i="38"/>
  <c r="AE61" i="38"/>
  <c r="AC61" i="38"/>
  <c r="W61" i="38"/>
  <c r="U61" i="38"/>
  <c r="S61" i="38"/>
  <c r="R61" i="38"/>
  <c r="Q61" i="38"/>
  <c r="J61" i="38"/>
  <c r="C61" i="38"/>
  <c r="AK60" i="38"/>
  <c r="AI60" i="38"/>
  <c r="AE60" i="38"/>
  <c r="AC60" i="38"/>
  <c r="W60" i="38"/>
  <c r="U60" i="38"/>
  <c r="S60" i="38"/>
  <c r="R60" i="38"/>
  <c r="Q60" i="38"/>
  <c r="J60" i="38"/>
  <c r="C60" i="38"/>
  <c r="AK35" i="38"/>
  <c r="AI35" i="38"/>
  <c r="AE35" i="38"/>
  <c r="AC35" i="38"/>
  <c r="W35" i="38"/>
  <c r="S35" i="38"/>
  <c r="R35" i="38"/>
  <c r="M35" i="38"/>
  <c r="U35" i="38" s="1"/>
  <c r="J35" i="38"/>
  <c r="C35" i="38"/>
  <c r="AK59" i="38"/>
  <c r="AI59" i="38"/>
  <c r="AE59" i="38"/>
  <c r="AC59" i="38"/>
  <c r="W59" i="38"/>
  <c r="S59" i="38"/>
  <c r="R59" i="38"/>
  <c r="M59" i="38"/>
  <c r="Q59" i="38" s="1"/>
  <c r="J59" i="38"/>
  <c r="C59" i="38"/>
  <c r="AK34" i="38"/>
  <c r="AI34" i="38"/>
  <c r="AE34" i="38"/>
  <c r="AC34" i="38"/>
  <c r="W34" i="38"/>
  <c r="S34" i="38"/>
  <c r="R34" i="38"/>
  <c r="M34" i="38"/>
  <c r="U34" i="38" s="1"/>
  <c r="J34" i="38"/>
  <c r="C34" i="38"/>
  <c r="AK33" i="38"/>
  <c r="AI33" i="38"/>
  <c r="AE33" i="38"/>
  <c r="AC33" i="38"/>
  <c r="W33" i="38"/>
  <c r="S33" i="38"/>
  <c r="R33" i="38"/>
  <c r="M33" i="38"/>
  <c r="U33" i="38" s="1"/>
  <c r="J33" i="38"/>
  <c r="C33" i="38"/>
  <c r="AK32" i="38"/>
  <c r="AI32" i="38"/>
  <c r="AE32" i="38"/>
  <c r="AC32" i="38"/>
  <c r="W32" i="38"/>
  <c r="S32" i="38"/>
  <c r="R32" i="38"/>
  <c r="M32" i="38"/>
  <c r="U32" i="38" s="1"/>
  <c r="J32" i="38"/>
  <c r="C32" i="38"/>
  <c r="AK58" i="38"/>
  <c r="AI58" i="38"/>
  <c r="AE58" i="38"/>
  <c r="AC58" i="38"/>
  <c r="W58" i="38"/>
  <c r="S58" i="38"/>
  <c r="R58" i="38"/>
  <c r="M58" i="38"/>
  <c r="Q58" i="38" s="1"/>
  <c r="J58" i="38"/>
  <c r="C58" i="38"/>
  <c r="AK31" i="38"/>
  <c r="AI31" i="38"/>
  <c r="AE31" i="38"/>
  <c r="AC31" i="38"/>
  <c r="W31" i="38"/>
  <c r="S31" i="38"/>
  <c r="R31" i="38"/>
  <c r="M31" i="38"/>
  <c r="U31" i="38" s="1"/>
  <c r="J31" i="38"/>
  <c r="C31" i="38"/>
  <c r="AK57" i="38"/>
  <c r="AI57" i="38"/>
  <c r="AE57" i="38"/>
  <c r="AC57" i="38"/>
  <c r="W57" i="38"/>
  <c r="S57" i="38"/>
  <c r="R57" i="38"/>
  <c r="M57" i="38"/>
  <c r="U57" i="38" s="1"/>
  <c r="J57" i="38"/>
  <c r="C57" i="38"/>
  <c r="AK24" i="38"/>
  <c r="AI24" i="38"/>
  <c r="AE24" i="38"/>
  <c r="AC24" i="38"/>
  <c r="W24" i="38"/>
  <c r="S24" i="38"/>
  <c r="R24" i="38"/>
  <c r="M24" i="38"/>
  <c r="U24" i="38" s="1"/>
  <c r="J24" i="38"/>
  <c r="C24" i="38"/>
  <c r="AK30" i="38"/>
  <c r="AI30" i="38"/>
  <c r="AE30" i="38"/>
  <c r="AC30" i="38"/>
  <c r="W30" i="38"/>
  <c r="S30" i="38"/>
  <c r="R30" i="38"/>
  <c r="M30" i="38"/>
  <c r="J30" i="38"/>
  <c r="C30" i="38"/>
  <c r="AK29" i="38"/>
  <c r="AI29" i="38"/>
  <c r="AE29" i="38"/>
  <c r="AC29" i="38"/>
  <c r="W29" i="38"/>
  <c r="S29" i="38"/>
  <c r="R29" i="38"/>
  <c r="M29" i="38"/>
  <c r="U29" i="38" s="1"/>
  <c r="J29" i="38"/>
  <c r="C29" i="38"/>
  <c r="AK56" i="38"/>
  <c r="AI56" i="38"/>
  <c r="AE56" i="38"/>
  <c r="AC56" i="38"/>
  <c r="W56" i="38"/>
  <c r="S56" i="38"/>
  <c r="R56" i="38"/>
  <c r="M56" i="38"/>
  <c r="Q56" i="38" s="1"/>
  <c r="J56" i="38"/>
  <c r="C56" i="38"/>
  <c r="AK28" i="38"/>
  <c r="AI28" i="38"/>
  <c r="AE28" i="38"/>
  <c r="AC28" i="38"/>
  <c r="W28" i="38"/>
  <c r="S28" i="38"/>
  <c r="R28" i="38"/>
  <c r="M28" i="38"/>
  <c r="Q28" i="38" s="1"/>
  <c r="J28" i="38"/>
  <c r="C28" i="38"/>
  <c r="AK54" i="38"/>
  <c r="AI54" i="38"/>
  <c r="AE54" i="38"/>
  <c r="AC54" i="38"/>
  <c r="W54" i="38"/>
  <c r="S54" i="38"/>
  <c r="R54" i="38"/>
  <c r="M54" i="38"/>
  <c r="U54" i="38" s="1"/>
  <c r="J54" i="38"/>
  <c r="C54" i="38"/>
  <c r="AK53" i="38"/>
  <c r="AI53" i="38"/>
  <c r="AE53" i="38"/>
  <c r="AC53" i="38"/>
  <c r="W53" i="38"/>
  <c r="S53" i="38"/>
  <c r="R53" i="38"/>
  <c r="M53" i="38"/>
  <c r="U53" i="38" s="1"/>
  <c r="J53" i="38"/>
  <c r="C53" i="38"/>
  <c r="AK26" i="38"/>
  <c r="AI26" i="38"/>
  <c r="AE26" i="38"/>
  <c r="AC26" i="38"/>
  <c r="W26" i="38"/>
  <c r="S26" i="38"/>
  <c r="R26" i="38"/>
  <c r="M26" i="38"/>
  <c r="Q26" i="38" s="1"/>
  <c r="J26" i="38"/>
  <c r="C26" i="38"/>
  <c r="AK52" i="38"/>
  <c r="AI52" i="38"/>
  <c r="AE52" i="38"/>
  <c r="AC52" i="38"/>
  <c r="W52" i="38"/>
  <c r="S52" i="38"/>
  <c r="R52" i="38"/>
  <c r="M52" i="38"/>
  <c r="Q52" i="38" s="1"/>
  <c r="J52" i="38"/>
  <c r="C52" i="38"/>
  <c r="AK51" i="38"/>
  <c r="AI51" i="38"/>
  <c r="AE51" i="38"/>
  <c r="AC51" i="38"/>
  <c r="W51" i="38"/>
  <c r="S51" i="38"/>
  <c r="R51" i="38"/>
  <c r="M51" i="38"/>
  <c r="U51" i="38" s="1"/>
  <c r="J51" i="38"/>
  <c r="C51" i="38"/>
  <c r="AK50" i="38"/>
  <c r="AI50" i="38"/>
  <c r="AE50" i="38"/>
  <c r="AC50" i="38"/>
  <c r="W50" i="38"/>
  <c r="S50" i="38"/>
  <c r="R50" i="38"/>
  <c r="M50" i="38"/>
  <c r="U50" i="38" s="1"/>
  <c r="J50" i="38"/>
  <c r="C50" i="38"/>
  <c r="AK49" i="38"/>
  <c r="AI49" i="38"/>
  <c r="AE49" i="38"/>
  <c r="AC49" i="38"/>
  <c r="W49" i="38"/>
  <c r="S49" i="38"/>
  <c r="R49" i="38"/>
  <c r="M49" i="38"/>
  <c r="Q49" i="38" s="1"/>
  <c r="J49" i="38"/>
  <c r="C49" i="38"/>
  <c r="AK48" i="38"/>
  <c r="AI48" i="38"/>
  <c r="AE48" i="38"/>
  <c r="AC48" i="38"/>
  <c r="W48" i="38"/>
  <c r="S48" i="38"/>
  <c r="R48" i="38"/>
  <c r="M48" i="38"/>
  <c r="Q48" i="38" s="1"/>
  <c r="J48" i="38"/>
  <c r="C48" i="38"/>
  <c r="AK47" i="38"/>
  <c r="AI47" i="38"/>
  <c r="AE47" i="38"/>
  <c r="AC47" i="38"/>
  <c r="W47" i="38"/>
  <c r="S47" i="38"/>
  <c r="R47" i="38"/>
  <c r="M47" i="38"/>
  <c r="U47" i="38" s="1"/>
  <c r="J47" i="38"/>
  <c r="C47" i="38"/>
  <c r="AK46" i="38"/>
  <c r="AI46" i="38"/>
  <c r="AE46" i="38"/>
  <c r="AC46" i="38"/>
  <c r="W46" i="38"/>
  <c r="S46" i="38"/>
  <c r="R46" i="38"/>
  <c r="M46" i="38"/>
  <c r="U46" i="38" s="1"/>
  <c r="J46" i="38"/>
  <c r="C46" i="38"/>
  <c r="AK45" i="38"/>
  <c r="AI45" i="38"/>
  <c r="AE45" i="38"/>
  <c r="AC45" i="38"/>
  <c r="W45" i="38"/>
  <c r="S45" i="38"/>
  <c r="R45" i="38"/>
  <c r="M45" i="38"/>
  <c r="Q45" i="38" s="1"/>
  <c r="J45" i="38"/>
  <c r="C45" i="38"/>
  <c r="AK55" i="38"/>
  <c r="AI55" i="38"/>
  <c r="AE55" i="38"/>
  <c r="AC55" i="38"/>
  <c r="W55" i="38"/>
  <c r="S55" i="38"/>
  <c r="R55" i="38"/>
  <c r="M55" i="38"/>
  <c r="Q55" i="38" s="1"/>
  <c r="J55" i="38"/>
  <c r="C55" i="38"/>
  <c r="AK25" i="38"/>
  <c r="AI25" i="38"/>
  <c r="AE25" i="38"/>
  <c r="AC25" i="38"/>
  <c r="W25" i="38"/>
  <c r="S25" i="38"/>
  <c r="R25" i="38"/>
  <c r="M25" i="38"/>
  <c r="Q25" i="38" s="1"/>
  <c r="J25" i="38"/>
  <c r="C25" i="38"/>
  <c r="AK27" i="38"/>
  <c r="AI27" i="38"/>
  <c r="AE27" i="38"/>
  <c r="AC27" i="38"/>
  <c r="W27" i="38"/>
  <c r="S27" i="38"/>
  <c r="R27" i="38"/>
  <c r="M27" i="38"/>
  <c r="U27" i="38" s="1"/>
  <c r="J27" i="38"/>
  <c r="C27" i="38"/>
  <c r="AK44" i="38"/>
  <c r="AI44" i="38"/>
  <c r="AE44" i="38"/>
  <c r="AC44" i="38"/>
  <c r="W44" i="38"/>
  <c r="S44" i="38"/>
  <c r="R44" i="38"/>
  <c r="M44" i="38"/>
  <c r="Q44" i="38" s="1"/>
  <c r="J44" i="38"/>
  <c r="C44" i="38"/>
  <c r="AK43" i="38"/>
  <c r="AI43" i="38"/>
  <c r="AE43" i="38"/>
  <c r="AC43" i="38"/>
  <c r="W43" i="38"/>
  <c r="S43" i="38"/>
  <c r="R43" i="38"/>
  <c r="M43" i="38"/>
  <c r="Q43" i="38" s="1"/>
  <c r="J43" i="38"/>
  <c r="C43" i="38"/>
  <c r="AK42" i="38"/>
  <c r="AI42" i="38"/>
  <c r="AE42" i="38"/>
  <c r="AC42" i="38"/>
  <c r="W42" i="38"/>
  <c r="S42" i="38"/>
  <c r="R42" i="38"/>
  <c r="M42" i="38"/>
  <c r="U42" i="38" s="1"/>
  <c r="J42" i="38"/>
  <c r="C42" i="38"/>
  <c r="AK40" i="38"/>
  <c r="AI40" i="38"/>
  <c r="AE40" i="38"/>
  <c r="AC40" i="38"/>
  <c r="W40" i="38"/>
  <c r="S40" i="38"/>
  <c r="R40" i="38"/>
  <c r="M40" i="38"/>
  <c r="U40" i="38" s="1"/>
  <c r="J40" i="38"/>
  <c r="C40" i="38"/>
  <c r="AK39" i="38"/>
  <c r="AI39" i="38"/>
  <c r="AE39" i="38"/>
  <c r="AC39" i="38"/>
  <c r="W39" i="38"/>
  <c r="S39" i="38"/>
  <c r="R39" i="38"/>
  <c r="M39" i="38"/>
  <c r="Q39" i="38" s="1"/>
  <c r="J39" i="38"/>
  <c r="C39" i="38"/>
  <c r="AK38" i="38"/>
  <c r="AI38" i="38"/>
  <c r="AE38" i="38"/>
  <c r="AC38" i="38"/>
  <c r="W38" i="38"/>
  <c r="S38" i="38"/>
  <c r="R38" i="38"/>
  <c r="M38" i="38"/>
  <c r="Q38" i="38" s="1"/>
  <c r="J38" i="38"/>
  <c r="C38" i="38"/>
  <c r="AK37" i="38"/>
  <c r="AI37" i="38"/>
  <c r="AE37" i="38"/>
  <c r="AC37" i="38"/>
  <c r="W37" i="38"/>
  <c r="S37" i="38"/>
  <c r="R37" i="38"/>
  <c r="M37" i="38"/>
  <c r="Q37" i="38" s="1"/>
  <c r="J37" i="38"/>
  <c r="C37" i="38"/>
  <c r="AK36" i="38"/>
  <c r="AI36" i="38"/>
  <c r="AE36" i="38"/>
  <c r="AC36" i="38"/>
  <c r="W36" i="38"/>
  <c r="S36" i="38"/>
  <c r="R36" i="38"/>
  <c r="M36" i="38"/>
  <c r="U36" i="38" s="1"/>
  <c r="J36" i="38"/>
  <c r="C36" i="38"/>
  <c r="AK22" i="38"/>
  <c r="AI22" i="38"/>
  <c r="AE22" i="38"/>
  <c r="AC22" i="38"/>
  <c r="W22" i="38"/>
  <c r="S22" i="38"/>
  <c r="R22" i="38"/>
  <c r="M22" i="38"/>
  <c r="Q22" i="38" s="1"/>
  <c r="J22" i="38"/>
  <c r="C22" i="38"/>
  <c r="AK21" i="38"/>
  <c r="AI21" i="38"/>
  <c r="AE21" i="38"/>
  <c r="AC21" i="38"/>
  <c r="W21" i="38"/>
  <c r="S21" i="38"/>
  <c r="R21" i="38"/>
  <c r="M21" i="38"/>
  <c r="Q21" i="38" s="1"/>
  <c r="J21" i="38"/>
  <c r="C21" i="38"/>
  <c r="AK41" i="38"/>
  <c r="AI41" i="38"/>
  <c r="AE41" i="38"/>
  <c r="AC41" i="38"/>
  <c r="W41" i="38"/>
  <c r="S41" i="38"/>
  <c r="R41" i="38"/>
  <c r="M41" i="38"/>
  <c r="U41" i="38" s="1"/>
  <c r="J41" i="38"/>
  <c r="C41" i="38"/>
  <c r="AK20" i="38"/>
  <c r="AI20" i="38"/>
  <c r="AE20" i="38"/>
  <c r="AC20" i="38"/>
  <c r="W20" i="38"/>
  <c r="S20" i="38"/>
  <c r="R20" i="38"/>
  <c r="M20" i="38"/>
  <c r="U20" i="38" s="1"/>
  <c r="J20" i="38"/>
  <c r="C20" i="38"/>
  <c r="AK19" i="38"/>
  <c r="AI19" i="38"/>
  <c r="AE19" i="38"/>
  <c r="AC19" i="38"/>
  <c r="W19" i="38"/>
  <c r="S19" i="38"/>
  <c r="R19" i="38"/>
  <c r="M19" i="38"/>
  <c r="Q19" i="38" s="1"/>
  <c r="J19" i="38"/>
  <c r="C19" i="38"/>
  <c r="AK23" i="38"/>
  <c r="AI23" i="38"/>
  <c r="AE23" i="38"/>
  <c r="AC23" i="38"/>
  <c r="W23" i="38"/>
  <c r="S23" i="38"/>
  <c r="R23" i="38"/>
  <c r="M23" i="38"/>
  <c r="Q23" i="38" s="1"/>
  <c r="J23" i="38"/>
  <c r="C23" i="38"/>
  <c r="AK18" i="38"/>
  <c r="AI18" i="38"/>
  <c r="AE18" i="38"/>
  <c r="AC18" i="38"/>
  <c r="W18" i="38"/>
  <c r="S18" i="38"/>
  <c r="R18" i="38"/>
  <c r="M18" i="38"/>
  <c r="Q18" i="38" s="1"/>
  <c r="J18" i="38"/>
  <c r="C18" i="38"/>
  <c r="AK17" i="38"/>
  <c r="AI17" i="38"/>
  <c r="AE17" i="38"/>
  <c r="AC17" i="38"/>
  <c r="W17" i="38"/>
  <c r="S17" i="38"/>
  <c r="R17" i="38"/>
  <c r="M17" i="38"/>
  <c r="U17" i="38" s="1"/>
  <c r="J17" i="38"/>
  <c r="C17" i="38"/>
  <c r="AK16" i="38"/>
  <c r="AI16" i="38"/>
  <c r="AE16" i="38"/>
  <c r="AC16" i="38"/>
  <c r="W16" i="38"/>
  <c r="S16" i="38"/>
  <c r="R16" i="38"/>
  <c r="M16" i="38"/>
  <c r="Q16" i="38" s="1"/>
  <c r="J16" i="38"/>
  <c r="C16" i="38"/>
  <c r="AK15" i="38"/>
  <c r="AI15" i="38"/>
  <c r="AE15" i="38"/>
  <c r="AC15" i="38"/>
  <c r="W15" i="38"/>
  <c r="S15" i="38"/>
  <c r="R15" i="38"/>
  <c r="M15" i="38"/>
  <c r="U15" i="38" s="1"/>
  <c r="J15" i="38"/>
  <c r="C15" i="38"/>
  <c r="AK14" i="38"/>
  <c r="AI14" i="38"/>
  <c r="AE14" i="38"/>
  <c r="AC14" i="38"/>
  <c r="W14" i="38"/>
  <c r="S14" i="38"/>
  <c r="R14" i="38"/>
  <c r="M14" i="38"/>
  <c r="Q14" i="38" s="1"/>
  <c r="J14" i="38"/>
  <c r="C14" i="38"/>
  <c r="AK13" i="38"/>
  <c r="AI13" i="38"/>
  <c r="AE13" i="38"/>
  <c r="AC13" i="38"/>
  <c r="W13" i="38"/>
  <c r="S13" i="38"/>
  <c r="R13" i="38"/>
  <c r="M13" i="38"/>
  <c r="U13" i="38" s="1"/>
  <c r="J13" i="38"/>
  <c r="C13" i="38"/>
  <c r="AK12" i="38"/>
  <c r="AI12" i="38"/>
  <c r="AE12" i="38"/>
  <c r="AC12" i="38"/>
  <c r="W12" i="38"/>
  <c r="S12" i="38"/>
  <c r="R12" i="38"/>
  <c r="M12" i="38"/>
  <c r="Q12" i="38" s="1"/>
  <c r="J12" i="38"/>
  <c r="C12" i="38"/>
  <c r="AK11" i="38"/>
  <c r="AI11" i="38"/>
  <c r="AE11" i="38"/>
  <c r="AC11" i="38"/>
  <c r="W11" i="38"/>
  <c r="S11" i="38"/>
  <c r="R11" i="38"/>
  <c r="M11" i="38"/>
  <c r="U11" i="38" s="1"/>
  <c r="J11" i="38"/>
  <c r="C11" i="38"/>
  <c r="AK10" i="38"/>
  <c r="AI10" i="38"/>
  <c r="AE10" i="38"/>
  <c r="AC10" i="38"/>
  <c r="W10" i="38"/>
  <c r="S10" i="38"/>
  <c r="R10" i="38"/>
  <c r="M10" i="38"/>
  <c r="U10" i="38" s="1"/>
  <c r="J10" i="38"/>
  <c r="C10" i="38"/>
  <c r="AK9" i="38"/>
  <c r="AI9" i="38"/>
  <c r="AE9" i="38"/>
  <c r="AC9" i="38"/>
  <c r="W9" i="38"/>
  <c r="S9" i="38"/>
  <c r="R9" i="38"/>
  <c r="M9" i="38"/>
  <c r="U9" i="38" s="1"/>
  <c r="J9" i="38"/>
  <c r="C9" i="38"/>
  <c r="AK8" i="38"/>
  <c r="AI8" i="38"/>
  <c r="AE8" i="38"/>
  <c r="AC8" i="38"/>
  <c r="W8" i="38"/>
  <c r="S8" i="38"/>
  <c r="R8" i="38"/>
  <c r="M8" i="38"/>
  <c r="Q8" i="38" s="1"/>
  <c r="J8" i="38"/>
  <c r="C8" i="38"/>
  <c r="AK7" i="38"/>
  <c r="AI7" i="38"/>
  <c r="AE7" i="38"/>
  <c r="AC7" i="38"/>
  <c r="W7" i="38"/>
  <c r="S7" i="38"/>
  <c r="R7" i="38"/>
  <c r="M7" i="38"/>
  <c r="Q7" i="38" s="1"/>
  <c r="J7" i="38"/>
  <c r="C7" i="38"/>
  <c r="AK6" i="38"/>
  <c r="AI6" i="38"/>
  <c r="AE6" i="38"/>
  <c r="AC6" i="38"/>
  <c r="W6" i="38"/>
  <c r="S6" i="38"/>
  <c r="R6" i="38"/>
  <c r="M6" i="38"/>
  <c r="U6" i="38" s="1"/>
  <c r="J6" i="38"/>
  <c r="C6" i="38"/>
  <c r="M75" i="38" l="1"/>
  <c r="Z63" i="38"/>
  <c r="AA63" i="38" s="1"/>
  <c r="AB63" i="38" s="1"/>
  <c r="Z86" i="38"/>
  <c r="AA86" i="38" s="1"/>
  <c r="AB86" i="38" s="1"/>
  <c r="AD86" i="38" s="1"/>
  <c r="AF86" i="38" s="1"/>
  <c r="AG86" i="38" s="1"/>
  <c r="Z35" i="38"/>
  <c r="AA35" i="38" s="1"/>
  <c r="AB35" i="38" s="1"/>
  <c r="Z47" i="38"/>
  <c r="AA47" i="38" s="1"/>
  <c r="AB47" i="38" s="1"/>
  <c r="AD47" i="38" s="1"/>
  <c r="AF47" i="38" s="1"/>
  <c r="AG47" i="38" s="1"/>
  <c r="Z49" i="38"/>
  <c r="Z51" i="38"/>
  <c r="AA51" i="38" s="1"/>
  <c r="Z26" i="38"/>
  <c r="Z54" i="38"/>
  <c r="AA54" i="38" s="1"/>
  <c r="Z56" i="38"/>
  <c r="Z30" i="38"/>
  <c r="Z57" i="38"/>
  <c r="AA57" i="38" s="1"/>
  <c r="AB57" i="38" s="1"/>
  <c r="AD57" i="38" s="1"/>
  <c r="AF57" i="38" s="1"/>
  <c r="AG57" i="38" s="1"/>
  <c r="Z33" i="38"/>
  <c r="AA33" i="38" s="1"/>
  <c r="Q35" i="38"/>
  <c r="Z60" i="38"/>
  <c r="AA60" i="38" s="1"/>
  <c r="AB60" i="38" s="1"/>
  <c r="AD60" i="38" s="1"/>
  <c r="AF60" i="38" s="1"/>
  <c r="AG60" i="38" s="1"/>
  <c r="Z79" i="38"/>
  <c r="AA79" i="38" s="1"/>
  <c r="Z81" i="38"/>
  <c r="AA81" i="38" s="1"/>
  <c r="AB81" i="38" s="1"/>
  <c r="AD81" i="38" s="1"/>
  <c r="AF81" i="38" s="1"/>
  <c r="AG81" i="38" s="1"/>
  <c r="Z83" i="38"/>
  <c r="AA83" i="38" s="1"/>
  <c r="AB83" i="38" s="1"/>
  <c r="AD83" i="38" s="1"/>
  <c r="AF83" i="38" s="1"/>
  <c r="AG83" i="38" s="1"/>
  <c r="Z87" i="38"/>
  <c r="AA87" i="38" s="1"/>
  <c r="AB87" i="38" s="1"/>
  <c r="AD87" i="38" s="1"/>
  <c r="AF87" i="38" s="1"/>
  <c r="AG87" i="38" s="1"/>
  <c r="Z41" i="38"/>
  <c r="AA41" i="38" s="1"/>
  <c r="Z37" i="38"/>
  <c r="U38" i="38"/>
  <c r="Z40" i="38"/>
  <c r="AA40" i="38" s="1"/>
  <c r="Q46" i="38"/>
  <c r="Q20" i="38"/>
  <c r="Z14" i="38"/>
  <c r="Z20" i="38"/>
  <c r="AA20" i="38" s="1"/>
  <c r="U55" i="38"/>
  <c r="Z46" i="38"/>
  <c r="AA46" i="38" s="1"/>
  <c r="Q41" i="38"/>
  <c r="Q47" i="38"/>
  <c r="Q11" i="38"/>
  <c r="Z39" i="38"/>
  <c r="Z45" i="38"/>
  <c r="Q50" i="38"/>
  <c r="Q15" i="38"/>
  <c r="Z50" i="38"/>
  <c r="AA50" i="38" s="1"/>
  <c r="Z53" i="38"/>
  <c r="AA53" i="38" s="1"/>
  <c r="Z28" i="38"/>
  <c r="Z24" i="38"/>
  <c r="AA24" i="38" s="1"/>
  <c r="AB24" i="38" s="1"/>
  <c r="AD24" i="38" s="1"/>
  <c r="AF24" i="38" s="1"/>
  <c r="AG24" i="38" s="1"/>
  <c r="Z31" i="38"/>
  <c r="AA31" i="38" s="1"/>
  <c r="AB31" i="38" s="1"/>
  <c r="AD31" i="38" s="1"/>
  <c r="AF31" i="38" s="1"/>
  <c r="AG31" i="38" s="1"/>
  <c r="U58" i="38"/>
  <c r="Z32" i="38"/>
  <c r="AA32" i="38" s="1"/>
  <c r="AB32" i="38" s="1"/>
  <c r="AD32" i="38" s="1"/>
  <c r="AF32" i="38" s="1"/>
  <c r="AG32" i="38" s="1"/>
  <c r="Z13" i="38"/>
  <c r="AA13" i="38" s="1"/>
  <c r="Z36" i="38"/>
  <c r="AA36" i="38" s="1"/>
  <c r="Z59" i="38"/>
  <c r="Z10" i="38"/>
  <c r="AA10" i="38" s="1"/>
  <c r="Z17" i="38"/>
  <c r="AA17" i="38" s="1"/>
  <c r="AB17" i="38" s="1"/>
  <c r="AD17" i="38" s="1"/>
  <c r="AF17" i="38" s="1"/>
  <c r="AG17" i="38" s="1"/>
  <c r="Z23" i="38"/>
  <c r="Z43" i="38"/>
  <c r="Z27" i="38"/>
  <c r="AA27" i="38" s="1"/>
  <c r="Z9" i="38"/>
  <c r="AA9" i="38" s="1"/>
  <c r="AB9" i="38" s="1"/>
  <c r="AD9" i="38" s="1"/>
  <c r="AF9" i="38" s="1"/>
  <c r="AG9" i="38" s="1"/>
  <c r="Z18" i="38"/>
  <c r="Z19" i="38"/>
  <c r="Z25" i="38"/>
  <c r="Z22" i="38"/>
  <c r="Q40" i="38"/>
  <c r="Q42" i="38"/>
  <c r="Q29" i="38"/>
  <c r="Z58" i="38"/>
  <c r="Z62" i="38"/>
  <c r="AA62" i="38" s="1"/>
  <c r="AB62" i="38" s="1"/>
  <c r="AD62" i="38" s="1"/>
  <c r="AF62" i="38" s="1"/>
  <c r="AG62" i="38" s="1"/>
  <c r="Z80" i="38"/>
  <c r="AA80" i="38" s="1"/>
  <c r="AB80" i="38" s="1"/>
  <c r="AD80" i="38" s="1"/>
  <c r="AF80" i="38" s="1"/>
  <c r="AG80" i="38" s="1"/>
  <c r="Z82" i="38"/>
  <c r="AA82" i="38" s="1"/>
  <c r="AB82" i="38" s="1"/>
  <c r="AD82" i="38" s="1"/>
  <c r="AF82" i="38" s="1"/>
  <c r="AG82" i="38" s="1"/>
  <c r="Z85" i="38"/>
  <c r="AA85" i="38" s="1"/>
  <c r="AB85" i="38" s="1"/>
  <c r="AD85" i="38" s="1"/>
  <c r="AF85" i="38" s="1"/>
  <c r="AG85" i="38" s="1"/>
  <c r="Z89" i="38"/>
  <c r="AA89" i="38" s="1"/>
  <c r="AB89" i="38" s="1"/>
  <c r="M64" i="38"/>
  <c r="Z7" i="38"/>
  <c r="Q9" i="38"/>
  <c r="Z12" i="38"/>
  <c r="Z15" i="38"/>
  <c r="AA15" i="38" s="1"/>
  <c r="Q17" i="38"/>
  <c r="Z21" i="38"/>
  <c r="Q36" i="38"/>
  <c r="Z42" i="38"/>
  <c r="AA42" i="38" s="1"/>
  <c r="AB42" i="38" s="1"/>
  <c r="Z44" i="38"/>
  <c r="Q51" i="38"/>
  <c r="Q53" i="38"/>
  <c r="Q54" i="38"/>
  <c r="Z29" i="38"/>
  <c r="AA29" i="38" s="1"/>
  <c r="AB29" i="38" s="1"/>
  <c r="AD29" i="38" s="1"/>
  <c r="AF29" i="38" s="1"/>
  <c r="AG29" i="38" s="1"/>
  <c r="Q24" i="38"/>
  <c r="Z34" i="38"/>
  <c r="AA34" i="38" s="1"/>
  <c r="AB34" i="38" s="1"/>
  <c r="AD34" i="38" s="1"/>
  <c r="AF34" i="38" s="1"/>
  <c r="AG34" i="38" s="1"/>
  <c r="U59" i="38"/>
  <c r="Z61" i="38"/>
  <c r="AA61" i="38" s="1"/>
  <c r="AB61" i="38" s="1"/>
  <c r="AD61" i="38" s="1"/>
  <c r="AF61" i="38" s="1"/>
  <c r="AG61" i="38" s="1"/>
  <c r="Z84" i="38"/>
  <c r="AA84" i="38" s="1"/>
  <c r="AB84" i="38" s="1"/>
  <c r="AD84" i="38" s="1"/>
  <c r="AF84" i="38" s="1"/>
  <c r="AG84" i="38" s="1"/>
  <c r="Z88" i="38"/>
  <c r="AA88" i="38" s="1"/>
  <c r="AB88" i="38" s="1"/>
  <c r="AD88" i="38" s="1"/>
  <c r="AF88" i="38" s="1"/>
  <c r="AG88" i="38" s="1"/>
  <c r="Z8" i="38"/>
  <c r="Z11" i="38"/>
  <c r="AA11" i="38" s="1"/>
  <c r="AB11" i="38" s="1"/>
  <c r="AD11" i="38" s="1"/>
  <c r="AF11" i="38" s="1"/>
  <c r="AG11" i="38" s="1"/>
  <c r="Q13" i="38"/>
  <c r="Z16" i="38"/>
  <c r="Q27" i="38"/>
  <c r="Q32" i="38"/>
  <c r="U14" i="38"/>
  <c r="U18" i="38"/>
  <c r="Q6" i="38"/>
  <c r="W64" i="38"/>
  <c r="AC64" i="38"/>
  <c r="U7" i="38"/>
  <c r="Q10" i="38"/>
  <c r="U23" i="38"/>
  <c r="U37" i="38"/>
  <c r="U25" i="38"/>
  <c r="R64" i="38"/>
  <c r="Z6" i="38"/>
  <c r="AA6" i="38" s="1"/>
  <c r="U8" i="38"/>
  <c r="U12" i="38"/>
  <c r="U16" i="38"/>
  <c r="U21" i="38"/>
  <c r="Z38" i="38"/>
  <c r="U43" i="38"/>
  <c r="Z55" i="38"/>
  <c r="S64" i="38"/>
  <c r="AE64" i="38"/>
  <c r="AI64" i="38"/>
  <c r="U19" i="38"/>
  <c r="U48" i="38"/>
  <c r="U22" i="38"/>
  <c r="U39" i="38"/>
  <c r="U44" i="38"/>
  <c r="U45" i="38"/>
  <c r="Z48" i="38"/>
  <c r="U52" i="38"/>
  <c r="Q57" i="38"/>
  <c r="Q31" i="38"/>
  <c r="U28" i="38"/>
  <c r="Z52" i="38"/>
  <c r="Q30" i="38"/>
  <c r="U30" i="38"/>
  <c r="U49" i="38"/>
  <c r="U26" i="38"/>
  <c r="U56" i="38"/>
  <c r="Q33" i="38"/>
  <c r="Q34" i="38"/>
  <c r="Q70" i="38" l="1"/>
  <c r="Q71" i="38" s="1"/>
  <c r="AA26" i="38"/>
  <c r="AA28" i="38"/>
  <c r="AB28" i="38" s="1"/>
  <c r="AD28" i="38" s="1"/>
  <c r="AF28" i="38" s="1"/>
  <c r="AG28" i="38" s="1"/>
  <c r="AA30" i="38"/>
  <c r="AB30" i="38" s="1"/>
  <c r="AD30" i="38" s="1"/>
  <c r="AF30" i="38" s="1"/>
  <c r="AG30" i="38" s="1"/>
  <c r="AA25" i="38"/>
  <c r="AB25" i="38" s="1"/>
  <c r="AD25" i="38" s="1"/>
  <c r="AF25" i="38" s="1"/>
  <c r="AG25" i="38" s="1"/>
  <c r="AA49" i="38"/>
  <c r="AB49" i="38" s="1"/>
  <c r="AD49" i="38" s="1"/>
  <c r="AF49" i="38" s="1"/>
  <c r="AG49" i="38" s="1"/>
  <c r="AA56" i="38"/>
  <c r="AB56" i="38" s="1"/>
  <c r="AD56" i="38" s="1"/>
  <c r="AF56" i="38" s="1"/>
  <c r="AG56" i="38" s="1"/>
  <c r="AA58" i="38"/>
  <c r="AB58" i="38" s="1"/>
  <c r="AD58" i="38" s="1"/>
  <c r="AF58" i="38" s="1"/>
  <c r="AG58" i="38" s="1"/>
  <c r="AA38" i="38"/>
  <c r="AB38" i="38" s="1"/>
  <c r="AD38" i="38" s="1"/>
  <c r="AF38" i="38" s="1"/>
  <c r="AG38" i="38" s="1"/>
  <c r="AA16" i="38"/>
  <c r="AB16" i="38" s="1"/>
  <c r="AD16" i="38" s="1"/>
  <c r="AF16" i="38" s="1"/>
  <c r="AG16" i="38" s="1"/>
  <c r="AA37" i="38"/>
  <c r="AB37" i="38" s="1"/>
  <c r="AD37" i="38" s="1"/>
  <c r="AF37" i="38" s="1"/>
  <c r="AG37" i="38" s="1"/>
  <c r="AA39" i="38"/>
  <c r="AB39" i="38" s="1"/>
  <c r="AD39" i="38" s="1"/>
  <c r="AF39" i="38" s="1"/>
  <c r="AG39" i="38" s="1"/>
  <c r="AA45" i="38"/>
  <c r="AB45" i="38" s="1"/>
  <c r="AD45" i="38" s="1"/>
  <c r="AF45" i="38" s="1"/>
  <c r="AG45" i="38" s="1"/>
  <c r="AA14" i="38"/>
  <c r="AB14" i="38" s="1"/>
  <c r="AD14" i="38" s="1"/>
  <c r="AF14" i="38" s="1"/>
  <c r="AG14" i="38" s="1"/>
  <c r="AA55" i="38"/>
  <c r="AB55" i="38" s="1"/>
  <c r="AD55" i="38" s="1"/>
  <c r="AF55" i="38" s="1"/>
  <c r="AG55" i="38" s="1"/>
  <c r="AA7" i="38"/>
  <c r="AB7" i="38" s="1"/>
  <c r="AD7" i="38" s="1"/>
  <c r="AF7" i="38" s="1"/>
  <c r="AG7" i="38" s="1"/>
  <c r="AA43" i="38"/>
  <c r="AB43" i="38" s="1"/>
  <c r="AD43" i="38" s="1"/>
  <c r="AF43" i="38" s="1"/>
  <c r="AG43" i="38" s="1"/>
  <c r="AD35" i="38"/>
  <c r="AF35" i="38" s="1"/>
  <c r="AG35" i="38" s="1"/>
  <c r="AJ35" i="38" s="1"/>
  <c r="AA22" i="38"/>
  <c r="AB22" i="38" s="1"/>
  <c r="AD22" i="38" s="1"/>
  <c r="AF22" i="38" s="1"/>
  <c r="AG22" i="38" s="1"/>
  <c r="AA23" i="38"/>
  <c r="AB23" i="38" s="1"/>
  <c r="AD23" i="38" s="1"/>
  <c r="AF23" i="38" s="1"/>
  <c r="AG23" i="38" s="1"/>
  <c r="AA59" i="38"/>
  <c r="AB59" i="38" s="1"/>
  <c r="AD59" i="38" s="1"/>
  <c r="AF59" i="38" s="1"/>
  <c r="AG59" i="38" s="1"/>
  <c r="AH59" i="38" s="1"/>
  <c r="AL59" i="38" s="1"/>
  <c r="AA19" i="38"/>
  <c r="AB19" i="38" s="1"/>
  <c r="AD19" i="38" s="1"/>
  <c r="AF19" i="38" s="1"/>
  <c r="AG19" i="38" s="1"/>
  <c r="AD63" i="38"/>
  <c r="AF63" i="38" s="1"/>
  <c r="AG63" i="38" s="1"/>
  <c r="AJ63" i="38" s="1"/>
  <c r="AA21" i="38"/>
  <c r="AB21" i="38" s="1"/>
  <c r="AD21" i="38" s="1"/>
  <c r="AF21" i="38" s="1"/>
  <c r="AG21" i="38" s="1"/>
  <c r="AA18" i="38"/>
  <c r="AB18" i="38" s="1"/>
  <c r="AD18" i="38" s="1"/>
  <c r="AF18" i="38" s="1"/>
  <c r="AG18" i="38" s="1"/>
  <c r="AA12" i="38"/>
  <c r="AB12" i="38" s="1"/>
  <c r="AD12" i="38" s="1"/>
  <c r="AF12" i="38" s="1"/>
  <c r="AG12" i="38" s="1"/>
  <c r="AA44" i="38"/>
  <c r="AB44" i="38" s="1"/>
  <c r="AD44" i="38" s="1"/>
  <c r="AF44" i="38" s="1"/>
  <c r="AG44" i="38" s="1"/>
  <c r="AB41" i="38"/>
  <c r="AD41" i="38" s="1"/>
  <c r="AF41" i="38" s="1"/>
  <c r="AG41" i="38" s="1"/>
  <c r="AH41" i="38" s="1"/>
  <c r="AL41" i="38" s="1"/>
  <c r="AD89" i="38"/>
  <c r="AF89" i="38" s="1"/>
  <c r="AG89" i="38" s="1"/>
  <c r="AJ89" i="38" s="1"/>
  <c r="AB54" i="38"/>
  <c r="AD54" i="38" s="1"/>
  <c r="AF54" i="38" s="1"/>
  <c r="AG54" i="38" s="1"/>
  <c r="AD42" i="38"/>
  <c r="AF42" i="38" s="1"/>
  <c r="AG42" i="38" s="1"/>
  <c r="AH42" i="38" s="1"/>
  <c r="AL42" i="38" s="1"/>
  <c r="AA8" i="38"/>
  <c r="AB8" i="38" s="1"/>
  <c r="AD8" i="38" s="1"/>
  <c r="AF8" i="38" s="1"/>
  <c r="AG8" i="38" s="1"/>
  <c r="AH11" i="38"/>
  <c r="AL11" i="38" s="1"/>
  <c r="AJ11" i="38"/>
  <c r="AJ60" i="38"/>
  <c r="AH60" i="38"/>
  <c r="AL60" i="38" s="1"/>
  <c r="AH29" i="38"/>
  <c r="AL29" i="38" s="1"/>
  <c r="AJ29" i="38"/>
  <c r="AH47" i="38"/>
  <c r="AL47" i="38" s="1"/>
  <c r="AJ47" i="38"/>
  <c r="AH86" i="38"/>
  <c r="AL86" i="38" s="1"/>
  <c r="AJ86" i="38"/>
  <c r="AJ81" i="38"/>
  <c r="AH81" i="38"/>
  <c r="AL81" i="38" s="1"/>
  <c r="AH85" i="38"/>
  <c r="AL85" i="38" s="1"/>
  <c r="AJ85" i="38"/>
  <c r="AH34" i="38"/>
  <c r="AL34" i="38" s="1"/>
  <c r="AJ34" i="38"/>
  <c r="AJ57" i="38"/>
  <c r="AH57" i="38"/>
  <c r="AL57" i="38" s="1"/>
  <c r="AJ62" i="38"/>
  <c r="AH62" i="38"/>
  <c r="AL62" i="38" s="1"/>
  <c r="AH87" i="38"/>
  <c r="AL87" i="38" s="1"/>
  <c r="AJ87" i="38"/>
  <c r="AH80" i="38"/>
  <c r="AL80" i="38" s="1"/>
  <c r="AJ80" i="38"/>
  <c r="AJ32" i="38"/>
  <c r="AH32" i="38"/>
  <c r="AL32" i="38" s="1"/>
  <c r="AJ61" i="38"/>
  <c r="AH61" i="38"/>
  <c r="AL61" i="38" s="1"/>
  <c r="AH31" i="38"/>
  <c r="AL31" i="38" s="1"/>
  <c r="AJ31" i="38"/>
  <c r="AJ17" i="38"/>
  <c r="AH17" i="38"/>
  <c r="AL17" i="38" s="1"/>
  <c r="AH83" i="38"/>
  <c r="AL83" i="38" s="1"/>
  <c r="AJ83" i="38"/>
  <c r="AB51" i="38"/>
  <c r="AD51" i="38" s="1"/>
  <c r="AF51" i="38" s="1"/>
  <c r="AG51" i="38" s="1"/>
  <c r="AB33" i="38"/>
  <c r="AD33" i="38" s="1"/>
  <c r="AF33" i="38" s="1"/>
  <c r="AG33" i="38" s="1"/>
  <c r="AJ24" i="38"/>
  <c r="AH24" i="38"/>
  <c r="AL24" i="38" s="1"/>
  <c r="AB36" i="38"/>
  <c r="AD36" i="38" s="1"/>
  <c r="AF36" i="38" s="1"/>
  <c r="AG36" i="38" s="1"/>
  <c r="AB15" i="38"/>
  <c r="AD15" i="38" s="1"/>
  <c r="AF15" i="38" s="1"/>
  <c r="AG15" i="38" s="1"/>
  <c r="AB79" i="38"/>
  <c r="AD79" i="38" s="1"/>
  <c r="AF79" i="38" s="1"/>
  <c r="AG79" i="38" s="1"/>
  <c r="AB26" i="38"/>
  <c r="AD26" i="38" s="1"/>
  <c r="AF26" i="38" s="1"/>
  <c r="AG26" i="38" s="1"/>
  <c r="AB46" i="38"/>
  <c r="AD46" i="38" s="1"/>
  <c r="AF46" i="38" s="1"/>
  <c r="AG46" i="38" s="1"/>
  <c r="AB20" i="38"/>
  <c r="AD20" i="38" s="1"/>
  <c r="AF20" i="38" s="1"/>
  <c r="AG20" i="38" s="1"/>
  <c r="Z64" i="38"/>
  <c r="AB27" i="38"/>
  <c r="AD27" i="38" s="1"/>
  <c r="AF27" i="38" s="1"/>
  <c r="AG27" i="38" s="1"/>
  <c r="AB10" i="38"/>
  <c r="AD10" i="38" s="1"/>
  <c r="AF10" i="38" s="1"/>
  <c r="AG10" i="38" s="1"/>
  <c r="AB13" i="38"/>
  <c r="AD13" i="38" s="1"/>
  <c r="AF13" i="38" s="1"/>
  <c r="AG13" i="38" s="1"/>
  <c r="AJ82" i="38"/>
  <c r="AH82" i="38"/>
  <c r="AL82" i="38" s="1"/>
  <c r="AB50" i="38"/>
  <c r="AD50" i="38" s="1"/>
  <c r="AF50" i="38" s="1"/>
  <c r="AG50" i="38" s="1"/>
  <c r="Q64" i="38"/>
  <c r="AJ9" i="38"/>
  <c r="AH9" i="38"/>
  <c r="AL9" i="38" s="1"/>
  <c r="AH84" i="38"/>
  <c r="AL84" i="38" s="1"/>
  <c r="AJ84" i="38"/>
  <c r="AA52" i="38"/>
  <c r="AA48" i="38"/>
  <c r="AB6" i="38"/>
  <c r="AD6" i="38" s="1"/>
  <c r="AH88" i="38"/>
  <c r="AL88" i="38" s="1"/>
  <c r="AJ88" i="38"/>
  <c r="AB40" i="38"/>
  <c r="AD40" i="38" s="1"/>
  <c r="AF40" i="38" s="1"/>
  <c r="AG40" i="38" s="1"/>
  <c r="AB53" i="38"/>
  <c r="AD53" i="38" s="1"/>
  <c r="AF53" i="38" s="1"/>
  <c r="AG53" i="38" s="1"/>
  <c r="U64" i="38"/>
  <c r="AJ59" i="38" l="1"/>
  <c r="AH89" i="38"/>
  <c r="AL89" i="38" s="1"/>
  <c r="AJ42" i="38"/>
  <c r="AH58" i="38"/>
  <c r="AL58" i="38" s="1"/>
  <c r="AJ58" i="38"/>
  <c r="AH63" i="38"/>
  <c r="AL63" i="38" s="1"/>
  <c r="AH35" i="38"/>
  <c r="AL35" i="38" s="1"/>
  <c r="AJ54" i="38"/>
  <c r="AH54" i="38"/>
  <c r="AL54" i="38" s="1"/>
  <c r="AA64" i="38"/>
  <c r="AJ41" i="38"/>
  <c r="AH28" i="38"/>
  <c r="AL28" i="38" s="1"/>
  <c r="AJ28" i="38"/>
  <c r="AJ53" i="38"/>
  <c r="AH53" i="38"/>
  <c r="AL53" i="38" s="1"/>
  <c r="AH43" i="38"/>
  <c r="AL43" i="38" s="1"/>
  <c r="AJ43" i="38"/>
  <c r="AH21" i="38"/>
  <c r="AL21" i="38" s="1"/>
  <c r="AJ21" i="38"/>
  <c r="AH18" i="38"/>
  <c r="AL18" i="38" s="1"/>
  <c r="AJ18" i="38"/>
  <c r="AJ40" i="38"/>
  <c r="AH40" i="38"/>
  <c r="AL40" i="38" s="1"/>
  <c r="AJ13" i="38"/>
  <c r="AH13" i="38"/>
  <c r="AL13" i="38" s="1"/>
  <c r="AH7" i="38"/>
  <c r="AL7" i="38" s="1"/>
  <c r="AJ7" i="38"/>
  <c r="AH25" i="38"/>
  <c r="AL25" i="38" s="1"/>
  <c r="AJ25" i="38"/>
  <c r="AJ50" i="38"/>
  <c r="AH50" i="38"/>
  <c r="AL50" i="38" s="1"/>
  <c r="AH10" i="38"/>
  <c r="AL10" i="38" s="1"/>
  <c r="AJ10" i="38"/>
  <c r="AH79" i="38"/>
  <c r="AL79" i="38" s="1"/>
  <c r="AJ79" i="38"/>
  <c r="AH51" i="38"/>
  <c r="AL51" i="38" s="1"/>
  <c r="AJ51" i="38"/>
  <c r="AH38" i="38"/>
  <c r="AL38" i="38" s="1"/>
  <c r="AJ38" i="38"/>
  <c r="AJ12" i="38"/>
  <c r="AH12" i="38"/>
  <c r="AL12" i="38" s="1"/>
  <c r="AH15" i="38"/>
  <c r="AL15" i="38" s="1"/>
  <c r="AJ15" i="38"/>
  <c r="AH55" i="38"/>
  <c r="AL55" i="38" s="1"/>
  <c r="AJ55" i="38"/>
  <c r="AJ30" i="38"/>
  <c r="AH30" i="38"/>
  <c r="AL30" i="38" s="1"/>
  <c r="AJ56" i="38"/>
  <c r="AH56" i="38"/>
  <c r="AL56" i="38" s="1"/>
  <c r="AJ44" i="38"/>
  <c r="AH44" i="38"/>
  <c r="AL44" i="38" s="1"/>
  <c r="AJ19" i="38"/>
  <c r="AH19" i="38"/>
  <c r="AL19" i="38" s="1"/>
  <c r="AJ49" i="38"/>
  <c r="AH49" i="38"/>
  <c r="AL49" i="38" s="1"/>
  <c r="AJ20" i="38"/>
  <c r="AH20" i="38"/>
  <c r="AL20" i="38" s="1"/>
  <c r="AJ45" i="38"/>
  <c r="AH45" i="38"/>
  <c r="AL45" i="38" s="1"/>
  <c r="AJ26" i="38"/>
  <c r="AH26" i="38"/>
  <c r="AL26" i="38" s="1"/>
  <c r="AJ8" i="38"/>
  <c r="AH8" i="38"/>
  <c r="AL8" i="38" s="1"/>
  <c r="AH23" i="38"/>
  <c r="AL23" i="38" s="1"/>
  <c r="AJ23" i="38"/>
  <c r="AF6" i="38"/>
  <c r="AJ36" i="38"/>
  <c r="AH36" i="38"/>
  <c r="AL36" i="38" s="1"/>
  <c r="AJ22" i="38"/>
  <c r="AH22" i="38"/>
  <c r="AL22" i="38" s="1"/>
  <c r="AJ39" i="38"/>
  <c r="AH39" i="38"/>
  <c r="AL39" i="38" s="1"/>
  <c r="AB52" i="38"/>
  <c r="AD52" i="38" s="1"/>
  <c r="AF52" i="38" s="1"/>
  <c r="AG52" i="38" s="1"/>
  <c r="AJ46" i="38"/>
  <c r="AH46" i="38"/>
  <c r="AL46" i="38" s="1"/>
  <c r="AH37" i="38"/>
  <c r="AL37" i="38" s="1"/>
  <c r="AJ37" i="38"/>
  <c r="AB48" i="38"/>
  <c r="AH14" i="38"/>
  <c r="AL14" i="38" s="1"/>
  <c r="AJ14" i="38"/>
  <c r="AJ33" i="38"/>
  <c r="AH33" i="38"/>
  <c r="AL33" i="38" s="1"/>
  <c r="AJ16" i="38"/>
  <c r="AH16" i="38"/>
  <c r="AL16" i="38" s="1"/>
  <c r="AJ27" i="38"/>
  <c r="AH27" i="38"/>
  <c r="AL27" i="38" s="1"/>
  <c r="AB64" i="38" l="1"/>
  <c r="AD48" i="38"/>
  <c r="AF48" i="38" s="1"/>
  <c r="AG48" i="38" s="1"/>
  <c r="AJ48" i="38" s="1"/>
  <c r="AH52" i="38"/>
  <c r="AL52" i="38" s="1"/>
  <c r="AJ52" i="38"/>
  <c r="AG6" i="38"/>
  <c r="AH48" i="38" l="1"/>
  <c r="AL48" i="38" s="1"/>
  <c r="AF64" i="38"/>
  <c r="AD64" i="38"/>
  <c r="AG64" i="38"/>
  <c r="AH6" i="38"/>
  <c r="AJ6" i="38"/>
  <c r="AJ64" i="38" s="1"/>
  <c r="AH64" i="38" l="1"/>
  <c r="AL6" i="38"/>
  <c r="AL64" i="38" s="1"/>
  <c r="M66" i="3" l="1"/>
  <c r="M64" i="3"/>
  <c r="M60" i="3"/>
  <c r="M32" i="3"/>
  <c r="M71" i="3"/>
  <c r="M68" i="3"/>
  <c r="M65" i="3"/>
  <c r="M62" i="3"/>
  <c r="M61" i="3"/>
  <c r="M59" i="3"/>
  <c r="M56" i="3"/>
  <c r="M36" i="3"/>
  <c r="M26" i="3"/>
  <c r="M23" i="3"/>
  <c r="M22" i="3"/>
  <c r="M18" i="3"/>
  <c r="M15" i="3"/>
  <c r="M14" i="3"/>
  <c r="M13" i="3"/>
  <c r="M11" i="3"/>
  <c r="M8" i="3"/>
  <c r="M70" i="3" l="1"/>
  <c r="M69" i="3"/>
  <c r="M67" i="3"/>
  <c r="M63" i="3"/>
  <c r="M58" i="3"/>
  <c r="M57" i="3"/>
  <c r="M50" i="3"/>
  <c r="M49" i="3"/>
  <c r="M48" i="3"/>
  <c r="M47" i="3"/>
  <c r="M46" i="3"/>
  <c r="M42" i="3"/>
  <c r="M41" i="3"/>
  <c r="M38" i="3"/>
  <c r="M37" i="3"/>
  <c r="M35" i="3"/>
  <c r="M34" i="3"/>
  <c r="M33" i="3"/>
  <c r="M31" i="3"/>
  <c r="M30" i="3"/>
  <c r="M29" i="3"/>
  <c r="M28" i="3"/>
  <c r="M27" i="3"/>
  <c r="M25" i="3"/>
  <c r="M24" i="3"/>
  <c r="M21" i="3"/>
  <c r="M20" i="3"/>
  <c r="M17" i="3"/>
  <c r="M16" i="3"/>
  <c r="M12" i="3"/>
  <c r="M10" i="3"/>
  <c r="M7" i="3"/>
  <c r="M6" i="3"/>
  <c r="AK71" i="3" l="1"/>
  <c r="AK72" i="3"/>
  <c r="AK73" i="3"/>
  <c r="AK74" i="3"/>
  <c r="AK75" i="3"/>
  <c r="N76" i="3"/>
  <c r="O76" i="3"/>
  <c r="P76" i="3"/>
  <c r="T76" i="3"/>
  <c r="V76" i="3"/>
  <c r="X76" i="3"/>
  <c r="Y76" i="3"/>
  <c r="M76" i="3"/>
  <c r="T68" i="36"/>
  <c r="T74" i="36" s="1"/>
  <c r="T69" i="36"/>
  <c r="T70" i="36"/>
  <c r="T71" i="36"/>
  <c r="T72" i="36"/>
  <c r="S74" i="36"/>
  <c r="R74" i="36"/>
  <c r="R68" i="36"/>
  <c r="AI71" i="3" s="1"/>
  <c r="R69" i="36"/>
  <c r="R70" i="36"/>
  <c r="R71" i="36"/>
  <c r="R72" i="36"/>
  <c r="AI75" i="3" s="1"/>
  <c r="AI67" i="3"/>
  <c r="AI68" i="3"/>
  <c r="AI69" i="3"/>
  <c r="AI70" i="3"/>
  <c r="AI72" i="3"/>
  <c r="AI73" i="3"/>
  <c r="AI74" i="3"/>
  <c r="AC72" i="3"/>
  <c r="AC73" i="3"/>
  <c r="AC74" i="3"/>
  <c r="AC75" i="3"/>
  <c r="V73" i="34"/>
  <c r="V74" i="34"/>
  <c r="V75" i="34"/>
  <c r="V76" i="34"/>
  <c r="U72" i="34"/>
  <c r="W71" i="3" s="1"/>
  <c r="U73" i="34"/>
  <c r="U74" i="34"/>
  <c r="U75" i="34"/>
  <c r="U76" i="34"/>
  <c r="R72" i="34"/>
  <c r="R73" i="34"/>
  <c r="R74" i="34"/>
  <c r="R75" i="34"/>
  <c r="R76" i="34"/>
  <c r="Q73" i="34"/>
  <c r="Q74" i="34"/>
  <c r="Q75" i="34"/>
  <c r="Q76" i="34"/>
  <c r="P73" i="34"/>
  <c r="P74" i="34"/>
  <c r="P75" i="34"/>
  <c r="P76" i="34"/>
  <c r="O72" i="34"/>
  <c r="O73" i="34"/>
  <c r="O74" i="34"/>
  <c r="O75" i="34"/>
  <c r="O76" i="34"/>
  <c r="N73" i="34"/>
  <c r="N74" i="34"/>
  <c r="N75" i="34"/>
  <c r="N76" i="34"/>
  <c r="M73" i="34"/>
  <c r="M74" i="34"/>
  <c r="M75" i="34"/>
  <c r="M76" i="34"/>
  <c r="L72" i="34"/>
  <c r="L73" i="34"/>
  <c r="L74" i="34"/>
  <c r="L75" i="34"/>
  <c r="L76" i="34"/>
  <c r="I72" i="34"/>
  <c r="I73" i="34"/>
  <c r="I74" i="34"/>
  <c r="I75" i="34"/>
  <c r="I76" i="34"/>
  <c r="G73" i="34"/>
  <c r="G74" i="34"/>
  <c r="G75" i="34"/>
  <c r="G76" i="34"/>
  <c r="G72" i="34"/>
  <c r="H160" i="37"/>
  <c r="G160" i="37"/>
  <c r="F160" i="37"/>
  <c r="E160" i="37"/>
  <c r="D160" i="37"/>
  <c r="C160" i="37"/>
  <c r="H74" i="37"/>
  <c r="G74" i="37"/>
  <c r="F74" i="37"/>
  <c r="E74" i="37"/>
  <c r="D74" i="37"/>
  <c r="C74" i="37"/>
  <c r="R71" i="33" l="1"/>
  <c r="R72" i="33"/>
  <c r="R73" i="33"/>
  <c r="R74" i="33"/>
  <c r="R75" i="33"/>
  <c r="E71" i="33"/>
  <c r="D165" i="37" l="1"/>
  <c r="E165" i="37"/>
  <c r="F165" i="37"/>
  <c r="G165" i="37"/>
  <c r="H165" i="37"/>
  <c r="I165" i="37"/>
  <c r="J165" i="37"/>
  <c r="K165" i="37"/>
  <c r="L165" i="37"/>
  <c r="M165" i="37"/>
  <c r="N165" i="37"/>
  <c r="C165" i="37"/>
  <c r="O160" i="37"/>
  <c r="O161" i="37"/>
  <c r="O162" i="37"/>
  <c r="O163" i="37"/>
  <c r="O164" i="37"/>
  <c r="B161" i="37"/>
  <c r="B162" i="37"/>
  <c r="B163" i="37"/>
  <c r="B164" i="37"/>
  <c r="D79" i="37"/>
  <c r="E79" i="37"/>
  <c r="F79" i="37"/>
  <c r="G79" i="37"/>
  <c r="H79" i="37"/>
  <c r="I79" i="37"/>
  <c r="J79" i="37"/>
  <c r="K79" i="37"/>
  <c r="L79" i="37"/>
  <c r="M79" i="37"/>
  <c r="N79" i="37"/>
  <c r="C79" i="37"/>
  <c r="B75" i="37"/>
  <c r="B76" i="37"/>
  <c r="B77" i="37"/>
  <c r="B78" i="37"/>
  <c r="O74" i="37"/>
  <c r="O75" i="37"/>
  <c r="O76" i="37"/>
  <c r="O77" i="37"/>
  <c r="O78" i="37"/>
  <c r="B171" i="35"/>
  <c r="B172" i="35"/>
  <c r="B173" i="35"/>
  <c r="B174" i="35"/>
  <c r="D175" i="35"/>
  <c r="E175" i="35"/>
  <c r="F175" i="35"/>
  <c r="G175" i="35"/>
  <c r="H175" i="35"/>
  <c r="I175" i="35"/>
  <c r="J175" i="35"/>
  <c r="K175" i="35"/>
  <c r="L175" i="35"/>
  <c r="M175" i="35"/>
  <c r="N175" i="35"/>
  <c r="C175" i="35"/>
  <c r="O170" i="35"/>
  <c r="O175" i="35" s="1"/>
  <c r="O171" i="35"/>
  <c r="O172" i="35"/>
  <c r="O173" i="35"/>
  <c r="O174" i="35"/>
  <c r="D80" i="35"/>
  <c r="E80" i="35"/>
  <c r="F80" i="35"/>
  <c r="G80" i="35"/>
  <c r="H80" i="35"/>
  <c r="I80" i="35"/>
  <c r="J80" i="35"/>
  <c r="K80" i="35"/>
  <c r="L80" i="35"/>
  <c r="M80" i="35"/>
  <c r="N80" i="35"/>
  <c r="C80" i="35"/>
  <c r="O75" i="35"/>
  <c r="O76" i="35"/>
  <c r="O77" i="35"/>
  <c r="O78" i="35"/>
  <c r="O79" i="35"/>
  <c r="B75" i="35"/>
  <c r="B74" i="37" s="1"/>
  <c r="B160" i="37" s="1"/>
  <c r="B76" i="35"/>
  <c r="B77" i="35"/>
  <c r="B78" i="35"/>
  <c r="B79" i="35"/>
  <c r="C71" i="3"/>
  <c r="J71" i="3"/>
  <c r="Q71" i="3"/>
  <c r="AE71" i="3"/>
  <c r="C72" i="3"/>
  <c r="J72" i="3"/>
  <c r="Q72" i="3"/>
  <c r="S72" i="3"/>
  <c r="W72" i="3"/>
  <c r="AE72" i="3"/>
  <c r="C73" i="3"/>
  <c r="J73" i="3"/>
  <c r="Q73" i="3"/>
  <c r="S73" i="3"/>
  <c r="W73" i="3"/>
  <c r="AE73" i="3"/>
  <c r="C74" i="3"/>
  <c r="J74" i="3"/>
  <c r="Q74" i="3"/>
  <c r="S74" i="3"/>
  <c r="W74" i="3"/>
  <c r="AE74" i="3"/>
  <c r="C75" i="3"/>
  <c r="J75" i="3"/>
  <c r="Q75" i="3"/>
  <c r="S75" i="3"/>
  <c r="W75" i="3"/>
  <c r="AE75" i="3"/>
  <c r="B68" i="36"/>
  <c r="B69" i="36"/>
  <c r="B70" i="36"/>
  <c r="B71" i="36"/>
  <c r="B72" i="36"/>
  <c r="J77" i="34"/>
  <c r="K77" i="34"/>
  <c r="B72" i="34"/>
  <c r="C72" i="34"/>
  <c r="D72" i="34"/>
  <c r="E72" i="34"/>
  <c r="E77" i="34" s="1"/>
  <c r="F72" i="34"/>
  <c r="U71" i="3" s="1"/>
  <c r="H72" i="34"/>
  <c r="K72" i="34"/>
  <c r="S71" i="3" s="1"/>
  <c r="R77" i="34"/>
  <c r="B73" i="34"/>
  <c r="C73" i="34"/>
  <c r="D73" i="34"/>
  <c r="E73" i="34"/>
  <c r="F73" i="34"/>
  <c r="U72" i="3" s="1"/>
  <c r="H73" i="34"/>
  <c r="R72" i="3" s="1"/>
  <c r="K73" i="34"/>
  <c r="B74" i="34"/>
  <c r="C74" i="34"/>
  <c r="D74" i="34"/>
  <c r="E74" i="34"/>
  <c r="F74" i="34"/>
  <c r="U73" i="3" s="1"/>
  <c r="H74" i="34"/>
  <c r="R73" i="3" s="1"/>
  <c r="K74" i="34"/>
  <c r="B75" i="34"/>
  <c r="C75" i="34"/>
  <c r="D75" i="34"/>
  <c r="E75" i="34"/>
  <c r="F75" i="34"/>
  <c r="F77" i="34" s="1"/>
  <c r="H75" i="34"/>
  <c r="R74" i="3" s="1"/>
  <c r="K75" i="34"/>
  <c r="B76" i="34"/>
  <c r="C76" i="34"/>
  <c r="D76" i="34"/>
  <c r="E76" i="34"/>
  <c r="F76" i="34"/>
  <c r="U75" i="3" s="1"/>
  <c r="H76" i="34"/>
  <c r="K76" i="34"/>
  <c r="Y72" i="33"/>
  <c r="Y73" i="33"/>
  <c r="Y74" i="33"/>
  <c r="Y75" i="33"/>
  <c r="X71" i="33"/>
  <c r="Y71" i="33" s="1"/>
  <c r="Y76" i="33" s="1"/>
  <c r="X72" i="33"/>
  <c r="X73" i="33"/>
  <c r="X74" i="33"/>
  <c r="X75" i="33"/>
  <c r="V71" i="33"/>
  <c r="V72" i="33"/>
  <c r="V73" i="33"/>
  <c r="V74" i="33"/>
  <c r="V75" i="33"/>
  <c r="F76" i="33"/>
  <c r="G76" i="33"/>
  <c r="H76" i="33"/>
  <c r="I76" i="33"/>
  <c r="J76" i="33"/>
  <c r="K76" i="33"/>
  <c r="L76" i="33"/>
  <c r="M76" i="33"/>
  <c r="N76" i="33"/>
  <c r="O76" i="33"/>
  <c r="P76" i="33"/>
  <c r="Q76" i="33"/>
  <c r="R76" i="33"/>
  <c r="S76" i="33"/>
  <c r="T76" i="33"/>
  <c r="U76" i="33"/>
  <c r="W76" i="33"/>
  <c r="X76" i="33"/>
  <c r="E76" i="33"/>
  <c r="E72" i="33"/>
  <c r="E73" i="33"/>
  <c r="E74" i="33"/>
  <c r="E75" i="33"/>
  <c r="Z73" i="3" l="1"/>
  <c r="AA73" i="3" s="1"/>
  <c r="AB73" i="3" s="1"/>
  <c r="Z74" i="3"/>
  <c r="Z72" i="3"/>
  <c r="AA72" i="3" s="1"/>
  <c r="N72" i="34"/>
  <c r="M72" i="34"/>
  <c r="AC71" i="3"/>
  <c r="V76" i="33"/>
  <c r="U74" i="3"/>
  <c r="B170" i="35"/>
  <c r="R75" i="3"/>
  <c r="Z75" i="3" s="1"/>
  <c r="R71" i="3"/>
  <c r="Z71" i="3" s="1"/>
  <c r="AA71" i="3" s="1"/>
  <c r="AB71" i="3" s="1"/>
  <c r="S73" i="34"/>
  <c r="X8" i="33"/>
  <c r="X9" i="33"/>
  <c r="X10" i="33"/>
  <c r="X11" i="33"/>
  <c r="X12" i="33"/>
  <c r="X13" i="33"/>
  <c r="X14" i="33"/>
  <c r="X15" i="33"/>
  <c r="X16" i="33"/>
  <c r="X17" i="33"/>
  <c r="X18" i="33"/>
  <c r="X19" i="33"/>
  <c r="X20" i="33"/>
  <c r="X21" i="33"/>
  <c r="X22" i="33"/>
  <c r="X23" i="33"/>
  <c r="X24" i="33"/>
  <c r="X25" i="33"/>
  <c r="X26" i="33"/>
  <c r="X27" i="33"/>
  <c r="X28" i="33"/>
  <c r="X29" i="33"/>
  <c r="X30" i="33"/>
  <c r="X31" i="33"/>
  <c r="X32" i="33"/>
  <c r="X33" i="33"/>
  <c r="X34" i="33"/>
  <c r="X35" i="33"/>
  <c r="X36" i="33"/>
  <c r="X37" i="33"/>
  <c r="X38" i="33"/>
  <c r="X39" i="33"/>
  <c r="X40" i="33"/>
  <c r="X41" i="33"/>
  <c r="X42" i="33"/>
  <c r="X43" i="33"/>
  <c r="X44" i="33"/>
  <c r="X45" i="33"/>
  <c r="X46" i="33"/>
  <c r="X47" i="33"/>
  <c r="X48" i="33"/>
  <c r="X49" i="33"/>
  <c r="X50" i="33"/>
  <c r="X51" i="33"/>
  <c r="X52" i="33"/>
  <c r="X53" i="33"/>
  <c r="X54" i="33"/>
  <c r="X55" i="33"/>
  <c r="X56" i="33"/>
  <c r="X57" i="33"/>
  <c r="X58" i="33"/>
  <c r="X59" i="33"/>
  <c r="X60" i="33"/>
  <c r="X61" i="33"/>
  <c r="X62" i="33"/>
  <c r="X63" i="33"/>
  <c r="X64" i="33"/>
  <c r="X65" i="33"/>
  <c r="X66" i="33"/>
  <c r="X67" i="33"/>
  <c r="X68" i="33"/>
  <c r="X69" i="33"/>
  <c r="X70" i="33"/>
  <c r="X7" i="33"/>
  <c r="X6" i="33"/>
  <c r="AA74" i="3" l="1"/>
  <c r="AB74" i="3" s="1"/>
  <c r="AB72" i="3"/>
  <c r="AD72" i="3" s="1"/>
  <c r="AF72" i="3" s="1"/>
  <c r="AG72" i="3" s="1"/>
  <c r="AH72" i="3" s="1"/>
  <c r="AL72" i="3" s="1"/>
  <c r="AA75" i="3"/>
  <c r="AB75" i="3" s="1"/>
  <c r="P72" i="34"/>
  <c r="Q72" i="34" s="1"/>
  <c r="V72" i="34"/>
  <c r="O75" i="36"/>
  <c r="AJ72" i="3" l="1"/>
  <c r="P66" i="35"/>
  <c r="P67" i="35"/>
  <c r="P68" i="35"/>
  <c r="P69" i="35"/>
  <c r="P70" i="35"/>
  <c r="P71" i="35"/>
  <c r="P72" i="35"/>
  <c r="P73" i="35"/>
  <c r="P74" i="35"/>
  <c r="B217" i="34" l="1"/>
  <c r="B218" i="34"/>
  <c r="E48" i="33"/>
  <c r="R48" i="33"/>
  <c r="V48" i="33" s="1"/>
  <c r="Y48" i="33"/>
  <c r="Z48" i="33"/>
  <c r="O169" i="35" l="1"/>
  <c r="G71" i="34" s="1"/>
  <c r="O168" i="35"/>
  <c r="G70" i="34" s="1"/>
  <c r="O167" i="35"/>
  <c r="G69" i="34" s="1"/>
  <c r="O166" i="35"/>
  <c r="G68" i="34" s="1"/>
  <c r="O165" i="35"/>
  <c r="G67" i="34" s="1"/>
  <c r="O164" i="35"/>
  <c r="G66" i="34" s="1"/>
  <c r="O163" i="35"/>
  <c r="G65" i="34" s="1"/>
  <c r="O162" i="35"/>
  <c r="G64" i="34" s="1"/>
  <c r="O161" i="35"/>
  <c r="G63" i="34" s="1"/>
  <c r="O160" i="35"/>
  <c r="G62" i="34" s="1"/>
  <c r="O159" i="35"/>
  <c r="G61" i="34" s="1"/>
  <c r="O158" i="35"/>
  <c r="G60" i="34" s="1"/>
  <c r="O157" i="35"/>
  <c r="G59" i="34" s="1"/>
  <c r="O156" i="35"/>
  <c r="G58" i="34" s="1"/>
  <c r="O155" i="35"/>
  <c r="G57" i="34" s="1"/>
  <c r="O154" i="35"/>
  <c r="G56" i="34" s="1"/>
  <c r="O153" i="35"/>
  <c r="G55" i="34" s="1"/>
  <c r="O152" i="35"/>
  <c r="G54" i="34" s="1"/>
  <c r="O151" i="35"/>
  <c r="G53" i="34" s="1"/>
  <c r="O150" i="35"/>
  <c r="G52" i="34" s="1"/>
  <c r="O149" i="35"/>
  <c r="G51" i="34" s="1"/>
  <c r="O148" i="35"/>
  <c r="G50" i="34" s="1"/>
  <c r="O185" i="35"/>
  <c r="G218" i="34" s="1"/>
  <c r="O147" i="35"/>
  <c r="G49" i="34" s="1"/>
  <c r="O184" i="35"/>
  <c r="G217" i="34" s="1"/>
  <c r="O146" i="35"/>
  <c r="G48" i="34" s="1"/>
  <c r="O145" i="35"/>
  <c r="G47" i="34" s="1"/>
  <c r="O144" i="35"/>
  <c r="G46" i="34" s="1"/>
  <c r="O143" i="35"/>
  <c r="G45" i="34" s="1"/>
  <c r="O142" i="35"/>
  <c r="G44" i="34" s="1"/>
  <c r="O141" i="35"/>
  <c r="G43" i="34" s="1"/>
  <c r="O183" i="35"/>
  <c r="G216" i="34" s="1"/>
  <c r="O140" i="35"/>
  <c r="G42" i="34" s="1"/>
  <c r="O139" i="35"/>
  <c r="G41" i="34" s="1"/>
  <c r="O138" i="35"/>
  <c r="G40" i="34" s="1"/>
  <c r="O137" i="35"/>
  <c r="G39" i="34" s="1"/>
  <c r="O136" i="35"/>
  <c r="G38" i="34" s="1"/>
  <c r="O182" i="35"/>
  <c r="G215" i="34" s="1"/>
  <c r="O135" i="35"/>
  <c r="G37" i="34" s="1"/>
  <c r="O134" i="35"/>
  <c r="G36" i="34" s="1"/>
  <c r="O181" i="35"/>
  <c r="G214" i="34" s="1"/>
  <c r="O180" i="35"/>
  <c r="G213" i="34" s="1"/>
  <c r="O133" i="35"/>
  <c r="G35" i="34" s="1"/>
  <c r="O179" i="35"/>
  <c r="G212" i="34" s="1"/>
  <c r="O132" i="35"/>
  <c r="G34" i="34" s="1"/>
  <c r="O131" i="35"/>
  <c r="G33" i="34" s="1"/>
  <c r="O130" i="35"/>
  <c r="G32" i="34" s="1"/>
  <c r="O129" i="35"/>
  <c r="G31" i="34" s="1"/>
  <c r="O128" i="35"/>
  <c r="G30" i="34" s="1"/>
  <c r="O127" i="35"/>
  <c r="G29" i="34" s="1"/>
  <c r="O126" i="35"/>
  <c r="G28" i="34" s="1"/>
  <c r="O125" i="35"/>
  <c r="G27" i="34" s="1"/>
  <c r="O124" i="35"/>
  <c r="G26" i="34" s="1"/>
  <c r="O123" i="35"/>
  <c r="G25" i="34" s="1"/>
  <c r="O122" i="35"/>
  <c r="G24" i="34" s="1"/>
  <c r="O121" i="35"/>
  <c r="G23" i="34" s="1"/>
  <c r="O120" i="35"/>
  <c r="G22" i="34" s="1"/>
  <c r="O119" i="35"/>
  <c r="G21" i="34" s="1"/>
  <c r="O118" i="35"/>
  <c r="G20" i="34" s="1"/>
  <c r="O117" i="35"/>
  <c r="G19" i="34" s="1"/>
  <c r="O116" i="35"/>
  <c r="G18" i="34" s="1"/>
  <c r="O115" i="35"/>
  <c r="G17" i="34" s="1"/>
  <c r="O114" i="35"/>
  <c r="G16" i="34" s="1"/>
  <c r="O113" i="35"/>
  <c r="G15" i="34" s="1"/>
  <c r="O112" i="35"/>
  <c r="G14" i="34" s="1"/>
  <c r="O111" i="35"/>
  <c r="G13" i="34" s="1"/>
  <c r="O110" i="35"/>
  <c r="G12" i="34" s="1"/>
  <c r="O109" i="35"/>
  <c r="G11" i="34" s="1"/>
  <c r="O108" i="35"/>
  <c r="G10" i="34" s="1"/>
  <c r="O107" i="35"/>
  <c r="G9" i="34" s="1"/>
  <c r="O106" i="35"/>
  <c r="G8" i="34" s="1"/>
  <c r="O105" i="35"/>
  <c r="G7" i="34" s="1"/>
  <c r="G77" i="34" l="1"/>
  <c r="H147" i="37"/>
  <c r="G147" i="37"/>
  <c r="H146" i="37"/>
  <c r="G146" i="37"/>
  <c r="F146" i="37"/>
  <c r="E146" i="37"/>
  <c r="H145" i="37"/>
  <c r="G145" i="37"/>
  <c r="F145" i="37"/>
  <c r="E145" i="37"/>
  <c r="D145" i="37"/>
  <c r="C145" i="37"/>
  <c r="C144" i="37"/>
  <c r="C143" i="37"/>
  <c r="O143" i="37" s="1"/>
  <c r="N55" i="34" s="1"/>
  <c r="H142" i="37"/>
  <c r="G142" i="37"/>
  <c r="F142" i="37"/>
  <c r="H139" i="37"/>
  <c r="G139" i="37"/>
  <c r="F139" i="37"/>
  <c r="H138" i="37"/>
  <c r="G138" i="37"/>
  <c r="F138" i="37"/>
  <c r="H174" i="37"/>
  <c r="G174" i="37"/>
  <c r="F174" i="37"/>
  <c r="H137" i="37"/>
  <c r="G137" i="37"/>
  <c r="F137" i="37"/>
  <c r="H173" i="37"/>
  <c r="G173" i="37"/>
  <c r="F173" i="37"/>
  <c r="H136" i="37"/>
  <c r="G136" i="37"/>
  <c r="F136" i="37"/>
  <c r="H135" i="37"/>
  <c r="G135" i="37"/>
  <c r="F135" i="37"/>
  <c r="H131" i="37"/>
  <c r="G131" i="37"/>
  <c r="F131" i="37"/>
  <c r="H172" i="37"/>
  <c r="G172" i="37"/>
  <c r="F172" i="37"/>
  <c r="H130" i="37"/>
  <c r="G130" i="37"/>
  <c r="F130" i="37"/>
  <c r="E142" i="37"/>
  <c r="D142" i="37"/>
  <c r="C142" i="37"/>
  <c r="E141" i="37"/>
  <c r="D141" i="37"/>
  <c r="C141" i="37"/>
  <c r="E140" i="37"/>
  <c r="D140" i="37"/>
  <c r="C140" i="37"/>
  <c r="E139" i="37"/>
  <c r="D139" i="37"/>
  <c r="C139" i="37"/>
  <c r="E138" i="37"/>
  <c r="D138" i="37"/>
  <c r="C138" i="37"/>
  <c r="E174" i="37"/>
  <c r="D174" i="37"/>
  <c r="C174" i="37"/>
  <c r="E137" i="37"/>
  <c r="D137" i="37"/>
  <c r="C137" i="37"/>
  <c r="E173" i="37"/>
  <c r="D173" i="37"/>
  <c r="C173" i="37"/>
  <c r="E136" i="37"/>
  <c r="D136" i="37"/>
  <c r="C136" i="37"/>
  <c r="E135" i="37"/>
  <c r="D135" i="37"/>
  <c r="C135" i="37"/>
  <c r="E134" i="37"/>
  <c r="D134" i="37"/>
  <c r="C134" i="37"/>
  <c r="E133" i="37"/>
  <c r="D133" i="37"/>
  <c r="C133" i="37"/>
  <c r="E132" i="37"/>
  <c r="D132" i="37"/>
  <c r="C132" i="37"/>
  <c r="E131" i="37"/>
  <c r="D131" i="37"/>
  <c r="C131" i="37"/>
  <c r="E172" i="37"/>
  <c r="D172" i="37"/>
  <c r="C172" i="37"/>
  <c r="E130" i="37"/>
  <c r="D130" i="37"/>
  <c r="C130" i="37"/>
  <c r="E129" i="37"/>
  <c r="D129" i="37"/>
  <c r="C129" i="37"/>
  <c r="E128" i="37"/>
  <c r="D128" i="37"/>
  <c r="C128" i="37"/>
  <c r="H127" i="37"/>
  <c r="G127" i="37"/>
  <c r="F127" i="37"/>
  <c r="E127" i="37"/>
  <c r="D127" i="37"/>
  <c r="C127" i="37"/>
  <c r="H126" i="37"/>
  <c r="G126" i="37"/>
  <c r="F126" i="37"/>
  <c r="E126" i="37"/>
  <c r="D126" i="37"/>
  <c r="C126" i="37"/>
  <c r="H171" i="37"/>
  <c r="G171" i="37"/>
  <c r="F171" i="37"/>
  <c r="E171" i="37"/>
  <c r="D171" i="37"/>
  <c r="C171" i="37"/>
  <c r="H125" i="37"/>
  <c r="G125" i="37"/>
  <c r="F125" i="37"/>
  <c r="E125" i="37"/>
  <c r="D125" i="37"/>
  <c r="C125" i="37"/>
  <c r="H124" i="37"/>
  <c r="G124" i="37"/>
  <c r="F124" i="37"/>
  <c r="E124" i="37"/>
  <c r="D124" i="37"/>
  <c r="C124" i="37"/>
  <c r="H170" i="37"/>
  <c r="G170" i="37"/>
  <c r="F170" i="37"/>
  <c r="E170" i="37"/>
  <c r="D170" i="37"/>
  <c r="C170" i="37"/>
  <c r="H169" i="37"/>
  <c r="G169" i="37"/>
  <c r="F169" i="37"/>
  <c r="E169" i="37"/>
  <c r="D169" i="37"/>
  <c r="C169" i="37"/>
  <c r="H123" i="37"/>
  <c r="G123" i="37"/>
  <c r="F123" i="37"/>
  <c r="E123" i="37"/>
  <c r="D123" i="37"/>
  <c r="C123" i="37"/>
  <c r="H168" i="37"/>
  <c r="G168" i="37"/>
  <c r="F168" i="37"/>
  <c r="E168" i="37"/>
  <c r="D168" i="37"/>
  <c r="C168" i="37"/>
  <c r="H122" i="37"/>
  <c r="G122" i="37"/>
  <c r="F122" i="37"/>
  <c r="E122" i="37"/>
  <c r="D122" i="37"/>
  <c r="C122" i="37"/>
  <c r="H121" i="37"/>
  <c r="G121" i="37"/>
  <c r="F121" i="37"/>
  <c r="E121" i="37"/>
  <c r="D121" i="37"/>
  <c r="C121" i="37"/>
  <c r="H120" i="37"/>
  <c r="G120" i="37"/>
  <c r="F120" i="37"/>
  <c r="E120" i="37"/>
  <c r="D120" i="37"/>
  <c r="C120" i="37"/>
  <c r="H119" i="37"/>
  <c r="G119" i="37"/>
  <c r="H118" i="37"/>
  <c r="G118" i="37"/>
  <c r="H117" i="37"/>
  <c r="G117" i="37"/>
  <c r="H116" i="37"/>
  <c r="G116" i="37"/>
  <c r="H115" i="37"/>
  <c r="G115" i="37"/>
  <c r="H114" i="37"/>
  <c r="G114" i="37"/>
  <c r="H113" i="37"/>
  <c r="G113" i="37"/>
  <c r="H112" i="37"/>
  <c r="G112" i="37"/>
  <c r="H111" i="37"/>
  <c r="G111" i="37"/>
  <c r="H110" i="37"/>
  <c r="G110" i="37"/>
  <c r="H109" i="37"/>
  <c r="G109" i="37"/>
  <c r="H107" i="37"/>
  <c r="G107" i="37"/>
  <c r="H106" i="37"/>
  <c r="G106" i="37"/>
  <c r="H105" i="37"/>
  <c r="G105" i="37"/>
  <c r="H104" i="37"/>
  <c r="G104" i="37"/>
  <c r="H103" i="37"/>
  <c r="G103" i="37"/>
  <c r="H102" i="37"/>
  <c r="G102" i="37"/>
  <c r="H101" i="37"/>
  <c r="G101" i="37"/>
  <c r="H100" i="37"/>
  <c r="G100" i="37"/>
  <c r="H99" i="37"/>
  <c r="G99" i="37"/>
  <c r="F119" i="37"/>
  <c r="E119" i="37"/>
  <c r="D119" i="37"/>
  <c r="C119" i="37"/>
  <c r="F118" i="37"/>
  <c r="E118" i="37"/>
  <c r="D118" i="37"/>
  <c r="C118" i="37"/>
  <c r="F117" i="37"/>
  <c r="E117" i="37"/>
  <c r="D117" i="37"/>
  <c r="C117" i="37"/>
  <c r="F116" i="37"/>
  <c r="E116" i="37"/>
  <c r="D116" i="37"/>
  <c r="C116" i="37"/>
  <c r="F115" i="37"/>
  <c r="E115" i="37"/>
  <c r="D115" i="37"/>
  <c r="C115" i="37"/>
  <c r="F114" i="37"/>
  <c r="E114" i="37"/>
  <c r="D114" i="37"/>
  <c r="C114" i="37"/>
  <c r="F113" i="37"/>
  <c r="E113" i="37"/>
  <c r="D113" i="37"/>
  <c r="C113" i="37"/>
  <c r="F112" i="37"/>
  <c r="E112" i="37"/>
  <c r="D112" i="37"/>
  <c r="C112" i="37"/>
  <c r="F111" i="37"/>
  <c r="E111" i="37"/>
  <c r="D111" i="37"/>
  <c r="C111" i="37"/>
  <c r="F110" i="37"/>
  <c r="E110" i="37"/>
  <c r="D110" i="37"/>
  <c r="C110" i="37"/>
  <c r="F109" i="37"/>
  <c r="E109" i="37"/>
  <c r="D109" i="37"/>
  <c r="C109" i="37"/>
  <c r="F108" i="37"/>
  <c r="E108" i="37"/>
  <c r="D108" i="37"/>
  <c r="C108" i="37"/>
  <c r="F107" i="37"/>
  <c r="E107" i="37"/>
  <c r="D107" i="37"/>
  <c r="C107" i="37"/>
  <c r="F106" i="37"/>
  <c r="E106" i="37"/>
  <c r="D106" i="37"/>
  <c r="C106" i="37"/>
  <c r="F105" i="37"/>
  <c r="E105" i="37"/>
  <c r="D105" i="37"/>
  <c r="C105" i="37"/>
  <c r="F104" i="37"/>
  <c r="E104" i="37"/>
  <c r="D104" i="37"/>
  <c r="C104" i="37"/>
  <c r="F103" i="37"/>
  <c r="E103" i="37"/>
  <c r="D103" i="37"/>
  <c r="C103" i="37"/>
  <c r="F102" i="37"/>
  <c r="E102" i="37"/>
  <c r="D102" i="37"/>
  <c r="C102" i="37"/>
  <c r="F101" i="37"/>
  <c r="E101" i="37"/>
  <c r="D101" i="37"/>
  <c r="C101" i="37"/>
  <c r="F100" i="37"/>
  <c r="E100" i="37"/>
  <c r="D100" i="37"/>
  <c r="C100" i="37"/>
  <c r="F99" i="37"/>
  <c r="E99" i="37"/>
  <c r="D99" i="37"/>
  <c r="C99" i="37"/>
  <c r="F98" i="37"/>
  <c r="E98" i="37"/>
  <c r="D98" i="37"/>
  <c r="C98" i="37"/>
  <c r="H97" i="37"/>
  <c r="G97" i="37"/>
  <c r="F97" i="37"/>
  <c r="E97" i="37"/>
  <c r="D97" i="37"/>
  <c r="C97" i="37"/>
  <c r="H96" i="37"/>
  <c r="G96" i="37"/>
  <c r="F96" i="37"/>
  <c r="E96" i="37"/>
  <c r="D96" i="37"/>
  <c r="C96" i="37"/>
  <c r="H95" i="37"/>
  <c r="G95" i="37"/>
  <c r="F95" i="37"/>
  <c r="E95" i="37"/>
  <c r="D95" i="37"/>
  <c r="C95" i="37"/>
  <c r="H61" i="37"/>
  <c r="G61" i="37"/>
  <c r="H60" i="37"/>
  <c r="G60" i="37"/>
  <c r="F60" i="37"/>
  <c r="E60" i="37"/>
  <c r="H59" i="37"/>
  <c r="G59" i="37"/>
  <c r="F59" i="37"/>
  <c r="E59" i="37"/>
  <c r="D59" i="37"/>
  <c r="C59" i="37"/>
  <c r="C58" i="37"/>
  <c r="C57" i="37"/>
  <c r="O57" i="37" s="1"/>
  <c r="M55" i="34" s="1"/>
  <c r="H56" i="37"/>
  <c r="G56" i="37"/>
  <c r="F56" i="37"/>
  <c r="H53" i="37"/>
  <c r="G53" i="37"/>
  <c r="F53" i="37"/>
  <c r="H52" i="37"/>
  <c r="G52" i="37"/>
  <c r="F52" i="37"/>
  <c r="H87" i="37"/>
  <c r="G87" i="37"/>
  <c r="F87" i="37"/>
  <c r="H51" i="37"/>
  <c r="G51" i="37"/>
  <c r="F51" i="37"/>
  <c r="H86" i="37"/>
  <c r="G86" i="37"/>
  <c r="F86" i="37"/>
  <c r="H50" i="37"/>
  <c r="G50" i="37"/>
  <c r="F50" i="37"/>
  <c r="H49" i="37"/>
  <c r="G49" i="37"/>
  <c r="F49" i="37"/>
  <c r="H45" i="37"/>
  <c r="G45" i="37"/>
  <c r="F45" i="37"/>
  <c r="H85" i="37"/>
  <c r="G85" i="37"/>
  <c r="F85" i="37"/>
  <c r="H44" i="37"/>
  <c r="G44" i="37"/>
  <c r="F44" i="37"/>
  <c r="E56" i="37"/>
  <c r="D56" i="37"/>
  <c r="C56" i="37"/>
  <c r="E55" i="37"/>
  <c r="D55" i="37"/>
  <c r="C55" i="37"/>
  <c r="E54" i="37"/>
  <c r="D54" i="37"/>
  <c r="C54" i="37"/>
  <c r="E53" i="37"/>
  <c r="D53" i="37"/>
  <c r="C53" i="37"/>
  <c r="E52" i="37"/>
  <c r="D52" i="37"/>
  <c r="C52" i="37"/>
  <c r="E87" i="37"/>
  <c r="D87" i="37"/>
  <c r="C87" i="37"/>
  <c r="E51" i="37"/>
  <c r="D51" i="37"/>
  <c r="C51" i="37"/>
  <c r="E86" i="37"/>
  <c r="D86" i="37"/>
  <c r="C86" i="37"/>
  <c r="E50" i="37"/>
  <c r="D50" i="37"/>
  <c r="C50" i="37"/>
  <c r="E49" i="37"/>
  <c r="D49" i="37"/>
  <c r="C49" i="37"/>
  <c r="E48" i="37"/>
  <c r="D48" i="37"/>
  <c r="C48" i="37"/>
  <c r="E47" i="37"/>
  <c r="D47" i="37"/>
  <c r="C47" i="37"/>
  <c r="E46" i="37"/>
  <c r="D46" i="37"/>
  <c r="C46" i="37"/>
  <c r="E45" i="37"/>
  <c r="D45" i="37"/>
  <c r="C45" i="37"/>
  <c r="E85" i="37"/>
  <c r="D85" i="37"/>
  <c r="C85" i="37"/>
  <c r="E44" i="37"/>
  <c r="D44" i="37"/>
  <c r="C44" i="37"/>
  <c r="E43" i="37"/>
  <c r="D43" i="37"/>
  <c r="C43" i="37"/>
  <c r="E42" i="37"/>
  <c r="D42" i="37"/>
  <c r="C42" i="37"/>
  <c r="H41" i="37"/>
  <c r="G41" i="37"/>
  <c r="F41" i="37"/>
  <c r="E41" i="37"/>
  <c r="D41" i="37"/>
  <c r="C41" i="37"/>
  <c r="H40" i="37"/>
  <c r="G40" i="37"/>
  <c r="F40" i="37"/>
  <c r="E40" i="37"/>
  <c r="D40" i="37"/>
  <c r="C40" i="37"/>
  <c r="H84" i="37"/>
  <c r="G84" i="37"/>
  <c r="F84" i="37"/>
  <c r="E84" i="37"/>
  <c r="D84" i="37"/>
  <c r="C84" i="37"/>
  <c r="H39" i="37"/>
  <c r="G39" i="37"/>
  <c r="F39" i="37"/>
  <c r="E39" i="37"/>
  <c r="D39" i="37"/>
  <c r="C39" i="37"/>
  <c r="H38" i="37"/>
  <c r="G38" i="37"/>
  <c r="F38" i="37"/>
  <c r="E38" i="37"/>
  <c r="D38" i="37"/>
  <c r="C38" i="37"/>
  <c r="H83" i="37"/>
  <c r="G83" i="37"/>
  <c r="F83" i="37"/>
  <c r="E83" i="37"/>
  <c r="D83" i="37"/>
  <c r="C83" i="37"/>
  <c r="H82" i="37"/>
  <c r="G82" i="37"/>
  <c r="F82" i="37"/>
  <c r="E82" i="37"/>
  <c r="D82" i="37"/>
  <c r="C82" i="37"/>
  <c r="H37" i="37"/>
  <c r="G37" i="37"/>
  <c r="F37" i="37"/>
  <c r="E37" i="37"/>
  <c r="D37" i="37"/>
  <c r="C37" i="37"/>
  <c r="H81" i="37"/>
  <c r="G81" i="37"/>
  <c r="F81" i="37"/>
  <c r="E81" i="37"/>
  <c r="D81" i="37"/>
  <c r="C81" i="37"/>
  <c r="H36" i="37"/>
  <c r="G36" i="37"/>
  <c r="F36" i="37"/>
  <c r="E36" i="37"/>
  <c r="D36" i="37"/>
  <c r="C36" i="37"/>
  <c r="H35" i="37"/>
  <c r="G35" i="37"/>
  <c r="F35" i="37"/>
  <c r="E35" i="37"/>
  <c r="D35" i="37"/>
  <c r="C35" i="37"/>
  <c r="H34" i="37"/>
  <c r="G34" i="37"/>
  <c r="F34" i="37"/>
  <c r="E34" i="37"/>
  <c r="D34" i="37"/>
  <c r="C34" i="37"/>
  <c r="H33" i="37"/>
  <c r="G33" i="37"/>
  <c r="F33" i="37"/>
  <c r="E33" i="37"/>
  <c r="D33" i="37"/>
  <c r="C33" i="37"/>
  <c r="H32" i="37"/>
  <c r="G32" i="37"/>
  <c r="F32" i="37"/>
  <c r="E32" i="37"/>
  <c r="D32" i="37"/>
  <c r="C32" i="37"/>
  <c r="H31" i="37"/>
  <c r="G31" i="37"/>
  <c r="F31" i="37"/>
  <c r="E31" i="37"/>
  <c r="D31" i="37"/>
  <c r="C31" i="37"/>
  <c r="H30" i="37"/>
  <c r="G30" i="37"/>
  <c r="F30" i="37"/>
  <c r="E30" i="37"/>
  <c r="D30" i="37"/>
  <c r="C30" i="37"/>
  <c r="H29" i="37"/>
  <c r="G29" i="37"/>
  <c r="F29" i="37"/>
  <c r="E29" i="37"/>
  <c r="D29" i="37"/>
  <c r="C29" i="37"/>
  <c r="H28" i="37"/>
  <c r="G28" i="37"/>
  <c r="F28" i="37"/>
  <c r="E28" i="37"/>
  <c r="D28" i="37"/>
  <c r="C28" i="37"/>
  <c r="H27" i="37"/>
  <c r="G27" i="37"/>
  <c r="F27" i="37"/>
  <c r="E27" i="37"/>
  <c r="D27" i="37"/>
  <c r="C27" i="37"/>
  <c r="H26" i="37"/>
  <c r="G26" i="37"/>
  <c r="F26" i="37"/>
  <c r="E26" i="37"/>
  <c r="D26" i="37"/>
  <c r="C26" i="37"/>
  <c r="H25" i="37"/>
  <c r="G25" i="37"/>
  <c r="F25" i="37"/>
  <c r="E25" i="37"/>
  <c r="D25" i="37"/>
  <c r="C25" i="37"/>
  <c r="H24" i="37"/>
  <c r="G24" i="37"/>
  <c r="F24" i="37"/>
  <c r="E24" i="37"/>
  <c r="D24" i="37"/>
  <c r="C24" i="37"/>
  <c r="H23" i="37"/>
  <c r="G23" i="37"/>
  <c r="F23" i="37"/>
  <c r="E23" i="37"/>
  <c r="D23" i="37"/>
  <c r="C23" i="37"/>
  <c r="H21" i="37"/>
  <c r="G21" i="37"/>
  <c r="H20" i="37"/>
  <c r="G20" i="37"/>
  <c r="H19" i="37"/>
  <c r="G19" i="37"/>
  <c r="H18" i="37"/>
  <c r="G18" i="37"/>
  <c r="H17" i="37"/>
  <c r="G17" i="37"/>
  <c r="H16" i="37"/>
  <c r="G16" i="37"/>
  <c r="H15" i="37"/>
  <c r="G15" i="37"/>
  <c r="H14" i="37"/>
  <c r="G14" i="37"/>
  <c r="H13" i="37"/>
  <c r="G13" i="37"/>
  <c r="F22" i="37"/>
  <c r="E22" i="37"/>
  <c r="D22" i="37"/>
  <c r="C22" i="37"/>
  <c r="F21" i="37"/>
  <c r="E21" i="37"/>
  <c r="D21" i="37"/>
  <c r="C21" i="37"/>
  <c r="F20" i="37"/>
  <c r="E20" i="37"/>
  <c r="D20" i="37"/>
  <c r="C20" i="37"/>
  <c r="F19" i="37"/>
  <c r="E19" i="37"/>
  <c r="D19" i="37"/>
  <c r="C19" i="37"/>
  <c r="F18" i="37"/>
  <c r="E18" i="37"/>
  <c r="D18" i="37"/>
  <c r="C18" i="37"/>
  <c r="F17" i="37"/>
  <c r="E17" i="37"/>
  <c r="D17" i="37"/>
  <c r="C17" i="37"/>
  <c r="F16" i="37"/>
  <c r="E16" i="37"/>
  <c r="D16" i="37"/>
  <c r="C16" i="37"/>
  <c r="F15" i="37"/>
  <c r="E15" i="37"/>
  <c r="D15" i="37"/>
  <c r="C15" i="37"/>
  <c r="F14" i="37"/>
  <c r="E14" i="37"/>
  <c r="D14" i="37"/>
  <c r="C14" i="37"/>
  <c r="F13" i="37"/>
  <c r="E13" i="37"/>
  <c r="D13" i="37"/>
  <c r="C13" i="37"/>
  <c r="F12" i="37"/>
  <c r="E12" i="37"/>
  <c r="D12" i="37"/>
  <c r="C12" i="37"/>
  <c r="H11" i="37"/>
  <c r="G11" i="37"/>
  <c r="F11" i="37"/>
  <c r="E11" i="37"/>
  <c r="D11" i="37"/>
  <c r="C11" i="37"/>
  <c r="H10" i="37"/>
  <c r="G10" i="37"/>
  <c r="F10" i="37"/>
  <c r="E10" i="37"/>
  <c r="D10" i="37"/>
  <c r="C10" i="37"/>
  <c r="H9" i="37"/>
  <c r="G9" i="37"/>
  <c r="F9" i="37"/>
  <c r="E9" i="37"/>
  <c r="D9" i="37"/>
  <c r="C9" i="37"/>
  <c r="O159" i="37"/>
  <c r="O158" i="37"/>
  <c r="N70" i="34" s="1"/>
  <c r="O157" i="37"/>
  <c r="N69" i="34" s="1"/>
  <c r="O156" i="37"/>
  <c r="O155" i="37"/>
  <c r="O154" i="37"/>
  <c r="N66" i="34" s="1"/>
  <c r="O153" i="37"/>
  <c r="N65" i="34" s="1"/>
  <c r="O152" i="37"/>
  <c r="N64" i="34" s="1"/>
  <c r="O151" i="37"/>
  <c r="N63" i="34" s="1"/>
  <c r="O150" i="37"/>
  <c r="N62" i="34" s="1"/>
  <c r="O149" i="37"/>
  <c r="N61" i="34" s="1"/>
  <c r="O148" i="37"/>
  <c r="O144" i="37"/>
  <c r="O73" i="37"/>
  <c r="M71" i="34" s="1"/>
  <c r="O72" i="37"/>
  <c r="M70" i="34" s="1"/>
  <c r="O71" i="37"/>
  <c r="M69" i="34" s="1"/>
  <c r="O70" i="37"/>
  <c r="M68" i="34" s="1"/>
  <c r="O69" i="37"/>
  <c r="M67" i="34" s="1"/>
  <c r="O68" i="37"/>
  <c r="M66" i="34" s="1"/>
  <c r="O67" i="37"/>
  <c r="M65" i="34" s="1"/>
  <c r="O66" i="37"/>
  <c r="M64" i="34" s="1"/>
  <c r="O65" i="37"/>
  <c r="M63" i="34" s="1"/>
  <c r="O64" i="37"/>
  <c r="M62" i="34" s="1"/>
  <c r="O63" i="37"/>
  <c r="M61" i="34" s="1"/>
  <c r="O62" i="37"/>
  <c r="M60" i="34" s="1"/>
  <c r="O58" i="37"/>
  <c r="M56" i="34" s="1"/>
  <c r="O36" i="37" l="1"/>
  <c r="M34" i="34" s="1"/>
  <c r="O172" i="37"/>
  <c r="N216" i="34" s="1"/>
  <c r="AC69" i="3"/>
  <c r="AC65" i="3"/>
  <c r="O43" i="37"/>
  <c r="M41" i="34" s="1"/>
  <c r="O46" i="37"/>
  <c r="M44" i="34" s="1"/>
  <c r="O61" i="37"/>
  <c r="M59" i="34" s="1"/>
  <c r="O128" i="37"/>
  <c r="N40" i="34" s="1"/>
  <c r="O131" i="37"/>
  <c r="N43" i="34" s="1"/>
  <c r="O141" i="37"/>
  <c r="N53" i="34" s="1"/>
  <c r="AC70" i="3"/>
  <c r="O10" i="37"/>
  <c r="O12" i="37"/>
  <c r="M10" i="34" s="1"/>
  <c r="O14" i="37"/>
  <c r="M12" i="34" s="1"/>
  <c r="O22" i="37"/>
  <c r="M20" i="34" s="1"/>
  <c r="O24" i="37"/>
  <c r="M22" i="34" s="1"/>
  <c r="O28" i="37"/>
  <c r="M26" i="34" s="1"/>
  <c r="O32" i="37"/>
  <c r="M30" i="34" s="1"/>
  <c r="O83" i="37"/>
  <c r="O40" i="37"/>
  <c r="M38" i="34" s="1"/>
  <c r="O42" i="37"/>
  <c r="M40" i="34" s="1"/>
  <c r="O85" i="37"/>
  <c r="M216" i="34" s="1"/>
  <c r="O47" i="37"/>
  <c r="M45" i="34" s="1"/>
  <c r="O48" i="37"/>
  <c r="M46" i="34" s="1"/>
  <c r="O54" i="37"/>
  <c r="M52" i="34" s="1"/>
  <c r="O55" i="37"/>
  <c r="M53" i="34" s="1"/>
  <c r="O59" i="37"/>
  <c r="M57" i="34" s="1"/>
  <c r="O129" i="37"/>
  <c r="AC40" i="3" s="1"/>
  <c r="O130" i="37"/>
  <c r="N42" i="34" s="1"/>
  <c r="O132" i="37"/>
  <c r="N44" i="34" s="1"/>
  <c r="O133" i="37"/>
  <c r="O134" i="37"/>
  <c r="O136" i="37"/>
  <c r="N48" i="34" s="1"/>
  <c r="O173" i="37"/>
  <c r="N217" i="34" s="1"/>
  <c r="O137" i="37"/>
  <c r="N49" i="34" s="1"/>
  <c r="O138" i="37"/>
  <c r="O139" i="37"/>
  <c r="N51" i="34" s="1"/>
  <c r="O140" i="37"/>
  <c r="N52" i="34" s="1"/>
  <c r="O142" i="37"/>
  <c r="N54" i="34" s="1"/>
  <c r="O146" i="37"/>
  <c r="O147" i="37"/>
  <c r="AC55" i="3"/>
  <c r="AC66" i="3"/>
  <c r="AC61" i="3"/>
  <c r="O16" i="37"/>
  <c r="M14" i="34" s="1"/>
  <c r="O20" i="37"/>
  <c r="M18" i="34" s="1"/>
  <c r="N56" i="34"/>
  <c r="AC54" i="3"/>
  <c r="AC67" i="3"/>
  <c r="O56" i="37"/>
  <c r="M54" i="34" s="1"/>
  <c r="O98" i="37"/>
  <c r="O109" i="37"/>
  <c r="O110" i="37"/>
  <c r="O112" i="37"/>
  <c r="O114" i="37"/>
  <c r="O116" i="37"/>
  <c r="O118" i="37"/>
  <c r="O120" i="37"/>
  <c r="O170" i="37"/>
  <c r="O126" i="37"/>
  <c r="O135" i="37"/>
  <c r="O174" i="37"/>
  <c r="N71" i="34"/>
  <c r="AC62" i="3"/>
  <c r="N67" i="34"/>
  <c r="O18" i="37"/>
  <c r="M16" i="34" s="1"/>
  <c r="AC59" i="3"/>
  <c r="AC63" i="3"/>
  <c r="O95" i="37"/>
  <c r="O97" i="37"/>
  <c r="O108" i="37"/>
  <c r="O111" i="37"/>
  <c r="O113" i="37"/>
  <c r="O115" i="37"/>
  <c r="O117" i="37"/>
  <c r="O119" i="37"/>
  <c r="O122" i="37"/>
  <c r="O123" i="37"/>
  <c r="O125" i="37"/>
  <c r="N68" i="34"/>
  <c r="N60" i="34"/>
  <c r="O11" i="37"/>
  <c r="M9" i="34" s="1"/>
  <c r="O23" i="37"/>
  <c r="M21" i="34" s="1"/>
  <c r="O25" i="37"/>
  <c r="M23" i="34" s="1"/>
  <c r="O26" i="37"/>
  <c r="M24" i="34" s="1"/>
  <c r="O27" i="37"/>
  <c r="M25" i="34" s="1"/>
  <c r="O29" i="37"/>
  <c r="M27" i="34" s="1"/>
  <c r="O30" i="37"/>
  <c r="M28" i="34" s="1"/>
  <c r="O31" i="37"/>
  <c r="M29" i="34" s="1"/>
  <c r="O33" i="37"/>
  <c r="M31" i="34" s="1"/>
  <c r="O34" i="37"/>
  <c r="M32" i="34" s="1"/>
  <c r="O35" i="37"/>
  <c r="M33" i="34" s="1"/>
  <c r="O81" i="37"/>
  <c r="O37" i="37"/>
  <c r="M35" i="34" s="1"/>
  <c r="O82" i="37"/>
  <c r="O38" i="37"/>
  <c r="M36" i="34" s="1"/>
  <c r="O39" i="37"/>
  <c r="M37" i="34" s="1"/>
  <c r="O84" i="37"/>
  <c r="M215" i="34" s="1"/>
  <c r="O41" i="37"/>
  <c r="M39" i="34" s="1"/>
  <c r="O51" i="37"/>
  <c r="M49" i="34" s="1"/>
  <c r="O145" i="37"/>
  <c r="AC68" i="3"/>
  <c r="AC64" i="3"/>
  <c r="AC60" i="3"/>
  <c r="O60" i="37"/>
  <c r="M58" i="34" s="1"/>
  <c r="O121" i="37"/>
  <c r="O168" i="37"/>
  <c r="O169" i="37"/>
  <c r="O124" i="37"/>
  <c r="O171" i="37"/>
  <c r="O127" i="37"/>
  <c r="O99" i="37"/>
  <c r="O100" i="37"/>
  <c r="O101" i="37"/>
  <c r="O102" i="37"/>
  <c r="O103" i="37"/>
  <c r="O104" i="37"/>
  <c r="O105" i="37"/>
  <c r="O106" i="37"/>
  <c r="O107" i="37"/>
  <c r="O96" i="37"/>
  <c r="O49" i="37"/>
  <c r="M47" i="34" s="1"/>
  <c r="O86" i="37"/>
  <c r="M217" i="34" s="1"/>
  <c r="O87" i="37"/>
  <c r="M218" i="34" s="1"/>
  <c r="O53" i="37"/>
  <c r="M51" i="34" s="1"/>
  <c r="O50" i="37"/>
  <c r="M48" i="34" s="1"/>
  <c r="O52" i="37"/>
  <c r="M50" i="34" s="1"/>
  <c r="O44" i="37"/>
  <c r="M42" i="34" s="1"/>
  <c r="O45" i="37"/>
  <c r="M43" i="34" s="1"/>
  <c r="O13" i="37"/>
  <c r="M11" i="34" s="1"/>
  <c r="O15" i="37"/>
  <c r="M13" i="34" s="1"/>
  <c r="O17" i="37"/>
  <c r="M15" i="34" s="1"/>
  <c r="O19" i="37"/>
  <c r="M17" i="34" s="1"/>
  <c r="O21" i="37"/>
  <c r="M19" i="34" s="1"/>
  <c r="O9" i="37"/>
  <c r="N7" i="34" l="1"/>
  <c r="O165" i="37"/>
  <c r="M8" i="34"/>
  <c r="O79" i="37"/>
  <c r="M212" i="34"/>
  <c r="AD73" i="3"/>
  <c r="AF73" i="3" s="1"/>
  <c r="AG73" i="3" s="1"/>
  <c r="M214" i="34"/>
  <c r="AD75" i="3"/>
  <c r="AF75" i="3" s="1"/>
  <c r="AG75" i="3" s="1"/>
  <c r="M213" i="34"/>
  <c r="AD74" i="3"/>
  <c r="AF74" i="3" s="1"/>
  <c r="AG74" i="3" s="1"/>
  <c r="AC52" i="3"/>
  <c r="AC44" i="3"/>
  <c r="N45" i="34"/>
  <c r="AC43" i="3"/>
  <c r="AC57" i="3"/>
  <c r="AC49" i="3"/>
  <c r="AC45" i="3"/>
  <c r="AC58" i="3"/>
  <c r="AC51" i="3"/>
  <c r="N46" i="34"/>
  <c r="AC104" i="3"/>
  <c r="N59" i="34"/>
  <c r="N58" i="34"/>
  <c r="N41" i="34"/>
  <c r="N50" i="34"/>
  <c r="AC39" i="3"/>
  <c r="AC103" i="3"/>
  <c r="AC99" i="3"/>
  <c r="N212" i="34"/>
  <c r="N34" i="34"/>
  <c r="AC33" i="3"/>
  <c r="AC24" i="3"/>
  <c r="N25" i="34"/>
  <c r="N32" i="34"/>
  <c r="AC31" i="3"/>
  <c r="N24" i="34"/>
  <c r="AC23" i="3"/>
  <c r="N8" i="34"/>
  <c r="AC7" i="3"/>
  <c r="AC32" i="3"/>
  <c r="N33" i="34"/>
  <c r="AC22" i="3"/>
  <c r="N23" i="34"/>
  <c r="N30" i="34"/>
  <c r="AC29" i="3"/>
  <c r="N22" i="34"/>
  <c r="AC21" i="3"/>
  <c r="N16" i="34"/>
  <c r="AC15" i="3"/>
  <c r="AC35" i="3"/>
  <c r="N36" i="34"/>
  <c r="N57" i="34"/>
  <c r="AC56" i="3"/>
  <c r="N37" i="34"/>
  <c r="AC36" i="3"/>
  <c r="AC18" i="3"/>
  <c r="N19" i="34"/>
  <c r="AC14" i="3"/>
  <c r="N15" i="34"/>
  <c r="AC10" i="3"/>
  <c r="N11" i="34"/>
  <c r="AC100" i="3"/>
  <c r="N213" i="34"/>
  <c r="N35" i="34"/>
  <c r="AC34" i="3"/>
  <c r="AC26" i="3"/>
  <c r="N27" i="34"/>
  <c r="N9" i="34"/>
  <c r="AC8" i="3"/>
  <c r="AC53" i="3"/>
  <c r="N47" i="34"/>
  <c r="AC46" i="3"/>
  <c r="AC101" i="3"/>
  <c r="N214" i="34"/>
  <c r="N26" i="34"/>
  <c r="AC25" i="3"/>
  <c r="N10" i="34"/>
  <c r="AC9" i="3"/>
  <c r="AC41" i="3"/>
  <c r="AC47" i="3"/>
  <c r="AC48" i="3"/>
  <c r="N18" i="34"/>
  <c r="AC17" i="3"/>
  <c r="N14" i="34"/>
  <c r="AC13" i="3"/>
  <c r="AC38" i="3"/>
  <c r="N39" i="34"/>
  <c r="AC42" i="3"/>
  <c r="AC16" i="3"/>
  <c r="N17" i="34"/>
  <c r="AC12" i="3"/>
  <c r="N13" i="34"/>
  <c r="AC102" i="3"/>
  <c r="N215" i="34"/>
  <c r="AC30" i="3"/>
  <c r="N31" i="34"/>
  <c r="N12" i="34"/>
  <c r="AC11" i="3"/>
  <c r="AC28" i="3"/>
  <c r="N29" i="34"/>
  <c r="N20" i="34"/>
  <c r="AC19" i="3"/>
  <c r="AC50" i="3"/>
  <c r="N218" i="34"/>
  <c r="AC105" i="3"/>
  <c r="N38" i="34"/>
  <c r="AC37" i="3"/>
  <c r="N28" i="34"/>
  <c r="AC27" i="3"/>
  <c r="AC20" i="3"/>
  <c r="N21" i="34"/>
  <c r="AC6" i="3"/>
  <c r="M7" i="34"/>
  <c r="AC76" i="3" l="1"/>
  <c r="N77" i="34"/>
  <c r="AH75" i="3"/>
  <c r="AL75" i="3" s="1"/>
  <c r="AJ75" i="3"/>
  <c r="AD71" i="3"/>
  <c r="AF71" i="3" s="1"/>
  <c r="AG71" i="3" s="1"/>
  <c r="M77" i="34"/>
  <c r="AJ73" i="3"/>
  <c r="AH73" i="3"/>
  <c r="AL73" i="3" s="1"/>
  <c r="AH74" i="3"/>
  <c r="AL74" i="3" s="1"/>
  <c r="AJ74" i="3"/>
  <c r="P165" i="37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212" i="34"/>
  <c r="K35" i="34"/>
  <c r="K213" i="34"/>
  <c r="K214" i="34"/>
  <c r="K36" i="34"/>
  <c r="K37" i="34"/>
  <c r="K215" i="34"/>
  <c r="K38" i="34"/>
  <c r="K211" i="34"/>
  <c r="K39" i="34"/>
  <c r="K40" i="34"/>
  <c r="K41" i="34"/>
  <c r="K42" i="34"/>
  <c r="K216" i="34"/>
  <c r="K43" i="34"/>
  <c r="K44" i="34"/>
  <c r="K45" i="34"/>
  <c r="K46" i="34"/>
  <c r="K47" i="34"/>
  <c r="K48" i="34"/>
  <c r="K217" i="34"/>
  <c r="K49" i="34"/>
  <c r="K218" i="34"/>
  <c r="K50" i="34"/>
  <c r="K51" i="34"/>
  <c r="K52" i="34"/>
  <c r="K53" i="34"/>
  <c r="K54" i="34"/>
  <c r="K55" i="34"/>
  <c r="K56" i="34"/>
  <c r="K57" i="34"/>
  <c r="K210" i="34"/>
  <c r="K58" i="34"/>
  <c r="K59" i="34"/>
  <c r="K60" i="34"/>
  <c r="K61" i="34"/>
  <c r="K62" i="34"/>
  <c r="K63" i="34"/>
  <c r="K64" i="34"/>
  <c r="S63" i="3" s="1"/>
  <c r="K65" i="34"/>
  <c r="S64" i="3" s="1"/>
  <c r="K66" i="34"/>
  <c r="S65" i="3" s="1"/>
  <c r="K67" i="34"/>
  <c r="S66" i="3" s="1"/>
  <c r="K68" i="34"/>
  <c r="S67" i="3" s="1"/>
  <c r="K69" i="34"/>
  <c r="S68" i="3" s="1"/>
  <c r="K70" i="34"/>
  <c r="S69" i="3" s="1"/>
  <c r="K71" i="34"/>
  <c r="S70" i="3" s="1"/>
  <c r="K8" i="34"/>
  <c r="K7" i="34"/>
  <c r="AJ71" i="3" l="1"/>
  <c r="AH71" i="3"/>
  <c r="AL71" i="3" s="1"/>
  <c r="H9" i="34"/>
  <c r="H10" i="34"/>
  <c r="H11" i="34"/>
  <c r="H12" i="34"/>
  <c r="H13" i="34"/>
  <c r="H14" i="34"/>
  <c r="H15" i="34"/>
  <c r="H16" i="34"/>
  <c r="H17" i="34"/>
  <c r="H209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208" i="34"/>
  <c r="H32" i="34"/>
  <c r="H33" i="34"/>
  <c r="H34" i="34"/>
  <c r="H212" i="34"/>
  <c r="H35" i="34"/>
  <c r="H213" i="34"/>
  <c r="H214" i="34"/>
  <c r="H36" i="34"/>
  <c r="H37" i="34"/>
  <c r="H215" i="34"/>
  <c r="H38" i="34"/>
  <c r="H211" i="34"/>
  <c r="H39" i="34"/>
  <c r="H40" i="34"/>
  <c r="H41" i="34"/>
  <c r="H42" i="34"/>
  <c r="H216" i="34"/>
  <c r="H43" i="34"/>
  <c r="H44" i="34"/>
  <c r="H45" i="34"/>
  <c r="H46" i="34"/>
  <c r="H47" i="34"/>
  <c r="H48" i="34"/>
  <c r="H217" i="34"/>
  <c r="H49" i="34"/>
  <c r="H218" i="34"/>
  <c r="H50" i="34"/>
  <c r="H51" i="34"/>
  <c r="H52" i="34"/>
  <c r="H53" i="34"/>
  <c r="H54" i="34"/>
  <c r="H55" i="34"/>
  <c r="H56" i="34"/>
  <c r="H57" i="34"/>
  <c r="H210" i="34"/>
  <c r="H58" i="34"/>
  <c r="H59" i="34"/>
  <c r="H60" i="34"/>
  <c r="H61" i="34"/>
  <c r="H62" i="34"/>
  <c r="H63" i="34"/>
  <c r="H64" i="34"/>
  <c r="R63" i="3" s="1"/>
  <c r="H65" i="34"/>
  <c r="R64" i="3" s="1"/>
  <c r="H66" i="34"/>
  <c r="R65" i="3" s="1"/>
  <c r="H67" i="34"/>
  <c r="R66" i="3" s="1"/>
  <c r="H68" i="34"/>
  <c r="R67" i="3" s="1"/>
  <c r="H69" i="34"/>
  <c r="R68" i="3" s="1"/>
  <c r="H70" i="34"/>
  <c r="R69" i="3" s="1"/>
  <c r="H71" i="34"/>
  <c r="R70" i="3" s="1"/>
  <c r="H8" i="34"/>
  <c r="H7" i="34"/>
  <c r="H77" i="34" l="1"/>
  <c r="B9" i="34"/>
  <c r="C9" i="34"/>
  <c r="D9" i="34"/>
  <c r="B10" i="34"/>
  <c r="C10" i="34"/>
  <c r="D10" i="34"/>
  <c r="B11" i="34"/>
  <c r="C11" i="34"/>
  <c r="D11" i="34"/>
  <c r="B12" i="34"/>
  <c r="C12" i="34"/>
  <c r="D12" i="34"/>
  <c r="B13" i="34"/>
  <c r="C13" i="34"/>
  <c r="D13" i="34"/>
  <c r="B14" i="34"/>
  <c r="C14" i="34"/>
  <c r="D14" i="34"/>
  <c r="B15" i="34"/>
  <c r="C15" i="34"/>
  <c r="D15" i="34"/>
  <c r="B16" i="34"/>
  <c r="C16" i="34"/>
  <c r="D16" i="34"/>
  <c r="B17" i="34"/>
  <c r="C17" i="34"/>
  <c r="D17" i="34"/>
  <c r="B209" i="34"/>
  <c r="C209" i="34"/>
  <c r="D209" i="34"/>
  <c r="B18" i="34"/>
  <c r="C18" i="34"/>
  <c r="D18" i="34"/>
  <c r="B19" i="34"/>
  <c r="C19" i="34"/>
  <c r="D19" i="34"/>
  <c r="B20" i="34"/>
  <c r="C20" i="34"/>
  <c r="D20" i="34"/>
  <c r="B21" i="34"/>
  <c r="C21" i="34"/>
  <c r="D21" i="34"/>
  <c r="B22" i="34"/>
  <c r="C22" i="34"/>
  <c r="D22" i="34"/>
  <c r="B23" i="34"/>
  <c r="C23" i="34"/>
  <c r="D23" i="34"/>
  <c r="B24" i="34"/>
  <c r="C24" i="34"/>
  <c r="D24" i="34"/>
  <c r="B25" i="34"/>
  <c r="C25" i="34"/>
  <c r="D25" i="34"/>
  <c r="B26" i="34"/>
  <c r="C26" i="34"/>
  <c r="D26" i="34"/>
  <c r="B27" i="34"/>
  <c r="C27" i="34"/>
  <c r="D27" i="34"/>
  <c r="B28" i="34"/>
  <c r="C28" i="34"/>
  <c r="D28" i="34"/>
  <c r="B29" i="34"/>
  <c r="C29" i="34"/>
  <c r="D29" i="34"/>
  <c r="B30" i="34"/>
  <c r="C30" i="34"/>
  <c r="D30" i="34"/>
  <c r="B31" i="34"/>
  <c r="C31" i="34"/>
  <c r="D31" i="34"/>
  <c r="B208" i="34"/>
  <c r="C208" i="34"/>
  <c r="D208" i="34"/>
  <c r="B32" i="34"/>
  <c r="C32" i="34"/>
  <c r="D32" i="34"/>
  <c r="B33" i="34"/>
  <c r="C33" i="34"/>
  <c r="D33" i="34"/>
  <c r="B34" i="34"/>
  <c r="C34" i="34"/>
  <c r="D34" i="34"/>
  <c r="B212" i="34"/>
  <c r="C212" i="34"/>
  <c r="D212" i="34"/>
  <c r="B35" i="34"/>
  <c r="C35" i="34"/>
  <c r="D35" i="34"/>
  <c r="B213" i="34"/>
  <c r="C213" i="34"/>
  <c r="D213" i="34"/>
  <c r="B214" i="34"/>
  <c r="C214" i="34"/>
  <c r="D214" i="34"/>
  <c r="B36" i="34"/>
  <c r="C36" i="34"/>
  <c r="D36" i="34"/>
  <c r="B37" i="34"/>
  <c r="C37" i="34"/>
  <c r="D37" i="34"/>
  <c r="B215" i="34"/>
  <c r="C215" i="34"/>
  <c r="D215" i="34"/>
  <c r="B38" i="34"/>
  <c r="C38" i="34"/>
  <c r="D38" i="34"/>
  <c r="B211" i="34"/>
  <c r="C211" i="34"/>
  <c r="D211" i="34"/>
  <c r="B39" i="34"/>
  <c r="C39" i="34"/>
  <c r="D39" i="34"/>
  <c r="B40" i="34"/>
  <c r="C40" i="34"/>
  <c r="D40" i="34"/>
  <c r="B41" i="34"/>
  <c r="C41" i="34"/>
  <c r="D41" i="34"/>
  <c r="B42" i="34"/>
  <c r="C42" i="34"/>
  <c r="D42" i="34"/>
  <c r="B216" i="34"/>
  <c r="C216" i="34"/>
  <c r="D216" i="34"/>
  <c r="B43" i="34"/>
  <c r="C43" i="34"/>
  <c r="D43" i="34"/>
  <c r="B44" i="34"/>
  <c r="C44" i="34"/>
  <c r="D44" i="34"/>
  <c r="B45" i="34"/>
  <c r="C45" i="34"/>
  <c r="D45" i="34"/>
  <c r="B46" i="34"/>
  <c r="C46" i="34"/>
  <c r="D46" i="34"/>
  <c r="B47" i="34"/>
  <c r="C47" i="34"/>
  <c r="D47" i="34"/>
  <c r="B48" i="34"/>
  <c r="C48" i="34"/>
  <c r="D48" i="34"/>
  <c r="C217" i="34"/>
  <c r="D217" i="34"/>
  <c r="B49" i="34"/>
  <c r="C49" i="34"/>
  <c r="D49" i="34"/>
  <c r="C218" i="34"/>
  <c r="D218" i="34"/>
  <c r="B50" i="34"/>
  <c r="C50" i="34"/>
  <c r="D50" i="34"/>
  <c r="B51" i="34"/>
  <c r="C51" i="34"/>
  <c r="D51" i="34"/>
  <c r="B52" i="34"/>
  <c r="C52" i="34"/>
  <c r="D52" i="34"/>
  <c r="B53" i="34"/>
  <c r="C53" i="34"/>
  <c r="D53" i="34"/>
  <c r="B54" i="34"/>
  <c r="C54" i="34"/>
  <c r="D54" i="34"/>
  <c r="B55" i="34"/>
  <c r="C55" i="34"/>
  <c r="D55" i="34"/>
  <c r="B56" i="34"/>
  <c r="C56" i="34"/>
  <c r="D56" i="34"/>
  <c r="B57" i="34"/>
  <c r="C57" i="34"/>
  <c r="D57" i="34"/>
  <c r="B210" i="34"/>
  <c r="C210" i="34"/>
  <c r="D210" i="34"/>
  <c r="B58" i="34"/>
  <c r="C58" i="34"/>
  <c r="D58" i="34"/>
  <c r="B59" i="34"/>
  <c r="C59" i="34"/>
  <c r="D59" i="34"/>
  <c r="B60" i="34"/>
  <c r="C60" i="34"/>
  <c r="D60" i="34"/>
  <c r="B61" i="34"/>
  <c r="C61" i="34"/>
  <c r="D61" i="34"/>
  <c r="B62" i="34"/>
  <c r="C62" i="34"/>
  <c r="D62" i="34"/>
  <c r="B63" i="34"/>
  <c r="C63" i="34"/>
  <c r="D63" i="34"/>
  <c r="B64" i="34"/>
  <c r="C64" i="34"/>
  <c r="D64" i="34"/>
  <c r="B65" i="34"/>
  <c r="C65" i="34"/>
  <c r="D65" i="34"/>
  <c r="B66" i="34"/>
  <c r="C66" i="34"/>
  <c r="D66" i="34"/>
  <c r="B67" i="34"/>
  <c r="C67" i="34"/>
  <c r="D67" i="34"/>
  <c r="B68" i="34"/>
  <c r="C68" i="34"/>
  <c r="D68" i="34"/>
  <c r="B69" i="34"/>
  <c r="C69" i="34"/>
  <c r="D69" i="34"/>
  <c r="B70" i="34"/>
  <c r="C70" i="34"/>
  <c r="D70" i="34"/>
  <c r="B71" i="34"/>
  <c r="C71" i="34"/>
  <c r="D71" i="34"/>
  <c r="C8" i="34"/>
  <c r="D8" i="34"/>
  <c r="C7" i="34"/>
  <c r="D7" i="34"/>
  <c r="B8" i="34"/>
  <c r="B7" i="34"/>
  <c r="C8" i="3"/>
  <c r="C9" i="3"/>
  <c r="C10" i="3"/>
  <c r="C11" i="3"/>
  <c r="C12" i="3"/>
  <c r="C13" i="3"/>
  <c r="C14" i="3"/>
  <c r="C15" i="3"/>
  <c r="C16" i="3"/>
  <c r="C9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95" i="3"/>
  <c r="C31" i="3"/>
  <c r="C32" i="3"/>
  <c r="C33" i="3"/>
  <c r="C99" i="3"/>
  <c r="C34" i="3"/>
  <c r="C100" i="3"/>
  <c r="C101" i="3"/>
  <c r="C35" i="3"/>
  <c r="C36" i="3"/>
  <c r="C102" i="3"/>
  <c r="C37" i="3"/>
  <c r="C98" i="3"/>
  <c r="C38" i="3"/>
  <c r="C39" i="3"/>
  <c r="C40" i="3"/>
  <c r="C41" i="3"/>
  <c r="C103" i="3"/>
  <c r="C42" i="3"/>
  <c r="C43" i="3"/>
  <c r="C44" i="3"/>
  <c r="C45" i="3"/>
  <c r="C46" i="3"/>
  <c r="C47" i="3"/>
  <c r="C104" i="3"/>
  <c r="C48" i="3"/>
  <c r="C105" i="3"/>
  <c r="C49" i="3"/>
  <c r="C50" i="3"/>
  <c r="C51" i="3"/>
  <c r="C52" i="3"/>
  <c r="C53" i="3"/>
  <c r="C54" i="3"/>
  <c r="C55" i="3"/>
  <c r="C56" i="3"/>
  <c r="C97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" i="3"/>
  <c r="C6" i="3"/>
  <c r="B11" i="35"/>
  <c r="B12" i="35"/>
  <c r="B13" i="35"/>
  <c r="B14" i="35"/>
  <c r="B15" i="35"/>
  <c r="B16" i="35"/>
  <c r="B17" i="35"/>
  <c r="B18" i="35"/>
  <c r="B19" i="35"/>
  <c r="B20" i="35"/>
  <c r="B83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82" i="35"/>
  <c r="B35" i="35"/>
  <c r="B36" i="35"/>
  <c r="B37" i="35"/>
  <c r="B86" i="35"/>
  <c r="B38" i="35"/>
  <c r="B87" i="35"/>
  <c r="B88" i="35"/>
  <c r="B39" i="35"/>
  <c r="B40" i="35"/>
  <c r="B89" i="35"/>
  <c r="B41" i="35"/>
  <c r="B85" i="35"/>
  <c r="B42" i="35"/>
  <c r="B43" i="35"/>
  <c r="B44" i="35"/>
  <c r="B45" i="35"/>
  <c r="B90" i="35"/>
  <c r="B46" i="35"/>
  <c r="B47" i="35"/>
  <c r="B48" i="35"/>
  <c r="B49" i="35"/>
  <c r="B50" i="35"/>
  <c r="B51" i="35"/>
  <c r="B91" i="35"/>
  <c r="B52" i="35"/>
  <c r="B92" i="35"/>
  <c r="B53" i="35"/>
  <c r="B54" i="35"/>
  <c r="B55" i="35"/>
  <c r="B56" i="35"/>
  <c r="B57" i="35"/>
  <c r="B58" i="35"/>
  <c r="B59" i="35"/>
  <c r="B60" i="35"/>
  <c r="B84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10" i="35"/>
  <c r="B4" i="36"/>
  <c r="AK7" i="3" s="1"/>
  <c r="B5" i="36"/>
  <c r="AK8" i="3" s="1"/>
  <c r="B6" i="36"/>
  <c r="AK9" i="3" s="1"/>
  <c r="B7" i="36"/>
  <c r="AK10" i="3" s="1"/>
  <c r="B8" i="36"/>
  <c r="AK11" i="3" s="1"/>
  <c r="B9" i="36"/>
  <c r="AK12" i="3" s="1"/>
  <c r="B10" i="36"/>
  <c r="AK13" i="3" s="1"/>
  <c r="B11" i="36"/>
  <c r="AK14" i="3" s="1"/>
  <c r="B12" i="36"/>
  <c r="AK15" i="3" s="1"/>
  <c r="B13" i="36"/>
  <c r="AK16" i="3" s="1"/>
  <c r="B79" i="36"/>
  <c r="B14" i="36"/>
  <c r="AK17" i="3" s="1"/>
  <c r="B15" i="36"/>
  <c r="AK18" i="3" s="1"/>
  <c r="B16" i="36"/>
  <c r="AK19" i="3" s="1"/>
  <c r="B17" i="36"/>
  <c r="AK20" i="3" s="1"/>
  <c r="B18" i="36"/>
  <c r="AK21" i="3" s="1"/>
  <c r="B19" i="36"/>
  <c r="AK22" i="3" s="1"/>
  <c r="B20" i="36"/>
  <c r="AK23" i="3" s="1"/>
  <c r="B21" i="36"/>
  <c r="AK24" i="3" s="1"/>
  <c r="B22" i="36"/>
  <c r="AK25" i="3" s="1"/>
  <c r="B23" i="36"/>
  <c r="AK26" i="3" s="1"/>
  <c r="B24" i="36"/>
  <c r="AK27" i="3" s="1"/>
  <c r="B25" i="36"/>
  <c r="AK28" i="3" s="1"/>
  <c r="B26" i="36"/>
  <c r="AK29" i="3" s="1"/>
  <c r="B27" i="36"/>
  <c r="AK30" i="3" s="1"/>
  <c r="B78" i="36"/>
  <c r="B28" i="36"/>
  <c r="AK31" i="3" s="1"/>
  <c r="B29" i="36"/>
  <c r="AK32" i="3" s="1"/>
  <c r="B30" i="36"/>
  <c r="AK33" i="3" s="1"/>
  <c r="B82" i="36"/>
  <c r="AK99" i="3" s="1"/>
  <c r="B31" i="36"/>
  <c r="AK34" i="3" s="1"/>
  <c r="B83" i="36"/>
  <c r="AK100" i="3" s="1"/>
  <c r="B84" i="36"/>
  <c r="AK101" i="3" s="1"/>
  <c r="B32" i="36"/>
  <c r="AK35" i="3" s="1"/>
  <c r="B33" i="36"/>
  <c r="AK36" i="3" s="1"/>
  <c r="B85" i="36"/>
  <c r="AK102" i="3" s="1"/>
  <c r="B34" i="36"/>
  <c r="AK37" i="3" s="1"/>
  <c r="B81" i="36"/>
  <c r="B35" i="36"/>
  <c r="AK38" i="3" s="1"/>
  <c r="B36" i="36"/>
  <c r="AK39" i="3" s="1"/>
  <c r="B37" i="36"/>
  <c r="AK40" i="3" s="1"/>
  <c r="B38" i="36"/>
  <c r="AK41" i="3" s="1"/>
  <c r="B86" i="36"/>
  <c r="AK103" i="3" s="1"/>
  <c r="B39" i="36"/>
  <c r="AK42" i="3" s="1"/>
  <c r="B40" i="36"/>
  <c r="AK43" i="3" s="1"/>
  <c r="B41" i="36"/>
  <c r="AK44" i="3" s="1"/>
  <c r="B42" i="36"/>
  <c r="AK45" i="3" s="1"/>
  <c r="B43" i="36"/>
  <c r="AK46" i="3" s="1"/>
  <c r="B44" i="36"/>
  <c r="AK47" i="3" s="1"/>
  <c r="B87" i="36"/>
  <c r="AK104" i="3" s="1"/>
  <c r="B45" i="36"/>
  <c r="AK48" i="3" s="1"/>
  <c r="B88" i="36"/>
  <c r="AK105" i="3" s="1"/>
  <c r="B46" i="36"/>
  <c r="AK49" i="3" s="1"/>
  <c r="B47" i="36"/>
  <c r="AK50" i="3" s="1"/>
  <c r="B48" i="36"/>
  <c r="AK51" i="3" s="1"/>
  <c r="B49" i="36"/>
  <c r="AK52" i="3" s="1"/>
  <c r="B50" i="36"/>
  <c r="AK53" i="3" s="1"/>
  <c r="B51" i="36"/>
  <c r="AK54" i="3" s="1"/>
  <c r="B52" i="36"/>
  <c r="AK55" i="3" s="1"/>
  <c r="B53" i="36"/>
  <c r="AK56" i="3" s="1"/>
  <c r="B80" i="36"/>
  <c r="B54" i="36"/>
  <c r="AK57" i="3" s="1"/>
  <c r="B55" i="36"/>
  <c r="AK58" i="3" s="1"/>
  <c r="B56" i="36"/>
  <c r="AK59" i="3" s="1"/>
  <c r="B57" i="36"/>
  <c r="AK60" i="3" s="1"/>
  <c r="B58" i="36"/>
  <c r="AK61" i="3" s="1"/>
  <c r="B59" i="36"/>
  <c r="AK62" i="3" s="1"/>
  <c r="B60" i="36"/>
  <c r="AK63" i="3" s="1"/>
  <c r="B61" i="36"/>
  <c r="AK64" i="3" s="1"/>
  <c r="B62" i="36"/>
  <c r="AK65" i="3" s="1"/>
  <c r="B63" i="36"/>
  <c r="AK66" i="3" s="1"/>
  <c r="B64" i="36"/>
  <c r="AK67" i="3" s="1"/>
  <c r="B65" i="36"/>
  <c r="AK68" i="3" s="1"/>
  <c r="B66" i="36"/>
  <c r="AK69" i="3" s="1"/>
  <c r="B67" i="36"/>
  <c r="AK70" i="3" s="1"/>
  <c r="B3" i="36"/>
  <c r="AK6" i="3" s="1"/>
  <c r="B73" i="37" l="1"/>
  <c r="B159" i="37" s="1"/>
  <c r="B169" i="35"/>
  <c r="B58" i="37"/>
  <c r="B144" i="37" s="1"/>
  <c r="B154" i="35"/>
  <c r="B51" i="37"/>
  <c r="B137" i="37" s="1"/>
  <c r="B147" i="35"/>
  <c r="B85" i="37"/>
  <c r="B172" i="37" s="1"/>
  <c r="B183" i="35"/>
  <c r="B39" i="37"/>
  <c r="B125" i="37" s="1"/>
  <c r="B135" i="35"/>
  <c r="B34" i="37"/>
  <c r="B120" i="37" s="1"/>
  <c r="B130" i="35"/>
  <c r="B27" i="37"/>
  <c r="B113" i="37" s="1"/>
  <c r="B123" i="35"/>
  <c r="B12" i="37"/>
  <c r="B98" i="37" s="1"/>
  <c r="B108" i="35"/>
  <c r="B72" i="37"/>
  <c r="B158" i="37" s="1"/>
  <c r="B168" i="35"/>
  <c r="B153" i="35"/>
  <c r="B57" i="37"/>
  <c r="B143" i="37" s="1"/>
  <c r="B53" i="37"/>
  <c r="B139" i="37" s="1"/>
  <c r="B149" i="35"/>
  <c r="B47" i="37"/>
  <c r="B133" i="37" s="1"/>
  <c r="B143" i="35"/>
  <c r="B38" i="37"/>
  <c r="B124" i="37" s="1"/>
  <c r="B134" i="35"/>
  <c r="B26" i="37"/>
  <c r="B112" i="37" s="1"/>
  <c r="B122" i="35"/>
  <c r="B19" i="37"/>
  <c r="B105" i="37" s="1"/>
  <c r="B115" i="35"/>
  <c r="B11" i="37"/>
  <c r="B97" i="37" s="1"/>
  <c r="B107" i="35"/>
  <c r="B9" i="37"/>
  <c r="B95" i="37" s="1"/>
  <c r="B105" i="35"/>
  <c r="B70" i="37"/>
  <c r="B156" i="37" s="1"/>
  <c r="B166" i="35"/>
  <c r="B59" i="37"/>
  <c r="B145" i="37" s="1"/>
  <c r="B155" i="35"/>
  <c r="B55" i="37"/>
  <c r="B141" i="37" s="1"/>
  <c r="B151" i="35"/>
  <c r="B87" i="37"/>
  <c r="B174" i="37" s="1"/>
  <c r="B185" i="35"/>
  <c r="B49" i="37"/>
  <c r="B135" i="37" s="1"/>
  <c r="B145" i="35"/>
  <c r="B45" i="37"/>
  <c r="B131" i="37" s="1"/>
  <c r="B141" i="35"/>
  <c r="B42" i="37"/>
  <c r="B128" i="37" s="1"/>
  <c r="B138" i="35"/>
  <c r="B84" i="37"/>
  <c r="B171" i="37" s="1"/>
  <c r="B182" i="35"/>
  <c r="B82" i="37"/>
  <c r="B169" i="37" s="1"/>
  <c r="B180" i="35"/>
  <c r="B35" i="37"/>
  <c r="B121" i="37" s="1"/>
  <c r="B131" i="35"/>
  <c r="B32" i="37"/>
  <c r="B118" i="37" s="1"/>
  <c r="B128" i="35"/>
  <c r="B28" i="37"/>
  <c r="B114" i="37" s="1"/>
  <c r="B124" i="35"/>
  <c r="B24" i="37"/>
  <c r="B110" i="37" s="1"/>
  <c r="B120" i="35"/>
  <c r="B20" i="37"/>
  <c r="B106" i="37" s="1"/>
  <c r="B116" i="35"/>
  <c r="B17" i="37"/>
  <c r="B103" i="37" s="1"/>
  <c r="B113" i="35"/>
  <c r="B13" i="37"/>
  <c r="B99" i="37" s="1"/>
  <c r="B109" i="35"/>
  <c r="B61" i="37"/>
  <c r="B147" i="37" s="1"/>
  <c r="B157" i="35"/>
  <c r="B54" i="37"/>
  <c r="B140" i="37" s="1"/>
  <c r="B150" i="35"/>
  <c r="B48" i="37"/>
  <c r="B134" i="37" s="1"/>
  <c r="B144" i="35"/>
  <c r="B41" i="37"/>
  <c r="B127" i="37" s="1"/>
  <c r="B137" i="35"/>
  <c r="B37" i="37"/>
  <c r="B123" i="37" s="1"/>
  <c r="B133" i="35"/>
  <c r="B31" i="37"/>
  <c r="B117" i="37" s="1"/>
  <c r="B127" i="35"/>
  <c r="B23" i="37"/>
  <c r="B109" i="37" s="1"/>
  <c r="B119" i="35"/>
  <c r="B16" i="37"/>
  <c r="B102" i="37" s="1"/>
  <c r="B112" i="35"/>
  <c r="B60" i="37"/>
  <c r="B146" i="37" s="1"/>
  <c r="B156" i="35"/>
  <c r="B86" i="37"/>
  <c r="B173" i="37" s="1"/>
  <c r="B184" i="35"/>
  <c r="B44" i="37"/>
  <c r="B130" i="37" s="1"/>
  <c r="B140" i="35"/>
  <c r="B81" i="37"/>
  <c r="B168" i="37" s="1"/>
  <c r="B179" i="35"/>
  <c r="B30" i="37"/>
  <c r="B116" i="37" s="1"/>
  <c r="B126" i="35"/>
  <c r="B22" i="37"/>
  <c r="B108" i="37" s="1"/>
  <c r="B118" i="35"/>
  <c r="B15" i="37"/>
  <c r="B101" i="37" s="1"/>
  <c r="B111" i="35"/>
  <c r="B71" i="37"/>
  <c r="B157" i="37" s="1"/>
  <c r="B167" i="35"/>
  <c r="B56" i="37"/>
  <c r="B142" i="37" s="1"/>
  <c r="B152" i="35"/>
  <c r="B52" i="37"/>
  <c r="B138" i="37" s="1"/>
  <c r="B148" i="35"/>
  <c r="B50" i="37"/>
  <c r="B136" i="37" s="1"/>
  <c r="B146" i="35"/>
  <c r="B46" i="37"/>
  <c r="B132" i="37" s="1"/>
  <c r="B142" i="35"/>
  <c r="B43" i="37"/>
  <c r="B129" i="37" s="1"/>
  <c r="B139" i="35"/>
  <c r="B40" i="37"/>
  <c r="B126" i="37" s="1"/>
  <c r="B136" i="35"/>
  <c r="B83" i="37"/>
  <c r="B170" i="37" s="1"/>
  <c r="B181" i="35"/>
  <c r="B36" i="37"/>
  <c r="B122" i="37" s="1"/>
  <c r="B132" i="35"/>
  <c r="B33" i="37"/>
  <c r="B119" i="37" s="1"/>
  <c r="B129" i="35"/>
  <c r="B125" i="35"/>
  <c r="B29" i="37"/>
  <c r="B115" i="37" s="1"/>
  <c r="B25" i="37"/>
  <c r="B111" i="37" s="1"/>
  <c r="B121" i="35"/>
  <c r="B21" i="37"/>
  <c r="B107" i="37" s="1"/>
  <c r="B117" i="35"/>
  <c r="B18" i="37"/>
  <c r="B104" i="37" s="1"/>
  <c r="B114" i="35"/>
  <c r="B14" i="37"/>
  <c r="B100" i="37" s="1"/>
  <c r="B110" i="35"/>
  <c r="B10" i="37"/>
  <c r="B96" i="37" s="1"/>
  <c r="B106" i="35"/>
  <c r="B165" i="35"/>
  <c r="B69" i="37"/>
  <c r="B155" i="37" s="1"/>
  <c r="B164" i="35"/>
  <c r="B68" i="37"/>
  <c r="B154" i="37" s="1"/>
  <c r="B67" i="37"/>
  <c r="B153" i="37" s="1"/>
  <c r="B163" i="35"/>
  <c r="B162" i="35"/>
  <c r="B66" i="37"/>
  <c r="B152" i="37" s="1"/>
  <c r="B65" i="37"/>
  <c r="B151" i="37" s="1"/>
  <c r="B161" i="35"/>
  <c r="B64" i="37"/>
  <c r="B150" i="37" s="1"/>
  <c r="B160" i="35"/>
  <c r="B159" i="35"/>
  <c r="B63" i="37"/>
  <c r="B149" i="37" s="1"/>
  <c r="B62" i="37"/>
  <c r="B148" i="37" s="1"/>
  <c r="B158" i="35"/>
  <c r="AC96" i="3"/>
  <c r="AC95" i="3"/>
  <c r="AC98" i="3"/>
  <c r="AC97" i="3"/>
  <c r="P75" i="36" l="1"/>
  <c r="R9" i="3" l="1"/>
  <c r="R12" i="3"/>
  <c r="R13" i="3"/>
  <c r="R16" i="3"/>
  <c r="R96" i="3"/>
  <c r="R19" i="3"/>
  <c r="R20" i="3"/>
  <c r="R23" i="3"/>
  <c r="R24" i="3"/>
  <c r="R27" i="3"/>
  <c r="R28" i="3"/>
  <c r="R95" i="3"/>
  <c r="R31" i="3"/>
  <c r="R99" i="3"/>
  <c r="R34" i="3"/>
  <c r="R35" i="3"/>
  <c r="R36" i="3"/>
  <c r="R98" i="3"/>
  <c r="R38" i="3"/>
  <c r="R41" i="3"/>
  <c r="R103" i="3"/>
  <c r="R44" i="3"/>
  <c r="R45" i="3"/>
  <c r="R104" i="3"/>
  <c r="R48" i="3"/>
  <c r="R50" i="3"/>
  <c r="R51" i="3"/>
  <c r="R54" i="3"/>
  <c r="R55" i="3"/>
  <c r="R57" i="3"/>
  <c r="R58" i="3"/>
  <c r="R61" i="3"/>
  <c r="R62" i="3"/>
  <c r="R10" i="3"/>
  <c r="R11" i="3"/>
  <c r="R14" i="3"/>
  <c r="R15" i="3"/>
  <c r="R17" i="3"/>
  <c r="R18" i="3"/>
  <c r="R21" i="3"/>
  <c r="R22" i="3"/>
  <c r="R25" i="3"/>
  <c r="R26" i="3"/>
  <c r="R29" i="3"/>
  <c r="R30" i="3"/>
  <c r="R32" i="3"/>
  <c r="R33" i="3"/>
  <c r="R100" i="3"/>
  <c r="R101" i="3"/>
  <c r="R102" i="3"/>
  <c r="R37" i="3"/>
  <c r="R39" i="3"/>
  <c r="R40" i="3"/>
  <c r="R42" i="3"/>
  <c r="R43" i="3"/>
  <c r="R46" i="3"/>
  <c r="R47" i="3"/>
  <c r="R105" i="3"/>
  <c r="R49" i="3"/>
  <c r="R52" i="3"/>
  <c r="R53" i="3"/>
  <c r="R56" i="3"/>
  <c r="R97" i="3"/>
  <c r="R59" i="3"/>
  <c r="R60" i="3"/>
  <c r="R8" i="3"/>
  <c r="R7" i="3"/>
  <c r="R6" i="3"/>
  <c r="R76" i="3" l="1"/>
  <c r="Q75" i="36"/>
  <c r="N75" i="36"/>
  <c r="M75" i="36"/>
  <c r="L75" i="36"/>
  <c r="K75" i="36"/>
  <c r="J75" i="36"/>
  <c r="I75" i="36"/>
  <c r="H75" i="36"/>
  <c r="G75" i="36"/>
  <c r="F75" i="36"/>
  <c r="E75" i="36"/>
  <c r="D75" i="36"/>
  <c r="Q73" i="36"/>
  <c r="P73" i="36"/>
  <c r="O73" i="36"/>
  <c r="N73" i="36"/>
  <c r="M73" i="36"/>
  <c r="L73" i="36"/>
  <c r="K73" i="36"/>
  <c r="J73" i="36"/>
  <c r="I73" i="36"/>
  <c r="H73" i="36"/>
  <c r="G73" i="36"/>
  <c r="F73" i="36"/>
  <c r="E73" i="36"/>
  <c r="D73" i="36"/>
  <c r="V67" i="36"/>
  <c r="R67" i="36"/>
  <c r="V66" i="36"/>
  <c r="R66" i="36"/>
  <c r="V65" i="36"/>
  <c r="R65" i="36"/>
  <c r="V64" i="36"/>
  <c r="R64" i="36"/>
  <c r="V63" i="36"/>
  <c r="R63" i="36"/>
  <c r="AI66" i="3" s="1"/>
  <c r="V62" i="36"/>
  <c r="R62" i="36"/>
  <c r="V61" i="36"/>
  <c r="R61" i="36"/>
  <c r="V60" i="36"/>
  <c r="R60" i="36"/>
  <c r="V59" i="36"/>
  <c r="R59" i="36"/>
  <c r="AI62" i="3" s="1"/>
  <c r="V58" i="36"/>
  <c r="R58" i="36"/>
  <c r="V57" i="36"/>
  <c r="R57" i="36"/>
  <c r="AI60" i="3" s="1"/>
  <c r="V56" i="36"/>
  <c r="R56" i="36"/>
  <c r="V55" i="36"/>
  <c r="R55" i="36"/>
  <c r="AI58" i="3" s="1"/>
  <c r="V54" i="36"/>
  <c r="R54" i="36"/>
  <c r="V80" i="36"/>
  <c r="R80" i="36"/>
  <c r="AI97" i="3" s="1"/>
  <c r="V53" i="36"/>
  <c r="R53" i="36"/>
  <c r="V52" i="36"/>
  <c r="R52" i="36"/>
  <c r="AI55" i="3" s="1"/>
  <c r="V51" i="36"/>
  <c r="R51" i="36"/>
  <c r="V50" i="36"/>
  <c r="R50" i="36"/>
  <c r="AI53" i="3" s="1"/>
  <c r="V49" i="36"/>
  <c r="R49" i="36"/>
  <c r="V48" i="36"/>
  <c r="R48" i="36"/>
  <c r="AI51" i="3" s="1"/>
  <c r="V47" i="36"/>
  <c r="R47" i="36"/>
  <c r="V46" i="36"/>
  <c r="R46" i="36"/>
  <c r="AI49" i="3" s="1"/>
  <c r="V88" i="36"/>
  <c r="R88" i="36"/>
  <c r="V45" i="36"/>
  <c r="R45" i="36"/>
  <c r="AI48" i="3" s="1"/>
  <c r="V87" i="36"/>
  <c r="R87" i="36"/>
  <c r="V44" i="36"/>
  <c r="R44" i="36"/>
  <c r="AI47" i="3" s="1"/>
  <c r="V43" i="36"/>
  <c r="R43" i="36"/>
  <c r="V42" i="36"/>
  <c r="R42" i="36"/>
  <c r="AI45" i="3" s="1"/>
  <c r="V41" i="36"/>
  <c r="R41" i="36"/>
  <c r="V40" i="36"/>
  <c r="R40" i="36"/>
  <c r="AI43" i="3" s="1"/>
  <c r="V39" i="36"/>
  <c r="R39" i="36"/>
  <c r="V86" i="36"/>
  <c r="R86" i="36"/>
  <c r="AI103" i="3" s="1"/>
  <c r="V38" i="36"/>
  <c r="R38" i="36"/>
  <c r="V37" i="36"/>
  <c r="R37" i="36"/>
  <c r="AI40" i="3" s="1"/>
  <c r="V36" i="36"/>
  <c r="R36" i="36"/>
  <c r="V35" i="36"/>
  <c r="R35" i="36"/>
  <c r="AI38" i="3" s="1"/>
  <c r="V81" i="36"/>
  <c r="R81" i="36"/>
  <c r="V34" i="36"/>
  <c r="R34" i="36"/>
  <c r="AI37" i="3" s="1"/>
  <c r="V85" i="36"/>
  <c r="R85" i="36"/>
  <c r="V33" i="36"/>
  <c r="R33" i="36"/>
  <c r="AI36" i="3" s="1"/>
  <c r="V32" i="36"/>
  <c r="R32" i="36"/>
  <c r="V84" i="36"/>
  <c r="R84" i="36"/>
  <c r="AI101" i="3" s="1"/>
  <c r="V83" i="36"/>
  <c r="R83" i="36"/>
  <c r="V31" i="36"/>
  <c r="R31" i="36"/>
  <c r="AI34" i="3" s="1"/>
  <c r="V82" i="36"/>
  <c r="R82" i="36"/>
  <c r="V30" i="36"/>
  <c r="R30" i="36"/>
  <c r="AI33" i="3" s="1"/>
  <c r="V29" i="36"/>
  <c r="R29" i="36"/>
  <c r="V28" i="36"/>
  <c r="R28" i="36"/>
  <c r="AI31" i="3" s="1"/>
  <c r="V78" i="36"/>
  <c r="R78" i="36"/>
  <c r="V27" i="36"/>
  <c r="R27" i="36"/>
  <c r="AI30" i="3" s="1"/>
  <c r="V26" i="36"/>
  <c r="R26" i="36"/>
  <c r="V25" i="36"/>
  <c r="R25" i="36"/>
  <c r="AI28" i="3" s="1"/>
  <c r="V24" i="36"/>
  <c r="R24" i="36"/>
  <c r="V23" i="36"/>
  <c r="R23" i="36"/>
  <c r="AI26" i="3" s="1"/>
  <c r="V22" i="36"/>
  <c r="R22" i="36"/>
  <c r="V21" i="36"/>
  <c r="R21" i="36"/>
  <c r="AI24" i="3" s="1"/>
  <c r="V20" i="36"/>
  <c r="R20" i="36"/>
  <c r="V19" i="36"/>
  <c r="R19" i="36"/>
  <c r="AI22" i="3" s="1"/>
  <c r="V18" i="36"/>
  <c r="R18" i="36"/>
  <c r="V17" i="36"/>
  <c r="R17" i="36"/>
  <c r="AI20" i="3" s="1"/>
  <c r="V16" i="36"/>
  <c r="R16" i="36"/>
  <c r="V15" i="36"/>
  <c r="R15" i="36"/>
  <c r="AI18" i="3" s="1"/>
  <c r="V14" i="36"/>
  <c r="R14" i="36"/>
  <c r="V79" i="36"/>
  <c r="R79" i="36"/>
  <c r="AI96" i="3" s="1"/>
  <c r="V13" i="36"/>
  <c r="R13" i="36"/>
  <c r="V12" i="36"/>
  <c r="R12" i="36"/>
  <c r="AI15" i="3" s="1"/>
  <c r="V11" i="36"/>
  <c r="R11" i="36"/>
  <c r="V10" i="36"/>
  <c r="R10" i="36"/>
  <c r="AI13" i="3" s="1"/>
  <c r="V9" i="36"/>
  <c r="R9" i="36"/>
  <c r="V8" i="36"/>
  <c r="R8" i="36"/>
  <c r="AI11" i="3" s="1"/>
  <c r="V7" i="36"/>
  <c r="R7" i="36"/>
  <c r="V6" i="36"/>
  <c r="R6" i="36"/>
  <c r="AI9" i="3" s="1"/>
  <c r="V5" i="36"/>
  <c r="R5" i="36"/>
  <c r="V4" i="36"/>
  <c r="R4" i="36"/>
  <c r="AI7" i="3" s="1"/>
  <c r="V3" i="36"/>
  <c r="R3" i="36"/>
  <c r="O74" i="35"/>
  <c r="I71" i="34" s="1"/>
  <c r="O73" i="35"/>
  <c r="I70" i="34" s="1"/>
  <c r="U70" i="34" s="1"/>
  <c r="O66" i="35"/>
  <c r="I63" i="34" s="1"/>
  <c r="P65" i="35"/>
  <c r="O65" i="35"/>
  <c r="I62" i="34" s="1"/>
  <c r="P64" i="35"/>
  <c r="O64" i="35"/>
  <c r="I61" i="34" s="1"/>
  <c r="P63" i="35"/>
  <c r="O63" i="35"/>
  <c r="I60" i="34" s="1"/>
  <c r="P62" i="35"/>
  <c r="O62" i="35"/>
  <c r="I59" i="34" s="1"/>
  <c r="P61" i="35"/>
  <c r="O61" i="35"/>
  <c r="I58" i="34" s="1"/>
  <c r="P84" i="35"/>
  <c r="O84" i="35"/>
  <c r="P60" i="35"/>
  <c r="O60" i="35"/>
  <c r="I57" i="34" s="1"/>
  <c r="P59" i="35"/>
  <c r="O59" i="35"/>
  <c r="I56" i="34" s="1"/>
  <c r="P58" i="35"/>
  <c r="O58" i="35"/>
  <c r="I55" i="34" s="1"/>
  <c r="P57" i="35"/>
  <c r="O57" i="35"/>
  <c r="I54" i="34" s="1"/>
  <c r="P56" i="35"/>
  <c r="O56" i="35"/>
  <c r="I53" i="34" s="1"/>
  <c r="P55" i="35"/>
  <c r="O55" i="35"/>
  <c r="I52" i="34" s="1"/>
  <c r="P54" i="35"/>
  <c r="O54" i="35"/>
  <c r="I51" i="34" s="1"/>
  <c r="P53" i="35"/>
  <c r="O53" i="35"/>
  <c r="I50" i="34" s="1"/>
  <c r="P92" i="35"/>
  <c r="O92" i="35"/>
  <c r="I218" i="34" s="1"/>
  <c r="P52" i="35"/>
  <c r="O52" i="35"/>
  <c r="I49" i="34" s="1"/>
  <c r="P91" i="35"/>
  <c r="O91" i="35"/>
  <c r="I217" i="34" s="1"/>
  <c r="P51" i="35"/>
  <c r="O51" i="35"/>
  <c r="I48" i="34" s="1"/>
  <c r="P50" i="35"/>
  <c r="O50" i="35"/>
  <c r="I47" i="34" s="1"/>
  <c r="P49" i="35"/>
  <c r="O49" i="35"/>
  <c r="I46" i="34" s="1"/>
  <c r="P48" i="35"/>
  <c r="O48" i="35"/>
  <c r="I45" i="34" s="1"/>
  <c r="P47" i="35"/>
  <c r="O47" i="35"/>
  <c r="I44" i="34" s="1"/>
  <c r="P46" i="35"/>
  <c r="O46" i="35"/>
  <c r="I43" i="34" s="1"/>
  <c r="P90" i="35"/>
  <c r="O90" i="35"/>
  <c r="I216" i="34" s="1"/>
  <c r="P45" i="35"/>
  <c r="O45" i="35"/>
  <c r="I42" i="34" s="1"/>
  <c r="P44" i="35"/>
  <c r="O44" i="35"/>
  <c r="I41" i="34" s="1"/>
  <c r="P43" i="35"/>
  <c r="O43" i="35"/>
  <c r="I40" i="34" s="1"/>
  <c r="P42" i="35"/>
  <c r="O42" i="35"/>
  <c r="I39" i="34" s="1"/>
  <c r="P85" i="35"/>
  <c r="O85" i="35"/>
  <c r="I211" i="34" s="1"/>
  <c r="P41" i="35"/>
  <c r="O41" i="35"/>
  <c r="I38" i="34" s="1"/>
  <c r="P89" i="35"/>
  <c r="O89" i="35"/>
  <c r="I215" i="34" s="1"/>
  <c r="P40" i="35"/>
  <c r="O40" i="35"/>
  <c r="I37" i="34" s="1"/>
  <c r="P39" i="35"/>
  <c r="O39" i="35"/>
  <c r="I36" i="34" s="1"/>
  <c r="P88" i="35"/>
  <c r="O88" i="35"/>
  <c r="I214" i="34" s="1"/>
  <c r="P87" i="35"/>
  <c r="O87" i="35"/>
  <c r="I213" i="34" s="1"/>
  <c r="P38" i="35"/>
  <c r="O38" i="35"/>
  <c r="I35" i="34" s="1"/>
  <c r="P86" i="35"/>
  <c r="O86" i="35"/>
  <c r="I212" i="34" s="1"/>
  <c r="P37" i="35"/>
  <c r="O37" i="35"/>
  <c r="I34" i="34" s="1"/>
  <c r="P36" i="35"/>
  <c r="O36" i="35"/>
  <c r="I33" i="34" s="1"/>
  <c r="P35" i="35"/>
  <c r="O35" i="35"/>
  <c r="I32" i="34" s="1"/>
  <c r="P82" i="35"/>
  <c r="O82" i="35"/>
  <c r="P34" i="35"/>
  <c r="O34" i="35"/>
  <c r="I31" i="34" s="1"/>
  <c r="P33" i="35"/>
  <c r="O33" i="35"/>
  <c r="I30" i="34" s="1"/>
  <c r="P32" i="35"/>
  <c r="O32" i="35"/>
  <c r="I29" i="34" s="1"/>
  <c r="P31" i="35"/>
  <c r="O31" i="35"/>
  <c r="I28" i="34" s="1"/>
  <c r="P30" i="35"/>
  <c r="O30" i="35"/>
  <c r="I27" i="34" s="1"/>
  <c r="P29" i="35"/>
  <c r="O29" i="35"/>
  <c r="I26" i="34" s="1"/>
  <c r="P28" i="35"/>
  <c r="O28" i="35"/>
  <c r="I25" i="34" s="1"/>
  <c r="P27" i="35"/>
  <c r="O27" i="35"/>
  <c r="I24" i="34" s="1"/>
  <c r="P26" i="35"/>
  <c r="O26" i="35"/>
  <c r="I23" i="34" s="1"/>
  <c r="P25" i="35"/>
  <c r="O25" i="35"/>
  <c r="I22" i="34" s="1"/>
  <c r="P24" i="35"/>
  <c r="O24" i="35"/>
  <c r="I21" i="34" s="1"/>
  <c r="P23" i="35"/>
  <c r="O23" i="35"/>
  <c r="I20" i="34" s="1"/>
  <c r="P22" i="35"/>
  <c r="O22" i="35"/>
  <c r="I19" i="34" s="1"/>
  <c r="P21" i="35"/>
  <c r="O21" i="35"/>
  <c r="I18" i="34" s="1"/>
  <c r="P83" i="35"/>
  <c r="O83" i="35"/>
  <c r="P20" i="35"/>
  <c r="O20" i="35"/>
  <c r="I17" i="34" s="1"/>
  <c r="P19" i="35"/>
  <c r="O19" i="35"/>
  <c r="I16" i="34" s="1"/>
  <c r="P18" i="35"/>
  <c r="O18" i="35"/>
  <c r="I15" i="34" s="1"/>
  <c r="P17" i="35"/>
  <c r="O17" i="35"/>
  <c r="I14" i="34" s="1"/>
  <c r="P16" i="35"/>
  <c r="O16" i="35"/>
  <c r="I13" i="34" s="1"/>
  <c r="P15" i="35"/>
  <c r="O15" i="35"/>
  <c r="I12" i="34" s="1"/>
  <c r="P14" i="35"/>
  <c r="O14" i="35"/>
  <c r="I11" i="34" s="1"/>
  <c r="P13" i="35"/>
  <c r="O13" i="35"/>
  <c r="I10" i="34" s="1"/>
  <c r="P12" i="35"/>
  <c r="O12" i="35"/>
  <c r="I9" i="34" s="1"/>
  <c r="P11" i="35"/>
  <c r="O11" i="35"/>
  <c r="P10" i="35"/>
  <c r="O10" i="35"/>
  <c r="I7" i="34" s="1"/>
  <c r="J205" i="34"/>
  <c r="J204" i="34"/>
  <c r="J203" i="34"/>
  <c r="J201" i="34"/>
  <c r="F201" i="34"/>
  <c r="G201" i="34" s="1"/>
  <c r="H201" i="34" s="1"/>
  <c r="I201" i="34" s="1"/>
  <c r="E201" i="34"/>
  <c r="D201" i="34"/>
  <c r="C201" i="34"/>
  <c r="B201" i="34"/>
  <c r="J200" i="34"/>
  <c r="F200" i="34"/>
  <c r="G200" i="34" s="1"/>
  <c r="H200" i="34" s="1"/>
  <c r="I200" i="34" s="1"/>
  <c r="E200" i="34"/>
  <c r="D200" i="34"/>
  <c r="C200" i="34"/>
  <c r="B200" i="34"/>
  <c r="J199" i="34"/>
  <c r="F199" i="34"/>
  <c r="G199" i="34" s="1"/>
  <c r="H199" i="34" s="1"/>
  <c r="I199" i="34" s="1"/>
  <c r="E199" i="34"/>
  <c r="D199" i="34"/>
  <c r="C199" i="34"/>
  <c r="B199" i="34"/>
  <c r="J198" i="34"/>
  <c r="F198" i="34"/>
  <c r="G198" i="34" s="1"/>
  <c r="H198" i="34" s="1"/>
  <c r="I198" i="34" s="1"/>
  <c r="E198" i="34"/>
  <c r="D198" i="34"/>
  <c r="C198" i="34"/>
  <c r="B198" i="34"/>
  <c r="J197" i="34"/>
  <c r="F197" i="34"/>
  <c r="G197" i="34" s="1"/>
  <c r="H197" i="34" s="1"/>
  <c r="I197" i="34" s="1"/>
  <c r="E197" i="34"/>
  <c r="D197" i="34"/>
  <c r="C197" i="34"/>
  <c r="B197" i="34"/>
  <c r="J196" i="34"/>
  <c r="F196" i="34"/>
  <c r="G196" i="34" s="1"/>
  <c r="H196" i="34" s="1"/>
  <c r="I196" i="34" s="1"/>
  <c r="E196" i="34"/>
  <c r="D196" i="34"/>
  <c r="C196" i="34"/>
  <c r="B196" i="34"/>
  <c r="J195" i="34"/>
  <c r="F195" i="34"/>
  <c r="G195" i="34" s="1"/>
  <c r="H195" i="34" s="1"/>
  <c r="I195" i="34" s="1"/>
  <c r="E195" i="34"/>
  <c r="D195" i="34"/>
  <c r="C195" i="34"/>
  <c r="B195" i="34"/>
  <c r="J194" i="34"/>
  <c r="F194" i="34"/>
  <c r="G194" i="34" s="1"/>
  <c r="H194" i="34" s="1"/>
  <c r="I194" i="34" s="1"/>
  <c r="E194" i="34"/>
  <c r="D194" i="34"/>
  <c r="C194" i="34"/>
  <c r="B194" i="34"/>
  <c r="J193" i="34"/>
  <c r="F193" i="34"/>
  <c r="G193" i="34" s="1"/>
  <c r="H193" i="34" s="1"/>
  <c r="I193" i="34" s="1"/>
  <c r="E193" i="34"/>
  <c r="D193" i="34"/>
  <c r="C193" i="34"/>
  <c r="B193" i="34"/>
  <c r="J182" i="34"/>
  <c r="F182" i="34"/>
  <c r="G182" i="34" s="1"/>
  <c r="H182" i="34" s="1"/>
  <c r="I182" i="34" s="1"/>
  <c r="E182" i="34"/>
  <c r="D182" i="34"/>
  <c r="C182" i="34"/>
  <c r="B182" i="34"/>
  <c r="J181" i="34"/>
  <c r="F181" i="34"/>
  <c r="G181" i="34" s="1"/>
  <c r="H181" i="34" s="1"/>
  <c r="I181" i="34" s="1"/>
  <c r="E181" i="34"/>
  <c r="D181" i="34"/>
  <c r="C181" i="34"/>
  <c r="B181" i="34"/>
  <c r="J180" i="34"/>
  <c r="F180" i="34"/>
  <c r="G180" i="34" s="1"/>
  <c r="H180" i="34" s="1"/>
  <c r="I180" i="34" s="1"/>
  <c r="E180" i="34"/>
  <c r="D180" i="34"/>
  <c r="C180" i="34"/>
  <c r="B180" i="34"/>
  <c r="J179" i="34"/>
  <c r="F179" i="34"/>
  <c r="G179" i="34" s="1"/>
  <c r="H179" i="34" s="1"/>
  <c r="I179" i="34" s="1"/>
  <c r="E179" i="34"/>
  <c r="D179" i="34"/>
  <c r="C179" i="34"/>
  <c r="B179" i="34"/>
  <c r="J178" i="34"/>
  <c r="F178" i="34"/>
  <c r="G178" i="34" s="1"/>
  <c r="H178" i="34" s="1"/>
  <c r="I178" i="34" s="1"/>
  <c r="E178" i="34"/>
  <c r="D178" i="34"/>
  <c r="C178" i="34"/>
  <c r="B178" i="34"/>
  <c r="J177" i="34"/>
  <c r="F177" i="34"/>
  <c r="G177" i="34" s="1"/>
  <c r="H177" i="34" s="1"/>
  <c r="I177" i="34" s="1"/>
  <c r="E177" i="34"/>
  <c r="D177" i="34"/>
  <c r="C177" i="34"/>
  <c r="B177" i="34"/>
  <c r="J172" i="34"/>
  <c r="J171" i="34"/>
  <c r="J170" i="34"/>
  <c r="J169" i="34"/>
  <c r="J168" i="34"/>
  <c r="J167" i="34"/>
  <c r="J166" i="34"/>
  <c r="J165" i="34"/>
  <c r="J164" i="34"/>
  <c r="J163" i="34"/>
  <c r="J162" i="34"/>
  <c r="J161" i="34"/>
  <c r="J160" i="34"/>
  <c r="J159" i="34"/>
  <c r="J158" i="34"/>
  <c r="J157" i="34"/>
  <c r="J156" i="34"/>
  <c r="J155" i="34"/>
  <c r="S154" i="34"/>
  <c r="J154" i="34"/>
  <c r="J153" i="34"/>
  <c r="J152" i="34"/>
  <c r="J151" i="34"/>
  <c r="B151" i="34"/>
  <c r="J150" i="34"/>
  <c r="J149" i="34"/>
  <c r="J148" i="34"/>
  <c r="J147" i="34"/>
  <c r="D147" i="34"/>
  <c r="J146" i="34"/>
  <c r="J145" i="34"/>
  <c r="J144" i="34"/>
  <c r="J143" i="34"/>
  <c r="D143" i="34"/>
  <c r="J142" i="34"/>
  <c r="J141" i="34"/>
  <c r="J140" i="34"/>
  <c r="J139" i="34"/>
  <c r="J138" i="34"/>
  <c r="J137" i="34"/>
  <c r="J136" i="34"/>
  <c r="J135" i="34"/>
  <c r="J134" i="34"/>
  <c r="J133" i="34"/>
  <c r="J132" i="34"/>
  <c r="J131" i="34"/>
  <c r="J130" i="34"/>
  <c r="J129" i="34"/>
  <c r="J128" i="34"/>
  <c r="J127" i="34"/>
  <c r="J126" i="34"/>
  <c r="J125" i="34"/>
  <c r="J124" i="34"/>
  <c r="J123" i="34"/>
  <c r="J122" i="34"/>
  <c r="J121" i="34"/>
  <c r="J120" i="34"/>
  <c r="J119" i="34"/>
  <c r="J118" i="34"/>
  <c r="J117" i="34"/>
  <c r="J116" i="34"/>
  <c r="J115" i="34"/>
  <c r="J114" i="34"/>
  <c r="J113" i="34"/>
  <c r="J112" i="34"/>
  <c r="J111" i="34"/>
  <c r="J110" i="34"/>
  <c r="J109" i="34"/>
  <c r="J108" i="34"/>
  <c r="J107" i="34"/>
  <c r="J106" i="34"/>
  <c r="J105" i="34"/>
  <c r="J104" i="34"/>
  <c r="J103" i="34"/>
  <c r="J102" i="34"/>
  <c r="J101" i="34"/>
  <c r="J100" i="34"/>
  <c r="J99" i="34"/>
  <c r="J98" i="34"/>
  <c r="J97" i="34"/>
  <c r="K89" i="34"/>
  <c r="I89" i="34"/>
  <c r="H89" i="34"/>
  <c r="F89" i="34"/>
  <c r="E89" i="34"/>
  <c r="N89" i="34" s="1"/>
  <c r="D89" i="34"/>
  <c r="D205" i="34" s="1"/>
  <c r="C89" i="34"/>
  <c r="C205" i="34" s="1"/>
  <c r="B89" i="34"/>
  <c r="B205" i="34" s="1"/>
  <c r="K88" i="34"/>
  <c r="I88" i="34"/>
  <c r="H88" i="34"/>
  <c r="F88" i="34"/>
  <c r="E88" i="34"/>
  <c r="G88" i="34" s="1"/>
  <c r="D88" i="34"/>
  <c r="D204" i="34" s="1"/>
  <c r="C88" i="34"/>
  <c r="C204" i="34" s="1"/>
  <c r="B88" i="34"/>
  <c r="B204" i="34" s="1"/>
  <c r="K87" i="34"/>
  <c r="I87" i="34"/>
  <c r="H87" i="34"/>
  <c r="F87" i="34"/>
  <c r="E87" i="34"/>
  <c r="E203" i="34" s="1"/>
  <c r="D87" i="34"/>
  <c r="C87" i="34"/>
  <c r="C203" i="34" s="1"/>
  <c r="B87" i="34"/>
  <c r="B203" i="34" s="1"/>
  <c r="K86" i="34"/>
  <c r="I86" i="34"/>
  <c r="H86" i="34"/>
  <c r="F86" i="34"/>
  <c r="E86" i="34"/>
  <c r="M86" i="34" s="1"/>
  <c r="D86" i="34"/>
  <c r="R86" i="34" s="1"/>
  <c r="C86" i="34"/>
  <c r="B86" i="34"/>
  <c r="K85" i="34"/>
  <c r="I85" i="34"/>
  <c r="H85" i="34"/>
  <c r="F85" i="34"/>
  <c r="E85" i="34"/>
  <c r="N85" i="34" s="1"/>
  <c r="D85" i="34"/>
  <c r="R85" i="34" s="1"/>
  <c r="C85" i="34"/>
  <c r="B85" i="34"/>
  <c r="K84" i="34"/>
  <c r="I84" i="34"/>
  <c r="H84" i="34"/>
  <c r="F84" i="34"/>
  <c r="E84" i="34"/>
  <c r="M84" i="34" s="1"/>
  <c r="D84" i="34"/>
  <c r="R84" i="34" s="1"/>
  <c r="C84" i="34"/>
  <c r="B84" i="34"/>
  <c r="K83" i="34"/>
  <c r="I83" i="34"/>
  <c r="H83" i="34"/>
  <c r="F83" i="34"/>
  <c r="E83" i="34"/>
  <c r="N83" i="34" s="1"/>
  <c r="D83" i="34"/>
  <c r="R83" i="34" s="1"/>
  <c r="C83" i="34"/>
  <c r="B83" i="34"/>
  <c r="K82" i="34"/>
  <c r="I82" i="34"/>
  <c r="H82" i="34"/>
  <c r="F82" i="34"/>
  <c r="E82" i="34"/>
  <c r="M82" i="34" s="1"/>
  <c r="D82" i="34"/>
  <c r="R82" i="34" s="1"/>
  <c r="C82" i="34"/>
  <c r="B82" i="34"/>
  <c r="K81" i="34"/>
  <c r="I81" i="34"/>
  <c r="H81" i="34"/>
  <c r="F81" i="34"/>
  <c r="E81" i="34"/>
  <c r="N81" i="34" s="1"/>
  <c r="D81" i="34"/>
  <c r="R81" i="34" s="1"/>
  <c r="C81" i="34"/>
  <c r="B81" i="34"/>
  <c r="K80" i="34"/>
  <c r="I80" i="34"/>
  <c r="H80" i="34"/>
  <c r="F80" i="34"/>
  <c r="E80" i="34"/>
  <c r="M80" i="34" s="1"/>
  <c r="D80" i="34"/>
  <c r="R80" i="34" s="1"/>
  <c r="C80" i="34"/>
  <c r="B80" i="34"/>
  <c r="T77" i="34"/>
  <c r="R71" i="34"/>
  <c r="D172" i="34"/>
  <c r="C172" i="34"/>
  <c r="B172" i="34"/>
  <c r="R70" i="34"/>
  <c r="D171" i="34"/>
  <c r="C171" i="34"/>
  <c r="B171" i="34"/>
  <c r="R69" i="34"/>
  <c r="D170" i="34"/>
  <c r="C170" i="34"/>
  <c r="B170" i="34"/>
  <c r="R68" i="34"/>
  <c r="D169" i="34"/>
  <c r="C169" i="34"/>
  <c r="B169" i="34"/>
  <c r="R67" i="34"/>
  <c r="D168" i="34"/>
  <c r="C168" i="34"/>
  <c r="B168" i="34"/>
  <c r="R66" i="34"/>
  <c r="D167" i="34"/>
  <c r="C167" i="34"/>
  <c r="B167" i="34"/>
  <c r="R65" i="34"/>
  <c r="D166" i="34"/>
  <c r="C166" i="34"/>
  <c r="B166" i="34"/>
  <c r="C165" i="34"/>
  <c r="B165" i="34"/>
  <c r="S62" i="3"/>
  <c r="C164" i="34"/>
  <c r="B164" i="34"/>
  <c r="S61" i="3"/>
  <c r="C163" i="34"/>
  <c r="B163" i="34"/>
  <c r="S60" i="3"/>
  <c r="C162" i="34"/>
  <c r="B162" i="34"/>
  <c r="S59" i="3"/>
  <c r="C161" i="34"/>
  <c r="B161" i="34"/>
  <c r="S58" i="3"/>
  <c r="C160" i="34"/>
  <c r="B160" i="34"/>
  <c r="S57" i="3"/>
  <c r="C159" i="34"/>
  <c r="B159" i="34"/>
  <c r="S97" i="3"/>
  <c r="C158" i="34"/>
  <c r="B158" i="34"/>
  <c r="S56" i="3"/>
  <c r="C157" i="34"/>
  <c r="B157" i="34"/>
  <c r="S55" i="3"/>
  <c r="C156" i="34"/>
  <c r="B156" i="34"/>
  <c r="S54" i="3"/>
  <c r="C155" i="34"/>
  <c r="B155" i="34"/>
  <c r="S53" i="3"/>
  <c r="C154" i="34"/>
  <c r="B154" i="34"/>
  <c r="S52" i="3"/>
  <c r="C153" i="34"/>
  <c r="B153" i="34"/>
  <c r="S51" i="3"/>
  <c r="C152" i="34"/>
  <c r="B152" i="34"/>
  <c r="S50" i="3"/>
  <c r="C151" i="34"/>
  <c r="S49" i="3"/>
  <c r="C150" i="34"/>
  <c r="B150" i="34"/>
  <c r="S105" i="3"/>
  <c r="C149" i="34"/>
  <c r="B149" i="34"/>
  <c r="S48" i="3"/>
  <c r="C148" i="34"/>
  <c r="B148" i="34"/>
  <c r="S104" i="3"/>
  <c r="R217" i="34"/>
  <c r="C147" i="34"/>
  <c r="B147" i="34"/>
  <c r="S47" i="3"/>
  <c r="C146" i="34"/>
  <c r="B146" i="34"/>
  <c r="S46" i="3"/>
  <c r="R47" i="34"/>
  <c r="C145" i="34"/>
  <c r="B145" i="34"/>
  <c r="S45" i="3"/>
  <c r="C144" i="34"/>
  <c r="B144" i="34"/>
  <c r="S44" i="3"/>
  <c r="R45" i="34"/>
  <c r="C143" i="34"/>
  <c r="B143" i="34"/>
  <c r="S43" i="3"/>
  <c r="C142" i="34"/>
  <c r="B142" i="34"/>
  <c r="S42" i="3"/>
  <c r="R43" i="34"/>
  <c r="C141" i="34"/>
  <c r="B141" i="34"/>
  <c r="R216" i="34"/>
  <c r="S103" i="3"/>
  <c r="D140" i="34"/>
  <c r="C140" i="34"/>
  <c r="B140" i="34"/>
  <c r="S41" i="3"/>
  <c r="D139" i="34"/>
  <c r="C139" i="34"/>
  <c r="B139" i="34"/>
  <c r="S40" i="3"/>
  <c r="D138" i="34"/>
  <c r="C138" i="34"/>
  <c r="B138" i="34"/>
  <c r="S39" i="3"/>
  <c r="D137" i="34"/>
  <c r="C137" i="34"/>
  <c r="B137" i="34"/>
  <c r="R39" i="34"/>
  <c r="S38" i="3"/>
  <c r="D136" i="34"/>
  <c r="C136" i="34"/>
  <c r="B136" i="34"/>
  <c r="S98" i="3"/>
  <c r="D135" i="34"/>
  <c r="C135" i="34"/>
  <c r="B135" i="34"/>
  <c r="S37" i="3"/>
  <c r="D134" i="34"/>
  <c r="C134" i="34"/>
  <c r="B134" i="34"/>
  <c r="S102" i="3"/>
  <c r="D133" i="34"/>
  <c r="C133" i="34"/>
  <c r="B133" i="34"/>
  <c r="R37" i="34"/>
  <c r="S36" i="3"/>
  <c r="D132" i="34"/>
  <c r="C132" i="34"/>
  <c r="B132" i="34"/>
  <c r="S35" i="3"/>
  <c r="D131" i="34"/>
  <c r="C131" i="34"/>
  <c r="B131" i="34"/>
  <c r="S101" i="3"/>
  <c r="D130" i="34"/>
  <c r="C130" i="34"/>
  <c r="B130" i="34"/>
  <c r="S100" i="3"/>
  <c r="D129" i="34"/>
  <c r="C129" i="34"/>
  <c r="B129" i="34"/>
  <c r="R35" i="34"/>
  <c r="S34" i="3"/>
  <c r="D128" i="34"/>
  <c r="C128" i="34"/>
  <c r="B128" i="34"/>
  <c r="S99" i="3"/>
  <c r="R212" i="34"/>
  <c r="C127" i="34"/>
  <c r="B127" i="34"/>
  <c r="S33" i="3"/>
  <c r="D126" i="34"/>
  <c r="C126" i="34"/>
  <c r="B126" i="34"/>
  <c r="S32" i="3"/>
  <c r="D125" i="34"/>
  <c r="C125" i="34"/>
  <c r="B125" i="34"/>
  <c r="S31" i="3"/>
  <c r="D124" i="34"/>
  <c r="C124" i="34"/>
  <c r="B124" i="34"/>
  <c r="S95" i="3"/>
  <c r="R208" i="34"/>
  <c r="C123" i="34"/>
  <c r="B123" i="34"/>
  <c r="S30" i="3"/>
  <c r="D122" i="34"/>
  <c r="C122" i="34"/>
  <c r="B122" i="34"/>
  <c r="S29" i="3"/>
  <c r="D121" i="34"/>
  <c r="C121" i="34"/>
  <c r="B121" i="34"/>
  <c r="S28" i="3"/>
  <c r="D120" i="34"/>
  <c r="C120" i="34"/>
  <c r="B120" i="34"/>
  <c r="S27" i="3"/>
  <c r="R28" i="34"/>
  <c r="C119" i="34"/>
  <c r="B119" i="34"/>
  <c r="S26" i="3"/>
  <c r="D118" i="34"/>
  <c r="C118" i="34"/>
  <c r="B118" i="34"/>
  <c r="S25" i="3"/>
  <c r="D117" i="34"/>
  <c r="C117" i="34"/>
  <c r="B117" i="34"/>
  <c r="S24" i="3"/>
  <c r="D116" i="34"/>
  <c r="C116" i="34"/>
  <c r="B116" i="34"/>
  <c r="S23" i="3"/>
  <c r="R24" i="34"/>
  <c r="C115" i="34"/>
  <c r="B115" i="34"/>
  <c r="S22" i="3"/>
  <c r="D114" i="34"/>
  <c r="C114" i="34"/>
  <c r="B114" i="34"/>
  <c r="S21" i="3"/>
  <c r="D113" i="34"/>
  <c r="C113" i="34"/>
  <c r="B113" i="34"/>
  <c r="S20" i="3"/>
  <c r="D112" i="34"/>
  <c r="C112" i="34"/>
  <c r="B112" i="34"/>
  <c r="S19" i="3"/>
  <c r="R20" i="34"/>
  <c r="C111" i="34"/>
  <c r="B111" i="34"/>
  <c r="S18" i="3"/>
  <c r="C110" i="34"/>
  <c r="B110" i="34"/>
  <c r="S17" i="3"/>
  <c r="C109" i="34"/>
  <c r="B109" i="34"/>
  <c r="S96" i="3"/>
  <c r="C108" i="34"/>
  <c r="B108" i="34"/>
  <c r="S16" i="3"/>
  <c r="C107" i="34"/>
  <c r="B107" i="34"/>
  <c r="S15" i="3"/>
  <c r="C106" i="34"/>
  <c r="B106" i="34"/>
  <c r="S14" i="3"/>
  <c r="C105" i="34"/>
  <c r="B105" i="34"/>
  <c r="S13" i="3"/>
  <c r="C104" i="34"/>
  <c r="B104" i="34"/>
  <c r="S12" i="3"/>
  <c r="C103" i="34"/>
  <c r="B103" i="34"/>
  <c r="S11" i="3"/>
  <c r="C102" i="34"/>
  <c r="B102" i="34"/>
  <c r="S10" i="3"/>
  <c r="C101" i="34"/>
  <c r="B101" i="34"/>
  <c r="S9" i="3"/>
  <c r="C100" i="34"/>
  <c r="B100" i="34"/>
  <c r="S8" i="3"/>
  <c r="C99" i="34"/>
  <c r="B99" i="34"/>
  <c r="S7" i="3"/>
  <c r="C98" i="34"/>
  <c r="B98" i="34"/>
  <c r="S6" i="3"/>
  <c r="C97" i="34"/>
  <c r="B97" i="34"/>
  <c r="Y70" i="33"/>
  <c r="R70" i="33"/>
  <c r="E70" i="33"/>
  <c r="Y69" i="33"/>
  <c r="R69" i="33"/>
  <c r="E69" i="33"/>
  <c r="Y68" i="33"/>
  <c r="R68" i="33"/>
  <c r="F69" i="34" s="1"/>
  <c r="E68" i="33"/>
  <c r="E69" i="34" s="1"/>
  <c r="Y67" i="33"/>
  <c r="R67" i="33"/>
  <c r="E67" i="33"/>
  <c r="E68" i="34" s="1"/>
  <c r="Y66" i="33"/>
  <c r="R66" i="33"/>
  <c r="F67" i="34" s="1"/>
  <c r="E66" i="33"/>
  <c r="E67" i="34" s="1"/>
  <c r="Y65" i="33"/>
  <c r="R65" i="33"/>
  <c r="E65" i="33"/>
  <c r="E66" i="34" s="1"/>
  <c r="Y64" i="33"/>
  <c r="R64" i="33"/>
  <c r="F65" i="34" s="1"/>
  <c r="E64" i="33"/>
  <c r="E65" i="34" s="1"/>
  <c r="Y63" i="33"/>
  <c r="R63" i="33"/>
  <c r="F64" i="34" s="1"/>
  <c r="E63" i="33"/>
  <c r="E64" i="34" s="1"/>
  <c r="Y62" i="33"/>
  <c r="R62" i="33"/>
  <c r="F63" i="34" s="1"/>
  <c r="E62" i="33"/>
  <c r="E63" i="34" s="1"/>
  <c r="Y61" i="33"/>
  <c r="R61" i="33"/>
  <c r="F62" i="34" s="1"/>
  <c r="E61" i="33"/>
  <c r="E62" i="34" s="1"/>
  <c r="Y60" i="33"/>
  <c r="R60" i="33"/>
  <c r="F61" i="34" s="1"/>
  <c r="E60" i="33"/>
  <c r="E61" i="34" s="1"/>
  <c r="Y59" i="33"/>
  <c r="R59" i="33"/>
  <c r="F60" i="34" s="1"/>
  <c r="E59" i="33"/>
  <c r="E60" i="34" s="1"/>
  <c r="Y58" i="33"/>
  <c r="R58" i="33"/>
  <c r="F59" i="34" s="1"/>
  <c r="E58" i="33"/>
  <c r="E59" i="34" s="1"/>
  <c r="Y57" i="33"/>
  <c r="R57" i="33"/>
  <c r="F58" i="34" s="1"/>
  <c r="E57" i="33"/>
  <c r="E58" i="34" s="1"/>
  <c r="X81" i="33"/>
  <c r="Y81" i="33" s="1"/>
  <c r="R81" i="33"/>
  <c r="F210" i="34" s="1"/>
  <c r="E81" i="33"/>
  <c r="E210" i="34" s="1"/>
  <c r="Y56" i="33"/>
  <c r="R56" i="33"/>
  <c r="F57" i="34" s="1"/>
  <c r="E56" i="33"/>
  <c r="E57" i="34" s="1"/>
  <c r="Y55" i="33"/>
  <c r="R55" i="33"/>
  <c r="E55" i="33"/>
  <c r="Y54" i="33"/>
  <c r="R54" i="33"/>
  <c r="F55" i="34" s="1"/>
  <c r="U54" i="3" s="1"/>
  <c r="E54" i="33"/>
  <c r="Y53" i="33"/>
  <c r="R53" i="33"/>
  <c r="E53" i="33"/>
  <c r="Y52" i="33"/>
  <c r="R52" i="33"/>
  <c r="F53" i="34" s="1"/>
  <c r="E52" i="33"/>
  <c r="E53" i="34" s="1"/>
  <c r="Y51" i="33"/>
  <c r="R51" i="33"/>
  <c r="F52" i="34" s="1"/>
  <c r="E51" i="33"/>
  <c r="E52" i="34" s="1"/>
  <c r="Y50" i="33"/>
  <c r="R50" i="33"/>
  <c r="F51" i="34" s="1"/>
  <c r="E50" i="33"/>
  <c r="E51" i="34" s="1"/>
  <c r="Z49" i="33"/>
  <c r="Y49" i="33"/>
  <c r="R49" i="33"/>
  <c r="F50" i="34" s="1"/>
  <c r="E49" i="33"/>
  <c r="E50" i="34" s="1"/>
  <c r="Z89" i="33"/>
  <c r="X89" i="33"/>
  <c r="Y89" i="33" s="1"/>
  <c r="R89" i="33"/>
  <c r="E89" i="33"/>
  <c r="Z88" i="33"/>
  <c r="X88" i="33"/>
  <c r="Y88" i="33" s="1"/>
  <c r="R88" i="33"/>
  <c r="F217" i="34" s="1"/>
  <c r="U104" i="3" s="1"/>
  <c r="E88" i="33"/>
  <c r="Y47" i="33"/>
  <c r="R47" i="33"/>
  <c r="E47" i="33"/>
  <c r="Y46" i="33"/>
  <c r="R46" i="33"/>
  <c r="E46" i="33"/>
  <c r="Y45" i="33"/>
  <c r="R45" i="33"/>
  <c r="F46" i="34" s="1"/>
  <c r="E45" i="33"/>
  <c r="E46" i="34" s="1"/>
  <c r="Y44" i="33"/>
  <c r="R44" i="33"/>
  <c r="F45" i="34" s="1"/>
  <c r="E44" i="33"/>
  <c r="E45" i="34" s="1"/>
  <c r="Y43" i="33"/>
  <c r="R43" i="33"/>
  <c r="F44" i="34" s="1"/>
  <c r="E43" i="33"/>
  <c r="E44" i="34" s="1"/>
  <c r="Y42" i="33"/>
  <c r="R42" i="33"/>
  <c r="E42" i="33"/>
  <c r="X87" i="33"/>
  <c r="Y87" i="33" s="1"/>
  <c r="R87" i="33"/>
  <c r="F216" i="34" s="1"/>
  <c r="E87" i="33"/>
  <c r="E216" i="34" s="1"/>
  <c r="Y41" i="33"/>
  <c r="R41" i="33"/>
  <c r="E41" i="33"/>
  <c r="E42" i="34" s="1"/>
  <c r="Y40" i="33"/>
  <c r="R40" i="33"/>
  <c r="F41" i="34" s="1"/>
  <c r="E40" i="33"/>
  <c r="E41" i="34" s="1"/>
  <c r="Y39" i="33"/>
  <c r="R39" i="33"/>
  <c r="E39" i="33"/>
  <c r="E40" i="34" s="1"/>
  <c r="Y38" i="33"/>
  <c r="R38" i="33"/>
  <c r="F39" i="34" s="1"/>
  <c r="E38" i="33"/>
  <c r="E39" i="34" s="1"/>
  <c r="X82" i="33"/>
  <c r="Y82" i="33" s="1"/>
  <c r="R82" i="33"/>
  <c r="F211" i="34" s="1"/>
  <c r="E82" i="33"/>
  <c r="E211" i="34" s="1"/>
  <c r="Y37" i="33"/>
  <c r="R37" i="33"/>
  <c r="F38" i="34" s="1"/>
  <c r="E37" i="33"/>
  <c r="E38" i="34" s="1"/>
  <c r="Z86" i="33"/>
  <c r="X86" i="33"/>
  <c r="Y86" i="33" s="1"/>
  <c r="R86" i="33"/>
  <c r="E86" i="33"/>
  <c r="E215" i="34" s="1"/>
  <c r="Z36" i="33"/>
  <c r="Y36" i="33"/>
  <c r="R36" i="33"/>
  <c r="F37" i="34" s="1"/>
  <c r="E36" i="33"/>
  <c r="E37" i="34" s="1"/>
  <c r="Z35" i="33"/>
  <c r="Y35" i="33"/>
  <c r="R35" i="33"/>
  <c r="E35" i="33"/>
  <c r="E36" i="34" s="1"/>
  <c r="Z85" i="33"/>
  <c r="X85" i="33"/>
  <c r="Y85" i="33" s="1"/>
  <c r="R85" i="33"/>
  <c r="F214" i="34" s="1"/>
  <c r="E85" i="33"/>
  <c r="E214" i="34" s="1"/>
  <c r="X84" i="33"/>
  <c r="Y84" i="33" s="1"/>
  <c r="R84" i="33"/>
  <c r="F213" i="34" s="1"/>
  <c r="E84" i="33"/>
  <c r="E213" i="34" s="1"/>
  <c r="Y34" i="33"/>
  <c r="R34" i="33"/>
  <c r="F35" i="34" s="1"/>
  <c r="E34" i="33"/>
  <c r="E35" i="34" s="1"/>
  <c r="Z83" i="33"/>
  <c r="X83" i="33"/>
  <c r="Y83" i="33" s="1"/>
  <c r="R83" i="33"/>
  <c r="F212" i="34" s="1"/>
  <c r="E83" i="33"/>
  <c r="E212" i="34" s="1"/>
  <c r="Y33" i="33"/>
  <c r="R33" i="33"/>
  <c r="F34" i="34" s="1"/>
  <c r="E33" i="33"/>
  <c r="E34" i="34" s="1"/>
  <c r="Y32" i="33"/>
  <c r="R32" i="33"/>
  <c r="F33" i="34" s="1"/>
  <c r="E32" i="33"/>
  <c r="E33" i="34" s="1"/>
  <c r="Y31" i="33"/>
  <c r="R31" i="33"/>
  <c r="F32" i="34" s="1"/>
  <c r="E31" i="33"/>
  <c r="E32" i="34" s="1"/>
  <c r="X79" i="33"/>
  <c r="Y79" i="33" s="1"/>
  <c r="R79" i="33"/>
  <c r="F208" i="34" s="1"/>
  <c r="E79" i="33"/>
  <c r="E208" i="34" s="1"/>
  <c r="Z30" i="33"/>
  <c r="Y30" i="33"/>
  <c r="R30" i="33"/>
  <c r="F31" i="34" s="1"/>
  <c r="E30" i="33"/>
  <c r="E31" i="34" s="1"/>
  <c r="Z29" i="33"/>
  <c r="Y29" i="33"/>
  <c r="R29" i="33"/>
  <c r="F30" i="34" s="1"/>
  <c r="E29" i="33"/>
  <c r="E30" i="34" s="1"/>
  <c r="Z28" i="33"/>
  <c r="Y28" i="33"/>
  <c r="R28" i="33"/>
  <c r="F29" i="34" s="1"/>
  <c r="E28" i="33"/>
  <c r="E29" i="34" s="1"/>
  <c r="Z27" i="33"/>
  <c r="Y27" i="33"/>
  <c r="R27" i="33"/>
  <c r="F28" i="34" s="1"/>
  <c r="E27" i="33"/>
  <c r="E28" i="34" s="1"/>
  <c r="Z26" i="33"/>
  <c r="Y26" i="33"/>
  <c r="R26" i="33"/>
  <c r="F27" i="34" s="1"/>
  <c r="E26" i="33"/>
  <c r="E27" i="34" s="1"/>
  <c r="Z25" i="33"/>
  <c r="Y25" i="33"/>
  <c r="R25" i="33"/>
  <c r="F26" i="34" s="1"/>
  <c r="E25" i="33"/>
  <c r="E26" i="34" s="1"/>
  <c r="Z24" i="33"/>
  <c r="Y24" i="33"/>
  <c r="R24" i="33"/>
  <c r="F25" i="34" s="1"/>
  <c r="E24" i="33"/>
  <c r="E25" i="34" s="1"/>
  <c r="Z23" i="33"/>
  <c r="Y23" i="33"/>
  <c r="R23" i="33"/>
  <c r="F24" i="34" s="1"/>
  <c r="E23" i="33"/>
  <c r="E24" i="34" s="1"/>
  <c r="Z22" i="33"/>
  <c r="Y22" i="33"/>
  <c r="R22" i="33"/>
  <c r="F23" i="34" s="1"/>
  <c r="E22" i="33"/>
  <c r="E23" i="34" s="1"/>
  <c r="Z21" i="33"/>
  <c r="Y21" i="33"/>
  <c r="R21" i="33"/>
  <c r="F22" i="34" s="1"/>
  <c r="E21" i="33"/>
  <c r="E22" i="34" s="1"/>
  <c r="Z20" i="33"/>
  <c r="Y20" i="33"/>
  <c r="R20" i="33"/>
  <c r="F21" i="34" s="1"/>
  <c r="E20" i="33"/>
  <c r="E21" i="34" s="1"/>
  <c r="Z19" i="33"/>
  <c r="Y19" i="33"/>
  <c r="R19" i="33"/>
  <c r="F20" i="34" s="1"/>
  <c r="E19" i="33"/>
  <c r="E20" i="34" s="1"/>
  <c r="Z18" i="33"/>
  <c r="Y18" i="33"/>
  <c r="R18" i="33"/>
  <c r="F19" i="34" s="1"/>
  <c r="E18" i="33"/>
  <c r="E19" i="34" s="1"/>
  <c r="Z17" i="33"/>
  <c r="Y17" i="33"/>
  <c r="R17" i="33"/>
  <c r="F18" i="34" s="1"/>
  <c r="E17" i="33"/>
  <c r="E18" i="34" s="1"/>
  <c r="Z80" i="33"/>
  <c r="X80" i="33"/>
  <c r="Y80" i="33" s="1"/>
  <c r="R80" i="33"/>
  <c r="E80" i="33"/>
  <c r="Z16" i="33"/>
  <c r="Y16" i="33"/>
  <c r="R16" i="33"/>
  <c r="F17" i="34" s="1"/>
  <c r="E16" i="33"/>
  <c r="E17" i="34" s="1"/>
  <c r="Z15" i="33"/>
  <c r="Y15" i="33"/>
  <c r="R15" i="33"/>
  <c r="F16" i="34" s="1"/>
  <c r="E15" i="33"/>
  <c r="E16" i="34" s="1"/>
  <c r="Z14" i="33"/>
  <c r="Y14" i="33"/>
  <c r="R14" i="33"/>
  <c r="F15" i="34" s="1"/>
  <c r="E14" i="33"/>
  <c r="E15" i="34" s="1"/>
  <c r="Z13" i="33"/>
  <c r="Y13" i="33"/>
  <c r="R13" i="33"/>
  <c r="F14" i="34" s="1"/>
  <c r="E13" i="33"/>
  <c r="E14" i="34" s="1"/>
  <c r="Z12" i="33"/>
  <c r="Y12" i="33"/>
  <c r="R12" i="33"/>
  <c r="F13" i="34" s="1"/>
  <c r="E12" i="33"/>
  <c r="E13" i="34" s="1"/>
  <c r="Z11" i="33"/>
  <c r="Y11" i="33"/>
  <c r="R11" i="33"/>
  <c r="F12" i="34" s="1"/>
  <c r="E11" i="33"/>
  <c r="E12" i="34" s="1"/>
  <c r="Z10" i="33"/>
  <c r="Y10" i="33"/>
  <c r="R10" i="33"/>
  <c r="F11" i="34" s="1"/>
  <c r="E10" i="33"/>
  <c r="E11" i="34" s="1"/>
  <c r="Z9" i="33"/>
  <c r="Y9" i="33"/>
  <c r="R9" i="33"/>
  <c r="F10" i="34" s="1"/>
  <c r="E9" i="33"/>
  <c r="E10" i="34" s="1"/>
  <c r="Z8" i="33"/>
  <c r="Y8" i="33"/>
  <c r="R8" i="33"/>
  <c r="F9" i="34" s="1"/>
  <c r="E8" i="33"/>
  <c r="E9" i="34" s="1"/>
  <c r="Z7" i="33"/>
  <c r="Y7" i="33"/>
  <c r="R7" i="33"/>
  <c r="F8" i="34" s="1"/>
  <c r="E7" i="33"/>
  <c r="E8" i="34" s="1"/>
  <c r="Z6" i="33"/>
  <c r="Y6" i="33"/>
  <c r="R6" i="33"/>
  <c r="E6" i="33"/>
  <c r="S76" i="3" l="1"/>
  <c r="I208" i="34"/>
  <c r="S74" i="34"/>
  <c r="I8" i="34"/>
  <c r="I209" i="34"/>
  <c r="S75" i="34"/>
  <c r="I210" i="34"/>
  <c r="S76" i="34"/>
  <c r="E7" i="34"/>
  <c r="F7" i="34"/>
  <c r="U6" i="3" s="1"/>
  <c r="G87" i="34"/>
  <c r="L87" i="34" s="1"/>
  <c r="O87" i="34" s="1"/>
  <c r="M87" i="34"/>
  <c r="T59" i="36"/>
  <c r="L88" i="34"/>
  <c r="O88" i="34" s="1"/>
  <c r="K199" i="34"/>
  <c r="G80" i="34"/>
  <c r="L80" i="34" s="1"/>
  <c r="O80" i="34" s="1"/>
  <c r="N80" i="34"/>
  <c r="K178" i="34"/>
  <c r="K180" i="34"/>
  <c r="K182" i="34"/>
  <c r="K196" i="34"/>
  <c r="K198" i="34"/>
  <c r="K200" i="34"/>
  <c r="M83" i="34"/>
  <c r="N82" i="34"/>
  <c r="K181" i="34"/>
  <c r="M89" i="34"/>
  <c r="G81" i="34"/>
  <c r="L81" i="34" s="1"/>
  <c r="O81" i="34" s="1"/>
  <c r="M81" i="34"/>
  <c r="G84" i="34"/>
  <c r="L84" i="34" s="1"/>
  <c r="O84" i="34" s="1"/>
  <c r="U63" i="34"/>
  <c r="W62" i="3" s="1"/>
  <c r="E70" i="34"/>
  <c r="E171" i="34" s="1"/>
  <c r="E71" i="34"/>
  <c r="E172" i="34" s="1"/>
  <c r="U57" i="34"/>
  <c r="W56" i="3" s="1"/>
  <c r="U61" i="34"/>
  <c r="W60" i="3" s="1"/>
  <c r="F66" i="34"/>
  <c r="U65" i="3" s="1"/>
  <c r="V69" i="33"/>
  <c r="F70" i="34"/>
  <c r="U69" i="3" s="1"/>
  <c r="V70" i="33"/>
  <c r="F71" i="34"/>
  <c r="U70" i="3" s="1"/>
  <c r="U59" i="34"/>
  <c r="W58" i="3" s="1"/>
  <c r="F68" i="34"/>
  <c r="U67" i="3" s="1"/>
  <c r="V54" i="33"/>
  <c r="N210" i="34"/>
  <c r="M210" i="34"/>
  <c r="G210" i="34"/>
  <c r="U62" i="34"/>
  <c r="W61" i="3" s="1"/>
  <c r="V55" i="33"/>
  <c r="F56" i="34"/>
  <c r="U55" i="3" s="1"/>
  <c r="E56" i="34"/>
  <c r="E156" i="34" s="1"/>
  <c r="E55" i="34"/>
  <c r="E155" i="34" s="1"/>
  <c r="V53" i="33"/>
  <c r="F54" i="34"/>
  <c r="U53" i="3" s="1"/>
  <c r="E54" i="34"/>
  <c r="U52" i="34"/>
  <c r="W51" i="3" s="1"/>
  <c r="E217" i="34"/>
  <c r="E49" i="34"/>
  <c r="E218" i="34"/>
  <c r="U51" i="34"/>
  <c r="W50" i="3" s="1"/>
  <c r="E47" i="34"/>
  <c r="V47" i="33"/>
  <c r="F48" i="34"/>
  <c r="U47" i="3" s="1"/>
  <c r="V88" i="33"/>
  <c r="F49" i="34"/>
  <c r="U48" i="3" s="1"/>
  <c r="V89" i="33"/>
  <c r="F218" i="34"/>
  <c r="U105" i="3" s="1"/>
  <c r="E48" i="34"/>
  <c r="U50" i="34"/>
  <c r="W49" i="3" s="1"/>
  <c r="V46" i="33"/>
  <c r="F47" i="34"/>
  <c r="U46" i="3" s="1"/>
  <c r="U41" i="34"/>
  <c r="W40" i="3" s="1"/>
  <c r="U44" i="34"/>
  <c r="W43" i="3" s="1"/>
  <c r="M211" i="34"/>
  <c r="G211" i="34"/>
  <c r="N211" i="34"/>
  <c r="U42" i="34"/>
  <c r="W41" i="3" s="1"/>
  <c r="U45" i="34"/>
  <c r="W44" i="3" s="1"/>
  <c r="U38" i="34"/>
  <c r="W37" i="3" s="1"/>
  <c r="F42" i="34"/>
  <c r="U41" i="3" s="1"/>
  <c r="E43" i="34"/>
  <c r="E141" i="34" s="1"/>
  <c r="U39" i="34"/>
  <c r="W38" i="3" s="1"/>
  <c r="F40" i="34"/>
  <c r="U39" i="3" s="1"/>
  <c r="U216" i="34"/>
  <c r="W103" i="3" s="1"/>
  <c r="V42" i="33"/>
  <c r="F43" i="34"/>
  <c r="U42" i="3" s="1"/>
  <c r="U46" i="34"/>
  <c r="W45" i="3" s="1"/>
  <c r="U37" i="34"/>
  <c r="W36" i="3" s="1"/>
  <c r="U35" i="34"/>
  <c r="W34" i="3" s="1"/>
  <c r="F36" i="34"/>
  <c r="U35" i="3" s="1"/>
  <c r="F215" i="34"/>
  <c r="U102" i="3" s="1"/>
  <c r="U215" i="34"/>
  <c r="W102" i="3" s="1"/>
  <c r="U214" i="34"/>
  <c r="W101" i="3" s="1"/>
  <c r="N208" i="34"/>
  <c r="M208" i="34"/>
  <c r="G208" i="34"/>
  <c r="E209" i="34"/>
  <c r="U7" i="34"/>
  <c r="W6" i="3" s="1"/>
  <c r="V80" i="33"/>
  <c r="F209" i="34"/>
  <c r="U96" i="3" s="1"/>
  <c r="T79" i="36"/>
  <c r="T48" i="36"/>
  <c r="T25" i="36"/>
  <c r="V35" i="33"/>
  <c r="T30" i="36"/>
  <c r="T43" i="36"/>
  <c r="AI46" i="3"/>
  <c r="T88" i="36"/>
  <c r="AI105" i="3"/>
  <c r="T65" i="36"/>
  <c r="T10" i="36"/>
  <c r="T23" i="36"/>
  <c r="T40" i="36"/>
  <c r="T51" i="36"/>
  <c r="AI54" i="3"/>
  <c r="T80" i="36"/>
  <c r="T64" i="36"/>
  <c r="T66" i="36"/>
  <c r="T39" i="36"/>
  <c r="AI42" i="3"/>
  <c r="T61" i="36"/>
  <c r="AI64" i="3"/>
  <c r="T17" i="36"/>
  <c r="T87" i="36"/>
  <c r="AI104" i="3"/>
  <c r="T50" i="36"/>
  <c r="T63" i="36"/>
  <c r="T6" i="36"/>
  <c r="T21" i="36"/>
  <c r="T33" i="36"/>
  <c r="T52" i="36"/>
  <c r="T60" i="36"/>
  <c r="AI63" i="3"/>
  <c r="T62" i="36"/>
  <c r="AI65" i="3"/>
  <c r="T67" i="36"/>
  <c r="T49" i="36"/>
  <c r="AI52" i="3"/>
  <c r="T47" i="36"/>
  <c r="AI50" i="3"/>
  <c r="T46" i="36"/>
  <c r="T45" i="36"/>
  <c r="T44" i="36"/>
  <c r="T41" i="36"/>
  <c r="AI44" i="3"/>
  <c r="T86" i="36"/>
  <c r="T38" i="36"/>
  <c r="AI41" i="3"/>
  <c r="T37" i="36"/>
  <c r="T36" i="36"/>
  <c r="AI39" i="3"/>
  <c r="T81" i="36"/>
  <c r="AI98" i="3"/>
  <c r="T34" i="36"/>
  <c r="T85" i="36"/>
  <c r="AI102" i="3"/>
  <c r="T32" i="36"/>
  <c r="AI35" i="3"/>
  <c r="T84" i="36"/>
  <c r="T83" i="36"/>
  <c r="AI100" i="3"/>
  <c r="T82" i="36"/>
  <c r="AI99" i="3"/>
  <c r="T26" i="36"/>
  <c r="AI29" i="3"/>
  <c r="T27" i="36"/>
  <c r="T24" i="36"/>
  <c r="AI27" i="3"/>
  <c r="T22" i="36"/>
  <c r="AI25" i="3"/>
  <c r="T20" i="36"/>
  <c r="AI23" i="3"/>
  <c r="T19" i="36"/>
  <c r="T16" i="36"/>
  <c r="AI19" i="3"/>
  <c r="T18" i="36"/>
  <c r="AI21" i="3"/>
  <c r="T15" i="36"/>
  <c r="T14" i="36"/>
  <c r="AI17" i="3"/>
  <c r="T13" i="36"/>
  <c r="AI16" i="3"/>
  <c r="T12" i="36"/>
  <c r="T11" i="36"/>
  <c r="AI14" i="3"/>
  <c r="T9" i="36"/>
  <c r="AI12" i="3"/>
  <c r="T8" i="36"/>
  <c r="T7" i="36"/>
  <c r="AI10" i="3"/>
  <c r="T5" i="36"/>
  <c r="AI8" i="3"/>
  <c r="T4" i="36"/>
  <c r="T53" i="36"/>
  <c r="AI56" i="3"/>
  <c r="T56" i="36"/>
  <c r="AI59" i="3"/>
  <c r="T55" i="36"/>
  <c r="T54" i="36"/>
  <c r="AI57" i="3"/>
  <c r="T58" i="36"/>
  <c r="AI61" i="3"/>
  <c r="V74" i="36"/>
  <c r="T42" i="36"/>
  <c r="T35" i="36"/>
  <c r="T31" i="36"/>
  <c r="T78" i="36"/>
  <c r="AI95" i="3"/>
  <c r="T28" i="36"/>
  <c r="T3" i="36"/>
  <c r="AI6" i="3"/>
  <c r="T57" i="36"/>
  <c r="R214" i="34"/>
  <c r="R38" i="34"/>
  <c r="R41" i="34"/>
  <c r="G85" i="34"/>
  <c r="L85" i="34" s="1"/>
  <c r="O85" i="34" s="1"/>
  <c r="M85" i="34"/>
  <c r="R36" i="34"/>
  <c r="R211" i="34"/>
  <c r="R42" i="34"/>
  <c r="K177" i="34"/>
  <c r="K194" i="34"/>
  <c r="R213" i="34"/>
  <c r="R215" i="34"/>
  <c r="R40" i="34"/>
  <c r="R88" i="34"/>
  <c r="D145" i="34"/>
  <c r="K195" i="34"/>
  <c r="V64" i="33"/>
  <c r="U64" i="3"/>
  <c r="V65" i="33"/>
  <c r="V66" i="33"/>
  <c r="U66" i="3"/>
  <c r="V67" i="33"/>
  <c r="V68" i="33"/>
  <c r="U68" i="3"/>
  <c r="V63" i="33"/>
  <c r="U63" i="3"/>
  <c r="V62" i="33"/>
  <c r="U62" i="3"/>
  <c r="V56" i="33"/>
  <c r="U56" i="3"/>
  <c r="V81" i="33"/>
  <c r="U97" i="3"/>
  <c r="V59" i="33"/>
  <c r="U59" i="3"/>
  <c r="V60" i="33"/>
  <c r="U60" i="3"/>
  <c r="V61" i="33"/>
  <c r="U61" i="3"/>
  <c r="E158" i="34"/>
  <c r="V57" i="33"/>
  <c r="U57" i="3"/>
  <c r="V58" i="33"/>
  <c r="U58" i="3"/>
  <c r="V49" i="33"/>
  <c r="U49" i="3"/>
  <c r="V50" i="33"/>
  <c r="U50" i="3"/>
  <c r="V51" i="33"/>
  <c r="U51" i="3"/>
  <c r="V52" i="33"/>
  <c r="U52" i="3"/>
  <c r="V44" i="33"/>
  <c r="U44" i="3"/>
  <c r="V45" i="33"/>
  <c r="U45" i="3"/>
  <c r="V43" i="33"/>
  <c r="U43" i="3"/>
  <c r="V28" i="33"/>
  <c r="U28" i="3"/>
  <c r="V25" i="33"/>
  <c r="U25" i="3"/>
  <c r="V85" i="33"/>
  <c r="U101" i="3"/>
  <c r="V18" i="33"/>
  <c r="U18" i="3"/>
  <c r="V22" i="33"/>
  <c r="U22" i="3"/>
  <c r="V26" i="33"/>
  <c r="U26" i="3"/>
  <c r="V30" i="33"/>
  <c r="U30" i="3"/>
  <c r="V33" i="33"/>
  <c r="U33" i="3"/>
  <c r="V34" i="33"/>
  <c r="U34" i="3"/>
  <c r="V84" i="33"/>
  <c r="U100" i="3"/>
  <c r="V86" i="33"/>
  <c r="V38" i="33"/>
  <c r="U38" i="3"/>
  <c r="V39" i="33"/>
  <c r="V40" i="33"/>
  <c r="U40" i="3"/>
  <c r="V41" i="33"/>
  <c r="V87" i="33"/>
  <c r="U103" i="3"/>
  <c r="V20" i="33"/>
  <c r="U20" i="3"/>
  <c r="V24" i="33"/>
  <c r="U24" i="3"/>
  <c r="V36" i="33"/>
  <c r="U36" i="3"/>
  <c r="E139" i="34"/>
  <c r="V17" i="33"/>
  <c r="U17" i="3"/>
  <c r="V21" i="33"/>
  <c r="U21" i="3"/>
  <c r="V29" i="33"/>
  <c r="U29" i="3"/>
  <c r="V83" i="33"/>
  <c r="U99" i="3"/>
  <c r="E138" i="34"/>
  <c r="E140" i="34"/>
  <c r="V19" i="33"/>
  <c r="U19" i="3"/>
  <c r="V23" i="33"/>
  <c r="U23" i="3"/>
  <c r="V27" i="33"/>
  <c r="U27" i="3"/>
  <c r="V79" i="33"/>
  <c r="U95" i="3"/>
  <c r="V31" i="33"/>
  <c r="U31" i="3"/>
  <c r="V37" i="33"/>
  <c r="U37" i="3"/>
  <c r="V82" i="33"/>
  <c r="U98" i="3"/>
  <c r="V6" i="33"/>
  <c r="V10" i="33"/>
  <c r="U10" i="3"/>
  <c r="V14" i="33"/>
  <c r="U14" i="3"/>
  <c r="V7" i="33"/>
  <c r="U7" i="3"/>
  <c r="V11" i="33"/>
  <c r="U11" i="3"/>
  <c r="V15" i="33"/>
  <c r="U15" i="3"/>
  <c r="V8" i="33"/>
  <c r="U8" i="3"/>
  <c r="V12" i="33"/>
  <c r="U12" i="3"/>
  <c r="V16" i="33"/>
  <c r="U16" i="3"/>
  <c r="V9" i="33"/>
  <c r="U9" i="3"/>
  <c r="V13" i="33"/>
  <c r="U13" i="3"/>
  <c r="T29" i="36"/>
  <c r="AI32" i="3"/>
  <c r="V32" i="33"/>
  <c r="U32" i="3"/>
  <c r="D97" i="34"/>
  <c r="R7" i="34"/>
  <c r="D99" i="34"/>
  <c r="R9" i="34"/>
  <c r="D101" i="34"/>
  <c r="R11" i="34"/>
  <c r="R13" i="34"/>
  <c r="D103" i="34"/>
  <c r="D105" i="34"/>
  <c r="R15" i="34"/>
  <c r="R17" i="34"/>
  <c r="D107" i="34"/>
  <c r="D109" i="34"/>
  <c r="R18" i="34"/>
  <c r="D98" i="34"/>
  <c r="R8" i="34"/>
  <c r="D100" i="34"/>
  <c r="R10" i="34"/>
  <c r="D102" i="34"/>
  <c r="R12" i="34"/>
  <c r="D104" i="34"/>
  <c r="R14" i="34"/>
  <c r="D106" i="34"/>
  <c r="R16" i="34"/>
  <c r="D108" i="34"/>
  <c r="R209" i="34"/>
  <c r="D110" i="34"/>
  <c r="R19" i="34"/>
  <c r="D144" i="34"/>
  <c r="R46" i="34"/>
  <c r="D148" i="34"/>
  <c r="R49" i="34"/>
  <c r="D152" i="34"/>
  <c r="R52" i="34"/>
  <c r="D156" i="34"/>
  <c r="R56" i="34"/>
  <c r="D160" i="34"/>
  <c r="R59" i="34"/>
  <c r="D164" i="34"/>
  <c r="R63" i="34"/>
  <c r="G86" i="34"/>
  <c r="L86" i="34" s="1"/>
  <c r="D111" i="34"/>
  <c r="D115" i="34"/>
  <c r="D119" i="34"/>
  <c r="D123" i="34"/>
  <c r="D127" i="34"/>
  <c r="E97" i="34"/>
  <c r="R21" i="34"/>
  <c r="R22" i="34"/>
  <c r="R23" i="34"/>
  <c r="R25" i="34"/>
  <c r="R26" i="34"/>
  <c r="R27" i="34"/>
  <c r="R29" i="34"/>
  <c r="R30" i="34"/>
  <c r="R31" i="34"/>
  <c r="R32" i="34"/>
  <c r="R33" i="34"/>
  <c r="R34" i="34"/>
  <c r="E128" i="34"/>
  <c r="E130" i="34"/>
  <c r="E132" i="34"/>
  <c r="E133" i="34"/>
  <c r="E134" i="34"/>
  <c r="E135" i="34"/>
  <c r="E136" i="34"/>
  <c r="D149" i="34"/>
  <c r="R218" i="34"/>
  <c r="D153" i="34"/>
  <c r="R53" i="34"/>
  <c r="D157" i="34"/>
  <c r="R57" i="34"/>
  <c r="D161" i="34"/>
  <c r="R60" i="34"/>
  <c r="D165" i="34"/>
  <c r="R64" i="34"/>
  <c r="E167" i="34"/>
  <c r="G82" i="34"/>
  <c r="L82" i="34" s="1"/>
  <c r="N86" i="34"/>
  <c r="R87" i="34"/>
  <c r="D203" i="34"/>
  <c r="R89" i="34"/>
  <c r="J173" i="34"/>
  <c r="R44" i="34"/>
  <c r="D142" i="34"/>
  <c r="R48" i="34"/>
  <c r="D146" i="34"/>
  <c r="R50" i="34"/>
  <c r="D150" i="34"/>
  <c r="R54" i="34"/>
  <c r="D154" i="34"/>
  <c r="D158" i="34"/>
  <c r="R210" i="34"/>
  <c r="D162" i="34"/>
  <c r="R61" i="34"/>
  <c r="E204" i="34"/>
  <c r="M88" i="34"/>
  <c r="N88" i="34"/>
  <c r="D141" i="34"/>
  <c r="D151" i="34"/>
  <c r="R51" i="34"/>
  <c r="D155" i="34"/>
  <c r="R55" i="34"/>
  <c r="D159" i="34"/>
  <c r="R58" i="34"/>
  <c r="D163" i="34"/>
  <c r="R62" i="34"/>
  <c r="E166" i="34"/>
  <c r="E168" i="34"/>
  <c r="E170" i="34"/>
  <c r="N84" i="34"/>
  <c r="G83" i="34"/>
  <c r="L83" i="34" s="1"/>
  <c r="E157" i="34"/>
  <c r="E160" i="34"/>
  <c r="E162" i="34"/>
  <c r="E163" i="34"/>
  <c r="E165" i="34"/>
  <c r="K193" i="34"/>
  <c r="K201" i="34"/>
  <c r="E205" i="34"/>
  <c r="G89" i="34"/>
  <c r="K179" i="34"/>
  <c r="K197" i="34"/>
  <c r="N87" i="34"/>
  <c r="AI76" i="3" l="1"/>
  <c r="U76" i="3"/>
  <c r="P84" i="34"/>
  <c r="Q84" i="34" s="1"/>
  <c r="S84" i="34" s="1"/>
  <c r="P81" i="34"/>
  <c r="Q81" i="34" s="1"/>
  <c r="S81" i="34" s="1"/>
  <c r="P80" i="34"/>
  <c r="Q80" i="34" s="1"/>
  <c r="S80" i="34" s="1"/>
  <c r="P85" i="34"/>
  <c r="Q85" i="34" s="1"/>
  <c r="S85" i="34" s="1"/>
  <c r="P87" i="34"/>
  <c r="Q87" i="34" s="1"/>
  <c r="S87" i="34" s="1"/>
  <c r="F203" i="34" s="1"/>
  <c r="G203" i="34" s="1"/>
  <c r="H203" i="34" s="1"/>
  <c r="I203" i="34" s="1"/>
  <c r="K203" i="34" s="1"/>
  <c r="U56" i="34"/>
  <c r="W55" i="3" s="1"/>
  <c r="U54" i="34"/>
  <c r="W53" i="3" s="1"/>
  <c r="E154" i="34"/>
  <c r="U55" i="34"/>
  <c r="W54" i="3" s="1"/>
  <c r="U48" i="34"/>
  <c r="W47" i="3" s="1"/>
  <c r="E146" i="34"/>
  <c r="U49" i="34"/>
  <c r="W48" i="3" s="1"/>
  <c r="E148" i="34"/>
  <c r="U47" i="34"/>
  <c r="W46" i="3" s="1"/>
  <c r="E145" i="34"/>
  <c r="U218" i="34"/>
  <c r="W105" i="3" s="1"/>
  <c r="E149" i="34"/>
  <c r="U217" i="34"/>
  <c r="W104" i="3" s="1"/>
  <c r="E147" i="34"/>
  <c r="U43" i="34"/>
  <c r="W42" i="3" s="1"/>
  <c r="M209" i="34"/>
  <c r="N209" i="34"/>
  <c r="G209" i="34"/>
  <c r="E108" i="34"/>
  <c r="L7" i="34"/>
  <c r="L51" i="34"/>
  <c r="O51" i="34" s="1"/>
  <c r="V69" i="34"/>
  <c r="V67" i="34"/>
  <c r="V66" i="34"/>
  <c r="E169" i="34"/>
  <c r="E164" i="34"/>
  <c r="U210" i="34"/>
  <c r="W97" i="3" s="1"/>
  <c r="E161" i="34"/>
  <c r="U60" i="34"/>
  <c r="W59" i="3" s="1"/>
  <c r="E159" i="34"/>
  <c r="E153" i="34"/>
  <c r="E151" i="34"/>
  <c r="V51" i="34"/>
  <c r="V50" i="34"/>
  <c r="E150" i="34"/>
  <c r="V52" i="34"/>
  <c r="E152" i="34"/>
  <c r="U53" i="34"/>
  <c r="W52" i="3" s="1"/>
  <c r="V44" i="34"/>
  <c r="E142" i="34"/>
  <c r="V46" i="34"/>
  <c r="E144" i="34"/>
  <c r="V45" i="34"/>
  <c r="E143" i="34"/>
  <c r="E124" i="34"/>
  <c r="V34" i="34"/>
  <c r="E126" i="34"/>
  <c r="V41" i="34"/>
  <c r="V23" i="34"/>
  <c r="E114" i="34"/>
  <c r="E127" i="34"/>
  <c r="V211" i="34"/>
  <c r="U36" i="34"/>
  <c r="W35" i="3" s="1"/>
  <c r="V208" i="34"/>
  <c r="E123" i="34"/>
  <c r="V28" i="34"/>
  <c r="U28" i="34"/>
  <c r="W27" i="3" s="1"/>
  <c r="E119" i="34"/>
  <c r="E115" i="34"/>
  <c r="V24" i="34"/>
  <c r="U20" i="34"/>
  <c r="W19" i="3" s="1"/>
  <c r="E111" i="34"/>
  <c r="V20" i="34"/>
  <c r="E122" i="34"/>
  <c r="V31" i="34"/>
  <c r="E110" i="34"/>
  <c r="V19" i="34"/>
  <c r="U19" i="34"/>
  <c r="W18" i="3" s="1"/>
  <c r="E117" i="34"/>
  <c r="V26" i="34"/>
  <c r="V18" i="34"/>
  <c r="E109" i="34"/>
  <c r="U18" i="34"/>
  <c r="W17" i="3" s="1"/>
  <c r="V22" i="34"/>
  <c r="L22" i="34"/>
  <c r="O22" i="34" s="1"/>
  <c r="E113" i="34"/>
  <c r="L35" i="34"/>
  <c r="O35" i="34" s="1"/>
  <c r="L214" i="34"/>
  <c r="O214" i="34" s="1"/>
  <c r="E137" i="34"/>
  <c r="E131" i="34"/>
  <c r="E129" i="34"/>
  <c r="V29" i="34"/>
  <c r="U29" i="34"/>
  <c r="W28" i="3" s="1"/>
  <c r="E120" i="34"/>
  <c r="E116" i="34"/>
  <c r="V25" i="34"/>
  <c r="L21" i="34"/>
  <c r="O21" i="34" s="1"/>
  <c r="E112" i="34"/>
  <c r="V21" i="34"/>
  <c r="V27" i="34"/>
  <c r="U27" i="34"/>
  <c r="W26" i="3" s="1"/>
  <c r="E118" i="34"/>
  <c r="E121" i="34"/>
  <c r="U30" i="34"/>
  <c r="W29" i="3" s="1"/>
  <c r="V30" i="34"/>
  <c r="E98" i="34"/>
  <c r="E105" i="34"/>
  <c r="V15" i="34"/>
  <c r="E101" i="34"/>
  <c r="E102" i="34"/>
  <c r="V12" i="34"/>
  <c r="V14" i="34"/>
  <c r="E104" i="34"/>
  <c r="E100" i="34"/>
  <c r="V10" i="34"/>
  <c r="E107" i="34"/>
  <c r="V17" i="34"/>
  <c r="V13" i="34"/>
  <c r="E103" i="34"/>
  <c r="E99" i="34"/>
  <c r="V9" i="34"/>
  <c r="E106" i="34"/>
  <c r="V16" i="34"/>
  <c r="L33" i="34"/>
  <c r="O33" i="34" s="1"/>
  <c r="E125" i="34"/>
  <c r="V33" i="34"/>
  <c r="L56" i="34"/>
  <c r="O56" i="34" s="1"/>
  <c r="L41" i="34"/>
  <c r="O41" i="34" s="1"/>
  <c r="L39" i="34"/>
  <c r="O39" i="34" s="1"/>
  <c r="L57" i="34"/>
  <c r="O57" i="34" s="1"/>
  <c r="L63" i="34"/>
  <c r="O63" i="34" s="1"/>
  <c r="L216" i="34"/>
  <c r="O216" i="34" s="1"/>
  <c r="L215" i="34"/>
  <c r="L42" i="34"/>
  <c r="O42" i="34" s="1"/>
  <c r="L38" i="34"/>
  <c r="O38" i="34" s="1"/>
  <c r="L37" i="34"/>
  <c r="O37" i="34" s="1"/>
  <c r="O83" i="34"/>
  <c r="P83" i="34" s="1"/>
  <c r="Q83" i="34" s="1"/>
  <c r="S83" i="34" s="1"/>
  <c r="O82" i="34"/>
  <c r="P82" i="34" s="1"/>
  <c r="Q82" i="34" s="1"/>
  <c r="S82" i="34" s="1"/>
  <c r="L61" i="34"/>
  <c r="L89" i="34"/>
  <c r="L59" i="34"/>
  <c r="L52" i="34"/>
  <c r="L46" i="34"/>
  <c r="L50" i="34"/>
  <c r="L44" i="34"/>
  <c r="V11" i="34"/>
  <c r="V7" i="34"/>
  <c r="P88" i="34"/>
  <c r="Q88" i="34" s="1"/>
  <c r="S88" i="34" s="1"/>
  <c r="F204" i="34" s="1"/>
  <c r="G204" i="34" s="1"/>
  <c r="H204" i="34" s="1"/>
  <c r="I204" i="34" s="1"/>
  <c r="K204" i="34" s="1"/>
  <c r="L62" i="34"/>
  <c r="L45" i="34"/>
  <c r="V212" i="34"/>
  <c r="O86" i="34"/>
  <c r="P86" i="34" s="1"/>
  <c r="Q86" i="34" s="1"/>
  <c r="S86" i="34" s="1"/>
  <c r="O7" i="34" l="1"/>
  <c r="V43" i="34"/>
  <c r="V48" i="34"/>
  <c r="L54" i="34"/>
  <c r="O54" i="34" s="1"/>
  <c r="P54" i="34" s="1"/>
  <c r="Q54" i="34" s="1"/>
  <c r="S54" i="34" s="1"/>
  <c r="F154" i="34" s="1"/>
  <c r="G154" i="34" s="1"/>
  <c r="H154" i="34" s="1"/>
  <c r="I154" i="34" s="1"/>
  <c r="K154" i="34" s="1"/>
  <c r="L217" i="34"/>
  <c r="O217" i="34" s="1"/>
  <c r="P217" i="34" s="1"/>
  <c r="Q217" i="34" s="1"/>
  <c r="S217" i="34" s="1"/>
  <c r="F147" i="34" s="1"/>
  <c r="G147" i="34" s="1"/>
  <c r="H147" i="34" s="1"/>
  <c r="I147" i="34" s="1"/>
  <c r="K147" i="34" s="1"/>
  <c r="L48" i="34"/>
  <c r="O48" i="34" s="1"/>
  <c r="P48" i="34" s="1"/>
  <c r="Q48" i="34" s="1"/>
  <c r="S48" i="34" s="1"/>
  <c r="F146" i="34" s="1"/>
  <c r="G146" i="34" s="1"/>
  <c r="H146" i="34" s="1"/>
  <c r="I146" i="34" s="1"/>
  <c r="K146" i="34" s="1"/>
  <c r="L55" i="34"/>
  <c r="O55" i="34" s="1"/>
  <c r="P55" i="34" s="1"/>
  <c r="Q55" i="34" s="1"/>
  <c r="S55" i="34" s="1"/>
  <c r="F155" i="34" s="1"/>
  <c r="G155" i="34" s="1"/>
  <c r="H155" i="34" s="1"/>
  <c r="I155" i="34" s="1"/>
  <c r="K155" i="34" s="1"/>
  <c r="L70" i="34"/>
  <c r="O70" i="34" s="1"/>
  <c r="P70" i="34" s="1"/>
  <c r="Q70" i="34" s="1"/>
  <c r="S70" i="34" s="1"/>
  <c r="F171" i="34" s="1"/>
  <c r="G171" i="34" s="1"/>
  <c r="H171" i="34" s="1"/>
  <c r="I171" i="34" s="1"/>
  <c r="K171" i="34" s="1"/>
  <c r="W69" i="3"/>
  <c r="L47" i="34"/>
  <c r="O47" i="34" s="1"/>
  <c r="P47" i="34" s="1"/>
  <c r="Q47" i="34" s="1"/>
  <c r="S47" i="34" s="1"/>
  <c r="F145" i="34" s="1"/>
  <c r="G145" i="34" s="1"/>
  <c r="H145" i="34" s="1"/>
  <c r="I145" i="34" s="1"/>
  <c r="K145" i="34" s="1"/>
  <c r="P56" i="34"/>
  <c r="Q56" i="34" s="1"/>
  <c r="S56" i="34" s="1"/>
  <c r="F156" i="34" s="1"/>
  <c r="G156" i="34" s="1"/>
  <c r="H156" i="34" s="1"/>
  <c r="I156" i="34" s="1"/>
  <c r="K156" i="34" s="1"/>
  <c r="V217" i="34"/>
  <c r="V218" i="34"/>
  <c r="V47" i="34"/>
  <c r="V49" i="34"/>
  <c r="V55" i="34"/>
  <c r="U71" i="34"/>
  <c r="W70" i="3" s="1"/>
  <c r="L71" i="34"/>
  <c r="O71" i="34" s="1"/>
  <c r="P71" i="34" s="1"/>
  <c r="Q71" i="34" s="1"/>
  <c r="S71" i="34" s="1"/>
  <c r="F172" i="34" s="1"/>
  <c r="G172" i="34" s="1"/>
  <c r="H172" i="34" s="1"/>
  <c r="I172" i="34" s="1"/>
  <c r="K172" i="34" s="1"/>
  <c r="V70" i="34"/>
  <c r="V71" i="34"/>
  <c r="V209" i="34"/>
  <c r="V56" i="34"/>
  <c r="V54" i="34"/>
  <c r="L49" i="34"/>
  <c r="O49" i="34" s="1"/>
  <c r="P49" i="34" s="1"/>
  <c r="Q49" i="34" s="1"/>
  <c r="S49" i="34" s="1"/>
  <c r="F148" i="34" s="1"/>
  <c r="G148" i="34" s="1"/>
  <c r="H148" i="34" s="1"/>
  <c r="I148" i="34" s="1"/>
  <c r="K148" i="34" s="1"/>
  <c r="L218" i="34"/>
  <c r="O218" i="34" s="1"/>
  <c r="P218" i="34" s="1"/>
  <c r="Q218" i="34" s="1"/>
  <c r="S218" i="34" s="1"/>
  <c r="F149" i="34" s="1"/>
  <c r="G149" i="34" s="1"/>
  <c r="H149" i="34" s="1"/>
  <c r="I149" i="34" s="1"/>
  <c r="K149" i="34" s="1"/>
  <c r="L43" i="34"/>
  <c r="O43" i="34" s="1"/>
  <c r="P43" i="34" s="1"/>
  <c r="Q43" i="34" s="1"/>
  <c r="S43" i="34" s="1"/>
  <c r="F141" i="34" s="1"/>
  <c r="G141" i="34" s="1"/>
  <c r="H141" i="34" s="1"/>
  <c r="I141" i="34" s="1"/>
  <c r="K141" i="34" s="1"/>
  <c r="U209" i="34"/>
  <c r="W96" i="3" s="1"/>
  <c r="L209" i="34"/>
  <c r="O209" i="34" s="1"/>
  <c r="P209" i="34" s="1"/>
  <c r="Q209" i="34" s="1"/>
  <c r="S209" i="34" s="1"/>
  <c r="F108" i="34" s="1"/>
  <c r="G108" i="34" s="1"/>
  <c r="H108" i="34" s="1"/>
  <c r="I108" i="34" s="1"/>
  <c r="K108" i="34" s="1"/>
  <c r="P38" i="34"/>
  <c r="Q38" i="34" s="1"/>
  <c r="S38" i="34" s="1"/>
  <c r="F134" i="34" s="1"/>
  <c r="G134" i="34" s="1"/>
  <c r="H134" i="34" s="1"/>
  <c r="I134" i="34" s="1"/>
  <c r="K134" i="34" s="1"/>
  <c r="P35" i="34"/>
  <c r="Q35" i="34" s="1"/>
  <c r="S35" i="34" s="1"/>
  <c r="F128" i="34" s="1"/>
  <c r="G128" i="34" s="1"/>
  <c r="H128" i="34" s="1"/>
  <c r="I128" i="34" s="1"/>
  <c r="K128" i="34" s="1"/>
  <c r="L36" i="34"/>
  <c r="O36" i="34" s="1"/>
  <c r="P36" i="34" s="1"/>
  <c r="Q36" i="34" s="1"/>
  <c r="S36" i="34" s="1"/>
  <c r="F131" i="34" s="1"/>
  <c r="G131" i="34" s="1"/>
  <c r="H131" i="34" s="1"/>
  <c r="I131" i="34" s="1"/>
  <c r="K131" i="34" s="1"/>
  <c r="V39" i="34"/>
  <c r="V8" i="34"/>
  <c r="V42" i="34"/>
  <c r="V32" i="34"/>
  <c r="P214" i="34"/>
  <c r="Q214" i="34" s="1"/>
  <c r="S214" i="34" s="1"/>
  <c r="F130" i="34" s="1"/>
  <c r="G130" i="34" s="1"/>
  <c r="H130" i="34" s="1"/>
  <c r="I130" i="34" s="1"/>
  <c r="K130" i="34" s="1"/>
  <c r="P22" i="34"/>
  <c r="Q22" i="34" s="1"/>
  <c r="S22" i="34" s="1"/>
  <c r="F113" i="34" s="1"/>
  <c r="G113" i="34" s="1"/>
  <c r="H113" i="34" s="1"/>
  <c r="I113" i="34" s="1"/>
  <c r="K113" i="34" s="1"/>
  <c r="V35" i="34"/>
  <c r="L19" i="34"/>
  <c r="O19" i="34" s="1"/>
  <c r="P19" i="34" s="1"/>
  <c r="Q19" i="34" s="1"/>
  <c r="S19" i="34" s="1"/>
  <c r="F110" i="34" s="1"/>
  <c r="G110" i="34" s="1"/>
  <c r="H110" i="34" s="1"/>
  <c r="I110" i="34" s="1"/>
  <c r="K110" i="34" s="1"/>
  <c r="P37" i="34"/>
  <c r="Q37" i="34" s="1"/>
  <c r="S37" i="34" s="1"/>
  <c r="F132" i="34" s="1"/>
  <c r="G132" i="34" s="1"/>
  <c r="H132" i="34" s="1"/>
  <c r="I132" i="34" s="1"/>
  <c r="K132" i="34" s="1"/>
  <c r="P63" i="34"/>
  <c r="Q63" i="34" s="1"/>
  <c r="S63" i="34" s="1"/>
  <c r="F164" i="34" s="1"/>
  <c r="G164" i="34" s="1"/>
  <c r="H164" i="34" s="1"/>
  <c r="I164" i="34" s="1"/>
  <c r="K164" i="34" s="1"/>
  <c r="P41" i="34"/>
  <c r="Q41" i="34" s="1"/>
  <c r="S41" i="34" s="1"/>
  <c r="F138" i="34" s="1"/>
  <c r="G138" i="34" s="1"/>
  <c r="H138" i="34" s="1"/>
  <c r="I138" i="34" s="1"/>
  <c r="K138" i="34" s="1"/>
  <c r="V38" i="34"/>
  <c r="P21" i="34"/>
  <c r="Q21" i="34" s="1"/>
  <c r="S21" i="34" s="1"/>
  <c r="F112" i="34" s="1"/>
  <c r="G112" i="34" s="1"/>
  <c r="H112" i="34" s="1"/>
  <c r="I112" i="34" s="1"/>
  <c r="K112" i="34" s="1"/>
  <c r="L29" i="34"/>
  <c r="O29" i="34" s="1"/>
  <c r="P29" i="34" s="1"/>
  <c r="Q29" i="34" s="1"/>
  <c r="S29" i="34" s="1"/>
  <c r="F120" i="34" s="1"/>
  <c r="G120" i="34" s="1"/>
  <c r="H120" i="34" s="1"/>
  <c r="I120" i="34" s="1"/>
  <c r="K120" i="34" s="1"/>
  <c r="P51" i="34"/>
  <c r="Q51" i="34" s="1"/>
  <c r="S51" i="34" s="1"/>
  <c r="F151" i="34" s="1"/>
  <c r="G151" i="34" s="1"/>
  <c r="H151" i="34" s="1"/>
  <c r="I151" i="34" s="1"/>
  <c r="K151" i="34" s="1"/>
  <c r="L210" i="34"/>
  <c r="O210" i="34" s="1"/>
  <c r="P210" i="34" s="1"/>
  <c r="Q210" i="34" s="1"/>
  <c r="S210" i="34" s="1"/>
  <c r="F158" i="34" s="1"/>
  <c r="G158" i="34" s="1"/>
  <c r="H158" i="34" s="1"/>
  <c r="I158" i="34" s="1"/>
  <c r="K158" i="34" s="1"/>
  <c r="P42" i="34"/>
  <c r="Q42" i="34" s="1"/>
  <c r="S42" i="34" s="1"/>
  <c r="F139" i="34" s="1"/>
  <c r="G139" i="34" s="1"/>
  <c r="H139" i="34" s="1"/>
  <c r="I139" i="34" s="1"/>
  <c r="K139" i="34" s="1"/>
  <c r="P216" i="34"/>
  <c r="Q216" i="34" s="1"/>
  <c r="S216" i="34" s="1"/>
  <c r="F140" i="34" s="1"/>
  <c r="G140" i="34" s="1"/>
  <c r="H140" i="34" s="1"/>
  <c r="I140" i="34" s="1"/>
  <c r="K140" i="34" s="1"/>
  <c r="P33" i="34"/>
  <c r="Q33" i="34" s="1"/>
  <c r="S33" i="34" s="1"/>
  <c r="F125" i="34" s="1"/>
  <c r="G125" i="34" s="1"/>
  <c r="H125" i="34" s="1"/>
  <c r="I125" i="34" s="1"/>
  <c r="K125" i="34" s="1"/>
  <c r="V60" i="34"/>
  <c r="V64" i="34"/>
  <c r="V65" i="34"/>
  <c r="V68" i="34"/>
  <c r="V63" i="34"/>
  <c r="P57" i="34"/>
  <c r="Q57" i="34" s="1"/>
  <c r="S57" i="34" s="1"/>
  <c r="F157" i="34" s="1"/>
  <c r="G157" i="34" s="1"/>
  <c r="H157" i="34" s="1"/>
  <c r="I157" i="34" s="1"/>
  <c r="K157" i="34" s="1"/>
  <c r="V59" i="34"/>
  <c r="V58" i="34"/>
  <c r="V62" i="34"/>
  <c r="U58" i="34"/>
  <c r="W57" i="3" s="1"/>
  <c r="L58" i="34"/>
  <c r="O58" i="34" s="1"/>
  <c r="P58" i="34" s="1"/>
  <c r="Q58" i="34" s="1"/>
  <c r="S58" i="34" s="1"/>
  <c r="F159" i="34" s="1"/>
  <c r="G159" i="34" s="1"/>
  <c r="H159" i="34" s="1"/>
  <c r="I159" i="34" s="1"/>
  <c r="K159" i="34" s="1"/>
  <c r="L60" i="34"/>
  <c r="O60" i="34" s="1"/>
  <c r="P60" i="34" s="1"/>
  <c r="Q60" i="34" s="1"/>
  <c r="S60" i="34" s="1"/>
  <c r="F161" i="34" s="1"/>
  <c r="G161" i="34" s="1"/>
  <c r="H161" i="34" s="1"/>
  <c r="I161" i="34" s="1"/>
  <c r="K161" i="34" s="1"/>
  <c r="V61" i="34"/>
  <c r="V57" i="34"/>
  <c r="V210" i="34"/>
  <c r="L53" i="34"/>
  <c r="O53" i="34" s="1"/>
  <c r="P53" i="34" s="1"/>
  <c r="V53" i="34"/>
  <c r="U26" i="34"/>
  <c r="W25" i="3" s="1"/>
  <c r="L26" i="34"/>
  <c r="O26" i="34" s="1"/>
  <c r="P26" i="34" s="1"/>
  <c r="Q26" i="34" s="1"/>
  <c r="S26" i="34" s="1"/>
  <c r="F117" i="34" s="1"/>
  <c r="G117" i="34" s="1"/>
  <c r="H117" i="34" s="1"/>
  <c r="I117" i="34" s="1"/>
  <c r="K117" i="34" s="1"/>
  <c r="U31" i="34"/>
  <c r="W30" i="3" s="1"/>
  <c r="L31" i="34"/>
  <c r="O31" i="34" s="1"/>
  <c r="P31" i="34" s="1"/>
  <c r="Q31" i="34" s="1"/>
  <c r="S31" i="34" s="1"/>
  <c r="F122" i="34" s="1"/>
  <c r="G122" i="34" s="1"/>
  <c r="H122" i="34" s="1"/>
  <c r="I122" i="34" s="1"/>
  <c r="K122" i="34" s="1"/>
  <c r="U213" i="34"/>
  <c r="W100" i="3" s="1"/>
  <c r="L213" i="34"/>
  <c r="O213" i="34" s="1"/>
  <c r="P213" i="34" s="1"/>
  <c r="Q213" i="34" s="1"/>
  <c r="S213" i="34" s="1"/>
  <c r="F129" i="34" s="1"/>
  <c r="G129" i="34" s="1"/>
  <c r="H129" i="34" s="1"/>
  <c r="I129" i="34" s="1"/>
  <c r="K129" i="34" s="1"/>
  <c r="U24" i="34"/>
  <c r="W23" i="3" s="1"/>
  <c r="L24" i="34"/>
  <c r="O24" i="34" s="1"/>
  <c r="P24" i="34" s="1"/>
  <c r="Q24" i="34" s="1"/>
  <c r="S24" i="34" s="1"/>
  <c r="F115" i="34" s="1"/>
  <c r="G115" i="34" s="1"/>
  <c r="H115" i="34" s="1"/>
  <c r="I115" i="34" s="1"/>
  <c r="K115" i="34" s="1"/>
  <c r="L28" i="34"/>
  <c r="O28" i="34" s="1"/>
  <c r="P28" i="34" s="1"/>
  <c r="Q28" i="34" s="1"/>
  <c r="S28" i="34" s="1"/>
  <c r="F119" i="34" s="1"/>
  <c r="G119" i="34" s="1"/>
  <c r="H119" i="34" s="1"/>
  <c r="I119" i="34" s="1"/>
  <c r="K119" i="34" s="1"/>
  <c r="L27" i="34"/>
  <c r="O27" i="34" s="1"/>
  <c r="P27" i="34" s="1"/>
  <c r="Q27" i="34" s="1"/>
  <c r="S27" i="34" s="1"/>
  <c r="F118" i="34" s="1"/>
  <c r="G118" i="34" s="1"/>
  <c r="H118" i="34" s="1"/>
  <c r="I118" i="34" s="1"/>
  <c r="K118" i="34" s="1"/>
  <c r="V40" i="34"/>
  <c r="E173" i="34"/>
  <c r="U21" i="34"/>
  <c r="W20" i="3" s="1"/>
  <c r="V215" i="34"/>
  <c r="L20" i="34"/>
  <c r="O20" i="34" s="1"/>
  <c r="P20" i="34" s="1"/>
  <c r="Q20" i="34" s="1"/>
  <c r="S20" i="34" s="1"/>
  <c r="F111" i="34" s="1"/>
  <c r="G111" i="34" s="1"/>
  <c r="H111" i="34" s="1"/>
  <c r="I111" i="34" s="1"/>
  <c r="K111" i="34" s="1"/>
  <c r="U211" i="34"/>
  <c r="W98" i="3" s="1"/>
  <c r="L211" i="34"/>
  <c r="O211" i="34" s="1"/>
  <c r="P211" i="34" s="1"/>
  <c r="Q211" i="34" s="1"/>
  <c r="S211" i="34" s="1"/>
  <c r="F135" i="34" s="1"/>
  <c r="G135" i="34" s="1"/>
  <c r="H135" i="34" s="1"/>
  <c r="I135" i="34" s="1"/>
  <c r="K135" i="34" s="1"/>
  <c r="U212" i="34"/>
  <c r="W99" i="3" s="1"/>
  <c r="L212" i="34"/>
  <c r="O212" i="34" s="1"/>
  <c r="P212" i="34" s="1"/>
  <c r="Q212" i="34" s="1"/>
  <c r="S212" i="34" s="1"/>
  <c r="F127" i="34" s="1"/>
  <c r="G127" i="34" s="1"/>
  <c r="H127" i="34" s="1"/>
  <c r="I127" i="34" s="1"/>
  <c r="K127" i="34" s="1"/>
  <c r="U23" i="34"/>
  <c r="W22" i="3" s="1"/>
  <c r="L23" i="34"/>
  <c r="O23" i="34" s="1"/>
  <c r="P23" i="34" s="1"/>
  <c r="Q23" i="34" s="1"/>
  <c r="S23" i="34" s="1"/>
  <c r="F114" i="34" s="1"/>
  <c r="G114" i="34" s="1"/>
  <c r="H114" i="34" s="1"/>
  <c r="I114" i="34" s="1"/>
  <c r="K114" i="34" s="1"/>
  <c r="U34" i="34"/>
  <c r="W33" i="3" s="1"/>
  <c r="L34" i="34"/>
  <c r="O34" i="34" s="1"/>
  <c r="P34" i="34" s="1"/>
  <c r="Q34" i="34" s="1"/>
  <c r="S34" i="34" s="1"/>
  <c r="F126" i="34" s="1"/>
  <c r="G126" i="34" s="1"/>
  <c r="H126" i="34" s="1"/>
  <c r="I126" i="34" s="1"/>
  <c r="K126" i="34" s="1"/>
  <c r="V213" i="34"/>
  <c r="U22" i="34"/>
  <c r="W21" i="3" s="1"/>
  <c r="P39" i="34"/>
  <c r="Q39" i="34" s="1"/>
  <c r="S39" i="34" s="1"/>
  <c r="F136" i="34" s="1"/>
  <c r="G136" i="34" s="1"/>
  <c r="H136" i="34" s="1"/>
  <c r="I136" i="34" s="1"/>
  <c r="K136" i="34" s="1"/>
  <c r="V214" i="34"/>
  <c r="V216" i="34"/>
  <c r="U25" i="34"/>
  <c r="W24" i="3" s="1"/>
  <c r="L25" i="34"/>
  <c r="O25" i="34" s="1"/>
  <c r="P25" i="34" s="1"/>
  <c r="Q25" i="34" s="1"/>
  <c r="S25" i="34" s="1"/>
  <c r="F116" i="34" s="1"/>
  <c r="G116" i="34" s="1"/>
  <c r="H116" i="34" s="1"/>
  <c r="I116" i="34" s="1"/>
  <c r="K116" i="34" s="1"/>
  <c r="U208" i="34"/>
  <c r="W95" i="3" s="1"/>
  <c r="L208" i="34"/>
  <c r="O208" i="34" s="1"/>
  <c r="P208" i="34" s="1"/>
  <c r="Q208" i="34" s="1"/>
  <c r="S208" i="34" s="1"/>
  <c r="F123" i="34" s="1"/>
  <c r="G123" i="34" s="1"/>
  <c r="H123" i="34" s="1"/>
  <c r="I123" i="34" s="1"/>
  <c r="K123" i="34" s="1"/>
  <c r="L30" i="34"/>
  <c r="O30" i="34" s="1"/>
  <c r="P30" i="34" s="1"/>
  <c r="Q30" i="34" s="1"/>
  <c r="S30" i="34" s="1"/>
  <c r="F121" i="34" s="1"/>
  <c r="G121" i="34" s="1"/>
  <c r="H121" i="34" s="1"/>
  <c r="I121" i="34" s="1"/>
  <c r="K121" i="34" s="1"/>
  <c r="L18" i="34"/>
  <c r="O18" i="34" s="1"/>
  <c r="P18" i="34" s="1"/>
  <c r="Q18" i="34" s="1"/>
  <c r="S18" i="34" s="1"/>
  <c r="F109" i="34" s="1"/>
  <c r="G109" i="34" s="1"/>
  <c r="H109" i="34" s="1"/>
  <c r="I109" i="34" s="1"/>
  <c r="K109" i="34" s="1"/>
  <c r="U40" i="34"/>
  <c r="W39" i="3" s="1"/>
  <c r="L40" i="34"/>
  <c r="O40" i="34" s="1"/>
  <c r="P40" i="34" s="1"/>
  <c r="Q40" i="34" s="1"/>
  <c r="S40" i="34" s="1"/>
  <c r="F137" i="34" s="1"/>
  <c r="G137" i="34" s="1"/>
  <c r="H137" i="34" s="1"/>
  <c r="I137" i="34" s="1"/>
  <c r="K137" i="34" s="1"/>
  <c r="V37" i="34"/>
  <c r="V36" i="34"/>
  <c r="U32" i="34"/>
  <c r="W31" i="3" s="1"/>
  <c r="L32" i="34"/>
  <c r="O32" i="34" s="1"/>
  <c r="P32" i="34" s="1"/>
  <c r="Q32" i="34" s="1"/>
  <c r="S32" i="34" s="1"/>
  <c r="F124" i="34" s="1"/>
  <c r="G124" i="34" s="1"/>
  <c r="H124" i="34" s="1"/>
  <c r="I124" i="34" s="1"/>
  <c r="K124" i="34" s="1"/>
  <c r="U11" i="34"/>
  <c r="W10" i="3" s="1"/>
  <c r="L11" i="34"/>
  <c r="O11" i="34" s="1"/>
  <c r="P11" i="34" s="1"/>
  <c r="Q11" i="34" s="1"/>
  <c r="S11" i="34" s="1"/>
  <c r="F101" i="34" s="1"/>
  <c r="G101" i="34" s="1"/>
  <c r="H101" i="34" s="1"/>
  <c r="I101" i="34" s="1"/>
  <c r="K101" i="34" s="1"/>
  <c r="U16" i="34"/>
  <c r="W15" i="3" s="1"/>
  <c r="L16" i="34"/>
  <c r="O16" i="34" s="1"/>
  <c r="P16" i="34" s="1"/>
  <c r="Q16" i="34" s="1"/>
  <c r="S16" i="34" s="1"/>
  <c r="F106" i="34" s="1"/>
  <c r="G106" i="34" s="1"/>
  <c r="H106" i="34" s="1"/>
  <c r="I106" i="34" s="1"/>
  <c r="K106" i="34" s="1"/>
  <c r="U10" i="34"/>
  <c r="W9" i="3" s="1"/>
  <c r="L10" i="34"/>
  <c r="O10" i="34" s="1"/>
  <c r="P10" i="34" s="1"/>
  <c r="Q10" i="34" s="1"/>
  <c r="S10" i="34" s="1"/>
  <c r="F100" i="34" s="1"/>
  <c r="G100" i="34" s="1"/>
  <c r="H100" i="34" s="1"/>
  <c r="I100" i="34" s="1"/>
  <c r="K100" i="34" s="1"/>
  <c r="U14" i="34"/>
  <c r="W13" i="3" s="1"/>
  <c r="L14" i="34"/>
  <c r="O14" i="34" s="1"/>
  <c r="P14" i="34" s="1"/>
  <c r="Q14" i="34" s="1"/>
  <c r="S14" i="34" s="1"/>
  <c r="F104" i="34" s="1"/>
  <c r="G104" i="34" s="1"/>
  <c r="H104" i="34" s="1"/>
  <c r="I104" i="34" s="1"/>
  <c r="K104" i="34" s="1"/>
  <c r="U12" i="34"/>
  <c r="W11" i="3" s="1"/>
  <c r="L12" i="34"/>
  <c r="O12" i="34" s="1"/>
  <c r="P12" i="34" s="1"/>
  <c r="Q12" i="34" s="1"/>
  <c r="S12" i="34" s="1"/>
  <c r="F102" i="34" s="1"/>
  <c r="G102" i="34" s="1"/>
  <c r="H102" i="34" s="1"/>
  <c r="I102" i="34" s="1"/>
  <c r="K102" i="34" s="1"/>
  <c r="U15" i="34"/>
  <c r="W14" i="3" s="1"/>
  <c r="L15" i="34"/>
  <c r="O15" i="34" s="1"/>
  <c r="P15" i="34" s="1"/>
  <c r="Q15" i="34" s="1"/>
  <c r="S15" i="34" s="1"/>
  <c r="F105" i="34" s="1"/>
  <c r="G105" i="34" s="1"/>
  <c r="H105" i="34" s="1"/>
  <c r="I105" i="34" s="1"/>
  <c r="K105" i="34" s="1"/>
  <c r="U8" i="34"/>
  <c r="W7" i="3" s="1"/>
  <c r="L8" i="34"/>
  <c r="O8" i="34" s="1"/>
  <c r="P8" i="34" s="1"/>
  <c r="Q8" i="34" s="1"/>
  <c r="S8" i="34" s="1"/>
  <c r="F98" i="34" s="1"/>
  <c r="G98" i="34" s="1"/>
  <c r="H98" i="34" s="1"/>
  <c r="I98" i="34" s="1"/>
  <c r="K98" i="34" s="1"/>
  <c r="U9" i="34"/>
  <c r="W8" i="3" s="1"/>
  <c r="L9" i="34"/>
  <c r="O9" i="34" s="1"/>
  <c r="P9" i="34" s="1"/>
  <c r="Q9" i="34" s="1"/>
  <c r="S9" i="34" s="1"/>
  <c r="F99" i="34" s="1"/>
  <c r="G99" i="34" s="1"/>
  <c r="H99" i="34" s="1"/>
  <c r="I99" i="34" s="1"/>
  <c r="K99" i="34" s="1"/>
  <c r="U13" i="34"/>
  <c r="W12" i="3" s="1"/>
  <c r="L13" i="34"/>
  <c r="O13" i="34" s="1"/>
  <c r="P13" i="34" s="1"/>
  <c r="Q13" i="34" s="1"/>
  <c r="S13" i="34" s="1"/>
  <c r="F103" i="34" s="1"/>
  <c r="G103" i="34" s="1"/>
  <c r="H103" i="34" s="1"/>
  <c r="I103" i="34" s="1"/>
  <c r="K103" i="34" s="1"/>
  <c r="U17" i="34"/>
  <c r="W16" i="3" s="1"/>
  <c r="L17" i="34"/>
  <c r="O17" i="34" s="1"/>
  <c r="P17" i="34" s="1"/>
  <c r="Q17" i="34" s="1"/>
  <c r="S17" i="34" s="1"/>
  <c r="F107" i="34" s="1"/>
  <c r="G107" i="34" s="1"/>
  <c r="H107" i="34" s="1"/>
  <c r="I107" i="34" s="1"/>
  <c r="K107" i="34" s="1"/>
  <c r="U33" i="34"/>
  <c r="W32" i="3" s="1"/>
  <c r="O215" i="34"/>
  <c r="P215" i="34" s="1"/>
  <c r="Q215" i="34" s="1"/>
  <c r="S215" i="34" s="1"/>
  <c r="F133" i="34" s="1"/>
  <c r="G133" i="34" s="1"/>
  <c r="H133" i="34" s="1"/>
  <c r="I133" i="34" s="1"/>
  <c r="K133" i="34" s="1"/>
  <c r="O45" i="34"/>
  <c r="P45" i="34" s="1"/>
  <c r="Q45" i="34" s="1"/>
  <c r="S45" i="34" s="1"/>
  <c r="F143" i="34" s="1"/>
  <c r="G143" i="34" s="1"/>
  <c r="H143" i="34" s="1"/>
  <c r="I143" i="34" s="1"/>
  <c r="K143" i="34" s="1"/>
  <c r="O59" i="34"/>
  <c r="P59" i="34" s="1"/>
  <c r="Q59" i="34" s="1"/>
  <c r="S59" i="34" s="1"/>
  <c r="F160" i="34" s="1"/>
  <c r="G160" i="34" s="1"/>
  <c r="H160" i="34" s="1"/>
  <c r="I160" i="34" s="1"/>
  <c r="K160" i="34" s="1"/>
  <c r="O61" i="34"/>
  <c r="P61" i="34" s="1"/>
  <c r="Q61" i="34" s="1"/>
  <c r="S61" i="34" s="1"/>
  <c r="F162" i="34" s="1"/>
  <c r="G162" i="34" s="1"/>
  <c r="H162" i="34" s="1"/>
  <c r="I162" i="34" s="1"/>
  <c r="K162" i="34" s="1"/>
  <c r="O44" i="34"/>
  <c r="P44" i="34" s="1"/>
  <c r="Q44" i="34" s="1"/>
  <c r="O46" i="34"/>
  <c r="P46" i="34" s="1"/>
  <c r="Q46" i="34" s="1"/>
  <c r="S46" i="34" s="1"/>
  <c r="F144" i="34" s="1"/>
  <c r="G144" i="34" s="1"/>
  <c r="H144" i="34" s="1"/>
  <c r="I144" i="34" s="1"/>
  <c r="K144" i="34" s="1"/>
  <c r="O89" i="34"/>
  <c r="P89" i="34" s="1"/>
  <c r="Q89" i="34" s="1"/>
  <c r="S89" i="34" s="1"/>
  <c r="F205" i="34" s="1"/>
  <c r="G205" i="34" s="1"/>
  <c r="H205" i="34" s="1"/>
  <c r="I205" i="34" s="1"/>
  <c r="K205" i="34" s="1"/>
  <c r="O62" i="34"/>
  <c r="P62" i="34" s="1"/>
  <c r="Q62" i="34" s="1"/>
  <c r="S62" i="34" s="1"/>
  <c r="F163" i="34" s="1"/>
  <c r="G163" i="34" s="1"/>
  <c r="H163" i="34" s="1"/>
  <c r="I163" i="34" s="1"/>
  <c r="K163" i="34" s="1"/>
  <c r="O50" i="34"/>
  <c r="P50" i="34" s="1"/>
  <c r="Q50" i="34" s="1"/>
  <c r="S50" i="34" s="1"/>
  <c r="F150" i="34" s="1"/>
  <c r="G150" i="34" s="1"/>
  <c r="H150" i="34" s="1"/>
  <c r="I150" i="34" s="1"/>
  <c r="K150" i="34" s="1"/>
  <c r="O52" i="34"/>
  <c r="P52" i="34" s="1"/>
  <c r="Q52" i="34" s="1"/>
  <c r="S52" i="34" s="1"/>
  <c r="F152" i="34" s="1"/>
  <c r="G152" i="34" s="1"/>
  <c r="H152" i="34" s="1"/>
  <c r="I152" i="34" s="1"/>
  <c r="K152" i="34" s="1"/>
  <c r="P7" i="34" l="1"/>
  <c r="Q53" i="34"/>
  <c r="S53" i="34" s="1"/>
  <c r="F153" i="34" s="1"/>
  <c r="G153" i="34" s="1"/>
  <c r="H153" i="34" s="1"/>
  <c r="I153" i="34" s="1"/>
  <c r="K153" i="34" s="1"/>
  <c r="S44" i="34"/>
  <c r="F142" i="34" s="1"/>
  <c r="G142" i="34" s="1"/>
  <c r="H142" i="34" s="1"/>
  <c r="I142" i="34" s="1"/>
  <c r="K142" i="34" s="1"/>
  <c r="Q7" i="34" l="1"/>
  <c r="S7" i="34" l="1"/>
  <c r="F97" i="34" l="1"/>
  <c r="G97" i="34" s="1"/>
  <c r="H97" i="34" s="1"/>
  <c r="I97" i="34" s="1"/>
  <c r="K97" i="34" l="1"/>
  <c r="J36" i="3" l="1"/>
  <c r="Q36" i="3"/>
  <c r="Z36" i="3"/>
  <c r="AA36" i="3" s="1"/>
  <c r="AE36" i="3"/>
  <c r="J102" i="3"/>
  <c r="Q102" i="3"/>
  <c r="Z102" i="3"/>
  <c r="AA102" i="3" s="1"/>
  <c r="AB102" i="3" s="1"/>
  <c r="AE102" i="3"/>
  <c r="J37" i="3"/>
  <c r="Q37" i="3"/>
  <c r="Z37" i="3"/>
  <c r="AA37" i="3" s="1"/>
  <c r="AB37" i="3" s="1"/>
  <c r="AE37" i="3"/>
  <c r="J98" i="3"/>
  <c r="Q98" i="3"/>
  <c r="Z98" i="3"/>
  <c r="AA98" i="3" s="1"/>
  <c r="AB98" i="3" s="1"/>
  <c r="AE98" i="3"/>
  <c r="J38" i="3"/>
  <c r="Q38" i="3"/>
  <c r="Z38" i="3"/>
  <c r="AA38" i="3" s="1"/>
  <c r="AE38" i="3"/>
  <c r="J39" i="3"/>
  <c r="Q39" i="3"/>
  <c r="Z39" i="3"/>
  <c r="AA39" i="3" s="1"/>
  <c r="AB39" i="3" s="1"/>
  <c r="AE39" i="3"/>
  <c r="J40" i="3"/>
  <c r="Q40" i="3"/>
  <c r="Z40" i="3"/>
  <c r="AA40" i="3" s="1"/>
  <c r="AB40" i="3" s="1"/>
  <c r="AE40" i="3"/>
  <c r="J41" i="3"/>
  <c r="Q41" i="3"/>
  <c r="Z41" i="3"/>
  <c r="AA41" i="3" s="1"/>
  <c r="AB41" i="3" s="1"/>
  <c r="AE41" i="3"/>
  <c r="J103" i="3"/>
  <c r="Q103" i="3"/>
  <c r="Z103" i="3"/>
  <c r="AA103" i="3" s="1"/>
  <c r="AE103" i="3"/>
  <c r="J42" i="3"/>
  <c r="Q42" i="3"/>
  <c r="Z42" i="3"/>
  <c r="AA42" i="3" s="1"/>
  <c r="AB42" i="3" s="1"/>
  <c r="AE42" i="3"/>
  <c r="J43" i="3"/>
  <c r="Q43" i="3"/>
  <c r="Z43" i="3"/>
  <c r="AA43" i="3" s="1"/>
  <c r="AB43" i="3" s="1"/>
  <c r="AE43" i="3"/>
  <c r="J44" i="3"/>
  <c r="Q44" i="3"/>
  <c r="Z44" i="3"/>
  <c r="AA44" i="3" s="1"/>
  <c r="AB44" i="3" s="1"/>
  <c r="AE44" i="3"/>
  <c r="J45" i="3"/>
  <c r="Q45" i="3"/>
  <c r="Z45" i="3"/>
  <c r="AA45" i="3" s="1"/>
  <c r="AE45" i="3"/>
  <c r="J46" i="3"/>
  <c r="Q46" i="3"/>
  <c r="Z46" i="3"/>
  <c r="AA46" i="3" s="1"/>
  <c r="AB46" i="3" s="1"/>
  <c r="AE46" i="3"/>
  <c r="J47" i="3"/>
  <c r="Q47" i="3"/>
  <c r="Z47" i="3"/>
  <c r="AA47" i="3" s="1"/>
  <c r="AB47" i="3" s="1"/>
  <c r="AE47" i="3"/>
  <c r="J104" i="3"/>
  <c r="Q104" i="3"/>
  <c r="Z104" i="3"/>
  <c r="AA104" i="3" s="1"/>
  <c r="AB104" i="3" s="1"/>
  <c r="AE104" i="3"/>
  <c r="J48" i="3"/>
  <c r="Q48" i="3"/>
  <c r="Z48" i="3"/>
  <c r="AA48" i="3" s="1"/>
  <c r="AE48" i="3"/>
  <c r="J105" i="3"/>
  <c r="Q105" i="3"/>
  <c r="Z105" i="3"/>
  <c r="AA105" i="3" s="1"/>
  <c r="AB105" i="3" s="1"/>
  <c r="AE105" i="3"/>
  <c r="J49" i="3"/>
  <c r="Q49" i="3"/>
  <c r="Z49" i="3"/>
  <c r="AA49" i="3" s="1"/>
  <c r="AE49" i="3"/>
  <c r="J50" i="3"/>
  <c r="Q50" i="3"/>
  <c r="Z50" i="3"/>
  <c r="AA50" i="3" s="1"/>
  <c r="AB50" i="3" s="1"/>
  <c r="AE50" i="3"/>
  <c r="J51" i="3"/>
  <c r="Q51" i="3"/>
  <c r="Z51" i="3"/>
  <c r="AA51" i="3" s="1"/>
  <c r="AE51" i="3"/>
  <c r="J52" i="3"/>
  <c r="Q52" i="3"/>
  <c r="Z52" i="3"/>
  <c r="AA52" i="3" s="1"/>
  <c r="AE52" i="3"/>
  <c r="J53" i="3"/>
  <c r="Q53" i="3"/>
  <c r="Z53" i="3"/>
  <c r="AA53" i="3" s="1"/>
  <c r="AB53" i="3" s="1"/>
  <c r="AE53" i="3"/>
  <c r="J54" i="3"/>
  <c r="Q54" i="3"/>
  <c r="Z54" i="3"/>
  <c r="AA54" i="3" s="1"/>
  <c r="AB54" i="3" s="1"/>
  <c r="AE54" i="3"/>
  <c r="J55" i="3"/>
  <c r="Q55" i="3"/>
  <c r="Z55" i="3"/>
  <c r="AA55" i="3" s="1"/>
  <c r="AE55" i="3"/>
  <c r="J56" i="3"/>
  <c r="Q56" i="3"/>
  <c r="Z56" i="3"/>
  <c r="AA56" i="3" s="1"/>
  <c r="AB56" i="3" s="1"/>
  <c r="AE56" i="3"/>
  <c r="J97" i="3"/>
  <c r="Q97" i="3"/>
  <c r="Z97" i="3"/>
  <c r="AA97" i="3" s="1"/>
  <c r="AE97" i="3"/>
  <c r="J57" i="3"/>
  <c r="Q57" i="3"/>
  <c r="Z57" i="3"/>
  <c r="AA57" i="3" s="1"/>
  <c r="AB57" i="3" s="1"/>
  <c r="AE57" i="3"/>
  <c r="J58" i="3"/>
  <c r="Q58" i="3"/>
  <c r="Z58" i="3"/>
  <c r="AA58" i="3" s="1"/>
  <c r="AE58" i="3"/>
  <c r="J59" i="3"/>
  <c r="Q59" i="3"/>
  <c r="Z59" i="3"/>
  <c r="AA59" i="3" s="1"/>
  <c r="AE59" i="3"/>
  <c r="J60" i="3"/>
  <c r="Q60" i="3"/>
  <c r="Z60" i="3"/>
  <c r="AA60" i="3" s="1"/>
  <c r="AE60" i="3"/>
  <c r="J61" i="3"/>
  <c r="Q61" i="3"/>
  <c r="Z61" i="3"/>
  <c r="AA61" i="3" s="1"/>
  <c r="AB61" i="3" s="1"/>
  <c r="AE61" i="3"/>
  <c r="J62" i="3"/>
  <c r="Q62" i="3"/>
  <c r="Z62" i="3"/>
  <c r="AA62" i="3" s="1"/>
  <c r="AE62" i="3"/>
  <c r="J63" i="3"/>
  <c r="Q63" i="3"/>
  <c r="Z63" i="3"/>
  <c r="AE63" i="3"/>
  <c r="J64" i="3"/>
  <c r="Q64" i="3"/>
  <c r="Z64" i="3"/>
  <c r="AE64" i="3"/>
  <c r="J65" i="3"/>
  <c r="Q65" i="3"/>
  <c r="Z65" i="3"/>
  <c r="AE65" i="3"/>
  <c r="J66" i="3"/>
  <c r="Q66" i="3"/>
  <c r="Z66" i="3"/>
  <c r="AE66" i="3"/>
  <c r="J67" i="3"/>
  <c r="Q67" i="3"/>
  <c r="Z67" i="3"/>
  <c r="AE67" i="3"/>
  <c r="J68" i="3"/>
  <c r="Q68" i="3"/>
  <c r="Z68" i="3"/>
  <c r="AE68" i="3"/>
  <c r="J69" i="3"/>
  <c r="Q69" i="3"/>
  <c r="Z69" i="3"/>
  <c r="AA69" i="3" s="1"/>
  <c r="AB69" i="3" s="1"/>
  <c r="AE69" i="3"/>
  <c r="J70" i="3"/>
  <c r="Q70" i="3"/>
  <c r="Z70" i="3"/>
  <c r="AA70" i="3" s="1"/>
  <c r="AE70" i="3"/>
  <c r="AD54" i="3" l="1"/>
  <c r="AF54" i="3" s="1"/>
  <c r="AG54" i="3" s="1"/>
  <c r="AJ54" i="3" s="1"/>
  <c r="AD43" i="3"/>
  <c r="AF43" i="3" s="1"/>
  <c r="AG43" i="3" s="1"/>
  <c r="AJ43" i="3" s="1"/>
  <c r="AD37" i="3"/>
  <c r="AF37" i="3" s="1"/>
  <c r="AG37" i="3" s="1"/>
  <c r="AJ37" i="3" s="1"/>
  <c r="AD47" i="3"/>
  <c r="AF47" i="3" s="1"/>
  <c r="AG47" i="3" s="1"/>
  <c r="AJ47" i="3" s="1"/>
  <c r="AD61" i="3"/>
  <c r="AF61" i="3" s="1"/>
  <c r="AG61" i="3" s="1"/>
  <c r="AJ61" i="3" s="1"/>
  <c r="AB60" i="3"/>
  <c r="AD60" i="3" s="1"/>
  <c r="AF60" i="3" s="1"/>
  <c r="AG60" i="3" s="1"/>
  <c r="AB97" i="3"/>
  <c r="AD97" i="3" s="1"/>
  <c r="AF97" i="3" s="1"/>
  <c r="AG97" i="3" s="1"/>
  <c r="AJ97" i="3" s="1"/>
  <c r="AD53" i="3"/>
  <c r="AF53" i="3" s="1"/>
  <c r="AG53" i="3" s="1"/>
  <c r="AJ53" i="3" s="1"/>
  <c r="AB51" i="3"/>
  <c r="AD51" i="3" s="1"/>
  <c r="AF51" i="3" s="1"/>
  <c r="AG51" i="3" s="1"/>
  <c r="AH51" i="3" s="1"/>
  <c r="AL51" i="3" s="1"/>
  <c r="AB49" i="3"/>
  <c r="AD49" i="3" s="1"/>
  <c r="AF49" i="3" s="1"/>
  <c r="AG49" i="3" s="1"/>
  <c r="AJ49" i="3" s="1"/>
  <c r="AB58" i="3"/>
  <c r="AD58" i="3" s="1"/>
  <c r="AF58" i="3" s="1"/>
  <c r="AG58" i="3" s="1"/>
  <c r="AD69" i="3"/>
  <c r="AF69" i="3" s="1"/>
  <c r="AG69" i="3" s="1"/>
  <c r="AJ69" i="3" s="1"/>
  <c r="AD41" i="3"/>
  <c r="AF41" i="3" s="1"/>
  <c r="AG41" i="3" s="1"/>
  <c r="AH41" i="3" s="1"/>
  <c r="AL41" i="3" s="1"/>
  <c r="AD40" i="3"/>
  <c r="AF40" i="3" s="1"/>
  <c r="AG40" i="3" s="1"/>
  <c r="AJ40" i="3" s="1"/>
  <c r="AD104" i="3"/>
  <c r="AF104" i="3" s="1"/>
  <c r="AG104" i="3" s="1"/>
  <c r="AB62" i="3"/>
  <c r="AD62" i="3" s="1"/>
  <c r="AF62" i="3" s="1"/>
  <c r="AG62" i="3" s="1"/>
  <c r="AH62" i="3" s="1"/>
  <c r="AL62" i="3" s="1"/>
  <c r="AB55" i="3"/>
  <c r="AD55" i="3" s="1"/>
  <c r="AF55" i="3" s="1"/>
  <c r="AG55" i="3" s="1"/>
  <c r="AH55" i="3" s="1"/>
  <c r="AL55" i="3" s="1"/>
  <c r="AB70" i="3"/>
  <c r="AD70" i="3" s="1"/>
  <c r="AF70" i="3" s="1"/>
  <c r="AG70" i="3" s="1"/>
  <c r="AH70" i="3" s="1"/>
  <c r="AL70" i="3" s="1"/>
  <c r="AB48" i="3"/>
  <c r="AD48" i="3" s="1"/>
  <c r="AF48" i="3" s="1"/>
  <c r="AG48" i="3" s="1"/>
  <c r="AB103" i="3"/>
  <c r="AD103" i="3" s="1"/>
  <c r="AF103" i="3" s="1"/>
  <c r="AG103" i="3" s="1"/>
  <c r="AB36" i="3"/>
  <c r="AD36" i="3" s="1"/>
  <c r="AF36" i="3" s="1"/>
  <c r="AG36" i="3" s="1"/>
  <c r="AD105" i="3"/>
  <c r="AF105" i="3" s="1"/>
  <c r="AG105" i="3" s="1"/>
  <c r="AJ105" i="3" s="1"/>
  <c r="AD42" i="3"/>
  <c r="AF42" i="3" s="1"/>
  <c r="AG42" i="3" s="1"/>
  <c r="AH42" i="3" s="1"/>
  <c r="AL42" i="3" s="1"/>
  <c r="AD102" i="3"/>
  <c r="AF102" i="3" s="1"/>
  <c r="AG102" i="3" s="1"/>
  <c r="AJ102" i="3" s="1"/>
  <c r="AD57" i="3"/>
  <c r="AF57" i="3" s="1"/>
  <c r="AG57" i="3" s="1"/>
  <c r="AH57" i="3" s="1"/>
  <c r="AL57" i="3" s="1"/>
  <c r="AD56" i="3"/>
  <c r="AF56" i="3" s="1"/>
  <c r="AG56" i="3" s="1"/>
  <c r="AD50" i="3"/>
  <c r="AF50" i="3" s="1"/>
  <c r="AG50" i="3" s="1"/>
  <c r="AB45" i="3"/>
  <c r="AD45" i="3" s="1"/>
  <c r="AF45" i="3" s="1"/>
  <c r="AG45" i="3" s="1"/>
  <c r="AH45" i="3" s="1"/>
  <c r="AL45" i="3" s="1"/>
  <c r="AB38" i="3"/>
  <c r="AD38" i="3" s="1"/>
  <c r="AF38" i="3" s="1"/>
  <c r="AG38" i="3" s="1"/>
  <c r="AH38" i="3" s="1"/>
  <c r="AL38" i="3" s="1"/>
  <c r="AB59" i="3"/>
  <c r="AD59" i="3" s="1"/>
  <c r="AF59" i="3" s="1"/>
  <c r="AG59" i="3" s="1"/>
  <c r="AH59" i="3" s="1"/>
  <c r="AL59" i="3" s="1"/>
  <c r="AB52" i="3"/>
  <c r="AD52" i="3" s="1"/>
  <c r="AF52" i="3" s="1"/>
  <c r="AG52" i="3" s="1"/>
  <c r="AH52" i="3" s="1"/>
  <c r="AL52" i="3" s="1"/>
  <c r="AD46" i="3"/>
  <c r="AF46" i="3" s="1"/>
  <c r="AG46" i="3" s="1"/>
  <c r="AJ46" i="3" s="1"/>
  <c r="AD44" i="3"/>
  <c r="AF44" i="3" s="1"/>
  <c r="AG44" i="3" s="1"/>
  <c r="AD39" i="3"/>
  <c r="AF39" i="3" s="1"/>
  <c r="AG39" i="3" s="1"/>
  <c r="AH39" i="3" s="1"/>
  <c r="AL39" i="3" s="1"/>
  <c r="AD98" i="3"/>
  <c r="AF98" i="3" s="1"/>
  <c r="AG98" i="3" s="1"/>
  <c r="AJ55" i="3" l="1"/>
  <c r="AH37" i="3"/>
  <c r="AL37" i="3" s="1"/>
  <c r="AH49" i="3"/>
  <c r="AL49" i="3" s="1"/>
  <c r="AH43" i="3"/>
  <c r="AL43" i="3" s="1"/>
  <c r="AH97" i="3"/>
  <c r="AL97" i="3" s="1"/>
  <c r="AJ57" i="3"/>
  <c r="AJ42" i="3"/>
  <c r="AJ39" i="3"/>
  <c r="AH47" i="3"/>
  <c r="AL47" i="3" s="1"/>
  <c r="AH54" i="3"/>
  <c r="AL54" i="3" s="1"/>
  <c r="AJ38" i="3"/>
  <c r="AJ45" i="3"/>
  <c r="AJ52" i="3"/>
  <c r="AJ62" i="3"/>
  <c r="AH102" i="3"/>
  <c r="AL102" i="3" s="1"/>
  <c r="AH46" i="3"/>
  <c r="AL46" i="3" s="1"/>
  <c r="AJ41" i="3"/>
  <c r="AH56" i="3"/>
  <c r="AL56" i="3" s="1"/>
  <c r="AJ56" i="3"/>
  <c r="AH105" i="3"/>
  <c r="AL105" i="3" s="1"/>
  <c r="AJ70" i="3"/>
  <c r="AH36" i="3"/>
  <c r="AL36" i="3" s="1"/>
  <c r="AJ36" i="3"/>
  <c r="AJ58" i="3"/>
  <c r="AH58" i="3"/>
  <c r="AL58" i="3" s="1"/>
  <c r="AH69" i="3"/>
  <c r="AL69" i="3" s="1"/>
  <c r="AH40" i="3"/>
  <c r="AL40" i="3" s="1"/>
  <c r="AJ50" i="3"/>
  <c r="AH50" i="3"/>
  <c r="AL50" i="3" s="1"/>
  <c r="AH103" i="3"/>
  <c r="AL103" i="3" s="1"/>
  <c r="AJ103" i="3"/>
  <c r="AJ60" i="3"/>
  <c r="AH60" i="3"/>
  <c r="AL60" i="3" s="1"/>
  <c r="AJ98" i="3"/>
  <c r="AH98" i="3"/>
  <c r="AL98" i="3" s="1"/>
  <c r="AH44" i="3"/>
  <c r="AL44" i="3" s="1"/>
  <c r="AJ44" i="3"/>
  <c r="AJ59" i="3"/>
  <c r="AH48" i="3"/>
  <c r="AL48" i="3" s="1"/>
  <c r="AJ48" i="3"/>
  <c r="AH104" i="3"/>
  <c r="AL104" i="3" s="1"/>
  <c r="AJ104" i="3"/>
  <c r="AH61" i="3"/>
  <c r="AL61" i="3" s="1"/>
  <c r="AH53" i="3"/>
  <c r="AL53" i="3" s="1"/>
  <c r="AJ51" i="3"/>
  <c r="Q31" i="3"/>
  <c r="Q32" i="3"/>
  <c r="Q33" i="3"/>
  <c r="Q99" i="3"/>
  <c r="Q34" i="3"/>
  <c r="Q100" i="3"/>
  <c r="Q101" i="3"/>
  <c r="Q35" i="3"/>
  <c r="J31" i="3"/>
  <c r="Z31" i="3"/>
  <c r="AA31" i="3" s="1"/>
  <c r="AB31" i="3" s="1"/>
  <c r="AE31" i="3"/>
  <c r="J32" i="3"/>
  <c r="Z32" i="3"/>
  <c r="AA32" i="3" s="1"/>
  <c r="AB32" i="3" s="1"/>
  <c r="AE32" i="3"/>
  <c r="J33" i="3"/>
  <c r="Z33" i="3"/>
  <c r="AA33" i="3" s="1"/>
  <c r="AB33" i="3" s="1"/>
  <c r="AD33" i="3" s="1"/>
  <c r="AE33" i="3"/>
  <c r="J99" i="3"/>
  <c r="Z99" i="3"/>
  <c r="AA99" i="3" s="1"/>
  <c r="AE99" i="3"/>
  <c r="J34" i="3"/>
  <c r="Z34" i="3"/>
  <c r="AA34" i="3" s="1"/>
  <c r="AB34" i="3" s="1"/>
  <c r="AE34" i="3"/>
  <c r="J100" i="3"/>
  <c r="Z100" i="3"/>
  <c r="AA100" i="3" s="1"/>
  <c r="AB100" i="3" s="1"/>
  <c r="AE100" i="3"/>
  <c r="J101" i="3"/>
  <c r="Z101" i="3"/>
  <c r="AA101" i="3" s="1"/>
  <c r="AB101" i="3" s="1"/>
  <c r="AE101" i="3"/>
  <c r="J35" i="3"/>
  <c r="Z35" i="3"/>
  <c r="AA35" i="3" s="1"/>
  <c r="AE35" i="3"/>
  <c r="AF33" i="3" l="1"/>
  <c r="AG33" i="3" s="1"/>
  <c r="AH33" i="3" s="1"/>
  <c r="AL33" i="3" s="1"/>
  <c r="AD101" i="3"/>
  <c r="AF101" i="3" s="1"/>
  <c r="AG101" i="3" s="1"/>
  <c r="AD100" i="3"/>
  <c r="AF100" i="3" s="1"/>
  <c r="AG100" i="3" s="1"/>
  <c r="AH100" i="3" s="1"/>
  <c r="AL100" i="3" s="1"/>
  <c r="AD32" i="3"/>
  <c r="AF32" i="3" s="1"/>
  <c r="AG32" i="3" s="1"/>
  <c r="AH32" i="3" s="1"/>
  <c r="AL32" i="3" s="1"/>
  <c r="AB35" i="3"/>
  <c r="AD35" i="3" s="1"/>
  <c r="AF35" i="3" s="1"/>
  <c r="AG35" i="3" s="1"/>
  <c r="AH35" i="3" s="1"/>
  <c r="AL35" i="3" s="1"/>
  <c r="AB99" i="3"/>
  <c r="AD99" i="3" s="1"/>
  <c r="AF99" i="3" s="1"/>
  <c r="AG99" i="3" s="1"/>
  <c r="AH99" i="3" s="1"/>
  <c r="AL99" i="3" s="1"/>
  <c r="AD34" i="3"/>
  <c r="AF34" i="3" s="1"/>
  <c r="AG34" i="3" s="1"/>
  <c r="AH34" i="3" s="1"/>
  <c r="AL34" i="3" s="1"/>
  <c r="AD31" i="3"/>
  <c r="AF31" i="3" s="1"/>
  <c r="AG31" i="3" s="1"/>
  <c r="AH31" i="3" s="1"/>
  <c r="AL31" i="3" s="1"/>
  <c r="AJ33" i="3" l="1"/>
  <c r="AJ99" i="3"/>
  <c r="AJ31" i="3"/>
  <c r="AJ32" i="3"/>
  <c r="AJ100" i="3"/>
  <c r="AJ101" i="3"/>
  <c r="AH101" i="3"/>
  <c r="AL101" i="3" s="1"/>
  <c r="AJ35" i="3"/>
  <c r="AJ34" i="3"/>
  <c r="AE30" i="3" l="1"/>
  <c r="AE29" i="3"/>
  <c r="Z30" i="3"/>
  <c r="AA30" i="3" s="1"/>
  <c r="AB30" i="3" s="1"/>
  <c r="AD30" i="3" s="1"/>
  <c r="Z29" i="3"/>
  <c r="AA29" i="3" s="1"/>
  <c r="Q30" i="3"/>
  <c r="Q29" i="3"/>
  <c r="J30" i="3"/>
  <c r="J29" i="3"/>
  <c r="AF30" i="3" l="1"/>
  <c r="AG30" i="3" s="1"/>
  <c r="AB29" i="3"/>
  <c r="AD29" i="3" s="1"/>
  <c r="AF29" i="3" l="1"/>
  <c r="AG29" i="3" s="1"/>
  <c r="AH30" i="3"/>
  <c r="AL30" i="3" s="1"/>
  <c r="AJ30" i="3"/>
  <c r="AJ29" i="3" l="1"/>
  <c r="AH29" i="3"/>
  <c r="AL29" i="3" s="1"/>
  <c r="Z27" i="3"/>
  <c r="AA27" i="3" s="1"/>
  <c r="AB27" i="3" s="1"/>
  <c r="AD27" i="3" s="1"/>
  <c r="Z26" i="3"/>
  <c r="AA26" i="3" s="1"/>
  <c r="AB26" i="3" s="1"/>
  <c r="Z22" i="3"/>
  <c r="AA22" i="3" s="1"/>
  <c r="Z19" i="3"/>
  <c r="AA19" i="3" s="1"/>
  <c r="AB19" i="3" s="1"/>
  <c r="AD19" i="3" s="1"/>
  <c r="Z18" i="3"/>
  <c r="AA18" i="3" s="1"/>
  <c r="AB18" i="3" s="1"/>
  <c r="Z15" i="3"/>
  <c r="AA15" i="3" s="1"/>
  <c r="Z12" i="3"/>
  <c r="AA12" i="3" s="1"/>
  <c r="AB12" i="3" s="1"/>
  <c r="AD12" i="3" s="1"/>
  <c r="Z11" i="3"/>
  <c r="AA11" i="3" s="1"/>
  <c r="AB11" i="3" s="1"/>
  <c r="Z7" i="3"/>
  <c r="AA7" i="3" s="1"/>
  <c r="AB7" i="3" s="1"/>
  <c r="Z10" i="3"/>
  <c r="AA10" i="3" s="1"/>
  <c r="Z13" i="3"/>
  <c r="AA13" i="3" s="1"/>
  <c r="Z14" i="3"/>
  <c r="AA14" i="3" s="1"/>
  <c r="Z96" i="3"/>
  <c r="AA96" i="3" s="1"/>
  <c r="Z17" i="3"/>
  <c r="AA17" i="3" s="1"/>
  <c r="Z20" i="3"/>
  <c r="AA20" i="3" s="1"/>
  <c r="Z21" i="3"/>
  <c r="AA21" i="3" s="1"/>
  <c r="Z24" i="3"/>
  <c r="AA24" i="3" s="1"/>
  <c r="AB24" i="3" s="1"/>
  <c r="Z25" i="3"/>
  <c r="AA25" i="3" s="1"/>
  <c r="Z28" i="3"/>
  <c r="AA28" i="3" s="1"/>
  <c r="Z95" i="3"/>
  <c r="AA95" i="3" s="1"/>
  <c r="Z9" i="3"/>
  <c r="AA9" i="3" s="1"/>
  <c r="AB9" i="3" s="1"/>
  <c r="Z6" i="3"/>
  <c r="AE8" i="3"/>
  <c r="AE9" i="3"/>
  <c r="AE10" i="3"/>
  <c r="AE11" i="3"/>
  <c r="AE12" i="3"/>
  <c r="AE13" i="3"/>
  <c r="AE14" i="3"/>
  <c r="AE15" i="3"/>
  <c r="AE16" i="3"/>
  <c r="AE9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95" i="3"/>
  <c r="AE7" i="3"/>
  <c r="AE6" i="3"/>
  <c r="Z23" i="3"/>
  <c r="AA23" i="3" s="1"/>
  <c r="AB23" i="3" s="1"/>
  <c r="AD23" i="3" s="1"/>
  <c r="Z16" i="3"/>
  <c r="AA16" i="3" s="1"/>
  <c r="AB16" i="3" s="1"/>
  <c r="AD16" i="3" s="1"/>
  <c r="Z8" i="3"/>
  <c r="AA8" i="3" s="1"/>
  <c r="AB8" i="3" s="1"/>
  <c r="AD8" i="3" s="1"/>
  <c r="Q95" i="3"/>
  <c r="Q28" i="3"/>
  <c r="Q27" i="3"/>
  <c r="Q26" i="3"/>
  <c r="Q25" i="3"/>
  <c r="Q24" i="3"/>
  <c r="Q23" i="3"/>
  <c r="Q22" i="3"/>
  <c r="Q21" i="3"/>
  <c r="Q20" i="3"/>
  <c r="Q19" i="3"/>
  <c r="Q18" i="3"/>
  <c r="Q17" i="3"/>
  <c r="Q96" i="3"/>
  <c r="Q16" i="3"/>
  <c r="Q15" i="3"/>
  <c r="Q14" i="3"/>
  <c r="Q13" i="3"/>
  <c r="Q12" i="3"/>
  <c r="Q11" i="3"/>
  <c r="Q10" i="3"/>
  <c r="Q9" i="3"/>
  <c r="Q8" i="3"/>
  <c r="Q7" i="3"/>
  <c r="J28" i="3"/>
  <c r="J27" i="3"/>
  <c r="J26" i="3"/>
  <c r="J25" i="3"/>
  <c r="J24" i="3"/>
  <c r="J23" i="3"/>
  <c r="J22" i="3"/>
  <c r="J21" i="3"/>
  <c r="J20" i="3"/>
  <c r="J19" i="3"/>
  <c r="J18" i="3"/>
  <c r="J17" i="3"/>
  <c r="J96" i="3"/>
  <c r="J16" i="3"/>
  <c r="J15" i="3"/>
  <c r="J14" i="3"/>
  <c r="J13" i="3"/>
  <c r="J12" i="3"/>
  <c r="J11" i="3"/>
  <c r="J10" i="3"/>
  <c r="Z76" i="3" l="1"/>
  <c r="AE76" i="3"/>
  <c r="AB15" i="3"/>
  <c r="AF23" i="3"/>
  <c r="AG23" i="3" s="1"/>
  <c r="AF19" i="3"/>
  <c r="AG19" i="3" s="1"/>
  <c r="AF8" i="3"/>
  <c r="AF16" i="3"/>
  <c r="AG16" i="3" s="1"/>
  <c r="AF27" i="3"/>
  <c r="AG27" i="3" s="1"/>
  <c r="AF12" i="3"/>
  <c r="AG12" i="3" s="1"/>
  <c r="AA6" i="3"/>
  <c r="AB22" i="3"/>
  <c r="AD22" i="3" s="1"/>
  <c r="AB28" i="3"/>
  <c r="AD28" i="3" s="1"/>
  <c r="AB20" i="3"/>
  <c r="AD20" i="3" s="1"/>
  <c r="AB96" i="3"/>
  <c r="AD96" i="3" s="1"/>
  <c r="AB13" i="3"/>
  <c r="AD13" i="3" s="1"/>
  <c r="AB10" i="3"/>
  <c r="AD10" i="3" s="1"/>
  <c r="AB14" i="3"/>
  <c r="AD14" i="3" s="1"/>
  <c r="AB17" i="3"/>
  <c r="AD17" i="3" s="1"/>
  <c r="AB21" i="3"/>
  <c r="AD21" i="3" s="1"/>
  <c r="AB25" i="3"/>
  <c r="AD25" i="3" s="1"/>
  <c r="AB95" i="3"/>
  <c r="AD95" i="3" s="1"/>
  <c r="AF95" i="3" s="1"/>
  <c r="AD7" i="3"/>
  <c r="AF7" i="3" s="1"/>
  <c r="AD9" i="3"/>
  <c r="AF9" i="3" s="1"/>
  <c r="AD24" i="3"/>
  <c r="AD11" i="3"/>
  <c r="AD18" i="3"/>
  <c r="AD26" i="3"/>
  <c r="AD15" i="3" l="1"/>
  <c r="AF15" i="3" s="1"/>
  <c r="AG15" i="3" s="1"/>
  <c r="AF17" i="3"/>
  <c r="AG17" i="3" s="1"/>
  <c r="AF11" i="3"/>
  <c r="AG11" i="3" s="1"/>
  <c r="AF14" i="3"/>
  <c r="AG14" i="3" s="1"/>
  <c r="AF20" i="3"/>
  <c r="AG20" i="3" s="1"/>
  <c r="AF96" i="3"/>
  <c r="AG96" i="3" s="1"/>
  <c r="AF26" i="3"/>
  <c r="AG26" i="3" s="1"/>
  <c r="AF24" i="3"/>
  <c r="AG24" i="3" s="1"/>
  <c r="AF25" i="3"/>
  <c r="AG25" i="3" s="1"/>
  <c r="AF10" i="3"/>
  <c r="AG10" i="3" s="1"/>
  <c r="AF28" i="3"/>
  <c r="AG28" i="3" s="1"/>
  <c r="AF18" i="3"/>
  <c r="AG18" i="3" s="1"/>
  <c r="AF21" i="3"/>
  <c r="AG21" i="3" s="1"/>
  <c r="AF13" i="3"/>
  <c r="AG13" i="3" s="1"/>
  <c r="AF22" i="3"/>
  <c r="AG22" i="3" s="1"/>
  <c r="AH27" i="3"/>
  <c r="AL27" i="3" s="1"/>
  <c r="AJ27" i="3"/>
  <c r="AH12" i="3"/>
  <c r="AL12" i="3" s="1"/>
  <c r="AJ12" i="3"/>
  <c r="AH16" i="3"/>
  <c r="AL16" i="3" s="1"/>
  <c r="AJ16" i="3"/>
  <c r="AH19" i="3"/>
  <c r="AL19" i="3" s="1"/>
  <c r="AJ19" i="3"/>
  <c r="AH23" i="3"/>
  <c r="AL23" i="3" s="1"/>
  <c r="AJ23" i="3"/>
  <c r="AD30" i="32"/>
  <c r="AC30" i="32"/>
  <c r="AD7" i="32"/>
  <c r="AD8" i="32"/>
  <c r="AD9" i="32"/>
  <c r="AD10" i="32"/>
  <c r="AD11" i="32"/>
  <c r="AD12" i="32"/>
  <c r="AD13" i="32"/>
  <c r="AD14" i="32"/>
  <c r="AD15" i="32"/>
  <c r="AD16" i="32"/>
  <c r="AD17" i="32"/>
  <c r="AD18" i="32"/>
  <c r="AD19" i="32"/>
  <c r="AD20" i="32"/>
  <c r="AD21" i="32"/>
  <c r="AD22" i="32"/>
  <c r="AD23" i="32"/>
  <c r="AD24" i="32"/>
  <c r="AD25" i="32"/>
  <c r="AD26" i="32"/>
  <c r="AD27" i="32"/>
  <c r="AD28" i="32"/>
  <c r="AD29" i="32"/>
  <c r="AD6" i="32"/>
  <c r="AH18" i="3" l="1"/>
  <c r="AL18" i="3" s="1"/>
  <c r="AJ18" i="3"/>
  <c r="AH24" i="3"/>
  <c r="AL24" i="3" s="1"/>
  <c r="AJ24" i="3"/>
  <c r="AH14" i="3"/>
  <c r="AL14" i="3" s="1"/>
  <c r="AJ14" i="3"/>
  <c r="AH22" i="3"/>
  <c r="AL22" i="3" s="1"/>
  <c r="AJ22" i="3"/>
  <c r="AH28" i="3"/>
  <c r="AL28" i="3" s="1"/>
  <c r="AJ28" i="3"/>
  <c r="AH26" i="3"/>
  <c r="AL26" i="3" s="1"/>
  <c r="AJ26" i="3"/>
  <c r="AH11" i="3"/>
  <c r="AL11" i="3" s="1"/>
  <c r="AJ11" i="3"/>
  <c r="AH13" i="3"/>
  <c r="AL13" i="3" s="1"/>
  <c r="AJ13" i="3"/>
  <c r="AH10" i="3"/>
  <c r="AL10" i="3" s="1"/>
  <c r="AJ10" i="3"/>
  <c r="AH96" i="3"/>
  <c r="AL96" i="3" s="1"/>
  <c r="AJ96" i="3"/>
  <c r="AH17" i="3"/>
  <c r="AL17" i="3" s="1"/>
  <c r="AJ17" i="3"/>
  <c r="AH21" i="3"/>
  <c r="AL21" i="3" s="1"/>
  <c r="AJ21" i="3"/>
  <c r="AH25" i="3"/>
  <c r="AL25" i="3" s="1"/>
  <c r="AJ25" i="3"/>
  <c r="AH20" i="3"/>
  <c r="AL20" i="3" s="1"/>
  <c r="AJ20" i="3"/>
  <c r="AH15" i="3"/>
  <c r="AL15" i="3" s="1"/>
  <c r="AJ15" i="3"/>
  <c r="Y30" i="32"/>
  <c r="AE30" i="32"/>
  <c r="W30" i="32"/>
  <c r="S30" i="32"/>
  <c r="R30" i="32"/>
  <c r="Q30" i="32"/>
  <c r="P30" i="32"/>
  <c r="O30" i="32"/>
  <c r="N30" i="32"/>
  <c r="M29" i="32"/>
  <c r="L29" i="32"/>
  <c r="K29" i="32"/>
  <c r="J29" i="32"/>
  <c r="M28" i="32"/>
  <c r="AF28" i="32" s="1"/>
  <c r="AG28" i="32" s="1"/>
  <c r="L28" i="32"/>
  <c r="K28" i="32"/>
  <c r="Z28" i="32" s="1"/>
  <c r="AH28" i="32" s="1"/>
  <c r="J28" i="32"/>
  <c r="M27" i="32"/>
  <c r="L27" i="32"/>
  <c r="K27" i="32"/>
  <c r="J27" i="32"/>
  <c r="M26" i="32"/>
  <c r="AF26" i="32" s="1"/>
  <c r="AG26" i="32" s="1"/>
  <c r="L26" i="32"/>
  <c r="K26" i="32"/>
  <c r="Z26" i="32" s="1"/>
  <c r="J26" i="32"/>
  <c r="M25" i="32"/>
  <c r="L25" i="32"/>
  <c r="K25" i="32"/>
  <c r="J25" i="32"/>
  <c r="M24" i="32"/>
  <c r="AF24" i="32" s="1"/>
  <c r="AG24" i="32" s="1"/>
  <c r="L24" i="32"/>
  <c r="K24" i="32"/>
  <c r="Z24" i="32" s="1"/>
  <c r="AH24" i="32" s="1"/>
  <c r="J24" i="32"/>
  <c r="M23" i="32"/>
  <c r="L23" i="32"/>
  <c r="K23" i="32"/>
  <c r="J23" i="32"/>
  <c r="M22" i="32"/>
  <c r="AF22" i="32" s="1"/>
  <c r="AG22" i="32" s="1"/>
  <c r="L22" i="32"/>
  <c r="K22" i="32"/>
  <c r="Z22" i="32" s="1"/>
  <c r="AH22" i="32" s="1"/>
  <c r="J22" i="32"/>
  <c r="M21" i="32"/>
  <c r="L21" i="32"/>
  <c r="K21" i="32"/>
  <c r="J21" i="32"/>
  <c r="M20" i="32"/>
  <c r="AF20" i="32" s="1"/>
  <c r="AG20" i="32" s="1"/>
  <c r="L20" i="32"/>
  <c r="K20" i="32"/>
  <c r="Z20" i="32" s="1"/>
  <c r="AH20" i="32" s="1"/>
  <c r="J20" i="32"/>
  <c r="M19" i="32"/>
  <c r="L19" i="32"/>
  <c r="K19" i="32"/>
  <c r="J19" i="32"/>
  <c r="M18" i="32"/>
  <c r="AF18" i="32" s="1"/>
  <c r="AG18" i="32" s="1"/>
  <c r="L18" i="32"/>
  <c r="K18" i="32"/>
  <c r="Z18" i="32" s="1"/>
  <c r="AH18" i="32" s="1"/>
  <c r="J18" i="32"/>
  <c r="M17" i="32"/>
  <c r="L17" i="32"/>
  <c r="K17" i="32"/>
  <c r="J17" i="32"/>
  <c r="AF16" i="32"/>
  <c r="AG16" i="32" s="1"/>
  <c r="Z16" i="32"/>
  <c r="J16" i="32"/>
  <c r="AA16" i="32" s="1"/>
  <c r="M15" i="32"/>
  <c r="L15" i="32"/>
  <c r="AF15" i="32" s="1"/>
  <c r="AG15" i="32" s="1"/>
  <c r="K15" i="32"/>
  <c r="J15" i="32"/>
  <c r="M14" i="32"/>
  <c r="L14" i="32"/>
  <c r="K14" i="32"/>
  <c r="J14" i="32"/>
  <c r="M13" i="32"/>
  <c r="L13" i="32"/>
  <c r="AF13" i="32" s="1"/>
  <c r="AG13" i="32" s="1"/>
  <c r="K13" i="32"/>
  <c r="J13" i="32"/>
  <c r="M12" i="32"/>
  <c r="L12" i="32"/>
  <c r="AF12" i="32" s="1"/>
  <c r="AG12" i="32" s="1"/>
  <c r="K12" i="32"/>
  <c r="J12" i="32"/>
  <c r="M11" i="32"/>
  <c r="L11" i="32"/>
  <c r="K11" i="32"/>
  <c r="J11" i="32"/>
  <c r="M10" i="32"/>
  <c r="L10" i="32"/>
  <c r="AF10" i="32" s="1"/>
  <c r="AG10" i="32" s="1"/>
  <c r="K10" i="32"/>
  <c r="J10" i="32"/>
  <c r="M9" i="32"/>
  <c r="L9" i="32"/>
  <c r="K9" i="32"/>
  <c r="J9" i="32"/>
  <c r="M8" i="32"/>
  <c r="L8" i="32"/>
  <c r="AF8" i="32" s="1"/>
  <c r="AG8" i="32" s="1"/>
  <c r="K8" i="32"/>
  <c r="J8" i="32"/>
  <c r="M7" i="32"/>
  <c r="L7" i="32"/>
  <c r="K7" i="32"/>
  <c r="J7" i="32"/>
  <c r="M6" i="32"/>
  <c r="L6" i="32"/>
  <c r="L30" i="32" s="1"/>
  <c r="K6" i="32"/>
  <c r="J6" i="32"/>
  <c r="K30" i="32" l="1"/>
  <c r="M30" i="32"/>
  <c r="Z7" i="32"/>
  <c r="AH7" i="32" s="1"/>
  <c r="AF7" i="32"/>
  <c r="AG7" i="32" s="1"/>
  <c r="Z9" i="32"/>
  <c r="AH9" i="32" s="1"/>
  <c r="AF9" i="32"/>
  <c r="AG9" i="32" s="1"/>
  <c r="Z11" i="32"/>
  <c r="AH11" i="32" s="1"/>
  <c r="AF11" i="32"/>
  <c r="AG11" i="32" s="1"/>
  <c r="Z14" i="32"/>
  <c r="AH14" i="32" s="1"/>
  <c r="AF14" i="32"/>
  <c r="AG14" i="32" s="1"/>
  <c r="Z15" i="32"/>
  <c r="AH15" i="32" s="1"/>
  <c r="AB16" i="32"/>
  <c r="Z17" i="32"/>
  <c r="Z19" i="32"/>
  <c r="AA21" i="32"/>
  <c r="Z21" i="32"/>
  <c r="Z23" i="32"/>
  <c r="Z25" i="32"/>
  <c r="AA27" i="32"/>
  <c r="Z27" i="32"/>
  <c r="Z29" i="32"/>
  <c r="AH26" i="32"/>
  <c r="AA29" i="32"/>
  <c r="AB29" i="32" s="1"/>
  <c r="AA25" i="32"/>
  <c r="AA23" i="32"/>
  <c r="AB23" i="32" s="1"/>
  <c r="AA19" i="32"/>
  <c r="AB19" i="32" s="1"/>
  <c r="AA17" i="32"/>
  <c r="AB17" i="32" s="1"/>
  <c r="AA7" i="32"/>
  <c r="AB7" i="32" s="1"/>
  <c r="AA14" i="32"/>
  <c r="AB14" i="32" s="1"/>
  <c r="AB27" i="32"/>
  <c r="AA9" i="32"/>
  <c r="AB9" i="32" s="1"/>
  <c r="AA11" i="32"/>
  <c r="AB11" i="32" s="1"/>
  <c r="AB21" i="32"/>
  <c r="AA15" i="32"/>
  <c r="AB15" i="32" s="1"/>
  <c r="AA18" i="32"/>
  <c r="AB18" i="32" s="1"/>
  <c r="AA20" i="32"/>
  <c r="AB20" i="32" s="1"/>
  <c r="AA22" i="32"/>
  <c r="AB22" i="32" s="1"/>
  <c r="AA24" i="32"/>
  <c r="AB24" i="32" s="1"/>
  <c r="AA26" i="32"/>
  <c r="AB26" i="32" s="1"/>
  <c r="AA28" i="32"/>
  <c r="AB28" i="32" s="1"/>
  <c r="Z10" i="32"/>
  <c r="AH10" i="32" s="1"/>
  <c r="Z12" i="32"/>
  <c r="AH12" i="32" s="1"/>
  <c r="Z13" i="32"/>
  <c r="AH13" i="32" s="1"/>
  <c r="AF17" i="32"/>
  <c r="AG17" i="32" s="1"/>
  <c r="AF19" i="32"/>
  <c r="AG19" i="32" s="1"/>
  <c r="AF21" i="32"/>
  <c r="AG21" i="32" s="1"/>
  <c r="AF23" i="32"/>
  <c r="AG23" i="32" s="1"/>
  <c r="AF25" i="32"/>
  <c r="AG25" i="32" s="1"/>
  <c r="AF27" i="32"/>
  <c r="AG27" i="32" s="1"/>
  <c r="AF29" i="32"/>
  <c r="AG29" i="32" s="1"/>
  <c r="Z6" i="32"/>
  <c r="Z8" i="32"/>
  <c r="AH8" i="32" s="1"/>
  <c r="AF6" i="32"/>
  <c r="AH29" i="32" l="1"/>
  <c r="AH23" i="32"/>
  <c r="AH17" i="32"/>
  <c r="AH27" i="32"/>
  <c r="AB25" i="32"/>
  <c r="AH25" i="32"/>
  <c r="AH21" i="32"/>
  <c r="AH19" i="32"/>
  <c r="AA12" i="32"/>
  <c r="AB12" i="32" s="1"/>
  <c r="AA8" i="32"/>
  <c r="AB8" i="32" s="1"/>
  <c r="AG6" i="32"/>
  <c r="AG30" i="32" s="1"/>
  <c r="AF30" i="32"/>
  <c r="Z30" i="32"/>
  <c r="AA13" i="32"/>
  <c r="AB13" i="32" s="1"/>
  <c r="AA10" i="32"/>
  <c r="AB10" i="32" s="1"/>
  <c r="AA6" i="32"/>
  <c r="AH6" i="32" l="1"/>
  <c r="AH30" i="32" s="1"/>
  <c r="AA30" i="32"/>
  <c r="AB6" i="32"/>
  <c r="AB30" i="32" s="1"/>
  <c r="AB6" i="3" l="1"/>
  <c r="AD6" i="3" l="1"/>
  <c r="AF6" i="3" l="1"/>
  <c r="B46" i="1"/>
  <c r="B45" i="1"/>
  <c r="B44" i="1"/>
  <c r="N43" i="1"/>
  <c r="B43" i="1"/>
  <c r="N42" i="1"/>
  <c r="H42" i="1"/>
  <c r="B42" i="1"/>
  <c r="N41" i="1"/>
  <c r="H41" i="1"/>
  <c r="B41" i="1"/>
  <c r="N40" i="1"/>
  <c r="H40" i="1"/>
  <c r="B40" i="1"/>
  <c r="N39" i="1"/>
  <c r="H39" i="1"/>
  <c r="B39" i="1"/>
  <c r="N38" i="1"/>
  <c r="H38" i="1"/>
  <c r="B38" i="1"/>
  <c r="N37" i="1"/>
  <c r="H37" i="1"/>
  <c r="B37" i="1"/>
  <c r="N36" i="1"/>
  <c r="H36" i="1"/>
  <c r="B36" i="1"/>
  <c r="N35" i="1"/>
  <c r="H35" i="1"/>
  <c r="B35" i="1"/>
  <c r="N34" i="1"/>
  <c r="H34" i="1"/>
  <c r="B34" i="1"/>
  <c r="N33" i="1"/>
  <c r="H33" i="1"/>
  <c r="B33" i="1"/>
  <c r="N32" i="1"/>
  <c r="H32" i="1"/>
  <c r="B32" i="1"/>
  <c r="N31" i="1"/>
  <c r="H31" i="1"/>
  <c r="B31" i="1"/>
  <c r="N30" i="1"/>
  <c r="H30" i="1"/>
  <c r="B30" i="1"/>
  <c r="N29" i="1"/>
  <c r="H29" i="1"/>
  <c r="B29" i="1"/>
  <c r="N28" i="1"/>
  <c r="H28" i="1"/>
  <c r="B28" i="1"/>
  <c r="N27" i="1"/>
  <c r="H27" i="1"/>
  <c r="B27" i="1"/>
  <c r="N26" i="1"/>
  <c r="H26" i="1"/>
  <c r="B26" i="1"/>
  <c r="N25" i="1"/>
  <c r="H25" i="1"/>
  <c r="B25" i="1"/>
  <c r="N24" i="1"/>
  <c r="H24" i="1"/>
  <c r="B24" i="1"/>
  <c r="N23" i="1"/>
  <c r="H23" i="1"/>
  <c r="B23" i="1"/>
  <c r="N22" i="1"/>
  <c r="H22" i="1"/>
  <c r="B22" i="1"/>
  <c r="N21" i="1"/>
  <c r="H21" i="1"/>
  <c r="B21" i="1"/>
  <c r="N20" i="1"/>
  <c r="H20" i="1"/>
  <c r="B20" i="1"/>
  <c r="N19" i="1"/>
  <c r="H19" i="1"/>
  <c r="B19" i="1"/>
  <c r="N18" i="1"/>
  <c r="H18" i="1"/>
  <c r="B18" i="1"/>
  <c r="N17" i="1"/>
  <c r="H17" i="1"/>
  <c r="B17" i="1"/>
  <c r="N16" i="1"/>
  <c r="H16" i="1"/>
  <c r="B16" i="1"/>
  <c r="N15" i="1"/>
  <c r="H15" i="1"/>
  <c r="B15" i="1"/>
  <c r="N14" i="1"/>
  <c r="H14" i="1"/>
  <c r="B14" i="1"/>
  <c r="S13" i="1"/>
  <c r="N13" i="1"/>
  <c r="H13" i="1"/>
  <c r="B13" i="1"/>
  <c r="S12" i="1"/>
  <c r="N12" i="1"/>
  <c r="H12" i="1"/>
  <c r="B12" i="1"/>
  <c r="S11" i="1"/>
  <c r="N11" i="1"/>
  <c r="H11" i="1"/>
  <c r="B11" i="1"/>
  <c r="S10" i="1"/>
  <c r="N10" i="1"/>
  <c r="H10" i="1"/>
  <c r="B10" i="1"/>
  <c r="N9" i="1"/>
  <c r="H9" i="1"/>
  <c r="B9" i="1"/>
  <c r="N8" i="1"/>
  <c r="H8" i="1"/>
  <c r="B8" i="1"/>
  <c r="N7" i="1"/>
  <c r="H7" i="1"/>
  <c r="B7" i="1"/>
  <c r="N6" i="1"/>
  <c r="H6" i="1"/>
  <c r="B6" i="1"/>
  <c r="N5" i="1"/>
  <c r="H5" i="1"/>
  <c r="B5" i="1"/>
  <c r="N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H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G6" i="3" l="1"/>
  <c r="AJ6" i="3" s="1"/>
  <c r="J95" i="3"/>
  <c r="J9" i="3"/>
  <c r="J8" i="3"/>
  <c r="J7" i="3"/>
  <c r="J6" i="3"/>
  <c r="AH6" i="3" l="1"/>
  <c r="AH83" i="3"/>
  <c r="AL6" i="3" l="1"/>
  <c r="AG9" i="3"/>
  <c r="AG95" i="3"/>
  <c r="AG8" i="3"/>
  <c r="AJ8" i="3" s="1"/>
  <c r="AG7" i="3"/>
  <c r="AH95" i="3" l="1"/>
  <c r="AL95" i="3" s="1"/>
  <c r="AJ95" i="3"/>
  <c r="AH7" i="3"/>
  <c r="AJ7" i="3"/>
  <c r="AH9" i="3"/>
  <c r="AL9" i="3" s="1"/>
  <c r="AJ9" i="3"/>
  <c r="AH8" i="3"/>
  <c r="AL8" i="3" s="1"/>
  <c r="Q6" i="3"/>
  <c r="Q76" i="3" s="1"/>
  <c r="O69" i="35"/>
  <c r="I66" i="34" s="1"/>
  <c r="O72" i="35"/>
  <c r="I69" i="34" s="1"/>
  <c r="O71" i="35"/>
  <c r="I68" i="34" s="1"/>
  <c r="U68" i="34" s="1"/>
  <c r="W67" i="3" s="1"/>
  <c r="AA67" i="3" s="1"/>
  <c r="O68" i="35"/>
  <c r="I65" i="34" s="1"/>
  <c r="L65" i="34" s="1"/>
  <c r="O70" i="35"/>
  <c r="I67" i="34" s="1"/>
  <c r="U67" i="34" s="1"/>
  <c r="W66" i="3" s="1"/>
  <c r="AA66" i="3" s="1"/>
  <c r="AL7" i="3" l="1"/>
  <c r="U65" i="34"/>
  <c r="W64" i="3" s="1"/>
  <c r="AB67" i="3"/>
  <c r="AD67" i="3" s="1"/>
  <c r="AF67" i="3" s="1"/>
  <c r="AG67" i="3" s="1"/>
  <c r="O65" i="34"/>
  <c r="P65" i="34" s="1"/>
  <c r="Q65" i="34" s="1"/>
  <c r="S65" i="34" s="1"/>
  <c r="F166" i="34" s="1"/>
  <c r="G166" i="34" s="1"/>
  <c r="H166" i="34" s="1"/>
  <c r="I166" i="34" s="1"/>
  <c r="K166" i="34" s="1"/>
  <c r="U69" i="34"/>
  <c r="W68" i="3" s="1"/>
  <c r="AA68" i="3" s="1"/>
  <c r="L69" i="34"/>
  <c r="AB66" i="3"/>
  <c r="AD66" i="3" s="1"/>
  <c r="AF66" i="3" s="1"/>
  <c r="AG66" i="3" s="1"/>
  <c r="U66" i="34"/>
  <c r="W65" i="3" s="1"/>
  <c r="AA65" i="3" s="1"/>
  <c r="L66" i="34"/>
  <c r="L68" i="34"/>
  <c r="L67" i="34"/>
  <c r="AA64" i="3" l="1"/>
  <c r="AB64" i="3" s="1"/>
  <c r="AD64" i="3" s="1"/>
  <c r="AF64" i="3" s="1"/>
  <c r="AG64" i="3" s="1"/>
  <c r="AJ64" i="3" s="1"/>
  <c r="O67" i="34"/>
  <c r="P67" i="34" s="1"/>
  <c r="Q67" i="34" s="1"/>
  <c r="S67" i="34" s="1"/>
  <c r="F168" i="34" s="1"/>
  <c r="G168" i="34" s="1"/>
  <c r="H168" i="34" s="1"/>
  <c r="I168" i="34" s="1"/>
  <c r="K168" i="34" s="1"/>
  <c r="AH66" i="3"/>
  <c r="AL66" i="3" s="1"/>
  <c r="AJ66" i="3"/>
  <c r="AH67" i="3"/>
  <c r="AL67" i="3" s="1"/>
  <c r="AJ67" i="3"/>
  <c r="O68" i="34"/>
  <c r="P68" i="34" s="1"/>
  <c r="Q68" i="34" s="1"/>
  <c r="S68" i="34" s="1"/>
  <c r="F169" i="34" s="1"/>
  <c r="G169" i="34" s="1"/>
  <c r="H169" i="34" s="1"/>
  <c r="I169" i="34" s="1"/>
  <c r="K169" i="34" s="1"/>
  <c r="O66" i="34"/>
  <c r="P66" i="34" s="1"/>
  <c r="Q66" i="34" s="1"/>
  <c r="S66" i="34" s="1"/>
  <c r="F167" i="34" s="1"/>
  <c r="G167" i="34" s="1"/>
  <c r="H167" i="34" s="1"/>
  <c r="I167" i="34" s="1"/>
  <c r="K167" i="34" s="1"/>
  <c r="O69" i="34"/>
  <c r="P69" i="34" s="1"/>
  <c r="Q69" i="34" s="1"/>
  <c r="S69" i="34" s="1"/>
  <c r="F170" i="34" s="1"/>
  <c r="G170" i="34" s="1"/>
  <c r="H170" i="34" s="1"/>
  <c r="I170" i="34" s="1"/>
  <c r="K170" i="34" s="1"/>
  <c r="AB65" i="3"/>
  <c r="AD65" i="3" s="1"/>
  <c r="AF65" i="3" s="1"/>
  <c r="AG65" i="3" s="1"/>
  <c r="AB68" i="3"/>
  <c r="AD68" i="3" s="1"/>
  <c r="AF68" i="3" s="1"/>
  <c r="AG68" i="3" s="1"/>
  <c r="AH64" i="3" l="1"/>
  <c r="AL64" i="3" s="1"/>
  <c r="AH68" i="3"/>
  <c r="AL68" i="3" s="1"/>
  <c r="AJ68" i="3"/>
  <c r="AJ65" i="3"/>
  <c r="AH65" i="3"/>
  <c r="AL65" i="3" s="1"/>
  <c r="O67" i="35"/>
  <c r="O80" i="35" l="1"/>
  <c r="S72" i="34" s="1"/>
  <c r="I64" i="34"/>
  <c r="I77" i="34" l="1"/>
  <c r="U64" i="34"/>
  <c r="W63" i="3" s="1"/>
  <c r="W76" i="3" s="1"/>
  <c r="L64" i="34"/>
  <c r="L77" i="34" s="1"/>
  <c r="AA63" i="3" l="1"/>
  <c r="AA76" i="3" s="1"/>
  <c r="O64" i="34"/>
  <c r="O77" i="34" s="1"/>
  <c r="AB63" i="3" l="1"/>
  <c r="AB76" i="3" s="1"/>
  <c r="P64" i="34"/>
  <c r="P77" i="34" s="1"/>
  <c r="Q64" i="34" l="1"/>
  <c r="Q77" i="34" s="1"/>
  <c r="AD63" i="3"/>
  <c r="AD76" i="3" s="1"/>
  <c r="S64" i="34" l="1"/>
  <c r="S77" i="34" s="1"/>
  <c r="AF63" i="3"/>
  <c r="AF76" i="3" s="1"/>
  <c r="F165" i="34" l="1"/>
  <c r="AG63" i="3"/>
  <c r="AG76" i="3" s="1"/>
  <c r="F173" i="34" l="1"/>
  <c r="G165" i="34"/>
  <c r="AJ63" i="3"/>
  <c r="AJ76" i="3" s="1"/>
  <c r="AH63" i="3"/>
  <c r="AH76" i="3" s="1"/>
  <c r="H165" i="34" l="1"/>
  <c r="G173" i="34"/>
  <c r="AL63" i="3"/>
  <c r="AL76" i="3" s="1"/>
  <c r="H173" i="34" l="1"/>
  <c r="I165" i="34"/>
  <c r="K165" i="34" l="1"/>
  <c r="K173" i="34" s="1"/>
  <c r="I173" i="34"/>
  <c r="O73" i="38" l="1"/>
  <c r="O69" i="38" l="1"/>
  <c r="J57" i="1"/>
  <c r="J61" i="1"/>
  <c r="J56" i="1"/>
</calcChain>
</file>

<file path=xl/comments1.xml><?xml version="1.0" encoding="utf-8"?>
<comments xmlns="http://schemas.openxmlformats.org/spreadsheetml/2006/main">
  <authors>
    <author>NSP</author>
  </authors>
  <commentList>
    <comment ref="O444" authorId="0">
      <text>
        <r>
          <rPr>
            <b/>
            <sz val="8"/>
            <color indexed="81"/>
            <rFont val="Tahoma"/>
            <family val="2"/>
          </rPr>
          <t>NSP:</t>
        </r>
        <r>
          <rPr>
            <sz val="8"/>
            <color indexed="81"/>
            <rFont val="Tahoma"/>
            <family val="2"/>
          </rPr>
          <t xml:space="preserve">
BELUM TERIMA UPAH POKOK DARI CKG, JADI GSK BAYAR UPAH POKOK FULL
</t>
        </r>
      </text>
    </comment>
  </commentList>
</comments>
</file>

<file path=xl/comments2.xml><?xml version="1.0" encoding="utf-8"?>
<comments xmlns="http://schemas.openxmlformats.org/spreadsheetml/2006/main">
  <authors>
    <author>NSP</author>
  </authors>
  <commentList>
    <comment ref="O428" authorId="0">
      <text>
        <r>
          <rPr>
            <b/>
            <sz val="8"/>
            <color indexed="81"/>
            <rFont val="Tahoma"/>
            <family val="2"/>
          </rPr>
          <t>NSP:</t>
        </r>
        <r>
          <rPr>
            <sz val="8"/>
            <color indexed="81"/>
            <rFont val="Tahoma"/>
            <family val="2"/>
          </rPr>
          <t xml:space="preserve">
BELUM TERIMA UPAH POKOK DARI CKG, JADI GSK BAYAR UPAH POKOK FULL
</t>
        </r>
      </text>
    </comment>
  </commentList>
</comments>
</file>

<file path=xl/sharedStrings.xml><?xml version="1.0" encoding="utf-8"?>
<sst xmlns="http://schemas.openxmlformats.org/spreadsheetml/2006/main" count="2027" uniqueCount="599">
  <si>
    <t>No</t>
  </si>
  <si>
    <t>TER A</t>
  </si>
  <si>
    <t>s.d</t>
  </si>
  <si>
    <t>Lapisan Penghasilan bruto (Rp.)</t>
  </si>
  <si>
    <t>TER B</t>
  </si>
  <si>
    <t>TER C</t>
  </si>
  <si>
    <t>PTKP</t>
  </si>
  <si>
    <t>TK/0</t>
  </si>
  <si>
    <t>TK/2</t>
  </si>
  <si>
    <t>K/1</t>
  </si>
  <si>
    <t>TK/3</t>
  </si>
  <si>
    <t>K/2</t>
  </si>
  <si>
    <t>K/3</t>
  </si>
  <si>
    <t>Tarif</t>
  </si>
  <si>
    <t>Penghasilan Bruto</t>
  </si>
  <si>
    <t>TER</t>
  </si>
  <si>
    <t>TK/1</t>
  </si>
  <si>
    <t>K/0</t>
  </si>
  <si>
    <t>~~</t>
  </si>
  <si>
    <t>Status</t>
  </si>
  <si>
    <t>Jumlah</t>
  </si>
  <si>
    <t>HARIAN</t>
  </si>
  <si>
    <t>Lapisan PKP</t>
  </si>
  <si>
    <t>TARIF PASAL 17 WPOP</t>
  </si>
  <si>
    <t>Nomor Urut</t>
  </si>
  <si>
    <t>NAMA KARYAWAN</t>
  </si>
  <si>
    <t>N I K / 
PASPOR</t>
  </si>
  <si>
    <t>N P W P</t>
  </si>
  <si>
    <t>A L A M A T</t>
  </si>
  <si>
    <t>JABATAN</t>
  </si>
  <si>
    <t>MASA KERJA</t>
  </si>
  <si>
    <t>DESEMBER</t>
  </si>
  <si>
    <t>P T K P</t>
  </si>
  <si>
    <t>P K P</t>
  </si>
  <si>
    <t>PPH PASAL 21
JAN S.D NOP</t>
  </si>
  <si>
    <t>PPH PASAL 21
DESEMBER</t>
  </si>
  <si>
    <t>Gaji Pokok</t>
  </si>
  <si>
    <t>L/P</t>
  </si>
  <si>
    <t>P</t>
  </si>
  <si>
    <t>L</t>
  </si>
  <si>
    <t>yang berwarna ini rumus</t>
  </si>
  <si>
    <t>Penghasilan
Bruto</t>
  </si>
  <si>
    <t>Tarif
TER</t>
  </si>
  <si>
    <t>Total
Tunjangan</t>
  </si>
  <si>
    <t>Tunjangan
PPh</t>
  </si>
  <si>
    <t>Premi
JKK, JKM, Kes</t>
  </si>
  <si>
    <t>STATUS KARYAWAN</t>
  </si>
  <si>
    <t>Catatan :</t>
  </si>
  <si>
    <t>1. yang berwarna adalah rumus</t>
  </si>
  <si>
    <t>3. kolom pengurang JHT/JP tetap wajib diisi, sebagai pengurang pada masa pajak desember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</si>
  <si>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</si>
  <si>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</si>
  <si>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</si>
  <si>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INCLUDE NON NPWP</t>
  </si>
  <si>
    <t>SETAHUN</t>
  </si>
  <si>
    <t>PPH PASAL 21</t>
  </si>
  <si>
    <t>2. dalam hal terdapat tunjangan PPh, maka ceklis "enable iterative calculation" pada menu (option =&gt; formula =&gt; pada bagian kanan atas)</t>
  </si>
  <si>
    <t>4. komponen penghasilan bruto dapat disesuaikan/ditambahkan kolom, sesuai dengan kebutuhan masing2 perusahaan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</si>
  <si>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</si>
  <si>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</si>
  <si>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PTKP (TK/0, TK/1, K/0)</t>
  </si>
  <si>
    <t>PTKP (TK/2, TK/3, K/1, K/2)</t>
  </si>
  <si>
    <t>PTKP (K/3)</t>
  </si>
  <si>
    <t>NO.</t>
  </si>
  <si>
    <t>10. untuk jan s.d nop dapat diduplicate sheetnya</t>
  </si>
  <si>
    <t>8. khusus untuk perhitungan pph 21 masa pajak desember, dapat di cek kembali total per komponen penghasilan brutonya</t>
  </si>
  <si>
    <t>Astek Ins (0,84%)</t>
  </si>
  <si>
    <t>BPJS KESEHATAN (4%)</t>
  </si>
  <si>
    <t>PT. REBINMAS JAYA</t>
  </si>
  <si>
    <t>-</t>
  </si>
  <si>
    <t>JL KOPERASI RT. 004 RW. 002 DESA PEMBAHARUAN KEC. KELAPA KAMPIT</t>
  </si>
  <si>
    <t>Rice  Allow</t>
  </si>
  <si>
    <t>Structural  Allow</t>
  </si>
  <si>
    <t>POT. CUTI SAKIT &amp; POT. CTH ( CUTI TANPA HK )</t>
  </si>
  <si>
    <t>THR</t>
  </si>
  <si>
    <t>Bonus</t>
  </si>
  <si>
    <t>Service Time Allow</t>
  </si>
  <si>
    <t>Masa Kerja</t>
  </si>
  <si>
    <t>Potongan Kelebihan Perhitungan Lembur</t>
  </si>
  <si>
    <t>Lembur Bayar HK Penjagaan HGU</t>
  </si>
  <si>
    <t>Bensin Patroli</t>
  </si>
  <si>
    <t>KRANI DIVISI</t>
  </si>
  <si>
    <t>OPERATOR</t>
  </si>
  <si>
    <t>KARYAWAN PERAWATAN</t>
  </si>
  <si>
    <t>lembur</t>
  </si>
  <si>
    <t>jabatan</t>
  </si>
  <si>
    <t>beras</t>
  </si>
  <si>
    <t>YOYO</t>
  </si>
  <si>
    <t>JAMILA</t>
  </si>
  <si>
    <t>JUNI MI'UN</t>
  </si>
  <si>
    <t>SUHANDI</t>
  </si>
  <si>
    <t>MINARNI</t>
  </si>
  <si>
    <t>SUPRIADI</t>
  </si>
  <si>
    <t>HARIAH</t>
  </si>
  <si>
    <t>YUSMARDIAN</t>
  </si>
  <si>
    <t>KAMELIA</t>
  </si>
  <si>
    <t>ARDI</t>
  </si>
  <si>
    <t>YULHANI</t>
  </si>
  <si>
    <t>HENDRIX</t>
  </si>
  <si>
    <t>ARIANTO.B</t>
  </si>
  <si>
    <t>NANDI</t>
  </si>
  <si>
    <t>SISWANTO</t>
  </si>
  <si>
    <t>EDI ISHAK</t>
  </si>
  <si>
    <t>DARMA JAYA</t>
  </si>
  <si>
    <t>SUDIRMAN</t>
  </si>
  <si>
    <t>APRIYADI</t>
  </si>
  <si>
    <t>YUSMARNO</t>
  </si>
  <si>
    <t>MAHADI</t>
  </si>
  <si>
    <t>SURATMAN</t>
  </si>
  <si>
    <t>1902010509730003</t>
  </si>
  <si>
    <t>1902056811690001</t>
  </si>
  <si>
    <t>1902050107700052</t>
  </si>
  <si>
    <t>1906042606860003</t>
  </si>
  <si>
    <t>1902056103760002</t>
  </si>
  <si>
    <t>1902052812870001</t>
  </si>
  <si>
    <t>1902014909730007</t>
  </si>
  <si>
    <t>1906042403820005</t>
  </si>
  <si>
    <t>1902051606760003</t>
  </si>
  <si>
    <t>1902050512820004</t>
  </si>
  <si>
    <t>1902051010760007</t>
  </si>
  <si>
    <t>1906041308920003</t>
  </si>
  <si>
    <t>1902052202690002</t>
  </si>
  <si>
    <t>1902053006780001</t>
  </si>
  <si>
    <t>1902051902910001</t>
  </si>
  <si>
    <t>1902051212790002</t>
  </si>
  <si>
    <t>1902051907880002</t>
  </si>
  <si>
    <t>1902051205770002</t>
  </si>
  <si>
    <t>1902051707890001</t>
  </si>
  <si>
    <t>1902012406780003</t>
  </si>
  <si>
    <t>1604220103030001</t>
  </si>
  <si>
    <t>1902012503820003</t>
  </si>
  <si>
    <t>1902051405840001</t>
  </si>
  <si>
    <t>1902052707850001</t>
  </si>
  <si>
    <t>JL MURAI RT. 029 RW. 010 DS PERAWAS TANJUNGPANDAN</t>
  </si>
  <si>
    <t>JL MANGGAR RT. 005 RW. 003 DS AIR BATU BUDING KEC. BADAU</t>
  </si>
  <si>
    <t>JL MANGGAR DSN KEPAYANG RT. 004 RW. 002 DS KACANG BUTOR BADAU</t>
  </si>
  <si>
    <t>AIR BATU BUDING RT. 004 RW. 002 DS AIR BATU BUDING KEC. BADAU</t>
  </si>
  <si>
    <t>JL AIR BEGANTUNG RT. 009 RW. 003 DS KACANG BUTOR KEC.BADAU</t>
  </si>
  <si>
    <t>PELATARAN AIR KETEKOK RT. 001 RW. 001 DS AIR KETEKOK TANJUNGPANDAN</t>
  </si>
  <si>
    <t>DSN SENYUBUK RT. 001 RW. 001 DESA MENTAWAK KEC. KELAPA KAMPIT</t>
  </si>
  <si>
    <t>JL MANGGAR DSN PARIT GUNUNG RT. 006 RW. 003 DS AIR BATU BUDING BADAU</t>
  </si>
  <si>
    <t>JL.MANGGAR RT.009 RW.003 DESA KACANG BUTOR KEC. BADAU</t>
  </si>
  <si>
    <t>JL MANGGAR AIR BEGANTUNG RT. 008 RW. 003 DESA KACANG BUTOR BADAU</t>
  </si>
  <si>
    <t>DSN MERDEKA RT. 006 RW. 002 DS SENYUBUK KEC. KELAPA KAMPIT</t>
  </si>
  <si>
    <t>DSN KACANG BUTOR RT. 001 RW. 001 DESA KACANG BUTOR KEC. BADAU</t>
  </si>
  <si>
    <t>JL. MANGGAR DSN. KACANG BUTOR RT.001 RW.001 DS. KACANG BUTOR KEC. BADAU</t>
  </si>
  <si>
    <t>JL. MANGGAR DSN. PARIT GUNUNG RT.006 RW.003 DS. AIR BATU BUDING KEC. BADAU</t>
  </si>
  <si>
    <t xml:space="preserve">DSN AIR BEGANTUNG RT. 010 RW. 003 DS KACANG BUTOR KEC. BADAU </t>
  </si>
  <si>
    <t>DSN AIR BATU BUDING RT.001 RW.001 DESA AIR BATU BUDING KEC. BADAU</t>
  </si>
  <si>
    <t>JL. MANGGAR RT. 004 RW. 002 DESA AIR BATU BUDING BADAU</t>
  </si>
  <si>
    <t>JL PASIR PUTIH RT. 012 RW. 005 DS AIR RAYAK KEC. TANJUNGPANDAN</t>
  </si>
  <si>
    <t>DS. TANJUNG AGUNG KEL. TANJUNG AGUNG KEC. PAGAR GUNUNG KAB. LAHAT</t>
  </si>
  <si>
    <t>PULAU BAYAN RT. 005 RW. 002 DESA SUNGAI SAMAK KEC. BADAU</t>
  </si>
  <si>
    <t>DSN AIR BATU BUDING RT. 002 RW. 001 DESA AIR BATU BUDING KEC. BADAU</t>
  </si>
  <si>
    <t>DUSUN KEPAYANG RT. 004 RW. 002 DESA KACANG BUTOR KEC. BADAU</t>
  </si>
  <si>
    <t xml:space="preserve">MANDOR </t>
  </si>
  <si>
    <t>KRANI GUDANG</t>
  </si>
  <si>
    <t>MEGI EFRISA</t>
  </si>
  <si>
    <t>Premi cuci mobil</t>
  </si>
  <si>
    <t>Premi alat</t>
  </si>
  <si>
    <t>DIBUAT OLEH</t>
  </si>
  <si>
    <t>KRANI INFRA</t>
  </si>
  <si>
    <t>DIKETAHUI OLEH</t>
  </si>
  <si>
    <t>HUSHAR, S.Pt</t>
  </si>
  <si>
    <t>MANAGER INFRASTRUKTUR</t>
  </si>
  <si>
    <t>PG 1A (INFRASTRUKTUR)</t>
  </si>
  <si>
    <t>upah kotor</t>
  </si>
  <si>
    <t>total</t>
  </si>
  <si>
    <t>INCOME TAX ARTICLE 21 FOR APRIL 2024</t>
  </si>
  <si>
    <t>astek + bpjs</t>
  </si>
  <si>
    <t>PPh 21 gaji + bonus</t>
  </si>
  <si>
    <t>pph Exgratia</t>
  </si>
  <si>
    <t>pph april '24</t>
  </si>
  <si>
    <t>PENGHASILAN TIDAK TERATUR</t>
  </si>
  <si>
    <t>T H R</t>
  </si>
  <si>
    <t>B O N U S</t>
  </si>
  <si>
    <t>TANTIEM</t>
  </si>
  <si>
    <t>TOTAL GAJI POKOK</t>
  </si>
  <si>
    <t>TOTAL TUNJANGAN LAINNYA</t>
  </si>
  <si>
    <t>TOTAL PREMI ASURANSI</t>
  </si>
  <si>
    <t>TOTAL TUNJANGAN PPH</t>
  </si>
  <si>
    <t>TOTAL
NATURA / KENIKMATAN</t>
  </si>
  <si>
    <t>TOTAL
THR, BONUS, TANTIEM</t>
  </si>
  <si>
    <t>PENGHASILAN BRUTO SETAHUN</t>
  </si>
  <si>
    <t>PENGURANG</t>
  </si>
  <si>
    <t>PENGHASILAN NETTO SETAHUN</t>
  </si>
  <si>
    <t>BIAYA
JABATAN</t>
  </si>
  <si>
    <t>TOTAL IURAN JHT/THT/JP</t>
  </si>
  <si>
    <t>HELPER</t>
  </si>
  <si>
    <t>DSN PESARAKAN RT. 008 RW. 003 DESA CENDIL KEC. KELAPA KAMPIT</t>
  </si>
  <si>
    <t>DSN CENDIL RT. 004 RW. 002 DESA CENDIL KEC. KELAPA KAMPIT</t>
  </si>
  <si>
    <t>DSN PESARAKAN RT. 007 RW. 003 DESA CENDIL KEC. KELAPA KAMPIT</t>
  </si>
  <si>
    <t>SAPARUDIN</t>
  </si>
  <si>
    <t>DSN CENDIL RT. 003 RW. 001 DESA CENDIL KEC. KELAPA KAMPIT</t>
  </si>
  <si>
    <t>PELEPAK PUTIH RT. 022 RW. 011 DESA SIJUK KEC. SIJUK</t>
  </si>
  <si>
    <t>PELEPAK PUTE RT. 001 RW. 001 DESA PELEPAK PUTE KEC. SIJUK</t>
  </si>
  <si>
    <t>DSN AIR KALA RT. 023 RW. 012 DESA SIJUK KEC. SIJUK</t>
  </si>
  <si>
    <t>DSN CENDIL RT. 005 RW. 002 DESA CENDIL KEC. KELAPA KAMPIT</t>
  </si>
  <si>
    <t>DSN CENDIL RT. 002 RW. 001 DS CENDIL KEC. KELAPA KAMPIT</t>
  </si>
  <si>
    <t>GUNAWAN</t>
  </si>
  <si>
    <t>RILYANI</t>
  </si>
  <si>
    <t>JUNAIDI</t>
  </si>
  <si>
    <t>UMIYATI</t>
  </si>
  <si>
    <t>ASUNTI</t>
  </si>
  <si>
    <t>JONI</t>
  </si>
  <si>
    <t>THAHA.S</t>
  </si>
  <si>
    <t>ALEX</t>
  </si>
  <si>
    <t>SANDY</t>
  </si>
  <si>
    <t>ANTON</t>
  </si>
  <si>
    <t>EKA NOPIYANTI</t>
  </si>
  <si>
    <t>YANTI NOVITA</t>
  </si>
  <si>
    <t>JUMIATI</t>
  </si>
  <si>
    <t>SUPARDI</t>
  </si>
  <si>
    <t>PARDI</t>
  </si>
  <si>
    <t>SUMARDI</t>
  </si>
  <si>
    <t>WIDODO JP</t>
  </si>
  <si>
    <t>YANDI</t>
  </si>
  <si>
    <t>RIDHO AFRIZAL</t>
  </si>
  <si>
    <t>APRIZAL</t>
  </si>
  <si>
    <t>ERRY SAPUTRA</t>
  </si>
  <si>
    <t>ARWANDI</t>
  </si>
  <si>
    <t>RENDI PERJAYA</t>
  </si>
  <si>
    <t>ANDI</t>
  </si>
  <si>
    <t>JULI</t>
  </si>
  <si>
    <t>RIO RESFATI</t>
  </si>
  <si>
    <t>DICKY PRATAMA</t>
  </si>
  <si>
    <t>SUIP</t>
  </si>
  <si>
    <t>ROBIN DINATA</t>
  </si>
  <si>
    <t>MUSNI</t>
  </si>
  <si>
    <t>ARPANDI</t>
  </si>
  <si>
    <t>MASRI</t>
  </si>
  <si>
    <t>SULTAN</t>
  </si>
  <si>
    <t>MANSUR</t>
  </si>
  <si>
    <t>HARDIANSYAH</t>
  </si>
  <si>
    <t>RIDUAN</t>
  </si>
  <si>
    <t>SUNARDI</t>
  </si>
  <si>
    <t>SONJA PRIYOGA</t>
  </si>
  <si>
    <t>M.FAUZI</t>
  </si>
  <si>
    <t>DANI</t>
  </si>
  <si>
    <t>AHAP</t>
  </si>
  <si>
    <t>SALEH</t>
  </si>
  <si>
    <t>IHSAN</t>
  </si>
  <si>
    <t>BAGUSTIN</t>
  </si>
  <si>
    <t>HELDI SAPUTRA</t>
  </si>
  <si>
    <t>HARTONO</t>
  </si>
  <si>
    <t>QISTAHAM</t>
  </si>
  <si>
    <t>JAYADI</t>
  </si>
  <si>
    <t>MUHAMAD AMIN</t>
  </si>
  <si>
    <t>ZAMALUDIN</t>
  </si>
  <si>
    <t>1902040612940006</t>
  </si>
  <si>
    <t>1906041207760003</t>
  </si>
  <si>
    <t>1902010107770126</t>
  </si>
  <si>
    <t>1902055904700002</t>
  </si>
  <si>
    <t>1902044606740003</t>
  </si>
  <si>
    <t>1902040402950004</t>
  </si>
  <si>
    <t>1906040406810003</t>
  </si>
  <si>
    <t>1906040903840002</t>
  </si>
  <si>
    <t>1902040407910001</t>
  </si>
  <si>
    <t>1902041602890001</t>
  </si>
  <si>
    <t>1906042004880003</t>
  </si>
  <si>
    <t>1902055103940001</t>
  </si>
  <si>
    <t>1906045111850004</t>
  </si>
  <si>
    <t>1906046009720002</t>
  </si>
  <si>
    <t>1902054212790002</t>
  </si>
  <si>
    <t>1906042707890002</t>
  </si>
  <si>
    <t>1906041404700001</t>
  </si>
  <si>
    <t>1906040306730003</t>
  </si>
  <si>
    <t>1902041503800003</t>
  </si>
  <si>
    <t>1902040303980007</t>
  </si>
  <si>
    <t>1902050312820001</t>
  </si>
  <si>
    <t>1902042708930003</t>
  </si>
  <si>
    <t>1902050502910003</t>
  </si>
  <si>
    <t>1902040112910004</t>
  </si>
  <si>
    <t>1902042708930002</t>
  </si>
  <si>
    <t>1906041502890002</t>
  </si>
  <si>
    <t>1902050203790001</t>
  </si>
  <si>
    <t>1902042302890003</t>
  </si>
  <si>
    <t>1906041805780002</t>
  </si>
  <si>
    <t>1902051805780002</t>
  </si>
  <si>
    <t>1906043101880002</t>
  </si>
  <si>
    <t>1902043110000001</t>
  </si>
  <si>
    <t>1902040107800096</t>
  </si>
  <si>
    <t>1902042012900001</t>
  </si>
  <si>
    <t>1902040101760004</t>
  </si>
  <si>
    <t>1902040501800001</t>
  </si>
  <si>
    <t>1902040507770005</t>
  </si>
  <si>
    <t>1902040403870002</t>
  </si>
  <si>
    <t>2101092010780001</t>
  </si>
  <si>
    <t>5203011105710001</t>
  </si>
  <si>
    <t>1902041306840001</t>
  </si>
  <si>
    <t>1906042202840002</t>
  </si>
  <si>
    <t>1906040508760001</t>
  </si>
  <si>
    <t>1902041606020001</t>
  </si>
  <si>
    <t>5204062204900001</t>
  </si>
  <si>
    <t>5203191607970006</t>
  </si>
  <si>
    <t>5203100101860014</t>
  </si>
  <si>
    <t>5203093112730223</t>
  </si>
  <si>
    <t>5203191406880001</t>
  </si>
  <si>
    <t>5203013112040027</t>
  </si>
  <si>
    <t>5203090107000698</t>
  </si>
  <si>
    <t>5203010107990503</t>
  </si>
  <si>
    <t>5203101310010001</t>
  </si>
  <si>
    <t>5203191211880001</t>
  </si>
  <si>
    <t>5203013112000044</t>
  </si>
  <si>
    <t>5203010508010003</t>
  </si>
  <si>
    <t>5203011606000002</t>
  </si>
  <si>
    <t>5203180202030003</t>
  </si>
  <si>
    <t>5203171105810001</t>
  </si>
  <si>
    <t>5203010107890487</t>
  </si>
  <si>
    <t>5208020107880044</t>
  </si>
  <si>
    <t>5203011208840003</t>
  </si>
  <si>
    <t>5203011708840000</t>
  </si>
  <si>
    <t>5203010702940001</t>
  </si>
  <si>
    <t>5203193112860139</t>
  </si>
  <si>
    <t>5203013112040036</t>
  </si>
  <si>
    <t>5203120107650934</t>
  </si>
  <si>
    <t>AIR BATU BUDING RT. 002 RW. 001 DESA AIR BATU BUDING KEC. BADAU</t>
  </si>
  <si>
    <t>KELEKAK USANG RT. 056 RW. 018 DESA PERAWAS KEC. TANJUNGPANDAN</t>
  </si>
  <si>
    <t>JL. MANGGAR DSN BUKIT INDAH  RT. 011 RW. 004 KACANG BUTOR BADAU</t>
  </si>
  <si>
    <t>JL AIK KALAK RT. 008 RW. 004 DESA PELEPAK PUTE KEC. SIJUK</t>
  </si>
  <si>
    <t>DSN CENDIL RT. 001 RW. 001 DESA CENDIL KEC. KELAPA KAMPIT</t>
  </si>
  <si>
    <t>JL AIR SERKUK RT. 029 RW. 012 DESA AIR SAGA KEC. TANJUNGPANDAN</t>
  </si>
  <si>
    <t>JL SIJUK RT. 022 RW. 008 DESA AIR SERUK KEC. SIJUK</t>
  </si>
  <si>
    <t>DSN PARIT GUNUNG RT. 006 RW. 003 DS AIR BATU BUDING KEC. BADAU</t>
  </si>
  <si>
    <t>DSN SELINDANG RT. 005 RW. 002 DESA SENYUBUK KEC. KELAPA KAMPIT</t>
  </si>
  <si>
    <t>AIR BATU BUDING RT. 003 RW. 002 DESA AIR BATU BUDING KEC. BADAU</t>
  </si>
  <si>
    <t xml:space="preserve">DSN BUKIT DURIAN RW. 003 RW. 002 DESA MENTAWAK KEC. KELAPA KAMPIT </t>
  </si>
  <si>
    <t>DSN SUNGAI PADANG RT. 005 RW. 003 DESA SUNGAI PADANG KEC. SIJUK</t>
  </si>
  <si>
    <t>JL SIJUK RT. 016 RW. 007 DESA AIR SELUMAR KEC. SIJUK</t>
  </si>
  <si>
    <t>JL MANGGAR PARIT GUNUNG RT. 006 RW. 003 DESA AIR BATU BUDING KEC. BADAU</t>
  </si>
  <si>
    <t>PARANG BULUH RT. 015 RW. 007 DESA MEMBALONG KEC. MEMBALONG</t>
  </si>
  <si>
    <t>JL SIJUK RT. 004 RW. 002 DESA AIR SERUK KEC. SIJUK</t>
  </si>
  <si>
    <t>JL BUDING RT. 021 RW. 011 DESA PELEPAK PUTIH KEC. SIJUK</t>
  </si>
  <si>
    <t>DSN CENDIL RT. 005 RW. 002 DS CENDIL KEC. KELAPA KAMPIT</t>
  </si>
  <si>
    <t>JL MANGGAR RT. 008 RW. 003 DESA KACANG BUTOR KEC. BADAU</t>
  </si>
  <si>
    <t>DSN CENDIL RT. 006 RW. 002 DESA CENDIL KEC. KELAPA KAMPIT</t>
  </si>
  <si>
    <t>JL MANGGAR RT. 009 RW. 003 DESA KACANG BUTOR KEC. BADAU</t>
  </si>
  <si>
    <t>JL JAWA RT. 001 RW.001 DESA SENYUBUK KEC KELAPA KAMPIT</t>
  </si>
  <si>
    <t>PELEPAK PUTE RT.003/002 DESA PELEPAK PUTE KEC. SIJUK KAB. BELITUNG</t>
  </si>
  <si>
    <t>AIR KALA RT. 023 RW. 012 DESA SIJUK  KEC. SIJUK</t>
  </si>
  <si>
    <t>JL BUDING AIK KALAK RT. 023 RW. 012 DESA SIJUK KEC. SIJUK</t>
  </si>
  <si>
    <t>PELEPAK PUTE RT. 003 RW. 002 DESA PELEPAK PUTE KEC. SIJUK</t>
  </si>
  <si>
    <t>SUNGAI PADANG RT. 007 RW. 004 DESA SUNGAI PADANG KEC. SIJUK</t>
  </si>
  <si>
    <t xml:space="preserve">JL BUDING RT. 024 RW. 012 DESA SIJUK KEC. SIJUK </t>
  </si>
  <si>
    <t>KAMPUNG HILIR RT. 005 RW. 002 DESA KAMPUNG HILIR KEC. TAMBELAN</t>
  </si>
  <si>
    <t>KETANGGA BARAT DESA KETANGGA JERAENG KEC. KERUAK KAB. LOMBOK TIMUR</t>
  </si>
  <si>
    <t>JL RAYA PELEPAK PUTE RT. 007 RW. 004 DESA PELEPAK PUTE KEC. SIJUK</t>
  </si>
  <si>
    <t>DUSUN MONJET RT. 001 DESA SURABAYA KEC. SAKRA TIMUR LOMBOK TIMUR</t>
  </si>
  <si>
    <t>PERUM AIR PUTIH RT. 014 RW. 006 DESA BUDING KEC. KELAPA KAMPIT</t>
  </si>
  <si>
    <t>GOTONG ROYONG RT.004/RW.001 DESA BAGIK PAYUNG SELATAN  LOMBOK TIMUR</t>
  </si>
  <si>
    <t>KEKUANG RT. 003 DESA TOYA KEC. AIKMEL KAB. LOMBOK TIMUR</t>
  </si>
  <si>
    <t>PERAKO DESA BOYEMARE KEC. SAKRA BARAT KAB. LOMBOK TIMUR</t>
  </si>
  <si>
    <t>LINGKOK RAMBEN DS. KETANGGA JERAENG KEC. KERUAK KAB. LOMBOK TIMUR</t>
  </si>
  <si>
    <t>AIK LOMAK DSN. PERTEMUAN RT.001/- DESA TOYA KEC. AIKMEL KAB. LOMBOK TIMUR</t>
  </si>
  <si>
    <t>LINGKOK RAMBEN DESA KETANGGA JERAENG KEC,KERUAK LOMBOK TIMUR</t>
  </si>
  <si>
    <t>BAGEK GUPUNG PIJOT UTARA KERUAKLOMBOK TIMUR</t>
  </si>
  <si>
    <t>MONTONG MAS DESA LEPAK TIMUR KEC SAKRA BARAT LOMBOK TIMUR</t>
  </si>
  <si>
    <t xml:space="preserve"> DESA LABUHAN HAJI RT 039 RW 009 KEC LABUAN HAJI LOMBOK TIMUR</t>
  </si>
  <si>
    <t>DSN BAWAK PAOK DESA PIJOT KEC KERUAK LOMBOK TIMUR</t>
  </si>
  <si>
    <t>DSN KARANG KATES RT 003 RW 001 DESA GONDANG KEC.GANGGA LOMBOK UTARA</t>
  </si>
  <si>
    <t>GUBUK MAJLOK,BUNG TIANG,SAKRA BARAT LOMBOK TIMUR</t>
  </si>
  <si>
    <t>MONTOR DAKOK DESA PENGADANGAN KEC,PRINGGASELA KAB,LOMBOK TIMUR</t>
  </si>
  <si>
    <t>MANDOR PANEN</t>
  </si>
  <si>
    <t>KRANI PANEN</t>
  </si>
  <si>
    <t>5203031608960002</t>
  </si>
  <si>
    <t>LISUNG BATU DESA PANDAN DURI KEC,TERAHA LOMBOK TIMUR</t>
  </si>
  <si>
    <t>Name</t>
  </si>
  <si>
    <t>Stat</t>
  </si>
  <si>
    <t>BL</t>
  </si>
  <si>
    <t>PENGHASILAN SETAHUN</t>
  </si>
  <si>
    <t>TOTAL</t>
  </si>
  <si>
    <t xml:space="preserve">Total </t>
  </si>
  <si>
    <t xml:space="preserve">Penghasilan </t>
  </si>
  <si>
    <t>Penghasilan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</si>
  <si>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</si>
  <si>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</si>
  <si>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</si>
  <si>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</si>
  <si>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</si>
  <si>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</si>
  <si>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</si>
  <si>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</si>
  <si>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</si>
  <si>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</si>
  <si>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</si>
  <si>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</si>
  <si>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PENGHASILAN</t>
  </si>
  <si>
    <t>EXGRATIA</t>
  </si>
  <si>
    <t>Medical</t>
  </si>
  <si>
    <t>Disetahunkan</t>
  </si>
  <si>
    <t>Kena</t>
  </si>
  <si>
    <t>KOTOR</t>
  </si>
  <si>
    <t>Claim</t>
  </si>
  <si>
    <t>Setahun</t>
  </si>
  <si>
    <t>Pajak</t>
  </si>
  <si>
    <t xml:space="preserve">Pajak </t>
  </si>
  <si>
    <t>Jan-Nov</t>
  </si>
  <si>
    <t>PT.REBINMAS JAYA</t>
  </si>
  <si>
    <t>Perhitungan PPh 21 SETAHUN 2024</t>
  </si>
  <si>
    <t>Divisi : Aik Jangkat</t>
  </si>
  <si>
    <t>PENGHASILAN  SETAHUN</t>
  </si>
  <si>
    <t>Total</t>
  </si>
  <si>
    <t>POTONGAN</t>
  </si>
  <si>
    <t>GAJI</t>
  </si>
  <si>
    <t>Astek Ins</t>
  </si>
  <si>
    <t>BPJS</t>
  </si>
  <si>
    <t>CLAIM</t>
  </si>
  <si>
    <t>BONUS</t>
  </si>
  <si>
    <t xml:space="preserve">Astek Ins </t>
  </si>
  <si>
    <t>PENSIUN</t>
  </si>
  <si>
    <t>Bi.Jabatan</t>
  </si>
  <si>
    <t>Neto Setahun/</t>
  </si>
  <si>
    <t>NO. NPWP</t>
  </si>
  <si>
    <t>KESEHATAN 4%</t>
  </si>
  <si>
    <t>BEROBAT</t>
  </si>
  <si>
    <t>2% from Inc</t>
  </si>
  <si>
    <t>5%per year</t>
  </si>
  <si>
    <t>Astek &amp; B. Jabatan</t>
  </si>
  <si>
    <t>disetahunkan</t>
  </si>
  <si>
    <t>Pembulatan</t>
  </si>
  <si>
    <t>Pajak Desember</t>
  </si>
  <si>
    <t>NIK</t>
  </si>
  <si>
    <t>ALAMAT</t>
  </si>
  <si>
    <t xml:space="preserve">Kena </t>
  </si>
  <si>
    <t>setahun</t>
  </si>
  <si>
    <t>Terutang</t>
  </si>
  <si>
    <t>66.907.954.3-305.000</t>
  </si>
  <si>
    <t>97.228.586.0-305.000</t>
  </si>
  <si>
    <t>97.228.531.6-305.000</t>
  </si>
  <si>
    <t>97.228.520.9-305.000</t>
  </si>
  <si>
    <t>97.228.555.5-305.000</t>
  </si>
  <si>
    <t>97.387.455.5-305.000</t>
  </si>
  <si>
    <t>97.387.456.3-305.000</t>
  </si>
  <si>
    <t>66.907.949.3-305.000</t>
  </si>
  <si>
    <t>66.907.964.2-305.000</t>
  </si>
  <si>
    <t>97.228.589.4-305.000</t>
  </si>
  <si>
    <t>97.228.554.8.305.000</t>
  </si>
  <si>
    <t>97.228.525.8-305.000</t>
  </si>
  <si>
    <t>84.484.558.6-305.000</t>
  </si>
  <si>
    <t>54.921.755.2-305.000</t>
  </si>
  <si>
    <t>97.228.536.5-305.000</t>
  </si>
  <si>
    <t>97.387.452.2-305.000</t>
  </si>
  <si>
    <t>97.237.824.4-305.000</t>
  </si>
  <si>
    <t>97.228.551.4-305-000</t>
  </si>
  <si>
    <t>54.921.494.8-305.000</t>
  </si>
  <si>
    <t>97.228.565.4-305.000</t>
  </si>
  <si>
    <t>66.907.958.4-305.000</t>
  </si>
  <si>
    <t>97.228.598.5-305.000</t>
  </si>
  <si>
    <t>97.228.607.4-305.000</t>
  </si>
  <si>
    <t>5202080403980001</t>
  </si>
  <si>
    <t>KEBON NYIUR DESA SINTUNG KE. PRINGGARATA LOMBOK TENGAH</t>
  </si>
  <si>
    <t>5202081006970002</t>
  </si>
  <si>
    <t>KEBON NYIUR DESA SINTUNG KEC. PRINGGARATA KAB. LOMBOK TENGAH</t>
  </si>
  <si>
    <t>1571070705810261</t>
  </si>
  <si>
    <t>JL. SERSAN ANWAR BAY RT. 01 DESA BAGAN PETE KEC. KOTA BARU</t>
  </si>
  <si>
    <t>KEKUANG,DESA TOYA KEC AIKMEL</t>
  </si>
  <si>
    <t>1902042807950001</t>
  </si>
  <si>
    <t>SUNGAI PADANG RT. 003 RW. 002 DESA SUNGAI PADANG KEC. SIJUK</t>
  </si>
  <si>
    <t>5203090502710001</t>
  </si>
  <si>
    <t>TOYA LAUK RT. 004 DESA TOYA KEC. AIKMEL KAB. LOMBOK TIMUR</t>
  </si>
  <si>
    <t>Dibuat oleh,</t>
  </si>
  <si>
    <t>Diperiksa oleh,</t>
  </si>
  <si>
    <t>Disetujui oleh,</t>
  </si>
  <si>
    <t>PHILIP ABRAHAM OOMMEN</t>
  </si>
  <si>
    <t>Disahkan oleh,</t>
  </si>
  <si>
    <t>KRANDIV IIA</t>
  </si>
  <si>
    <t>ESTATE MANAGER PG II/DME</t>
  </si>
  <si>
    <t>AREA MGR PGE/DME</t>
  </si>
  <si>
    <t>66.907.955.0-305.000</t>
  </si>
  <si>
    <t>97.228.549.8.305.000</t>
  </si>
  <si>
    <t>1902050104820002</t>
  </si>
  <si>
    <t>DUSUN PARIT GUNUNG RT. 006 RW. 003 DESA AIR BATU BUDING  KEC. BADAU</t>
  </si>
  <si>
    <t>66.907.951.9-305.000</t>
  </si>
  <si>
    <t>54.776.082.7-305.000</t>
  </si>
  <si>
    <t>97.228.542.3-305.000</t>
  </si>
  <si>
    <t>5203010107720600</t>
  </si>
  <si>
    <t>1902040101860003</t>
  </si>
  <si>
    <t>JL BUDING RT. 23 RW. 012 DESA SIJUK KEC. SIJUK</t>
  </si>
  <si>
    <t>1902041912860004</t>
  </si>
  <si>
    <t>DSN SUNGAI PADANG RT. 002 RW. 001 DESA SUNGAI PADANG KEC. SIJUK</t>
  </si>
  <si>
    <t>50.548.193.7-305.000</t>
  </si>
  <si>
    <t>1405081701000002</t>
  </si>
  <si>
    <t>JL. PEMUDA II RT.021/RW.007 DS. AIK RAYAK KEC. TANJUNGPANDAN KAB. BELITUNG</t>
  </si>
  <si>
    <t>91.791.075.4.305.000</t>
  </si>
  <si>
    <t>1906041711980003</t>
  </si>
  <si>
    <t>1902041612890005</t>
  </si>
  <si>
    <t>DSN. AIR KALAK DS. PELEPAK PUTE KEC. SIJUK KAB. BELITUNG</t>
  </si>
  <si>
    <t>BPJS KESEHATAN 4%</t>
  </si>
  <si>
    <t>DIV: AIR JANGKAT</t>
  </si>
  <si>
    <t>BPJS 4%</t>
  </si>
  <si>
    <t>NAMA</t>
  </si>
  <si>
    <t>NO.NPWP</t>
  </si>
  <si>
    <t>PAJAK SUDAH DIBAYAR</t>
  </si>
  <si>
    <t>PAJAK TERUTANG</t>
  </si>
  <si>
    <t>SELISIH</t>
  </si>
  <si>
    <t>JANUARI</t>
  </si>
  <si>
    <t>FEBRUARI</t>
  </si>
  <si>
    <t>MARET</t>
  </si>
  <si>
    <t>APRIL</t>
  </si>
  <si>
    <t>MEI</t>
  </si>
  <si>
    <t>EX-GRATIA</t>
  </si>
  <si>
    <t>JUNI</t>
  </si>
  <si>
    <t>AGUSTUS</t>
  </si>
  <si>
    <t>SEPTEMBER</t>
  </si>
  <si>
    <t>OKTOBER</t>
  </si>
  <si>
    <t>NOVEMBER</t>
  </si>
  <si>
    <t>SAMSUL HADI</t>
  </si>
  <si>
    <t>LALU MUHAMAD HADI</t>
  </si>
  <si>
    <t>MUHAMAD FAUZI</t>
  </si>
  <si>
    <t>MAHYUDIN</t>
  </si>
  <si>
    <t>5203073112860170</t>
  </si>
  <si>
    <t>5202010703770002</t>
  </si>
  <si>
    <t>5201081401870001</t>
  </si>
  <si>
    <t>DASAN KETANGGA,KEMBANG SARI,SELON LOMBOK TIMUR</t>
  </si>
  <si>
    <t>BATU APIT DESA GERUNUNG KEC PRAYA LOMBOK TENGAH</t>
  </si>
  <si>
    <t>MARUNG RT 001 RW 000,BUNUT BAOK,PRAYA,LOMBOK TENGAH</t>
  </si>
  <si>
    <t>DSN BENGKEL BARAT,DESA BENGKEL KEC LABUAPI,LOMBOK BARAT</t>
  </si>
  <si>
    <t>LENDANG GENDIS DESA GERUNUNG PRAYA LOMBOK TENGAH</t>
  </si>
  <si>
    <t>PPH 21 TAHUN 2025</t>
  </si>
  <si>
    <t>Perhitungan PPh 21 SETAHUN 2025</t>
  </si>
  <si>
    <t>PPh 21 Januari s/d Desember Tahun 2025</t>
  </si>
  <si>
    <t>ASBI ALGIFARI</t>
  </si>
  <si>
    <t>JUFRI</t>
  </si>
  <si>
    <t>ASRI</t>
  </si>
  <si>
    <t>04.977.083.7-305.000</t>
  </si>
  <si>
    <t>MANDOR PERAWATAN</t>
  </si>
  <si>
    <t>PEMANEN</t>
  </si>
  <si>
    <t>5203011708840005</t>
  </si>
  <si>
    <t>5203120107891221</t>
  </si>
  <si>
    <t>MONTOR DAKOK,PEGADANGAN,PRINGGASELA,LOMBOK TIMUR</t>
  </si>
  <si>
    <t>KARY PERAWATAN</t>
  </si>
  <si>
    <t>RUSDIANTO</t>
  </si>
  <si>
    <t>5202111701940001</t>
  </si>
  <si>
    <t>LINGKUNGAN JEMPONG TIMUR,SEKARBELA,MATARAM,NUSA TENGGARA BARAT</t>
  </si>
  <si>
    <t>RIJAL</t>
  </si>
  <si>
    <t>EDI ZULKARNADI</t>
  </si>
  <si>
    <t>FAHRUDIN</t>
  </si>
  <si>
    <t>DSN SELINDANG RT. 006 RW. 002 DESA SENYUBUK KEC. KELAPA KAMPIT</t>
  </si>
  <si>
    <t>1906040102760001</t>
  </si>
  <si>
    <t>DSN CENDIL RT.004 RW.002 DESA CENDIL KEC.KELAPA KAMPIT</t>
  </si>
  <si>
    <t>5201123112900092</t>
  </si>
  <si>
    <t>DUMAN DASAN,KEL DUMAN,KEC LINGSAR LOMBOK BARAT</t>
  </si>
  <si>
    <t>75.748.971.1-305.000</t>
  </si>
  <si>
    <t>HERIANTO ARBI</t>
  </si>
  <si>
    <t>5203013105010004</t>
  </si>
  <si>
    <t>LINGKOK RAMBEN  KEC,KERUAK LOMBOK TIMUR</t>
  </si>
  <si>
    <t>ASTEK 0,84%</t>
  </si>
  <si>
    <t>ASTEK 2%</t>
  </si>
  <si>
    <t>PENSIUN 1%</t>
  </si>
  <si>
    <t>EKO SUMANJAYA</t>
  </si>
  <si>
    <t>DEKY FRANZA</t>
  </si>
  <si>
    <t>SUKARDI</t>
  </si>
  <si>
    <t>1902041601840001</t>
  </si>
  <si>
    <t>75.739.968.8-305.000</t>
  </si>
  <si>
    <t>JL.SIJUK RT.002 RW.001 DESA AIR SELUMAR KEC. SIJUK</t>
  </si>
  <si>
    <t>1902043007940002</t>
  </si>
  <si>
    <t>JL.SIJUK RT.015 RW.006 DESA AIR SERUK KEC. SIJUK KAB. BELITUNG</t>
  </si>
  <si>
    <t>1906042410840002</t>
  </si>
  <si>
    <t>75.816.999.9-305.000</t>
  </si>
  <si>
    <t>DSN.CENDIL RT.005 RW. 002DESA CENDIL KEC.KELAPA KAMPIT</t>
  </si>
  <si>
    <t>1902012411010002</t>
  </si>
  <si>
    <t>JL.MUSTAFA GANI RT.010 RW.05 DESA SIJUK KEC.SIJUK KAB.BELITUNG</t>
  </si>
  <si>
    <t>FRANSISCO GAUTAMA</t>
  </si>
  <si>
    <t>MUSDI</t>
  </si>
  <si>
    <t>M.IDRIS PRATAMA</t>
  </si>
  <si>
    <t>972285258305000</t>
  </si>
  <si>
    <t>AIR BATU BUDING RT. 003 RW. 002 DS AIR BATU BUDING KEC. BADAU</t>
  </si>
  <si>
    <t>1906041411920002</t>
  </si>
  <si>
    <t>97.228.354.3-305.000</t>
  </si>
  <si>
    <t>DSN CENDIL RT. 001 RW.001 DESA CENDIL KECAMATAN KELAPA KAMPIT</t>
  </si>
  <si>
    <t>1902042209790003</t>
  </si>
  <si>
    <t>91.071.385.8.305-000</t>
  </si>
  <si>
    <t>GUNUNG SIUP RT0.24/-DS DENGGEN KEC SELONG KAB.LOMBOK TIMUR</t>
  </si>
  <si>
    <t>NOLA WILANDA</t>
  </si>
  <si>
    <t>AGUSTIAN</t>
  </si>
  <si>
    <t>DWI MARZETI</t>
  </si>
  <si>
    <t>1902055106030002</t>
  </si>
  <si>
    <t>AIR BATU BUDING RT. 001 RW. 001 DESA AIR BATU BUDING KEC. BADAU</t>
  </si>
  <si>
    <t>1902050108980001</t>
  </si>
  <si>
    <t>AIR BATU BUDING RT. 005 RW. 003 DESA AIR BATU BUDING KEC. BADAU</t>
  </si>
  <si>
    <t>1902054203050001</t>
  </si>
  <si>
    <t>AIR BATU BUDING RT. 004 RW. 002 DESA AIR BATU BUDING KEC. BADAU</t>
  </si>
  <si>
    <t>SUTRA PRAYOGI</t>
  </si>
  <si>
    <t>1902042107060003</t>
  </si>
  <si>
    <t>1902012706890008</t>
  </si>
  <si>
    <t>SAHARUDIN</t>
  </si>
  <si>
    <t>75.816.913.0-305.000</t>
  </si>
  <si>
    <t>1902041509780003</t>
  </si>
  <si>
    <t>JL H ABDULLAH RT. 008 RW. 002 DESA TANJUNG TINGGI KEC. SIJUK</t>
  </si>
  <si>
    <t>5203070107900586</t>
  </si>
  <si>
    <t>Dibuat Oleh</t>
  </si>
  <si>
    <t>Gunawan</t>
  </si>
  <si>
    <t>Krani</t>
  </si>
  <si>
    <t>Diketahui Oleh</t>
  </si>
  <si>
    <t>Gohi Maruli L Toruan,SP</t>
  </si>
  <si>
    <t>Estate Manager</t>
  </si>
  <si>
    <t>Disahkan Oleh</t>
  </si>
  <si>
    <t>Chandra Dinata pribadi</t>
  </si>
  <si>
    <t>Senior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</si>
</sst>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_)"/>
    <numFmt numFmtId="168" formatCode="0000000000000000"/>
    <numFmt numFmtId="169" formatCode="000000000000000"/>
    <numFmt numFmtId="170" formatCode="00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name val="Tw Cen MT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2"/>
      <name val="Arial"/>
      <family val="2"/>
    </font>
    <font>
      <sz val="10"/>
      <color theme="1"/>
      <name val="Calibri Light"/>
      <family val="2"/>
      <scheme val="major"/>
    </font>
    <font>
      <sz val="10"/>
      <color theme="1"/>
      <name val="Tahoma"/>
      <family val="2"/>
    </font>
    <font>
      <sz val="10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 Light"/>
      <family val="1"/>
      <scheme val="major"/>
    </font>
    <font>
      <b/>
      <sz val="9"/>
      <color theme="1"/>
      <name val="Calibri Light"/>
      <family val="1"/>
      <scheme val="major"/>
    </font>
    <font>
      <sz val="9"/>
      <name val="Calibri Light"/>
      <family val="1"/>
      <scheme val="major"/>
    </font>
    <font>
      <sz val="8"/>
      <color theme="1"/>
      <name val="Calibri"/>
      <family val="2"/>
      <scheme val="minor"/>
    </font>
    <font>
      <sz val="10"/>
      <name val="Tahoma"/>
      <family val="2"/>
    </font>
    <font>
      <sz val="9"/>
      <name val="Tahoma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sz val="10"/>
      <name val="Tahoma"/>
      <family val="2"/>
    </font>
    <font>
      <sz val="12"/>
      <name val="Tahoma"/>
      <family val="2"/>
    </font>
    <font>
      <sz val="11"/>
      <name val="Cambria"/>
      <family val="1"/>
    </font>
    <font>
      <sz val="8"/>
      <name val="Tahoma"/>
      <family val="2"/>
    </font>
    <font>
      <sz val="7"/>
      <name val="Tahoma"/>
      <family val="2"/>
    </font>
    <font>
      <sz val="11"/>
      <color indexed="8"/>
      <name val="Cambria"/>
      <family val="1"/>
    </font>
    <font>
      <b/>
      <sz val="11"/>
      <color indexed="8"/>
      <name val="Cambria"/>
      <family val="1"/>
    </font>
    <font>
      <b/>
      <sz val="11"/>
      <color indexed="8"/>
      <name val="Calibri"/>
      <family val="2"/>
    </font>
    <font>
      <sz val="10"/>
      <name val="Cambria"/>
      <family val="1"/>
    </font>
    <font>
      <sz val="10"/>
      <color indexed="8"/>
      <name val="Cambria"/>
      <family val="1"/>
    </font>
    <font>
      <sz val="11"/>
      <color rgb="FFFF0000"/>
      <name val="Cambria"/>
      <family val="1"/>
    </font>
    <font>
      <sz val="11"/>
      <color indexed="8"/>
      <name val="Calibri"/>
      <family val="2"/>
    </font>
    <font>
      <b/>
      <sz val="9"/>
      <name val="Calibri Light"/>
      <family val="1"/>
      <scheme val="major"/>
    </font>
    <font>
      <sz val="9"/>
      <color theme="1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sz val="11"/>
      <color rgb="FFFF0000"/>
      <name val="Calibri"/>
      <family val="2"/>
      <scheme val="minor"/>
    </font>
    <font>
      <sz val="11"/>
      <name val="Tahoma"/>
      <family val="2"/>
    </font>
    <font>
      <sz val="10"/>
      <color rgb="FFFF0000"/>
      <name val="Arial"/>
      <family val="2"/>
    </font>
    <font>
      <sz val="10"/>
      <color rgb="FFFF0000"/>
      <name val="Tahoma"/>
      <family val="2"/>
    </font>
    <font>
      <sz val="9"/>
      <color rgb="FFFF0000"/>
      <name val="Tahoma"/>
      <family val="2"/>
    </font>
    <font>
      <sz val="8"/>
      <name val="Calibri Light"/>
      <family val="1"/>
      <scheme val="major"/>
    </font>
    <font>
      <u val="singleAccounting"/>
      <sz val="12"/>
      <name val="Arial"/>
      <family val="2"/>
    </font>
    <font>
      <u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20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0" fillId="0" borderId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</cellStyleXfs>
  <cellXfs count="616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4" fontId="7" fillId="0" borderId="1" xfId="1" applyFont="1" applyBorder="1" applyAlignment="1">
      <alignment vertical="center"/>
    </xf>
    <xf numFmtId="10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7" fillId="0" borderId="1" xfId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7" fillId="0" borderId="1" xfId="2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7" fillId="0" borderId="0" xfId="2" applyNumberFormat="1" applyFont="1" applyAlignment="1">
      <alignment horizontal="right" vertical="center"/>
    </xf>
    <xf numFmtId="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66" fontId="7" fillId="0" borderId="1" xfId="3" applyNumberFormat="1" applyFont="1" applyBorder="1" applyAlignment="1">
      <alignment vertical="center"/>
    </xf>
    <xf numFmtId="9" fontId="7" fillId="0" borderId="0" xfId="0" applyNumberFormat="1" applyFont="1" applyAlignment="1">
      <alignment vertical="center"/>
    </xf>
    <xf numFmtId="166" fontId="5" fillId="0" borderId="0" xfId="3" applyNumberFormat="1" applyFont="1" applyAlignment="1">
      <alignment horizontal="left" vertical="center"/>
    </xf>
    <xf numFmtId="166" fontId="7" fillId="0" borderId="0" xfId="3" applyNumberFormat="1" applyFont="1" applyAlignment="1">
      <alignment horizontal="center" vertical="center"/>
    </xf>
    <xf numFmtId="166" fontId="7" fillId="0" borderId="1" xfId="3" applyNumberFormat="1" applyFont="1" applyBorder="1" applyAlignment="1">
      <alignment horizontal="center" vertical="center"/>
    </xf>
    <xf numFmtId="166" fontId="8" fillId="2" borderId="1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right" vertical="center"/>
    </xf>
    <xf numFmtId="0" fontId="10" fillId="0" borderId="0" xfId="5" applyAlignment="1">
      <alignment vertical="center"/>
    </xf>
    <xf numFmtId="41" fontId="10" fillId="0" borderId="0" xfId="6" applyFont="1" applyFill="1" applyAlignment="1">
      <alignment vertical="center"/>
    </xf>
    <xf numFmtId="0" fontId="10" fillId="0" borderId="0" xfId="6" applyNumberFormat="1" applyFont="1" applyFill="1" applyAlignment="1">
      <alignment horizontal="center" vertical="center"/>
    </xf>
    <xf numFmtId="0" fontId="10" fillId="0" borderId="0" xfId="5" applyAlignment="1">
      <alignment horizontal="left" vertical="center"/>
    </xf>
    <xf numFmtId="9" fontId="10" fillId="0" borderId="0" xfId="7" applyFont="1" applyFill="1" applyAlignment="1">
      <alignment vertical="center"/>
    </xf>
    <xf numFmtId="166" fontId="10" fillId="0" borderId="0" xfId="8" applyNumberFormat="1" applyFont="1" applyFill="1" applyAlignment="1">
      <alignment vertical="center"/>
    </xf>
    <xf numFmtId="41" fontId="10" fillId="0" borderId="0" xfId="9" applyFont="1" applyFill="1" applyAlignment="1">
      <alignment vertical="center"/>
    </xf>
    <xf numFmtId="0" fontId="14" fillId="0" borderId="19" xfId="10" applyFont="1" applyBorder="1" applyAlignment="1">
      <alignment horizontal="center" vertical="center"/>
    </xf>
    <xf numFmtId="0" fontId="10" fillId="0" borderId="19" xfId="10" applyBorder="1" applyAlignment="1">
      <alignment horizontal="center" vertical="center"/>
    </xf>
    <xf numFmtId="41" fontId="14" fillId="0" borderId="19" xfId="6" applyFont="1" applyFill="1" applyBorder="1" applyAlignment="1" applyProtection="1">
      <alignment horizontal="left" vertical="center"/>
    </xf>
    <xf numFmtId="169" fontId="14" fillId="0" borderId="20" xfId="6" quotePrefix="1" applyNumberFormat="1" applyFont="1" applyFill="1" applyBorder="1" applyAlignment="1" applyProtection="1">
      <alignment horizontal="center" vertical="center"/>
    </xf>
    <xf numFmtId="0" fontId="14" fillId="0" borderId="20" xfId="10" applyFont="1" applyBorder="1" applyAlignment="1">
      <alignment horizontal="center" vertical="center"/>
    </xf>
    <xf numFmtId="0" fontId="10" fillId="0" borderId="20" xfId="10" applyBorder="1" applyAlignment="1">
      <alignment horizontal="center" vertical="center"/>
    </xf>
    <xf numFmtId="41" fontId="14" fillId="0" borderId="20" xfId="6" applyFont="1" applyFill="1" applyBorder="1" applyAlignment="1" applyProtection="1">
      <alignment horizontal="left" vertical="center"/>
    </xf>
    <xf numFmtId="41" fontId="10" fillId="0" borderId="21" xfId="6" applyFont="1" applyFill="1" applyBorder="1" applyAlignment="1">
      <alignment vertical="center"/>
    </xf>
    <xf numFmtId="166" fontId="12" fillId="0" borderId="0" xfId="8" applyNumberFormat="1" applyFont="1" applyFill="1" applyAlignment="1">
      <alignment vertical="center"/>
    </xf>
    <xf numFmtId="41" fontId="12" fillId="0" borderId="0" xfId="9" applyFont="1" applyFill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5" applyFont="1"/>
    <xf numFmtId="0" fontId="10" fillId="0" borderId="0" xfId="5"/>
    <xf numFmtId="0" fontId="10" fillId="0" borderId="0" xfId="11"/>
    <xf numFmtId="41" fontId="12" fillId="4" borderId="0" xfId="6" applyFont="1" applyFill="1" applyAlignment="1">
      <alignment vertical="center"/>
    </xf>
    <xf numFmtId="10" fontId="10" fillId="0" borderId="0" xfId="6" applyNumberFormat="1" applyFont="1" applyFill="1" applyAlignment="1">
      <alignment horizontal="center" vertical="center"/>
    </xf>
    <xf numFmtId="41" fontId="14" fillId="0" borderId="30" xfId="6" applyFont="1" applyFill="1" applyBorder="1" applyAlignment="1" applyProtection="1">
      <alignment horizontal="left" vertical="center"/>
    </xf>
    <xf numFmtId="41" fontId="14" fillId="4" borderId="20" xfId="6" applyFont="1" applyFill="1" applyBorder="1" applyAlignment="1" applyProtection="1">
      <alignment horizontal="left" vertical="center"/>
    </xf>
    <xf numFmtId="10" fontId="14" fillId="4" borderId="20" xfId="6" applyNumberFormat="1" applyFont="1" applyFill="1" applyBorder="1" applyAlignment="1" applyProtection="1">
      <alignment horizontal="center" vertical="center"/>
    </xf>
    <xf numFmtId="0" fontId="21" fillId="0" borderId="0" xfId="8" applyNumberFormat="1" applyFont="1" applyFill="1" applyAlignment="1">
      <alignment horizontal="center" vertical="center"/>
    </xf>
    <xf numFmtId="0" fontId="21" fillId="0" borderId="0" xfId="9" applyNumberFormat="1" applyFont="1" applyFill="1" applyAlignment="1">
      <alignment horizontal="center" vertical="center"/>
    </xf>
    <xf numFmtId="168" fontId="10" fillId="0" borderId="21" xfId="6" applyNumberFormat="1" applyFont="1" applyFill="1" applyBorder="1" applyAlignment="1">
      <alignment horizontal="center" vertical="center"/>
    </xf>
    <xf numFmtId="169" fontId="14" fillId="0" borderId="21" xfId="6" quotePrefix="1" applyNumberFormat="1" applyFont="1" applyFill="1" applyBorder="1" applyAlignment="1" applyProtection="1">
      <alignment horizontal="center" vertical="center"/>
    </xf>
    <xf numFmtId="164" fontId="7" fillId="0" borderId="0" xfId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43" fontId="7" fillId="0" borderId="0" xfId="0" applyNumberFormat="1" applyFont="1" applyAlignment="1">
      <alignment vertical="center"/>
    </xf>
    <xf numFmtId="9" fontId="10" fillId="0" borderId="0" xfId="6" applyNumberFormat="1" applyFont="1" applyFill="1" applyAlignment="1">
      <alignment vertical="center"/>
    </xf>
    <xf numFmtId="41" fontId="12" fillId="2" borderId="11" xfId="6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/>
    </xf>
    <xf numFmtId="0" fontId="12" fillId="2" borderId="3" xfId="5" applyFont="1" applyFill="1" applyBorder="1" applyAlignment="1">
      <alignment horizontal="center" vertical="center"/>
    </xf>
    <xf numFmtId="0" fontId="12" fillId="2" borderId="2" xfId="5" quotePrefix="1" applyFont="1" applyFill="1" applyBorder="1" applyAlignment="1">
      <alignment vertical="center"/>
    </xf>
    <xf numFmtId="0" fontId="12" fillId="2" borderId="16" xfId="5" quotePrefix="1" applyFont="1" applyFill="1" applyBorder="1" applyAlignment="1">
      <alignment vertical="center"/>
    </xf>
    <xf numFmtId="166" fontId="12" fillId="2" borderId="3" xfId="3" applyNumberFormat="1" applyFont="1" applyFill="1" applyBorder="1" applyAlignment="1">
      <alignment vertical="center"/>
    </xf>
    <xf numFmtId="41" fontId="10" fillId="0" borderId="20" xfId="6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10" fillId="0" borderId="0" xfId="5" applyNumberFormat="1" applyAlignment="1">
      <alignment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0" fontId="14" fillId="0" borderId="34" xfId="10" applyFont="1" applyBorder="1" applyAlignment="1">
      <alignment horizontal="center" vertical="center"/>
    </xf>
    <xf numFmtId="0" fontId="10" fillId="0" borderId="34" xfId="10" applyBorder="1" applyAlignment="1">
      <alignment horizontal="center" vertical="center"/>
    </xf>
    <xf numFmtId="41" fontId="14" fillId="0" borderId="34" xfId="6" applyFont="1" applyFill="1" applyBorder="1" applyAlignment="1" applyProtection="1">
      <alignment horizontal="left" vertical="center"/>
    </xf>
    <xf numFmtId="10" fontId="12" fillId="2" borderId="3" xfId="6" applyNumberFormat="1" applyFont="1" applyFill="1" applyBorder="1" applyAlignment="1">
      <alignment horizontal="center" vertical="center" wrapText="1"/>
    </xf>
    <xf numFmtId="41" fontId="14" fillId="4" borderId="34" xfId="6" applyFont="1" applyFill="1" applyBorder="1" applyAlignment="1" applyProtection="1">
      <alignment horizontal="left" vertical="center"/>
    </xf>
    <xf numFmtId="10" fontId="14" fillId="4" borderId="34" xfId="6" applyNumberFormat="1" applyFont="1" applyFill="1" applyBorder="1" applyAlignment="1" applyProtection="1">
      <alignment horizontal="center" vertical="center"/>
    </xf>
    <xf numFmtId="41" fontId="14" fillId="4" borderId="36" xfId="6" applyFont="1" applyFill="1" applyBorder="1" applyAlignment="1" applyProtection="1">
      <alignment horizontal="left" vertical="center"/>
    </xf>
    <xf numFmtId="167" fontId="14" fillId="0" borderId="34" xfId="5" applyNumberFormat="1" applyFont="1" applyBorder="1" applyAlignment="1">
      <alignment horizontal="center" vertical="center"/>
    </xf>
    <xf numFmtId="166" fontId="22" fillId="3" borderId="19" xfId="3" applyNumberFormat="1" applyFont="1" applyFill="1" applyBorder="1" applyAlignment="1">
      <alignment horizontal="right" vertical="center"/>
    </xf>
    <xf numFmtId="169" fontId="22" fillId="3" borderId="19" xfId="3" applyNumberFormat="1" applyFont="1" applyFill="1" applyBorder="1" applyAlignment="1">
      <alignment horizontal="right" vertical="center"/>
    </xf>
    <xf numFmtId="0" fontId="23" fillId="0" borderId="7" xfId="0" applyFont="1" applyFill="1" applyBorder="1" applyAlignment="1">
      <alignment vertical="center"/>
    </xf>
    <xf numFmtId="166" fontId="22" fillId="3" borderId="20" xfId="3" applyNumberFormat="1" applyFont="1" applyFill="1" applyBorder="1" applyAlignment="1">
      <alignment horizontal="right" vertical="center"/>
    </xf>
    <xf numFmtId="169" fontId="22" fillId="3" borderId="20" xfId="3" applyNumberFormat="1" applyFont="1" applyFill="1" applyBorder="1" applyAlignment="1">
      <alignment horizontal="right" vertical="center"/>
    </xf>
    <xf numFmtId="0" fontId="23" fillId="0" borderId="14" xfId="0" applyFont="1" applyFill="1" applyBorder="1" applyAlignment="1">
      <alignment vertical="center"/>
    </xf>
    <xf numFmtId="169" fontId="22" fillId="5" borderId="20" xfId="3" applyNumberFormat="1" applyFont="1" applyFill="1" applyBorder="1" applyAlignment="1">
      <alignment horizontal="right" vertical="center"/>
    </xf>
    <xf numFmtId="166" fontId="22" fillId="5" borderId="20" xfId="3" applyNumberFormat="1" applyFont="1" applyFill="1" applyBorder="1" applyAlignment="1">
      <alignment horizontal="right" vertical="center"/>
    </xf>
    <xf numFmtId="166" fontId="22" fillId="3" borderId="21" xfId="3" applyNumberFormat="1" applyFont="1" applyFill="1" applyBorder="1" applyAlignment="1">
      <alignment horizontal="right" vertical="center"/>
    </xf>
    <xf numFmtId="169" fontId="22" fillId="5" borderId="21" xfId="3" applyNumberFormat="1" applyFont="1" applyFill="1" applyBorder="1" applyAlignment="1">
      <alignment horizontal="right" vertical="center"/>
    </xf>
    <xf numFmtId="3" fontId="10" fillId="0" borderId="0" xfId="5" applyNumberFormat="1" applyAlignment="1">
      <alignment vertical="center"/>
    </xf>
    <xf numFmtId="169" fontId="22" fillId="5" borderId="20" xfId="3" quotePrefix="1" applyNumberFormat="1" applyFont="1" applyFill="1" applyBorder="1" applyAlignment="1">
      <alignment horizontal="center" vertical="center"/>
    </xf>
    <xf numFmtId="0" fontId="25" fillId="5" borderId="19" xfId="0" applyFont="1" applyFill="1" applyBorder="1" applyAlignment="1">
      <alignment horizontal="left" vertical="center"/>
    </xf>
    <xf numFmtId="0" fontId="25" fillId="5" borderId="20" xfId="0" applyFont="1" applyFill="1" applyBorder="1" applyAlignment="1">
      <alignment vertical="center"/>
    </xf>
    <xf numFmtId="0" fontId="26" fillId="5" borderId="20" xfId="0" applyFont="1" applyFill="1" applyBorder="1" applyAlignment="1">
      <alignment vertical="center"/>
    </xf>
    <xf numFmtId="0" fontId="25" fillId="5" borderId="21" xfId="0" applyFont="1" applyFill="1" applyBorder="1" applyAlignment="1">
      <alignment vertical="center"/>
    </xf>
    <xf numFmtId="0" fontId="25" fillId="3" borderId="20" xfId="0" applyFont="1" applyFill="1" applyBorder="1" applyAlignment="1">
      <alignment vertical="center"/>
    </xf>
    <xf numFmtId="0" fontId="25" fillId="0" borderId="19" xfId="5" quotePrefix="1" applyFont="1" applyBorder="1" applyAlignment="1">
      <alignment horizontal="center" vertical="center"/>
    </xf>
    <xf numFmtId="0" fontId="25" fillId="4" borderId="19" xfId="10" applyFont="1" applyFill="1" applyBorder="1" applyAlignment="1">
      <alignment horizontal="center" vertical="center"/>
    </xf>
    <xf numFmtId="0" fontId="25" fillId="0" borderId="34" xfId="5" quotePrefix="1" applyFont="1" applyBorder="1" applyAlignment="1">
      <alignment horizontal="center" vertical="center"/>
    </xf>
    <xf numFmtId="0" fontId="25" fillId="4" borderId="20" xfId="10" applyFont="1" applyFill="1" applyBorder="1" applyAlignment="1">
      <alignment horizontal="center" vertical="center"/>
    </xf>
    <xf numFmtId="41" fontId="24" fillId="0" borderId="35" xfId="6" applyFont="1" applyFill="1" applyBorder="1" applyAlignment="1" applyProtection="1">
      <alignment horizontal="left" vertical="center"/>
    </xf>
    <xf numFmtId="41" fontId="24" fillId="0" borderId="34" xfId="6" applyFont="1" applyFill="1" applyBorder="1" applyAlignment="1" applyProtection="1">
      <alignment horizontal="left" vertical="center"/>
    </xf>
    <xf numFmtId="166" fontId="10" fillId="0" borderId="0" xfId="5" applyNumberFormat="1" applyAlignment="1">
      <alignment vertical="center"/>
    </xf>
    <xf numFmtId="41" fontId="14" fillId="5" borderId="20" xfId="6" applyFont="1" applyFill="1" applyBorder="1" applyAlignment="1" applyProtection="1">
      <alignment horizontal="left" vertical="center"/>
    </xf>
    <xf numFmtId="41" fontId="14" fillId="7" borderId="19" xfId="6" applyFont="1" applyFill="1" applyBorder="1" applyAlignment="1" applyProtection="1">
      <alignment horizontal="left" vertical="center"/>
    </xf>
    <xf numFmtId="41" fontId="14" fillId="7" borderId="20" xfId="6" applyFont="1" applyFill="1" applyBorder="1" applyAlignment="1" applyProtection="1">
      <alignment horizontal="left" vertical="center"/>
    </xf>
    <xf numFmtId="0" fontId="27" fillId="0" borderId="0" xfId="5" applyFont="1" applyAlignment="1">
      <alignment horizontal="center" vertical="center"/>
    </xf>
    <xf numFmtId="41" fontId="12" fillId="0" borderId="3" xfId="5" applyNumberFormat="1" applyFont="1" applyBorder="1" applyAlignment="1">
      <alignment vertical="center"/>
    </xf>
    <xf numFmtId="41" fontId="14" fillId="0" borderId="0" xfId="6" applyFont="1" applyFill="1" applyBorder="1" applyAlignment="1" applyProtection="1">
      <alignment horizontal="left" vertical="center"/>
    </xf>
    <xf numFmtId="3" fontId="12" fillId="0" borderId="3" xfId="5" applyNumberFormat="1" applyFont="1" applyBorder="1" applyAlignment="1">
      <alignment vertical="center"/>
    </xf>
    <xf numFmtId="41" fontId="14" fillId="6" borderId="20" xfId="6" applyFont="1" applyFill="1" applyBorder="1" applyAlignment="1" applyProtection="1">
      <alignment horizontal="left" vertical="center"/>
    </xf>
    <xf numFmtId="41" fontId="14" fillId="6" borderId="34" xfId="6" applyFont="1" applyFill="1" applyBorder="1" applyAlignment="1" applyProtection="1">
      <alignment horizontal="left" vertical="center"/>
    </xf>
    <xf numFmtId="41" fontId="10" fillId="6" borderId="0" xfId="5" applyNumberFormat="1" applyFill="1" applyAlignment="1">
      <alignment vertical="center"/>
    </xf>
    <xf numFmtId="0" fontId="12" fillId="2" borderId="25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41" fontId="12" fillId="0" borderId="3" xfId="5" applyNumberFormat="1" applyFont="1" applyBorder="1" applyAlignment="1">
      <alignment horizontal="center" vertical="center"/>
    </xf>
    <xf numFmtId="0" fontId="12" fillId="2" borderId="37" xfId="6" applyNumberFormat="1" applyFont="1" applyFill="1" applyBorder="1" applyAlignment="1">
      <alignment horizontal="center" vertical="center" wrapText="1"/>
    </xf>
    <xf numFmtId="41" fontId="14" fillId="4" borderId="38" xfId="6" applyFont="1" applyFill="1" applyBorder="1" applyAlignment="1" applyProtection="1">
      <alignment horizontal="left" vertical="center"/>
    </xf>
    <xf numFmtId="41" fontId="14" fillId="4" borderId="39" xfId="6" applyFont="1" applyFill="1" applyBorder="1" applyAlignment="1" applyProtection="1">
      <alignment horizontal="left" vertical="center"/>
    </xf>
    <xf numFmtId="41" fontId="14" fillId="4" borderId="40" xfId="6" applyFont="1" applyFill="1" applyBorder="1" applyAlignment="1" applyProtection="1">
      <alignment horizontal="left" vertical="center"/>
    </xf>
    <xf numFmtId="0" fontId="12" fillId="2" borderId="41" xfId="6" applyNumberFormat="1" applyFont="1" applyFill="1" applyBorder="1" applyAlignment="1">
      <alignment horizontal="center" vertical="center" wrapText="1"/>
    </xf>
    <xf numFmtId="41" fontId="14" fillId="4" borderId="42" xfId="6" applyFont="1" applyFill="1" applyBorder="1" applyAlignment="1" applyProtection="1">
      <alignment horizontal="left" vertical="center"/>
    </xf>
    <xf numFmtId="41" fontId="14" fillId="4" borderId="43" xfId="6" applyFont="1" applyFill="1" applyBorder="1" applyAlignment="1" applyProtection="1">
      <alignment horizontal="left" vertical="center"/>
    </xf>
    <xf numFmtId="41" fontId="14" fillId="4" borderId="44" xfId="6" applyFont="1" applyFill="1" applyBorder="1" applyAlignment="1" applyProtection="1">
      <alignment horizontal="left" vertical="center"/>
    </xf>
    <xf numFmtId="0" fontId="10" fillId="0" borderId="20" xfId="5" quotePrefix="1" applyFill="1" applyBorder="1" applyAlignment="1">
      <alignment horizontal="center" vertical="center"/>
    </xf>
    <xf numFmtId="0" fontId="22" fillId="0" borderId="20" xfId="0" applyFont="1" applyFill="1" applyBorder="1" applyAlignment="1">
      <alignment vertical="center"/>
    </xf>
    <xf numFmtId="166" fontId="22" fillId="0" borderId="20" xfId="3" applyNumberFormat="1" applyFont="1" applyFill="1" applyBorder="1" applyAlignment="1">
      <alignment horizontal="right" vertical="center"/>
    </xf>
    <xf numFmtId="0" fontId="14" fillId="0" borderId="34" xfId="10" applyFont="1" applyFill="1" applyBorder="1" applyAlignment="1">
      <alignment horizontal="center" vertical="center"/>
    </xf>
    <xf numFmtId="0" fontId="10" fillId="0" borderId="34" xfId="10" applyFill="1" applyBorder="1" applyAlignment="1">
      <alignment horizontal="center" vertical="center"/>
    </xf>
    <xf numFmtId="0" fontId="10" fillId="0" borderId="0" xfId="5" applyFill="1" applyAlignment="1">
      <alignment vertical="center"/>
    </xf>
    <xf numFmtId="168" fontId="10" fillId="0" borderId="20" xfId="6" applyNumberFormat="1" applyFont="1" applyFill="1" applyBorder="1" applyAlignment="1">
      <alignment horizontal="center" vertical="center"/>
    </xf>
    <xf numFmtId="41" fontId="14" fillId="8" borderId="20" xfId="6" applyFont="1" applyFill="1" applyBorder="1" applyAlignment="1" applyProtection="1">
      <alignment horizontal="left" vertical="center"/>
    </xf>
    <xf numFmtId="41" fontId="10" fillId="8" borderId="20" xfId="6" applyFont="1" applyFill="1" applyBorder="1" applyAlignment="1">
      <alignment vertical="center"/>
    </xf>
    <xf numFmtId="166" fontId="10" fillId="8" borderId="20" xfId="8" applyNumberFormat="1" applyFont="1" applyFill="1" applyBorder="1" applyAlignment="1">
      <alignment vertical="center"/>
    </xf>
    <xf numFmtId="3" fontId="30" fillId="0" borderId="50" xfId="0" applyNumberFormat="1" applyFont="1" applyFill="1" applyBorder="1"/>
    <xf numFmtId="3" fontId="30" fillId="0" borderId="29" xfId="0" applyNumberFormat="1" applyFont="1" applyFill="1" applyBorder="1"/>
    <xf numFmtId="0" fontId="23" fillId="0" borderId="20" xfId="0" applyFont="1" applyFill="1" applyBorder="1" applyAlignment="1">
      <alignment vertical="center"/>
    </xf>
    <xf numFmtId="169" fontId="14" fillId="0" borderId="14" xfId="6" quotePrefix="1" applyNumberFormat="1" applyFont="1" applyFill="1" applyBorder="1" applyAlignment="1" applyProtection="1">
      <alignment horizontal="center" vertical="center"/>
    </xf>
    <xf numFmtId="0" fontId="10" fillId="0" borderId="30" xfId="10" applyFill="1" applyBorder="1" applyAlignment="1">
      <alignment horizontal="center" vertical="center"/>
    </xf>
    <xf numFmtId="169" fontId="22" fillId="0" borderId="20" xfId="3" applyNumberFormat="1" applyFont="1" applyFill="1" applyBorder="1" applyAlignment="1">
      <alignment horizontal="center" vertical="center"/>
    </xf>
    <xf numFmtId="0" fontId="10" fillId="8" borderId="20" xfId="10" applyFill="1" applyBorder="1" applyAlignment="1">
      <alignment horizontal="center" vertical="center"/>
    </xf>
    <xf numFmtId="0" fontId="0" fillId="5" borderId="0" xfId="0" applyFill="1"/>
    <xf numFmtId="0" fontId="39" fillId="0" borderId="68" xfId="0" applyFont="1" applyFill="1" applyBorder="1" applyAlignment="1">
      <alignment vertical="center"/>
    </xf>
    <xf numFmtId="0" fontId="39" fillId="0" borderId="1" xfId="0" applyFont="1" applyFill="1" applyBorder="1" applyAlignment="1">
      <alignment horizontal="center" vertical="center"/>
    </xf>
    <xf numFmtId="3" fontId="30" fillId="0" borderId="59" xfId="0" applyNumberFormat="1" applyFont="1" applyFill="1" applyBorder="1"/>
    <xf numFmtId="3" fontId="30" fillId="0" borderId="59" xfId="0" applyNumberFormat="1" applyFont="1" applyFill="1" applyBorder="1" applyAlignment="1">
      <alignment horizontal="center"/>
    </xf>
    <xf numFmtId="3" fontId="22" fillId="0" borderId="59" xfId="0" applyNumberFormat="1" applyFont="1" applyFill="1" applyBorder="1" applyAlignment="1">
      <alignment horizontal="center"/>
    </xf>
    <xf numFmtId="3" fontId="22" fillId="0" borderId="59" xfId="0" applyNumberFormat="1" applyFont="1" applyFill="1" applyBorder="1"/>
    <xf numFmtId="3" fontId="30" fillId="0" borderId="69" xfId="0" applyNumberFormat="1" applyFont="1" applyFill="1" applyBorder="1"/>
    <xf numFmtId="166" fontId="39" fillId="0" borderId="59" xfId="3" applyNumberFormat="1" applyFont="1" applyFill="1" applyBorder="1" applyAlignment="1">
      <alignment vertical="center"/>
    </xf>
    <xf numFmtId="3" fontId="31" fillId="0" borderId="70" xfId="0" applyNumberFormat="1" applyFont="1" applyFill="1" applyBorder="1" applyAlignment="1">
      <alignment horizontal="center"/>
    </xf>
    <xf numFmtId="0" fontId="39" fillId="0" borderId="1" xfId="0" applyFont="1" applyFill="1" applyBorder="1" applyAlignment="1">
      <alignment vertical="center"/>
    </xf>
    <xf numFmtId="3" fontId="30" fillId="0" borderId="1" xfId="0" applyNumberFormat="1" applyFont="1" applyFill="1" applyBorder="1"/>
    <xf numFmtId="3" fontId="30" fillId="0" borderId="1" xfId="0" applyNumberFormat="1" applyFont="1" applyFill="1" applyBorder="1" applyAlignment="1">
      <alignment horizontal="center"/>
    </xf>
    <xf numFmtId="3" fontId="22" fillId="0" borderId="1" xfId="0" applyNumberFormat="1" applyFont="1" applyFill="1" applyBorder="1" applyAlignment="1">
      <alignment horizontal="center"/>
    </xf>
    <xf numFmtId="3" fontId="22" fillId="0" borderId="1" xfId="0" applyNumberFormat="1" applyFont="1" applyFill="1" applyBorder="1"/>
    <xf numFmtId="166" fontId="39" fillId="0" borderId="1" xfId="3" applyNumberFormat="1" applyFont="1" applyFill="1" applyBorder="1" applyAlignment="1">
      <alignment vertical="center"/>
    </xf>
    <xf numFmtId="0" fontId="39" fillId="0" borderId="71" xfId="0" applyFont="1" applyFill="1" applyBorder="1" applyAlignment="1">
      <alignment vertical="center"/>
    </xf>
    <xf numFmtId="3" fontId="39" fillId="0" borderId="59" xfId="3" applyNumberFormat="1" applyFont="1" applyFill="1" applyBorder="1" applyAlignment="1">
      <alignment horizontal="left" vertical="center"/>
    </xf>
    <xf numFmtId="37" fontId="22" fillId="0" borderId="1" xfId="3" applyNumberFormat="1" applyFont="1" applyFill="1" applyBorder="1" applyAlignment="1">
      <alignment horizontal="center" vertical="center"/>
    </xf>
    <xf numFmtId="0" fontId="40" fillId="0" borderId="58" xfId="0" applyFont="1" applyFill="1" applyBorder="1" applyAlignment="1">
      <alignment horizontal="left" vertical="center"/>
    </xf>
    <xf numFmtId="0" fontId="0" fillId="0" borderId="0" xfId="0" applyFill="1" applyAlignment="1">
      <alignment horizontal="center"/>
    </xf>
    <xf numFmtId="0" fontId="39" fillId="0" borderId="58" xfId="0" applyFont="1" applyFill="1" applyBorder="1" applyAlignment="1">
      <alignment horizontal="left" vertical="center"/>
    </xf>
    <xf numFmtId="166" fontId="39" fillId="0" borderId="56" xfId="3" applyNumberFormat="1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left" vertical="center"/>
    </xf>
    <xf numFmtId="166" fontId="22" fillId="0" borderId="56" xfId="3" applyNumberFormat="1" applyFont="1" applyFill="1" applyBorder="1" applyAlignment="1">
      <alignment vertical="center"/>
    </xf>
    <xf numFmtId="3" fontId="40" fillId="0" borderId="1" xfId="3" applyNumberFormat="1" applyFont="1" applyFill="1" applyBorder="1" applyAlignment="1">
      <alignment horizontal="left" vertical="center"/>
    </xf>
    <xf numFmtId="0" fontId="41" fillId="0" borderId="1" xfId="3" applyNumberFormat="1" applyFont="1" applyFill="1" applyBorder="1" applyAlignment="1">
      <alignment horizontal="left" vertical="center" wrapText="1"/>
    </xf>
    <xf numFmtId="166" fontId="39" fillId="0" borderId="56" xfId="3" applyNumberFormat="1" applyFont="1" applyFill="1" applyBorder="1" applyAlignment="1">
      <alignment vertical="center"/>
    </xf>
    <xf numFmtId="0" fontId="42" fillId="0" borderId="1" xfId="0" applyNumberFormat="1" applyFont="1" applyFill="1" applyBorder="1" applyAlignment="1">
      <alignment horizontal="left" vertical="center"/>
    </xf>
    <xf numFmtId="0" fontId="39" fillId="0" borderId="14" xfId="0" applyFont="1" applyFill="1" applyBorder="1" applyAlignment="1">
      <alignment horizontal="left" vertical="center"/>
    </xf>
    <xf numFmtId="3" fontId="39" fillId="0" borderId="1" xfId="0" applyNumberFormat="1" applyFont="1" applyFill="1" applyBorder="1" applyAlignment="1">
      <alignment horizontal="left" vertical="center"/>
    </xf>
    <xf numFmtId="0" fontId="39" fillId="0" borderId="58" xfId="0" applyFont="1" applyFill="1" applyBorder="1" applyAlignment="1">
      <alignment horizontal="center" vertical="center"/>
    </xf>
    <xf numFmtId="3" fontId="30" fillId="0" borderId="0" xfId="0" applyNumberFormat="1" applyFont="1" applyFill="1" applyBorder="1"/>
    <xf numFmtId="0" fontId="39" fillId="0" borderId="7" xfId="0" applyFont="1" applyFill="1" applyBorder="1" applyAlignment="1">
      <alignment vertical="center"/>
    </xf>
    <xf numFmtId="0" fontId="39" fillId="0" borderId="59" xfId="0" applyFont="1" applyFill="1" applyBorder="1" applyAlignment="1">
      <alignment vertical="center"/>
    </xf>
    <xf numFmtId="0" fontId="39" fillId="0" borderId="58" xfId="4" applyFont="1" applyFill="1" applyBorder="1" applyAlignment="1">
      <alignment vertical="center"/>
    </xf>
    <xf numFmtId="3" fontId="48" fillId="0" borderId="1" xfId="0" applyNumberFormat="1" applyFont="1" applyFill="1" applyBorder="1" applyAlignment="1">
      <alignment vertical="center"/>
    </xf>
    <xf numFmtId="0" fontId="41" fillId="0" borderId="0" xfId="5" applyFont="1" applyFill="1" applyBorder="1" applyAlignment="1">
      <alignment horizontal="center" vertical="center" wrapText="1"/>
    </xf>
    <xf numFmtId="3" fontId="52" fillId="0" borderId="1" xfId="0" applyNumberFormat="1" applyFont="1" applyFill="1" applyBorder="1" applyAlignment="1"/>
    <xf numFmtId="0" fontId="0" fillId="0" borderId="56" xfId="0" applyFont="1" applyFill="1" applyBorder="1" applyAlignment="1"/>
    <xf numFmtId="0" fontId="0" fillId="0" borderId="56" xfId="0" applyFont="1" applyFill="1" applyBorder="1" applyAlignment="1">
      <alignment vertical="center"/>
    </xf>
    <xf numFmtId="3" fontId="45" fillId="0" borderId="1" xfId="0" applyNumberFormat="1" applyFont="1" applyFill="1" applyBorder="1" applyAlignment="1">
      <alignment vertical="center"/>
    </xf>
    <xf numFmtId="0" fontId="31" fillId="0" borderId="0" xfId="0" applyFont="1" applyFill="1" applyAlignment="1"/>
    <xf numFmtId="0" fontId="0" fillId="0" borderId="0" xfId="0" applyFill="1"/>
    <xf numFmtId="0" fontId="32" fillId="0" borderId="0" xfId="0" applyFont="1" applyFill="1"/>
    <xf numFmtId="0" fontId="0" fillId="0" borderId="0" xfId="0" applyFill="1" applyAlignment="1"/>
    <xf numFmtId="0" fontId="33" fillId="0" borderId="0" xfId="0" applyFont="1" applyFill="1" applyAlignment="1">
      <alignment horizontal="center"/>
    </xf>
    <xf numFmtId="0" fontId="33" fillId="0" borderId="0" xfId="0" applyFont="1" applyFill="1" applyAlignment="1"/>
    <xf numFmtId="0" fontId="34" fillId="0" borderId="0" xfId="0" applyFont="1" applyFill="1" applyAlignment="1"/>
    <xf numFmtId="0" fontId="31" fillId="0" borderId="0" xfId="0" applyFont="1" applyFill="1"/>
    <xf numFmtId="0" fontId="36" fillId="0" borderId="58" xfId="0" applyFont="1" applyFill="1" applyBorder="1" applyAlignment="1">
      <alignment horizontal="center" vertical="center"/>
    </xf>
    <xf numFmtId="0" fontId="36" fillId="0" borderId="58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/>
    </xf>
    <xf numFmtId="0" fontId="36" fillId="0" borderId="56" xfId="0" applyFont="1" applyFill="1" applyBorder="1" applyAlignment="1">
      <alignment horizontal="center" vertical="center"/>
    </xf>
    <xf numFmtId="0" fontId="38" fillId="0" borderId="0" xfId="0" applyFont="1" applyFill="1"/>
    <xf numFmtId="3" fontId="39" fillId="0" borderId="1" xfId="0" applyNumberFormat="1" applyFont="1" applyFill="1" applyBorder="1" applyAlignment="1">
      <alignment horizontal="center" vertical="center"/>
    </xf>
    <xf numFmtId="3" fontId="39" fillId="0" borderId="80" xfId="0" applyNumberFormat="1" applyFont="1" applyFill="1" applyBorder="1" applyAlignment="1">
      <alignment horizontal="center" vertical="center"/>
    </xf>
    <xf numFmtId="3" fontId="39" fillId="5" borderId="80" xfId="0" applyNumberFormat="1" applyFont="1" applyFill="1" applyBorder="1" applyAlignment="1">
      <alignment horizontal="center" vertical="center"/>
    </xf>
    <xf numFmtId="3" fontId="30" fillId="0" borderId="80" xfId="0" applyNumberFormat="1" applyFont="1" applyFill="1" applyBorder="1" applyAlignment="1">
      <alignment horizontal="center"/>
    </xf>
    <xf numFmtId="0" fontId="35" fillId="0" borderId="1" xfId="0" applyFont="1" applyFill="1" applyBorder="1" applyAlignment="1">
      <alignment horizontal="center"/>
    </xf>
    <xf numFmtId="0" fontId="56" fillId="0" borderId="1" xfId="0" applyFont="1" applyFill="1" applyBorder="1" applyAlignment="1">
      <alignment horizontal="center"/>
    </xf>
    <xf numFmtId="3" fontId="57" fillId="0" borderId="1" xfId="0" applyNumberFormat="1" applyFont="1" applyFill="1" applyBorder="1" applyAlignment="1">
      <alignment horizontal="center"/>
    </xf>
    <xf numFmtId="164" fontId="0" fillId="0" borderId="0" xfId="1" applyFont="1" applyFill="1"/>
    <xf numFmtId="3" fontId="0" fillId="0" borderId="0" xfId="0" applyNumberFormat="1" applyFill="1"/>
    <xf numFmtId="0" fontId="39" fillId="0" borderId="0" xfId="0" applyFont="1" applyFill="1" applyBorder="1" applyAlignment="1">
      <alignment vertical="center"/>
    </xf>
    <xf numFmtId="3" fontId="0" fillId="0" borderId="0" xfId="0" applyNumberFormat="1" applyFill="1" applyAlignment="1">
      <alignment horizontal="center"/>
    </xf>
    <xf numFmtId="3" fontId="32" fillId="0" borderId="0" xfId="0" applyNumberFormat="1" applyFont="1" applyFill="1"/>
    <xf numFmtId="164" fontId="32" fillId="0" borderId="1" xfId="1" applyFont="1" applyFill="1" applyBorder="1"/>
    <xf numFmtId="164" fontId="32" fillId="0" borderId="0" xfId="1" applyFont="1" applyFill="1"/>
    <xf numFmtId="41" fontId="32" fillId="0" borderId="0" xfId="0" applyNumberFormat="1" applyFont="1" applyFill="1"/>
    <xf numFmtId="164" fontId="32" fillId="0" borderId="80" xfId="1" applyFont="1" applyFill="1" applyBorder="1"/>
    <xf numFmtId="164" fontId="34" fillId="0" borderId="1" xfId="1" applyFont="1" applyFill="1" applyBorder="1"/>
    <xf numFmtId="41" fontId="10" fillId="0" borderId="0" xfId="6" applyFont="1" applyFill="1" applyAlignment="1">
      <alignment horizontal="center" vertical="center"/>
    </xf>
    <xf numFmtId="164" fontId="0" fillId="0" borderId="1" xfId="1" applyFont="1" applyFill="1" applyBorder="1" applyAlignment="1">
      <alignment horizontal="center"/>
    </xf>
    <xf numFmtId="0" fontId="44" fillId="0" borderId="0" xfId="0" applyFont="1" applyFill="1" applyAlignment="1">
      <alignment horizontal="left"/>
    </xf>
    <xf numFmtId="0" fontId="39" fillId="0" borderId="0" xfId="0" applyFont="1" applyFill="1" applyAlignment="1">
      <alignment horizontal="left"/>
    </xf>
    <xf numFmtId="0" fontId="39" fillId="0" borderId="0" xfId="0" applyFont="1" applyFill="1" applyAlignment="1"/>
    <xf numFmtId="0" fontId="39" fillId="0" borderId="0" xfId="0" applyFont="1" applyFill="1" applyAlignment="1">
      <alignment horizontal="center"/>
    </xf>
    <xf numFmtId="3" fontId="39" fillId="0" borderId="0" xfId="0" applyNumberFormat="1" applyFont="1" applyFill="1" applyAlignment="1">
      <alignment horizontal="center"/>
    </xf>
    <xf numFmtId="3" fontId="39" fillId="0" borderId="0" xfId="0" applyNumberFormat="1" applyFont="1" applyFill="1" applyAlignment="1">
      <alignment horizontal="center" vertical="center"/>
    </xf>
    <xf numFmtId="0" fontId="45" fillId="0" borderId="0" xfId="0" applyFont="1" applyFill="1" applyAlignment="1">
      <alignment horizontal="center"/>
    </xf>
    <xf numFmtId="2" fontId="39" fillId="0" borderId="0" xfId="0" applyNumberFormat="1" applyFont="1" applyFill="1" applyAlignment="1"/>
    <xf numFmtId="0" fontId="39" fillId="0" borderId="23" xfId="0" applyFont="1" applyFill="1" applyBorder="1" applyAlignment="1">
      <alignment horizontal="center"/>
    </xf>
    <xf numFmtId="0" fontId="46" fillId="0" borderId="7" xfId="0" applyFont="1" applyFill="1" applyBorder="1" applyAlignment="1">
      <alignment horizontal="center" vertical="center"/>
    </xf>
    <xf numFmtId="0" fontId="46" fillId="0" borderId="55" xfId="0" applyFont="1" applyFill="1" applyBorder="1" applyAlignment="1">
      <alignment horizontal="center"/>
    </xf>
    <xf numFmtId="0" fontId="39" fillId="0" borderId="55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46" fillId="0" borderId="58" xfId="0" applyFont="1" applyFill="1" applyBorder="1" applyAlignment="1">
      <alignment horizontal="center"/>
    </xf>
    <xf numFmtId="0" fontId="46" fillId="0" borderId="73" xfId="0" applyFont="1" applyFill="1" applyBorder="1" applyAlignment="1">
      <alignment horizontal="center" vertical="center"/>
    </xf>
    <xf numFmtId="0" fontId="39" fillId="0" borderId="47" xfId="0" applyFont="1" applyFill="1" applyBorder="1" applyAlignment="1">
      <alignment horizontal="center"/>
    </xf>
    <xf numFmtId="0" fontId="46" fillId="0" borderId="14" xfId="0" applyFont="1" applyFill="1" applyBorder="1" applyAlignment="1">
      <alignment horizontal="center"/>
    </xf>
    <xf numFmtId="0" fontId="46" fillId="0" borderId="48" xfId="0" applyFont="1" applyFill="1" applyBorder="1" applyAlignment="1">
      <alignment horizontal="center"/>
    </xf>
    <xf numFmtId="0" fontId="46" fillId="0" borderId="14" xfId="0" applyFont="1" applyFill="1" applyBorder="1" applyAlignment="1">
      <alignment horizontal="center" vertical="center"/>
    </xf>
    <xf numFmtId="0" fontId="46" fillId="0" borderId="60" xfId="0" applyFont="1" applyFill="1" applyBorder="1" applyAlignment="1">
      <alignment horizontal="center"/>
    </xf>
    <xf numFmtId="0" fontId="39" fillId="0" borderId="60" xfId="0" applyFont="1" applyFill="1" applyBorder="1" applyAlignment="1">
      <alignment horizontal="center" vertical="center"/>
    </xf>
    <xf numFmtId="10" fontId="46" fillId="0" borderId="18" xfId="0" applyNumberFormat="1" applyFont="1" applyFill="1" applyBorder="1" applyAlignment="1">
      <alignment horizontal="center"/>
    </xf>
    <xf numFmtId="0" fontId="46" fillId="0" borderId="24" xfId="0" applyFont="1" applyFill="1" applyBorder="1" applyAlignment="1">
      <alignment horizontal="center" vertical="center"/>
    </xf>
    <xf numFmtId="0" fontId="39" fillId="0" borderId="18" xfId="0" applyFont="1" applyFill="1" applyBorder="1" applyAlignment="1">
      <alignment horizontal="center"/>
    </xf>
    <xf numFmtId="9" fontId="46" fillId="0" borderId="18" xfId="0" applyNumberFormat="1" applyFont="1" applyFill="1" applyBorder="1" applyAlignment="1">
      <alignment horizontal="center"/>
    </xf>
    <xf numFmtId="0" fontId="46" fillId="0" borderId="18" xfId="0" applyFont="1" applyFill="1" applyBorder="1" applyAlignment="1">
      <alignment horizontal="center"/>
    </xf>
    <xf numFmtId="0" fontId="47" fillId="0" borderId="24" xfId="0" applyFont="1" applyFill="1" applyBorder="1" applyAlignment="1">
      <alignment horizontal="center"/>
    </xf>
    <xf numFmtId="0" fontId="46" fillId="0" borderId="28" xfId="0" applyFont="1" applyFill="1" applyBorder="1" applyAlignment="1">
      <alignment horizontal="center"/>
    </xf>
    <xf numFmtId="9" fontId="39" fillId="0" borderId="28" xfId="0" applyNumberFormat="1" applyFont="1" applyFill="1" applyBorder="1" applyAlignment="1">
      <alignment horizontal="center"/>
    </xf>
    <xf numFmtId="3" fontId="48" fillId="0" borderId="59" xfId="0" applyNumberFormat="1" applyFont="1" applyFill="1" applyBorder="1" applyAlignment="1">
      <alignment horizontal="center" vertical="center"/>
    </xf>
    <xf numFmtId="3" fontId="48" fillId="0" borderId="59" xfId="0" applyNumberFormat="1" applyFont="1" applyFill="1" applyBorder="1" applyAlignment="1">
      <alignment vertical="center"/>
    </xf>
    <xf numFmtId="166" fontId="39" fillId="0" borderId="1" xfId="3" applyNumberFormat="1" applyFont="1" applyFill="1" applyBorder="1" applyAlignment="1">
      <alignment horizontal="center" vertical="center"/>
    </xf>
    <xf numFmtId="3" fontId="45" fillId="0" borderId="59" xfId="0" applyNumberFormat="1" applyFont="1" applyFill="1" applyBorder="1" applyAlignment="1">
      <alignment horizontal="left"/>
    </xf>
    <xf numFmtId="3" fontId="0" fillId="0" borderId="0" xfId="0" applyNumberFormat="1" applyFill="1" applyBorder="1" applyAlignment="1"/>
    <xf numFmtId="166" fontId="0" fillId="0" borderId="0" xfId="0" applyNumberFormat="1" applyFill="1" applyBorder="1" applyAlignment="1"/>
    <xf numFmtId="3" fontId="48" fillId="0" borderId="1" xfId="0" applyNumberFormat="1" applyFont="1" applyFill="1" applyBorder="1" applyAlignment="1"/>
    <xf numFmtId="3" fontId="48" fillId="0" borderId="0" xfId="0" applyNumberFormat="1" applyFont="1" applyFill="1" applyBorder="1" applyAlignment="1"/>
    <xf numFmtId="3" fontId="48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/>
    <xf numFmtId="3" fontId="48" fillId="0" borderId="1" xfId="0" applyNumberFormat="1" applyFont="1" applyFill="1" applyBorder="1" applyAlignment="1">
      <alignment horizontal="center" vertical="center"/>
    </xf>
    <xf numFmtId="3" fontId="48" fillId="0" borderId="14" xfId="0" applyNumberFormat="1" applyFont="1" applyFill="1" applyBorder="1" applyAlignment="1"/>
    <xf numFmtId="3" fontId="48" fillId="0" borderId="47" xfId="0" applyNumberFormat="1" applyFont="1" applyFill="1" applyBorder="1" applyAlignment="1"/>
    <xf numFmtId="3" fontId="49" fillId="0" borderId="76" xfId="0" applyNumberFormat="1" applyFont="1" applyFill="1" applyBorder="1" applyAlignment="1"/>
    <xf numFmtId="3" fontId="50" fillId="0" borderId="0" xfId="0" applyNumberFormat="1" applyFont="1" applyFill="1" applyBorder="1" applyAlignment="1"/>
    <xf numFmtId="0" fontId="0" fillId="0" borderId="0" xfId="0" applyFill="1" applyAlignment="1">
      <alignment horizontal="left"/>
    </xf>
    <xf numFmtId="3" fontId="0" fillId="0" borderId="0" xfId="0" applyNumberFormat="1" applyFill="1" applyAlignment="1"/>
    <xf numFmtId="3" fontId="0" fillId="0" borderId="0" xfId="0" applyNumberFormat="1" applyFill="1" applyAlignment="1">
      <alignment vertical="center"/>
    </xf>
    <xf numFmtId="0" fontId="44" fillId="0" borderId="0" xfId="0" applyFont="1" applyFill="1" applyAlignment="1"/>
    <xf numFmtId="0" fontId="47" fillId="0" borderId="0" xfId="0" applyFont="1" applyFill="1" applyAlignment="1">
      <alignment horizontal="center"/>
    </xf>
    <xf numFmtId="0" fontId="47" fillId="0" borderId="0" xfId="0" applyFont="1" applyFill="1" applyAlignment="1"/>
    <xf numFmtId="3" fontId="47" fillId="0" borderId="0" xfId="0" applyNumberFormat="1" applyFont="1" applyFill="1" applyAlignment="1">
      <alignment horizontal="center"/>
    </xf>
    <xf numFmtId="3" fontId="47" fillId="0" borderId="0" xfId="0" applyNumberFormat="1" applyFont="1" applyFill="1" applyAlignment="1">
      <alignment horizontal="center" vertical="center"/>
    </xf>
    <xf numFmtId="0" fontId="46" fillId="0" borderId="6" xfId="0" applyFont="1" applyFill="1" applyBorder="1" applyAlignment="1">
      <alignment horizontal="center"/>
    </xf>
    <xf numFmtId="0" fontId="46" fillId="0" borderId="7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 vertical="center"/>
    </xf>
    <xf numFmtId="0" fontId="46" fillId="0" borderId="13" xfId="0" applyFont="1" applyFill="1" applyBorder="1" applyAlignment="1">
      <alignment horizontal="center"/>
    </xf>
    <xf numFmtId="0" fontId="39" fillId="0" borderId="48" xfId="0" applyFont="1" applyFill="1" applyBorder="1" applyAlignment="1">
      <alignment horizontal="center" vertical="center"/>
    </xf>
    <xf numFmtId="0" fontId="46" fillId="0" borderId="17" xfId="0" applyFont="1" applyFill="1" applyBorder="1" applyAlignment="1">
      <alignment horizontal="center"/>
    </xf>
    <xf numFmtId="9" fontId="39" fillId="0" borderId="24" xfId="0" applyNumberFormat="1" applyFont="1" applyFill="1" applyBorder="1" applyAlignment="1">
      <alignment horizontal="center"/>
    </xf>
    <xf numFmtId="0" fontId="39" fillId="0" borderId="54" xfId="0" applyFont="1" applyFill="1" applyBorder="1" applyAlignment="1">
      <alignment vertical="center"/>
    </xf>
    <xf numFmtId="3" fontId="48" fillId="0" borderId="59" xfId="0" applyNumberFormat="1" applyFont="1" applyFill="1" applyBorder="1" applyAlignment="1">
      <alignment horizontal="center"/>
    </xf>
    <xf numFmtId="3" fontId="45" fillId="0" borderId="59" xfId="0" applyNumberFormat="1" applyFont="1" applyFill="1" applyBorder="1" applyAlignment="1">
      <alignment horizontal="center"/>
    </xf>
    <xf numFmtId="3" fontId="48" fillId="0" borderId="59" xfId="0" applyNumberFormat="1" applyFont="1" applyFill="1" applyBorder="1" applyAlignment="1"/>
    <xf numFmtId="3" fontId="51" fillId="0" borderId="59" xfId="0" applyNumberFormat="1" applyFont="1" applyFill="1" applyBorder="1" applyAlignment="1">
      <alignment horizontal="left"/>
    </xf>
    <xf numFmtId="9" fontId="51" fillId="0" borderId="59" xfId="0" applyNumberFormat="1" applyFont="1" applyFill="1" applyBorder="1" applyAlignment="1">
      <alignment horizontal="left"/>
    </xf>
    <xf numFmtId="0" fontId="0" fillId="0" borderId="51" xfId="0" applyFill="1" applyBorder="1" applyAlignment="1"/>
    <xf numFmtId="0" fontId="0" fillId="0" borderId="78" xfId="0" applyFill="1" applyBorder="1" applyAlignment="1"/>
    <xf numFmtId="0" fontId="0" fillId="0" borderId="56" xfId="0" applyFill="1" applyBorder="1" applyAlignment="1"/>
    <xf numFmtId="0" fontId="0" fillId="0" borderId="79" xfId="0" applyFill="1" applyBorder="1" applyAlignment="1"/>
    <xf numFmtId="3" fontId="52" fillId="0" borderId="56" xfId="0" applyNumberFormat="1" applyFont="1" applyFill="1" applyBorder="1" applyAlignment="1"/>
    <xf numFmtId="0" fontId="0" fillId="0" borderId="1" xfId="0" applyFill="1" applyBorder="1" applyAlignment="1">
      <alignment vertical="center"/>
    </xf>
    <xf numFmtId="3" fontId="53" fillId="0" borderId="59" xfId="0" applyNumberFormat="1" applyFont="1" applyFill="1" applyBorder="1" applyAlignment="1">
      <alignment horizontal="center" vertical="center"/>
    </xf>
    <xf numFmtId="0" fontId="39" fillId="0" borderId="58" xfId="0" quotePrefix="1" applyFont="1" applyFill="1" applyBorder="1" applyAlignment="1">
      <alignment vertical="center"/>
    </xf>
    <xf numFmtId="0" fontId="41" fillId="0" borderId="1" xfId="0" quotePrefix="1" applyFont="1" applyFill="1" applyBorder="1" applyAlignment="1">
      <alignment horizontal="left" vertical="center"/>
    </xf>
    <xf numFmtId="0" fontId="40" fillId="0" borderId="1" xfId="0" applyFont="1" applyFill="1" applyBorder="1" applyAlignment="1">
      <alignment vertical="center"/>
    </xf>
    <xf numFmtId="0" fontId="0" fillId="0" borderId="70" xfId="0" applyFill="1" applyBorder="1" applyAlignment="1"/>
    <xf numFmtId="0" fontId="40" fillId="0" borderId="58" xfId="4" applyFont="1" applyFill="1" applyBorder="1" applyAlignment="1">
      <alignment vertical="center"/>
    </xf>
    <xf numFmtId="0" fontId="0" fillId="0" borderId="70" xfId="0" applyFont="1" applyFill="1" applyBorder="1" applyAlignment="1">
      <alignment vertical="center"/>
    </xf>
    <xf numFmtId="0" fontId="0" fillId="0" borderId="79" xfId="0" applyFont="1" applyFill="1" applyBorder="1" applyAlignment="1"/>
    <xf numFmtId="0" fontId="40" fillId="0" borderId="58" xfId="0" quotePrefix="1" applyFont="1" applyFill="1" applyBorder="1" applyAlignment="1">
      <alignment vertical="center"/>
    </xf>
    <xf numFmtId="0" fontId="0" fillId="0" borderId="79" xfId="0" applyFont="1" applyFill="1" applyBorder="1" applyAlignment="1">
      <alignment vertical="center"/>
    </xf>
    <xf numFmtId="3" fontId="52" fillId="0" borderId="68" xfId="0" applyNumberFormat="1" applyFont="1" applyFill="1" applyBorder="1" applyAlignment="1"/>
    <xf numFmtId="3" fontId="52" fillId="0" borderId="68" xfId="0" quotePrefix="1" applyNumberFormat="1" applyFont="1" applyFill="1" applyBorder="1" applyAlignment="1"/>
    <xf numFmtId="164" fontId="33" fillId="0" borderId="1" xfId="1" applyFont="1" applyFill="1" applyBorder="1" applyAlignment="1"/>
    <xf numFmtId="3" fontId="50" fillId="0" borderId="1" xfId="0" applyNumberFormat="1" applyFont="1" applyFill="1" applyBorder="1" applyAlignment="1"/>
    <xf numFmtId="3" fontId="50" fillId="0" borderId="68" xfId="0" applyNumberFormat="1" applyFont="1" applyFill="1" applyBorder="1" applyAlignment="1"/>
    <xf numFmtId="0" fontId="0" fillId="0" borderId="1" xfId="0" applyFill="1" applyBorder="1" applyAlignment="1">
      <alignment horizontal="center"/>
    </xf>
    <xf numFmtId="0" fontId="0" fillId="0" borderId="70" xfId="0" applyFill="1" applyBorder="1" applyAlignment="1">
      <alignment horizontal="center"/>
    </xf>
    <xf numFmtId="0" fontId="49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vertical="center"/>
    </xf>
    <xf numFmtId="0" fontId="0" fillId="0" borderId="70" xfId="0" applyFont="1" applyFill="1" applyBorder="1" applyAlignment="1"/>
    <xf numFmtId="0" fontId="54" fillId="0" borderId="0" xfId="0" applyFont="1" applyFill="1" applyAlignment="1"/>
    <xf numFmtId="0" fontId="0" fillId="0" borderId="72" xfId="0" applyFill="1" applyBorder="1" applyAlignment="1">
      <alignment horizontal="left"/>
    </xf>
    <xf numFmtId="0" fontId="0" fillId="0" borderId="57" xfId="0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3" fontId="48" fillId="0" borderId="79" xfId="0" applyNumberFormat="1" applyFont="1" applyFill="1" applyBorder="1" applyAlignment="1"/>
    <xf numFmtId="0" fontId="32" fillId="0" borderId="0" xfId="0" applyFont="1" applyFill="1" applyAlignment="1">
      <alignment horizontal="center"/>
    </xf>
    <xf numFmtId="0" fontId="34" fillId="0" borderId="0" xfId="0" applyFont="1" applyFill="1" applyAlignment="1">
      <alignment horizontal="center"/>
    </xf>
    <xf numFmtId="0" fontId="35" fillId="0" borderId="7" xfId="0" applyFont="1" applyFill="1" applyBorder="1" applyAlignment="1">
      <alignment horizontal="center" vertical="center"/>
    </xf>
    <xf numFmtId="0" fontId="36" fillId="0" borderId="52" xfId="0" applyFont="1" applyFill="1" applyBorder="1" applyAlignment="1"/>
    <xf numFmtId="0" fontId="36" fillId="0" borderId="53" xfId="0" applyFont="1" applyFill="1" applyBorder="1" applyAlignment="1"/>
    <xf numFmtId="0" fontId="35" fillId="0" borderId="7" xfId="0" applyFont="1" applyFill="1" applyBorder="1" applyAlignment="1">
      <alignment horizontal="center"/>
    </xf>
    <xf numFmtId="0" fontId="35" fillId="0" borderId="55" xfId="0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horizontal="center" vertical="center"/>
    </xf>
    <xf numFmtId="0" fontId="35" fillId="0" borderId="58" xfId="0" applyFont="1" applyFill="1" applyBorder="1" applyAlignment="1">
      <alignment horizontal="center" vertical="center"/>
    </xf>
    <xf numFmtId="0" fontId="35" fillId="0" borderId="60" xfId="0" applyFont="1" applyFill="1" applyBorder="1" applyAlignment="1">
      <alignment horizontal="center" vertical="center"/>
    </xf>
    <xf numFmtId="0" fontId="35" fillId="0" borderId="65" xfId="0" applyFont="1" applyFill="1" applyBorder="1" applyAlignment="1">
      <alignment horizontal="center" vertical="center"/>
    </xf>
    <xf numFmtId="0" fontId="35" fillId="0" borderId="67" xfId="0" applyFont="1" applyFill="1" applyBorder="1" applyAlignment="1">
      <alignment horizontal="center" vertical="center"/>
    </xf>
    <xf numFmtId="166" fontId="22" fillId="0" borderId="1" xfId="8" applyNumberFormat="1" applyFont="1" applyFill="1" applyBorder="1" applyAlignment="1">
      <alignment horizontal="center" vertical="center"/>
    </xf>
    <xf numFmtId="3" fontId="33" fillId="0" borderId="1" xfId="0" applyNumberFormat="1" applyFont="1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43" fillId="0" borderId="0" xfId="0" applyFont="1" applyFill="1" applyBorder="1" applyAlignment="1">
      <alignment horizontal="center" vertical="center"/>
    </xf>
    <xf numFmtId="3" fontId="33" fillId="0" borderId="0" xfId="0" applyNumberFormat="1" applyFont="1" applyFill="1" applyBorder="1" applyAlignment="1">
      <alignment horizontal="center"/>
    </xf>
    <xf numFmtId="41" fontId="12" fillId="0" borderId="0" xfId="6" applyFont="1" applyFill="1" applyAlignment="1">
      <alignment vertical="center"/>
    </xf>
    <xf numFmtId="0" fontId="10" fillId="0" borderId="0" xfId="5" applyFill="1" applyAlignment="1">
      <alignment horizontal="left" vertical="center"/>
    </xf>
    <xf numFmtId="0" fontId="10" fillId="0" borderId="0" xfId="5" applyFill="1" applyAlignment="1">
      <alignment horizontal="center" vertical="center"/>
    </xf>
    <xf numFmtId="0" fontId="12" fillId="0" borderId="18" xfId="5" applyFont="1" applyFill="1" applyBorder="1" applyAlignment="1">
      <alignment horizontal="center" vertical="center"/>
    </xf>
    <xf numFmtId="0" fontId="12" fillId="0" borderId="28" xfId="5" applyFont="1" applyFill="1" applyBorder="1" applyAlignment="1">
      <alignment horizontal="center" vertical="center"/>
    </xf>
    <xf numFmtId="0" fontId="12" fillId="0" borderId="18" xfId="6" applyNumberFormat="1" applyFont="1" applyFill="1" applyBorder="1" applyAlignment="1">
      <alignment horizontal="center" vertical="center" wrapText="1"/>
    </xf>
    <xf numFmtId="0" fontId="12" fillId="0" borderId="8" xfId="6" applyNumberFormat="1" applyFont="1" applyFill="1" applyBorder="1" applyAlignment="1">
      <alignment horizontal="center" vertical="center" wrapText="1"/>
    </xf>
    <xf numFmtId="0" fontId="20" fillId="0" borderId="3" xfId="5" applyFont="1" applyFill="1" applyBorder="1" applyAlignment="1">
      <alignment horizontal="center" vertical="center"/>
    </xf>
    <xf numFmtId="0" fontId="20" fillId="0" borderId="3" xfId="6" applyNumberFormat="1" applyFont="1" applyFill="1" applyBorder="1" applyAlignment="1">
      <alignment horizontal="center" vertical="center"/>
    </xf>
    <xf numFmtId="0" fontId="21" fillId="0" borderId="0" xfId="5" applyFont="1" applyFill="1" applyAlignment="1">
      <alignment horizontal="center" vertical="center"/>
    </xf>
    <xf numFmtId="0" fontId="22" fillId="0" borderId="19" xfId="0" applyFont="1" applyFill="1" applyBorder="1" applyAlignment="1">
      <alignment horizontal="left" vertical="center"/>
    </xf>
    <xf numFmtId="166" fontId="22" fillId="0" borderId="19" xfId="3" applyNumberFormat="1" applyFont="1" applyFill="1" applyBorder="1" applyAlignment="1">
      <alignment horizontal="right" vertical="center"/>
    </xf>
    <xf numFmtId="169" fontId="22" fillId="0" borderId="19" xfId="3" quotePrefix="1" applyNumberFormat="1" applyFont="1" applyFill="1" applyBorder="1" applyAlignment="1">
      <alignment horizontal="center" vertical="center"/>
    </xf>
    <xf numFmtId="167" fontId="14" fillId="0" borderId="34" xfId="5" applyNumberFormat="1" applyFont="1" applyFill="1" applyBorder="1" applyAlignment="1">
      <alignment horizontal="center" vertical="center"/>
    </xf>
    <xf numFmtId="0" fontId="14" fillId="0" borderId="19" xfId="10" applyFont="1" applyFill="1" applyBorder="1" applyAlignment="1">
      <alignment horizontal="center" vertical="center"/>
    </xf>
    <xf numFmtId="0" fontId="10" fillId="0" borderId="19" xfId="10" applyFill="1" applyBorder="1" applyAlignment="1">
      <alignment horizontal="center" vertical="center"/>
    </xf>
    <xf numFmtId="0" fontId="10" fillId="0" borderId="20" xfId="10" applyFill="1" applyBorder="1" applyAlignment="1">
      <alignment horizontal="center" vertical="center"/>
    </xf>
    <xf numFmtId="0" fontId="14" fillId="0" borderId="20" xfId="10" applyFont="1" applyFill="1" applyBorder="1" applyAlignment="1">
      <alignment horizontal="center" vertical="center"/>
    </xf>
    <xf numFmtId="169" fontId="22" fillId="0" borderId="20" xfId="3" quotePrefix="1" applyNumberFormat="1" applyFont="1" applyFill="1" applyBorder="1" applyAlignment="1">
      <alignment horizontal="center" vertical="center"/>
    </xf>
    <xf numFmtId="166" fontId="22" fillId="0" borderId="21" xfId="3" applyNumberFormat="1" applyFont="1" applyFill="1" applyBorder="1" applyAlignment="1">
      <alignment horizontal="right" vertical="center"/>
    </xf>
    <xf numFmtId="169" fontId="22" fillId="0" borderId="21" xfId="3" applyNumberFormat="1" applyFont="1" applyFill="1" applyBorder="1" applyAlignment="1">
      <alignment horizontal="center" vertical="center"/>
    </xf>
    <xf numFmtId="0" fontId="10" fillId="0" borderId="21" xfId="5" quotePrefix="1" applyFill="1" applyBorder="1" applyAlignment="1">
      <alignment horizontal="center" vertical="center"/>
    </xf>
    <xf numFmtId="166" fontId="22" fillId="0" borderId="21" xfId="3" quotePrefix="1" applyNumberFormat="1" applyFont="1" applyFill="1" applyBorder="1" applyAlignment="1">
      <alignment horizontal="right" vertical="center"/>
    </xf>
    <xf numFmtId="169" fontId="22" fillId="0" borderId="32" xfId="3" quotePrefix="1" applyNumberFormat="1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vertical="center"/>
    </xf>
    <xf numFmtId="0" fontId="29" fillId="0" borderId="20" xfId="0" applyFont="1" applyFill="1" applyBorder="1" applyAlignment="1">
      <alignment horizontal="center" vertical="center"/>
    </xf>
    <xf numFmtId="0" fontId="10" fillId="0" borderId="45" xfId="10" applyFill="1" applyBorder="1" applyAlignment="1">
      <alignment horizontal="center" vertical="center"/>
    </xf>
    <xf numFmtId="167" fontId="14" fillId="0" borderId="21" xfId="5" applyNumberFormat="1" applyFont="1" applyFill="1" applyBorder="1" applyAlignment="1">
      <alignment horizontal="left" vertical="center"/>
    </xf>
    <xf numFmtId="0" fontId="10" fillId="0" borderId="21" xfId="10" applyFill="1" applyBorder="1" applyAlignment="1">
      <alignment horizontal="center" vertical="center"/>
    </xf>
    <xf numFmtId="167" fontId="14" fillId="0" borderId="20" xfId="5" applyNumberFormat="1" applyFont="1" applyFill="1" applyBorder="1" applyAlignment="1">
      <alignment horizontal="left" vertical="center"/>
    </xf>
    <xf numFmtId="0" fontId="12" fillId="0" borderId="31" xfId="5" quotePrefix="1" applyFont="1" applyFill="1" applyBorder="1" applyAlignment="1">
      <alignment vertical="center"/>
    </xf>
    <xf numFmtId="0" fontId="12" fillId="0" borderId="33" xfId="5" quotePrefix="1" applyFont="1" applyFill="1" applyBorder="1" applyAlignment="1">
      <alignment vertical="center"/>
    </xf>
    <xf numFmtId="166" fontId="12" fillId="0" borderId="31" xfId="3" applyNumberFormat="1" applyFont="1" applyFill="1" applyBorder="1" applyAlignment="1">
      <alignment vertical="center"/>
    </xf>
    <xf numFmtId="0" fontId="12" fillId="0" borderId="0" xfId="5" applyFont="1" applyFill="1" applyAlignment="1">
      <alignment vertical="center"/>
    </xf>
    <xf numFmtId="0" fontId="12" fillId="0" borderId="0" xfId="5" applyFont="1" applyFill="1"/>
    <xf numFmtId="0" fontId="10" fillId="0" borderId="0" xfId="5" applyFill="1"/>
    <xf numFmtId="0" fontId="10" fillId="0" borderId="0" xfId="11" applyFill="1"/>
    <xf numFmtId="0" fontId="10" fillId="0" borderId="0" xfId="11" applyFill="1" applyAlignment="1">
      <alignment horizontal="left"/>
    </xf>
    <xf numFmtId="0" fontId="10" fillId="0" borderId="0" xfId="11" applyFill="1" applyAlignment="1">
      <alignment vertical="center"/>
    </xf>
    <xf numFmtId="1" fontId="14" fillId="0" borderId="0" xfId="12" applyNumberFormat="1" applyFont="1" applyFill="1" applyAlignment="1">
      <alignment horizontal="left" vertical="center"/>
    </xf>
    <xf numFmtId="0" fontId="14" fillId="0" borderId="0" xfId="13" applyFont="1" applyFill="1"/>
    <xf numFmtId="0" fontId="14" fillId="0" borderId="0" xfId="5" applyFont="1" applyFill="1" applyAlignment="1">
      <alignment horizontal="left"/>
    </xf>
    <xf numFmtId="0" fontId="14" fillId="0" borderId="0" xfId="13" applyFont="1" applyFill="1" applyAlignment="1">
      <alignment vertical="center"/>
    </xf>
    <xf numFmtId="0" fontId="14" fillId="0" borderId="0" xfId="5" applyFont="1" applyFill="1"/>
    <xf numFmtId="0" fontId="14" fillId="0" borderId="0" xfId="14" applyFont="1" applyFill="1"/>
    <xf numFmtId="0" fontId="14" fillId="0" borderId="0" xfId="15" applyFill="1" applyAlignment="1">
      <alignment vertical="center"/>
    </xf>
    <xf numFmtId="0" fontId="14" fillId="0" borderId="0" xfId="16" applyFont="1" applyFill="1"/>
    <xf numFmtId="0" fontId="14" fillId="0" borderId="0" xfId="13" applyFont="1" applyFill="1" applyAlignment="1" applyProtection="1">
      <alignment vertical="center"/>
      <protection locked="0"/>
    </xf>
    <xf numFmtId="0" fontId="14" fillId="0" borderId="0" xfId="17" applyFont="1" applyFill="1" applyAlignment="1" applyProtection="1">
      <alignment vertical="center"/>
      <protection locked="0"/>
    </xf>
    <xf numFmtId="0" fontId="17" fillId="0" borderId="0" xfId="14" applyFont="1" applyFill="1"/>
    <xf numFmtId="0" fontId="14" fillId="0" borderId="0" xfId="14" applyFont="1" applyFill="1" applyAlignment="1">
      <alignment horizontal="left"/>
    </xf>
    <xf numFmtId="0" fontId="14" fillId="0" borderId="0" xfId="5" applyFont="1" applyFill="1" applyAlignment="1">
      <alignment vertical="center"/>
    </xf>
    <xf numFmtId="0" fontId="14" fillId="0" borderId="0" xfId="13" applyFont="1" applyFill="1" applyAlignment="1">
      <alignment horizontal="left"/>
    </xf>
    <xf numFmtId="0" fontId="10" fillId="0" borderId="0" xfId="5" applyFill="1" applyAlignment="1" applyProtection="1">
      <alignment horizontal="left" vertical="center"/>
      <protection locked="0"/>
    </xf>
    <xf numFmtId="0" fontId="14" fillId="0" borderId="0" xfId="5" applyFont="1" applyFill="1" applyAlignment="1" applyProtection="1">
      <alignment vertical="center"/>
      <protection locked="0"/>
    </xf>
    <xf numFmtId="0" fontId="14" fillId="0" borderId="0" xfId="13" applyFont="1" applyFill="1" applyAlignment="1" applyProtection="1">
      <alignment horizontal="left" vertical="center"/>
      <protection locked="0"/>
    </xf>
    <xf numFmtId="170" fontId="14" fillId="8" borderId="20" xfId="5" quotePrefix="1" applyNumberFormat="1" applyFont="1" applyFill="1" applyBorder="1" applyAlignment="1">
      <alignment horizontal="center" vertical="center"/>
    </xf>
    <xf numFmtId="41" fontId="14" fillId="8" borderId="21" xfId="6" applyFont="1" applyFill="1" applyBorder="1" applyAlignment="1" applyProtection="1">
      <alignment horizontal="left" vertical="center"/>
    </xf>
    <xf numFmtId="0" fontId="10" fillId="8" borderId="21" xfId="10" applyFill="1" applyBorder="1" applyAlignment="1">
      <alignment horizontal="center" vertical="center"/>
    </xf>
    <xf numFmtId="41" fontId="10" fillId="8" borderId="21" xfId="6" applyFont="1" applyFill="1" applyBorder="1" applyAlignment="1">
      <alignment vertical="center"/>
    </xf>
    <xf numFmtId="166" fontId="10" fillId="8" borderId="21" xfId="8" applyNumberFormat="1" applyFont="1" applyFill="1" applyBorder="1" applyAlignment="1">
      <alignment vertic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3" applyNumberFormat="1" applyFont="1" applyFill="1" applyBorder="1" applyAlignment="1">
      <alignment horizontal="center" vertical="center"/>
    </xf>
    <xf numFmtId="0" fontId="32" fillId="0" borderId="1" xfId="0" quotePrefix="1" applyFont="1" applyFill="1" applyBorder="1" applyAlignment="1">
      <alignment horizontal="center" vertical="center"/>
    </xf>
    <xf numFmtId="0" fontId="58" fillId="0" borderId="1" xfId="0" applyFont="1" applyFill="1" applyBorder="1" applyAlignment="1">
      <alignment horizontal="center" vertical="center"/>
    </xf>
    <xf numFmtId="0" fontId="32" fillId="0" borderId="1" xfId="0" applyNumberFormat="1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/>
    </xf>
    <xf numFmtId="164" fontId="34" fillId="0" borderId="1" xfId="1" applyFont="1" applyFill="1" applyBorder="1" applyAlignment="1">
      <alignment horizontal="center"/>
    </xf>
    <xf numFmtId="3" fontId="30" fillId="9" borderId="1" xfId="0" applyNumberFormat="1" applyFont="1" applyFill="1" applyBorder="1"/>
    <xf numFmtId="3" fontId="30" fillId="9" borderId="1" xfId="0" applyNumberFormat="1" applyFont="1" applyFill="1" applyBorder="1" applyAlignment="1">
      <alignment horizontal="center"/>
    </xf>
    <xf numFmtId="3" fontId="22" fillId="9" borderId="1" xfId="0" applyNumberFormat="1" applyFont="1" applyFill="1" applyBorder="1" applyAlignment="1">
      <alignment horizontal="center"/>
    </xf>
    <xf numFmtId="3" fontId="22" fillId="9" borderId="1" xfId="0" applyNumberFormat="1" applyFont="1" applyFill="1" applyBorder="1"/>
    <xf numFmtId="164" fontId="32" fillId="9" borderId="1" xfId="1" applyFont="1" applyFill="1" applyBorder="1"/>
    <xf numFmtId="3" fontId="39" fillId="9" borderId="80" xfId="0" applyNumberFormat="1" applyFont="1" applyFill="1" applyBorder="1" applyAlignment="1">
      <alignment horizontal="center" vertical="center"/>
    </xf>
    <xf numFmtId="166" fontId="39" fillId="9" borderId="1" xfId="3" applyNumberFormat="1" applyFont="1" applyFill="1" applyBorder="1" applyAlignment="1">
      <alignment vertical="center"/>
    </xf>
    <xf numFmtId="3" fontId="39" fillId="9" borderId="1" xfId="0" applyNumberFormat="1" applyFont="1" applyFill="1" applyBorder="1" applyAlignment="1">
      <alignment horizontal="center" vertical="center"/>
    </xf>
    <xf numFmtId="166" fontId="25" fillId="0" borderId="56" xfId="3" applyNumberFormat="1" applyFont="1" applyFill="1" applyBorder="1" applyAlignment="1">
      <alignment vertical="center"/>
    </xf>
    <xf numFmtId="0" fontId="39" fillId="10" borderId="1" xfId="0" applyFont="1" applyFill="1" applyBorder="1" applyAlignment="1">
      <alignment vertical="center"/>
    </xf>
    <xf numFmtId="0" fontId="32" fillId="10" borderId="1" xfId="0" applyFont="1" applyFill="1" applyBorder="1" applyAlignment="1">
      <alignment horizontal="center" vertical="center"/>
    </xf>
    <xf numFmtId="164" fontId="32" fillId="10" borderId="1" xfId="1" applyFont="1" applyFill="1" applyBorder="1"/>
    <xf numFmtId="41" fontId="32" fillId="10" borderId="0" xfId="0" applyNumberFormat="1" applyFont="1" applyFill="1"/>
    <xf numFmtId="164" fontId="32" fillId="10" borderId="0" xfId="1" applyFont="1" applyFill="1"/>
    <xf numFmtId="0" fontId="32" fillId="10" borderId="0" xfId="0" applyFont="1" applyFill="1"/>
    <xf numFmtId="0" fontId="59" fillId="10" borderId="1" xfId="0" applyFont="1" applyFill="1" applyBorder="1" applyAlignment="1">
      <alignment horizontal="center" vertical="center"/>
    </xf>
    <xf numFmtId="166" fontId="32" fillId="10" borderId="1" xfId="3" applyNumberFormat="1" applyFont="1" applyFill="1" applyBorder="1" applyAlignment="1">
      <alignment horizontal="center" vertical="center"/>
    </xf>
    <xf numFmtId="0" fontId="22" fillId="9" borderId="20" xfId="0" applyFont="1" applyFill="1" applyBorder="1" applyAlignment="1">
      <alignment vertical="center"/>
    </xf>
    <xf numFmtId="168" fontId="10" fillId="9" borderId="20" xfId="6" applyNumberFormat="1" applyFont="1" applyFill="1" applyBorder="1" applyAlignment="1">
      <alignment horizontal="center" vertical="center"/>
    </xf>
    <xf numFmtId="169" fontId="14" fillId="9" borderId="20" xfId="6" quotePrefix="1" applyNumberFormat="1" applyFont="1" applyFill="1" applyBorder="1" applyAlignment="1" applyProtection="1">
      <alignment horizontal="center" vertical="center"/>
    </xf>
    <xf numFmtId="167" fontId="14" fillId="9" borderId="20" xfId="5" applyNumberFormat="1" applyFont="1" applyFill="1" applyBorder="1" applyAlignment="1">
      <alignment horizontal="left" vertical="center"/>
    </xf>
    <xf numFmtId="167" fontId="14" fillId="9" borderId="34" xfId="5" applyNumberFormat="1" applyFont="1" applyFill="1" applyBorder="1" applyAlignment="1">
      <alignment horizontal="center" vertical="center"/>
    </xf>
    <xf numFmtId="0" fontId="29" fillId="9" borderId="20" xfId="0" applyFont="1" applyFill="1" applyBorder="1" applyAlignment="1">
      <alignment horizontal="center" vertical="center"/>
    </xf>
    <xf numFmtId="0" fontId="10" fillId="9" borderId="20" xfId="10" applyFill="1" applyBorder="1" applyAlignment="1">
      <alignment horizontal="center" vertical="center"/>
    </xf>
    <xf numFmtId="170" fontId="14" fillId="9" borderId="20" xfId="5" quotePrefix="1" applyNumberFormat="1" applyFont="1" applyFill="1" applyBorder="1" applyAlignment="1">
      <alignment horizontal="center" vertical="center"/>
    </xf>
    <xf numFmtId="41" fontId="10" fillId="9" borderId="20" xfId="6" applyFont="1" applyFill="1" applyBorder="1" applyAlignment="1">
      <alignment vertical="center"/>
    </xf>
    <xf numFmtId="41" fontId="14" fillId="9" borderId="20" xfId="6" applyFont="1" applyFill="1" applyBorder="1" applyAlignment="1" applyProtection="1">
      <alignment horizontal="left" vertical="center"/>
    </xf>
    <xf numFmtId="166" fontId="10" fillId="9" borderId="20" xfId="8" applyNumberFormat="1" applyFont="1" applyFill="1" applyBorder="1" applyAlignment="1">
      <alignment vertical="center"/>
    </xf>
    <xf numFmtId="0" fontId="39" fillId="5" borderId="20" xfId="0" applyFont="1" applyFill="1" applyBorder="1" applyAlignment="1">
      <alignment horizontal="left" vertical="center"/>
    </xf>
    <xf numFmtId="0" fontId="39" fillId="11" borderId="1" xfId="0" applyFont="1" applyFill="1" applyBorder="1" applyAlignment="1">
      <alignment vertical="center"/>
    </xf>
    <xf numFmtId="0" fontId="32" fillId="11" borderId="1" xfId="0" applyFont="1" applyFill="1" applyBorder="1" applyAlignment="1">
      <alignment horizontal="center" vertical="center"/>
    </xf>
    <xf numFmtId="164" fontId="32" fillId="11" borderId="1" xfId="1" applyFont="1" applyFill="1" applyBorder="1"/>
    <xf numFmtId="41" fontId="32" fillId="11" borderId="0" xfId="0" applyNumberFormat="1" applyFont="1" applyFill="1"/>
    <xf numFmtId="164" fontId="32" fillId="11" borderId="0" xfId="1" applyFont="1" applyFill="1"/>
    <xf numFmtId="0" fontId="32" fillId="11" borderId="1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36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36" fillId="0" borderId="1" xfId="0" applyFont="1" applyFill="1" applyBorder="1" applyAlignment="1">
      <alignment horizontal="center" vertical="center"/>
    </xf>
    <xf numFmtId="0" fontId="33" fillId="0" borderId="0" xfId="0" applyFont="1" applyFill="1"/>
    <xf numFmtId="0" fontId="59" fillId="0" borderId="1" xfId="0" quotePrefix="1" applyFont="1" applyFill="1" applyBorder="1" applyAlignment="1">
      <alignment horizontal="center" vertical="center"/>
    </xf>
    <xf numFmtId="166" fontId="22" fillId="9" borderId="20" xfId="3" applyNumberFormat="1" applyFont="1" applyFill="1" applyBorder="1" applyAlignment="1">
      <alignment horizontal="right" vertical="center"/>
    </xf>
    <xf numFmtId="169" fontId="22" fillId="9" borderId="20" xfId="3" applyNumberFormat="1" applyFont="1" applyFill="1" applyBorder="1" applyAlignment="1">
      <alignment horizontal="center" vertical="center"/>
    </xf>
    <xf numFmtId="0" fontId="23" fillId="9" borderId="20" xfId="0" applyFont="1" applyFill="1" applyBorder="1" applyAlignment="1">
      <alignment vertical="center"/>
    </xf>
    <xf numFmtId="0" fontId="14" fillId="9" borderId="34" xfId="10" applyFont="1" applyFill="1" applyBorder="1" applyAlignment="1">
      <alignment horizontal="center" vertical="center"/>
    </xf>
    <xf numFmtId="0" fontId="10" fillId="9" borderId="34" xfId="10" applyFill="1" applyBorder="1" applyAlignment="1">
      <alignment horizontal="center" vertical="center"/>
    </xf>
    <xf numFmtId="168" fontId="60" fillId="0" borderId="20" xfId="6" applyNumberFormat="1" applyFont="1" applyFill="1" applyBorder="1" applyAlignment="1">
      <alignment horizontal="center" vertical="center"/>
    </xf>
    <xf numFmtId="168" fontId="60" fillId="0" borderId="20" xfId="6" quotePrefix="1" applyNumberFormat="1" applyFont="1" applyFill="1" applyBorder="1" applyAlignment="1">
      <alignment horizontal="center" vertical="center"/>
    </xf>
    <xf numFmtId="0" fontId="61" fillId="0" borderId="68" xfId="0" applyFont="1" applyFill="1" applyBorder="1" applyAlignment="1">
      <alignment vertical="center"/>
    </xf>
    <xf numFmtId="0" fontId="62" fillId="0" borderId="58" xfId="0" applyFont="1" applyFill="1" applyBorder="1" applyAlignment="1">
      <alignment horizontal="left" vertical="center"/>
    </xf>
    <xf numFmtId="0" fontId="59" fillId="11" borderId="1" xfId="0" applyFont="1" applyFill="1" applyBorder="1" applyAlignment="1">
      <alignment horizontal="center" vertical="center"/>
    </xf>
    <xf numFmtId="0" fontId="32" fillId="11" borderId="0" xfId="0" applyFont="1" applyFill="1"/>
    <xf numFmtId="166" fontId="63" fillId="0" borderId="1" xfId="3" applyNumberFormat="1" applyFont="1" applyFill="1" applyBorder="1" applyAlignment="1">
      <alignment horizontal="center" vertical="center"/>
    </xf>
    <xf numFmtId="0" fontId="63" fillId="0" borderId="1" xfId="0" applyFont="1" applyFill="1" applyBorder="1" applyAlignment="1">
      <alignment horizontal="center" vertical="center"/>
    </xf>
    <xf numFmtId="3" fontId="63" fillId="0" borderId="1" xfId="0" applyNumberFormat="1" applyFont="1" applyFill="1" applyBorder="1" applyAlignment="1">
      <alignment horizontal="center"/>
    </xf>
    <xf numFmtId="166" fontId="41" fillId="0" borderId="1" xfId="3" applyNumberFormat="1" applyFont="1" applyFill="1" applyBorder="1" applyAlignment="1">
      <alignment horizontal="left" vertical="center"/>
    </xf>
    <xf numFmtId="168" fontId="10" fillId="0" borderId="20" xfId="6" quotePrefix="1" applyNumberFormat="1" applyFont="1" applyFill="1" applyBorder="1" applyAlignment="1">
      <alignment horizontal="center" vertical="center"/>
    </xf>
    <xf numFmtId="0" fontId="12" fillId="0" borderId="8" xfId="6" applyNumberFormat="1" applyFont="1" applyFill="1" applyBorder="1" applyAlignment="1">
      <alignment horizontal="center" vertical="center" wrapText="1"/>
    </xf>
    <xf numFmtId="0" fontId="12" fillId="0" borderId="18" xfId="6" applyNumberFormat="1" applyFont="1" applyFill="1" applyBorder="1" applyAlignment="1">
      <alignment horizontal="center" vertical="center" wrapText="1"/>
    </xf>
    <xf numFmtId="41" fontId="10" fillId="0" borderId="0" xfId="6" applyFont="1" applyFill="1" applyAlignment="1">
      <alignment horizontal="center" vertical="center"/>
    </xf>
    <xf numFmtId="41" fontId="10" fillId="0" borderId="0" xfId="11" applyNumberFormat="1" applyFill="1"/>
    <xf numFmtId="3" fontId="10" fillId="0" borderId="0" xfId="11" applyNumberFormat="1" applyFill="1"/>
    <xf numFmtId="41" fontId="10" fillId="0" borderId="0" xfId="6" applyFont="1" applyFill="1" applyAlignment="1">
      <alignment horizontal="center" vertical="center"/>
    </xf>
    <xf numFmtId="41" fontId="27" fillId="0" borderId="0" xfId="6" applyFont="1" applyFill="1" applyAlignment="1">
      <alignment horizontal="center" vertical="center"/>
    </xf>
    <xf numFmtId="0" fontId="27" fillId="0" borderId="0" xfId="6" applyNumberFormat="1" applyFont="1" applyFill="1" applyAlignment="1">
      <alignment horizontal="center" vertical="center"/>
    </xf>
    <xf numFmtId="0" fontId="27" fillId="0" borderId="0" xfId="5" applyFont="1" applyFill="1" applyAlignment="1">
      <alignment horizontal="left" vertical="center"/>
    </xf>
    <xf numFmtId="0" fontId="27" fillId="0" borderId="0" xfId="5" applyFont="1" applyFill="1" applyAlignment="1">
      <alignment horizontal="center" vertical="center"/>
    </xf>
    <xf numFmtId="41" fontId="27" fillId="0" borderId="0" xfId="6" applyFont="1" applyFill="1" applyAlignment="1">
      <alignment vertical="center"/>
    </xf>
    <xf numFmtId="0" fontId="27" fillId="0" borderId="0" xfId="11" applyFont="1" applyFill="1"/>
    <xf numFmtId="41" fontId="64" fillId="0" borderId="0" xfId="6" applyFont="1" applyFill="1" applyAlignment="1">
      <alignment vertical="center"/>
    </xf>
    <xf numFmtId="9" fontId="10" fillId="0" borderId="47" xfId="7" applyFont="1" applyFill="1" applyBorder="1" applyAlignment="1">
      <alignment vertical="center"/>
    </xf>
    <xf numFmtId="0" fontId="20" fillId="0" borderId="82" xfId="5" applyFont="1" applyFill="1" applyBorder="1" applyAlignment="1">
      <alignment horizontal="center" vertical="center"/>
    </xf>
    <xf numFmtId="3" fontId="30" fillId="9" borderId="14" xfId="0" applyNumberFormat="1" applyFont="1" applyFill="1" applyBorder="1"/>
    <xf numFmtId="3" fontId="30" fillId="0" borderId="20" xfId="0" applyNumberFormat="1" applyFont="1" applyFill="1" applyBorder="1"/>
    <xf numFmtId="3" fontId="30" fillId="9" borderId="20" xfId="0" applyNumberFormat="1" applyFont="1" applyFill="1" applyBorder="1"/>
    <xf numFmtId="166" fontId="12" fillId="0" borderId="83" xfId="3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9" xfId="5" applyFont="1" applyFill="1" applyBorder="1" applyAlignment="1">
      <alignment horizontal="center" vertical="center" wrapText="1"/>
    </xf>
    <xf numFmtId="0" fontId="12" fillId="0" borderId="8" xfId="5" applyFont="1" applyFill="1" applyBorder="1" applyAlignment="1">
      <alignment horizontal="center" vertical="center" wrapText="1"/>
    </xf>
    <xf numFmtId="0" fontId="12" fillId="0" borderId="6" xfId="5" applyFont="1" applyFill="1" applyBorder="1" applyAlignment="1">
      <alignment horizontal="center" vertical="center" textRotation="90" wrapText="1"/>
    </xf>
    <xf numFmtId="0" fontId="12" fillId="0" borderId="13" xfId="5" applyFont="1" applyFill="1" applyBorder="1" applyAlignment="1">
      <alignment horizontal="center" vertical="center" textRotation="90" wrapText="1"/>
    </xf>
    <xf numFmtId="0" fontId="12" fillId="0" borderId="17" xfId="5" applyFont="1" applyFill="1" applyBorder="1" applyAlignment="1">
      <alignment horizontal="center" vertical="center" textRotation="90" wrapText="1"/>
    </xf>
    <xf numFmtId="41" fontId="12" fillId="0" borderId="7" xfId="6" applyFont="1" applyFill="1" applyBorder="1" applyAlignment="1">
      <alignment horizontal="center" vertical="center"/>
    </xf>
    <xf numFmtId="41" fontId="12" fillId="0" borderId="14" xfId="6" applyFont="1" applyFill="1" applyBorder="1" applyAlignment="1">
      <alignment horizontal="center" vertical="center"/>
    </xf>
    <xf numFmtId="41" fontId="12" fillId="0" borderId="18" xfId="6" applyFont="1" applyFill="1" applyBorder="1" applyAlignment="1">
      <alignment horizontal="center" vertical="center"/>
    </xf>
    <xf numFmtId="41" fontId="12" fillId="0" borderId="7" xfId="6" applyFont="1" applyFill="1" applyBorder="1" applyAlignment="1">
      <alignment horizontal="center" vertical="center" wrapText="1"/>
    </xf>
    <xf numFmtId="0" fontId="12" fillId="0" borderId="8" xfId="6" applyNumberFormat="1" applyFont="1" applyFill="1" applyBorder="1" applyAlignment="1">
      <alignment horizontal="center" vertical="center"/>
    </xf>
    <xf numFmtId="0" fontId="12" fillId="0" borderId="8" xfId="6" applyNumberFormat="1" applyFont="1" applyFill="1" applyBorder="1" applyAlignment="1">
      <alignment horizontal="center" vertical="center" wrapText="1"/>
    </xf>
    <xf numFmtId="0" fontId="12" fillId="0" borderId="7" xfId="6" applyNumberFormat="1" applyFont="1" applyFill="1" applyBorder="1" applyAlignment="1">
      <alignment horizontal="center" vertical="center" wrapText="1"/>
    </xf>
    <xf numFmtId="0" fontId="12" fillId="0" borderId="14" xfId="6" applyNumberFormat="1" applyFont="1" applyFill="1" applyBorder="1" applyAlignment="1">
      <alignment horizontal="center" vertical="center" wrapText="1"/>
    </xf>
    <xf numFmtId="0" fontId="12" fillId="0" borderId="18" xfId="6" applyNumberFormat="1" applyFont="1" applyFill="1" applyBorder="1" applyAlignment="1">
      <alignment horizontal="center" vertical="center" wrapText="1"/>
    </xf>
    <xf numFmtId="0" fontId="12" fillId="0" borderId="22" xfId="6" applyNumberFormat="1" applyFont="1" applyFill="1" applyBorder="1" applyAlignment="1">
      <alignment horizontal="center" vertical="center" wrapText="1"/>
    </xf>
    <xf numFmtId="0" fontId="12" fillId="0" borderId="23" xfId="6" applyNumberFormat="1" applyFont="1" applyFill="1" applyBorder="1" applyAlignment="1">
      <alignment horizontal="center" vertical="center" wrapText="1"/>
    </xf>
    <xf numFmtId="0" fontId="12" fillId="0" borderId="24" xfId="6" applyNumberFormat="1" applyFont="1" applyFill="1" applyBorder="1" applyAlignment="1">
      <alignment horizontal="center" vertical="center" wrapText="1"/>
    </xf>
    <xf numFmtId="0" fontId="12" fillId="0" borderId="27" xfId="6" applyNumberFormat="1" applyFont="1" applyFill="1" applyBorder="1" applyAlignment="1">
      <alignment horizontal="center" vertical="center" wrapText="1"/>
    </xf>
    <xf numFmtId="0" fontId="12" fillId="0" borderId="4" xfId="5" applyFont="1" applyFill="1" applyBorder="1" applyAlignment="1">
      <alignment horizontal="center" vertical="center"/>
    </xf>
    <xf numFmtId="0" fontId="12" fillId="0" borderId="10" xfId="5" applyFont="1" applyFill="1" applyBorder="1" applyAlignment="1">
      <alignment horizontal="center" vertical="center"/>
    </xf>
    <xf numFmtId="0" fontId="12" fillId="0" borderId="5" xfId="5" applyFont="1" applyFill="1" applyBorder="1" applyAlignment="1">
      <alignment horizontal="center" vertical="center"/>
    </xf>
    <xf numFmtId="0" fontId="12" fillId="0" borderId="15" xfId="5" applyFont="1" applyFill="1" applyBorder="1" applyAlignment="1">
      <alignment horizontal="center" vertical="center"/>
    </xf>
    <xf numFmtId="0" fontId="13" fillId="0" borderId="2" xfId="6" applyNumberFormat="1" applyFont="1" applyFill="1" applyBorder="1" applyAlignment="1">
      <alignment horizontal="center" vertical="center"/>
    </xf>
    <xf numFmtId="0" fontId="13" fillId="0" borderId="16" xfId="6" applyNumberFormat="1" applyFont="1" applyFill="1" applyBorder="1" applyAlignment="1">
      <alignment horizontal="center" vertical="center"/>
    </xf>
    <xf numFmtId="41" fontId="12" fillId="0" borderId="25" xfId="6" applyFont="1" applyFill="1" applyBorder="1" applyAlignment="1">
      <alignment horizontal="center" vertical="center"/>
    </xf>
    <xf numFmtId="41" fontId="12" fillId="0" borderId="26" xfId="6" applyFont="1" applyFill="1" applyBorder="1" applyAlignment="1">
      <alignment horizontal="center" vertical="center"/>
    </xf>
    <xf numFmtId="0" fontId="12" fillId="0" borderId="25" xfId="6" applyNumberFormat="1" applyFont="1" applyFill="1" applyBorder="1" applyAlignment="1">
      <alignment horizontal="center" vertical="center" wrapText="1"/>
    </xf>
    <xf numFmtId="0" fontId="12" fillId="0" borderId="26" xfId="6" applyNumberFormat="1" applyFont="1" applyFill="1" applyBorder="1" applyAlignment="1">
      <alignment horizontal="center" vertical="center"/>
    </xf>
    <xf numFmtId="0" fontId="12" fillId="0" borderId="10" xfId="6" applyNumberFormat="1" applyFont="1" applyFill="1" applyBorder="1" applyAlignment="1">
      <alignment horizontal="center" vertical="center" wrapText="1"/>
    </xf>
    <xf numFmtId="0" fontId="12" fillId="0" borderId="15" xfId="6" applyNumberFormat="1" applyFont="1" applyFill="1" applyBorder="1" applyAlignment="1">
      <alignment horizontal="center" vertical="center"/>
    </xf>
    <xf numFmtId="0" fontId="12" fillId="0" borderId="2" xfId="5" applyFont="1" applyFill="1" applyBorder="1" applyAlignment="1">
      <alignment horizontal="center" vertical="center" wrapText="1"/>
    </xf>
    <xf numFmtId="0" fontId="12" fillId="0" borderId="16" xfId="5" applyFont="1" applyFill="1" applyBorder="1" applyAlignment="1">
      <alignment horizontal="center" vertical="center" wrapText="1"/>
    </xf>
    <xf numFmtId="0" fontId="12" fillId="0" borderId="2" xfId="6" applyNumberFormat="1" applyFont="1" applyFill="1" applyBorder="1" applyAlignment="1">
      <alignment horizontal="center" vertical="center"/>
    </xf>
    <xf numFmtId="0" fontId="12" fillId="0" borderId="16" xfId="6" applyNumberFormat="1" applyFont="1" applyFill="1" applyBorder="1" applyAlignment="1">
      <alignment horizontal="center" vertical="center"/>
    </xf>
    <xf numFmtId="0" fontId="12" fillId="0" borderId="6" xfId="6" applyNumberFormat="1" applyFont="1" applyFill="1" applyBorder="1" applyAlignment="1">
      <alignment horizontal="center" vertical="center"/>
    </xf>
    <xf numFmtId="0" fontId="12" fillId="0" borderId="17" xfId="6" applyNumberFormat="1" applyFont="1" applyFill="1" applyBorder="1" applyAlignment="1">
      <alignment horizontal="center" vertical="center"/>
    </xf>
    <xf numFmtId="0" fontId="12" fillId="0" borderId="7" xfId="6" applyNumberFormat="1" applyFont="1" applyFill="1" applyBorder="1" applyAlignment="1">
      <alignment horizontal="center" vertical="center"/>
    </xf>
    <xf numFmtId="0" fontId="12" fillId="0" borderId="18" xfId="6" applyNumberFormat="1" applyFont="1" applyFill="1" applyBorder="1" applyAlignment="1">
      <alignment horizontal="center" vertical="center"/>
    </xf>
    <xf numFmtId="0" fontId="12" fillId="0" borderId="22" xfId="6" applyNumberFormat="1" applyFont="1" applyFill="1" applyBorder="1" applyAlignment="1">
      <alignment horizontal="center" vertical="center"/>
    </xf>
    <xf numFmtId="0" fontId="12" fillId="0" borderId="24" xfId="6" applyNumberFormat="1" applyFont="1" applyFill="1" applyBorder="1" applyAlignment="1">
      <alignment horizontal="center" vertical="center"/>
    </xf>
    <xf numFmtId="0" fontId="12" fillId="0" borderId="3" xfId="6" applyNumberFormat="1" applyFont="1" applyFill="1" applyBorder="1" applyAlignment="1">
      <alignment horizontal="center" vertical="center" wrapText="1"/>
    </xf>
    <xf numFmtId="0" fontId="12" fillId="0" borderId="48" xfId="6" applyNumberFormat="1" applyFont="1" applyFill="1" applyBorder="1" applyAlignment="1">
      <alignment horizontal="center" vertical="center" wrapText="1"/>
    </xf>
    <xf numFmtId="0" fontId="12" fillId="0" borderId="4" xfId="6" applyNumberFormat="1" applyFont="1" applyFill="1" applyBorder="1" applyAlignment="1">
      <alignment horizontal="center" vertical="center" wrapText="1"/>
    </xf>
    <xf numFmtId="0" fontId="12" fillId="0" borderId="11" xfId="6" applyNumberFormat="1" applyFont="1" applyFill="1" applyBorder="1" applyAlignment="1">
      <alignment horizontal="center" vertical="center" wrapText="1"/>
    </xf>
    <xf numFmtId="0" fontId="12" fillId="0" borderId="5" xfId="6" applyNumberFormat="1" applyFont="1" applyFill="1" applyBorder="1" applyAlignment="1">
      <alignment horizontal="center" vertical="center" wrapText="1"/>
    </xf>
    <xf numFmtId="0" fontId="12" fillId="0" borderId="49" xfId="6" applyNumberFormat="1" applyFont="1" applyFill="1" applyBorder="1" applyAlignment="1">
      <alignment horizontal="center" vertical="center" wrapText="1"/>
    </xf>
    <xf numFmtId="0" fontId="12" fillId="0" borderId="46" xfId="6" applyNumberFormat="1" applyFont="1" applyFill="1" applyBorder="1" applyAlignment="1">
      <alignment horizontal="center" vertical="center" wrapText="1"/>
    </xf>
    <xf numFmtId="0" fontId="12" fillId="0" borderId="47" xfId="6" applyNumberFormat="1" applyFont="1" applyFill="1" applyBorder="1" applyAlignment="1">
      <alignment horizontal="center" vertical="center" wrapText="1"/>
    </xf>
    <xf numFmtId="41" fontId="27" fillId="0" borderId="0" xfId="6" applyFont="1" applyFill="1" applyAlignment="1">
      <alignment horizontal="center" vertical="center"/>
    </xf>
    <xf numFmtId="41" fontId="64" fillId="0" borderId="0" xfId="6" applyFont="1" applyFill="1" applyAlignment="1">
      <alignment horizontal="center" vertical="center"/>
    </xf>
    <xf numFmtId="0" fontId="65" fillId="0" borderId="0" xfId="5" applyFont="1" applyFill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0" fontId="35" fillId="0" borderId="59" xfId="0" applyFont="1" applyFill="1" applyBorder="1" applyAlignment="1">
      <alignment horizontal="center" vertical="center"/>
    </xf>
    <xf numFmtId="0" fontId="35" fillId="0" borderId="63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35" fillId="0" borderId="6" xfId="0" applyFont="1" applyFill="1" applyBorder="1" applyAlignment="1">
      <alignment horizontal="center" vertical="center"/>
    </xf>
    <xf numFmtId="0" fontId="35" fillId="0" borderId="13" xfId="0" applyFont="1" applyFill="1" applyBorder="1" applyAlignment="1">
      <alignment horizontal="center" vertical="center"/>
    </xf>
    <xf numFmtId="0" fontId="35" fillId="0" borderId="61" xfId="0" applyFont="1" applyFill="1" applyBorder="1" applyAlignment="1">
      <alignment horizontal="center" vertical="center"/>
    </xf>
    <xf numFmtId="0" fontId="35" fillId="0" borderId="7" xfId="0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horizontal="center" vertical="center"/>
    </xf>
    <xf numFmtId="0" fontId="35" fillId="0" borderId="62" xfId="0" applyFont="1" applyFill="1" applyBorder="1" applyAlignment="1">
      <alignment horizontal="center" vertical="center"/>
    </xf>
    <xf numFmtId="0" fontId="35" fillId="0" borderId="54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36" fillId="0" borderId="51" xfId="0" applyFont="1" applyFill="1" applyBorder="1" applyAlignment="1">
      <alignment horizontal="center"/>
    </xf>
    <xf numFmtId="0" fontId="36" fillId="0" borderId="52" xfId="0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 vertical="center"/>
    </xf>
    <xf numFmtId="0" fontId="37" fillId="0" borderId="63" xfId="0" applyFont="1" applyFill="1" applyBorder="1" applyAlignment="1">
      <alignment horizontal="center" vertical="center"/>
    </xf>
    <xf numFmtId="0" fontId="35" fillId="0" borderId="56" xfId="0" applyFont="1" applyFill="1" applyBorder="1" applyAlignment="1">
      <alignment horizontal="center" vertical="center"/>
    </xf>
    <xf numFmtId="0" fontId="35" fillId="0" borderId="64" xfId="0" applyFont="1" applyFill="1" applyBorder="1" applyAlignment="1">
      <alignment horizontal="center" vertical="center"/>
    </xf>
    <xf numFmtId="0" fontId="35" fillId="0" borderId="57" xfId="0" applyFont="1" applyFill="1" applyBorder="1" applyAlignment="1">
      <alignment horizontal="center" vertical="center"/>
    </xf>
    <xf numFmtId="0" fontId="35" fillId="0" borderId="66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54" fillId="0" borderId="0" xfId="0" applyFont="1" applyFill="1" applyAlignment="1">
      <alignment horizontal="center"/>
    </xf>
    <xf numFmtId="0" fontId="39" fillId="0" borderId="7" xfId="0" applyFont="1" applyFill="1" applyBorder="1" applyAlignment="1">
      <alignment horizontal="center" vertical="center"/>
    </xf>
    <xf numFmtId="0" fontId="39" fillId="0" borderId="14" xfId="0" applyFont="1" applyFill="1" applyBorder="1" applyAlignment="1">
      <alignment horizontal="center" vertical="center"/>
    </xf>
    <xf numFmtId="0" fontId="39" fillId="0" borderId="18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49" fillId="0" borderId="56" xfId="0" applyFont="1" applyFill="1" applyBorder="1" applyAlignment="1">
      <alignment horizontal="center"/>
    </xf>
    <xf numFmtId="0" fontId="49" fillId="0" borderId="68" xfId="0" applyFont="1" applyFill="1" applyBorder="1" applyAlignment="1">
      <alignment horizontal="center"/>
    </xf>
    <xf numFmtId="0" fontId="49" fillId="0" borderId="80" xfId="0" applyFont="1" applyFill="1" applyBorder="1" applyAlignment="1">
      <alignment horizontal="center"/>
    </xf>
    <xf numFmtId="0" fontId="46" fillId="0" borderId="6" xfId="0" applyFont="1" applyFill="1" applyBorder="1" applyAlignment="1">
      <alignment horizontal="center" vertical="center"/>
    </xf>
    <xf numFmtId="0" fontId="46" fillId="0" borderId="13" xfId="0" applyFont="1" applyFill="1" applyBorder="1" applyAlignment="1">
      <alignment horizontal="center" vertical="center"/>
    </xf>
    <xf numFmtId="0" fontId="46" fillId="0" borderId="17" xfId="0" applyFont="1" applyFill="1" applyBorder="1" applyAlignment="1">
      <alignment horizontal="center" vertical="center"/>
    </xf>
    <xf numFmtId="0" fontId="46" fillId="0" borderId="7" xfId="0" applyFont="1" applyFill="1" applyBorder="1" applyAlignment="1">
      <alignment horizontal="left" vertical="center"/>
    </xf>
    <xf numFmtId="0" fontId="46" fillId="0" borderId="14" xfId="0" applyFont="1" applyFill="1" applyBorder="1" applyAlignment="1">
      <alignment horizontal="left" vertical="center"/>
    </xf>
    <xf numFmtId="0" fontId="46" fillId="0" borderId="18" xfId="0" applyFont="1" applyFill="1" applyBorder="1" applyAlignment="1">
      <alignment horizontal="left" vertical="center"/>
    </xf>
    <xf numFmtId="0" fontId="46" fillId="0" borderId="7" xfId="0" applyFont="1" applyFill="1" applyBorder="1" applyAlignment="1">
      <alignment horizontal="center" vertical="center"/>
    </xf>
    <xf numFmtId="0" fontId="46" fillId="0" borderId="14" xfId="0" applyFont="1" applyFill="1" applyBorder="1" applyAlignment="1">
      <alignment horizontal="center" vertical="center"/>
    </xf>
    <xf numFmtId="0" fontId="46" fillId="0" borderId="18" xfId="0" applyFont="1" applyFill="1" applyBorder="1" applyAlignment="1">
      <alignment horizontal="center" vertical="center"/>
    </xf>
    <xf numFmtId="0" fontId="46" fillId="0" borderId="55" xfId="0" applyFont="1" applyFill="1" applyBorder="1" applyAlignment="1">
      <alignment horizontal="center" vertical="center"/>
    </xf>
    <xf numFmtId="0" fontId="46" fillId="0" borderId="60" xfId="0" applyFont="1" applyFill="1" applyBorder="1" applyAlignment="1">
      <alignment horizontal="center" vertical="center"/>
    </xf>
    <xf numFmtId="0" fontId="46" fillId="0" borderId="28" xfId="0" applyFont="1" applyFill="1" applyBorder="1" applyAlignment="1">
      <alignment horizontal="center" vertical="center"/>
    </xf>
    <xf numFmtId="3" fontId="46" fillId="0" borderId="7" xfId="0" applyNumberFormat="1" applyFont="1" applyFill="1" applyBorder="1" applyAlignment="1">
      <alignment horizontal="center" vertical="center" wrapText="1"/>
    </xf>
    <xf numFmtId="3" fontId="46" fillId="0" borderId="14" xfId="0" applyNumberFormat="1" applyFont="1" applyFill="1" applyBorder="1" applyAlignment="1">
      <alignment horizontal="center" vertical="center" wrapText="1"/>
    </xf>
    <xf numFmtId="3" fontId="46" fillId="0" borderId="18" xfId="0" applyNumberFormat="1" applyFont="1" applyFill="1" applyBorder="1" applyAlignment="1">
      <alignment horizontal="center" vertical="center" wrapText="1"/>
    </xf>
    <xf numFmtId="0" fontId="46" fillId="0" borderId="51" xfId="0" applyFont="1" applyFill="1" applyBorder="1" applyAlignment="1">
      <alignment horizontal="center"/>
    </xf>
    <xf numFmtId="0" fontId="46" fillId="0" borderId="52" xfId="0" applyFont="1" applyFill="1" applyBorder="1" applyAlignment="1">
      <alignment horizontal="center"/>
    </xf>
    <xf numFmtId="0" fontId="45" fillId="0" borderId="7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45" fillId="0" borderId="18" xfId="0" applyFont="1" applyFill="1" applyBorder="1" applyAlignment="1">
      <alignment horizontal="center" vertical="center"/>
    </xf>
    <xf numFmtId="0" fontId="46" fillId="0" borderId="58" xfId="0" applyFont="1" applyFill="1" applyBorder="1" applyAlignment="1">
      <alignment horizontal="center" vertical="center"/>
    </xf>
    <xf numFmtId="0" fontId="49" fillId="0" borderId="74" xfId="0" applyFont="1" applyFill="1" applyBorder="1" applyAlignment="1">
      <alignment horizontal="center"/>
    </xf>
    <xf numFmtId="0" fontId="49" fillId="0" borderId="75" xfId="0" applyFont="1" applyFill="1" applyBorder="1" applyAlignment="1">
      <alignment horizontal="center"/>
    </xf>
    <xf numFmtId="0" fontId="39" fillId="0" borderId="15" xfId="0" applyFont="1" applyFill="1" applyBorder="1" applyAlignment="1">
      <alignment horizontal="left"/>
    </xf>
    <xf numFmtId="0" fontId="46" fillId="0" borderId="23" xfId="0" applyFont="1" applyFill="1" applyBorder="1" applyAlignment="1">
      <alignment horizontal="center" vertical="center"/>
    </xf>
    <xf numFmtId="0" fontId="46" fillId="0" borderId="47" xfId="0" applyFont="1" applyFill="1" applyBorder="1" applyAlignment="1">
      <alignment horizontal="center" vertical="center"/>
    </xf>
    <xf numFmtId="0" fontId="46" fillId="0" borderId="27" xfId="0" applyFont="1" applyFill="1" applyBorder="1" applyAlignment="1">
      <alignment horizontal="center" vertical="center"/>
    </xf>
    <xf numFmtId="164" fontId="32" fillId="0" borderId="1" xfId="1" applyFont="1" applyFill="1" applyBorder="1" applyAlignment="1">
      <alignment horizontal="center" vertical="center"/>
    </xf>
    <xf numFmtId="164" fontId="32" fillId="0" borderId="58" xfId="1" applyFont="1" applyFill="1" applyBorder="1" applyAlignment="1">
      <alignment horizontal="center" vertical="center"/>
    </xf>
    <xf numFmtId="164" fontId="32" fillId="0" borderId="59" xfId="1" applyFont="1" applyFill="1" applyBorder="1" applyAlignment="1">
      <alignment horizontal="center" vertical="center"/>
    </xf>
    <xf numFmtId="164" fontId="32" fillId="0" borderId="1" xfId="1" applyFont="1" applyFill="1" applyBorder="1" applyAlignment="1">
      <alignment horizontal="center"/>
    </xf>
    <xf numFmtId="0" fontId="33" fillId="0" borderId="0" xfId="0" applyFont="1" applyFill="1" applyAlignment="1">
      <alignment horizontal="left"/>
    </xf>
    <xf numFmtId="0" fontId="36" fillId="0" borderId="6" xfId="0" applyFont="1" applyFill="1" applyBorder="1" applyAlignment="1">
      <alignment horizontal="center" vertical="center"/>
    </xf>
    <xf numFmtId="0" fontId="36" fillId="0" borderId="13" xfId="0" applyFont="1" applyFill="1" applyBorder="1" applyAlignment="1">
      <alignment horizontal="center" vertical="center"/>
    </xf>
    <xf numFmtId="0" fontId="36" fillId="0" borderId="7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36" fillId="0" borderId="22" xfId="0" applyFont="1" applyFill="1" applyBorder="1" applyAlignment="1">
      <alignment horizontal="center" vertical="center"/>
    </xf>
    <xf numFmtId="0" fontId="36" fillId="0" borderId="10" xfId="0" applyFont="1" applyFill="1" applyBorder="1" applyAlignment="1">
      <alignment horizontal="center" vertical="center"/>
    </xf>
    <xf numFmtId="0" fontId="36" fillId="0" borderId="23" xfId="0" applyFont="1" applyFill="1" applyBorder="1" applyAlignment="1">
      <alignment horizontal="center" vertical="center"/>
    </xf>
    <xf numFmtId="0" fontId="36" fillId="0" borderId="48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6" fillId="0" borderId="47" xfId="0" applyFont="1" applyFill="1" applyBorder="1" applyAlignment="1">
      <alignment horizontal="center" vertical="center"/>
    </xf>
    <xf numFmtId="0" fontId="36" fillId="0" borderId="50" xfId="0" applyFont="1" applyFill="1" applyBorder="1" applyAlignment="1">
      <alignment horizontal="center" vertical="center"/>
    </xf>
    <xf numFmtId="0" fontId="36" fillId="0" borderId="71" xfId="0" applyFont="1" applyFill="1" applyBorder="1" applyAlignment="1">
      <alignment horizontal="center" vertical="center"/>
    </xf>
    <xf numFmtId="0" fontId="36" fillId="0" borderId="81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12" fillId="0" borderId="12" xfId="6" applyNumberFormat="1" applyFont="1" applyFill="1" applyBorder="1" applyAlignment="1">
      <alignment horizontal="center" vertical="center" wrapText="1"/>
    </xf>
  </cellXfs>
  <cellStyles count="20">
    <cellStyle name="Comma" xfId="3" builtinId="3"/>
    <cellStyle name="Comma [0]" xfId="1" builtinId="6"/>
    <cellStyle name="Comma [0] 2" xfId="9"/>
    <cellStyle name="Comma [0] 4" xfId="6"/>
    <cellStyle name="Comma 2" xfId="8"/>
    <cellStyle name="Comma 3" xfId="19"/>
    <cellStyle name="Normal" xfId="0" builtinId="0"/>
    <cellStyle name="Normal 2" xfId="4"/>
    <cellStyle name="Normal 3" xfId="5"/>
    <cellStyle name="Normal 4" xfId="18"/>
    <cellStyle name="Normal 6 2" xfId="11"/>
    <cellStyle name="Normal_Absent2007 NEWOO" xfId="17"/>
    <cellStyle name="Normal_Book1" xfId="12"/>
    <cellStyle name="Normal_Sheet1" xfId="13"/>
    <cellStyle name="Normal_Sheet1_1" xfId="15"/>
    <cellStyle name="Normal_Sheet3" xfId="16"/>
    <cellStyle name="Normal_TAGIHAN APR-MEI'06" xfId="14"/>
    <cellStyle name="Normal_Tetap" xfId="10"/>
    <cellStyle name="Percent" xfId="2" builtinId="5"/>
    <cellStyle name="Percent 2" xfId="7"/>
  </cellStyles>
  <dxfs count="0"/>
  <tableStyles count="0" defaultTableStyle="TableStyleMedium2" defaultPivotStyle="PivotStyleLight16"/>
  <colors>
    <mruColors>
      <color rgb="FFFFFFCC"/>
      <color rgb="FF99FFCC"/>
      <color rgb="FFC4E77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ELD%20CONDUC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jak/Downloads/KERTAS-KERJA-PPH-21-PP-58-PPh-21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AJAK%20TAHUNAN%20AIK%20JANGKAT%202024%20(Autosaved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KROL%20AIK%20JANGKAT/CKROL%20AJ%202025/DESEMBER%202025/CHEKROL%20DESEMBER%20%20AIR%20JANGKAT%202025-%20-%20-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KROL%20AIK%20JANGKAT/CKROL%20AJ%202025/DESEMBER%202025/PERHITUNGAN%20PPH%2021%202025%20AIR%20JANGK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Bulanan (Jan s.d Nop)"/>
      <sheetName val="Des"/>
    </sheetNames>
    <sheetDataSet>
      <sheetData sheetId="0" refreshError="1">
        <row r="3">
          <cell r="B3">
            <v>0</v>
          </cell>
        </row>
        <row r="18">
          <cell r="S18" t="str">
            <v>TK/0</v>
          </cell>
          <cell r="T18">
            <v>0</v>
          </cell>
          <cell r="U18">
            <v>54000000</v>
          </cell>
        </row>
        <row r="19">
          <cell r="S19" t="str">
            <v>TK/1</v>
          </cell>
          <cell r="T19">
            <v>0</v>
          </cell>
          <cell r="U19">
            <v>58500000</v>
          </cell>
        </row>
        <row r="20">
          <cell r="S20" t="str">
            <v>TK/2</v>
          </cell>
          <cell r="T20">
            <v>0</v>
          </cell>
          <cell r="U20">
            <v>63000000</v>
          </cell>
        </row>
        <row r="21">
          <cell r="S21" t="str">
            <v>TK/3</v>
          </cell>
          <cell r="T21">
            <v>0</v>
          </cell>
          <cell r="U21">
            <v>67500000</v>
          </cell>
        </row>
        <row r="22">
          <cell r="S22" t="str">
            <v>K/0</v>
          </cell>
          <cell r="T22">
            <v>0</v>
          </cell>
          <cell r="U22">
            <v>58500000</v>
          </cell>
        </row>
        <row r="23">
          <cell r="S23" t="str">
            <v>K/1</v>
          </cell>
          <cell r="T23">
            <v>0</v>
          </cell>
          <cell r="U23">
            <v>63000000</v>
          </cell>
        </row>
        <row r="24">
          <cell r="S24" t="str">
            <v>K/2</v>
          </cell>
          <cell r="T24">
            <v>0</v>
          </cell>
          <cell r="U24">
            <v>67500000</v>
          </cell>
        </row>
        <row r="25">
          <cell r="S25" t="str">
            <v>K/3</v>
          </cell>
          <cell r="T25">
            <v>0</v>
          </cell>
          <cell r="U25">
            <v>72000000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bulan"/>
      <sheetName val="SETAHUN"/>
      <sheetName val="BPJS "/>
      <sheetName val="SELISIH"/>
    </sheetNames>
    <sheetDataSet>
      <sheetData sheetId="0">
        <row r="6">
          <cell r="B6" t="str">
            <v>GUNAWAN</v>
          </cell>
        </row>
        <row r="84">
          <cell r="B84" t="str">
            <v>KHAIRUL ALAMSYAH NASUTION</v>
          </cell>
          <cell r="C84" t="str">
            <v>L</v>
          </cell>
          <cell r="D84" t="str">
            <v>TK/0</v>
          </cell>
          <cell r="E84">
            <v>4</v>
          </cell>
          <cell r="R84">
            <v>18467186.670000002</v>
          </cell>
          <cell r="S84">
            <v>3089583.25</v>
          </cell>
          <cell r="T84">
            <v>285833</v>
          </cell>
        </row>
        <row r="85">
          <cell r="B85" t="str">
            <v>ROZI PANZI</v>
          </cell>
          <cell r="C85" t="str">
            <v>L</v>
          </cell>
          <cell r="D85" t="str">
            <v>TK/0</v>
          </cell>
          <cell r="E85">
            <v>5</v>
          </cell>
          <cell r="R85">
            <v>21087880.869999997</v>
          </cell>
          <cell r="S85">
            <v>3725499.9</v>
          </cell>
          <cell r="T85">
            <v>490000</v>
          </cell>
        </row>
        <row r="86">
          <cell r="B86" t="str">
            <v>ERLANDA</v>
          </cell>
          <cell r="C86" t="str">
            <v>L</v>
          </cell>
          <cell r="D86" t="str">
            <v>K/2</v>
          </cell>
          <cell r="E86">
            <v>8</v>
          </cell>
          <cell r="R86">
            <v>33094156.329999998</v>
          </cell>
          <cell r="S86">
            <v>3804499.9</v>
          </cell>
          <cell r="T86">
            <v>300000</v>
          </cell>
        </row>
        <row r="93">
          <cell r="W93">
            <v>264450</v>
          </cell>
        </row>
        <row r="94">
          <cell r="W94">
            <v>120840</v>
          </cell>
        </row>
        <row r="95">
          <cell r="W95">
            <v>118823</v>
          </cell>
        </row>
        <row r="96">
          <cell r="W96">
            <v>117587</v>
          </cell>
        </row>
        <row r="97">
          <cell r="W97">
            <v>117052</v>
          </cell>
        </row>
        <row r="98">
          <cell r="W98">
            <v>112564</v>
          </cell>
        </row>
        <row r="99">
          <cell r="W99">
            <v>79478</v>
          </cell>
        </row>
        <row r="100">
          <cell r="W100">
            <v>79478</v>
          </cell>
        </row>
        <row r="101">
          <cell r="W101">
            <v>79619</v>
          </cell>
        </row>
        <row r="102">
          <cell r="W102">
            <v>77812</v>
          </cell>
        </row>
        <row r="103">
          <cell r="W103">
            <v>79478</v>
          </cell>
        </row>
        <row r="104">
          <cell r="W104">
            <v>113344</v>
          </cell>
        </row>
        <row r="105">
          <cell r="W105">
            <v>117052</v>
          </cell>
        </row>
        <row r="106">
          <cell r="W106">
            <v>113344</v>
          </cell>
        </row>
        <row r="107">
          <cell r="W107">
            <v>117159</v>
          </cell>
        </row>
        <row r="108">
          <cell r="W108">
            <v>79355</v>
          </cell>
        </row>
        <row r="109">
          <cell r="W109">
            <v>79764</v>
          </cell>
        </row>
        <row r="110">
          <cell r="W110">
            <v>79956</v>
          </cell>
        </row>
        <row r="111">
          <cell r="W111">
            <v>168772</v>
          </cell>
        </row>
        <row r="112">
          <cell r="W112">
            <v>77567</v>
          </cell>
        </row>
        <row r="113">
          <cell r="W113">
            <v>80027</v>
          </cell>
        </row>
        <row r="114">
          <cell r="W114">
            <v>79712</v>
          </cell>
        </row>
        <row r="115">
          <cell r="W115">
            <v>118205</v>
          </cell>
        </row>
        <row r="116">
          <cell r="W116">
            <v>79774</v>
          </cell>
        </row>
        <row r="117">
          <cell r="W117">
            <v>90853</v>
          </cell>
        </row>
        <row r="118">
          <cell r="W118">
            <v>79478</v>
          </cell>
        </row>
        <row r="119">
          <cell r="W119">
            <v>974969</v>
          </cell>
        </row>
        <row r="120">
          <cell r="W120">
            <v>773222</v>
          </cell>
        </row>
        <row r="121">
          <cell r="W121">
            <v>570901</v>
          </cell>
        </row>
        <row r="122">
          <cell r="W122">
            <v>782163</v>
          </cell>
        </row>
        <row r="123">
          <cell r="W123">
            <v>166944</v>
          </cell>
        </row>
        <row r="124">
          <cell r="W124">
            <v>525942</v>
          </cell>
        </row>
        <row r="125">
          <cell r="W125">
            <v>81946</v>
          </cell>
        </row>
        <row r="126">
          <cell r="W126">
            <v>83209</v>
          </cell>
        </row>
        <row r="127">
          <cell r="W127">
            <v>82987</v>
          </cell>
        </row>
        <row r="128">
          <cell r="W128">
            <v>89109</v>
          </cell>
        </row>
        <row r="129">
          <cell r="W129">
            <v>83105</v>
          </cell>
        </row>
        <row r="130">
          <cell r="W130">
            <v>82768</v>
          </cell>
        </row>
        <row r="131">
          <cell r="W131">
            <v>85266</v>
          </cell>
        </row>
        <row r="132">
          <cell r="W132">
            <v>140496</v>
          </cell>
        </row>
        <row r="133">
          <cell r="W133">
            <v>82979</v>
          </cell>
        </row>
        <row r="134">
          <cell r="W134">
            <v>82363</v>
          </cell>
        </row>
        <row r="135">
          <cell r="W135">
            <v>79903</v>
          </cell>
        </row>
        <row r="136">
          <cell r="W136">
            <v>82025</v>
          </cell>
        </row>
        <row r="137">
          <cell r="W137">
            <v>82068</v>
          </cell>
        </row>
        <row r="138">
          <cell r="W138">
            <v>152969</v>
          </cell>
        </row>
        <row r="139">
          <cell r="W139">
            <v>86765</v>
          </cell>
        </row>
        <row r="140">
          <cell r="W140">
            <v>172087</v>
          </cell>
        </row>
        <row r="141">
          <cell r="W141">
            <v>87598</v>
          </cell>
        </row>
        <row r="142">
          <cell r="W142">
            <v>327563</v>
          </cell>
        </row>
        <row r="143">
          <cell r="W143">
            <v>82811</v>
          </cell>
        </row>
        <row r="144">
          <cell r="W144">
            <v>85466</v>
          </cell>
        </row>
        <row r="145">
          <cell r="W145">
            <v>75302</v>
          </cell>
        </row>
        <row r="146">
          <cell r="W146">
            <v>84777</v>
          </cell>
        </row>
        <row r="147">
          <cell r="W147">
            <v>42384</v>
          </cell>
        </row>
        <row r="148">
          <cell r="W148">
            <v>27185</v>
          </cell>
        </row>
        <row r="149">
          <cell r="W149">
            <v>0</v>
          </cell>
        </row>
        <row r="150">
          <cell r="W150">
            <v>0</v>
          </cell>
        </row>
        <row r="151">
          <cell r="W151">
            <v>0</v>
          </cell>
        </row>
        <row r="152">
          <cell r="W152">
            <v>0</v>
          </cell>
        </row>
        <row r="153">
          <cell r="W153">
            <v>122181</v>
          </cell>
        </row>
        <row r="154">
          <cell r="W154">
            <v>120007</v>
          </cell>
        </row>
        <row r="155">
          <cell r="W155">
            <v>0</v>
          </cell>
        </row>
        <row r="156">
          <cell r="W156">
            <v>0</v>
          </cell>
        </row>
        <row r="157">
          <cell r="W157">
            <v>0</v>
          </cell>
        </row>
        <row r="158">
          <cell r="W158">
            <v>0</v>
          </cell>
        </row>
        <row r="159">
          <cell r="W159">
            <v>81162</v>
          </cell>
        </row>
        <row r="160">
          <cell r="W160">
            <v>0</v>
          </cell>
        </row>
        <row r="161">
          <cell r="W161">
            <v>0</v>
          </cell>
        </row>
        <row r="162">
          <cell r="W162">
            <v>0</v>
          </cell>
        </row>
        <row r="163">
          <cell r="W163">
            <v>0</v>
          </cell>
        </row>
        <row r="164">
          <cell r="W164">
            <v>0</v>
          </cell>
        </row>
        <row r="165">
          <cell r="W165">
            <v>0</v>
          </cell>
        </row>
        <row r="166">
          <cell r="W166">
            <v>0</v>
          </cell>
        </row>
        <row r="167">
          <cell r="W167">
            <v>0</v>
          </cell>
        </row>
        <row r="168">
          <cell r="W168">
            <v>0</v>
          </cell>
        </row>
        <row r="172">
          <cell r="W172">
            <v>0</v>
          </cell>
        </row>
        <row r="173">
          <cell r="W173">
            <v>0</v>
          </cell>
        </row>
        <row r="174">
          <cell r="W174">
            <v>0</v>
          </cell>
        </row>
        <row r="175">
          <cell r="W175">
            <v>0</v>
          </cell>
        </row>
        <row r="176">
          <cell r="W176">
            <v>0</v>
          </cell>
        </row>
        <row r="177">
          <cell r="W177">
            <v>0</v>
          </cell>
        </row>
        <row r="180">
          <cell r="W180">
            <v>0</v>
          </cell>
        </row>
        <row r="181">
          <cell r="W181">
            <v>0</v>
          </cell>
        </row>
        <row r="182">
          <cell r="W182">
            <v>122422.20923040077</v>
          </cell>
        </row>
        <row r="186">
          <cell r="W186">
            <v>104734.0387</v>
          </cell>
        </row>
        <row r="187">
          <cell r="W187">
            <v>126580.48407500001</v>
          </cell>
        </row>
        <row r="188">
          <cell r="W188">
            <v>81802</v>
          </cell>
        </row>
      </sheetData>
      <sheetData sheetId="1"/>
      <sheetData sheetId="2">
        <row r="10">
          <cell r="O10">
            <v>1320120</v>
          </cell>
        </row>
        <row r="90">
          <cell r="O90">
            <v>582400</v>
          </cell>
        </row>
        <row r="91">
          <cell r="O91">
            <v>731480</v>
          </cell>
        </row>
        <row r="92">
          <cell r="O92">
            <v>1165600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KROL PHT"/>
      <sheetName val="Sheet2"/>
      <sheetName val="OUTPUT-HK"/>
      <sheetName val="CKROL PERAWATAN"/>
      <sheetName val="INSENTIF PANEN"/>
      <sheetName val="GAJI MAINTENANCE AJ"/>
      <sheetName val="PANEN 1"/>
      <sheetName val="OPERATOR"/>
      <sheetName val="BRI"/>
      <sheetName val="REKON GAJI DENGAN IFES"/>
      <sheetName val="rekon 1"/>
      <sheetName val="Sheet10"/>
      <sheetName val="Sheet11"/>
      <sheetName val="Sheet1"/>
    </sheetNames>
    <sheetDataSet>
      <sheetData sheetId="0"/>
      <sheetData sheetId="1"/>
      <sheetData sheetId="2"/>
      <sheetData sheetId="3"/>
      <sheetData sheetId="4"/>
      <sheetData sheetId="5">
        <row r="10">
          <cell r="BH10">
            <v>3740804.06</v>
          </cell>
        </row>
        <row r="11">
          <cell r="BH11">
            <v>273750</v>
          </cell>
        </row>
        <row r="12">
          <cell r="BH12">
            <v>1492919.32</v>
          </cell>
        </row>
        <row r="13">
          <cell r="BH13">
            <v>120250</v>
          </cell>
        </row>
        <row r="14">
          <cell r="BH14">
            <v>193500</v>
          </cell>
        </row>
        <row r="15">
          <cell r="BH15">
            <v>198150</v>
          </cell>
        </row>
        <row r="16">
          <cell r="BH16">
            <v>199500</v>
          </cell>
        </row>
        <row r="17">
          <cell r="BH17">
            <v>163200</v>
          </cell>
        </row>
        <row r="18">
          <cell r="BH18">
            <v>193500</v>
          </cell>
        </row>
        <row r="19">
          <cell r="BH19">
            <v>180700</v>
          </cell>
        </row>
        <row r="20">
          <cell r="BH20">
            <v>123750</v>
          </cell>
        </row>
        <row r="21">
          <cell r="BH21">
            <v>188400</v>
          </cell>
        </row>
        <row r="22">
          <cell r="BH22">
            <v>222550</v>
          </cell>
        </row>
        <row r="23">
          <cell r="BH23">
            <v>151200</v>
          </cell>
        </row>
        <row r="24">
          <cell r="BH24">
            <v>144000</v>
          </cell>
        </row>
        <row r="25">
          <cell r="BH25">
            <v>177150</v>
          </cell>
        </row>
        <row r="26">
          <cell r="BH26">
            <v>193500</v>
          </cell>
        </row>
        <row r="27">
          <cell r="BH27">
            <v>546003.74</v>
          </cell>
        </row>
        <row r="28">
          <cell r="BH28">
            <v>120250</v>
          </cell>
        </row>
        <row r="29">
          <cell r="BH29">
            <v>404500</v>
          </cell>
        </row>
        <row r="30">
          <cell r="BH30">
            <v>179000</v>
          </cell>
        </row>
        <row r="31">
          <cell r="BH31">
            <v>165150</v>
          </cell>
        </row>
        <row r="32">
          <cell r="BH32">
            <v>167850</v>
          </cell>
        </row>
        <row r="33">
          <cell r="BH33">
            <v>140400</v>
          </cell>
        </row>
        <row r="34">
          <cell r="BH34">
            <v>109800</v>
          </cell>
        </row>
        <row r="35">
          <cell r="BH35">
            <v>166500</v>
          </cell>
        </row>
        <row r="36">
          <cell r="BH36">
            <v>69750</v>
          </cell>
        </row>
        <row r="37">
          <cell r="BH37">
            <v>65250</v>
          </cell>
        </row>
        <row r="38">
          <cell r="BH38">
            <v>69750</v>
          </cell>
        </row>
        <row r="39">
          <cell r="BH39">
            <v>140300</v>
          </cell>
        </row>
        <row r="40">
          <cell r="G40">
            <v>90195560</v>
          </cell>
          <cell r="I40">
            <v>3618160</v>
          </cell>
          <cell r="K40">
            <v>1938300</v>
          </cell>
          <cell r="M40">
            <v>1292200</v>
          </cell>
          <cell r="O40">
            <v>15506400</v>
          </cell>
          <cell r="Q40">
            <v>3876600</v>
          </cell>
        </row>
      </sheetData>
      <sheetData sheetId="6">
        <row r="10">
          <cell r="BM10">
            <v>986085</v>
          </cell>
        </row>
        <row r="11">
          <cell r="BM11">
            <v>1810227</v>
          </cell>
        </row>
        <row r="12">
          <cell r="BM12">
            <v>609048.17543859652</v>
          </cell>
        </row>
        <row r="13">
          <cell r="BM13">
            <v>568147.5555555555</v>
          </cell>
        </row>
        <row r="14">
          <cell r="BM14">
            <v>991017.68421052629</v>
          </cell>
        </row>
        <row r="15">
          <cell r="BM15">
            <v>705180</v>
          </cell>
        </row>
        <row r="16">
          <cell r="BM16">
            <v>909465</v>
          </cell>
        </row>
        <row r="17">
          <cell r="BM17">
            <v>384365.44444444444</v>
          </cell>
        </row>
        <row r="18">
          <cell r="BM18">
            <v>1126952</v>
          </cell>
        </row>
        <row r="19">
          <cell r="BM19">
            <v>1444290</v>
          </cell>
        </row>
        <row r="20">
          <cell r="BM20">
            <v>740307</v>
          </cell>
        </row>
        <row r="21">
          <cell r="BM21">
            <v>2188996</v>
          </cell>
        </row>
        <row r="22">
          <cell r="BM22">
            <v>920872</v>
          </cell>
        </row>
        <row r="23">
          <cell r="BM23">
            <v>1455820</v>
          </cell>
        </row>
        <row r="24">
          <cell r="BM24">
            <v>858020</v>
          </cell>
        </row>
        <row r="25">
          <cell r="BM25">
            <v>579057.66666666663</v>
          </cell>
        </row>
        <row r="26">
          <cell r="BM26">
            <v>189287.27723840345</v>
          </cell>
        </row>
        <row r="27">
          <cell r="BM27">
            <v>475659.39766081871</v>
          </cell>
        </row>
        <row r="28">
          <cell r="BM28">
            <v>51250.204394481349</v>
          </cell>
        </row>
        <row r="29">
          <cell r="BM29">
            <v>912428.66666666663</v>
          </cell>
        </row>
        <row r="30">
          <cell r="G30">
            <v>59958080</v>
          </cell>
          <cell r="I30">
            <v>3359720</v>
          </cell>
          <cell r="K30">
            <v>2584400</v>
          </cell>
          <cell r="M30">
            <v>10337600</v>
          </cell>
          <cell r="O30">
            <v>2584400</v>
          </cell>
        </row>
      </sheetData>
      <sheetData sheetId="7">
        <row r="11">
          <cell r="BF11">
            <v>3229137.2199999997</v>
          </cell>
        </row>
        <row r="12">
          <cell r="BF12">
            <v>3274935.44</v>
          </cell>
        </row>
        <row r="13">
          <cell r="BF13">
            <v>3167221.16</v>
          </cell>
        </row>
        <row r="14">
          <cell r="BF14">
            <v>3320969</v>
          </cell>
        </row>
        <row r="15">
          <cell r="G15">
            <v>13051220</v>
          </cell>
          <cell r="I15">
            <v>387660</v>
          </cell>
          <cell r="K15">
            <v>0</v>
          </cell>
          <cell r="O15">
            <v>2067520</v>
          </cell>
          <cell r="Q15">
            <v>516880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APRIL"/>
      <sheetName val="MEI"/>
      <sheetName val="JUNI"/>
      <sheetName val="JULI"/>
      <sheetName val="AGUSTUS"/>
      <sheetName val="SEPTEMBER"/>
      <sheetName val="OKTOBER"/>
      <sheetName val="NOVEMBER"/>
      <sheetName val="DESEMB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M6">
            <v>189224.64</v>
          </cell>
          <cell r="AN6">
            <v>7935848.7000000002</v>
          </cell>
        </row>
        <row r="7">
          <cell r="AM7">
            <v>191935.04</v>
          </cell>
          <cell r="AN7">
            <v>4471505.04</v>
          </cell>
        </row>
        <row r="8">
          <cell r="AM8">
            <v>192104.44</v>
          </cell>
          <cell r="AN8">
            <v>5578803.2999999998</v>
          </cell>
        </row>
        <row r="9">
          <cell r="AM9">
            <v>190071.64</v>
          </cell>
          <cell r="AN9">
            <v>4316141.6399999997</v>
          </cell>
        </row>
        <row r="10">
          <cell r="AM10">
            <v>190241.04</v>
          </cell>
          <cell r="AN10">
            <v>4260341.04</v>
          </cell>
        </row>
        <row r="11">
          <cell r="AM11">
            <v>190241.04</v>
          </cell>
          <cell r="AN11">
            <v>4394211.04</v>
          </cell>
        </row>
        <row r="12">
          <cell r="AM12">
            <v>189224.64</v>
          </cell>
          <cell r="AN12">
            <v>4265324.6399999997</v>
          </cell>
        </row>
        <row r="13">
          <cell r="AM13">
            <v>189224.64</v>
          </cell>
          <cell r="AN13">
            <v>3970584.64</v>
          </cell>
        </row>
        <row r="14">
          <cell r="AM14">
            <v>190241.04</v>
          </cell>
          <cell r="AN14">
            <v>4260341.04</v>
          </cell>
        </row>
        <row r="15">
          <cell r="AM15">
            <v>190071.64</v>
          </cell>
          <cell r="AN15">
            <v>4376591.6399999997</v>
          </cell>
        </row>
        <row r="16">
          <cell r="AM16">
            <v>190241.04</v>
          </cell>
          <cell r="AN16">
            <v>4319811.04</v>
          </cell>
        </row>
        <row r="17">
          <cell r="AM17">
            <v>189224.64</v>
          </cell>
          <cell r="AN17">
            <v>3995784.64</v>
          </cell>
        </row>
        <row r="18">
          <cell r="AM18">
            <v>190071.64</v>
          </cell>
          <cell r="AN18">
            <v>4418441.6399999997</v>
          </cell>
        </row>
        <row r="19">
          <cell r="AM19">
            <v>188643.84</v>
          </cell>
          <cell r="AN19">
            <v>3958003.84</v>
          </cell>
        </row>
        <row r="20">
          <cell r="AM20">
            <v>189224.64</v>
          </cell>
          <cell r="AN20">
            <v>4209824.6399999997</v>
          </cell>
        </row>
        <row r="21">
          <cell r="AM21">
            <v>189224.64</v>
          </cell>
          <cell r="AN21">
            <v>4372194.6399999997</v>
          </cell>
        </row>
        <row r="22">
          <cell r="AM22">
            <v>190241.04</v>
          </cell>
          <cell r="AN22">
            <v>4260341.04</v>
          </cell>
        </row>
        <row r="23">
          <cell r="AM23">
            <v>190071.64</v>
          </cell>
          <cell r="AN23">
            <v>4741895.38</v>
          </cell>
        </row>
        <row r="24">
          <cell r="AM24">
            <v>190071.64</v>
          </cell>
          <cell r="AN24">
            <v>4316141.6399999997</v>
          </cell>
        </row>
        <row r="25">
          <cell r="AM25">
            <v>188353.44</v>
          </cell>
          <cell r="AN25">
            <v>4469453.4400000004</v>
          </cell>
        </row>
        <row r="26">
          <cell r="AM26">
            <v>188232.44</v>
          </cell>
          <cell r="AN26">
            <v>4243832.4400000004</v>
          </cell>
        </row>
        <row r="27">
          <cell r="AM27">
            <v>188643.84</v>
          </cell>
          <cell r="AN27">
            <v>4359613.84</v>
          </cell>
        </row>
        <row r="28">
          <cell r="AM28">
            <v>189224.64</v>
          </cell>
          <cell r="AN28">
            <v>4104454.64</v>
          </cell>
        </row>
        <row r="29">
          <cell r="AM29">
            <v>188934.24</v>
          </cell>
          <cell r="AN29">
            <v>3818274.24</v>
          </cell>
        </row>
        <row r="30">
          <cell r="AM30">
            <v>187748.44</v>
          </cell>
          <cell r="AN30">
            <v>4044928.44</v>
          </cell>
        </row>
        <row r="31">
          <cell r="AM31">
            <v>188934.24</v>
          </cell>
          <cell r="AN31">
            <v>4259034.24</v>
          </cell>
        </row>
        <row r="32">
          <cell r="AM32">
            <v>187627.44</v>
          </cell>
          <cell r="AN32">
            <v>4263197.4400000004</v>
          </cell>
        </row>
        <row r="33">
          <cell r="AM33">
            <v>187627.44</v>
          </cell>
          <cell r="AN33">
            <v>4000257.44</v>
          </cell>
        </row>
        <row r="34">
          <cell r="AM34">
            <v>187627.44</v>
          </cell>
          <cell r="AN34">
            <v>4263197.4400000004</v>
          </cell>
        </row>
        <row r="35">
          <cell r="AM35">
            <v>189224.64</v>
          </cell>
          <cell r="AN35">
            <v>4076904.64</v>
          </cell>
        </row>
        <row r="36">
          <cell r="AM36">
            <v>192104.44</v>
          </cell>
        </row>
        <row r="37">
          <cell r="AM37">
            <v>189224.64</v>
          </cell>
        </row>
        <row r="38">
          <cell r="AM38">
            <v>191935.04</v>
          </cell>
        </row>
        <row r="39">
          <cell r="AM39">
            <v>192104.44</v>
          </cell>
        </row>
        <row r="40">
          <cell r="AM40">
            <v>187869.44</v>
          </cell>
        </row>
        <row r="41">
          <cell r="AM41">
            <v>189224.64</v>
          </cell>
        </row>
        <row r="42">
          <cell r="AM42">
            <v>188789.04</v>
          </cell>
        </row>
        <row r="43">
          <cell r="AM43">
            <v>188789.04</v>
          </cell>
        </row>
        <row r="44">
          <cell r="AM44">
            <v>188643.84</v>
          </cell>
        </row>
        <row r="45">
          <cell r="AM45">
            <v>188111.44</v>
          </cell>
        </row>
        <row r="46">
          <cell r="AM46">
            <v>187869.44</v>
          </cell>
        </row>
        <row r="47">
          <cell r="AM47">
            <v>187748.44</v>
          </cell>
        </row>
        <row r="48">
          <cell r="AM48">
            <v>187748.44</v>
          </cell>
        </row>
        <row r="49">
          <cell r="AM49">
            <v>187748.44</v>
          </cell>
        </row>
        <row r="50">
          <cell r="AM50">
            <v>187748.44</v>
          </cell>
        </row>
        <row r="51">
          <cell r="AM51">
            <v>187748.44</v>
          </cell>
        </row>
        <row r="52">
          <cell r="AM52">
            <v>187748.44</v>
          </cell>
        </row>
        <row r="53">
          <cell r="AM53">
            <v>187627.44</v>
          </cell>
        </row>
        <row r="54">
          <cell r="AM54">
            <v>187627.44</v>
          </cell>
        </row>
        <row r="55">
          <cell r="AM55">
            <v>188232.44</v>
          </cell>
        </row>
        <row r="56">
          <cell r="AM56">
            <v>187748.44</v>
          </cell>
        </row>
        <row r="57">
          <cell r="AM57">
            <v>189563.44</v>
          </cell>
        </row>
        <row r="58">
          <cell r="AM58">
            <v>187869.44</v>
          </cell>
        </row>
        <row r="59">
          <cell r="AM59">
            <v>187627.44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D4" workbookViewId="0">
      <selection activeCell="I30" sqref="I30"/>
    </sheetView>
  </sheetViews>
  <sheetFormatPr defaultColWidth="8.7109375" defaultRowHeight="15" customHeight="1"/>
  <cols>
    <col min="1" max="1" width="4.7109375" style="68" customWidth="1"/>
    <col min="2" max="2" width="13.7109375" style="9" customWidth="1"/>
    <col min="3" max="3" width="4.7109375" style="68" customWidth="1"/>
    <col min="4" max="4" width="14.7109375" style="9" customWidth="1"/>
    <col min="5" max="5" width="8.7109375" style="16" customWidth="1"/>
    <col min="6" max="7" width="4.7109375" style="68" customWidth="1"/>
    <col min="8" max="8" width="13.7109375" style="68" customWidth="1"/>
    <col min="9" max="9" width="4.7109375" style="68" customWidth="1"/>
    <col min="10" max="10" width="14.7109375" style="68" customWidth="1"/>
    <col min="11" max="11" width="8.7109375" style="14" customWidth="1"/>
    <col min="12" max="13" width="4.7109375" style="68" customWidth="1"/>
    <col min="14" max="14" width="13.7109375" style="68" customWidth="1"/>
    <col min="15" max="15" width="4.7109375" style="68" customWidth="1"/>
    <col min="16" max="16" width="14.7109375" style="68" customWidth="1"/>
    <col min="17" max="17" width="8.7109375" style="14" customWidth="1"/>
    <col min="18" max="18" width="4.7109375" style="68" customWidth="1"/>
    <col min="19" max="19" width="14.28515625" style="3" customWidth="1"/>
    <col min="20" max="20" width="4.7109375" style="3" customWidth="1"/>
    <col min="21" max="21" width="13.85546875" style="3" customWidth="1"/>
    <col min="22" max="22" width="8.7109375" style="3" customWidth="1"/>
    <col min="23" max="23" width="4.7109375" style="22" customWidth="1"/>
    <col min="24" max="24" width="4.7109375" style="14" customWidth="1"/>
    <col min="25" max="25" width="8.7109375" style="3"/>
    <col min="26" max="16384" width="8.7109375" style="68"/>
  </cols>
  <sheetData>
    <row r="1" spans="1:25" s="11" customFormat="1" ht="20.100000000000001" customHeight="1">
      <c r="A1" s="2" t="s">
        <v>60</v>
      </c>
      <c r="E1" s="15"/>
      <c r="F1" s="1"/>
      <c r="G1" s="2" t="s">
        <v>61</v>
      </c>
      <c r="H1" s="1"/>
      <c r="I1" s="1"/>
      <c r="J1" s="1"/>
      <c r="K1" s="12"/>
      <c r="M1" s="2" t="s">
        <v>62</v>
      </c>
      <c r="Q1" s="12"/>
      <c r="S1" s="2" t="s">
        <v>21</v>
      </c>
      <c r="T1" s="6"/>
      <c r="U1" s="6"/>
      <c r="V1" s="6"/>
      <c r="W1" s="21"/>
      <c r="X1" s="25"/>
      <c r="Y1" s="6"/>
    </row>
    <row r="2" spans="1:25" ht="20.100000000000001" customHeight="1">
      <c r="A2" s="69" t="s">
        <v>0</v>
      </c>
      <c r="B2" s="482" t="s">
        <v>3</v>
      </c>
      <c r="C2" s="482"/>
      <c r="D2" s="482"/>
      <c r="E2" s="5" t="s">
        <v>1</v>
      </c>
      <c r="G2" s="69" t="s">
        <v>0</v>
      </c>
      <c r="H2" s="482" t="s">
        <v>3</v>
      </c>
      <c r="I2" s="482"/>
      <c r="J2" s="482"/>
      <c r="K2" s="5" t="s">
        <v>4</v>
      </c>
      <c r="M2" s="69" t="s">
        <v>0</v>
      </c>
      <c r="N2" s="482" t="s">
        <v>3</v>
      </c>
      <c r="O2" s="482"/>
      <c r="P2" s="482"/>
      <c r="Q2" s="5" t="s">
        <v>5</v>
      </c>
      <c r="S2" s="482" t="s">
        <v>14</v>
      </c>
      <c r="T2" s="482"/>
      <c r="U2" s="482"/>
      <c r="V2" s="69" t="s">
        <v>13</v>
      </c>
      <c r="X2" s="26"/>
    </row>
    <row r="3" spans="1:25" ht="15" customHeight="1">
      <c r="A3" s="70">
        <v>1</v>
      </c>
      <c r="B3" s="19">
        <v>0</v>
      </c>
      <c r="C3" s="70" t="s">
        <v>2</v>
      </c>
      <c r="D3" s="7">
        <v>5400000</v>
      </c>
      <c r="E3" s="13">
        <v>0</v>
      </c>
      <c r="G3" s="70">
        <v>1</v>
      </c>
      <c r="H3" s="19">
        <v>0</v>
      </c>
      <c r="I3" s="70" t="s">
        <v>2</v>
      </c>
      <c r="J3" s="7">
        <v>6200000</v>
      </c>
      <c r="K3" s="13">
        <v>0</v>
      </c>
      <c r="M3" s="70">
        <v>1</v>
      </c>
      <c r="N3" s="19">
        <v>0</v>
      </c>
      <c r="O3" s="70" t="s">
        <v>2</v>
      </c>
      <c r="P3" s="7">
        <v>6600000</v>
      </c>
      <c r="Q3" s="13">
        <v>0</v>
      </c>
      <c r="S3" s="19">
        <v>0</v>
      </c>
      <c r="T3" s="70" t="s">
        <v>2</v>
      </c>
      <c r="U3" s="4">
        <v>450000</v>
      </c>
      <c r="V3" s="17">
        <v>0</v>
      </c>
      <c r="X3" s="26"/>
    </row>
    <row r="4" spans="1:25" ht="15" customHeight="1">
      <c r="A4" s="70">
        <f>A3+1</f>
        <v>2</v>
      </c>
      <c r="B4" s="7">
        <f>D3+1</f>
        <v>5400001</v>
      </c>
      <c r="C4" s="70" t="s">
        <v>2</v>
      </c>
      <c r="D4" s="7">
        <v>5650000</v>
      </c>
      <c r="E4" s="13">
        <v>2.5000000000000001E-3</v>
      </c>
      <c r="G4" s="70">
        <f>G3+1</f>
        <v>2</v>
      </c>
      <c r="H4" s="7">
        <f>J3+1</f>
        <v>6200001</v>
      </c>
      <c r="I4" s="70" t="s">
        <v>2</v>
      </c>
      <c r="J4" s="7">
        <v>6500000</v>
      </c>
      <c r="K4" s="13">
        <v>2.5000000000000001E-3</v>
      </c>
      <c r="M4" s="70">
        <f>M3+1</f>
        <v>2</v>
      </c>
      <c r="N4" s="7">
        <f>P3+1</f>
        <v>6600001</v>
      </c>
      <c r="O4" s="70" t="s">
        <v>2</v>
      </c>
      <c r="P4" s="7">
        <v>6950000</v>
      </c>
      <c r="Q4" s="13">
        <v>2.5000000000000001E-3</v>
      </c>
      <c r="S4" s="4">
        <v>450001</v>
      </c>
      <c r="T4" s="70" t="s">
        <v>2</v>
      </c>
      <c r="U4" s="4">
        <v>2500000</v>
      </c>
      <c r="V4" s="18">
        <v>5.0000000000000001E-3</v>
      </c>
      <c r="X4" s="26"/>
    </row>
    <row r="5" spans="1:25" ht="15" customHeight="1">
      <c r="A5" s="70">
        <f t="shared" ref="A5:A46" si="0">A4+1</f>
        <v>3</v>
      </c>
      <c r="B5" s="7">
        <f t="shared" ref="B5:B46" si="1">D4+1</f>
        <v>5650001</v>
      </c>
      <c r="C5" s="70" t="s">
        <v>2</v>
      </c>
      <c r="D5" s="7">
        <v>5950000</v>
      </c>
      <c r="E5" s="13">
        <v>5.0000000000000001E-3</v>
      </c>
      <c r="G5" s="70">
        <f t="shared" ref="G5:G42" si="2">G4+1</f>
        <v>3</v>
      </c>
      <c r="H5" s="7">
        <f t="shared" ref="H5:H42" si="3">J4+1</f>
        <v>6500001</v>
      </c>
      <c r="I5" s="70" t="s">
        <v>2</v>
      </c>
      <c r="J5" s="7">
        <v>6850000</v>
      </c>
      <c r="K5" s="13">
        <v>5.0000000000000001E-3</v>
      </c>
      <c r="M5" s="70">
        <f t="shared" ref="M5:M42" si="4">M4+1</f>
        <v>3</v>
      </c>
      <c r="N5" s="7">
        <f t="shared" ref="N5:N43" si="5">P4+1</f>
        <v>6950001</v>
      </c>
      <c r="O5" s="70" t="s">
        <v>2</v>
      </c>
      <c r="P5" s="7">
        <v>7350000</v>
      </c>
      <c r="Q5" s="13">
        <v>5.0000000000000001E-3</v>
      </c>
    </row>
    <row r="6" spans="1:25" ht="15" customHeight="1">
      <c r="A6" s="70">
        <f t="shared" si="0"/>
        <v>4</v>
      </c>
      <c r="B6" s="7">
        <f t="shared" si="1"/>
        <v>5950001</v>
      </c>
      <c r="C6" s="70" t="s">
        <v>2</v>
      </c>
      <c r="D6" s="7">
        <v>6300000</v>
      </c>
      <c r="E6" s="13">
        <v>7.4999999999999997E-3</v>
      </c>
      <c r="G6" s="70">
        <f t="shared" si="2"/>
        <v>4</v>
      </c>
      <c r="H6" s="7">
        <f t="shared" si="3"/>
        <v>6850001</v>
      </c>
      <c r="I6" s="70" t="s">
        <v>2</v>
      </c>
      <c r="J6" s="7">
        <v>7300000</v>
      </c>
      <c r="K6" s="13">
        <v>7.4999999999999997E-3</v>
      </c>
      <c r="M6" s="70">
        <f t="shared" si="4"/>
        <v>4</v>
      </c>
      <c r="N6" s="7">
        <f t="shared" si="5"/>
        <v>7350001</v>
      </c>
      <c r="O6" s="70" t="s">
        <v>2</v>
      </c>
      <c r="P6" s="7">
        <v>7800000</v>
      </c>
      <c r="Q6" s="13">
        <v>7.4999999999999997E-3</v>
      </c>
    </row>
    <row r="7" spans="1:25" ht="15" customHeight="1">
      <c r="A7" s="70">
        <f t="shared" si="0"/>
        <v>5</v>
      </c>
      <c r="B7" s="7">
        <f t="shared" si="1"/>
        <v>6300001</v>
      </c>
      <c r="C7" s="70" t="s">
        <v>2</v>
      </c>
      <c r="D7" s="7">
        <v>6750000</v>
      </c>
      <c r="E7" s="13">
        <v>0.01</v>
      </c>
      <c r="G7" s="70">
        <f t="shared" si="2"/>
        <v>5</v>
      </c>
      <c r="H7" s="7">
        <f t="shared" si="3"/>
        <v>7300001</v>
      </c>
      <c r="I7" s="70" t="s">
        <v>2</v>
      </c>
      <c r="J7" s="7">
        <v>9200000</v>
      </c>
      <c r="K7" s="13">
        <v>0.01</v>
      </c>
      <c r="M7" s="70">
        <f t="shared" si="4"/>
        <v>5</v>
      </c>
      <c r="N7" s="7">
        <f t="shared" si="5"/>
        <v>7800001</v>
      </c>
      <c r="O7" s="70" t="s">
        <v>2</v>
      </c>
      <c r="P7" s="7">
        <v>8850000</v>
      </c>
      <c r="Q7" s="13">
        <v>0.01</v>
      </c>
      <c r="S7" s="2" t="s">
        <v>23</v>
      </c>
      <c r="T7" s="6"/>
      <c r="U7" s="6"/>
      <c r="V7" s="6"/>
    </row>
    <row r="8" spans="1:25" ht="15" customHeight="1">
      <c r="A8" s="70">
        <f t="shared" si="0"/>
        <v>6</v>
      </c>
      <c r="B8" s="7">
        <f t="shared" si="1"/>
        <v>6750001</v>
      </c>
      <c r="C8" s="70" t="s">
        <v>2</v>
      </c>
      <c r="D8" s="7">
        <v>7500000</v>
      </c>
      <c r="E8" s="13">
        <v>1.2500000000000001E-2</v>
      </c>
      <c r="G8" s="70">
        <f t="shared" si="2"/>
        <v>6</v>
      </c>
      <c r="H8" s="7">
        <f t="shared" si="3"/>
        <v>9200001</v>
      </c>
      <c r="I8" s="70" t="s">
        <v>2</v>
      </c>
      <c r="J8" s="7">
        <v>10750000</v>
      </c>
      <c r="K8" s="13">
        <v>1.4999999999999999E-2</v>
      </c>
      <c r="M8" s="70">
        <f t="shared" si="4"/>
        <v>6</v>
      </c>
      <c r="N8" s="7">
        <f t="shared" si="5"/>
        <v>8850001</v>
      </c>
      <c r="O8" s="70" t="s">
        <v>2</v>
      </c>
      <c r="P8" s="7">
        <v>9800000</v>
      </c>
      <c r="Q8" s="13">
        <v>1.2500000000000001E-2</v>
      </c>
      <c r="S8" s="482" t="s">
        <v>22</v>
      </c>
      <c r="T8" s="482"/>
      <c r="U8" s="482"/>
      <c r="V8" s="69" t="s">
        <v>13</v>
      </c>
    </row>
    <row r="9" spans="1:25" ht="15" customHeight="1">
      <c r="A9" s="70">
        <f t="shared" si="0"/>
        <v>7</v>
      </c>
      <c r="B9" s="7">
        <f t="shared" si="1"/>
        <v>7500001</v>
      </c>
      <c r="C9" s="70" t="s">
        <v>2</v>
      </c>
      <c r="D9" s="7">
        <v>8550000</v>
      </c>
      <c r="E9" s="13">
        <v>1.5000000000000001E-2</v>
      </c>
      <c r="G9" s="70">
        <f t="shared" si="2"/>
        <v>7</v>
      </c>
      <c r="H9" s="7">
        <f t="shared" si="3"/>
        <v>10750001</v>
      </c>
      <c r="I9" s="70" t="s">
        <v>2</v>
      </c>
      <c r="J9" s="7">
        <v>11250000</v>
      </c>
      <c r="K9" s="13">
        <v>0.02</v>
      </c>
      <c r="M9" s="70">
        <f t="shared" si="4"/>
        <v>7</v>
      </c>
      <c r="N9" s="7">
        <f t="shared" si="5"/>
        <v>9800001</v>
      </c>
      <c r="O9" s="70" t="s">
        <v>2</v>
      </c>
      <c r="P9" s="7">
        <v>10950000</v>
      </c>
      <c r="Q9" s="13">
        <v>1.5000000000000001E-2</v>
      </c>
      <c r="S9" s="19">
        <v>0</v>
      </c>
      <c r="T9" s="70" t="s">
        <v>2</v>
      </c>
      <c r="U9" s="4">
        <v>60000000</v>
      </c>
      <c r="V9" s="17">
        <v>0.05</v>
      </c>
    </row>
    <row r="10" spans="1:25" ht="15" customHeight="1">
      <c r="A10" s="70">
        <f t="shared" si="0"/>
        <v>8</v>
      </c>
      <c r="B10" s="7">
        <f t="shared" si="1"/>
        <v>8550001</v>
      </c>
      <c r="C10" s="70" t="s">
        <v>2</v>
      </c>
      <c r="D10" s="7">
        <v>9650000</v>
      </c>
      <c r="E10" s="13">
        <v>1.7500000000000002E-2</v>
      </c>
      <c r="G10" s="70">
        <f t="shared" si="2"/>
        <v>8</v>
      </c>
      <c r="H10" s="7">
        <f t="shared" si="3"/>
        <v>11250001</v>
      </c>
      <c r="I10" s="70" t="s">
        <v>2</v>
      </c>
      <c r="J10" s="7">
        <v>11600000</v>
      </c>
      <c r="K10" s="13">
        <v>2.5000000000000001E-2</v>
      </c>
      <c r="M10" s="70">
        <f t="shared" si="4"/>
        <v>8</v>
      </c>
      <c r="N10" s="7">
        <f t="shared" si="5"/>
        <v>10950001</v>
      </c>
      <c r="O10" s="70" t="s">
        <v>2</v>
      </c>
      <c r="P10" s="7">
        <v>11200000</v>
      </c>
      <c r="Q10" s="13">
        <v>1.7500000000000002E-2</v>
      </c>
      <c r="S10" s="4">
        <f>U9+1</f>
        <v>60000001</v>
      </c>
      <c r="T10" s="70" t="s">
        <v>2</v>
      </c>
      <c r="U10" s="4">
        <v>250000000</v>
      </c>
      <c r="V10" s="17">
        <v>0.15</v>
      </c>
    </row>
    <row r="11" spans="1:25" ht="15" customHeight="1">
      <c r="A11" s="70">
        <f t="shared" si="0"/>
        <v>9</v>
      </c>
      <c r="B11" s="7">
        <f t="shared" si="1"/>
        <v>9650001</v>
      </c>
      <c r="C11" s="70" t="s">
        <v>2</v>
      </c>
      <c r="D11" s="7">
        <v>10050000</v>
      </c>
      <c r="E11" s="13">
        <v>0.02</v>
      </c>
      <c r="G11" s="70">
        <f t="shared" si="2"/>
        <v>9</v>
      </c>
      <c r="H11" s="7">
        <f t="shared" si="3"/>
        <v>11600001</v>
      </c>
      <c r="I11" s="70" t="s">
        <v>2</v>
      </c>
      <c r="J11" s="7">
        <v>12600000</v>
      </c>
      <c r="K11" s="13">
        <v>3.0000000000000002E-2</v>
      </c>
      <c r="M11" s="70">
        <f t="shared" si="4"/>
        <v>9</v>
      </c>
      <c r="N11" s="7">
        <f t="shared" si="5"/>
        <v>11200001</v>
      </c>
      <c r="O11" s="70" t="s">
        <v>2</v>
      </c>
      <c r="P11" s="7">
        <v>12050000</v>
      </c>
      <c r="Q11" s="13">
        <v>0.02</v>
      </c>
      <c r="S11" s="4">
        <f t="shared" ref="S11:S13" si="6">U10+1</f>
        <v>250000001</v>
      </c>
      <c r="T11" s="70" t="s">
        <v>2</v>
      </c>
      <c r="U11" s="4">
        <v>500000000</v>
      </c>
      <c r="V11" s="17">
        <v>0.25</v>
      </c>
    </row>
    <row r="12" spans="1:25" ht="15" customHeight="1">
      <c r="A12" s="70">
        <f t="shared" si="0"/>
        <v>10</v>
      </c>
      <c r="B12" s="7">
        <f t="shared" si="1"/>
        <v>10050001</v>
      </c>
      <c r="C12" s="70" t="s">
        <v>2</v>
      </c>
      <c r="D12" s="7">
        <v>10350000</v>
      </c>
      <c r="E12" s="13">
        <v>2.2499999999999999E-2</v>
      </c>
      <c r="G12" s="70">
        <f t="shared" si="2"/>
        <v>10</v>
      </c>
      <c r="H12" s="7">
        <f t="shared" si="3"/>
        <v>12600001</v>
      </c>
      <c r="I12" s="70" t="s">
        <v>2</v>
      </c>
      <c r="J12" s="7">
        <v>13600000</v>
      </c>
      <c r="K12" s="13">
        <v>0.04</v>
      </c>
      <c r="M12" s="70">
        <f t="shared" si="4"/>
        <v>10</v>
      </c>
      <c r="N12" s="7">
        <f t="shared" si="5"/>
        <v>12050001</v>
      </c>
      <c r="O12" s="70" t="s">
        <v>2</v>
      </c>
      <c r="P12" s="7">
        <v>12950000</v>
      </c>
      <c r="Q12" s="13">
        <v>0.03</v>
      </c>
      <c r="S12" s="4">
        <f t="shared" si="6"/>
        <v>500000001</v>
      </c>
      <c r="T12" s="70" t="s">
        <v>2</v>
      </c>
      <c r="U12" s="4">
        <v>5000000000</v>
      </c>
      <c r="V12" s="17">
        <v>0.3</v>
      </c>
    </row>
    <row r="13" spans="1:25" ht="15" customHeight="1">
      <c r="A13" s="70">
        <f t="shared" si="0"/>
        <v>11</v>
      </c>
      <c r="B13" s="7">
        <f t="shared" si="1"/>
        <v>10350001</v>
      </c>
      <c r="C13" s="70" t="s">
        <v>2</v>
      </c>
      <c r="D13" s="7">
        <v>10700000</v>
      </c>
      <c r="E13" s="13">
        <v>2.4999999999999998E-2</v>
      </c>
      <c r="G13" s="70">
        <f t="shared" si="2"/>
        <v>11</v>
      </c>
      <c r="H13" s="7">
        <f t="shared" si="3"/>
        <v>13600001</v>
      </c>
      <c r="I13" s="70" t="s">
        <v>2</v>
      </c>
      <c r="J13" s="7">
        <v>14950000</v>
      </c>
      <c r="K13" s="13">
        <v>0.05</v>
      </c>
      <c r="M13" s="70">
        <f t="shared" si="4"/>
        <v>11</v>
      </c>
      <c r="N13" s="7">
        <f t="shared" si="5"/>
        <v>12950001</v>
      </c>
      <c r="O13" s="70" t="s">
        <v>2</v>
      </c>
      <c r="P13" s="7">
        <v>14150000</v>
      </c>
      <c r="Q13" s="13">
        <v>0.04</v>
      </c>
      <c r="S13" s="4">
        <f t="shared" si="6"/>
        <v>5000000001</v>
      </c>
      <c r="T13" s="70" t="s">
        <v>2</v>
      </c>
      <c r="U13" s="7" t="s">
        <v>18</v>
      </c>
      <c r="V13" s="17">
        <v>0.35</v>
      </c>
    </row>
    <row r="14" spans="1:25" ht="15" customHeight="1">
      <c r="A14" s="70">
        <f t="shared" si="0"/>
        <v>12</v>
      </c>
      <c r="B14" s="7">
        <f t="shared" si="1"/>
        <v>10700001</v>
      </c>
      <c r="C14" s="70" t="s">
        <v>2</v>
      </c>
      <c r="D14" s="7">
        <v>11050000</v>
      </c>
      <c r="E14" s="13">
        <v>0.03</v>
      </c>
      <c r="G14" s="70">
        <f t="shared" si="2"/>
        <v>12</v>
      </c>
      <c r="H14" s="7">
        <f t="shared" si="3"/>
        <v>14950001</v>
      </c>
      <c r="I14" s="70" t="s">
        <v>2</v>
      </c>
      <c r="J14" s="7">
        <v>16400000</v>
      </c>
      <c r="K14" s="13">
        <v>6.0000000000000005E-2</v>
      </c>
      <c r="M14" s="70">
        <f t="shared" si="4"/>
        <v>12</v>
      </c>
      <c r="N14" s="7">
        <f t="shared" si="5"/>
        <v>14150001</v>
      </c>
      <c r="O14" s="70" t="s">
        <v>2</v>
      </c>
      <c r="P14" s="7">
        <v>1550000</v>
      </c>
      <c r="Q14" s="13">
        <v>0.05</v>
      </c>
      <c r="T14" s="483"/>
      <c r="U14" s="483"/>
    </row>
    <row r="15" spans="1:25" ht="15" customHeight="1">
      <c r="A15" s="70">
        <f t="shared" si="0"/>
        <v>13</v>
      </c>
      <c r="B15" s="7">
        <f t="shared" si="1"/>
        <v>11050001</v>
      </c>
      <c r="C15" s="70" t="s">
        <v>2</v>
      </c>
      <c r="D15" s="7">
        <v>11600000</v>
      </c>
      <c r="E15" s="13">
        <v>3.5000000000000003E-2</v>
      </c>
      <c r="G15" s="70">
        <f t="shared" si="2"/>
        <v>13</v>
      </c>
      <c r="H15" s="7">
        <f t="shared" si="3"/>
        <v>16400001</v>
      </c>
      <c r="I15" s="70" t="s">
        <v>2</v>
      </c>
      <c r="J15" s="7">
        <v>18450000</v>
      </c>
      <c r="K15" s="13">
        <v>7.0000000000000007E-2</v>
      </c>
      <c r="M15" s="70">
        <f t="shared" si="4"/>
        <v>13</v>
      </c>
      <c r="N15" s="7">
        <f t="shared" si="5"/>
        <v>1550001</v>
      </c>
      <c r="O15" s="70" t="s">
        <v>2</v>
      </c>
      <c r="P15" s="7">
        <v>17050000</v>
      </c>
      <c r="Q15" s="13">
        <v>6.0000000000000005E-2</v>
      </c>
      <c r="U15" s="20"/>
    </row>
    <row r="16" spans="1:25" ht="15" customHeight="1">
      <c r="A16" s="70">
        <f t="shared" si="0"/>
        <v>14</v>
      </c>
      <c r="B16" s="7">
        <f t="shared" si="1"/>
        <v>11600001</v>
      </c>
      <c r="C16" s="70" t="s">
        <v>2</v>
      </c>
      <c r="D16" s="7">
        <v>12500000</v>
      </c>
      <c r="E16" s="13">
        <v>0.04</v>
      </c>
      <c r="G16" s="70">
        <f t="shared" si="2"/>
        <v>14</v>
      </c>
      <c r="H16" s="7">
        <f t="shared" si="3"/>
        <v>18450001</v>
      </c>
      <c r="I16" s="70" t="s">
        <v>2</v>
      </c>
      <c r="J16" s="7">
        <v>21850000</v>
      </c>
      <c r="K16" s="13">
        <v>0.08</v>
      </c>
      <c r="M16" s="70">
        <f t="shared" si="4"/>
        <v>14</v>
      </c>
      <c r="N16" s="7">
        <f t="shared" si="5"/>
        <v>17050001</v>
      </c>
      <c r="O16" s="70" t="s">
        <v>2</v>
      </c>
      <c r="P16" s="7">
        <v>19500000</v>
      </c>
      <c r="Q16" s="13">
        <v>7.0000000000000007E-2</v>
      </c>
      <c r="S16" s="2" t="s">
        <v>6</v>
      </c>
      <c r="T16" s="21"/>
      <c r="U16" s="20"/>
    </row>
    <row r="17" spans="1:25" ht="15" customHeight="1">
      <c r="A17" s="70">
        <f t="shared" si="0"/>
        <v>15</v>
      </c>
      <c r="B17" s="7">
        <f t="shared" si="1"/>
        <v>12500001</v>
      </c>
      <c r="C17" s="70" t="s">
        <v>2</v>
      </c>
      <c r="D17" s="7">
        <v>13750000</v>
      </c>
      <c r="E17" s="13">
        <v>0.05</v>
      </c>
      <c r="G17" s="70">
        <f t="shared" si="2"/>
        <v>15</v>
      </c>
      <c r="H17" s="7">
        <f t="shared" si="3"/>
        <v>21850001</v>
      </c>
      <c r="I17" s="70" t="s">
        <v>2</v>
      </c>
      <c r="J17" s="7">
        <v>26000000</v>
      </c>
      <c r="K17" s="13">
        <v>0.09</v>
      </c>
      <c r="M17" s="70">
        <f t="shared" si="4"/>
        <v>15</v>
      </c>
      <c r="N17" s="7">
        <f t="shared" si="5"/>
        <v>19500001</v>
      </c>
      <c r="O17" s="70" t="s">
        <v>2</v>
      </c>
      <c r="P17" s="7">
        <v>22700000</v>
      </c>
      <c r="Q17" s="13">
        <v>0.08</v>
      </c>
      <c r="S17" s="482" t="s">
        <v>19</v>
      </c>
      <c r="T17" s="482"/>
      <c r="U17" s="24" t="s">
        <v>20</v>
      </c>
      <c r="V17" s="68"/>
      <c r="W17" s="68"/>
      <c r="X17" s="68"/>
      <c r="Y17" s="68"/>
    </row>
    <row r="18" spans="1:25" ht="15" customHeight="1">
      <c r="A18" s="70">
        <f t="shared" si="0"/>
        <v>16</v>
      </c>
      <c r="B18" s="7">
        <f t="shared" si="1"/>
        <v>13750001</v>
      </c>
      <c r="C18" s="70" t="s">
        <v>2</v>
      </c>
      <c r="D18" s="7">
        <v>15100000</v>
      </c>
      <c r="E18" s="13">
        <v>6.0000000000000005E-2</v>
      </c>
      <c r="G18" s="70">
        <f t="shared" si="2"/>
        <v>16</v>
      </c>
      <c r="H18" s="7">
        <f t="shared" si="3"/>
        <v>26000001</v>
      </c>
      <c r="I18" s="70" t="s">
        <v>2</v>
      </c>
      <c r="J18" s="7">
        <v>27700000</v>
      </c>
      <c r="K18" s="13">
        <v>9.9999999999999992E-2</v>
      </c>
      <c r="M18" s="70">
        <f t="shared" si="4"/>
        <v>16</v>
      </c>
      <c r="N18" s="7">
        <f t="shared" si="5"/>
        <v>22700001</v>
      </c>
      <c r="O18" s="70" t="s">
        <v>2</v>
      </c>
      <c r="P18" s="7">
        <v>26600000</v>
      </c>
      <c r="Q18" s="13">
        <v>0.09</v>
      </c>
      <c r="S18" s="481" t="s">
        <v>7</v>
      </c>
      <c r="T18" s="481"/>
      <c r="U18" s="23">
        <v>54000000</v>
      </c>
      <c r="V18" s="68"/>
      <c r="W18" s="68"/>
      <c r="X18" s="68"/>
      <c r="Y18" s="68"/>
    </row>
    <row r="19" spans="1:25" ht="15" customHeight="1">
      <c r="A19" s="70">
        <f t="shared" si="0"/>
        <v>17</v>
      </c>
      <c r="B19" s="7">
        <f t="shared" si="1"/>
        <v>15100001</v>
      </c>
      <c r="C19" s="70" t="s">
        <v>2</v>
      </c>
      <c r="D19" s="7">
        <v>16950000</v>
      </c>
      <c r="E19" s="13">
        <v>7.0000000000000007E-2</v>
      </c>
      <c r="G19" s="70">
        <f t="shared" si="2"/>
        <v>17</v>
      </c>
      <c r="H19" s="7">
        <f t="shared" si="3"/>
        <v>27700001</v>
      </c>
      <c r="I19" s="70" t="s">
        <v>2</v>
      </c>
      <c r="J19" s="7">
        <v>29350000</v>
      </c>
      <c r="K19" s="13">
        <v>0.10999999999999999</v>
      </c>
      <c r="M19" s="70">
        <f t="shared" si="4"/>
        <v>17</v>
      </c>
      <c r="N19" s="7">
        <f t="shared" si="5"/>
        <v>26600001</v>
      </c>
      <c r="O19" s="70" t="s">
        <v>2</v>
      </c>
      <c r="P19" s="7">
        <v>28100000</v>
      </c>
      <c r="Q19" s="13">
        <v>9.9999999999999992E-2</v>
      </c>
      <c r="S19" s="481" t="s">
        <v>16</v>
      </c>
      <c r="T19" s="481"/>
      <c r="U19" s="23">
        <v>58500000</v>
      </c>
      <c r="V19" s="68"/>
      <c r="W19" s="68"/>
      <c r="X19" s="68"/>
      <c r="Y19" s="68"/>
    </row>
    <row r="20" spans="1:25" ht="15" customHeight="1">
      <c r="A20" s="70">
        <f t="shared" si="0"/>
        <v>18</v>
      </c>
      <c r="B20" s="7">
        <f t="shared" si="1"/>
        <v>16950001</v>
      </c>
      <c r="C20" s="70" t="s">
        <v>2</v>
      </c>
      <c r="D20" s="7">
        <v>19750000</v>
      </c>
      <c r="E20" s="13">
        <v>0.08</v>
      </c>
      <c r="G20" s="70">
        <f t="shared" si="2"/>
        <v>18</v>
      </c>
      <c r="H20" s="7">
        <f t="shared" si="3"/>
        <v>29350001</v>
      </c>
      <c r="I20" s="70" t="s">
        <v>2</v>
      </c>
      <c r="J20" s="7">
        <v>31450000</v>
      </c>
      <c r="K20" s="13">
        <v>0.11999999999999998</v>
      </c>
      <c r="M20" s="70">
        <f t="shared" si="4"/>
        <v>18</v>
      </c>
      <c r="N20" s="7">
        <f t="shared" si="5"/>
        <v>28100001</v>
      </c>
      <c r="O20" s="70" t="s">
        <v>2</v>
      </c>
      <c r="P20" s="7">
        <v>30100000</v>
      </c>
      <c r="Q20" s="13">
        <v>0.10999999999999999</v>
      </c>
      <c r="S20" s="481" t="s">
        <v>8</v>
      </c>
      <c r="T20" s="481"/>
      <c r="U20" s="23">
        <v>63000000</v>
      </c>
      <c r="V20" s="68"/>
      <c r="W20" s="68"/>
      <c r="X20" s="68"/>
      <c r="Y20" s="68"/>
    </row>
    <row r="21" spans="1:25" ht="15" customHeight="1">
      <c r="A21" s="70">
        <f t="shared" si="0"/>
        <v>19</v>
      </c>
      <c r="B21" s="7">
        <f t="shared" si="1"/>
        <v>19750001</v>
      </c>
      <c r="C21" s="70" t="s">
        <v>2</v>
      </c>
      <c r="D21" s="7">
        <v>24150000</v>
      </c>
      <c r="E21" s="13">
        <v>0.09</v>
      </c>
      <c r="G21" s="70">
        <f t="shared" si="2"/>
        <v>19</v>
      </c>
      <c r="H21" s="7">
        <f t="shared" si="3"/>
        <v>31450001</v>
      </c>
      <c r="I21" s="70" t="s">
        <v>2</v>
      </c>
      <c r="J21" s="7">
        <v>33950000</v>
      </c>
      <c r="K21" s="13">
        <v>0.12999999999999998</v>
      </c>
      <c r="M21" s="70">
        <f t="shared" si="4"/>
        <v>19</v>
      </c>
      <c r="N21" s="7">
        <f t="shared" si="5"/>
        <v>30100001</v>
      </c>
      <c r="O21" s="70" t="s">
        <v>2</v>
      </c>
      <c r="P21" s="7">
        <v>32600000</v>
      </c>
      <c r="Q21" s="13">
        <v>0.11999999999999998</v>
      </c>
      <c r="S21" s="481" t="s">
        <v>10</v>
      </c>
      <c r="T21" s="481"/>
      <c r="U21" s="23">
        <v>67500000</v>
      </c>
      <c r="V21" s="68"/>
      <c r="W21" s="68"/>
      <c r="X21" s="68"/>
      <c r="Y21" s="68"/>
    </row>
    <row r="22" spans="1:25" ht="15" customHeight="1">
      <c r="A22" s="70">
        <f t="shared" si="0"/>
        <v>20</v>
      </c>
      <c r="B22" s="7">
        <f t="shared" si="1"/>
        <v>24150001</v>
      </c>
      <c r="C22" s="70" t="s">
        <v>2</v>
      </c>
      <c r="D22" s="7">
        <v>26450000</v>
      </c>
      <c r="E22" s="13">
        <v>9.9999999999999992E-2</v>
      </c>
      <c r="G22" s="70">
        <f t="shared" si="2"/>
        <v>20</v>
      </c>
      <c r="H22" s="7">
        <f t="shared" si="3"/>
        <v>33950001</v>
      </c>
      <c r="I22" s="70" t="s">
        <v>2</v>
      </c>
      <c r="J22" s="7">
        <v>37100000</v>
      </c>
      <c r="K22" s="13">
        <v>0.13999999999999999</v>
      </c>
      <c r="M22" s="70">
        <f t="shared" si="4"/>
        <v>20</v>
      </c>
      <c r="N22" s="7">
        <f t="shared" si="5"/>
        <v>32600001</v>
      </c>
      <c r="O22" s="70" t="s">
        <v>2</v>
      </c>
      <c r="P22" s="7">
        <v>35400000</v>
      </c>
      <c r="Q22" s="13">
        <v>0.12999999999999998</v>
      </c>
      <c r="S22" s="481" t="s">
        <v>17</v>
      </c>
      <c r="T22" s="481"/>
      <c r="U22" s="23">
        <v>58500000</v>
      </c>
      <c r="V22" s="68"/>
      <c r="W22" s="68"/>
      <c r="X22" s="68"/>
      <c r="Y22" s="68"/>
    </row>
    <row r="23" spans="1:25" ht="15" customHeight="1">
      <c r="A23" s="70">
        <f t="shared" si="0"/>
        <v>21</v>
      </c>
      <c r="B23" s="7">
        <f t="shared" si="1"/>
        <v>26450001</v>
      </c>
      <c r="C23" s="70" t="s">
        <v>2</v>
      </c>
      <c r="D23" s="7">
        <v>28000000</v>
      </c>
      <c r="E23" s="13">
        <v>0.10999999999999999</v>
      </c>
      <c r="G23" s="70">
        <f t="shared" si="2"/>
        <v>21</v>
      </c>
      <c r="H23" s="7">
        <f t="shared" si="3"/>
        <v>37100001</v>
      </c>
      <c r="I23" s="70" t="s">
        <v>2</v>
      </c>
      <c r="J23" s="7">
        <v>41100000</v>
      </c>
      <c r="K23" s="13">
        <v>0.15</v>
      </c>
      <c r="M23" s="70">
        <f t="shared" si="4"/>
        <v>21</v>
      </c>
      <c r="N23" s="7">
        <f t="shared" si="5"/>
        <v>35400001</v>
      </c>
      <c r="O23" s="70" t="s">
        <v>2</v>
      </c>
      <c r="P23" s="7">
        <v>38900000</v>
      </c>
      <c r="Q23" s="13">
        <v>0.13999999999999999</v>
      </c>
      <c r="S23" s="481" t="s">
        <v>9</v>
      </c>
      <c r="T23" s="481"/>
      <c r="U23" s="23">
        <v>63000000</v>
      </c>
      <c r="V23" s="68"/>
      <c r="W23" s="68"/>
      <c r="X23" s="68"/>
      <c r="Y23" s="68"/>
    </row>
    <row r="24" spans="1:25" ht="15" customHeight="1">
      <c r="A24" s="70">
        <f t="shared" si="0"/>
        <v>22</v>
      </c>
      <c r="B24" s="7">
        <f t="shared" si="1"/>
        <v>28000001</v>
      </c>
      <c r="C24" s="70" t="s">
        <v>2</v>
      </c>
      <c r="D24" s="7">
        <v>30050000</v>
      </c>
      <c r="E24" s="13">
        <v>0.11999999999999998</v>
      </c>
      <c r="G24" s="70">
        <f t="shared" si="2"/>
        <v>22</v>
      </c>
      <c r="H24" s="7">
        <f t="shared" si="3"/>
        <v>41100001</v>
      </c>
      <c r="I24" s="70" t="s">
        <v>2</v>
      </c>
      <c r="J24" s="7">
        <v>45800000</v>
      </c>
      <c r="K24" s="13">
        <v>0.16</v>
      </c>
      <c r="M24" s="70">
        <f t="shared" si="4"/>
        <v>22</v>
      </c>
      <c r="N24" s="7">
        <f t="shared" si="5"/>
        <v>38900001</v>
      </c>
      <c r="O24" s="70" t="s">
        <v>2</v>
      </c>
      <c r="P24" s="7">
        <v>43000000</v>
      </c>
      <c r="Q24" s="13">
        <v>0.15</v>
      </c>
      <c r="S24" s="481" t="s">
        <v>11</v>
      </c>
      <c r="T24" s="481"/>
      <c r="U24" s="23">
        <v>67500000</v>
      </c>
      <c r="V24" s="68"/>
      <c r="W24" s="68"/>
      <c r="X24" s="68"/>
      <c r="Y24" s="68"/>
    </row>
    <row r="25" spans="1:25" ht="15" customHeight="1">
      <c r="A25" s="70">
        <f t="shared" si="0"/>
        <v>23</v>
      </c>
      <c r="B25" s="7">
        <f t="shared" si="1"/>
        <v>30050001</v>
      </c>
      <c r="C25" s="70" t="s">
        <v>2</v>
      </c>
      <c r="D25" s="7">
        <v>32400000</v>
      </c>
      <c r="E25" s="13">
        <v>0.12999999999999998</v>
      </c>
      <c r="G25" s="70">
        <f t="shared" si="2"/>
        <v>23</v>
      </c>
      <c r="H25" s="7">
        <f t="shared" si="3"/>
        <v>45800001</v>
      </c>
      <c r="I25" s="70" t="s">
        <v>2</v>
      </c>
      <c r="J25" s="7">
        <v>49500000</v>
      </c>
      <c r="K25" s="13">
        <v>0.17</v>
      </c>
      <c r="M25" s="70">
        <f t="shared" si="4"/>
        <v>23</v>
      </c>
      <c r="N25" s="7">
        <f t="shared" si="5"/>
        <v>43000001</v>
      </c>
      <c r="O25" s="70" t="s">
        <v>2</v>
      </c>
      <c r="P25" s="7">
        <v>47400000</v>
      </c>
      <c r="Q25" s="13">
        <v>0.16</v>
      </c>
      <c r="S25" s="481" t="s">
        <v>12</v>
      </c>
      <c r="T25" s="481"/>
      <c r="U25" s="23">
        <v>72000000</v>
      </c>
      <c r="V25" s="68"/>
      <c r="W25" s="68"/>
      <c r="X25" s="68"/>
      <c r="Y25" s="68"/>
    </row>
    <row r="26" spans="1:25" ht="15" customHeight="1">
      <c r="A26" s="70">
        <f t="shared" si="0"/>
        <v>24</v>
      </c>
      <c r="B26" s="7">
        <f t="shared" si="1"/>
        <v>32400001</v>
      </c>
      <c r="C26" s="70" t="s">
        <v>2</v>
      </c>
      <c r="D26" s="7">
        <v>35400000</v>
      </c>
      <c r="E26" s="13">
        <v>0.13999999999999999</v>
      </c>
      <c r="G26" s="70">
        <f t="shared" si="2"/>
        <v>24</v>
      </c>
      <c r="H26" s="7">
        <f t="shared" si="3"/>
        <v>49500001</v>
      </c>
      <c r="I26" s="70" t="s">
        <v>2</v>
      </c>
      <c r="J26" s="7">
        <v>53800000</v>
      </c>
      <c r="K26" s="13">
        <v>0.18000000000000002</v>
      </c>
      <c r="M26" s="70">
        <f t="shared" si="4"/>
        <v>24</v>
      </c>
      <c r="N26" s="7">
        <f t="shared" si="5"/>
        <v>47400001</v>
      </c>
      <c r="O26" s="70" t="s">
        <v>2</v>
      </c>
      <c r="P26" s="7">
        <v>51200000</v>
      </c>
      <c r="Q26" s="13">
        <v>0.17</v>
      </c>
      <c r="V26" s="68"/>
      <c r="W26" s="68"/>
      <c r="X26" s="68"/>
      <c r="Y26" s="68"/>
    </row>
    <row r="27" spans="1:25" ht="15" customHeight="1">
      <c r="A27" s="70">
        <f t="shared" si="0"/>
        <v>25</v>
      </c>
      <c r="B27" s="7">
        <f t="shared" si="1"/>
        <v>35400001</v>
      </c>
      <c r="C27" s="70" t="s">
        <v>2</v>
      </c>
      <c r="D27" s="7">
        <v>39100000</v>
      </c>
      <c r="E27" s="13">
        <v>0.15</v>
      </c>
      <c r="G27" s="70">
        <f t="shared" si="2"/>
        <v>25</v>
      </c>
      <c r="H27" s="7">
        <f t="shared" si="3"/>
        <v>53800001</v>
      </c>
      <c r="I27" s="70" t="s">
        <v>2</v>
      </c>
      <c r="J27" s="7">
        <v>58500000</v>
      </c>
      <c r="K27" s="13">
        <v>0.19000000000000003</v>
      </c>
      <c r="M27" s="70">
        <f t="shared" si="4"/>
        <v>25</v>
      </c>
      <c r="N27" s="7">
        <f t="shared" si="5"/>
        <v>51200001</v>
      </c>
      <c r="O27" s="70" t="s">
        <v>2</v>
      </c>
      <c r="P27" s="7">
        <v>55800000</v>
      </c>
      <c r="Q27" s="13">
        <v>0.18000000000000002</v>
      </c>
      <c r="V27" s="68"/>
      <c r="W27" s="68"/>
      <c r="X27" s="68"/>
      <c r="Y27" s="68"/>
    </row>
    <row r="28" spans="1:25" ht="15" customHeight="1">
      <c r="A28" s="70">
        <f t="shared" si="0"/>
        <v>26</v>
      </c>
      <c r="B28" s="7">
        <f t="shared" si="1"/>
        <v>39100001</v>
      </c>
      <c r="C28" s="70" t="s">
        <v>2</v>
      </c>
      <c r="D28" s="7">
        <v>43850000</v>
      </c>
      <c r="E28" s="13">
        <v>0.16</v>
      </c>
      <c r="G28" s="70">
        <f t="shared" si="2"/>
        <v>26</v>
      </c>
      <c r="H28" s="7">
        <f t="shared" si="3"/>
        <v>58500001</v>
      </c>
      <c r="I28" s="70" t="s">
        <v>2</v>
      </c>
      <c r="J28" s="7">
        <v>64000000</v>
      </c>
      <c r="K28" s="13">
        <v>0.20000000000000004</v>
      </c>
      <c r="M28" s="70">
        <f t="shared" si="4"/>
        <v>26</v>
      </c>
      <c r="N28" s="7">
        <f t="shared" si="5"/>
        <v>55800001</v>
      </c>
      <c r="O28" s="70" t="s">
        <v>2</v>
      </c>
      <c r="P28" s="7">
        <v>60400000</v>
      </c>
      <c r="Q28" s="13">
        <v>0.19000000000000003</v>
      </c>
      <c r="V28" s="68"/>
      <c r="W28" s="68"/>
      <c r="X28" s="68"/>
      <c r="Y28" s="68"/>
    </row>
    <row r="29" spans="1:25" ht="15" customHeight="1">
      <c r="A29" s="70">
        <f t="shared" si="0"/>
        <v>27</v>
      </c>
      <c r="B29" s="7">
        <f t="shared" si="1"/>
        <v>43850001</v>
      </c>
      <c r="C29" s="70" t="s">
        <v>2</v>
      </c>
      <c r="D29" s="7">
        <v>47800000</v>
      </c>
      <c r="E29" s="13">
        <v>0.17</v>
      </c>
      <c r="G29" s="70">
        <f t="shared" si="2"/>
        <v>27</v>
      </c>
      <c r="H29" s="7">
        <f t="shared" si="3"/>
        <v>64000001</v>
      </c>
      <c r="I29" s="70" t="s">
        <v>2</v>
      </c>
      <c r="J29" s="7">
        <v>71000000</v>
      </c>
      <c r="K29" s="13">
        <v>0.21000000000000005</v>
      </c>
      <c r="M29" s="70">
        <f t="shared" si="4"/>
        <v>27</v>
      </c>
      <c r="N29" s="7">
        <f t="shared" si="5"/>
        <v>60400001</v>
      </c>
      <c r="O29" s="70" t="s">
        <v>2</v>
      </c>
      <c r="P29" s="7">
        <v>66700000</v>
      </c>
      <c r="Q29" s="13">
        <v>0.20000000000000004</v>
      </c>
      <c r="V29" s="68"/>
      <c r="W29" s="68"/>
      <c r="X29" s="68"/>
      <c r="Y29" s="68"/>
    </row>
    <row r="30" spans="1:25" ht="15" customHeight="1">
      <c r="A30" s="70">
        <f t="shared" si="0"/>
        <v>28</v>
      </c>
      <c r="B30" s="7">
        <f t="shared" si="1"/>
        <v>47800001</v>
      </c>
      <c r="C30" s="70" t="s">
        <v>2</v>
      </c>
      <c r="D30" s="7">
        <v>51400000</v>
      </c>
      <c r="E30" s="13">
        <v>0.18000000000000002</v>
      </c>
      <c r="G30" s="70">
        <f t="shared" si="2"/>
        <v>28</v>
      </c>
      <c r="H30" s="7">
        <f t="shared" si="3"/>
        <v>71000001</v>
      </c>
      <c r="I30" s="70" t="s">
        <v>2</v>
      </c>
      <c r="J30" s="7">
        <v>80000000</v>
      </c>
      <c r="K30" s="13">
        <v>0.22000000000000006</v>
      </c>
      <c r="M30" s="70">
        <f t="shared" si="4"/>
        <v>28</v>
      </c>
      <c r="N30" s="7">
        <f t="shared" si="5"/>
        <v>66700001</v>
      </c>
      <c r="O30" s="70" t="s">
        <v>2</v>
      </c>
      <c r="P30" s="7">
        <v>74500000</v>
      </c>
      <c r="Q30" s="13">
        <v>0.21000000000000005</v>
      </c>
      <c r="V30" s="68"/>
      <c r="W30" s="68"/>
      <c r="X30" s="68"/>
      <c r="Y30" s="68"/>
    </row>
    <row r="31" spans="1:25" ht="15" customHeight="1">
      <c r="A31" s="70">
        <f t="shared" si="0"/>
        <v>29</v>
      </c>
      <c r="B31" s="7">
        <f t="shared" si="1"/>
        <v>51400001</v>
      </c>
      <c r="C31" s="70" t="s">
        <v>2</v>
      </c>
      <c r="D31" s="7">
        <v>56300000</v>
      </c>
      <c r="E31" s="13">
        <v>0.19000000000000003</v>
      </c>
      <c r="G31" s="70">
        <f t="shared" si="2"/>
        <v>29</v>
      </c>
      <c r="H31" s="7">
        <f t="shared" si="3"/>
        <v>80000001</v>
      </c>
      <c r="I31" s="70" t="s">
        <v>2</v>
      </c>
      <c r="J31" s="7">
        <v>93000000</v>
      </c>
      <c r="K31" s="13">
        <v>0.23000000000000007</v>
      </c>
      <c r="M31" s="70">
        <f t="shared" si="4"/>
        <v>29</v>
      </c>
      <c r="N31" s="7">
        <f t="shared" si="5"/>
        <v>74500001</v>
      </c>
      <c r="O31" s="70" t="s">
        <v>2</v>
      </c>
      <c r="P31" s="7">
        <v>83200000</v>
      </c>
      <c r="Q31" s="13">
        <v>0.22000000000000006</v>
      </c>
      <c r="S31" s="57"/>
      <c r="U31" s="58"/>
      <c r="V31" s="68"/>
      <c r="W31" s="68"/>
      <c r="X31" s="68"/>
      <c r="Y31" s="68"/>
    </row>
    <row r="32" spans="1:25" ht="15" customHeight="1">
      <c r="A32" s="70">
        <f t="shared" si="0"/>
        <v>30</v>
      </c>
      <c r="B32" s="7">
        <f t="shared" si="1"/>
        <v>56300001</v>
      </c>
      <c r="C32" s="70" t="s">
        <v>2</v>
      </c>
      <c r="D32" s="7">
        <v>62200000</v>
      </c>
      <c r="E32" s="13">
        <v>0.20000000000000004</v>
      </c>
      <c r="G32" s="70">
        <f t="shared" si="2"/>
        <v>30</v>
      </c>
      <c r="H32" s="7">
        <f t="shared" si="3"/>
        <v>93000001</v>
      </c>
      <c r="I32" s="70" t="s">
        <v>2</v>
      </c>
      <c r="J32" s="7">
        <v>109000000</v>
      </c>
      <c r="K32" s="13">
        <v>0.24000000000000007</v>
      </c>
      <c r="M32" s="70">
        <f t="shared" si="4"/>
        <v>30</v>
      </c>
      <c r="N32" s="7">
        <f t="shared" si="5"/>
        <v>83200001</v>
      </c>
      <c r="O32" s="70" t="s">
        <v>2</v>
      </c>
      <c r="P32" s="7">
        <v>95600000</v>
      </c>
      <c r="Q32" s="13">
        <v>0.23000000000000007</v>
      </c>
      <c r="V32" s="68"/>
      <c r="W32" s="68"/>
      <c r="X32" s="68"/>
      <c r="Y32" s="68"/>
    </row>
    <row r="33" spans="1:25" ht="15" customHeight="1">
      <c r="A33" s="70">
        <f t="shared" si="0"/>
        <v>31</v>
      </c>
      <c r="B33" s="7">
        <f t="shared" si="1"/>
        <v>62200001</v>
      </c>
      <c r="C33" s="70" t="s">
        <v>2</v>
      </c>
      <c r="D33" s="7">
        <v>68600000</v>
      </c>
      <c r="E33" s="13">
        <v>0.21000000000000005</v>
      </c>
      <c r="G33" s="70">
        <f t="shared" si="2"/>
        <v>31</v>
      </c>
      <c r="H33" s="7">
        <f t="shared" si="3"/>
        <v>109000001</v>
      </c>
      <c r="I33" s="70" t="s">
        <v>2</v>
      </c>
      <c r="J33" s="7">
        <v>129000000</v>
      </c>
      <c r="K33" s="13">
        <v>0.25000000000000006</v>
      </c>
      <c r="M33" s="70">
        <f t="shared" si="4"/>
        <v>31</v>
      </c>
      <c r="N33" s="7">
        <f t="shared" si="5"/>
        <v>95600001</v>
      </c>
      <c r="O33" s="70" t="s">
        <v>2</v>
      </c>
      <c r="P33" s="7">
        <v>110000000</v>
      </c>
      <c r="Q33" s="13">
        <v>0.24000000000000007</v>
      </c>
      <c r="S33" s="59"/>
      <c r="T33" s="68"/>
      <c r="U33" s="68"/>
      <c r="V33" s="68"/>
      <c r="W33" s="68"/>
      <c r="X33" s="68"/>
      <c r="Y33" s="68"/>
    </row>
    <row r="34" spans="1:25" ht="15" customHeight="1">
      <c r="A34" s="70">
        <f t="shared" si="0"/>
        <v>32</v>
      </c>
      <c r="B34" s="7">
        <f t="shared" si="1"/>
        <v>68600001</v>
      </c>
      <c r="C34" s="70" t="s">
        <v>2</v>
      </c>
      <c r="D34" s="7">
        <v>77500000</v>
      </c>
      <c r="E34" s="13">
        <v>0.22000000000000006</v>
      </c>
      <c r="G34" s="70">
        <f t="shared" si="2"/>
        <v>32</v>
      </c>
      <c r="H34" s="7">
        <f t="shared" si="3"/>
        <v>129000001</v>
      </c>
      <c r="I34" s="70" t="s">
        <v>2</v>
      </c>
      <c r="J34" s="7">
        <v>163000000</v>
      </c>
      <c r="K34" s="13">
        <v>0.26000000000000006</v>
      </c>
      <c r="M34" s="70">
        <f t="shared" si="4"/>
        <v>32</v>
      </c>
      <c r="N34" s="7">
        <f t="shared" si="5"/>
        <v>110000001</v>
      </c>
      <c r="O34" s="70" t="s">
        <v>2</v>
      </c>
      <c r="P34" s="7">
        <v>134000000</v>
      </c>
      <c r="Q34" s="13">
        <v>0.25000000000000006</v>
      </c>
      <c r="T34" s="68"/>
      <c r="U34" s="68"/>
      <c r="V34" s="68"/>
      <c r="W34" s="68"/>
      <c r="X34" s="68"/>
      <c r="Y34" s="68"/>
    </row>
    <row r="35" spans="1:25" ht="15" customHeight="1">
      <c r="A35" s="70">
        <f t="shared" si="0"/>
        <v>33</v>
      </c>
      <c r="B35" s="7">
        <f t="shared" si="1"/>
        <v>77500001</v>
      </c>
      <c r="C35" s="70" t="s">
        <v>2</v>
      </c>
      <c r="D35" s="7">
        <v>89000000</v>
      </c>
      <c r="E35" s="13">
        <v>0.23000000000000007</v>
      </c>
      <c r="G35" s="70">
        <f t="shared" si="2"/>
        <v>33</v>
      </c>
      <c r="H35" s="7">
        <f t="shared" si="3"/>
        <v>163000001</v>
      </c>
      <c r="I35" s="70" t="s">
        <v>2</v>
      </c>
      <c r="J35" s="7">
        <v>211000000</v>
      </c>
      <c r="K35" s="13">
        <v>0.27000000000000007</v>
      </c>
      <c r="M35" s="70">
        <f t="shared" si="4"/>
        <v>33</v>
      </c>
      <c r="N35" s="7">
        <f t="shared" si="5"/>
        <v>134000001</v>
      </c>
      <c r="O35" s="70" t="s">
        <v>2</v>
      </c>
      <c r="P35" s="7">
        <v>169000000</v>
      </c>
      <c r="Q35" s="13">
        <v>0.26000000000000006</v>
      </c>
      <c r="T35" s="68"/>
      <c r="U35" s="68"/>
      <c r="V35" s="68"/>
      <c r="W35" s="68"/>
      <c r="X35" s="68"/>
      <c r="Y35" s="68"/>
    </row>
    <row r="36" spans="1:25" ht="15" customHeight="1">
      <c r="A36" s="70">
        <f t="shared" si="0"/>
        <v>34</v>
      </c>
      <c r="B36" s="7">
        <f t="shared" si="1"/>
        <v>89000001</v>
      </c>
      <c r="C36" s="70" t="s">
        <v>2</v>
      </c>
      <c r="D36" s="7">
        <v>103000000</v>
      </c>
      <c r="E36" s="13">
        <v>0.24000000000000007</v>
      </c>
      <c r="G36" s="70">
        <f t="shared" si="2"/>
        <v>34</v>
      </c>
      <c r="H36" s="7">
        <f t="shared" si="3"/>
        <v>211000001</v>
      </c>
      <c r="I36" s="70" t="s">
        <v>2</v>
      </c>
      <c r="J36" s="7">
        <v>374000000</v>
      </c>
      <c r="K36" s="13">
        <v>0.28000000000000008</v>
      </c>
      <c r="M36" s="70">
        <f t="shared" si="4"/>
        <v>34</v>
      </c>
      <c r="N36" s="7">
        <f t="shared" si="5"/>
        <v>169000001</v>
      </c>
      <c r="O36" s="70" t="s">
        <v>2</v>
      </c>
      <c r="P36" s="7">
        <v>221000000</v>
      </c>
      <c r="Q36" s="13">
        <v>0.27000000000000007</v>
      </c>
      <c r="T36" s="68"/>
      <c r="U36" s="68"/>
      <c r="V36" s="68"/>
      <c r="W36" s="68"/>
      <c r="X36" s="68"/>
      <c r="Y36" s="68"/>
    </row>
    <row r="37" spans="1:25" ht="15" customHeight="1">
      <c r="A37" s="70">
        <f t="shared" si="0"/>
        <v>35</v>
      </c>
      <c r="B37" s="7">
        <f t="shared" si="1"/>
        <v>103000001</v>
      </c>
      <c r="C37" s="70" t="s">
        <v>2</v>
      </c>
      <c r="D37" s="7">
        <v>125000000</v>
      </c>
      <c r="E37" s="13">
        <v>0.25000000000000006</v>
      </c>
      <c r="G37" s="70">
        <f t="shared" si="2"/>
        <v>35</v>
      </c>
      <c r="H37" s="7">
        <f t="shared" si="3"/>
        <v>374000001</v>
      </c>
      <c r="I37" s="70" t="s">
        <v>2</v>
      </c>
      <c r="J37" s="7">
        <v>459000000</v>
      </c>
      <c r="K37" s="13">
        <v>0.29000000000000009</v>
      </c>
      <c r="M37" s="70">
        <f t="shared" si="4"/>
        <v>35</v>
      </c>
      <c r="N37" s="7">
        <f t="shared" si="5"/>
        <v>221000001</v>
      </c>
      <c r="O37" s="70" t="s">
        <v>2</v>
      </c>
      <c r="P37" s="7">
        <v>390000000</v>
      </c>
      <c r="Q37" s="13">
        <v>0.28000000000000008</v>
      </c>
      <c r="T37" s="68"/>
      <c r="U37" s="68"/>
      <c r="V37" s="68"/>
      <c r="W37" s="68"/>
      <c r="X37" s="68"/>
      <c r="Y37" s="68"/>
    </row>
    <row r="38" spans="1:25" ht="15" customHeight="1">
      <c r="A38" s="70">
        <f t="shared" si="0"/>
        <v>36</v>
      </c>
      <c r="B38" s="7">
        <f t="shared" si="1"/>
        <v>125000001</v>
      </c>
      <c r="C38" s="70" t="s">
        <v>2</v>
      </c>
      <c r="D38" s="7">
        <v>157000000</v>
      </c>
      <c r="E38" s="13">
        <v>0.26000000000000006</v>
      </c>
      <c r="G38" s="70">
        <f t="shared" si="2"/>
        <v>36</v>
      </c>
      <c r="H38" s="7">
        <f t="shared" si="3"/>
        <v>459000001</v>
      </c>
      <c r="I38" s="70" t="s">
        <v>2</v>
      </c>
      <c r="J38" s="7">
        <v>555000000</v>
      </c>
      <c r="K38" s="13">
        <v>0.3000000000000001</v>
      </c>
      <c r="M38" s="70">
        <f t="shared" si="4"/>
        <v>36</v>
      </c>
      <c r="N38" s="7">
        <f t="shared" si="5"/>
        <v>390000001</v>
      </c>
      <c r="O38" s="70" t="s">
        <v>2</v>
      </c>
      <c r="P38" s="7">
        <v>463000000</v>
      </c>
      <c r="Q38" s="13">
        <v>0.29000000000000009</v>
      </c>
      <c r="T38" s="68"/>
      <c r="U38" s="68"/>
      <c r="V38" s="68"/>
      <c r="W38" s="68"/>
      <c r="X38" s="68"/>
      <c r="Y38" s="68"/>
    </row>
    <row r="39" spans="1:25" ht="15" customHeight="1">
      <c r="A39" s="70">
        <f t="shared" si="0"/>
        <v>37</v>
      </c>
      <c r="B39" s="7">
        <f t="shared" si="1"/>
        <v>157000001</v>
      </c>
      <c r="C39" s="70" t="s">
        <v>2</v>
      </c>
      <c r="D39" s="7">
        <v>206000000</v>
      </c>
      <c r="E39" s="13">
        <v>0.27000000000000007</v>
      </c>
      <c r="G39" s="70">
        <f t="shared" si="2"/>
        <v>37</v>
      </c>
      <c r="H39" s="7">
        <f t="shared" si="3"/>
        <v>555000001</v>
      </c>
      <c r="I39" s="70" t="s">
        <v>2</v>
      </c>
      <c r="J39" s="7">
        <v>704000000</v>
      </c>
      <c r="K39" s="13">
        <v>0.31000000000000011</v>
      </c>
      <c r="M39" s="70">
        <f t="shared" si="4"/>
        <v>37</v>
      </c>
      <c r="N39" s="7">
        <f t="shared" si="5"/>
        <v>463000001</v>
      </c>
      <c r="O39" s="70" t="s">
        <v>2</v>
      </c>
      <c r="P39" s="7">
        <v>561000000</v>
      </c>
      <c r="Q39" s="13">
        <v>0.3000000000000001</v>
      </c>
      <c r="T39" s="68"/>
      <c r="U39" s="68"/>
      <c r="V39" s="68"/>
      <c r="W39" s="68"/>
      <c r="X39" s="68"/>
      <c r="Y39" s="68"/>
    </row>
    <row r="40" spans="1:25" ht="15" customHeight="1">
      <c r="A40" s="70">
        <f t="shared" si="0"/>
        <v>38</v>
      </c>
      <c r="B40" s="7">
        <f t="shared" si="1"/>
        <v>206000001</v>
      </c>
      <c r="C40" s="70" t="s">
        <v>2</v>
      </c>
      <c r="D40" s="7">
        <v>337000000</v>
      </c>
      <c r="E40" s="13">
        <v>0.28000000000000008</v>
      </c>
      <c r="G40" s="70">
        <f t="shared" si="2"/>
        <v>38</v>
      </c>
      <c r="H40" s="7">
        <f t="shared" si="3"/>
        <v>704000001</v>
      </c>
      <c r="I40" s="70" t="s">
        <v>2</v>
      </c>
      <c r="J40" s="7">
        <v>957000000</v>
      </c>
      <c r="K40" s="13">
        <v>0.32000000000000012</v>
      </c>
      <c r="M40" s="70">
        <f t="shared" si="4"/>
        <v>38</v>
      </c>
      <c r="N40" s="7">
        <f t="shared" si="5"/>
        <v>561000001</v>
      </c>
      <c r="O40" s="70" t="s">
        <v>2</v>
      </c>
      <c r="P40" s="7">
        <v>709000000</v>
      </c>
      <c r="Q40" s="13">
        <v>0.31000000000000011</v>
      </c>
      <c r="T40" s="68"/>
      <c r="U40" s="68"/>
      <c r="V40" s="68"/>
      <c r="W40" s="68"/>
      <c r="X40" s="68"/>
      <c r="Y40" s="68"/>
    </row>
    <row r="41" spans="1:25" ht="15" customHeight="1">
      <c r="A41" s="70">
        <f t="shared" si="0"/>
        <v>39</v>
      </c>
      <c r="B41" s="7">
        <f t="shared" si="1"/>
        <v>337000001</v>
      </c>
      <c r="C41" s="70" t="s">
        <v>2</v>
      </c>
      <c r="D41" s="7">
        <v>454000000</v>
      </c>
      <c r="E41" s="13">
        <v>0.29000000000000009</v>
      </c>
      <c r="G41" s="70">
        <f t="shared" si="2"/>
        <v>39</v>
      </c>
      <c r="H41" s="7">
        <f t="shared" si="3"/>
        <v>957000001</v>
      </c>
      <c r="I41" s="70" t="s">
        <v>2</v>
      </c>
      <c r="J41" s="7">
        <v>1405000000</v>
      </c>
      <c r="K41" s="13">
        <v>0.33000000000000013</v>
      </c>
      <c r="M41" s="70">
        <f t="shared" si="4"/>
        <v>39</v>
      </c>
      <c r="N41" s="7">
        <f t="shared" si="5"/>
        <v>709000001</v>
      </c>
      <c r="O41" s="70" t="s">
        <v>2</v>
      </c>
      <c r="P41" s="7">
        <v>965000000</v>
      </c>
      <c r="Q41" s="13">
        <v>0.32000000000000012</v>
      </c>
      <c r="T41" s="68"/>
      <c r="U41" s="68"/>
      <c r="V41" s="68"/>
      <c r="W41" s="68"/>
      <c r="X41" s="68"/>
      <c r="Y41" s="68"/>
    </row>
    <row r="42" spans="1:25" ht="15" customHeight="1">
      <c r="A42" s="70">
        <f t="shared" si="0"/>
        <v>40</v>
      </c>
      <c r="B42" s="7">
        <f t="shared" si="1"/>
        <v>454000001</v>
      </c>
      <c r="C42" s="70" t="s">
        <v>2</v>
      </c>
      <c r="D42" s="7">
        <v>550000000</v>
      </c>
      <c r="E42" s="13">
        <v>0.3000000000000001</v>
      </c>
      <c r="G42" s="70">
        <f t="shared" si="2"/>
        <v>40</v>
      </c>
      <c r="H42" s="7">
        <f t="shared" si="3"/>
        <v>1405000001</v>
      </c>
      <c r="I42" s="70" t="s">
        <v>2</v>
      </c>
      <c r="J42" s="7" t="s">
        <v>18</v>
      </c>
      <c r="K42" s="13">
        <v>0.34000000000000014</v>
      </c>
      <c r="M42" s="70">
        <f t="shared" si="4"/>
        <v>40</v>
      </c>
      <c r="N42" s="7">
        <f t="shared" si="5"/>
        <v>965000001</v>
      </c>
      <c r="O42" s="70" t="s">
        <v>2</v>
      </c>
      <c r="P42" s="7">
        <v>1419000000</v>
      </c>
      <c r="Q42" s="13">
        <v>0.33000000000000013</v>
      </c>
      <c r="T42" s="68"/>
      <c r="U42" s="68"/>
      <c r="V42" s="68"/>
      <c r="W42" s="68"/>
      <c r="X42" s="68"/>
      <c r="Y42" s="68"/>
    </row>
    <row r="43" spans="1:25" ht="15" customHeight="1">
      <c r="A43" s="70">
        <f t="shared" si="0"/>
        <v>41</v>
      </c>
      <c r="B43" s="7">
        <f t="shared" si="1"/>
        <v>550000001</v>
      </c>
      <c r="C43" s="70" t="s">
        <v>2</v>
      </c>
      <c r="D43" s="7">
        <v>695000000</v>
      </c>
      <c r="E43" s="13">
        <v>0.31000000000000011</v>
      </c>
      <c r="M43" s="70">
        <f>M42+1</f>
        <v>41</v>
      </c>
      <c r="N43" s="7">
        <f t="shared" si="5"/>
        <v>1419000001</v>
      </c>
      <c r="O43" s="70" t="s">
        <v>2</v>
      </c>
      <c r="P43" s="7" t="s">
        <v>18</v>
      </c>
      <c r="Q43" s="13">
        <v>0.34000000000000014</v>
      </c>
      <c r="T43" s="68"/>
      <c r="U43" s="68"/>
      <c r="V43" s="68"/>
      <c r="W43" s="68"/>
      <c r="X43" s="68"/>
      <c r="Y43" s="68"/>
    </row>
    <row r="44" spans="1:25" ht="15" customHeight="1">
      <c r="A44" s="70">
        <f t="shared" si="0"/>
        <v>42</v>
      </c>
      <c r="B44" s="7">
        <f t="shared" si="1"/>
        <v>695000001</v>
      </c>
      <c r="C44" s="70" t="s">
        <v>2</v>
      </c>
      <c r="D44" s="7">
        <v>910000000</v>
      </c>
      <c r="E44" s="13">
        <v>0.32000000000000012</v>
      </c>
      <c r="T44" s="68"/>
      <c r="U44" s="68"/>
      <c r="V44" s="68"/>
      <c r="W44" s="68"/>
      <c r="X44" s="68"/>
      <c r="Y44" s="68"/>
    </row>
    <row r="45" spans="1:25" ht="15" customHeight="1">
      <c r="A45" s="70">
        <f t="shared" si="0"/>
        <v>43</v>
      </c>
      <c r="B45" s="7">
        <f t="shared" si="1"/>
        <v>910000001</v>
      </c>
      <c r="C45" s="70" t="s">
        <v>2</v>
      </c>
      <c r="D45" s="7">
        <v>1400000000</v>
      </c>
      <c r="E45" s="13">
        <v>0.33000000000000013</v>
      </c>
      <c r="T45" s="68"/>
      <c r="U45" s="68"/>
      <c r="V45" s="68"/>
      <c r="W45" s="68"/>
      <c r="X45" s="68"/>
      <c r="Y45" s="68"/>
    </row>
    <row r="46" spans="1:25" ht="15" customHeight="1">
      <c r="A46" s="70">
        <f t="shared" si="0"/>
        <v>44</v>
      </c>
      <c r="B46" s="7">
        <f t="shared" si="1"/>
        <v>1400000001</v>
      </c>
      <c r="C46" s="70" t="s">
        <v>2</v>
      </c>
      <c r="D46" s="7" t="s">
        <v>18</v>
      </c>
      <c r="E46" s="13">
        <v>0.34000000000000014</v>
      </c>
      <c r="J46" s="8"/>
      <c r="T46" s="68"/>
      <c r="U46" s="68"/>
      <c r="V46" s="68"/>
      <c r="W46" s="68"/>
      <c r="X46" s="68"/>
      <c r="Y46" s="68"/>
    </row>
    <row r="47" spans="1:25" ht="15" customHeight="1">
      <c r="J47" s="10"/>
      <c r="T47" s="68"/>
      <c r="U47" s="68"/>
      <c r="V47" s="68"/>
      <c r="W47" s="68"/>
      <c r="X47" s="68"/>
      <c r="Y47" s="68"/>
    </row>
    <row r="48" spans="1:25" ht="15" customHeight="1">
      <c r="J48" s="10"/>
      <c r="T48" s="68"/>
      <c r="U48" s="68"/>
      <c r="V48" s="68"/>
      <c r="W48" s="68"/>
      <c r="X48" s="68"/>
      <c r="Y48" s="68"/>
    </row>
    <row r="54" spans="2:25" ht="15" customHeight="1">
      <c r="B54" s="68"/>
      <c r="D54" s="68"/>
      <c r="E54" s="68"/>
      <c r="J54" s="22"/>
      <c r="K54" s="68"/>
      <c r="Q54" s="68"/>
      <c r="S54" s="68"/>
      <c r="T54" s="68"/>
      <c r="U54" s="68"/>
      <c r="V54" s="68"/>
      <c r="W54" s="68"/>
      <c r="X54" s="68"/>
      <c r="Y54" s="68"/>
    </row>
    <row r="55" spans="2:25" ht="15" customHeight="1">
      <c r="B55" s="68"/>
      <c r="D55" s="68"/>
      <c r="E55" s="68"/>
      <c r="J55" s="22">
        <v>20000000</v>
      </c>
      <c r="K55" s="68"/>
      <c r="Q55" s="68"/>
      <c r="S55" s="68"/>
      <c r="T55" s="68"/>
      <c r="U55" s="68"/>
      <c r="V55" s="68"/>
      <c r="W55" s="68"/>
      <c r="X55" s="68"/>
      <c r="Y55" s="68"/>
    </row>
    <row r="56" spans="2:25" ht="15" customHeight="1">
      <c r="B56" s="68"/>
      <c r="D56" s="68"/>
      <c r="E56" s="68"/>
      <c r="J56" s="22">
        <f ca="1">J61</f>
        <v>1739130.4347826089</v>
      </c>
      <c r="K56" s="68"/>
      <c r="Q56" s="68"/>
      <c r="S56" s="68"/>
      <c r="T56" s="68"/>
      <c r="U56" s="68"/>
      <c r="V56" s="68"/>
      <c r="W56" s="68"/>
      <c r="X56" s="68"/>
      <c r="Y56" s="68"/>
    </row>
    <row r="57" spans="2:25" ht="15" customHeight="1">
      <c r="B57" s="68"/>
      <c r="D57" s="68"/>
      <c r="E57" s="68"/>
      <c r="J57" s="22">
        <f ca="1">SUM(J55:J56)</f>
        <v>21739130.434782609</v>
      </c>
      <c r="K57" s="68"/>
      <c r="Q57" s="68"/>
      <c r="S57" s="68"/>
      <c r="T57" s="68"/>
      <c r="U57" s="68"/>
      <c r="V57" s="68"/>
      <c r="W57" s="68"/>
      <c r="X57" s="68"/>
      <c r="Y57" s="68"/>
    </row>
    <row r="59" spans="2:25" ht="15" customHeight="1">
      <c r="B59" s="68"/>
      <c r="D59" s="68"/>
      <c r="E59" s="68"/>
      <c r="J59" s="22"/>
      <c r="K59" s="68"/>
      <c r="Q59" s="68"/>
      <c r="S59" s="68"/>
      <c r="T59" s="68"/>
      <c r="U59" s="68"/>
      <c r="V59" s="68"/>
      <c r="W59" s="68"/>
      <c r="X59" s="68"/>
      <c r="Y59" s="68"/>
    </row>
    <row r="60" spans="2:25" ht="15" customHeight="1">
      <c r="B60" s="68"/>
      <c r="D60" s="68"/>
      <c r="E60" s="68"/>
      <c r="J60" s="22"/>
      <c r="K60" s="68"/>
      <c r="Q60" s="68"/>
      <c r="S60" s="68"/>
      <c r="T60" s="68"/>
      <c r="U60" s="68"/>
      <c r="V60" s="68"/>
      <c r="W60" s="68"/>
      <c r="X60" s="68"/>
      <c r="Y60" s="68"/>
    </row>
    <row r="61" spans="2:25" ht="15" customHeight="1">
      <c r="B61" s="68"/>
      <c r="D61" s="68"/>
      <c r="E61" s="68"/>
      <c r="J61" s="22">
        <f ca="1">J57*8%</f>
        <v>1739130.4347826089</v>
      </c>
      <c r="K61" s="68"/>
      <c r="Q61" s="68"/>
      <c r="S61" s="68"/>
      <c r="T61" s="68"/>
      <c r="U61" s="68"/>
      <c r="V61" s="68"/>
      <c r="W61" s="68"/>
      <c r="X61" s="68"/>
      <c r="Y61" s="68"/>
    </row>
  </sheetData>
  <mergeCells count="15">
    <mergeCell ref="T14:U14"/>
    <mergeCell ref="S8:U8"/>
    <mergeCell ref="S2:U2"/>
    <mergeCell ref="B2:D2"/>
    <mergeCell ref="H2:J2"/>
    <mergeCell ref="N2:P2"/>
    <mergeCell ref="S22:T22"/>
    <mergeCell ref="S23:T23"/>
    <mergeCell ref="S24:T24"/>
    <mergeCell ref="S25:T25"/>
    <mergeCell ref="S17:T17"/>
    <mergeCell ref="S18:T18"/>
    <mergeCell ref="S19:T19"/>
    <mergeCell ref="S20:T20"/>
    <mergeCell ref="S21:T21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X523"/>
  <sheetViews>
    <sheetView zoomScale="85" zoomScaleNormal="85" workbookViewId="0">
      <pane xSplit="12" ySplit="5" topLeftCell="M12" activePane="bottomRight" state="frozen"/>
      <selection pane="topRight" activeCell="M1" sqref="M1"/>
      <selection pane="bottomLeft" activeCell="A6" sqref="A6"/>
      <selection pane="bottomRight" activeCell="H12" sqref="H12"/>
    </sheetView>
  </sheetViews>
  <sheetFormatPr defaultColWidth="9.28515625" defaultRowHeight="12.75" outlineLevelCol="1"/>
  <cols>
    <col min="1" max="1" width="1.5703125" style="372" customWidth="1"/>
    <col min="2" max="2" width="5.7109375" style="136" customWidth="1"/>
    <col min="3" max="3" width="15.5703125" style="28" customWidth="1"/>
    <col min="4" max="4" width="17.42578125" style="221" customWidth="1" outlineLevel="1"/>
    <col min="5" max="5" width="17.85546875" style="29" customWidth="1" outlineLevel="1"/>
    <col min="6" max="6" width="21.42578125" style="28" customWidth="1" outlineLevel="1"/>
    <col min="7" max="7" width="16.5703125" style="338" customWidth="1" outlineLevel="1"/>
    <col min="8" max="8" width="5" style="339" customWidth="1" outlineLevel="1"/>
    <col min="9" max="9" width="6.7109375" style="339" customWidth="1" outlineLevel="1"/>
    <col min="10" max="10" width="7.85546875" style="339" customWidth="1" outlineLevel="1"/>
    <col min="11" max="12" width="5.28515625" style="339" customWidth="1" outlineLevel="1"/>
    <col min="13" max="15" width="12.7109375" style="28" customWidth="1"/>
    <col min="16" max="16" width="10.5703125" style="28" customWidth="1"/>
    <col min="17" max="21" width="13.5703125" style="28" customWidth="1"/>
    <col min="22" max="22" width="11.42578125" style="28" customWidth="1"/>
    <col min="23" max="26" width="13.5703125" style="28" customWidth="1"/>
    <col min="27" max="27" width="14.5703125" style="28" customWidth="1"/>
    <col min="28" max="29" width="13.5703125" style="28" customWidth="1"/>
    <col min="30" max="30" width="15.42578125" style="28" customWidth="1"/>
    <col min="31" max="34" width="14.7109375" style="28" customWidth="1"/>
    <col min="35" max="36" width="14.7109375" style="31" customWidth="1"/>
    <col min="37" max="37" width="12.28515625" style="32" customWidth="1"/>
    <col min="38" max="38" width="12.28515625" style="33" customWidth="1"/>
    <col min="39" max="39" width="9.7109375" style="32" customWidth="1"/>
    <col min="40" max="40" width="12" style="33" customWidth="1"/>
    <col min="41" max="42" width="9.28515625" style="32" customWidth="1"/>
    <col min="43" max="54" width="9.28515625" style="136"/>
    <col min="55" max="16384" width="9.28515625" style="372"/>
  </cols>
  <sheetData>
    <row r="1" spans="2:42" s="136" customFormat="1" ht="17.649999999999999" customHeight="1" thickBot="1">
      <c r="C1" s="337" t="s">
        <v>40</v>
      </c>
      <c r="D1" s="221"/>
      <c r="E1" s="29"/>
      <c r="F1" s="28"/>
      <c r="G1" s="338"/>
      <c r="H1" s="339"/>
      <c r="I1" s="339"/>
      <c r="J1" s="339"/>
      <c r="K1" s="339"/>
      <c r="L1" s="339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1"/>
      <c r="AJ1" s="475"/>
      <c r="AK1" s="32"/>
      <c r="AL1" s="33"/>
      <c r="AM1" s="32"/>
      <c r="AN1" s="33"/>
      <c r="AO1" s="32"/>
      <c r="AP1" s="32"/>
    </row>
    <row r="2" spans="2:42" s="136" customFormat="1" ht="20.100000000000001" customHeight="1" thickBot="1">
      <c r="B2" s="486" t="s">
        <v>24</v>
      </c>
      <c r="C2" s="489" t="s">
        <v>25</v>
      </c>
      <c r="D2" s="492" t="s">
        <v>26</v>
      </c>
      <c r="E2" s="493" t="s">
        <v>27</v>
      </c>
      <c r="F2" s="489" t="s">
        <v>28</v>
      </c>
      <c r="G2" s="484" t="s">
        <v>29</v>
      </c>
      <c r="H2" s="502" t="s">
        <v>46</v>
      </c>
      <c r="I2" s="503"/>
      <c r="J2" s="503"/>
      <c r="K2" s="503"/>
      <c r="L2" s="503"/>
      <c r="M2" s="506" t="s">
        <v>31</v>
      </c>
      <c r="N2" s="507"/>
      <c r="O2" s="507"/>
      <c r="P2" s="507"/>
      <c r="Q2" s="507"/>
      <c r="R2" s="516" t="s">
        <v>173</v>
      </c>
      <c r="S2" s="517"/>
      <c r="T2" s="517"/>
      <c r="U2" s="524" t="s">
        <v>177</v>
      </c>
      <c r="V2" s="499" t="s">
        <v>178</v>
      </c>
      <c r="W2" s="495" t="s">
        <v>179</v>
      </c>
      <c r="X2" s="495" t="s">
        <v>180</v>
      </c>
      <c r="Y2" s="495" t="s">
        <v>181</v>
      </c>
      <c r="Z2" s="495" t="s">
        <v>182</v>
      </c>
      <c r="AA2" s="498" t="s">
        <v>183</v>
      </c>
      <c r="AB2" s="526" t="s">
        <v>184</v>
      </c>
      <c r="AC2" s="527"/>
      <c r="AD2" s="530" t="s">
        <v>185</v>
      </c>
      <c r="AE2" s="495" t="s">
        <v>32</v>
      </c>
      <c r="AF2" s="494" t="s">
        <v>33</v>
      </c>
      <c r="AG2" s="498" t="s">
        <v>55</v>
      </c>
      <c r="AH2" s="499"/>
      <c r="AI2" s="494" t="s">
        <v>34</v>
      </c>
      <c r="AJ2" s="494" t="s">
        <v>35</v>
      </c>
      <c r="AK2" s="32"/>
      <c r="AL2" s="33"/>
      <c r="AM2" s="32"/>
      <c r="AN2" s="33"/>
      <c r="AO2" s="32"/>
      <c r="AP2" s="32"/>
    </row>
    <row r="3" spans="2:42" s="136" customFormat="1" ht="13.9" customHeight="1" thickBot="1">
      <c r="B3" s="487"/>
      <c r="C3" s="490"/>
      <c r="D3" s="490"/>
      <c r="E3" s="493"/>
      <c r="F3" s="490"/>
      <c r="G3" s="484"/>
      <c r="H3" s="504"/>
      <c r="I3" s="505"/>
      <c r="J3" s="505"/>
      <c r="K3" s="505"/>
      <c r="L3" s="505"/>
      <c r="M3" s="508" t="s">
        <v>36</v>
      </c>
      <c r="N3" s="510" t="s">
        <v>43</v>
      </c>
      <c r="O3" s="510" t="s">
        <v>45</v>
      </c>
      <c r="P3" s="512" t="s">
        <v>44</v>
      </c>
      <c r="Q3" s="510" t="s">
        <v>41</v>
      </c>
      <c r="R3" s="518" t="s">
        <v>174</v>
      </c>
      <c r="S3" s="520" t="s">
        <v>175</v>
      </c>
      <c r="T3" s="522" t="s">
        <v>176</v>
      </c>
      <c r="U3" s="524"/>
      <c r="V3" s="531"/>
      <c r="W3" s="496"/>
      <c r="X3" s="496"/>
      <c r="Y3" s="496"/>
      <c r="Z3" s="496"/>
      <c r="AA3" s="525"/>
      <c r="AB3" s="528"/>
      <c r="AC3" s="529"/>
      <c r="AD3" s="530"/>
      <c r="AE3" s="496"/>
      <c r="AF3" s="494"/>
      <c r="AG3" s="500"/>
      <c r="AH3" s="501"/>
      <c r="AI3" s="494"/>
      <c r="AJ3" s="494"/>
      <c r="AK3" s="32"/>
      <c r="AL3" s="33"/>
      <c r="AM3" s="32"/>
      <c r="AN3" s="33"/>
      <c r="AO3" s="32"/>
      <c r="AP3" s="32"/>
    </row>
    <row r="4" spans="2:42" s="136" customFormat="1" ht="36.6" customHeight="1" thickBot="1">
      <c r="B4" s="488"/>
      <c r="C4" s="491"/>
      <c r="D4" s="491"/>
      <c r="E4" s="493"/>
      <c r="F4" s="491"/>
      <c r="G4" s="485"/>
      <c r="H4" s="340" t="s">
        <v>37</v>
      </c>
      <c r="I4" s="340" t="s">
        <v>6</v>
      </c>
      <c r="J4" s="341" t="s">
        <v>15</v>
      </c>
      <c r="K4" s="514" t="s">
        <v>30</v>
      </c>
      <c r="L4" s="515"/>
      <c r="M4" s="509"/>
      <c r="N4" s="511"/>
      <c r="O4" s="511"/>
      <c r="P4" s="513"/>
      <c r="Q4" s="511"/>
      <c r="R4" s="519"/>
      <c r="S4" s="521"/>
      <c r="T4" s="523"/>
      <c r="U4" s="524"/>
      <c r="V4" s="501"/>
      <c r="W4" s="497"/>
      <c r="X4" s="497"/>
      <c r="Y4" s="497"/>
      <c r="Z4" s="497"/>
      <c r="AA4" s="497"/>
      <c r="AB4" s="342" t="s">
        <v>186</v>
      </c>
      <c r="AC4" s="342" t="s">
        <v>187</v>
      </c>
      <c r="AD4" s="494"/>
      <c r="AE4" s="497"/>
      <c r="AF4" s="494"/>
      <c r="AG4" s="343" t="s">
        <v>54</v>
      </c>
      <c r="AH4" s="343" t="s">
        <v>53</v>
      </c>
      <c r="AI4" s="494"/>
      <c r="AJ4" s="494"/>
      <c r="AK4" s="32"/>
      <c r="AL4" s="33"/>
      <c r="AM4" s="32"/>
      <c r="AN4" s="33"/>
      <c r="AO4" s="32"/>
      <c r="AP4" s="32"/>
    </row>
    <row r="5" spans="2:42" s="346" customFormat="1" ht="21.4" customHeight="1" thickBot="1">
      <c r="B5" s="344">
        <v>1</v>
      </c>
      <c r="C5" s="345">
        <v>2</v>
      </c>
      <c r="D5" s="344">
        <v>3</v>
      </c>
      <c r="E5" s="345">
        <v>4</v>
      </c>
      <c r="F5" s="344">
        <v>5</v>
      </c>
      <c r="G5" s="345">
        <v>6</v>
      </c>
      <c r="H5" s="344">
        <v>7</v>
      </c>
      <c r="I5" s="345">
        <v>8</v>
      </c>
      <c r="J5" s="344">
        <v>9</v>
      </c>
      <c r="K5" s="345">
        <v>10</v>
      </c>
      <c r="L5" s="344">
        <v>11</v>
      </c>
      <c r="M5" s="345">
        <v>12</v>
      </c>
      <c r="N5" s="344">
        <v>13</v>
      </c>
      <c r="O5" s="345">
        <v>14</v>
      </c>
      <c r="P5" s="344">
        <v>15</v>
      </c>
      <c r="Q5" s="345">
        <v>16</v>
      </c>
      <c r="R5" s="344">
        <v>17</v>
      </c>
      <c r="S5" s="345">
        <v>18</v>
      </c>
      <c r="T5" s="344">
        <v>19</v>
      </c>
      <c r="U5" s="345">
        <v>20</v>
      </c>
      <c r="V5" s="344">
        <v>21</v>
      </c>
      <c r="W5" s="345">
        <v>22</v>
      </c>
      <c r="X5" s="344">
        <v>23</v>
      </c>
      <c r="Y5" s="345">
        <v>24</v>
      </c>
      <c r="Z5" s="344">
        <v>25</v>
      </c>
      <c r="AA5" s="345">
        <v>26</v>
      </c>
      <c r="AB5" s="344">
        <v>27</v>
      </c>
      <c r="AC5" s="345">
        <v>27</v>
      </c>
      <c r="AD5" s="344">
        <v>29</v>
      </c>
      <c r="AE5" s="345">
        <v>30</v>
      </c>
      <c r="AF5" s="344">
        <v>31</v>
      </c>
      <c r="AG5" s="345">
        <v>32</v>
      </c>
      <c r="AH5" s="344">
        <v>33</v>
      </c>
      <c r="AI5" s="345">
        <v>34</v>
      </c>
      <c r="AJ5" s="476">
        <v>35</v>
      </c>
      <c r="AK5" s="53"/>
      <c r="AL5" s="54"/>
      <c r="AM5" s="53"/>
      <c r="AN5" s="54"/>
      <c r="AO5" s="53"/>
      <c r="AP5" s="53"/>
    </row>
    <row r="6" spans="2:42" s="136" customFormat="1" ht="20.25" customHeight="1">
      <c r="B6" s="131">
        <v>1</v>
      </c>
      <c r="C6" s="347" t="str">
        <f>+PERBULAN!B6</f>
        <v>GUNAWAN</v>
      </c>
      <c r="D6" s="348" t="s">
        <v>249</v>
      </c>
      <c r="E6" s="349" t="s">
        <v>426</v>
      </c>
      <c r="F6" s="83" t="s">
        <v>316</v>
      </c>
      <c r="G6" s="350" t="s">
        <v>81</v>
      </c>
      <c r="H6" s="351" t="s">
        <v>39</v>
      </c>
      <c r="I6" s="352" t="s">
        <v>11</v>
      </c>
      <c r="J6" s="147" t="str">
        <f>IF(ISBLANK(I6),"",IF(OR(I6="TK/0",I6="TK/1",I6="K/0"),"TER A",IF(I6="K/3","TER C","TER B")))</f>
        <v>TER B</v>
      </c>
      <c r="K6" s="393">
        <v>1</v>
      </c>
      <c r="L6" s="393">
        <v>12</v>
      </c>
      <c r="M6" s="138">
        <f>31*129220</f>
        <v>4005820</v>
      </c>
      <c r="N6" s="138">
        <v>3740804.06</v>
      </c>
      <c r="O6" s="138">
        <v>189224.64</v>
      </c>
      <c r="P6" s="138">
        <v>0</v>
      </c>
      <c r="Q6" s="138">
        <f t="shared" ref="Q6:Q7" si="0">SUM(M6:P6)</f>
        <v>7935848.7000000002</v>
      </c>
      <c r="R6" s="138">
        <f>+SETAHUN!H7</f>
        <v>4073100</v>
      </c>
      <c r="S6" s="138">
        <f>+SETAHUN!K7</f>
        <v>900000</v>
      </c>
      <c r="T6" s="138">
        <v>0</v>
      </c>
      <c r="U6" s="138">
        <f>+SETAHUN!F7+M6+N6</f>
        <v>88602847.620000005</v>
      </c>
      <c r="V6" s="138">
        <v>0</v>
      </c>
      <c r="W6" s="138">
        <f>+SETAHUN!U7+O6</f>
        <v>2268022.08</v>
      </c>
      <c r="X6" s="138">
        <v>0</v>
      </c>
      <c r="Y6" s="138">
        <v>0</v>
      </c>
      <c r="Z6" s="138">
        <f>SUM(R6:T6)</f>
        <v>4973100</v>
      </c>
      <c r="AA6" s="138">
        <f>SUM(U6:Z6)</f>
        <v>95843969.700000003</v>
      </c>
      <c r="AB6" s="138">
        <f t="shared" ref="AB6:AB30" si="1">ROUND(IF((AA6)*5%&gt;6000000,6000000,(AA6)*5%),0)</f>
        <v>4792198</v>
      </c>
      <c r="AC6" s="138">
        <f>('ASTEK+PENSIUN-DIISI SMPAI DES'!O95+'ASTEK+PENSIUN-DIISI SMPAI DES'!O9)</f>
        <v>1401336</v>
      </c>
      <c r="AD6" s="138">
        <f>AA6-AB6-AC6</f>
        <v>89650435.700000003</v>
      </c>
      <c r="AE6" s="139">
        <f t="shared" ref="AE6:AE30" si="2">IFERROR(VLOOKUP(I6,TARIF,3,FALSE),0)</f>
        <v>67500000</v>
      </c>
      <c r="AF6" s="139">
        <f>ROUNDDOWN(IF(AD6&lt;=AE6,0,IF(AD6&gt;AE6,AD6-AE6)),-3)</f>
        <v>22150000</v>
      </c>
      <c r="AG6" s="140">
        <f>IF(AF6&gt;5000000000,AF6*35%-306000000,IF(AF6&gt;500000000,AF6*30%-56000000,IF(AF6&gt;250000000,AF6*25%-31000000,IF(AF6&gt;60000000,AF6*15%-6000000,AF6*5%))))</f>
        <v>1107500</v>
      </c>
      <c r="AH6" s="140">
        <f>ROUND(IF(E6=0,AG6*120%,AG6),0)</f>
        <v>1107500</v>
      </c>
      <c r="AI6" s="67">
        <f>+'PAJAK JAN-NOV'!R3</f>
        <v>999664</v>
      </c>
      <c r="AJ6" s="151">
        <f>IF(AG6&lt;=AI6,0,IF(AG6&gt;AI6,AG6-AI6))</f>
        <v>107836</v>
      </c>
      <c r="AK6" s="32" t="str">
        <f>+'PAJAK JAN-NOV'!B3</f>
        <v>GUNAWAN</v>
      </c>
      <c r="AL6" s="33">
        <f>AI6-AH6</f>
        <v>-107836</v>
      </c>
      <c r="AM6" s="32"/>
      <c r="AN6" s="33"/>
      <c r="AO6" s="32"/>
      <c r="AP6" s="32"/>
    </row>
    <row r="7" spans="2:42" s="136" customFormat="1" ht="20.25" customHeight="1">
      <c r="B7" s="131">
        <v>2</v>
      </c>
      <c r="C7" s="132" t="str">
        <f>+PERBULAN!B7</f>
        <v>RILYANI</v>
      </c>
      <c r="D7" s="133" t="s">
        <v>250</v>
      </c>
      <c r="E7" s="146" t="s">
        <v>427</v>
      </c>
      <c r="F7" s="143" t="s">
        <v>198</v>
      </c>
      <c r="G7" s="350" t="s">
        <v>525</v>
      </c>
      <c r="H7" s="134" t="s">
        <v>39</v>
      </c>
      <c r="I7" s="135" t="s">
        <v>17</v>
      </c>
      <c r="J7" s="147" t="str">
        <f t="shared" ref="J7:J30" si="3">IF(ISBLANK(I7),"",IF(OR(I7="TK/0",I7="TK/1",I7="K/0"),"TER A",IF(I7="K/3","TER C","TER B")))</f>
        <v>TER A</v>
      </c>
      <c r="K7" s="393">
        <v>1</v>
      </c>
      <c r="L7" s="393">
        <v>12</v>
      </c>
      <c r="M7" s="138">
        <f>31*129220</f>
        <v>4005820</v>
      </c>
      <c r="N7" s="138">
        <v>273750</v>
      </c>
      <c r="O7" s="138">
        <v>191935.04</v>
      </c>
      <c r="P7" s="138">
        <v>0</v>
      </c>
      <c r="Q7" s="138">
        <f t="shared" si="0"/>
        <v>4471505.04</v>
      </c>
      <c r="R7" s="138">
        <f>+SETAHUN!H8</f>
        <v>4063100</v>
      </c>
      <c r="S7" s="138">
        <f>+SETAHUN!K8</f>
        <v>600000</v>
      </c>
      <c r="T7" s="138">
        <v>0</v>
      </c>
      <c r="U7" s="138">
        <f>+SETAHUN!F8+M7+N7</f>
        <v>50377447.159999996</v>
      </c>
      <c r="V7" s="138">
        <v>0</v>
      </c>
      <c r="W7" s="138">
        <f>+SETAHUN!U8+O7</f>
        <v>2297614.88</v>
      </c>
      <c r="X7" s="138">
        <v>0</v>
      </c>
      <c r="Y7" s="138">
        <v>0</v>
      </c>
      <c r="Z7" s="138">
        <f t="shared" ref="Z7:Z30" si="4">SUM(R7:T7)</f>
        <v>4663100</v>
      </c>
      <c r="AA7" s="138">
        <f t="shared" ref="AA7:AA30" si="5">SUM(U7:Z7)</f>
        <v>57338162.039999999</v>
      </c>
      <c r="AB7" s="138">
        <f t="shared" si="1"/>
        <v>2866908</v>
      </c>
      <c r="AC7" s="138">
        <f>('ASTEK+PENSIUN-DIISI SMPAI DES'!O96+'ASTEK+PENSIUN-DIISI SMPAI DES'!O10)</f>
        <v>1411596</v>
      </c>
      <c r="AD7" s="138">
        <f>AA7-AB7-AC7</f>
        <v>53059658.039999999</v>
      </c>
      <c r="AE7" s="139">
        <f t="shared" si="2"/>
        <v>58500000</v>
      </c>
      <c r="AF7" s="139">
        <f>ROUNDDOWN(IF(AD7&lt;=AE7,0,IF(AD7&gt;AE7,AD7-AE7)),-3)</f>
        <v>0</v>
      </c>
      <c r="AG7" s="140">
        <f>IF(AF7&gt;5000000000,AF7*35%-306000000,IF(AF7&gt;500000000,AF7*30%-56000000,IF(AF7&gt;250000000,AF7*25%-31000000,IF(AF7&gt;60000000,AF7*15%-6000000,AF7*5%))))</f>
        <v>0</v>
      </c>
      <c r="AH7" s="140">
        <f>ROUND(IF(E7=0,AG7*120%,AG7),0)</f>
        <v>0</v>
      </c>
      <c r="AI7" s="67">
        <f>+'PAJAK JAN-NOV'!R4</f>
        <v>128008</v>
      </c>
      <c r="AJ7" s="151">
        <f t="shared" ref="AJ7:AJ35" si="6">IF(AG7&lt;=AI7,0,IF(AG7&gt;AI7,AG7-AI7))</f>
        <v>0</v>
      </c>
      <c r="AK7" s="32" t="str">
        <f>+'PAJAK JAN-NOV'!B4</f>
        <v>RILYANI</v>
      </c>
      <c r="AL7" s="33">
        <f t="shared" ref="AL7:AL59" si="7">AI7-AH7</f>
        <v>128008</v>
      </c>
      <c r="AM7" s="32"/>
      <c r="AN7" s="33"/>
      <c r="AO7" s="32"/>
      <c r="AP7" s="32"/>
    </row>
    <row r="8" spans="2:42" s="136" customFormat="1" ht="20.25" customHeight="1">
      <c r="B8" s="131">
        <v>3</v>
      </c>
      <c r="C8" s="132" t="str">
        <f>+PERBULAN!B8</f>
        <v>JUNAIDI</v>
      </c>
      <c r="D8" s="133" t="s">
        <v>251</v>
      </c>
      <c r="E8" s="146" t="s">
        <v>428</v>
      </c>
      <c r="F8" s="143" t="s">
        <v>317</v>
      </c>
      <c r="G8" s="350" t="s">
        <v>530</v>
      </c>
      <c r="H8" s="134" t="s">
        <v>39</v>
      </c>
      <c r="I8" s="135" t="s">
        <v>17</v>
      </c>
      <c r="J8" s="147" t="str">
        <f t="shared" si="3"/>
        <v>TER A</v>
      </c>
      <c r="K8" s="393">
        <v>1</v>
      </c>
      <c r="L8" s="393">
        <v>12</v>
      </c>
      <c r="M8" s="138">
        <f>31*129220</f>
        <v>4005820</v>
      </c>
      <c r="N8" s="138">
        <v>1492919.32</v>
      </c>
      <c r="O8" s="138">
        <v>192104.44</v>
      </c>
      <c r="P8" s="138">
        <v>0</v>
      </c>
      <c r="Q8" s="138">
        <f t="shared" ref="Q8:Q35" si="8">SUM(M8:P8)</f>
        <v>5690843.7600000007</v>
      </c>
      <c r="R8" s="138">
        <f>+SETAHUN!H9</f>
        <v>4066600</v>
      </c>
      <c r="S8" s="138">
        <f>+SETAHUN!K9</f>
        <v>900000</v>
      </c>
      <c r="T8" s="138">
        <v>0</v>
      </c>
      <c r="U8" s="138">
        <f>+SETAHUN!F9+M8+N8</f>
        <v>51550446.480000004</v>
      </c>
      <c r="V8" s="138">
        <v>0</v>
      </c>
      <c r="W8" s="138">
        <f>+SETAHUN!U9+O8</f>
        <v>2299331.2799999998</v>
      </c>
      <c r="X8" s="138">
        <v>0</v>
      </c>
      <c r="Y8" s="138">
        <v>0</v>
      </c>
      <c r="Z8" s="138">
        <f t="shared" si="4"/>
        <v>4966600</v>
      </c>
      <c r="AA8" s="138">
        <f t="shared" si="5"/>
        <v>58816377.760000005</v>
      </c>
      <c r="AB8" s="138">
        <f t="shared" si="1"/>
        <v>2940819</v>
      </c>
      <c r="AC8" s="138">
        <f>('ASTEK+PENSIUN-DIISI SMPAI DES'!O97+'ASTEK+PENSIUN-DIISI SMPAI DES'!O11)</f>
        <v>1412226</v>
      </c>
      <c r="AD8" s="138">
        <f t="shared" ref="AD8:AD28" si="9">AA8-AB8-AC8</f>
        <v>54463332.760000005</v>
      </c>
      <c r="AE8" s="139">
        <f t="shared" si="2"/>
        <v>58500000</v>
      </c>
      <c r="AF8" s="139">
        <f t="shared" ref="AF8:AF60" si="10">ROUNDDOWN(IF(AD8&lt;=AE8,0,IF(AD8&gt;AE8,AD8-AE8)),-3)</f>
        <v>0</v>
      </c>
      <c r="AG8" s="140">
        <f t="shared" ref="AG8:AG9" si="11">IF(AF8&gt;5000000000,AF8*35%-306000000,IF(AF8&gt;500000000,AF8*30%-56000000,IF(AF8&gt;250000000,AF8*25%-31000000,IF(AF8&gt;60000000,AF8*15%-6000000,AF8*5%))))</f>
        <v>0</v>
      </c>
      <c r="AH8" s="140">
        <f>ROUND(IF(E8=0,AG8*120%,AG8),0)</f>
        <v>0</v>
      </c>
      <c r="AI8" s="67">
        <f>+'PAJAK JAN-NOV'!R5</f>
        <v>126855</v>
      </c>
      <c r="AJ8" s="151">
        <f t="shared" si="6"/>
        <v>0</v>
      </c>
      <c r="AK8" s="32" t="str">
        <f>+'PAJAK JAN-NOV'!B5</f>
        <v>JUNAIDI</v>
      </c>
      <c r="AL8" s="33">
        <f t="shared" si="7"/>
        <v>126855</v>
      </c>
      <c r="AM8" s="32"/>
      <c r="AN8" s="33"/>
      <c r="AO8" s="32"/>
      <c r="AP8" s="32"/>
    </row>
    <row r="9" spans="2:42" s="136" customFormat="1" ht="20.25" customHeight="1">
      <c r="B9" s="131">
        <v>4</v>
      </c>
      <c r="C9" s="422" t="str">
        <f>+PERBULAN!B9</f>
        <v>UMIYATI</v>
      </c>
      <c r="D9" s="446" t="s">
        <v>252</v>
      </c>
      <c r="E9" s="447" t="s">
        <v>429</v>
      </c>
      <c r="F9" s="448" t="s">
        <v>318</v>
      </c>
      <c r="G9" s="426" t="s">
        <v>530</v>
      </c>
      <c r="H9" s="449" t="s">
        <v>38</v>
      </c>
      <c r="I9" s="450" t="s">
        <v>7</v>
      </c>
      <c r="J9" s="428" t="str">
        <f t="shared" si="3"/>
        <v>TER A</v>
      </c>
      <c r="K9" s="429">
        <v>1</v>
      </c>
      <c r="L9" s="429">
        <v>4</v>
      </c>
      <c r="M9" s="431"/>
      <c r="N9" s="431"/>
      <c r="O9" s="431"/>
      <c r="P9" s="431">
        <v>0</v>
      </c>
      <c r="Q9" s="431">
        <f t="shared" si="8"/>
        <v>0</v>
      </c>
      <c r="R9" s="431">
        <f>+SETAHUN!H10</f>
        <v>4036600</v>
      </c>
      <c r="S9" s="431">
        <f>+SETAHUN!K10</f>
        <v>0</v>
      </c>
      <c r="T9" s="431">
        <v>0</v>
      </c>
      <c r="U9" s="431">
        <f>+SETAHUN!F10+M9+N9</f>
        <v>14668728.24</v>
      </c>
      <c r="V9" s="431">
        <v>0</v>
      </c>
      <c r="W9" s="431">
        <f>+SETAHUN!U10+O9</f>
        <v>764049.76</v>
      </c>
      <c r="X9" s="431">
        <v>0</v>
      </c>
      <c r="Y9" s="431">
        <v>0</v>
      </c>
      <c r="Z9" s="431">
        <f t="shared" si="4"/>
        <v>4036600</v>
      </c>
      <c r="AA9" s="431">
        <f t="shared" si="5"/>
        <v>19469378</v>
      </c>
      <c r="AB9" s="431">
        <f t="shared" si="1"/>
        <v>973469</v>
      </c>
      <c r="AC9" s="431">
        <f>('ASTEK+PENSIUN-DIISI SMPAI DES'!O98+'ASTEK+PENSIUN-DIISI SMPAI DES'!O12)</f>
        <v>465192</v>
      </c>
      <c r="AD9" s="431">
        <f t="shared" si="9"/>
        <v>18030717</v>
      </c>
      <c r="AE9" s="430">
        <f t="shared" si="2"/>
        <v>54000000</v>
      </c>
      <c r="AF9" s="430">
        <f t="shared" si="10"/>
        <v>0</v>
      </c>
      <c r="AG9" s="432">
        <f t="shared" si="11"/>
        <v>0</v>
      </c>
      <c r="AH9" s="432">
        <f>ROUND(IF(E9=0,AG9*120%,AG9),0)</f>
        <v>0</v>
      </c>
      <c r="AI9" s="430">
        <f>+'PAJAK JAN-NOV'!R6</f>
        <v>125940</v>
      </c>
      <c r="AJ9" s="477">
        <f t="shared" si="6"/>
        <v>0</v>
      </c>
      <c r="AK9" s="32" t="str">
        <f>+'PAJAK JAN-NOV'!B6</f>
        <v>UMIYATI</v>
      </c>
      <c r="AL9" s="33">
        <f t="shared" si="7"/>
        <v>125940</v>
      </c>
      <c r="AM9" s="32"/>
      <c r="AN9" s="33"/>
      <c r="AO9" s="32"/>
      <c r="AP9" s="32"/>
    </row>
    <row r="10" spans="2:42" s="136" customFormat="1" ht="20.25" customHeight="1">
      <c r="B10" s="131">
        <v>5</v>
      </c>
      <c r="C10" s="132" t="str">
        <f>+PERBULAN!B10</f>
        <v>ASUNTI</v>
      </c>
      <c r="D10" s="133" t="s">
        <v>253</v>
      </c>
      <c r="E10" s="146" t="s">
        <v>430</v>
      </c>
      <c r="F10" s="143" t="s">
        <v>194</v>
      </c>
      <c r="G10" s="350" t="s">
        <v>530</v>
      </c>
      <c r="H10" s="134" t="s">
        <v>38</v>
      </c>
      <c r="I10" s="135" t="s">
        <v>7</v>
      </c>
      <c r="J10" s="147" t="str">
        <f t="shared" si="3"/>
        <v>TER A</v>
      </c>
      <c r="K10" s="393">
        <v>1</v>
      </c>
      <c r="L10" s="393">
        <v>12</v>
      </c>
      <c r="M10" s="138">
        <f t="shared" ref="M10:M17" si="12">31*129220</f>
        <v>4005820</v>
      </c>
      <c r="N10" s="138">
        <v>120250</v>
      </c>
      <c r="O10" s="138">
        <v>190071.64</v>
      </c>
      <c r="P10" s="138">
        <v>0</v>
      </c>
      <c r="Q10" s="138">
        <f t="shared" si="8"/>
        <v>4316141.6399999997</v>
      </c>
      <c r="R10" s="138">
        <f>+SETAHUN!H11</f>
        <v>3991100</v>
      </c>
      <c r="S10" s="138">
        <f>+SETAHUN!K11</f>
        <v>200000</v>
      </c>
      <c r="T10" s="138">
        <v>0</v>
      </c>
      <c r="U10" s="138">
        <f>+SETAHUN!F11+M10+N10</f>
        <v>48436578.559999995</v>
      </c>
      <c r="V10" s="138">
        <v>0</v>
      </c>
      <c r="W10" s="138">
        <f>+SETAHUN!U11+O10</f>
        <v>2277305.08</v>
      </c>
      <c r="X10" s="138">
        <v>0</v>
      </c>
      <c r="Y10" s="138">
        <v>0</v>
      </c>
      <c r="Z10" s="138">
        <f t="shared" si="4"/>
        <v>4191100</v>
      </c>
      <c r="AA10" s="138">
        <f t="shared" si="5"/>
        <v>54904983.639999993</v>
      </c>
      <c r="AB10" s="138">
        <f t="shared" si="1"/>
        <v>2745249</v>
      </c>
      <c r="AC10" s="138">
        <f>('ASTEK+PENSIUN-DIISI SMPAI DES'!O99+'ASTEK+PENSIUN-DIISI SMPAI DES'!O13)</f>
        <v>1404561</v>
      </c>
      <c r="AD10" s="138">
        <f t="shared" si="9"/>
        <v>50755173.639999993</v>
      </c>
      <c r="AE10" s="139">
        <f t="shared" si="2"/>
        <v>54000000</v>
      </c>
      <c r="AF10" s="139">
        <f t="shared" si="10"/>
        <v>0</v>
      </c>
      <c r="AG10" s="140">
        <f t="shared" ref="AG10:AG28" si="13">IF(AF10&gt;5000000000,AF10*35%-306000000,IF(AF10&gt;500000000,AF10*30%-56000000,IF(AF10&gt;250000000,AF10*25%-31000000,IF(AF10&gt;60000000,AF10*15%-6000000,AF10*5%))))</f>
        <v>0</v>
      </c>
      <c r="AH10" s="140">
        <f t="shared" ref="AH10:AH28" si="14">ROUND(IF(E10=0,AG10*120%,AG10),0)</f>
        <v>0</v>
      </c>
      <c r="AI10" s="67">
        <f>+'PAJAK JAN-NOV'!R7</f>
        <v>124548</v>
      </c>
      <c r="AJ10" s="478">
        <f t="shared" si="6"/>
        <v>0</v>
      </c>
      <c r="AK10" s="32" t="str">
        <f>+'PAJAK JAN-NOV'!B7</f>
        <v>ASUNTI</v>
      </c>
      <c r="AL10" s="33">
        <f t="shared" si="7"/>
        <v>124548</v>
      </c>
      <c r="AM10" s="32"/>
      <c r="AN10" s="33"/>
      <c r="AO10" s="32"/>
      <c r="AP10" s="32"/>
    </row>
    <row r="11" spans="2:42" s="136" customFormat="1" ht="20.25" customHeight="1">
      <c r="B11" s="131">
        <v>6</v>
      </c>
      <c r="C11" s="132" t="str">
        <f>+PERBULAN!B11</f>
        <v>JONI</v>
      </c>
      <c r="D11" s="133" t="s">
        <v>255</v>
      </c>
      <c r="E11" s="146" t="s">
        <v>431</v>
      </c>
      <c r="F11" s="143" t="s">
        <v>320</v>
      </c>
      <c r="G11" s="350" t="s">
        <v>530</v>
      </c>
      <c r="H11" s="134" t="s">
        <v>39</v>
      </c>
      <c r="I11" s="135" t="s">
        <v>9</v>
      </c>
      <c r="J11" s="147" t="str">
        <f t="shared" si="3"/>
        <v>TER B</v>
      </c>
      <c r="K11" s="393">
        <v>1</v>
      </c>
      <c r="L11" s="393">
        <v>12</v>
      </c>
      <c r="M11" s="138">
        <f>30*129220</f>
        <v>3876600</v>
      </c>
      <c r="N11" s="138">
        <v>193500</v>
      </c>
      <c r="O11" s="138">
        <v>190241.04</v>
      </c>
      <c r="P11" s="138">
        <v>0</v>
      </c>
      <c r="Q11" s="138">
        <f t="shared" si="8"/>
        <v>4260341.04</v>
      </c>
      <c r="R11" s="138">
        <f>+SETAHUN!H12</f>
        <v>4066600</v>
      </c>
      <c r="S11" s="138">
        <f>+SETAHUN!K12</f>
        <v>600000</v>
      </c>
      <c r="T11" s="138">
        <v>0</v>
      </c>
      <c r="U11" s="138">
        <f>+SETAHUN!F12+M11+N11</f>
        <v>48949417.159999996</v>
      </c>
      <c r="V11" s="138">
        <v>0</v>
      </c>
      <c r="W11" s="138">
        <f>+SETAHUN!U12+O11</f>
        <v>2279330.88</v>
      </c>
      <c r="X11" s="138">
        <v>0</v>
      </c>
      <c r="Y11" s="138">
        <v>0</v>
      </c>
      <c r="Z11" s="138">
        <f t="shared" si="4"/>
        <v>4666600</v>
      </c>
      <c r="AA11" s="138">
        <f t="shared" si="5"/>
        <v>55895348.039999999</v>
      </c>
      <c r="AB11" s="138">
        <f t="shared" si="1"/>
        <v>2794767</v>
      </c>
      <c r="AC11" s="138">
        <f>('ASTEK+PENSIUN-DIISI SMPAI DES'!O100+'ASTEK+PENSIUN-DIISI SMPAI DES'!O14)</f>
        <v>1405296</v>
      </c>
      <c r="AD11" s="138">
        <f t="shared" si="9"/>
        <v>51695285.039999999</v>
      </c>
      <c r="AE11" s="139">
        <f t="shared" si="2"/>
        <v>63000000</v>
      </c>
      <c r="AF11" s="139">
        <f t="shared" si="10"/>
        <v>0</v>
      </c>
      <c r="AG11" s="140">
        <f t="shared" si="13"/>
        <v>0</v>
      </c>
      <c r="AH11" s="140">
        <f t="shared" si="14"/>
        <v>0</v>
      </c>
      <c r="AI11" s="67">
        <f>+'PAJAK JAN-NOV'!R8</f>
        <v>84567</v>
      </c>
      <c r="AJ11" s="478">
        <f t="shared" si="6"/>
        <v>0</v>
      </c>
      <c r="AK11" s="32" t="str">
        <f>+'PAJAK JAN-NOV'!B8</f>
        <v>JONI</v>
      </c>
      <c r="AL11" s="33">
        <f t="shared" si="7"/>
        <v>84567</v>
      </c>
      <c r="AM11" s="32"/>
      <c r="AN11" s="33"/>
      <c r="AO11" s="32"/>
      <c r="AP11" s="32"/>
    </row>
    <row r="12" spans="2:42" s="136" customFormat="1" ht="20.25" customHeight="1">
      <c r="B12" s="131">
        <v>7</v>
      </c>
      <c r="C12" s="132" t="str">
        <f>+PERBULAN!B12</f>
        <v>THAHA.S</v>
      </c>
      <c r="D12" s="133" t="s">
        <v>256</v>
      </c>
      <c r="E12" s="146" t="s">
        <v>432</v>
      </c>
      <c r="F12" s="143" t="s">
        <v>193</v>
      </c>
      <c r="G12" s="350" t="s">
        <v>530</v>
      </c>
      <c r="H12" s="134" t="s">
        <v>39</v>
      </c>
      <c r="I12" s="135" t="s">
        <v>9</v>
      </c>
      <c r="J12" s="147" t="str">
        <f t="shared" si="3"/>
        <v>TER B</v>
      </c>
      <c r="K12" s="393">
        <v>1</v>
      </c>
      <c r="L12" s="393">
        <v>12</v>
      </c>
      <c r="M12" s="138">
        <f t="shared" si="12"/>
        <v>4005820</v>
      </c>
      <c r="N12" s="138">
        <v>198150</v>
      </c>
      <c r="O12" s="138">
        <v>190241.04</v>
      </c>
      <c r="P12" s="138">
        <v>0</v>
      </c>
      <c r="Q12" s="138">
        <f t="shared" si="8"/>
        <v>4394211.04</v>
      </c>
      <c r="R12" s="138">
        <f>+SETAHUN!H13</f>
        <v>4066600</v>
      </c>
      <c r="S12" s="138">
        <f>+SETAHUN!K13</f>
        <v>200000</v>
      </c>
      <c r="T12" s="138">
        <v>0</v>
      </c>
      <c r="U12" s="138">
        <f>+SETAHUN!F13+M12+N12</f>
        <v>49484897.159999996</v>
      </c>
      <c r="V12" s="138">
        <v>0</v>
      </c>
      <c r="W12" s="138">
        <f>+SETAHUN!U13+O12</f>
        <v>2279330.88</v>
      </c>
      <c r="X12" s="138">
        <v>0</v>
      </c>
      <c r="Y12" s="138">
        <v>0</v>
      </c>
      <c r="Z12" s="138">
        <f t="shared" si="4"/>
        <v>4266600</v>
      </c>
      <c r="AA12" s="138">
        <f t="shared" si="5"/>
        <v>56030828.039999999</v>
      </c>
      <c r="AB12" s="138">
        <f t="shared" si="1"/>
        <v>2801541</v>
      </c>
      <c r="AC12" s="138">
        <f>('ASTEK+PENSIUN-DIISI SMPAI DES'!O101+'ASTEK+PENSIUN-DIISI SMPAI DES'!O15)</f>
        <v>1405296</v>
      </c>
      <c r="AD12" s="138">
        <f t="shared" si="9"/>
        <v>51823991.039999999</v>
      </c>
      <c r="AE12" s="139">
        <f t="shared" si="2"/>
        <v>63000000</v>
      </c>
      <c r="AF12" s="139">
        <f t="shared" si="10"/>
        <v>0</v>
      </c>
      <c r="AG12" s="140">
        <f t="shared" si="13"/>
        <v>0</v>
      </c>
      <c r="AH12" s="140">
        <f t="shared" si="14"/>
        <v>0</v>
      </c>
      <c r="AI12" s="67">
        <f>+'PAJAK JAN-NOV'!R9</f>
        <v>84567</v>
      </c>
      <c r="AJ12" s="478">
        <f t="shared" si="6"/>
        <v>0</v>
      </c>
      <c r="AK12" s="32" t="str">
        <f>+'PAJAK JAN-NOV'!B9</f>
        <v>THAHA.S</v>
      </c>
      <c r="AL12" s="33">
        <f t="shared" si="7"/>
        <v>84567</v>
      </c>
      <c r="AM12" s="32"/>
      <c r="AN12" s="33"/>
      <c r="AO12" s="32"/>
      <c r="AP12" s="32"/>
    </row>
    <row r="13" spans="2:42" s="136" customFormat="1" ht="20.25" customHeight="1">
      <c r="B13" s="131">
        <v>8</v>
      </c>
      <c r="C13" s="132" t="str">
        <f>+PERBULAN!B13</f>
        <v>ALEX</v>
      </c>
      <c r="D13" s="133" t="s">
        <v>257</v>
      </c>
      <c r="E13" s="146" t="s">
        <v>433</v>
      </c>
      <c r="F13" s="143" t="s">
        <v>321</v>
      </c>
      <c r="G13" s="350" t="s">
        <v>530</v>
      </c>
      <c r="H13" s="134" t="s">
        <v>39</v>
      </c>
      <c r="I13" s="135" t="s">
        <v>11</v>
      </c>
      <c r="J13" s="147" t="str">
        <f t="shared" si="3"/>
        <v>TER B</v>
      </c>
      <c r="K13" s="393">
        <v>1</v>
      </c>
      <c r="L13" s="393">
        <v>12</v>
      </c>
      <c r="M13" s="138">
        <f>30*129220</f>
        <v>3876600</v>
      </c>
      <c r="N13" s="138">
        <v>199500</v>
      </c>
      <c r="O13" s="138">
        <v>189224.64</v>
      </c>
      <c r="P13" s="138">
        <v>0</v>
      </c>
      <c r="Q13" s="138">
        <f t="shared" si="8"/>
        <v>4265324.6399999997</v>
      </c>
      <c r="R13" s="138">
        <f>+SETAHUN!H14</f>
        <v>4073100</v>
      </c>
      <c r="S13" s="138">
        <f>+SETAHUN!K14</f>
        <v>200000</v>
      </c>
      <c r="T13" s="138">
        <v>0</v>
      </c>
      <c r="U13" s="138">
        <f>+SETAHUN!F14+M13+N13</f>
        <v>48749777.559999995</v>
      </c>
      <c r="V13" s="138">
        <v>0</v>
      </c>
      <c r="W13" s="138">
        <f>+SETAHUN!U14+O13</f>
        <v>2268022.08</v>
      </c>
      <c r="X13" s="138">
        <v>0</v>
      </c>
      <c r="Y13" s="138">
        <v>0</v>
      </c>
      <c r="Z13" s="138">
        <f t="shared" si="4"/>
        <v>4273100</v>
      </c>
      <c r="AA13" s="138">
        <f t="shared" si="5"/>
        <v>55290899.639999993</v>
      </c>
      <c r="AB13" s="138">
        <f t="shared" si="1"/>
        <v>2764545</v>
      </c>
      <c r="AC13" s="138">
        <f>('ASTEK+PENSIUN-DIISI SMPAI DES'!O102+'ASTEK+PENSIUN-DIISI SMPAI DES'!O16)</f>
        <v>1401336</v>
      </c>
      <c r="AD13" s="138">
        <f t="shared" si="9"/>
        <v>51125018.639999993</v>
      </c>
      <c r="AE13" s="139">
        <f t="shared" si="2"/>
        <v>67500000</v>
      </c>
      <c r="AF13" s="139">
        <f t="shared" si="10"/>
        <v>0</v>
      </c>
      <c r="AG13" s="140">
        <f t="shared" si="13"/>
        <v>0</v>
      </c>
      <c r="AH13" s="140">
        <f t="shared" si="14"/>
        <v>0</v>
      </c>
      <c r="AI13" s="67">
        <f>+'PAJAK JAN-NOV'!R10</f>
        <v>84698</v>
      </c>
      <c r="AJ13" s="478">
        <f t="shared" si="6"/>
        <v>0</v>
      </c>
      <c r="AK13" s="32" t="str">
        <f>+'PAJAK JAN-NOV'!B10</f>
        <v>ALEX</v>
      </c>
      <c r="AL13" s="33">
        <f t="shared" si="7"/>
        <v>84698</v>
      </c>
      <c r="AM13" s="32"/>
      <c r="AN13" s="33"/>
      <c r="AO13" s="32"/>
      <c r="AP13" s="32"/>
    </row>
    <row r="14" spans="2:42" s="136" customFormat="1" ht="20.25" customHeight="1">
      <c r="B14" s="131">
        <v>9</v>
      </c>
      <c r="C14" s="132" t="str">
        <f>+PERBULAN!B14</f>
        <v>SANDY</v>
      </c>
      <c r="D14" s="133" t="s">
        <v>258</v>
      </c>
      <c r="E14" s="146" t="s">
        <v>434</v>
      </c>
      <c r="F14" s="143" t="s">
        <v>322</v>
      </c>
      <c r="G14" s="350" t="s">
        <v>530</v>
      </c>
      <c r="H14" s="134" t="s">
        <v>39</v>
      </c>
      <c r="I14" s="135" t="s">
        <v>9</v>
      </c>
      <c r="J14" s="147" t="str">
        <f t="shared" si="3"/>
        <v>TER B</v>
      </c>
      <c r="K14" s="393">
        <v>1</v>
      </c>
      <c r="L14" s="393">
        <v>12</v>
      </c>
      <c r="M14" s="138">
        <f>28*129220</f>
        <v>3618160</v>
      </c>
      <c r="N14" s="138">
        <v>163200</v>
      </c>
      <c r="O14" s="138">
        <v>189224.64</v>
      </c>
      <c r="P14" s="138">
        <v>0</v>
      </c>
      <c r="Q14" s="138">
        <f t="shared" si="8"/>
        <v>3970584.64</v>
      </c>
      <c r="R14" s="138">
        <f>+SETAHUN!H15</f>
        <v>4046100</v>
      </c>
      <c r="S14" s="138">
        <f>+SETAHUN!K15</f>
        <v>200000</v>
      </c>
      <c r="T14" s="138">
        <v>0</v>
      </c>
      <c r="U14" s="138">
        <f>+SETAHUN!F15+M14+N14</f>
        <v>48158937.559999995</v>
      </c>
      <c r="V14" s="138">
        <v>0</v>
      </c>
      <c r="W14" s="138">
        <f>+SETAHUN!U15+O14</f>
        <v>2268022.08</v>
      </c>
      <c r="X14" s="138">
        <v>0</v>
      </c>
      <c r="Y14" s="138">
        <v>0</v>
      </c>
      <c r="Z14" s="138">
        <f t="shared" si="4"/>
        <v>4246100</v>
      </c>
      <c r="AA14" s="138">
        <f t="shared" si="5"/>
        <v>54673059.639999993</v>
      </c>
      <c r="AB14" s="138">
        <f t="shared" si="1"/>
        <v>2733653</v>
      </c>
      <c r="AC14" s="138">
        <f>('ASTEK+PENSIUN-DIISI SMPAI DES'!O103+'ASTEK+PENSIUN-DIISI SMPAI DES'!O17)</f>
        <v>1401336</v>
      </c>
      <c r="AD14" s="138">
        <f t="shared" si="9"/>
        <v>50538070.639999993</v>
      </c>
      <c r="AE14" s="139">
        <f t="shared" si="2"/>
        <v>63000000</v>
      </c>
      <c r="AF14" s="139">
        <f t="shared" si="10"/>
        <v>0</v>
      </c>
      <c r="AG14" s="140">
        <f t="shared" si="13"/>
        <v>0</v>
      </c>
      <c r="AH14" s="140">
        <f t="shared" si="14"/>
        <v>0</v>
      </c>
      <c r="AI14" s="67">
        <f>+'PAJAK JAN-NOV'!R11</f>
        <v>84149</v>
      </c>
      <c r="AJ14" s="478">
        <f t="shared" si="6"/>
        <v>0</v>
      </c>
      <c r="AK14" s="32" t="str">
        <f>+'PAJAK JAN-NOV'!B11</f>
        <v>SANDY</v>
      </c>
      <c r="AL14" s="33">
        <f t="shared" si="7"/>
        <v>84149</v>
      </c>
      <c r="AM14" s="32"/>
      <c r="AN14" s="33"/>
      <c r="AO14" s="32"/>
      <c r="AP14" s="32"/>
    </row>
    <row r="15" spans="2:42" s="136" customFormat="1" ht="20.25" customHeight="1">
      <c r="B15" s="131">
        <v>10</v>
      </c>
      <c r="C15" s="132" t="str">
        <f>+PERBULAN!B15</f>
        <v>ANTON</v>
      </c>
      <c r="D15" s="133" t="s">
        <v>259</v>
      </c>
      <c r="E15" s="146" t="s">
        <v>435</v>
      </c>
      <c r="F15" s="143" t="s">
        <v>190</v>
      </c>
      <c r="G15" s="350" t="s">
        <v>530</v>
      </c>
      <c r="H15" s="134" t="s">
        <v>39</v>
      </c>
      <c r="I15" s="135" t="s">
        <v>9</v>
      </c>
      <c r="J15" s="147" t="str">
        <f t="shared" si="3"/>
        <v>TER B</v>
      </c>
      <c r="K15" s="393">
        <v>1</v>
      </c>
      <c r="L15" s="393">
        <v>12</v>
      </c>
      <c r="M15" s="138">
        <f>30*129220</f>
        <v>3876600</v>
      </c>
      <c r="N15" s="138">
        <v>193500</v>
      </c>
      <c r="O15" s="138">
        <v>190241.04</v>
      </c>
      <c r="P15" s="138">
        <v>0</v>
      </c>
      <c r="Q15" s="138">
        <f t="shared" si="8"/>
        <v>4260341.04</v>
      </c>
      <c r="R15" s="138">
        <f>+SETAHUN!H16</f>
        <v>4066600</v>
      </c>
      <c r="S15" s="138">
        <f>+SETAHUN!K16</f>
        <v>200000</v>
      </c>
      <c r="T15" s="138">
        <v>0</v>
      </c>
      <c r="U15" s="138">
        <f>+SETAHUN!F16+M15+N15</f>
        <v>49083287.159999996</v>
      </c>
      <c r="V15" s="138">
        <v>0</v>
      </c>
      <c r="W15" s="138">
        <f>+SETAHUN!U16+O15</f>
        <v>2279330.88</v>
      </c>
      <c r="X15" s="138">
        <v>0</v>
      </c>
      <c r="Y15" s="138">
        <v>0</v>
      </c>
      <c r="Z15" s="138">
        <f t="shared" si="4"/>
        <v>4266600</v>
      </c>
      <c r="AA15" s="138">
        <f t="shared" si="5"/>
        <v>55629218.039999999</v>
      </c>
      <c r="AB15" s="138">
        <f t="shared" si="1"/>
        <v>2781461</v>
      </c>
      <c r="AC15" s="138">
        <f>('ASTEK+PENSIUN-DIISI SMPAI DES'!O104+'ASTEK+PENSIUN-DIISI SMPAI DES'!O18)</f>
        <v>1405296</v>
      </c>
      <c r="AD15" s="138">
        <f t="shared" si="9"/>
        <v>51442461.039999999</v>
      </c>
      <c r="AE15" s="139">
        <f t="shared" si="2"/>
        <v>63000000</v>
      </c>
      <c r="AF15" s="139">
        <f t="shared" si="10"/>
        <v>0</v>
      </c>
      <c r="AG15" s="140">
        <f t="shared" si="13"/>
        <v>0</v>
      </c>
      <c r="AH15" s="140">
        <f t="shared" si="14"/>
        <v>0</v>
      </c>
      <c r="AI15" s="67">
        <f>+'PAJAK JAN-NOV'!R12</f>
        <v>84567</v>
      </c>
      <c r="AJ15" s="478">
        <f t="shared" si="6"/>
        <v>0</v>
      </c>
      <c r="AK15" s="32" t="str">
        <f>+'PAJAK JAN-NOV'!B12</f>
        <v>ANTON</v>
      </c>
      <c r="AL15" s="33">
        <f t="shared" si="7"/>
        <v>84567</v>
      </c>
      <c r="AM15" s="32"/>
      <c r="AN15" s="33"/>
      <c r="AO15" s="32"/>
      <c r="AP15" s="32"/>
    </row>
    <row r="16" spans="2:42" s="136" customFormat="1" ht="20.25" customHeight="1">
      <c r="B16" s="131">
        <v>11</v>
      </c>
      <c r="C16" s="132" t="str">
        <f>+PERBULAN!B16</f>
        <v>EKA NOPIYANTI</v>
      </c>
      <c r="D16" s="133" t="s">
        <v>261</v>
      </c>
      <c r="E16" s="146" t="s">
        <v>436</v>
      </c>
      <c r="F16" s="143" t="s">
        <v>324</v>
      </c>
      <c r="G16" s="350" t="s">
        <v>530</v>
      </c>
      <c r="H16" s="134" t="s">
        <v>38</v>
      </c>
      <c r="I16" s="135" t="s">
        <v>7</v>
      </c>
      <c r="J16" s="147" t="str">
        <f t="shared" si="3"/>
        <v>TER A</v>
      </c>
      <c r="K16" s="393">
        <v>1</v>
      </c>
      <c r="L16" s="393">
        <v>12</v>
      </c>
      <c r="M16" s="138">
        <f t="shared" si="12"/>
        <v>4005820</v>
      </c>
      <c r="N16" s="138">
        <v>180700</v>
      </c>
      <c r="O16" s="138">
        <v>190071.64</v>
      </c>
      <c r="P16" s="138">
        <v>0</v>
      </c>
      <c r="Q16" s="138">
        <f t="shared" si="8"/>
        <v>4376591.6399999997</v>
      </c>
      <c r="R16" s="138">
        <f>+SETAHUN!H17</f>
        <v>3991100</v>
      </c>
      <c r="S16" s="138">
        <f>+SETAHUN!K17</f>
        <v>600000</v>
      </c>
      <c r="T16" s="138">
        <v>0</v>
      </c>
      <c r="U16" s="138">
        <f>+SETAHUN!F17+M16+N16</f>
        <v>48974379.159999996</v>
      </c>
      <c r="V16" s="138">
        <v>0</v>
      </c>
      <c r="W16" s="138">
        <f>+SETAHUN!U17+O16</f>
        <v>2277474.48</v>
      </c>
      <c r="X16" s="138">
        <v>0</v>
      </c>
      <c r="Y16" s="138">
        <v>0</v>
      </c>
      <c r="Z16" s="138">
        <f t="shared" si="4"/>
        <v>4591100</v>
      </c>
      <c r="AA16" s="138">
        <f t="shared" si="5"/>
        <v>55842953.639999993</v>
      </c>
      <c r="AB16" s="138">
        <f t="shared" si="1"/>
        <v>2792148</v>
      </c>
      <c r="AC16" s="138">
        <f>('ASTEK+PENSIUN-DIISI SMPAI DES'!O105+'ASTEK+PENSIUN-DIISI SMPAI DES'!O19)</f>
        <v>1404666</v>
      </c>
      <c r="AD16" s="138">
        <f t="shared" si="9"/>
        <v>51646139.639999993</v>
      </c>
      <c r="AE16" s="139">
        <f t="shared" si="2"/>
        <v>54000000</v>
      </c>
      <c r="AF16" s="139">
        <f t="shared" si="10"/>
        <v>0</v>
      </c>
      <c r="AG16" s="140">
        <f t="shared" si="13"/>
        <v>0</v>
      </c>
      <c r="AH16" s="140">
        <f t="shared" si="14"/>
        <v>0</v>
      </c>
      <c r="AI16" s="67">
        <f>+'PAJAK JAN-NOV'!R13</f>
        <v>124548</v>
      </c>
      <c r="AJ16" s="478">
        <f t="shared" si="6"/>
        <v>0</v>
      </c>
      <c r="AK16" s="32" t="str">
        <f>+'PAJAK JAN-NOV'!B13</f>
        <v>EKA NOPIYANTI</v>
      </c>
      <c r="AL16" s="33">
        <f t="shared" si="7"/>
        <v>124548</v>
      </c>
      <c r="AM16" s="32"/>
      <c r="AN16" s="33"/>
      <c r="AO16" s="32"/>
      <c r="AP16" s="32"/>
    </row>
    <row r="17" spans="2:42" s="136" customFormat="1" ht="20.25" customHeight="1">
      <c r="B17" s="131">
        <v>12</v>
      </c>
      <c r="C17" s="132" t="str">
        <f>+PERBULAN!B17</f>
        <v>JUMIATI</v>
      </c>
      <c r="D17" s="133" t="s">
        <v>263</v>
      </c>
      <c r="E17" s="146" t="s">
        <v>438</v>
      </c>
      <c r="F17" s="143" t="s">
        <v>140</v>
      </c>
      <c r="G17" s="350" t="s">
        <v>530</v>
      </c>
      <c r="H17" s="134" t="s">
        <v>38</v>
      </c>
      <c r="I17" s="135" t="s">
        <v>7</v>
      </c>
      <c r="J17" s="147" t="str">
        <f t="shared" si="3"/>
        <v>TER A</v>
      </c>
      <c r="K17" s="393">
        <v>1</v>
      </c>
      <c r="L17" s="393">
        <v>12</v>
      </c>
      <c r="M17" s="138">
        <f t="shared" si="12"/>
        <v>4005820</v>
      </c>
      <c r="N17" s="138">
        <v>123750</v>
      </c>
      <c r="O17" s="138">
        <v>190241.04</v>
      </c>
      <c r="P17" s="138">
        <v>0</v>
      </c>
      <c r="Q17" s="138">
        <f t="shared" si="8"/>
        <v>4319811.04</v>
      </c>
      <c r="R17" s="138">
        <f>+SETAHUN!H18</f>
        <v>3994600</v>
      </c>
      <c r="S17" s="138">
        <f>+SETAHUN!K18</f>
        <v>600000</v>
      </c>
      <c r="T17" s="138">
        <v>0</v>
      </c>
      <c r="U17" s="138">
        <f>+SETAHUN!F18+M17+N17</f>
        <v>48613547.160000004</v>
      </c>
      <c r="V17" s="138">
        <v>0</v>
      </c>
      <c r="W17" s="138">
        <f>+SETAHUN!U18+O17</f>
        <v>2279330.88</v>
      </c>
      <c r="X17" s="138">
        <v>0</v>
      </c>
      <c r="Y17" s="138">
        <v>0</v>
      </c>
      <c r="Z17" s="138">
        <f t="shared" si="4"/>
        <v>4594600</v>
      </c>
      <c r="AA17" s="138">
        <f t="shared" si="5"/>
        <v>55487478.040000007</v>
      </c>
      <c r="AB17" s="138">
        <f t="shared" si="1"/>
        <v>2774374</v>
      </c>
      <c r="AC17" s="138">
        <f>('ASTEK+PENSIUN-DIISI SMPAI DES'!O106+'ASTEK+PENSIUN-DIISI SMPAI DES'!O20)</f>
        <v>1405296</v>
      </c>
      <c r="AD17" s="138">
        <f t="shared" si="9"/>
        <v>51307808.040000007</v>
      </c>
      <c r="AE17" s="139">
        <f t="shared" si="2"/>
        <v>54000000</v>
      </c>
      <c r="AF17" s="139">
        <f t="shared" si="10"/>
        <v>0</v>
      </c>
      <c r="AG17" s="140">
        <f t="shared" si="13"/>
        <v>0</v>
      </c>
      <c r="AH17" s="140">
        <f t="shared" si="14"/>
        <v>0</v>
      </c>
      <c r="AI17" s="67">
        <f>+'PAJAK JAN-NOV'!R14</f>
        <v>124655</v>
      </c>
      <c r="AJ17" s="478">
        <f t="shared" si="6"/>
        <v>0</v>
      </c>
      <c r="AK17" s="32" t="str">
        <f>+'PAJAK JAN-NOV'!B14</f>
        <v>JUMIATI</v>
      </c>
      <c r="AL17" s="33">
        <f t="shared" si="7"/>
        <v>124655</v>
      </c>
      <c r="AM17" s="32"/>
      <c r="AN17" s="33"/>
      <c r="AO17" s="32"/>
      <c r="AP17" s="32"/>
    </row>
    <row r="18" spans="2:42" s="136" customFormat="1" ht="20.25" customHeight="1">
      <c r="B18" s="131">
        <v>13</v>
      </c>
      <c r="C18" s="132" t="str">
        <f>+PERBULAN!B18</f>
        <v>SUPARDI</v>
      </c>
      <c r="D18" s="133" t="s">
        <v>264</v>
      </c>
      <c r="E18" s="146" t="s">
        <v>439</v>
      </c>
      <c r="F18" s="143" t="s">
        <v>326</v>
      </c>
      <c r="G18" s="350" t="s">
        <v>530</v>
      </c>
      <c r="H18" s="134" t="s">
        <v>39</v>
      </c>
      <c r="I18" s="135" t="s">
        <v>11</v>
      </c>
      <c r="J18" s="147" t="str">
        <f t="shared" si="3"/>
        <v>TER B</v>
      </c>
      <c r="K18" s="393">
        <v>1</v>
      </c>
      <c r="L18" s="393">
        <v>12</v>
      </c>
      <c r="M18" s="138">
        <f>28*129220</f>
        <v>3618160</v>
      </c>
      <c r="N18" s="138">
        <v>188400</v>
      </c>
      <c r="O18" s="138">
        <v>189224.64</v>
      </c>
      <c r="P18" s="138">
        <v>0</v>
      </c>
      <c r="Q18" s="138">
        <f t="shared" si="8"/>
        <v>3995784.64</v>
      </c>
      <c r="R18" s="138">
        <f>+SETAHUN!H19</f>
        <v>4076100</v>
      </c>
      <c r="S18" s="138">
        <f>+SETAHUN!K19</f>
        <v>600000</v>
      </c>
      <c r="T18" s="138">
        <v>0</v>
      </c>
      <c r="U18" s="138">
        <f>+SETAHUN!F19+M18+N18</f>
        <v>49883945.159999996</v>
      </c>
      <c r="V18" s="138">
        <v>0</v>
      </c>
      <c r="W18" s="138">
        <f>+SETAHUN!U19+O18</f>
        <v>2269032.48</v>
      </c>
      <c r="X18" s="138">
        <v>0</v>
      </c>
      <c r="Y18" s="138">
        <v>0</v>
      </c>
      <c r="Z18" s="138">
        <f t="shared" si="4"/>
        <v>4676100</v>
      </c>
      <c r="AA18" s="138">
        <f t="shared" si="5"/>
        <v>56829077.639999993</v>
      </c>
      <c r="AB18" s="138">
        <f t="shared" si="1"/>
        <v>2841454</v>
      </c>
      <c r="AC18" s="138">
        <f>('ASTEK+PENSIUN-DIISI SMPAI DES'!O107+'ASTEK+PENSIUN-DIISI SMPAI DES'!O21)</f>
        <v>1401516</v>
      </c>
      <c r="AD18" s="138">
        <f t="shared" si="9"/>
        <v>52586107.639999993</v>
      </c>
      <c r="AE18" s="139">
        <f t="shared" si="2"/>
        <v>67500000</v>
      </c>
      <c r="AF18" s="139">
        <f t="shared" si="10"/>
        <v>0</v>
      </c>
      <c r="AG18" s="140">
        <f t="shared" si="13"/>
        <v>0</v>
      </c>
      <c r="AH18" s="140">
        <f t="shared" si="14"/>
        <v>0</v>
      </c>
      <c r="AI18" s="67">
        <f>+'PAJAK JAN-NOV'!R15</f>
        <v>86328</v>
      </c>
      <c r="AJ18" s="478">
        <f t="shared" si="6"/>
        <v>0</v>
      </c>
      <c r="AK18" s="32" t="str">
        <f>+'PAJAK JAN-NOV'!B15</f>
        <v>SUPARDI</v>
      </c>
      <c r="AL18" s="33">
        <f t="shared" si="7"/>
        <v>86328</v>
      </c>
      <c r="AM18" s="32"/>
      <c r="AN18" s="33"/>
      <c r="AO18" s="32"/>
      <c r="AP18" s="32"/>
    </row>
    <row r="19" spans="2:42" s="136" customFormat="1" ht="20.25" customHeight="1">
      <c r="B19" s="131">
        <v>14</v>
      </c>
      <c r="C19" s="422" t="str">
        <f>+PERBULAN!B19</f>
        <v>PARDI</v>
      </c>
      <c r="D19" s="446" t="s">
        <v>265</v>
      </c>
      <c r="E19" s="447" t="s">
        <v>440</v>
      </c>
      <c r="F19" s="448" t="s">
        <v>197</v>
      </c>
      <c r="G19" s="426" t="s">
        <v>530</v>
      </c>
      <c r="H19" s="449" t="s">
        <v>39</v>
      </c>
      <c r="I19" s="450" t="s">
        <v>9</v>
      </c>
      <c r="J19" s="428" t="str">
        <f t="shared" si="3"/>
        <v>TER B</v>
      </c>
      <c r="K19" s="429">
        <v>1</v>
      </c>
      <c r="L19" s="429">
        <v>4</v>
      </c>
      <c r="M19" s="431"/>
      <c r="N19" s="431"/>
      <c r="O19" s="431"/>
      <c r="P19" s="431">
        <v>0</v>
      </c>
      <c r="Q19" s="431">
        <f t="shared" si="8"/>
        <v>0</v>
      </c>
      <c r="R19" s="431">
        <f>+SETAHUN!H20</f>
        <v>4101600</v>
      </c>
      <c r="S19" s="431">
        <f>+SETAHUN!K20</f>
        <v>0</v>
      </c>
      <c r="T19" s="431">
        <v>0</v>
      </c>
      <c r="U19" s="431">
        <f>+SETAHUN!F20+M19+N19</f>
        <v>13967588.24</v>
      </c>
      <c r="V19" s="431">
        <v>0</v>
      </c>
      <c r="W19" s="431">
        <f>+SETAHUN!U20+O19</f>
        <v>763209.76</v>
      </c>
      <c r="X19" s="431">
        <v>0</v>
      </c>
      <c r="Y19" s="431">
        <v>0</v>
      </c>
      <c r="Z19" s="431">
        <f t="shared" si="4"/>
        <v>4101600</v>
      </c>
      <c r="AA19" s="431">
        <f t="shared" si="5"/>
        <v>18832398</v>
      </c>
      <c r="AB19" s="431">
        <f t="shared" si="1"/>
        <v>941620</v>
      </c>
      <c r="AC19" s="431">
        <f>('ASTEK+PENSIUN-DIISI SMPAI DES'!O108+'ASTEK+PENSIUN-DIISI SMPAI DES'!O22)</f>
        <v>465192</v>
      </c>
      <c r="AD19" s="431">
        <f t="shared" si="9"/>
        <v>17425586</v>
      </c>
      <c r="AE19" s="430">
        <f t="shared" si="2"/>
        <v>63000000</v>
      </c>
      <c r="AF19" s="430">
        <f t="shared" si="10"/>
        <v>0</v>
      </c>
      <c r="AG19" s="432">
        <f t="shared" si="13"/>
        <v>0</v>
      </c>
      <c r="AH19" s="432">
        <f t="shared" si="14"/>
        <v>0</v>
      </c>
      <c r="AI19" s="430">
        <f>+'PAJAK JAN-NOV'!R16</f>
        <v>85281</v>
      </c>
      <c r="AJ19" s="479">
        <f t="shared" si="6"/>
        <v>0</v>
      </c>
      <c r="AK19" s="32" t="str">
        <f>+'PAJAK JAN-NOV'!B16</f>
        <v>PARDI</v>
      </c>
      <c r="AL19" s="33">
        <f t="shared" si="7"/>
        <v>85281</v>
      </c>
      <c r="AM19" s="32"/>
      <c r="AN19" s="33"/>
      <c r="AO19" s="32"/>
      <c r="AP19" s="32"/>
    </row>
    <row r="20" spans="2:42" s="136" customFormat="1" ht="20.25" customHeight="1">
      <c r="B20" s="131">
        <v>15</v>
      </c>
      <c r="C20" s="132" t="str">
        <f>+PERBULAN!B20</f>
        <v>SUMARDI</v>
      </c>
      <c r="D20" s="133" t="s">
        <v>266</v>
      </c>
      <c r="E20" s="146" t="s">
        <v>441</v>
      </c>
      <c r="F20" s="143" t="s">
        <v>320</v>
      </c>
      <c r="G20" s="350" t="s">
        <v>530</v>
      </c>
      <c r="H20" s="354" t="s">
        <v>39</v>
      </c>
      <c r="I20" s="353" t="s">
        <v>11</v>
      </c>
      <c r="J20" s="147" t="str">
        <f t="shared" si="3"/>
        <v>TER B</v>
      </c>
      <c r="K20" s="393">
        <v>1</v>
      </c>
      <c r="L20" s="393">
        <v>12</v>
      </c>
      <c r="M20" s="138">
        <f t="shared" ref="M20:M38" si="15">31*129220</f>
        <v>4005820</v>
      </c>
      <c r="N20" s="138">
        <v>222550</v>
      </c>
      <c r="O20" s="138">
        <v>190071.64</v>
      </c>
      <c r="P20" s="138">
        <v>0</v>
      </c>
      <c r="Q20" s="138">
        <f t="shared" si="8"/>
        <v>4418441.6399999997</v>
      </c>
      <c r="R20" s="138">
        <f>+SETAHUN!H21</f>
        <v>4090100</v>
      </c>
      <c r="S20" s="138">
        <f>+SETAHUN!K21</f>
        <v>600000</v>
      </c>
      <c r="T20" s="138">
        <v>0</v>
      </c>
      <c r="U20" s="138">
        <f>+SETAHUN!F21+M20+N20</f>
        <v>49774899.159999996</v>
      </c>
      <c r="V20" s="138">
        <v>0</v>
      </c>
      <c r="W20" s="138">
        <f>+SETAHUN!U21+O20</f>
        <v>2277614.48</v>
      </c>
      <c r="X20" s="138">
        <v>0</v>
      </c>
      <c r="Y20" s="138">
        <v>0</v>
      </c>
      <c r="Z20" s="138">
        <f t="shared" si="4"/>
        <v>4690100</v>
      </c>
      <c r="AA20" s="138">
        <f t="shared" si="5"/>
        <v>56742613.639999993</v>
      </c>
      <c r="AB20" s="138">
        <f t="shared" si="1"/>
        <v>2837131</v>
      </c>
      <c r="AC20" s="138">
        <f>('ASTEK+PENSIUN-DIISI SMPAI DES'!O109+'ASTEK+PENSIUN-DIISI SMPAI DES'!O23)</f>
        <v>1404666</v>
      </c>
      <c r="AD20" s="138">
        <f t="shared" si="9"/>
        <v>52500816.639999993</v>
      </c>
      <c r="AE20" s="139">
        <f t="shared" si="2"/>
        <v>67500000</v>
      </c>
      <c r="AF20" s="139">
        <f t="shared" si="10"/>
        <v>0</v>
      </c>
      <c r="AG20" s="140">
        <f t="shared" si="13"/>
        <v>0</v>
      </c>
      <c r="AH20" s="140">
        <f t="shared" si="14"/>
        <v>0</v>
      </c>
      <c r="AI20" s="67">
        <f>+'PAJAK JAN-NOV'!R17</f>
        <v>85045</v>
      </c>
      <c r="AJ20" s="478">
        <f t="shared" si="6"/>
        <v>0</v>
      </c>
      <c r="AK20" s="32" t="str">
        <f>+'PAJAK JAN-NOV'!B17</f>
        <v>SUMARDI</v>
      </c>
      <c r="AL20" s="33">
        <f t="shared" si="7"/>
        <v>85045</v>
      </c>
      <c r="AM20" s="32"/>
      <c r="AN20" s="33"/>
      <c r="AO20" s="32"/>
      <c r="AP20" s="32"/>
    </row>
    <row r="21" spans="2:42" s="136" customFormat="1" ht="20.25" customHeight="1">
      <c r="B21" s="131">
        <v>16</v>
      </c>
      <c r="C21" s="132" t="str">
        <f>+PERBULAN!B21</f>
        <v>WIDODO JP</v>
      </c>
      <c r="D21" s="133" t="s">
        <v>267</v>
      </c>
      <c r="E21" s="355" t="s">
        <v>442</v>
      </c>
      <c r="F21" s="143" t="s">
        <v>327</v>
      </c>
      <c r="G21" s="350" t="s">
        <v>530</v>
      </c>
      <c r="H21" s="354" t="s">
        <v>39</v>
      </c>
      <c r="I21" s="353" t="s">
        <v>7</v>
      </c>
      <c r="J21" s="147" t="str">
        <f t="shared" si="3"/>
        <v>TER A</v>
      </c>
      <c r="K21" s="393">
        <v>1</v>
      </c>
      <c r="L21" s="393">
        <v>12</v>
      </c>
      <c r="M21" s="138">
        <f t="shared" si="15"/>
        <v>4005820</v>
      </c>
      <c r="N21" s="138">
        <v>546003.74</v>
      </c>
      <c r="O21" s="138">
        <v>190071.64</v>
      </c>
      <c r="P21" s="138">
        <v>0</v>
      </c>
      <c r="Q21" s="138">
        <f t="shared" si="8"/>
        <v>4741895.38</v>
      </c>
      <c r="R21" s="138">
        <f>+SETAHUN!H22</f>
        <v>3991100</v>
      </c>
      <c r="S21" s="138">
        <f>+SETAHUN!K22</f>
        <v>600000</v>
      </c>
      <c r="T21" s="138">
        <v>0</v>
      </c>
      <c r="U21" s="138">
        <f>+SETAHUN!F22+M21+N21</f>
        <v>67584501.899999991</v>
      </c>
      <c r="V21" s="138">
        <v>0</v>
      </c>
      <c r="W21" s="138">
        <f>+SETAHUN!U22+O21</f>
        <v>2277614.48</v>
      </c>
      <c r="X21" s="138">
        <v>0</v>
      </c>
      <c r="Y21" s="138">
        <v>0</v>
      </c>
      <c r="Z21" s="138">
        <f t="shared" si="4"/>
        <v>4591100</v>
      </c>
      <c r="AA21" s="138">
        <f t="shared" si="5"/>
        <v>74453216.379999995</v>
      </c>
      <c r="AB21" s="138">
        <f t="shared" si="1"/>
        <v>3722661</v>
      </c>
      <c r="AC21" s="138">
        <f>('ASTEK+PENSIUN-DIISI SMPAI DES'!O110+'ASTEK+PENSIUN-DIISI SMPAI DES'!O24)</f>
        <v>1404666</v>
      </c>
      <c r="AD21" s="138">
        <f t="shared" si="9"/>
        <v>69325889.379999995</v>
      </c>
      <c r="AE21" s="139">
        <f t="shared" si="2"/>
        <v>54000000</v>
      </c>
      <c r="AF21" s="139">
        <f t="shared" si="10"/>
        <v>15325000</v>
      </c>
      <c r="AG21" s="140">
        <f t="shared" si="13"/>
        <v>766250</v>
      </c>
      <c r="AH21" s="140">
        <f t="shared" si="14"/>
        <v>766250</v>
      </c>
      <c r="AI21" s="67">
        <f>+'PAJAK JAN-NOV'!R18</f>
        <v>619855</v>
      </c>
      <c r="AJ21" s="478">
        <f t="shared" si="6"/>
        <v>146395</v>
      </c>
      <c r="AK21" s="32" t="str">
        <f>+'PAJAK JAN-NOV'!B18</f>
        <v>WIDODO JP</v>
      </c>
      <c r="AL21" s="33">
        <f t="shared" si="7"/>
        <v>-146395</v>
      </c>
      <c r="AM21" s="32"/>
      <c r="AN21" s="33"/>
      <c r="AO21" s="32"/>
      <c r="AP21" s="32"/>
    </row>
    <row r="22" spans="2:42" s="136" customFormat="1" ht="20.25" customHeight="1">
      <c r="B22" s="131">
        <v>17</v>
      </c>
      <c r="C22" s="132" t="str">
        <f>+PERBULAN!B22</f>
        <v>ASBI ALGIFARI</v>
      </c>
      <c r="D22" s="356" t="s">
        <v>268</v>
      </c>
      <c r="E22" s="357" t="s">
        <v>69</v>
      </c>
      <c r="F22" s="143" t="s">
        <v>328</v>
      </c>
      <c r="G22" s="350" t="s">
        <v>530</v>
      </c>
      <c r="H22" s="354" t="s">
        <v>39</v>
      </c>
      <c r="I22" s="353" t="s">
        <v>9</v>
      </c>
      <c r="J22" s="147" t="str">
        <f t="shared" si="3"/>
        <v>TER B</v>
      </c>
      <c r="K22" s="393">
        <v>1</v>
      </c>
      <c r="L22" s="393">
        <v>12</v>
      </c>
      <c r="M22" s="138">
        <f>28*129220</f>
        <v>3618160</v>
      </c>
      <c r="N22" s="138">
        <v>151200</v>
      </c>
      <c r="O22" s="138">
        <v>188643.84</v>
      </c>
      <c r="P22" s="138">
        <v>0</v>
      </c>
      <c r="Q22" s="138">
        <f t="shared" si="8"/>
        <v>3958003.84</v>
      </c>
      <c r="R22" s="138">
        <f>+SETAHUN!H23</f>
        <v>4034100</v>
      </c>
      <c r="S22" s="138">
        <f>+SETAHUN!K23</f>
        <v>200000</v>
      </c>
      <c r="T22" s="138">
        <v>0</v>
      </c>
      <c r="U22" s="138">
        <f>+SETAHUN!F23+M22+N22</f>
        <v>48534590.159999996</v>
      </c>
      <c r="V22" s="138">
        <v>0</v>
      </c>
      <c r="W22" s="138">
        <f>+SETAHUN!U23+O22</f>
        <v>2261947.6799999997</v>
      </c>
      <c r="X22" s="138">
        <v>0</v>
      </c>
      <c r="Y22" s="138">
        <v>0</v>
      </c>
      <c r="Z22" s="138">
        <f t="shared" si="4"/>
        <v>4234100</v>
      </c>
      <c r="AA22" s="138">
        <f t="shared" si="5"/>
        <v>55030637.839999996</v>
      </c>
      <c r="AB22" s="138">
        <f t="shared" si="1"/>
        <v>2751532</v>
      </c>
      <c r="AC22" s="138">
        <f>('ASTEK+PENSIUN-DIISI SMPAI DES'!O111+'ASTEK+PENSIUN-DIISI SMPAI DES'!O25)</f>
        <v>1399356</v>
      </c>
      <c r="AD22" s="138">
        <f t="shared" si="9"/>
        <v>50879749.839999996</v>
      </c>
      <c r="AE22" s="139">
        <f t="shared" si="2"/>
        <v>63000000</v>
      </c>
      <c r="AF22" s="139">
        <f t="shared" si="10"/>
        <v>0</v>
      </c>
      <c r="AG22" s="140">
        <f t="shared" si="13"/>
        <v>0</v>
      </c>
      <c r="AH22" s="140">
        <f t="shared" si="14"/>
        <v>0</v>
      </c>
      <c r="AI22" s="67">
        <f>+'PAJAK JAN-NOV'!R19</f>
        <v>84688</v>
      </c>
      <c r="AJ22" s="478">
        <f t="shared" si="6"/>
        <v>0</v>
      </c>
      <c r="AK22" s="32" t="str">
        <f>+'PAJAK JAN-NOV'!B19</f>
        <v>ASBI ALGIFARI</v>
      </c>
      <c r="AL22" s="33">
        <f t="shared" si="7"/>
        <v>84688</v>
      </c>
      <c r="AM22" s="32"/>
      <c r="AN22" s="33"/>
      <c r="AO22" s="32"/>
      <c r="AP22" s="32"/>
    </row>
    <row r="23" spans="2:42" s="136" customFormat="1" ht="20.25" customHeight="1">
      <c r="B23" s="131">
        <v>18</v>
      </c>
      <c r="C23" s="132" t="str">
        <f>+PERBULAN!B23</f>
        <v>YANDI</v>
      </c>
      <c r="D23" s="133" t="s">
        <v>271</v>
      </c>
      <c r="E23" s="146" t="s">
        <v>69</v>
      </c>
      <c r="F23" s="143" t="s">
        <v>330</v>
      </c>
      <c r="G23" s="350" t="s">
        <v>530</v>
      </c>
      <c r="H23" s="134" t="s">
        <v>39</v>
      </c>
      <c r="I23" s="135" t="s">
        <v>17</v>
      </c>
      <c r="J23" s="147" t="str">
        <f t="shared" si="3"/>
        <v>TER A</v>
      </c>
      <c r="K23" s="393">
        <v>1</v>
      </c>
      <c r="L23" s="393">
        <v>12</v>
      </c>
      <c r="M23" s="138">
        <f>30*129220</f>
        <v>3876600</v>
      </c>
      <c r="N23" s="138">
        <v>144000</v>
      </c>
      <c r="O23" s="138">
        <v>189224.64</v>
      </c>
      <c r="P23" s="138">
        <v>0</v>
      </c>
      <c r="Q23" s="138">
        <f t="shared" si="8"/>
        <v>4209824.6399999997</v>
      </c>
      <c r="R23" s="138">
        <f>+SETAHUN!H24</f>
        <v>4020600</v>
      </c>
      <c r="S23" s="138">
        <f>+SETAHUN!K24</f>
        <v>200000</v>
      </c>
      <c r="T23" s="138">
        <v>0</v>
      </c>
      <c r="U23" s="138">
        <f>+SETAHUN!F24+M23+N23</f>
        <v>48509939.159999996</v>
      </c>
      <c r="V23" s="138">
        <v>0</v>
      </c>
      <c r="W23" s="138">
        <f>+SETAHUN!U24+O23</f>
        <v>2269032.48</v>
      </c>
      <c r="X23" s="138">
        <v>0</v>
      </c>
      <c r="Y23" s="138">
        <v>0</v>
      </c>
      <c r="Z23" s="138">
        <f t="shared" si="4"/>
        <v>4220600</v>
      </c>
      <c r="AA23" s="138">
        <f t="shared" si="5"/>
        <v>54999571.639999993</v>
      </c>
      <c r="AB23" s="138">
        <f t="shared" si="1"/>
        <v>2749979</v>
      </c>
      <c r="AC23" s="138">
        <f>('ASTEK+PENSIUN-DIISI SMPAI DES'!O112+'ASTEK+PENSIUN-DIISI SMPAI DES'!O26)</f>
        <v>1401516</v>
      </c>
      <c r="AD23" s="138">
        <f t="shared" si="9"/>
        <v>50848076.639999993</v>
      </c>
      <c r="AE23" s="139">
        <f t="shared" si="2"/>
        <v>58500000</v>
      </c>
      <c r="AF23" s="139">
        <f t="shared" si="10"/>
        <v>0</v>
      </c>
      <c r="AG23" s="140">
        <f t="shared" si="13"/>
        <v>0</v>
      </c>
      <c r="AH23" s="140">
        <f t="shared" si="14"/>
        <v>0</v>
      </c>
      <c r="AI23" s="67">
        <f>+'PAJAK JAN-NOV'!R20</f>
        <v>125446</v>
      </c>
      <c r="AJ23" s="478">
        <f t="shared" si="6"/>
        <v>0</v>
      </c>
      <c r="AK23" s="32" t="str">
        <f>+'PAJAK JAN-NOV'!B20</f>
        <v>YANDI</v>
      </c>
      <c r="AL23" s="33">
        <f t="shared" si="7"/>
        <v>125446</v>
      </c>
      <c r="AM23" s="32"/>
      <c r="AN23" s="33"/>
      <c r="AO23" s="32"/>
      <c r="AP23" s="32"/>
    </row>
    <row r="24" spans="2:42" s="136" customFormat="1" ht="20.25" customHeight="1">
      <c r="B24" s="131">
        <v>19</v>
      </c>
      <c r="C24" s="132" t="str">
        <f>+PERBULAN!B24</f>
        <v>RIDHO AFRIZAL</v>
      </c>
      <c r="D24" s="133" t="s">
        <v>272</v>
      </c>
      <c r="E24" s="146" t="s">
        <v>69</v>
      </c>
      <c r="F24" s="143" t="s">
        <v>331</v>
      </c>
      <c r="G24" s="350" t="s">
        <v>530</v>
      </c>
      <c r="H24" s="134" t="s">
        <v>39</v>
      </c>
      <c r="I24" s="135" t="s">
        <v>9</v>
      </c>
      <c r="J24" s="147" t="str">
        <f t="shared" si="3"/>
        <v>TER B</v>
      </c>
      <c r="K24" s="393">
        <v>1</v>
      </c>
      <c r="L24" s="393">
        <v>12</v>
      </c>
      <c r="M24" s="138">
        <f t="shared" si="15"/>
        <v>4005820</v>
      </c>
      <c r="N24" s="138">
        <v>1810227</v>
      </c>
      <c r="O24" s="138">
        <v>189224.64</v>
      </c>
      <c r="P24" s="138">
        <v>0</v>
      </c>
      <c r="Q24" s="138">
        <f t="shared" si="8"/>
        <v>6005271.6399999997</v>
      </c>
      <c r="R24" s="138">
        <f>+SETAHUN!H25</f>
        <v>4046100</v>
      </c>
      <c r="S24" s="138">
        <f>+SETAHUN!K25</f>
        <v>600000</v>
      </c>
      <c r="T24" s="138">
        <v>0</v>
      </c>
      <c r="U24" s="138">
        <f>+SETAHUN!F25+M24+N24</f>
        <v>67473968.560000002</v>
      </c>
      <c r="V24" s="138">
        <v>0</v>
      </c>
      <c r="W24" s="138">
        <f>+SETAHUN!U25+O24</f>
        <v>2268022.08</v>
      </c>
      <c r="X24" s="138">
        <v>0</v>
      </c>
      <c r="Y24" s="138">
        <v>0</v>
      </c>
      <c r="Z24" s="138">
        <f t="shared" si="4"/>
        <v>4646100</v>
      </c>
      <c r="AA24" s="138">
        <f t="shared" si="5"/>
        <v>74388090.640000001</v>
      </c>
      <c r="AB24" s="138">
        <f t="shared" si="1"/>
        <v>3719405</v>
      </c>
      <c r="AC24" s="138">
        <f>('ASTEK+PENSIUN-DIISI SMPAI DES'!O113+'ASTEK+PENSIUN-DIISI SMPAI DES'!O27)</f>
        <v>1401336</v>
      </c>
      <c r="AD24" s="138">
        <f t="shared" si="9"/>
        <v>69267349.640000001</v>
      </c>
      <c r="AE24" s="139">
        <f t="shared" si="2"/>
        <v>63000000</v>
      </c>
      <c r="AF24" s="139">
        <f t="shared" si="10"/>
        <v>6267000</v>
      </c>
      <c r="AG24" s="140">
        <f t="shared" si="13"/>
        <v>313350</v>
      </c>
      <c r="AH24" s="140">
        <f t="shared" si="14"/>
        <v>313350</v>
      </c>
      <c r="AI24" s="67">
        <f>+'PAJAK JAN-NOV'!R21</f>
        <v>288231</v>
      </c>
      <c r="AJ24" s="478">
        <f t="shared" si="6"/>
        <v>25119</v>
      </c>
      <c r="AK24" s="32" t="str">
        <f>+'PAJAK JAN-NOV'!B21</f>
        <v>RIDHO AFRIZAL</v>
      </c>
      <c r="AL24" s="33">
        <f t="shared" si="7"/>
        <v>-25119</v>
      </c>
      <c r="AM24" s="32"/>
      <c r="AN24" s="33"/>
      <c r="AO24" s="32"/>
      <c r="AP24" s="32"/>
    </row>
    <row r="25" spans="2:42" s="136" customFormat="1" ht="20.25" customHeight="1">
      <c r="B25" s="131">
        <v>20</v>
      </c>
      <c r="C25" s="132" t="str">
        <f>+PERBULAN!B25</f>
        <v>APRIZAL</v>
      </c>
      <c r="D25" s="133" t="s">
        <v>273</v>
      </c>
      <c r="E25" s="146" t="s">
        <v>69</v>
      </c>
      <c r="F25" s="143" t="s">
        <v>332</v>
      </c>
      <c r="G25" s="350" t="s">
        <v>530</v>
      </c>
      <c r="H25" s="354" t="s">
        <v>39</v>
      </c>
      <c r="I25" s="353" t="s">
        <v>9</v>
      </c>
      <c r="J25" s="147" t="str">
        <f t="shared" si="3"/>
        <v>TER B</v>
      </c>
      <c r="K25" s="393">
        <v>1</v>
      </c>
      <c r="L25" s="393">
        <v>12</v>
      </c>
      <c r="M25" s="138">
        <f t="shared" si="15"/>
        <v>4005820</v>
      </c>
      <c r="N25" s="138">
        <v>177150</v>
      </c>
      <c r="O25" s="138">
        <v>189224.64</v>
      </c>
      <c r="P25" s="138">
        <v>0</v>
      </c>
      <c r="Q25" s="138">
        <f t="shared" si="8"/>
        <v>4372194.6399999997</v>
      </c>
      <c r="R25" s="138">
        <f>+SETAHUN!H26</f>
        <v>4046100</v>
      </c>
      <c r="S25" s="138">
        <f>+SETAHUN!K26</f>
        <v>600000</v>
      </c>
      <c r="T25" s="138">
        <v>0</v>
      </c>
      <c r="U25" s="138">
        <f>+SETAHUN!F26+M25+N25</f>
        <v>49386753.559999995</v>
      </c>
      <c r="V25" s="138">
        <v>0</v>
      </c>
      <c r="W25" s="138">
        <f>+SETAHUN!U26+O25</f>
        <v>2268022.08</v>
      </c>
      <c r="X25" s="138">
        <v>0</v>
      </c>
      <c r="Y25" s="138">
        <v>0</v>
      </c>
      <c r="Z25" s="138">
        <f t="shared" si="4"/>
        <v>4646100</v>
      </c>
      <c r="AA25" s="138">
        <f t="shared" si="5"/>
        <v>56300875.639999993</v>
      </c>
      <c r="AB25" s="138">
        <f t="shared" si="1"/>
        <v>2815044</v>
      </c>
      <c r="AC25" s="138">
        <f>('ASTEK+PENSIUN-DIISI SMPAI DES'!O114+'ASTEK+PENSIUN-DIISI SMPAI DES'!O28)</f>
        <v>1401336</v>
      </c>
      <c r="AD25" s="138">
        <f t="shared" si="9"/>
        <v>52084495.639999993</v>
      </c>
      <c r="AE25" s="139">
        <f t="shared" si="2"/>
        <v>63000000</v>
      </c>
      <c r="AF25" s="139">
        <f t="shared" si="10"/>
        <v>0</v>
      </c>
      <c r="AG25" s="140">
        <f t="shared" si="13"/>
        <v>0</v>
      </c>
      <c r="AH25" s="140">
        <f t="shared" si="14"/>
        <v>0</v>
      </c>
      <c r="AI25" s="67">
        <f>+'PAJAK JAN-NOV'!R22</f>
        <v>84149</v>
      </c>
      <c r="AJ25" s="478">
        <f t="shared" si="6"/>
        <v>0</v>
      </c>
      <c r="AK25" s="32" t="str">
        <f>+'PAJAK JAN-NOV'!B22</f>
        <v>APRIZAL</v>
      </c>
      <c r="AL25" s="33">
        <f t="shared" si="7"/>
        <v>84149</v>
      </c>
      <c r="AM25" s="32"/>
      <c r="AN25" s="33"/>
      <c r="AO25" s="32"/>
      <c r="AP25" s="32"/>
    </row>
    <row r="26" spans="2:42" s="136" customFormat="1" ht="20.25" customHeight="1">
      <c r="B26" s="131">
        <v>21</v>
      </c>
      <c r="C26" s="132" t="str">
        <f>+PERBULAN!B26</f>
        <v>ERRY SAPUTRA</v>
      </c>
      <c r="D26" s="133" t="s">
        <v>274</v>
      </c>
      <c r="E26" s="146" t="s">
        <v>69</v>
      </c>
      <c r="F26" s="143" t="s">
        <v>333</v>
      </c>
      <c r="G26" s="350" t="s">
        <v>530</v>
      </c>
      <c r="H26" s="354" t="s">
        <v>39</v>
      </c>
      <c r="I26" s="353" t="s">
        <v>9</v>
      </c>
      <c r="J26" s="147" t="str">
        <f t="shared" si="3"/>
        <v>TER B</v>
      </c>
      <c r="K26" s="393">
        <v>1</v>
      </c>
      <c r="L26" s="393">
        <v>12</v>
      </c>
      <c r="M26" s="138">
        <f>30*129220</f>
        <v>3876600</v>
      </c>
      <c r="N26" s="138">
        <v>193500</v>
      </c>
      <c r="O26" s="138">
        <v>190241.04</v>
      </c>
      <c r="P26" s="138">
        <v>0</v>
      </c>
      <c r="Q26" s="138">
        <f t="shared" si="8"/>
        <v>4260341.04</v>
      </c>
      <c r="R26" s="138">
        <f>+SETAHUN!H27</f>
        <v>4066600</v>
      </c>
      <c r="S26" s="138">
        <f>+SETAHUN!K27</f>
        <v>600000</v>
      </c>
      <c r="T26" s="138">
        <v>0</v>
      </c>
      <c r="U26" s="138">
        <f>+SETAHUN!F27+M26+N26</f>
        <v>49065789.159999996</v>
      </c>
      <c r="V26" s="138">
        <v>0</v>
      </c>
      <c r="W26" s="138">
        <f>+SETAHUN!U27+O26</f>
        <v>2278483.88</v>
      </c>
      <c r="X26" s="138">
        <v>0</v>
      </c>
      <c r="Y26" s="138">
        <v>0</v>
      </c>
      <c r="Z26" s="138">
        <f t="shared" si="4"/>
        <v>4666600</v>
      </c>
      <c r="AA26" s="138">
        <f t="shared" si="5"/>
        <v>56010873.039999999</v>
      </c>
      <c r="AB26" s="138">
        <f t="shared" si="1"/>
        <v>2800544</v>
      </c>
      <c r="AC26" s="138">
        <f>('ASTEK+PENSIUN-DIISI SMPAI DES'!O115+'ASTEK+PENSIUN-DIISI SMPAI DES'!O29)</f>
        <v>1404771</v>
      </c>
      <c r="AD26" s="138">
        <f t="shared" si="9"/>
        <v>51805558.039999999</v>
      </c>
      <c r="AE26" s="139">
        <f t="shared" si="2"/>
        <v>63000000</v>
      </c>
      <c r="AF26" s="139">
        <f t="shared" si="10"/>
        <v>0</v>
      </c>
      <c r="AG26" s="140">
        <f t="shared" si="13"/>
        <v>0</v>
      </c>
      <c r="AH26" s="140">
        <f t="shared" si="14"/>
        <v>0</v>
      </c>
      <c r="AI26" s="67">
        <f>+'PAJAK JAN-NOV'!R23</f>
        <v>84567</v>
      </c>
      <c r="AJ26" s="478">
        <f t="shared" si="6"/>
        <v>0</v>
      </c>
      <c r="AK26" s="32" t="str">
        <f>+'PAJAK JAN-NOV'!B23</f>
        <v>ERRY SAPUTRA</v>
      </c>
      <c r="AL26" s="33">
        <f t="shared" si="7"/>
        <v>84567</v>
      </c>
      <c r="AM26" s="32"/>
      <c r="AN26" s="33"/>
      <c r="AO26" s="32"/>
      <c r="AP26" s="32"/>
    </row>
    <row r="27" spans="2:42" s="136" customFormat="1" ht="20.25" customHeight="1">
      <c r="B27" s="131">
        <v>22</v>
      </c>
      <c r="C27" s="132" t="str">
        <f>+PERBULAN!B27</f>
        <v>ARWANDI</v>
      </c>
      <c r="D27" s="133" t="s">
        <v>275</v>
      </c>
      <c r="E27" s="146" t="s">
        <v>445</v>
      </c>
      <c r="F27" s="143" t="s">
        <v>334</v>
      </c>
      <c r="G27" s="350" t="s">
        <v>82</v>
      </c>
      <c r="H27" s="354" t="s">
        <v>39</v>
      </c>
      <c r="I27" s="353" t="s">
        <v>9</v>
      </c>
      <c r="J27" s="147" t="str">
        <f t="shared" si="3"/>
        <v>TER B</v>
      </c>
      <c r="K27" s="393">
        <v>1</v>
      </c>
      <c r="L27" s="393">
        <v>12</v>
      </c>
      <c r="M27" s="138">
        <f t="shared" si="15"/>
        <v>4005820</v>
      </c>
      <c r="N27" s="138">
        <v>3229137.2199999997</v>
      </c>
      <c r="O27" s="138">
        <v>192104.44</v>
      </c>
      <c r="P27" s="138">
        <v>0</v>
      </c>
      <c r="Q27" s="138">
        <f t="shared" si="8"/>
        <v>7427061.6600000001</v>
      </c>
      <c r="R27" s="138">
        <f>+SETAHUN!H28</f>
        <v>4091600</v>
      </c>
      <c r="S27" s="138">
        <f>+SETAHUN!K28</f>
        <v>900000</v>
      </c>
      <c r="T27" s="138">
        <v>0</v>
      </c>
      <c r="U27" s="138">
        <f>+SETAHUN!F28+M27+N27</f>
        <v>94178256.38000001</v>
      </c>
      <c r="V27" s="138">
        <v>0</v>
      </c>
      <c r="W27" s="138">
        <f>+SETAHUN!U28+O27</f>
        <v>2299051.2799999998</v>
      </c>
      <c r="X27" s="138">
        <v>0</v>
      </c>
      <c r="Y27" s="138">
        <v>0</v>
      </c>
      <c r="Z27" s="138">
        <f t="shared" si="4"/>
        <v>4991600</v>
      </c>
      <c r="AA27" s="138">
        <f t="shared" si="5"/>
        <v>101468907.66000001</v>
      </c>
      <c r="AB27" s="138">
        <f t="shared" si="1"/>
        <v>5073445</v>
      </c>
      <c r="AC27" s="138">
        <f>('ASTEK+PENSIUN-DIISI SMPAI DES'!O116+'ASTEK+PENSIUN-DIISI SMPAI DES'!O30)</f>
        <v>1412226</v>
      </c>
      <c r="AD27" s="138">
        <f t="shared" si="9"/>
        <v>94983236.660000011</v>
      </c>
      <c r="AE27" s="139">
        <f t="shared" si="2"/>
        <v>63000000</v>
      </c>
      <c r="AF27" s="139">
        <f t="shared" si="10"/>
        <v>31983000</v>
      </c>
      <c r="AG27" s="140">
        <f>IF(AF27&gt;5000000000,AF27*35%-306000000,IF(AF27&gt;500000000,AF27*30%-56000000,IF(AF27&gt;250000000,AF27*25%-31000000,IF(AF27&gt;60000000,AF27*15%-6000000,AF27*5%))))</f>
        <v>1599150</v>
      </c>
      <c r="AH27" s="140">
        <f t="shared" si="14"/>
        <v>1599150</v>
      </c>
      <c r="AI27" s="67">
        <f>+'PAJAK JAN-NOV'!R24</f>
        <v>1256040</v>
      </c>
      <c r="AJ27" s="478">
        <f t="shared" si="6"/>
        <v>343110</v>
      </c>
      <c r="AK27" s="32" t="str">
        <f>+'PAJAK JAN-NOV'!B24</f>
        <v>ARWANDI</v>
      </c>
      <c r="AL27" s="33">
        <f t="shared" si="7"/>
        <v>-343110</v>
      </c>
      <c r="AM27" s="32"/>
      <c r="AN27" s="33"/>
      <c r="AO27" s="32"/>
      <c r="AP27" s="32"/>
    </row>
    <row r="28" spans="2:42" s="136" customFormat="1" ht="20.25" customHeight="1">
      <c r="B28" s="131">
        <v>23</v>
      </c>
      <c r="C28" s="132" t="str">
        <f>+PERBULAN!B28</f>
        <v>RENDI PERJAYA</v>
      </c>
      <c r="D28" s="133" t="s">
        <v>276</v>
      </c>
      <c r="E28" s="146" t="s">
        <v>446</v>
      </c>
      <c r="F28" s="143" t="s">
        <v>335</v>
      </c>
      <c r="G28" s="350" t="s">
        <v>188</v>
      </c>
      <c r="H28" s="354" t="s">
        <v>39</v>
      </c>
      <c r="I28" s="353" t="s">
        <v>9</v>
      </c>
      <c r="J28" s="147" t="str">
        <f t="shared" si="3"/>
        <v>TER B</v>
      </c>
      <c r="K28" s="393">
        <v>1</v>
      </c>
      <c r="L28" s="393">
        <v>12</v>
      </c>
      <c r="M28" s="138">
        <f t="shared" si="15"/>
        <v>4005820</v>
      </c>
      <c r="N28" s="138">
        <v>3274935.44</v>
      </c>
      <c r="O28" s="138">
        <v>189224.64</v>
      </c>
      <c r="P28" s="138">
        <v>0</v>
      </c>
      <c r="Q28" s="138">
        <f t="shared" si="8"/>
        <v>7469980.0799999991</v>
      </c>
      <c r="R28" s="138">
        <f>+SETAHUN!H29</f>
        <v>4032600</v>
      </c>
      <c r="S28" s="138">
        <f>+SETAHUN!K29</f>
        <v>600000</v>
      </c>
      <c r="T28" s="138">
        <v>0</v>
      </c>
      <c r="U28" s="138">
        <f>+SETAHUN!F29+M28+N28</f>
        <v>89596834</v>
      </c>
      <c r="V28" s="138">
        <v>0</v>
      </c>
      <c r="W28" s="138">
        <f>+SETAHUN!U29+O28</f>
        <v>2268022.08</v>
      </c>
      <c r="X28" s="138">
        <v>0</v>
      </c>
      <c r="Y28" s="138">
        <v>0</v>
      </c>
      <c r="Z28" s="138">
        <f t="shared" si="4"/>
        <v>4632600</v>
      </c>
      <c r="AA28" s="138">
        <f t="shared" si="5"/>
        <v>96497456.079999998</v>
      </c>
      <c r="AB28" s="138">
        <f t="shared" si="1"/>
        <v>4824873</v>
      </c>
      <c r="AC28" s="138">
        <f>('ASTEK+PENSIUN-DIISI SMPAI DES'!O117+'ASTEK+PENSIUN-DIISI SMPAI DES'!O31)</f>
        <v>1401336</v>
      </c>
      <c r="AD28" s="138">
        <f t="shared" si="9"/>
        <v>90271247.079999998</v>
      </c>
      <c r="AE28" s="139">
        <f t="shared" si="2"/>
        <v>63000000</v>
      </c>
      <c r="AF28" s="139">
        <f t="shared" si="10"/>
        <v>27271000</v>
      </c>
      <c r="AG28" s="140">
        <f t="shared" si="13"/>
        <v>1363550</v>
      </c>
      <c r="AH28" s="140">
        <f t="shared" si="14"/>
        <v>1363550</v>
      </c>
      <c r="AI28" s="67">
        <f>+'PAJAK JAN-NOV'!R25</f>
        <v>1074158</v>
      </c>
      <c r="AJ28" s="478">
        <f t="shared" si="6"/>
        <v>289392</v>
      </c>
      <c r="AK28" s="32" t="str">
        <f>+'PAJAK JAN-NOV'!B25</f>
        <v>RENDI PERJAYA</v>
      </c>
      <c r="AL28" s="33">
        <f t="shared" si="7"/>
        <v>-289392</v>
      </c>
      <c r="AM28" s="32"/>
      <c r="AN28" s="33"/>
      <c r="AO28" s="32"/>
      <c r="AP28" s="32"/>
    </row>
    <row r="29" spans="2:42" s="136" customFormat="1" ht="20.25" customHeight="1">
      <c r="B29" s="131">
        <v>24</v>
      </c>
      <c r="C29" s="132" t="str">
        <f>+PERBULAN!B29</f>
        <v>ANDI</v>
      </c>
      <c r="D29" s="359" t="s">
        <v>277</v>
      </c>
      <c r="E29" s="360" t="s">
        <v>447</v>
      </c>
      <c r="F29" s="361" t="s">
        <v>189</v>
      </c>
      <c r="G29" s="350" t="s">
        <v>82</v>
      </c>
      <c r="H29" s="362" t="s">
        <v>39</v>
      </c>
      <c r="I29" s="145" t="s">
        <v>9</v>
      </c>
      <c r="J29" s="147" t="str">
        <f t="shared" si="3"/>
        <v>TER B</v>
      </c>
      <c r="K29" s="393">
        <v>1</v>
      </c>
      <c r="L29" s="393">
        <v>12</v>
      </c>
      <c r="M29" s="138">
        <f t="shared" si="15"/>
        <v>4005820</v>
      </c>
      <c r="N29" s="394">
        <v>3167221.16</v>
      </c>
      <c r="O29" s="394">
        <v>191935.04</v>
      </c>
      <c r="P29" s="138">
        <v>0</v>
      </c>
      <c r="Q29" s="138">
        <f t="shared" ref="Q29:Q30" si="16">SUM(M29:P29)</f>
        <v>7364976.2000000002</v>
      </c>
      <c r="R29" s="138">
        <f>+SETAHUN!H30</f>
        <v>4101600</v>
      </c>
      <c r="S29" s="138">
        <f>+SETAHUN!K30</f>
        <v>900000</v>
      </c>
      <c r="T29" s="138">
        <v>0</v>
      </c>
      <c r="U29" s="138">
        <f>+SETAHUN!F30+M29+N29</f>
        <v>86782226.319999993</v>
      </c>
      <c r="V29" s="138">
        <v>0</v>
      </c>
      <c r="W29" s="138">
        <f>+SETAHUN!U30+O29</f>
        <v>2297054.88</v>
      </c>
      <c r="X29" s="138">
        <v>0</v>
      </c>
      <c r="Y29" s="138">
        <v>0</v>
      </c>
      <c r="Z29" s="138">
        <f t="shared" si="4"/>
        <v>5001600</v>
      </c>
      <c r="AA29" s="138">
        <f t="shared" si="5"/>
        <v>94080881.199999988</v>
      </c>
      <c r="AB29" s="138">
        <f t="shared" si="1"/>
        <v>4704044</v>
      </c>
      <c r="AC29" s="138">
        <f>('ASTEK+PENSIUN-DIISI SMPAI DES'!O118+'ASTEK+PENSIUN-DIISI SMPAI DES'!O32)</f>
        <v>1411596</v>
      </c>
      <c r="AD29" s="138">
        <f t="shared" ref="AD29:AD30" si="17">AA29-AB29-AC29</f>
        <v>87965241.199999988</v>
      </c>
      <c r="AE29" s="139">
        <f t="shared" si="2"/>
        <v>63000000</v>
      </c>
      <c r="AF29" s="139">
        <f t="shared" si="10"/>
        <v>24965000</v>
      </c>
      <c r="AG29" s="140">
        <f t="shared" ref="AG29:AG30" si="18">IF(AF29&gt;5000000000,AF29*35%-306000000,IF(AF29&gt;500000000,AF29*30%-56000000,IF(AF29&gt;250000000,AF29*25%-31000000,IF(AF29&gt;60000000,AF29*15%-6000000,AF29*5%))))</f>
        <v>1248250</v>
      </c>
      <c r="AH29" s="140">
        <f t="shared" ref="AH29:AH30" si="19">ROUND(IF(E29=0,AG29*120%,AG29),0)</f>
        <v>1248250</v>
      </c>
      <c r="AI29" s="67">
        <f>+'PAJAK JAN-NOV'!R26</f>
        <v>975428</v>
      </c>
      <c r="AJ29" s="478">
        <f t="shared" si="6"/>
        <v>272822</v>
      </c>
      <c r="AK29" s="32" t="str">
        <f>+'PAJAK JAN-NOV'!B26</f>
        <v>ANDI</v>
      </c>
      <c r="AL29" s="33">
        <f t="shared" si="7"/>
        <v>-272822</v>
      </c>
      <c r="AM29" s="32"/>
      <c r="AN29" s="33"/>
      <c r="AO29" s="32"/>
      <c r="AP29" s="32"/>
    </row>
    <row r="30" spans="2:42" s="136" customFormat="1" ht="20.25" customHeight="1">
      <c r="B30" s="131">
        <v>25</v>
      </c>
      <c r="C30" s="132" t="str">
        <f>+PERBULAN!B30</f>
        <v>JULI</v>
      </c>
      <c r="D30" s="359" t="s">
        <v>278</v>
      </c>
      <c r="E30" s="146" t="s">
        <v>448</v>
      </c>
      <c r="F30" s="361" t="s">
        <v>336</v>
      </c>
      <c r="G30" s="350" t="s">
        <v>188</v>
      </c>
      <c r="H30" s="362" t="s">
        <v>39</v>
      </c>
      <c r="I30" s="363" t="s">
        <v>11</v>
      </c>
      <c r="J30" s="147" t="str">
        <f t="shared" si="3"/>
        <v>TER B</v>
      </c>
      <c r="K30" s="393">
        <v>1</v>
      </c>
      <c r="L30" s="393">
        <v>12</v>
      </c>
      <c r="M30" s="138">
        <f t="shared" si="15"/>
        <v>4005820</v>
      </c>
      <c r="N30" s="394">
        <v>3320969</v>
      </c>
      <c r="O30" s="394">
        <v>192104.44</v>
      </c>
      <c r="P30" s="138">
        <v>0</v>
      </c>
      <c r="Q30" s="138">
        <f t="shared" si="16"/>
        <v>7518893.4400000004</v>
      </c>
      <c r="R30" s="138">
        <f>+SETAHUN!H31</f>
        <v>4135600</v>
      </c>
      <c r="S30" s="138">
        <f>+SETAHUN!K31</f>
        <v>900000</v>
      </c>
      <c r="T30" s="138">
        <v>0</v>
      </c>
      <c r="U30" s="138">
        <f>+SETAHUN!F31+M30+N30</f>
        <v>88243416.160000011</v>
      </c>
      <c r="V30" s="138">
        <v>0</v>
      </c>
      <c r="W30" s="138">
        <f>+SETAHUN!U31+O30</f>
        <v>2299331.2799999998</v>
      </c>
      <c r="X30" s="138">
        <v>0</v>
      </c>
      <c r="Y30" s="138">
        <v>0</v>
      </c>
      <c r="Z30" s="138">
        <f t="shared" si="4"/>
        <v>5035600</v>
      </c>
      <c r="AA30" s="138">
        <f t="shared" si="5"/>
        <v>95578347.440000013</v>
      </c>
      <c r="AB30" s="138">
        <f t="shared" si="1"/>
        <v>4778917</v>
      </c>
      <c r="AC30" s="138">
        <f>('ASTEK+PENSIUN-DIISI SMPAI DES'!O119+'ASTEK+PENSIUN-DIISI SMPAI DES'!O33)</f>
        <v>1412226</v>
      </c>
      <c r="AD30" s="138">
        <f t="shared" si="17"/>
        <v>89387204.440000013</v>
      </c>
      <c r="AE30" s="139">
        <f t="shared" si="2"/>
        <v>67500000</v>
      </c>
      <c r="AF30" s="139">
        <f t="shared" si="10"/>
        <v>21887000</v>
      </c>
      <c r="AG30" s="140">
        <f t="shared" si="18"/>
        <v>1094350</v>
      </c>
      <c r="AH30" s="140">
        <f t="shared" si="19"/>
        <v>1094350</v>
      </c>
      <c r="AI30" s="67">
        <f>+'PAJAK JAN-NOV'!R27</f>
        <v>1059558</v>
      </c>
      <c r="AJ30" s="478">
        <f t="shared" si="6"/>
        <v>34792</v>
      </c>
      <c r="AK30" s="32" t="str">
        <f>+'PAJAK JAN-NOV'!B27</f>
        <v>JULI</v>
      </c>
      <c r="AL30" s="33">
        <f t="shared" si="7"/>
        <v>-34792</v>
      </c>
      <c r="AM30" s="32"/>
      <c r="AN30" s="33"/>
      <c r="AO30" s="32"/>
      <c r="AP30" s="32"/>
    </row>
    <row r="31" spans="2:42" s="136" customFormat="1" ht="20.25" customHeight="1">
      <c r="B31" s="131">
        <v>26</v>
      </c>
      <c r="C31" s="132" t="str">
        <f>+PERBULAN!B31</f>
        <v>DICKY PRATAMA</v>
      </c>
      <c r="D31" s="55" t="s">
        <v>280</v>
      </c>
      <c r="E31" s="56" t="s">
        <v>69</v>
      </c>
      <c r="F31" s="364" t="s">
        <v>338</v>
      </c>
      <c r="G31" s="350" t="s">
        <v>363</v>
      </c>
      <c r="H31" s="362" t="s">
        <v>39</v>
      </c>
      <c r="I31" s="365" t="s">
        <v>17</v>
      </c>
      <c r="J31" s="395" t="str">
        <f t="shared" ref="J31:J35" si="20">IF(ISBLANK(I31),"",IF(OR(I31="TK/0",I31="TK/1",I31="K/0"),"TER A",IF(I31="K/3","TER C","TER B")))</f>
        <v>TER A</v>
      </c>
      <c r="K31" s="393">
        <v>1</v>
      </c>
      <c r="L31" s="393">
        <v>12</v>
      </c>
      <c r="M31" s="138">
        <f t="shared" si="15"/>
        <v>4005820</v>
      </c>
      <c r="N31" s="396">
        <v>986085</v>
      </c>
      <c r="O31" s="396">
        <v>187869.44</v>
      </c>
      <c r="P31" s="138">
        <v>0</v>
      </c>
      <c r="Q31" s="138">
        <f t="shared" si="8"/>
        <v>5179774.4400000004</v>
      </c>
      <c r="R31" s="138">
        <f>+SETAHUN!H32</f>
        <v>3990100</v>
      </c>
      <c r="S31" s="138">
        <f>+SETAHUN!K32</f>
        <v>200000</v>
      </c>
      <c r="T31" s="138">
        <v>0</v>
      </c>
      <c r="U31" s="138">
        <f>+SETAHUN!F32+M31+N31</f>
        <v>68136916.160000011</v>
      </c>
      <c r="V31" s="138">
        <v>0</v>
      </c>
      <c r="W31" s="138">
        <f>+SETAHUN!U32+O31</f>
        <v>2253881.2799999998</v>
      </c>
      <c r="X31" s="138">
        <v>0</v>
      </c>
      <c r="Y31" s="138">
        <v>0</v>
      </c>
      <c r="Z31" s="138">
        <f t="shared" ref="Z31:Z35" si="21">SUM(R31:T31)</f>
        <v>4190100</v>
      </c>
      <c r="AA31" s="138">
        <f t="shared" ref="AA31:AA35" si="22">SUM(U31:Z31)</f>
        <v>74580897.440000013</v>
      </c>
      <c r="AB31" s="138">
        <f t="shared" ref="AB31:AB35" si="23">ROUND(IF((AA31)*5%&gt;6000000,6000000,(AA31)*5%),0)</f>
        <v>3729045</v>
      </c>
      <c r="AC31" s="138">
        <f>('ASTEK+PENSIUN-DIISI SMPAI DES'!O120+'ASTEK+PENSIUN-DIISI SMPAI DES'!O34)</f>
        <v>1396476</v>
      </c>
      <c r="AD31" s="138">
        <f t="shared" ref="AD31:AD35" si="24">AA31-AB31-AC31</f>
        <v>69455376.440000013</v>
      </c>
      <c r="AE31" s="139">
        <f t="shared" ref="AE31:AE35" si="25">IFERROR(VLOOKUP(I31,TARIF,3,FALSE),0)</f>
        <v>58500000</v>
      </c>
      <c r="AF31" s="139">
        <f t="shared" si="10"/>
        <v>10955000</v>
      </c>
      <c r="AG31" s="397">
        <f t="shared" ref="AG31:AG35" si="26">IF(AF31&gt;5000000000,AF31*35%-306000000,IF(AF31&gt;500000000,AF31*30%-56000000,IF(AF31&gt;250000000,AF31*25%-31000000,IF(AF31&gt;60000000,AF31*15%-6000000,AF31*5%))))</f>
        <v>547750</v>
      </c>
      <c r="AH31" s="140">
        <f t="shared" ref="AH31:AH35" si="27">ROUND(IF(E31=0,AG31*120%,AG31),0)</f>
        <v>547750</v>
      </c>
      <c r="AI31" s="67">
        <f>+'PAJAK JAN-NOV'!R28</f>
        <v>540900</v>
      </c>
      <c r="AJ31" s="478">
        <f t="shared" si="6"/>
        <v>6850</v>
      </c>
      <c r="AK31" s="32" t="str">
        <f>+'PAJAK JAN-NOV'!B28</f>
        <v>DICKY PRATAMA</v>
      </c>
      <c r="AL31" s="33">
        <f t="shared" si="7"/>
        <v>-6850</v>
      </c>
      <c r="AM31" s="32"/>
      <c r="AN31" s="33"/>
      <c r="AO31" s="32"/>
      <c r="AP31" s="32"/>
    </row>
    <row r="32" spans="2:42" s="136" customFormat="1" ht="20.25" customHeight="1">
      <c r="B32" s="131">
        <v>27</v>
      </c>
      <c r="C32" s="132" t="str">
        <f>+PERBULAN!B32</f>
        <v>SUIP</v>
      </c>
      <c r="D32" s="55" t="s">
        <v>281</v>
      </c>
      <c r="E32" s="56" t="s">
        <v>69</v>
      </c>
      <c r="F32" s="364" t="s">
        <v>339</v>
      </c>
      <c r="G32" s="350" t="s">
        <v>526</v>
      </c>
      <c r="H32" s="362" t="s">
        <v>39</v>
      </c>
      <c r="I32" s="365" t="s">
        <v>9</v>
      </c>
      <c r="J32" s="395" t="str">
        <f t="shared" si="20"/>
        <v>TER B</v>
      </c>
      <c r="K32" s="393">
        <v>1</v>
      </c>
      <c r="L32" s="393">
        <v>12</v>
      </c>
      <c r="M32" s="138">
        <f>30*129220</f>
        <v>3876600</v>
      </c>
      <c r="N32" s="396">
        <v>609048.17543859652</v>
      </c>
      <c r="O32" s="396">
        <v>188789.04</v>
      </c>
      <c r="P32" s="138">
        <v>0</v>
      </c>
      <c r="Q32" s="138">
        <f t="shared" si="8"/>
        <v>4674437.2154385969</v>
      </c>
      <c r="R32" s="138">
        <f>+SETAHUN!H33</f>
        <v>4037100</v>
      </c>
      <c r="S32" s="138">
        <f>+SETAHUN!K33</f>
        <v>900000</v>
      </c>
      <c r="T32" s="138">
        <v>0</v>
      </c>
      <c r="U32" s="138">
        <f>+SETAHUN!F33+M32+N32</f>
        <v>57389357.135438584</v>
      </c>
      <c r="V32" s="138">
        <v>0</v>
      </c>
      <c r="W32" s="138">
        <f>+SETAHUN!U33+O32</f>
        <v>2262958.0800000001</v>
      </c>
      <c r="X32" s="138">
        <v>0</v>
      </c>
      <c r="Y32" s="138">
        <v>0</v>
      </c>
      <c r="Z32" s="138">
        <f t="shared" si="21"/>
        <v>4937100</v>
      </c>
      <c r="AA32" s="138">
        <f t="shared" si="22"/>
        <v>64589415.215438582</v>
      </c>
      <c r="AB32" s="138">
        <f t="shared" si="23"/>
        <v>3229471</v>
      </c>
      <c r="AC32" s="138">
        <f>('ASTEK+PENSIUN-DIISI SMPAI DES'!O121+'ASTEK+PENSIUN-DIISI SMPAI DES'!O35)</f>
        <v>1399536</v>
      </c>
      <c r="AD32" s="138">
        <f t="shared" si="24"/>
        <v>59960408.215438582</v>
      </c>
      <c r="AE32" s="139">
        <f t="shared" si="25"/>
        <v>63000000</v>
      </c>
      <c r="AF32" s="139">
        <f t="shared" si="10"/>
        <v>0</v>
      </c>
      <c r="AG32" s="397">
        <f t="shared" si="26"/>
        <v>0</v>
      </c>
      <c r="AH32" s="140">
        <f t="shared" si="27"/>
        <v>0</v>
      </c>
      <c r="AI32" s="67">
        <f>+'PAJAK JAN-NOV'!R29</f>
        <v>142479</v>
      </c>
      <c r="AJ32" s="478">
        <f t="shared" si="6"/>
        <v>0</v>
      </c>
      <c r="AK32" s="32" t="str">
        <f>+'PAJAK JAN-NOV'!B29</f>
        <v>SUIP</v>
      </c>
      <c r="AL32" s="33">
        <f t="shared" si="7"/>
        <v>142479</v>
      </c>
      <c r="AM32" s="32"/>
      <c r="AN32" s="33"/>
      <c r="AO32" s="32"/>
      <c r="AP32" s="32"/>
    </row>
    <row r="33" spans="2:42" s="136" customFormat="1" ht="20.25" customHeight="1">
      <c r="B33" s="131">
        <v>28</v>
      </c>
      <c r="C33" s="132" t="str">
        <f>+PERBULAN!B33</f>
        <v>ROBIN DINATA</v>
      </c>
      <c r="D33" s="55" t="s">
        <v>282</v>
      </c>
      <c r="E33" s="56" t="s">
        <v>69</v>
      </c>
      <c r="F33" s="364" t="s">
        <v>340</v>
      </c>
      <c r="G33" s="350" t="s">
        <v>526</v>
      </c>
      <c r="H33" s="362" t="s">
        <v>39</v>
      </c>
      <c r="I33" s="365" t="s">
        <v>11</v>
      </c>
      <c r="J33" s="395" t="str">
        <f t="shared" si="20"/>
        <v>TER B</v>
      </c>
      <c r="K33" s="393">
        <v>1</v>
      </c>
      <c r="L33" s="393">
        <v>12</v>
      </c>
      <c r="M33" s="138">
        <f t="shared" si="15"/>
        <v>4005820</v>
      </c>
      <c r="N33" s="396">
        <v>568147.5555555555</v>
      </c>
      <c r="O33" s="396">
        <v>188789.04</v>
      </c>
      <c r="P33" s="138">
        <v>0</v>
      </c>
      <c r="Q33" s="138">
        <f t="shared" si="8"/>
        <v>4762756.595555556</v>
      </c>
      <c r="R33" s="138">
        <f>+SETAHUN!H34</f>
        <v>4064100</v>
      </c>
      <c r="S33" s="138">
        <f>+SETAHUN!K34</f>
        <v>900000</v>
      </c>
      <c r="T33" s="138">
        <v>0</v>
      </c>
      <c r="U33" s="138">
        <f>+SETAHUN!F34+M33+N33</f>
        <v>60296918.515555538</v>
      </c>
      <c r="V33" s="138">
        <v>0</v>
      </c>
      <c r="W33" s="138">
        <f>+SETAHUN!U34+O33</f>
        <v>2262958.0800000001</v>
      </c>
      <c r="X33" s="138">
        <v>0</v>
      </c>
      <c r="Y33" s="138">
        <v>0</v>
      </c>
      <c r="Z33" s="138">
        <f t="shared" si="21"/>
        <v>4964100</v>
      </c>
      <c r="AA33" s="138">
        <f t="shared" si="22"/>
        <v>67523976.595555544</v>
      </c>
      <c r="AB33" s="138">
        <f t="shared" si="23"/>
        <v>3376199</v>
      </c>
      <c r="AC33" s="138">
        <f>('ASTEK+PENSIUN-DIISI SMPAI DES'!O122+'ASTEK+PENSIUN-DIISI SMPAI DES'!O36)</f>
        <v>1399536</v>
      </c>
      <c r="AD33" s="138">
        <f t="shared" si="24"/>
        <v>62748241.595555544</v>
      </c>
      <c r="AE33" s="139">
        <f t="shared" si="25"/>
        <v>67500000</v>
      </c>
      <c r="AF33" s="139">
        <f t="shared" si="10"/>
        <v>0</v>
      </c>
      <c r="AG33" s="397">
        <f t="shared" si="26"/>
        <v>0</v>
      </c>
      <c r="AH33" s="140">
        <f t="shared" si="27"/>
        <v>0</v>
      </c>
      <c r="AI33" s="67">
        <f>+'PAJAK JAN-NOV'!R30</f>
        <v>178300</v>
      </c>
      <c r="AJ33" s="478">
        <f t="shared" si="6"/>
        <v>0</v>
      </c>
      <c r="AK33" s="32" t="str">
        <f>+'PAJAK JAN-NOV'!B30</f>
        <v>ROBIN DINATA</v>
      </c>
      <c r="AL33" s="33">
        <f t="shared" si="7"/>
        <v>178300</v>
      </c>
      <c r="AM33" s="32"/>
      <c r="AN33" s="33"/>
      <c r="AO33" s="32"/>
      <c r="AP33" s="32"/>
    </row>
    <row r="34" spans="2:42" s="136" customFormat="1" ht="20.25" customHeight="1">
      <c r="B34" s="131">
        <v>29</v>
      </c>
      <c r="C34" s="132" t="str">
        <f>+PERBULAN!B34</f>
        <v>SAPARUDIN</v>
      </c>
      <c r="D34" s="55" t="s">
        <v>284</v>
      </c>
      <c r="E34" s="56" t="s">
        <v>69</v>
      </c>
      <c r="F34" s="364" t="s">
        <v>341</v>
      </c>
      <c r="G34" s="350" t="s">
        <v>526</v>
      </c>
      <c r="H34" s="362" t="s">
        <v>39</v>
      </c>
      <c r="I34" s="365" t="s">
        <v>11</v>
      </c>
      <c r="J34" s="395" t="str">
        <f t="shared" si="20"/>
        <v>TER B</v>
      </c>
      <c r="K34" s="393">
        <v>1</v>
      </c>
      <c r="L34" s="393">
        <v>12</v>
      </c>
      <c r="M34" s="138">
        <f t="shared" si="15"/>
        <v>4005820</v>
      </c>
      <c r="N34" s="396">
        <v>991017.68421052629</v>
      </c>
      <c r="O34" s="396">
        <v>188643.84</v>
      </c>
      <c r="P34" s="138">
        <v>0</v>
      </c>
      <c r="Q34" s="138">
        <f t="shared" si="8"/>
        <v>5185481.5242105257</v>
      </c>
      <c r="R34" s="138">
        <f>+SETAHUN!H35</f>
        <v>4061100</v>
      </c>
      <c r="S34" s="138">
        <f>+SETAHUN!K35</f>
        <v>200000</v>
      </c>
      <c r="T34" s="138">
        <v>0</v>
      </c>
      <c r="U34" s="138">
        <f>+SETAHUN!F35+M34+N34</f>
        <v>61322459.844210505</v>
      </c>
      <c r="V34" s="138">
        <v>0</v>
      </c>
      <c r="W34" s="138">
        <f>+SETAHUN!U35+O34</f>
        <v>2262067.6799999997</v>
      </c>
      <c r="X34" s="138">
        <v>0</v>
      </c>
      <c r="Y34" s="138">
        <v>0</v>
      </c>
      <c r="Z34" s="138">
        <f t="shared" si="21"/>
        <v>4261100</v>
      </c>
      <c r="AA34" s="138">
        <f t="shared" si="22"/>
        <v>67845627.524210513</v>
      </c>
      <c r="AB34" s="138">
        <f t="shared" si="23"/>
        <v>3392281</v>
      </c>
      <c r="AC34" s="138">
        <f>('ASTEK+PENSIUN-DIISI SMPAI DES'!O123+'ASTEK+PENSIUN-DIISI SMPAI DES'!O37)</f>
        <v>1399356</v>
      </c>
      <c r="AD34" s="138">
        <f t="shared" si="24"/>
        <v>63053990.524210513</v>
      </c>
      <c r="AE34" s="139">
        <f t="shared" si="25"/>
        <v>67500000</v>
      </c>
      <c r="AF34" s="139">
        <f t="shared" si="10"/>
        <v>0</v>
      </c>
      <c r="AG34" s="397">
        <f t="shared" si="26"/>
        <v>0</v>
      </c>
      <c r="AH34" s="140">
        <f t="shared" si="27"/>
        <v>0</v>
      </c>
      <c r="AI34" s="67">
        <f>+'PAJAK JAN-NOV'!R31</f>
        <v>141756</v>
      </c>
      <c r="AJ34" s="478">
        <f t="shared" si="6"/>
        <v>0</v>
      </c>
      <c r="AK34" s="32" t="str">
        <f>+'PAJAK JAN-NOV'!B31</f>
        <v>SAPARUDIN</v>
      </c>
      <c r="AL34" s="33">
        <f t="shared" si="7"/>
        <v>141756</v>
      </c>
      <c r="AM34" s="32"/>
      <c r="AN34" s="33"/>
      <c r="AO34" s="32"/>
      <c r="AP34" s="32"/>
    </row>
    <row r="35" spans="2:42" s="136" customFormat="1" ht="20.25" customHeight="1">
      <c r="B35" s="131">
        <v>30</v>
      </c>
      <c r="C35" s="132" t="str">
        <f>+PERBULAN!B35</f>
        <v>SULTAN</v>
      </c>
      <c r="D35" s="137" t="s">
        <v>287</v>
      </c>
      <c r="E35" s="37" t="s">
        <v>69</v>
      </c>
      <c r="F35" s="366" t="s">
        <v>344</v>
      </c>
      <c r="G35" s="350" t="s">
        <v>526</v>
      </c>
      <c r="H35" s="362" t="s">
        <v>39</v>
      </c>
      <c r="I35" s="353" t="s">
        <v>11</v>
      </c>
      <c r="J35" s="147" t="str">
        <f t="shared" si="20"/>
        <v>TER B</v>
      </c>
      <c r="K35" s="393">
        <v>1</v>
      </c>
      <c r="L35" s="393">
        <v>12</v>
      </c>
      <c r="M35" s="138">
        <f t="shared" si="15"/>
        <v>4005820</v>
      </c>
      <c r="N35" s="139">
        <v>165150</v>
      </c>
      <c r="O35" s="139">
        <v>188643.84</v>
      </c>
      <c r="P35" s="138">
        <v>0</v>
      </c>
      <c r="Q35" s="138">
        <f t="shared" si="8"/>
        <v>4359613.84</v>
      </c>
      <c r="R35" s="138">
        <f>+SETAHUN!H36</f>
        <v>4061100</v>
      </c>
      <c r="S35" s="138">
        <f>+SETAHUN!K36</f>
        <v>200000</v>
      </c>
      <c r="T35" s="138">
        <v>0</v>
      </c>
      <c r="U35" s="138">
        <f>+SETAHUN!F36+M35+N35</f>
        <v>53392578.359999985</v>
      </c>
      <c r="V35" s="138">
        <v>0</v>
      </c>
      <c r="W35" s="138">
        <f>+SETAHUN!U36+O35</f>
        <v>2261802.48</v>
      </c>
      <c r="X35" s="138">
        <v>0</v>
      </c>
      <c r="Y35" s="138">
        <v>0</v>
      </c>
      <c r="Z35" s="138">
        <f t="shared" si="21"/>
        <v>4261100</v>
      </c>
      <c r="AA35" s="138">
        <f t="shared" si="22"/>
        <v>59915480.839999981</v>
      </c>
      <c r="AB35" s="138">
        <f t="shared" si="23"/>
        <v>2995774</v>
      </c>
      <c r="AC35" s="138">
        <f>('ASTEK+PENSIUN-DIISI SMPAI DES'!O124+'ASTEK+PENSIUN-DIISI SMPAI DES'!O38)</f>
        <v>1399266</v>
      </c>
      <c r="AD35" s="138">
        <f t="shared" si="24"/>
        <v>55520440.839999981</v>
      </c>
      <c r="AE35" s="139">
        <f t="shared" si="25"/>
        <v>67500000</v>
      </c>
      <c r="AF35" s="139">
        <f t="shared" si="10"/>
        <v>0</v>
      </c>
      <c r="AG35" s="140">
        <f t="shared" si="26"/>
        <v>0</v>
      </c>
      <c r="AH35" s="140">
        <f t="shared" si="27"/>
        <v>0</v>
      </c>
      <c r="AI35" s="67">
        <f>+'PAJAK JAN-NOV'!R32</f>
        <v>89541</v>
      </c>
      <c r="AJ35" s="478">
        <f t="shared" si="6"/>
        <v>0</v>
      </c>
      <c r="AK35" s="32" t="str">
        <f>+'PAJAK JAN-NOV'!B32</f>
        <v>SULTAN</v>
      </c>
      <c r="AL35" s="33">
        <f t="shared" si="7"/>
        <v>89541</v>
      </c>
      <c r="AM35" s="32"/>
      <c r="AN35" s="33"/>
      <c r="AO35" s="32"/>
      <c r="AP35" s="32"/>
    </row>
    <row r="36" spans="2:42" s="136" customFormat="1" ht="20.25" customHeight="1">
      <c r="B36" s="131">
        <v>31</v>
      </c>
      <c r="C36" s="132" t="str">
        <f>+PERBULAN!B36</f>
        <v>MANSUR</v>
      </c>
      <c r="D36" s="137" t="s">
        <v>288</v>
      </c>
      <c r="E36" s="37" t="s">
        <v>69</v>
      </c>
      <c r="F36" s="366" t="s">
        <v>345</v>
      </c>
      <c r="G36" s="350" t="s">
        <v>526</v>
      </c>
      <c r="H36" s="362" t="s">
        <v>39</v>
      </c>
      <c r="I36" s="353" t="s">
        <v>9</v>
      </c>
      <c r="J36" s="147" t="str">
        <f t="shared" ref="J36:J70" si="28">IF(ISBLANK(I36),"",IF(OR(I36="TK/0",I36="TK/1",I36="K/0"),"TER A",IF(I36="K/3","TER C","TER B")))</f>
        <v>TER B</v>
      </c>
      <c r="K36" s="393">
        <v>1</v>
      </c>
      <c r="L36" s="393">
        <v>12</v>
      </c>
      <c r="M36" s="138">
        <f>30*129220</f>
        <v>3876600</v>
      </c>
      <c r="N36" s="139">
        <v>404500</v>
      </c>
      <c r="O36" s="139">
        <v>188353.44</v>
      </c>
      <c r="P36" s="138">
        <v>0</v>
      </c>
      <c r="Q36" s="138">
        <f t="shared" ref="Q36:Q70" si="29">SUM(M36:P36)</f>
        <v>4469453.4400000004</v>
      </c>
      <c r="R36" s="138">
        <f>+SETAHUN!H37</f>
        <v>4028600</v>
      </c>
      <c r="S36" s="138">
        <f>+SETAHUN!K37</f>
        <v>900000</v>
      </c>
      <c r="T36" s="138">
        <v>0</v>
      </c>
      <c r="U36" s="138">
        <f>+SETAHUN!F37+M36+N36</f>
        <v>58236384.160000004</v>
      </c>
      <c r="V36" s="138">
        <v>0</v>
      </c>
      <c r="W36" s="138">
        <f>+SETAHUN!U37+O36</f>
        <v>2258280.2799999998</v>
      </c>
      <c r="X36" s="138">
        <v>0</v>
      </c>
      <c r="Y36" s="138">
        <v>0</v>
      </c>
      <c r="Z36" s="138">
        <f t="shared" ref="Z36:Z70" si="30">SUM(R36:T36)</f>
        <v>4928600</v>
      </c>
      <c r="AA36" s="138">
        <f t="shared" ref="AA36:AA69" si="31">SUM(U36:Z36)</f>
        <v>65423264.440000005</v>
      </c>
      <c r="AB36" s="138">
        <f t="shared" ref="AB36:AB75" si="32">ROUND(IF((AA36)*5%&gt;6000000,6000000,(AA36)*5%),0)</f>
        <v>3271163</v>
      </c>
      <c r="AC36" s="138">
        <f>('ASTEK+PENSIUN-DIISI SMPAI DES'!O125+'ASTEK+PENSIUN-DIISI SMPAI DES'!O39)</f>
        <v>1397901</v>
      </c>
      <c r="AD36" s="138">
        <f t="shared" ref="AD36:AD70" si="33">AA36-AB36-AC36</f>
        <v>60754200.440000005</v>
      </c>
      <c r="AE36" s="139">
        <f t="shared" ref="AE36:AE70" si="34">IFERROR(VLOOKUP(I36,TARIF,3,FALSE),0)</f>
        <v>63000000</v>
      </c>
      <c r="AF36" s="139">
        <f t="shared" si="10"/>
        <v>0</v>
      </c>
      <c r="AG36" s="140">
        <f t="shared" ref="AG36:AG70" si="35">IF(AF36&gt;5000000000,AF36*35%-306000000,IF(AF36&gt;500000000,AF36*30%-56000000,IF(AF36&gt;250000000,AF36*25%-31000000,IF(AF36&gt;60000000,AF36*15%-6000000,AF36*5%))))</f>
        <v>0</v>
      </c>
      <c r="AH36" s="140">
        <f t="shared" ref="AH36:AH70" si="36">ROUND(IF(E36=0,AG36*120%,AG36),0)</f>
        <v>0</v>
      </c>
      <c r="AI36" s="67">
        <f>+'PAJAK JAN-NOV'!R33</f>
        <v>190495</v>
      </c>
      <c r="AJ36" s="478">
        <f t="shared" ref="AJ36:AJ70" si="37">IF(AG36&lt;=AI36,0,IF(AG36&gt;AI36,AG36-AI36))</f>
        <v>0</v>
      </c>
      <c r="AK36" s="32" t="str">
        <f>+'PAJAK JAN-NOV'!B33</f>
        <v>MANSUR</v>
      </c>
      <c r="AL36" s="33">
        <f t="shared" si="7"/>
        <v>190495</v>
      </c>
      <c r="AM36" s="32"/>
      <c r="AN36" s="33"/>
      <c r="AO36" s="32"/>
      <c r="AP36" s="32"/>
    </row>
    <row r="37" spans="2:42" s="136" customFormat="1" ht="20.25" customHeight="1">
      <c r="B37" s="131">
        <v>32</v>
      </c>
      <c r="C37" s="132" t="str">
        <f>+PERBULAN!B37</f>
        <v>RIDUAN</v>
      </c>
      <c r="D37" s="137" t="s">
        <v>290</v>
      </c>
      <c r="E37" s="37" t="s">
        <v>69</v>
      </c>
      <c r="F37" s="366" t="s">
        <v>191</v>
      </c>
      <c r="G37" s="350" t="s">
        <v>526</v>
      </c>
      <c r="H37" s="362" t="s">
        <v>39</v>
      </c>
      <c r="I37" s="353" t="s">
        <v>9</v>
      </c>
      <c r="J37" s="147" t="str">
        <f t="shared" si="28"/>
        <v>TER B</v>
      </c>
      <c r="K37" s="393">
        <v>1</v>
      </c>
      <c r="L37" s="393">
        <v>12</v>
      </c>
      <c r="M37" s="138">
        <f t="shared" si="15"/>
        <v>4005820</v>
      </c>
      <c r="N37" s="139">
        <v>579057.66666666663</v>
      </c>
      <c r="O37" s="139">
        <v>188232</v>
      </c>
      <c r="P37" s="138">
        <v>0</v>
      </c>
      <c r="Q37" s="138">
        <f t="shared" si="29"/>
        <v>4773109.666666667</v>
      </c>
      <c r="R37" s="138">
        <f>+SETAHUN!H38</f>
        <v>4026100</v>
      </c>
      <c r="S37" s="138">
        <f>+SETAHUN!K38</f>
        <v>900000</v>
      </c>
      <c r="T37" s="138">
        <v>0</v>
      </c>
      <c r="U37" s="138">
        <f>+SETAHUN!F38+M37+N37</f>
        <v>54547408.826666668</v>
      </c>
      <c r="V37" s="138">
        <v>0</v>
      </c>
      <c r="W37" s="138">
        <f>+SETAHUN!U38+O37</f>
        <v>2257437.84</v>
      </c>
      <c r="X37" s="138">
        <v>0</v>
      </c>
      <c r="Y37" s="138">
        <v>0</v>
      </c>
      <c r="Z37" s="138">
        <f t="shared" si="30"/>
        <v>4926100</v>
      </c>
      <c r="AA37" s="138">
        <f t="shared" si="31"/>
        <v>61730946.666666672</v>
      </c>
      <c r="AB37" s="138">
        <f t="shared" si="32"/>
        <v>3086547</v>
      </c>
      <c r="AC37" s="138">
        <f>('ASTEK+PENSIUN-DIISI SMPAI DES'!O126+'ASTEK+PENSIUN-DIISI SMPAI DES'!O40)</f>
        <v>1397751</v>
      </c>
      <c r="AD37" s="138">
        <f t="shared" si="33"/>
        <v>57246648.666666672</v>
      </c>
      <c r="AE37" s="139">
        <f t="shared" si="34"/>
        <v>63000000</v>
      </c>
      <c r="AF37" s="139">
        <f t="shared" si="10"/>
        <v>0</v>
      </c>
      <c r="AG37" s="140">
        <f t="shared" si="35"/>
        <v>0</v>
      </c>
      <c r="AH37" s="140">
        <f t="shared" si="36"/>
        <v>0</v>
      </c>
      <c r="AI37" s="67">
        <f>+'PAJAK JAN-NOV'!R34</f>
        <v>91417</v>
      </c>
      <c r="AJ37" s="478">
        <f t="shared" si="37"/>
        <v>0</v>
      </c>
      <c r="AK37" s="32" t="str">
        <f>+'PAJAK JAN-NOV'!B34</f>
        <v>RIDUAN</v>
      </c>
      <c r="AL37" s="33">
        <f t="shared" si="7"/>
        <v>91417</v>
      </c>
      <c r="AM37" s="32"/>
      <c r="AN37" s="33"/>
      <c r="AO37" s="32"/>
      <c r="AP37" s="32"/>
    </row>
    <row r="38" spans="2:42" s="136" customFormat="1" ht="20.25" customHeight="1">
      <c r="B38" s="131">
        <v>33</v>
      </c>
      <c r="C38" s="132" t="str">
        <f>+PERBULAN!B38</f>
        <v>SONJA PRIYOGA</v>
      </c>
      <c r="D38" s="137" t="s">
        <v>292</v>
      </c>
      <c r="E38" s="37" t="s">
        <v>69</v>
      </c>
      <c r="F38" s="366" t="s">
        <v>346</v>
      </c>
      <c r="G38" s="350" t="s">
        <v>526</v>
      </c>
      <c r="H38" s="362" t="s">
        <v>39</v>
      </c>
      <c r="I38" s="353" t="s">
        <v>9</v>
      </c>
      <c r="J38" s="147" t="str">
        <f t="shared" si="28"/>
        <v>TER B</v>
      </c>
      <c r="K38" s="393">
        <v>1</v>
      </c>
      <c r="L38" s="393">
        <v>12</v>
      </c>
      <c r="M38" s="138">
        <f t="shared" si="15"/>
        <v>4005820</v>
      </c>
      <c r="N38" s="139">
        <v>705180</v>
      </c>
      <c r="O38" s="139">
        <v>188111</v>
      </c>
      <c r="P38" s="138">
        <v>0</v>
      </c>
      <c r="Q38" s="138">
        <f t="shared" si="29"/>
        <v>4899111</v>
      </c>
      <c r="R38" s="138">
        <f>+SETAHUN!H39</f>
        <v>4023600</v>
      </c>
      <c r="S38" s="138">
        <f>+SETAHUN!K39</f>
        <v>900000</v>
      </c>
      <c r="T38" s="138">
        <v>0</v>
      </c>
      <c r="U38" s="138">
        <f>+SETAHUN!F39+M38+N38</f>
        <v>63842756.160000011</v>
      </c>
      <c r="V38" s="138">
        <v>0</v>
      </c>
      <c r="W38" s="138">
        <f>+SETAHUN!U39+O38</f>
        <v>2256432.84</v>
      </c>
      <c r="X38" s="138">
        <v>0</v>
      </c>
      <c r="Y38" s="138">
        <v>0</v>
      </c>
      <c r="Z38" s="138">
        <f t="shared" si="30"/>
        <v>4923600</v>
      </c>
      <c r="AA38" s="138">
        <f t="shared" si="31"/>
        <v>71022789.000000015</v>
      </c>
      <c r="AB38" s="138">
        <f t="shared" si="32"/>
        <v>3551139</v>
      </c>
      <c r="AC38" s="138">
        <f>('ASTEK+PENSIUN-DIISI SMPAI DES'!O127+'ASTEK+PENSIUN-DIISI SMPAI DES'!O41)</f>
        <v>1397376</v>
      </c>
      <c r="AD38" s="138">
        <f t="shared" si="33"/>
        <v>66074274.000000015</v>
      </c>
      <c r="AE38" s="139">
        <f t="shared" si="34"/>
        <v>63000000</v>
      </c>
      <c r="AF38" s="139">
        <f>ROUNDDOWN(IF(AD38&lt;=AE38,0,IF(AD38&gt;AE38,AD38-AE38)),-3)</f>
        <v>3074000</v>
      </c>
      <c r="AG38" s="140">
        <f t="shared" si="35"/>
        <v>153700</v>
      </c>
      <c r="AH38" s="140">
        <f t="shared" si="36"/>
        <v>153700</v>
      </c>
      <c r="AI38" s="67">
        <f>+'PAJAK JAN-NOV'!R35</f>
        <v>250470</v>
      </c>
      <c r="AJ38" s="478">
        <f t="shared" si="37"/>
        <v>0</v>
      </c>
      <c r="AK38" s="32" t="str">
        <f>+'PAJAK JAN-NOV'!B35</f>
        <v>SONJA PRIYOGA</v>
      </c>
      <c r="AL38" s="33">
        <f t="shared" si="7"/>
        <v>96770</v>
      </c>
      <c r="AM38" s="32"/>
      <c r="AN38" s="33"/>
      <c r="AO38" s="32"/>
      <c r="AP38" s="32"/>
    </row>
    <row r="39" spans="2:42" s="136" customFormat="1" ht="20.25" customHeight="1">
      <c r="B39" s="131">
        <v>34</v>
      </c>
      <c r="C39" s="422" t="str">
        <f>+PERBULAN!B39</f>
        <v>M.FAUZI</v>
      </c>
      <c r="D39" s="423" t="s">
        <v>294</v>
      </c>
      <c r="E39" s="424" t="s">
        <v>524</v>
      </c>
      <c r="F39" s="425" t="s">
        <v>348</v>
      </c>
      <c r="G39" s="426" t="s">
        <v>526</v>
      </c>
      <c r="H39" s="427" t="s">
        <v>39</v>
      </c>
      <c r="I39" s="428" t="s">
        <v>7</v>
      </c>
      <c r="J39" s="428" t="str">
        <f t="shared" si="28"/>
        <v>TER A</v>
      </c>
      <c r="K39" s="429">
        <v>1</v>
      </c>
      <c r="L39" s="429">
        <v>3</v>
      </c>
      <c r="M39" s="430"/>
      <c r="N39" s="430"/>
      <c r="O39" s="430"/>
      <c r="P39" s="431">
        <v>0</v>
      </c>
      <c r="Q39" s="431">
        <f t="shared" si="29"/>
        <v>0</v>
      </c>
      <c r="R39" s="431">
        <f>+SETAHUN!H40</f>
        <v>3951600</v>
      </c>
      <c r="S39" s="431">
        <f>+SETAHUN!K40</f>
        <v>0</v>
      </c>
      <c r="T39" s="431">
        <v>0</v>
      </c>
      <c r="U39" s="431">
        <f>+SETAHUN!F40+M39+N39</f>
        <v>9156277.6799999997</v>
      </c>
      <c r="V39" s="431">
        <v>0</v>
      </c>
      <c r="W39" s="431">
        <f>+SETAHUN!U40+O39</f>
        <v>563782.31999999995</v>
      </c>
      <c r="X39" s="431">
        <v>0</v>
      </c>
      <c r="Y39" s="431">
        <v>0</v>
      </c>
      <c r="Z39" s="431">
        <f t="shared" si="30"/>
        <v>3951600</v>
      </c>
      <c r="AA39" s="431">
        <f t="shared" si="31"/>
        <v>13671660</v>
      </c>
      <c r="AB39" s="431">
        <f t="shared" si="32"/>
        <v>683583</v>
      </c>
      <c r="AC39" s="431">
        <f>('ASTEK+PENSIUN-DIISI SMPAI DES'!O128+'ASTEK+PENSIUN-DIISI SMPAI DES'!O42)</f>
        <v>348894</v>
      </c>
      <c r="AD39" s="431">
        <f t="shared" si="33"/>
        <v>12639183</v>
      </c>
      <c r="AE39" s="430">
        <f t="shared" si="34"/>
        <v>54000000</v>
      </c>
      <c r="AF39" s="430">
        <f t="shared" si="10"/>
        <v>0</v>
      </c>
      <c r="AG39" s="432">
        <f t="shared" si="35"/>
        <v>0</v>
      </c>
      <c r="AH39" s="432">
        <f t="shared" si="36"/>
        <v>0</v>
      </c>
      <c r="AI39" s="430">
        <f>+'PAJAK JAN-NOV'!R36</f>
        <v>0</v>
      </c>
      <c r="AJ39" s="479">
        <f t="shared" si="37"/>
        <v>0</v>
      </c>
      <c r="AK39" s="32" t="str">
        <f>+'PAJAK JAN-NOV'!B36</f>
        <v>M.FAUZI</v>
      </c>
      <c r="AL39" s="33">
        <f t="shared" si="7"/>
        <v>0</v>
      </c>
      <c r="AM39" s="32"/>
      <c r="AN39" s="33"/>
      <c r="AO39" s="32"/>
      <c r="AP39" s="32"/>
    </row>
    <row r="40" spans="2:42" s="136" customFormat="1" ht="20.25" customHeight="1">
      <c r="B40" s="131">
        <v>35</v>
      </c>
      <c r="C40" s="422" t="str">
        <f>+PERBULAN!B40</f>
        <v>DANI</v>
      </c>
      <c r="D40" s="423" t="s">
        <v>295</v>
      </c>
      <c r="E40" s="424" t="s">
        <v>69</v>
      </c>
      <c r="F40" s="425" t="s">
        <v>349</v>
      </c>
      <c r="G40" s="426" t="s">
        <v>526</v>
      </c>
      <c r="H40" s="427" t="s">
        <v>39</v>
      </c>
      <c r="I40" s="428" t="s">
        <v>9</v>
      </c>
      <c r="J40" s="428" t="str">
        <f t="shared" si="28"/>
        <v>TER B</v>
      </c>
      <c r="K40" s="429">
        <v>1</v>
      </c>
      <c r="L40" s="429">
        <v>3</v>
      </c>
      <c r="M40" s="430"/>
      <c r="N40" s="430"/>
      <c r="O40" s="430"/>
      <c r="P40" s="431">
        <v>0</v>
      </c>
      <c r="Q40" s="431">
        <f t="shared" si="29"/>
        <v>0</v>
      </c>
      <c r="R40" s="431">
        <f>+SETAHUN!H41</f>
        <v>4021100</v>
      </c>
      <c r="S40" s="431">
        <f>+SETAHUN!K41</f>
        <v>600000</v>
      </c>
      <c r="T40" s="431">
        <v>0</v>
      </c>
      <c r="U40" s="431">
        <f>+SETAHUN!F41+M40+N40</f>
        <v>12401585.68</v>
      </c>
      <c r="V40" s="431">
        <v>0</v>
      </c>
      <c r="W40" s="431">
        <f>+SETAHUN!U41+O40</f>
        <v>563482.31999999995</v>
      </c>
      <c r="X40" s="431">
        <v>0</v>
      </c>
      <c r="Y40" s="431">
        <v>0</v>
      </c>
      <c r="Z40" s="431">
        <f t="shared" si="30"/>
        <v>4621100</v>
      </c>
      <c r="AA40" s="431">
        <f t="shared" si="31"/>
        <v>17586168</v>
      </c>
      <c r="AB40" s="431">
        <f t="shared" si="32"/>
        <v>879308</v>
      </c>
      <c r="AC40" s="431">
        <f>('ASTEK+PENSIUN-DIISI SMPAI DES'!O129+'ASTEK+PENSIUN-DIISI SMPAI DES'!O43)</f>
        <v>348894</v>
      </c>
      <c r="AD40" s="431">
        <f t="shared" si="33"/>
        <v>16357966</v>
      </c>
      <c r="AE40" s="430">
        <f t="shared" si="34"/>
        <v>63000000</v>
      </c>
      <c r="AF40" s="430">
        <f t="shared" si="10"/>
        <v>0</v>
      </c>
      <c r="AG40" s="432">
        <f t="shared" si="35"/>
        <v>0</v>
      </c>
      <c r="AH40" s="432">
        <f t="shared" si="36"/>
        <v>0</v>
      </c>
      <c r="AI40" s="430">
        <f>+'PAJAK JAN-NOV'!R37</f>
        <v>52407</v>
      </c>
      <c r="AJ40" s="479">
        <f t="shared" si="37"/>
        <v>0</v>
      </c>
      <c r="AK40" s="32" t="str">
        <f>+'PAJAK JAN-NOV'!B37</f>
        <v>DANI</v>
      </c>
      <c r="AL40" s="33">
        <f t="shared" si="7"/>
        <v>52407</v>
      </c>
      <c r="AM40" s="32"/>
      <c r="AN40" s="33"/>
      <c r="AO40" s="32"/>
      <c r="AP40" s="32"/>
    </row>
    <row r="41" spans="2:42" s="136" customFormat="1" ht="20.25" customHeight="1">
      <c r="B41" s="131">
        <v>36</v>
      </c>
      <c r="C41" s="132" t="str">
        <f>+PERBULAN!B41</f>
        <v>AHAP</v>
      </c>
      <c r="D41" s="137" t="s">
        <v>296</v>
      </c>
      <c r="E41" s="37" t="s">
        <v>69</v>
      </c>
      <c r="F41" s="366" t="s">
        <v>350</v>
      </c>
      <c r="G41" s="350" t="s">
        <v>526</v>
      </c>
      <c r="H41" s="362" t="s">
        <v>39</v>
      </c>
      <c r="I41" s="353" t="s">
        <v>9</v>
      </c>
      <c r="J41" s="147" t="str">
        <f t="shared" si="28"/>
        <v>TER B</v>
      </c>
      <c r="K41" s="393">
        <v>1</v>
      </c>
      <c r="L41" s="393">
        <v>12</v>
      </c>
      <c r="M41" s="138">
        <f t="shared" ref="M41:M42" si="38">31*129220</f>
        <v>4005820</v>
      </c>
      <c r="N41" s="139">
        <v>909465</v>
      </c>
      <c r="O41" s="139">
        <v>187869.44</v>
      </c>
      <c r="P41" s="138">
        <v>0</v>
      </c>
      <c r="Q41" s="138">
        <f t="shared" si="29"/>
        <v>5103154.4400000004</v>
      </c>
      <c r="R41" s="138">
        <f>+SETAHUN!H42</f>
        <v>4021100</v>
      </c>
      <c r="S41" s="138">
        <f>+SETAHUN!K42</f>
        <v>900000</v>
      </c>
      <c r="T41" s="138">
        <v>0</v>
      </c>
      <c r="U41" s="138">
        <f>+SETAHUN!F42+M41+N41</f>
        <v>64605297.160000011</v>
      </c>
      <c r="V41" s="138">
        <v>0</v>
      </c>
      <c r="W41" s="138">
        <f>+SETAHUN!U42+O41</f>
        <v>2254181.2799999998</v>
      </c>
      <c r="X41" s="138">
        <v>0</v>
      </c>
      <c r="Y41" s="138">
        <v>0</v>
      </c>
      <c r="Z41" s="138">
        <f t="shared" si="30"/>
        <v>4921100</v>
      </c>
      <c r="AA41" s="138">
        <f t="shared" si="31"/>
        <v>71780578.440000013</v>
      </c>
      <c r="AB41" s="138">
        <f t="shared" si="32"/>
        <v>3589029</v>
      </c>
      <c r="AC41" s="138">
        <f>('ASTEK+PENSIUN-DIISI SMPAI DES'!O130+'ASTEK+PENSIUN-DIISI SMPAI DES'!O44)</f>
        <v>1396476</v>
      </c>
      <c r="AD41" s="138">
        <f t="shared" si="33"/>
        <v>66795073.440000013</v>
      </c>
      <c r="AE41" s="139">
        <f t="shared" si="34"/>
        <v>63000000</v>
      </c>
      <c r="AF41" s="139">
        <f t="shared" si="10"/>
        <v>3795000</v>
      </c>
      <c r="AG41" s="140">
        <f t="shared" si="35"/>
        <v>189750</v>
      </c>
      <c r="AH41" s="140">
        <f t="shared" si="36"/>
        <v>189750</v>
      </c>
      <c r="AI41" s="67">
        <f>+'PAJAK JAN-NOV'!R38</f>
        <v>222068</v>
      </c>
      <c r="AJ41" s="478">
        <f t="shared" si="37"/>
        <v>0</v>
      </c>
      <c r="AK41" s="32" t="str">
        <f>+'PAJAK JAN-NOV'!B38</f>
        <v>AHAP</v>
      </c>
      <c r="AL41" s="33">
        <f t="shared" si="7"/>
        <v>32318</v>
      </c>
      <c r="AM41" s="32"/>
      <c r="AN41" s="33"/>
      <c r="AO41" s="32"/>
      <c r="AP41" s="32"/>
    </row>
    <row r="42" spans="2:42" s="136" customFormat="1" ht="20.25" customHeight="1">
      <c r="B42" s="131">
        <v>37</v>
      </c>
      <c r="C42" s="132" t="str">
        <f>+PERBULAN!B42</f>
        <v>IHSAN</v>
      </c>
      <c r="D42" s="451" t="s">
        <v>303</v>
      </c>
      <c r="E42" s="37" t="s">
        <v>69</v>
      </c>
      <c r="F42" s="366" t="s">
        <v>354</v>
      </c>
      <c r="G42" s="350" t="s">
        <v>526</v>
      </c>
      <c r="H42" s="362" t="s">
        <v>39</v>
      </c>
      <c r="I42" s="353" t="s">
        <v>7</v>
      </c>
      <c r="J42" s="147" t="str">
        <f t="shared" si="28"/>
        <v>TER A</v>
      </c>
      <c r="K42" s="393">
        <v>1</v>
      </c>
      <c r="L42" s="393">
        <v>12</v>
      </c>
      <c r="M42" s="138">
        <f t="shared" si="38"/>
        <v>4005820</v>
      </c>
      <c r="N42" s="139">
        <v>384365.44444444444</v>
      </c>
      <c r="O42" s="139">
        <v>187748.44</v>
      </c>
      <c r="P42" s="138">
        <v>0</v>
      </c>
      <c r="Q42" s="138">
        <f t="shared" si="29"/>
        <v>4577933.8844444444</v>
      </c>
      <c r="R42" s="138">
        <f>+SETAHUN!H43</f>
        <v>3946600</v>
      </c>
      <c r="S42" s="138">
        <f>+SETAHUN!K43</f>
        <v>0</v>
      </c>
      <c r="T42" s="138">
        <v>0</v>
      </c>
      <c r="U42" s="138">
        <f>+SETAHUN!F43+M42+N42</f>
        <v>59628647.604444452</v>
      </c>
      <c r="V42" s="138">
        <v>0</v>
      </c>
      <c r="W42" s="138">
        <f>+SETAHUN!U43+O42</f>
        <v>2252855.2799999998</v>
      </c>
      <c r="X42" s="138">
        <v>0</v>
      </c>
      <c r="Y42" s="138">
        <v>0</v>
      </c>
      <c r="Z42" s="138">
        <f t="shared" si="30"/>
        <v>3946600</v>
      </c>
      <c r="AA42" s="138">
        <f t="shared" si="31"/>
        <v>65828102.884444453</v>
      </c>
      <c r="AB42" s="138">
        <f t="shared" si="32"/>
        <v>3291405</v>
      </c>
      <c r="AC42" s="138">
        <f>('ASTEK+PENSIUN-DIISI SMPAI DES'!O131+'ASTEK+PENSIUN-DIISI SMPAI DES'!O45)</f>
        <v>1396026</v>
      </c>
      <c r="AD42" s="138">
        <f t="shared" si="33"/>
        <v>61140671.884444453</v>
      </c>
      <c r="AE42" s="139">
        <f t="shared" si="34"/>
        <v>54000000</v>
      </c>
      <c r="AF42" s="139">
        <f t="shared" si="10"/>
        <v>7140000</v>
      </c>
      <c r="AG42" s="140">
        <f t="shared" si="35"/>
        <v>357000</v>
      </c>
      <c r="AH42" s="140">
        <f t="shared" si="36"/>
        <v>357000</v>
      </c>
      <c r="AI42" s="67">
        <f>+'PAJAK JAN-NOV'!R39</f>
        <v>339162</v>
      </c>
      <c r="AJ42" s="478">
        <f t="shared" si="37"/>
        <v>17838</v>
      </c>
      <c r="AK42" s="32" t="str">
        <f>+'PAJAK JAN-NOV'!B39</f>
        <v>IHSAN</v>
      </c>
      <c r="AL42" s="33">
        <f t="shared" si="7"/>
        <v>-17838</v>
      </c>
      <c r="AM42" s="32"/>
      <c r="AN42" s="33"/>
      <c r="AO42" s="32"/>
      <c r="AP42" s="32"/>
    </row>
    <row r="43" spans="2:42" s="136" customFormat="1" ht="20.25" customHeight="1">
      <c r="B43" s="131">
        <v>38</v>
      </c>
      <c r="C43" s="422" t="str">
        <f>+PERBULAN!B43</f>
        <v>BAGUSTIN</v>
      </c>
      <c r="D43" s="423" t="s">
        <v>304</v>
      </c>
      <c r="E43" s="424" t="s">
        <v>69</v>
      </c>
      <c r="F43" s="425" t="s">
        <v>354</v>
      </c>
      <c r="G43" s="426" t="s">
        <v>526</v>
      </c>
      <c r="H43" s="427" t="s">
        <v>39</v>
      </c>
      <c r="I43" s="428" t="s">
        <v>7</v>
      </c>
      <c r="J43" s="428" t="str">
        <f t="shared" si="28"/>
        <v>TER A</v>
      </c>
      <c r="K43" s="429">
        <v>1</v>
      </c>
      <c r="L43" s="429">
        <v>3</v>
      </c>
      <c r="M43" s="430"/>
      <c r="N43" s="430"/>
      <c r="O43" s="430"/>
      <c r="P43" s="431">
        <v>0</v>
      </c>
      <c r="Q43" s="431">
        <f t="shared" si="29"/>
        <v>0</v>
      </c>
      <c r="R43" s="431">
        <f>+SETAHUN!H44</f>
        <v>3946600</v>
      </c>
      <c r="S43" s="431">
        <f>+SETAHUN!K44</f>
        <v>0</v>
      </c>
      <c r="T43" s="431">
        <v>0</v>
      </c>
      <c r="U43" s="431">
        <f>+SETAHUN!F44+M43+N43</f>
        <v>10712871.68</v>
      </c>
      <c r="V43" s="431">
        <v>0</v>
      </c>
      <c r="W43" s="431">
        <f>+SETAHUN!U44+O43</f>
        <v>563182.31999999995</v>
      </c>
      <c r="X43" s="431">
        <v>0</v>
      </c>
      <c r="Y43" s="431">
        <v>0</v>
      </c>
      <c r="Z43" s="431">
        <f t="shared" si="30"/>
        <v>3946600</v>
      </c>
      <c r="AA43" s="431">
        <f t="shared" si="31"/>
        <v>15222654</v>
      </c>
      <c r="AB43" s="431">
        <f t="shared" si="32"/>
        <v>761133</v>
      </c>
      <c r="AC43" s="431">
        <f>('ASTEK+PENSIUN-DIISI SMPAI DES'!O132+'ASTEK+PENSIUN-DIISI SMPAI DES'!O46)</f>
        <v>348894</v>
      </c>
      <c r="AD43" s="431">
        <f t="shared" si="33"/>
        <v>14112627</v>
      </c>
      <c r="AE43" s="430">
        <f t="shared" si="34"/>
        <v>54000000</v>
      </c>
      <c r="AF43" s="430">
        <f t="shared" si="10"/>
        <v>0</v>
      </c>
      <c r="AG43" s="432">
        <f t="shared" si="35"/>
        <v>0</v>
      </c>
      <c r="AH43" s="432">
        <f t="shared" si="36"/>
        <v>0</v>
      </c>
      <c r="AI43" s="430">
        <f>+'PAJAK JAN-NOV'!R40</f>
        <v>65159</v>
      </c>
      <c r="AJ43" s="479">
        <f t="shared" si="37"/>
        <v>0</v>
      </c>
      <c r="AK43" s="32" t="str">
        <f>+'PAJAK JAN-NOV'!B40</f>
        <v>BAGUSTIN</v>
      </c>
      <c r="AL43" s="33">
        <f t="shared" si="7"/>
        <v>65159</v>
      </c>
      <c r="AM43" s="32"/>
      <c r="AN43" s="33"/>
      <c r="AO43" s="32"/>
      <c r="AP43" s="32"/>
    </row>
    <row r="44" spans="2:42" s="136" customFormat="1" ht="20.25" customHeight="1">
      <c r="B44" s="131">
        <v>39</v>
      </c>
      <c r="C44" s="422" t="str">
        <f>+PERBULAN!B44</f>
        <v>HELDI SAPUTRA</v>
      </c>
      <c r="D44" s="423" t="s">
        <v>305</v>
      </c>
      <c r="E44" s="424" t="s">
        <v>69</v>
      </c>
      <c r="F44" s="425" t="s">
        <v>354</v>
      </c>
      <c r="G44" s="426" t="s">
        <v>526</v>
      </c>
      <c r="H44" s="427" t="s">
        <v>39</v>
      </c>
      <c r="I44" s="428" t="s">
        <v>11</v>
      </c>
      <c r="J44" s="428" t="str">
        <f t="shared" si="28"/>
        <v>TER B</v>
      </c>
      <c r="K44" s="429">
        <v>1</v>
      </c>
      <c r="L44" s="429">
        <v>3</v>
      </c>
      <c r="M44" s="430"/>
      <c r="N44" s="430"/>
      <c r="O44" s="430"/>
      <c r="P44" s="431">
        <v>0</v>
      </c>
      <c r="Q44" s="431">
        <f t="shared" si="29"/>
        <v>0</v>
      </c>
      <c r="R44" s="431">
        <f>+SETAHUN!H45</f>
        <v>4045600</v>
      </c>
      <c r="S44" s="431">
        <f>+SETAHUN!K45</f>
        <v>0</v>
      </c>
      <c r="T44" s="431">
        <v>0</v>
      </c>
      <c r="U44" s="431">
        <f>+SETAHUN!F45+M44+N44</f>
        <v>10392728.68</v>
      </c>
      <c r="V44" s="431">
        <v>0</v>
      </c>
      <c r="W44" s="431">
        <f>+SETAHUN!U45+O44</f>
        <v>563182.31999999995</v>
      </c>
      <c r="X44" s="431">
        <v>0</v>
      </c>
      <c r="Y44" s="431">
        <v>0</v>
      </c>
      <c r="Z44" s="431">
        <f t="shared" si="30"/>
        <v>4045600</v>
      </c>
      <c r="AA44" s="431">
        <f t="shared" si="31"/>
        <v>15001511</v>
      </c>
      <c r="AB44" s="431">
        <f t="shared" si="32"/>
        <v>750076</v>
      </c>
      <c r="AC44" s="431">
        <f>('ASTEK+PENSIUN-DIISI SMPAI DES'!O133+'ASTEK+PENSIUN-DIISI SMPAI DES'!O47)</f>
        <v>348894</v>
      </c>
      <c r="AD44" s="431">
        <f t="shared" si="33"/>
        <v>13902541</v>
      </c>
      <c r="AE44" s="430">
        <f t="shared" si="34"/>
        <v>67500000</v>
      </c>
      <c r="AF44" s="430">
        <f t="shared" si="10"/>
        <v>0</v>
      </c>
      <c r="AG44" s="432">
        <f t="shared" si="35"/>
        <v>0</v>
      </c>
      <c r="AH44" s="432">
        <f t="shared" si="36"/>
        <v>0</v>
      </c>
      <c r="AI44" s="430">
        <f>+'PAJAK JAN-NOV'!R41</f>
        <v>32738</v>
      </c>
      <c r="AJ44" s="479">
        <f t="shared" si="37"/>
        <v>0</v>
      </c>
      <c r="AK44" s="32" t="str">
        <f>+'PAJAK JAN-NOV'!B41</f>
        <v>HELDI SAPUTRA</v>
      </c>
      <c r="AL44" s="33">
        <f t="shared" si="7"/>
        <v>32738</v>
      </c>
      <c r="AM44" s="32"/>
      <c r="AN44" s="33"/>
      <c r="AO44" s="32"/>
      <c r="AP44" s="32"/>
    </row>
    <row r="45" spans="2:42" s="136" customFormat="1" ht="20.25" customHeight="1">
      <c r="B45" s="131">
        <v>40</v>
      </c>
      <c r="C45" s="422" t="str">
        <f>+PERBULAN!B45</f>
        <v>HARTONO</v>
      </c>
      <c r="D45" s="423" t="s">
        <v>309</v>
      </c>
      <c r="E45" s="424" t="s">
        <v>69</v>
      </c>
      <c r="F45" s="425" t="s">
        <v>359</v>
      </c>
      <c r="G45" s="426" t="s">
        <v>526</v>
      </c>
      <c r="H45" s="427" t="s">
        <v>39</v>
      </c>
      <c r="I45" s="428" t="s">
        <v>7</v>
      </c>
      <c r="J45" s="428" t="str">
        <f t="shared" si="28"/>
        <v>TER A</v>
      </c>
      <c r="K45" s="429">
        <v>1</v>
      </c>
      <c r="L45" s="429">
        <v>3</v>
      </c>
      <c r="M45" s="430"/>
      <c r="N45" s="430"/>
      <c r="O45" s="430"/>
      <c r="P45" s="431">
        <v>0</v>
      </c>
      <c r="Q45" s="431">
        <f t="shared" si="29"/>
        <v>0</v>
      </c>
      <c r="R45" s="431">
        <f>+SETAHUN!H46</f>
        <v>3946600</v>
      </c>
      <c r="S45" s="431">
        <f>+SETAHUN!K46</f>
        <v>0</v>
      </c>
      <c r="T45" s="431">
        <v>0</v>
      </c>
      <c r="U45" s="431">
        <f>+SETAHUN!F46+M45+N45</f>
        <v>11979460.68</v>
      </c>
      <c r="V45" s="431">
        <v>0</v>
      </c>
      <c r="W45" s="431">
        <f>+SETAHUN!U46+O45</f>
        <v>563082.31999999995</v>
      </c>
      <c r="X45" s="431">
        <v>0</v>
      </c>
      <c r="Y45" s="431">
        <v>0</v>
      </c>
      <c r="Z45" s="431">
        <f t="shared" si="30"/>
        <v>3946600</v>
      </c>
      <c r="AA45" s="431">
        <f t="shared" si="31"/>
        <v>16489143</v>
      </c>
      <c r="AB45" s="431">
        <f t="shared" si="32"/>
        <v>824457</v>
      </c>
      <c r="AC45" s="431">
        <f>('ASTEK+PENSIUN-DIISI SMPAI DES'!O134+'ASTEK+PENSIUN-DIISI SMPAI DES'!O48)</f>
        <v>348894</v>
      </c>
      <c r="AD45" s="431">
        <f t="shared" si="33"/>
        <v>15315792</v>
      </c>
      <c r="AE45" s="430">
        <f t="shared" si="34"/>
        <v>54000000</v>
      </c>
      <c r="AF45" s="430">
        <f t="shared" si="10"/>
        <v>0</v>
      </c>
      <c r="AG45" s="432">
        <f t="shared" si="35"/>
        <v>0</v>
      </c>
      <c r="AH45" s="432">
        <f t="shared" si="36"/>
        <v>0</v>
      </c>
      <c r="AI45" s="430">
        <f>+'PAJAK JAN-NOV'!R42</f>
        <v>86491</v>
      </c>
      <c r="AJ45" s="479">
        <f t="shared" si="37"/>
        <v>0</v>
      </c>
      <c r="AK45" s="32" t="str">
        <f>+'PAJAK JAN-NOV'!B42</f>
        <v>HARTONO</v>
      </c>
      <c r="AL45" s="33">
        <f t="shared" si="7"/>
        <v>86491</v>
      </c>
      <c r="AM45" s="32"/>
      <c r="AN45" s="33"/>
      <c r="AO45" s="32"/>
      <c r="AP45" s="32"/>
    </row>
    <row r="46" spans="2:42" s="136" customFormat="1" ht="20.25" customHeight="1">
      <c r="B46" s="131">
        <v>41</v>
      </c>
      <c r="C46" s="132" t="str">
        <f>+PERBULAN!B46</f>
        <v>QISTAHAM</v>
      </c>
      <c r="D46" s="451" t="s">
        <v>310</v>
      </c>
      <c r="E46" s="37" t="s">
        <v>69</v>
      </c>
      <c r="F46" s="366" t="s">
        <v>354</v>
      </c>
      <c r="G46" s="350" t="s">
        <v>526</v>
      </c>
      <c r="H46" s="362" t="s">
        <v>39</v>
      </c>
      <c r="I46" s="353" t="s">
        <v>12</v>
      </c>
      <c r="J46" s="147" t="str">
        <f t="shared" si="28"/>
        <v>TER C</v>
      </c>
      <c r="K46" s="393">
        <v>1</v>
      </c>
      <c r="L46" s="393">
        <v>12</v>
      </c>
      <c r="M46" s="138">
        <f t="shared" ref="M46:M50" si="39">31*129220</f>
        <v>4005820</v>
      </c>
      <c r="N46" s="139">
        <v>1126952</v>
      </c>
      <c r="O46" s="139">
        <v>187748.44</v>
      </c>
      <c r="P46" s="138">
        <v>0</v>
      </c>
      <c r="Q46" s="138">
        <f t="shared" si="29"/>
        <v>5320520.4400000004</v>
      </c>
      <c r="R46" s="138">
        <f>+SETAHUN!H47</f>
        <v>4045600</v>
      </c>
      <c r="S46" s="138">
        <f>+SETAHUN!K47</f>
        <v>750000</v>
      </c>
      <c r="T46" s="138">
        <v>0</v>
      </c>
      <c r="U46" s="138">
        <f>+SETAHUN!F47+M46+N46</f>
        <v>94198963.160000011</v>
      </c>
      <c r="V46" s="138">
        <v>0</v>
      </c>
      <c r="W46" s="138">
        <f>+SETAHUN!U47+O46</f>
        <v>2252755.2799999998</v>
      </c>
      <c r="X46" s="138">
        <v>0</v>
      </c>
      <c r="Y46" s="138">
        <v>0</v>
      </c>
      <c r="Z46" s="138">
        <f t="shared" si="30"/>
        <v>4795600</v>
      </c>
      <c r="AA46" s="138">
        <f t="shared" si="31"/>
        <v>101247318.44000001</v>
      </c>
      <c r="AB46" s="138">
        <f t="shared" si="32"/>
        <v>5062366</v>
      </c>
      <c r="AC46" s="138">
        <f>('ASTEK+PENSIUN-DIISI SMPAI DES'!O135+'ASTEK+PENSIUN-DIISI SMPAI DES'!O49)</f>
        <v>1396026</v>
      </c>
      <c r="AD46" s="138">
        <f t="shared" si="33"/>
        <v>94788926.440000013</v>
      </c>
      <c r="AE46" s="139">
        <f t="shared" si="34"/>
        <v>72000000</v>
      </c>
      <c r="AF46" s="139">
        <f t="shared" si="10"/>
        <v>22788000</v>
      </c>
      <c r="AG46" s="140">
        <f t="shared" si="35"/>
        <v>1139400</v>
      </c>
      <c r="AH46" s="140">
        <f t="shared" si="36"/>
        <v>1139400</v>
      </c>
      <c r="AI46" s="67">
        <f>+'PAJAK JAN-NOV'!R43</f>
        <v>1500621</v>
      </c>
      <c r="AJ46" s="478">
        <f t="shared" si="37"/>
        <v>0</v>
      </c>
      <c r="AK46" s="32" t="str">
        <f>+'PAJAK JAN-NOV'!B43</f>
        <v>QISTAHAM</v>
      </c>
      <c r="AL46" s="33">
        <f t="shared" si="7"/>
        <v>361221</v>
      </c>
      <c r="AM46" s="32"/>
      <c r="AN46" s="33"/>
      <c r="AO46" s="32"/>
      <c r="AP46" s="32"/>
    </row>
    <row r="47" spans="2:42" s="136" customFormat="1" ht="20.25" customHeight="1">
      <c r="B47" s="131">
        <v>42</v>
      </c>
      <c r="C47" s="132" t="str">
        <f>+PERBULAN!B47</f>
        <v>JAYADI</v>
      </c>
      <c r="D47" s="137" t="s">
        <v>527</v>
      </c>
      <c r="E47" s="37" t="s">
        <v>69</v>
      </c>
      <c r="F47" s="366" t="s">
        <v>354</v>
      </c>
      <c r="G47" s="350" t="s">
        <v>526</v>
      </c>
      <c r="H47" s="362" t="s">
        <v>39</v>
      </c>
      <c r="I47" s="353" t="s">
        <v>11</v>
      </c>
      <c r="J47" s="147" t="str">
        <f t="shared" si="28"/>
        <v>TER B</v>
      </c>
      <c r="K47" s="393">
        <v>1</v>
      </c>
      <c r="L47" s="393">
        <v>12</v>
      </c>
      <c r="M47" s="138">
        <f t="shared" si="39"/>
        <v>4005820</v>
      </c>
      <c r="N47" s="139">
        <v>1444290</v>
      </c>
      <c r="O47" s="139">
        <v>187748.44</v>
      </c>
      <c r="P47" s="138">
        <v>0</v>
      </c>
      <c r="Q47" s="138">
        <f t="shared" si="29"/>
        <v>5637858.4400000004</v>
      </c>
      <c r="R47" s="138">
        <f>+SETAHUN!H48</f>
        <v>4045600</v>
      </c>
      <c r="S47" s="138">
        <f>+SETAHUN!K48</f>
        <v>450000</v>
      </c>
      <c r="T47" s="138">
        <v>0</v>
      </c>
      <c r="U47" s="138">
        <f>+SETAHUN!F48+M47+N47</f>
        <v>66687898.160000011</v>
      </c>
      <c r="V47" s="138">
        <v>0</v>
      </c>
      <c r="W47" s="138">
        <f>+SETAHUN!U48+O47</f>
        <v>2252655.2799999998</v>
      </c>
      <c r="X47" s="138">
        <v>0</v>
      </c>
      <c r="Y47" s="138">
        <v>0</v>
      </c>
      <c r="Z47" s="138">
        <f t="shared" si="30"/>
        <v>4495600</v>
      </c>
      <c r="AA47" s="138">
        <f t="shared" si="31"/>
        <v>73436153.440000013</v>
      </c>
      <c r="AB47" s="138">
        <f t="shared" si="32"/>
        <v>3671808</v>
      </c>
      <c r="AC47" s="138">
        <f>('ASTEK+PENSIUN-DIISI SMPAI DES'!O136+'ASTEK+PENSIUN-DIISI SMPAI DES'!O50)</f>
        <v>1396026</v>
      </c>
      <c r="AD47" s="138">
        <f t="shared" si="33"/>
        <v>68368319.440000013</v>
      </c>
      <c r="AE47" s="139">
        <f t="shared" si="34"/>
        <v>67500000</v>
      </c>
      <c r="AF47" s="139">
        <f t="shared" si="10"/>
        <v>868000</v>
      </c>
      <c r="AG47" s="140">
        <f t="shared" si="35"/>
        <v>43400</v>
      </c>
      <c r="AH47" s="140">
        <f t="shared" si="36"/>
        <v>43400</v>
      </c>
      <c r="AI47" s="67">
        <f>+'PAJAK JAN-NOV'!R44</f>
        <v>396326</v>
      </c>
      <c r="AJ47" s="478">
        <f t="shared" si="37"/>
        <v>0</v>
      </c>
      <c r="AK47" s="32" t="str">
        <f>+'PAJAK JAN-NOV'!B44</f>
        <v>JAYADI</v>
      </c>
      <c r="AL47" s="33">
        <f t="shared" si="7"/>
        <v>352926</v>
      </c>
      <c r="AM47" s="32"/>
      <c r="AN47" s="33"/>
      <c r="AO47" s="32"/>
      <c r="AP47" s="32"/>
    </row>
    <row r="48" spans="2:42" s="136" customFormat="1" ht="20.25" customHeight="1">
      <c r="B48" s="131">
        <v>43</v>
      </c>
      <c r="C48" s="132" t="str">
        <f>+PERBULAN!B48</f>
        <v>MUHAMAD AMIN</v>
      </c>
      <c r="D48" s="137" t="s">
        <v>313</v>
      </c>
      <c r="E48" s="37" t="s">
        <v>69</v>
      </c>
      <c r="F48" s="366" t="s">
        <v>360</v>
      </c>
      <c r="G48" s="350" t="s">
        <v>526</v>
      </c>
      <c r="H48" s="362" t="s">
        <v>39</v>
      </c>
      <c r="I48" s="353" t="s">
        <v>12</v>
      </c>
      <c r="J48" s="147" t="str">
        <f t="shared" si="28"/>
        <v>TER C</v>
      </c>
      <c r="K48" s="393">
        <v>1</v>
      </c>
      <c r="L48" s="393">
        <v>12</v>
      </c>
      <c r="M48" s="138">
        <f t="shared" si="39"/>
        <v>4005820</v>
      </c>
      <c r="N48" s="139">
        <v>740307</v>
      </c>
      <c r="O48" s="139">
        <v>187748.44</v>
      </c>
      <c r="P48" s="138">
        <v>0</v>
      </c>
      <c r="Q48" s="138">
        <f t="shared" si="29"/>
        <v>4933875.4400000004</v>
      </c>
      <c r="R48" s="138">
        <f>+SETAHUN!H49</f>
        <v>3369250</v>
      </c>
      <c r="S48" s="138">
        <f>+SETAHUN!K49</f>
        <v>525000</v>
      </c>
      <c r="T48" s="138">
        <v>0</v>
      </c>
      <c r="U48" s="138">
        <f>+SETAHUN!F49+M48+N48</f>
        <v>61739458.160000004</v>
      </c>
      <c r="V48" s="138">
        <v>0</v>
      </c>
      <c r="W48" s="138">
        <f>+SETAHUN!U49+O48</f>
        <v>2252455.2799999998</v>
      </c>
      <c r="X48" s="138">
        <v>0</v>
      </c>
      <c r="Y48" s="138">
        <v>0</v>
      </c>
      <c r="Z48" s="138">
        <f t="shared" si="30"/>
        <v>3894250</v>
      </c>
      <c r="AA48" s="138">
        <f t="shared" si="31"/>
        <v>67886163.439999998</v>
      </c>
      <c r="AB48" s="138">
        <f t="shared" si="32"/>
        <v>3394308</v>
      </c>
      <c r="AC48" s="138">
        <f>('ASTEK+PENSIUN-DIISI SMPAI DES'!O137+'ASTEK+PENSIUN-DIISI SMPAI DES'!O51)</f>
        <v>1396026</v>
      </c>
      <c r="AD48" s="138">
        <f t="shared" si="33"/>
        <v>63095829.439999998</v>
      </c>
      <c r="AE48" s="139">
        <f t="shared" si="34"/>
        <v>72000000</v>
      </c>
      <c r="AF48" s="139">
        <f t="shared" si="10"/>
        <v>0</v>
      </c>
      <c r="AG48" s="140">
        <f t="shared" si="35"/>
        <v>0</v>
      </c>
      <c r="AH48" s="140">
        <f t="shared" si="36"/>
        <v>0</v>
      </c>
      <c r="AI48" s="67">
        <f>+'PAJAK JAN-NOV'!R45</f>
        <v>120667</v>
      </c>
      <c r="AJ48" s="478">
        <f t="shared" si="37"/>
        <v>0</v>
      </c>
      <c r="AK48" s="32" t="str">
        <f>+'PAJAK JAN-NOV'!B45</f>
        <v>MUHAMAD AMIN</v>
      </c>
      <c r="AL48" s="33">
        <f t="shared" si="7"/>
        <v>120667</v>
      </c>
      <c r="AM48" s="32"/>
      <c r="AN48" s="33"/>
      <c r="AO48" s="32"/>
      <c r="AP48" s="32"/>
    </row>
    <row r="49" spans="2:42" s="136" customFormat="1" ht="20.25" customHeight="1">
      <c r="B49" s="131">
        <v>44</v>
      </c>
      <c r="C49" s="132" t="str">
        <f>+PERBULAN!B49</f>
        <v>SAMSUL HADI</v>
      </c>
      <c r="D49" s="137" t="s">
        <v>510</v>
      </c>
      <c r="E49" s="37" t="s">
        <v>69</v>
      </c>
      <c r="F49" s="366" t="s">
        <v>513</v>
      </c>
      <c r="G49" s="350" t="s">
        <v>526</v>
      </c>
      <c r="H49" s="362" t="s">
        <v>39</v>
      </c>
      <c r="I49" s="353" t="s">
        <v>11</v>
      </c>
      <c r="J49" s="147" t="str">
        <f t="shared" si="28"/>
        <v>TER B</v>
      </c>
      <c r="K49" s="393">
        <v>1</v>
      </c>
      <c r="L49" s="393">
        <v>12</v>
      </c>
      <c r="M49" s="138">
        <f t="shared" si="39"/>
        <v>4005820</v>
      </c>
      <c r="N49" s="139">
        <v>2188996</v>
      </c>
      <c r="O49" s="139">
        <v>187748.44</v>
      </c>
      <c r="P49" s="138">
        <v>0</v>
      </c>
      <c r="Q49" s="138">
        <f t="shared" si="29"/>
        <v>6382564.4400000004</v>
      </c>
      <c r="R49" s="138">
        <f>+SETAHUN!H50</f>
        <v>1347700</v>
      </c>
      <c r="S49" s="138">
        <f>+SETAHUN!K50</f>
        <v>150000</v>
      </c>
      <c r="T49" s="138">
        <v>0</v>
      </c>
      <c r="U49" s="138">
        <f>+SETAHUN!F50+M49+N49</f>
        <v>95786613.160000011</v>
      </c>
      <c r="V49" s="138">
        <v>0</v>
      </c>
      <c r="W49" s="138">
        <f>+SETAHUN!U50+O49</f>
        <v>2251771.2799999998</v>
      </c>
      <c r="X49" s="138">
        <v>0</v>
      </c>
      <c r="Y49" s="138">
        <v>0</v>
      </c>
      <c r="Z49" s="138">
        <f t="shared" si="30"/>
        <v>1497700</v>
      </c>
      <c r="AA49" s="138">
        <f t="shared" si="31"/>
        <v>99536084.440000013</v>
      </c>
      <c r="AB49" s="138">
        <f t="shared" si="32"/>
        <v>4976804</v>
      </c>
      <c r="AC49" s="138">
        <f>('ASTEK+PENSIUN-DIISI SMPAI DES'!O138+'ASTEK+PENSIUN-DIISI SMPAI DES'!O52)</f>
        <v>1395726</v>
      </c>
      <c r="AD49" s="138">
        <f t="shared" si="33"/>
        <v>93163554.440000013</v>
      </c>
      <c r="AE49" s="139">
        <f t="shared" si="34"/>
        <v>67500000</v>
      </c>
      <c r="AF49" s="139">
        <f t="shared" si="10"/>
        <v>25663000</v>
      </c>
      <c r="AG49" s="140">
        <f t="shared" si="35"/>
        <v>1283150</v>
      </c>
      <c r="AH49" s="140">
        <f t="shared" si="36"/>
        <v>1283150</v>
      </c>
      <c r="AI49" s="67">
        <f>+'PAJAK JAN-NOV'!R46</f>
        <v>1473975</v>
      </c>
      <c r="AJ49" s="478">
        <f t="shared" si="37"/>
        <v>0</v>
      </c>
      <c r="AK49" s="32" t="str">
        <f>+'PAJAK JAN-NOV'!B46</f>
        <v>SAMSUL HADI</v>
      </c>
      <c r="AL49" s="33">
        <f t="shared" si="7"/>
        <v>190825</v>
      </c>
      <c r="AM49" s="32"/>
      <c r="AN49" s="33"/>
      <c r="AO49" s="32"/>
      <c r="AP49" s="32"/>
    </row>
    <row r="50" spans="2:42" s="136" customFormat="1" ht="20.25" customHeight="1">
      <c r="B50" s="131">
        <v>45</v>
      </c>
      <c r="C50" s="132" t="str">
        <f>+PERBULAN!B50</f>
        <v>SAPARUDIN</v>
      </c>
      <c r="D50" s="137" t="s">
        <v>511</v>
      </c>
      <c r="E50" s="37" t="s">
        <v>69</v>
      </c>
      <c r="F50" s="366" t="s">
        <v>514</v>
      </c>
      <c r="G50" s="350" t="s">
        <v>526</v>
      </c>
      <c r="H50" s="362" t="s">
        <v>39</v>
      </c>
      <c r="I50" s="353" t="s">
        <v>12</v>
      </c>
      <c r="J50" s="147" t="str">
        <f t="shared" si="28"/>
        <v>TER C</v>
      </c>
      <c r="K50" s="393">
        <v>1</v>
      </c>
      <c r="L50" s="393">
        <v>12</v>
      </c>
      <c r="M50" s="138">
        <f t="shared" si="39"/>
        <v>4005820</v>
      </c>
      <c r="N50" s="139">
        <v>920872</v>
      </c>
      <c r="O50" s="139">
        <v>187748.44</v>
      </c>
      <c r="P50" s="138">
        <v>0</v>
      </c>
      <c r="Q50" s="138">
        <f t="shared" si="29"/>
        <v>5114440.4400000004</v>
      </c>
      <c r="R50" s="138">
        <f>+SETAHUN!H51</f>
        <v>1347700</v>
      </c>
      <c r="S50" s="138">
        <f>+SETAHUN!K51</f>
        <v>150000</v>
      </c>
      <c r="T50" s="138">
        <v>0</v>
      </c>
      <c r="U50" s="138">
        <f>+SETAHUN!F51+M50+N50</f>
        <v>63846028.160000004</v>
      </c>
      <c r="V50" s="138">
        <v>0</v>
      </c>
      <c r="W50" s="138">
        <f>+SETAHUN!U51+O50</f>
        <v>2251771.2799999998</v>
      </c>
      <c r="X50" s="138">
        <v>0</v>
      </c>
      <c r="Y50" s="138">
        <v>0</v>
      </c>
      <c r="Z50" s="138">
        <f t="shared" si="30"/>
        <v>1497700</v>
      </c>
      <c r="AA50" s="138">
        <f t="shared" si="31"/>
        <v>67595499.439999998</v>
      </c>
      <c r="AB50" s="138">
        <f t="shared" si="32"/>
        <v>3379775</v>
      </c>
      <c r="AC50" s="138">
        <f>('ASTEK+PENSIUN-DIISI SMPAI DES'!O139+'ASTEK+PENSIUN-DIISI SMPAI DES'!O53)</f>
        <v>1395726</v>
      </c>
      <c r="AD50" s="138">
        <f t="shared" si="33"/>
        <v>62819998.439999998</v>
      </c>
      <c r="AE50" s="139">
        <f t="shared" si="34"/>
        <v>72000000</v>
      </c>
      <c r="AF50" s="139">
        <f t="shared" si="10"/>
        <v>0</v>
      </c>
      <c r="AG50" s="140">
        <f t="shared" si="35"/>
        <v>0</v>
      </c>
      <c r="AH50" s="140">
        <f t="shared" si="36"/>
        <v>0</v>
      </c>
      <c r="AI50" s="67">
        <f>+'PAJAK JAN-NOV'!R47</f>
        <v>52843</v>
      </c>
      <c r="AJ50" s="478">
        <f t="shared" si="37"/>
        <v>0</v>
      </c>
      <c r="AK50" s="32" t="str">
        <f>+'PAJAK JAN-NOV'!B47</f>
        <v>SAPARUDIN</v>
      </c>
      <c r="AL50" s="33">
        <f t="shared" si="7"/>
        <v>52843</v>
      </c>
      <c r="AM50" s="32"/>
      <c r="AN50" s="33"/>
      <c r="AO50" s="32"/>
      <c r="AP50" s="32"/>
    </row>
    <row r="51" spans="2:42" s="136" customFormat="1" ht="20.25" customHeight="1">
      <c r="B51" s="131">
        <v>46</v>
      </c>
      <c r="C51" s="422" t="str">
        <f>+PERBULAN!B51</f>
        <v>MUHAMAD FAUZI</v>
      </c>
      <c r="D51" s="423" t="s">
        <v>512</v>
      </c>
      <c r="E51" s="424" t="s">
        <v>69</v>
      </c>
      <c r="F51" s="425" t="s">
        <v>516</v>
      </c>
      <c r="G51" s="426" t="s">
        <v>526</v>
      </c>
      <c r="H51" s="427" t="s">
        <v>39</v>
      </c>
      <c r="I51" s="428" t="s">
        <v>7</v>
      </c>
      <c r="J51" s="428" t="str">
        <f t="shared" si="28"/>
        <v>TER A</v>
      </c>
      <c r="K51" s="429">
        <v>1</v>
      </c>
      <c r="L51" s="429">
        <v>3</v>
      </c>
      <c r="M51" s="430"/>
      <c r="N51" s="430"/>
      <c r="O51" s="430"/>
      <c r="P51" s="431">
        <v>0</v>
      </c>
      <c r="Q51" s="431">
        <f t="shared" si="29"/>
        <v>0</v>
      </c>
      <c r="R51" s="431">
        <f>+SETAHUN!H52</f>
        <v>1314700</v>
      </c>
      <c r="S51" s="431">
        <f>+SETAHUN!K52</f>
        <v>0</v>
      </c>
      <c r="T51" s="431">
        <v>0</v>
      </c>
      <c r="U51" s="431">
        <f>+SETAHUN!F52+M51+N51</f>
        <v>9322433.6799999997</v>
      </c>
      <c r="V51" s="431">
        <v>0</v>
      </c>
      <c r="W51" s="431">
        <f>+SETAHUN!U52+O51</f>
        <v>562882.31999999995</v>
      </c>
      <c r="X51" s="431">
        <v>0</v>
      </c>
      <c r="Y51" s="431">
        <v>0</v>
      </c>
      <c r="Z51" s="431">
        <f t="shared" si="30"/>
        <v>1314700</v>
      </c>
      <c r="AA51" s="431">
        <f t="shared" si="31"/>
        <v>11200016</v>
      </c>
      <c r="AB51" s="431">
        <f t="shared" si="32"/>
        <v>560001</v>
      </c>
      <c r="AC51" s="431">
        <f>('ASTEK+PENSIUN-DIISI SMPAI DES'!O140+'ASTEK+PENSIUN-DIISI SMPAI DES'!O54)</f>
        <v>348894</v>
      </c>
      <c r="AD51" s="431">
        <f t="shared" si="33"/>
        <v>10291121</v>
      </c>
      <c r="AE51" s="430">
        <f t="shared" si="34"/>
        <v>54000000</v>
      </c>
      <c r="AF51" s="430">
        <f t="shared" si="10"/>
        <v>0</v>
      </c>
      <c r="AG51" s="432">
        <f t="shared" si="35"/>
        <v>0</v>
      </c>
      <c r="AH51" s="432">
        <f t="shared" si="36"/>
        <v>0</v>
      </c>
      <c r="AI51" s="430">
        <f>+'PAJAK JAN-NOV'!R48</f>
        <v>0</v>
      </c>
      <c r="AJ51" s="479">
        <f t="shared" si="37"/>
        <v>0</v>
      </c>
      <c r="AK51" s="32" t="str">
        <f>+'PAJAK JAN-NOV'!B48</f>
        <v>MUHAMAD FAUZI</v>
      </c>
      <c r="AL51" s="33">
        <f t="shared" si="7"/>
        <v>0</v>
      </c>
      <c r="AM51" s="32"/>
      <c r="AN51" s="33"/>
      <c r="AO51" s="32"/>
      <c r="AP51" s="32"/>
    </row>
    <row r="52" spans="2:42" s="136" customFormat="1" ht="20.25" customHeight="1">
      <c r="B52" s="131">
        <v>47</v>
      </c>
      <c r="C52" s="422" t="str">
        <f>+PERBULAN!B52</f>
        <v>MAHYUDIN</v>
      </c>
      <c r="D52" s="423">
        <v>5202013112790100</v>
      </c>
      <c r="E52" s="424" t="s">
        <v>69</v>
      </c>
      <c r="F52" s="425" t="s">
        <v>517</v>
      </c>
      <c r="G52" s="426" t="s">
        <v>526</v>
      </c>
      <c r="H52" s="427" t="s">
        <v>39</v>
      </c>
      <c r="I52" s="428" t="s">
        <v>9</v>
      </c>
      <c r="J52" s="428" t="str">
        <f t="shared" si="28"/>
        <v>TER B</v>
      </c>
      <c r="K52" s="429">
        <v>1</v>
      </c>
      <c r="L52" s="429">
        <v>3</v>
      </c>
      <c r="M52" s="430"/>
      <c r="N52" s="430"/>
      <c r="O52" s="430"/>
      <c r="P52" s="431">
        <v>0</v>
      </c>
      <c r="Q52" s="431">
        <f t="shared" si="29"/>
        <v>0</v>
      </c>
      <c r="R52" s="431">
        <f>+SETAHUN!H53</f>
        <v>1338700</v>
      </c>
      <c r="S52" s="431">
        <f>+SETAHUN!K53</f>
        <v>0</v>
      </c>
      <c r="T52" s="431">
        <v>0</v>
      </c>
      <c r="U52" s="431">
        <f>+SETAHUN!F53+M52+N52</f>
        <v>10112865.68</v>
      </c>
      <c r="V52" s="431">
        <v>0</v>
      </c>
      <c r="W52" s="431">
        <f>+SETAHUN!U53+O52</f>
        <v>562882.31999999995</v>
      </c>
      <c r="X52" s="431">
        <v>0</v>
      </c>
      <c r="Y52" s="431">
        <v>0</v>
      </c>
      <c r="Z52" s="431">
        <f t="shared" si="30"/>
        <v>1338700</v>
      </c>
      <c r="AA52" s="431">
        <f t="shared" si="31"/>
        <v>12014448</v>
      </c>
      <c r="AB52" s="431">
        <f t="shared" si="32"/>
        <v>600722</v>
      </c>
      <c r="AC52" s="431">
        <f>('ASTEK+PENSIUN-DIISI SMPAI DES'!O141+'ASTEK+PENSIUN-DIISI SMPAI DES'!O55)</f>
        <v>348894</v>
      </c>
      <c r="AD52" s="431">
        <f t="shared" si="33"/>
        <v>11064832</v>
      </c>
      <c r="AE52" s="430">
        <f t="shared" si="34"/>
        <v>63000000</v>
      </c>
      <c r="AF52" s="430">
        <f t="shared" si="10"/>
        <v>0</v>
      </c>
      <c r="AG52" s="432">
        <f t="shared" si="35"/>
        <v>0</v>
      </c>
      <c r="AH52" s="432">
        <f t="shared" si="36"/>
        <v>0</v>
      </c>
      <c r="AI52" s="430">
        <f>+'PAJAK JAN-NOV'!R49</f>
        <v>0</v>
      </c>
      <c r="AJ52" s="479">
        <f t="shared" si="37"/>
        <v>0</v>
      </c>
      <c r="AK52" s="32" t="str">
        <f>+'PAJAK JAN-NOV'!B49</f>
        <v>MAHYUDIN</v>
      </c>
      <c r="AL52" s="33">
        <f t="shared" si="7"/>
        <v>0</v>
      </c>
      <c r="AM52" s="32"/>
      <c r="AN52" s="33"/>
      <c r="AO52" s="32"/>
      <c r="AP52" s="32"/>
    </row>
    <row r="53" spans="2:42" s="136" customFormat="1" ht="20.25" customHeight="1">
      <c r="B53" s="131">
        <v>48</v>
      </c>
      <c r="C53" s="422" t="str">
        <f>+PERBULAN!B53</f>
        <v>ASRI</v>
      </c>
      <c r="D53" s="423" t="s">
        <v>528</v>
      </c>
      <c r="E53" s="424" t="s">
        <v>69</v>
      </c>
      <c r="F53" s="425" t="s">
        <v>529</v>
      </c>
      <c r="G53" s="426" t="s">
        <v>526</v>
      </c>
      <c r="H53" s="427" t="s">
        <v>39</v>
      </c>
      <c r="I53" s="428" t="s">
        <v>7</v>
      </c>
      <c r="J53" s="428" t="str">
        <f t="shared" si="28"/>
        <v>TER A</v>
      </c>
      <c r="K53" s="429">
        <v>1</v>
      </c>
      <c r="L53" s="429">
        <v>9</v>
      </c>
      <c r="M53" s="430"/>
      <c r="N53" s="430"/>
      <c r="O53" s="430"/>
      <c r="P53" s="431">
        <v>0</v>
      </c>
      <c r="Q53" s="431">
        <f t="shared" si="29"/>
        <v>0</v>
      </c>
      <c r="R53" s="431">
        <f>+SETAHUN!H54</f>
        <v>986025</v>
      </c>
      <c r="S53" s="431">
        <f>+SETAHUN!K54</f>
        <v>75000</v>
      </c>
      <c r="T53" s="431">
        <v>0</v>
      </c>
      <c r="U53" s="431">
        <f>+SETAHUN!F54+M53+N53</f>
        <v>42556659.039999999</v>
      </c>
      <c r="V53" s="431">
        <v>0</v>
      </c>
      <c r="W53" s="431">
        <f>+SETAHUN!U54+O53</f>
        <v>1688646.96</v>
      </c>
      <c r="X53" s="431">
        <v>0</v>
      </c>
      <c r="Y53" s="431">
        <v>0</v>
      </c>
      <c r="Z53" s="431">
        <f t="shared" si="30"/>
        <v>1061025</v>
      </c>
      <c r="AA53" s="431">
        <f t="shared" si="31"/>
        <v>45306331</v>
      </c>
      <c r="AB53" s="431">
        <f>ROUND(IF((AA53)*5%&gt;6000000,6000000,(AA53)*5%),0)</f>
        <v>2265317</v>
      </c>
      <c r="AC53" s="431">
        <f>('ASTEK+PENSIUN-DIISI SMPAI DES'!O142+'ASTEK+PENSIUN-DIISI SMPAI DES'!O56)</f>
        <v>1046682</v>
      </c>
      <c r="AD53" s="431">
        <f t="shared" si="33"/>
        <v>41994332</v>
      </c>
      <c r="AE53" s="430">
        <f t="shared" si="34"/>
        <v>54000000</v>
      </c>
      <c r="AF53" s="430">
        <f t="shared" si="10"/>
        <v>0</v>
      </c>
      <c r="AG53" s="432">
        <f t="shared" si="35"/>
        <v>0</v>
      </c>
      <c r="AH53" s="432">
        <f t="shared" si="36"/>
        <v>0</v>
      </c>
      <c r="AI53" s="430">
        <f>+'PAJAK JAN-NOV'!R50</f>
        <v>191059</v>
      </c>
      <c r="AJ53" s="479">
        <f t="shared" si="37"/>
        <v>0</v>
      </c>
      <c r="AK53" s="32" t="str">
        <f>+'PAJAK JAN-NOV'!B50</f>
        <v>ASRI</v>
      </c>
      <c r="AL53" s="33">
        <f t="shared" si="7"/>
        <v>191059</v>
      </c>
      <c r="AM53" s="32"/>
      <c r="AN53" s="33"/>
      <c r="AO53" s="32"/>
      <c r="AP53" s="32"/>
    </row>
    <row r="54" spans="2:42" s="136" customFormat="1" ht="20.25" customHeight="1">
      <c r="B54" s="131">
        <v>49</v>
      </c>
      <c r="C54" s="422" t="str">
        <f>+PERBULAN!B54</f>
        <v>RUSDIANTO</v>
      </c>
      <c r="D54" s="423" t="s">
        <v>532</v>
      </c>
      <c r="E54" s="424" t="s">
        <v>69</v>
      </c>
      <c r="F54" s="425" t="s">
        <v>533</v>
      </c>
      <c r="G54" s="426" t="s">
        <v>526</v>
      </c>
      <c r="H54" s="427" t="s">
        <v>39</v>
      </c>
      <c r="I54" s="428" t="s">
        <v>11</v>
      </c>
      <c r="J54" s="428" t="str">
        <f t="shared" si="28"/>
        <v>TER B</v>
      </c>
      <c r="K54" s="429">
        <v>1</v>
      </c>
      <c r="L54" s="429">
        <v>1</v>
      </c>
      <c r="M54" s="430"/>
      <c r="N54" s="430"/>
      <c r="O54" s="430"/>
      <c r="P54" s="431">
        <v>0</v>
      </c>
      <c r="Q54" s="431">
        <f t="shared" si="29"/>
        <v>0</v>
      </c>
      <c r="R54" s="431">
        <f>+SETAHUN!H55</f>
        <v>0</v>
      </c>
      <c r="S54" s="431">
        <f>+SETAHUN!K55</f>
        <v>0</v>
      </c>
      <c r="T54" s="431">
        <v>0</v>
      </c>
      <c r="U54" s="431">
        <f>+SETAHUN!F55+M54+N54</f>
        <v>2006009.56</v>
      </c>
      <c r="V54" s="431">
        <v>0</v>
      </c>
      <c r="W54" s="431">
        <f>+SETAHUN!U55+O54</f>
        <v>187627.44</v>
      </c>
      <c r="X54" s="431">
        <v>0</v>
      </c>
      <c r="Y54" s="431">
        <v>0</v>
      </c>
      <c r="Z54" s="431">
        <f t="shared" si="30"/>
        <v>0</v>
      </c>
      <c r="AA54" s="431">
        <f t="shared" si="31"/>
        <v>2193637</v>
      </c>
      <c r="AB54" s="431">
        <f t="shared" si="32"/>
        <v>109682</v>
      </c>
      <c r="AC54" s="431">
        <f>('ASTEK+PENSIUN-DIISI SMPAI DES'!O143+'ASTEK+PENSIUN-DIISI SMPAI DES'!O57)</f>
        <v>116298</v>
      </c>
      <c r="AD54" s="431">
        <f t="shared" si="33"/>
        <v>1967657</v>
      </c>
      <c r="AE54" s="430">
        <f t="shared" si="34"/>
        <v>67500000</v>
      </c>
      <c r="AF54" s="430">
        <f t="shared" si="10"/>
        <v>0</v>
      </c>
      <c r="AG54" s="432">
        <f t="shared" si="35"/>
        <v>0</v>
      </c>
      <c r="AH54" s="432">
        <f t="shared" si="36"/>
        <v>0</v>
      </c>
      <c r="AI54" s="430">
        <f>+'PAJAK JAN-NOV'!R51</f>
        <v>0</v>
      </c>
      <c r="AJ54" s="479">
        <f t="shared" si="37"/>
        <v>0</v>
      </c>
      <c r="AK54" s="32" t="str">
        <f>+'PAJAK JAN-NOV'!B51</f>
        <v>RUSDIANTO</v>
      </c>
      <c r="AL54" s="33">
        <f t="shared" si="7"/>
        <v>0</v>
      </c>
      <c r="AM54" s="32"/>
      <c r="AN54" s="33"/>
      <c r="AO54" s="32"/>
      <c r="AP54" s="32"/>
    </row>
    <row r="55" spans="2:42" s="136" customFormat="1" ht="20.25" customHeight="1">
      <c r="B55" s="131">
        <v>50</v>
      </c>
      <c r="C55" s="422" t="str">
        <f>+PERBULAN!B55</f>
        <v>LALU MUHAMAD HADI</v>
      </c>
      <c r="D55" s="423">
        <v>5202010107810070</v>
      </c>
      <c r="E55" s="424" t="s">
        <v>69</v>
      </c>
      <c r="F55" s="425" t="s">
        <v>515</v>
      </c>
      <c r="G55" s="426" t="s">
        <v>526</v>
      </c>
      <c r="H55" s="427" t="s">
        <v>39</v>
      </c>
      <c r="I55" s="428" t="s">
        <v>17</v>
      </c>
      <c r="J55" s="428" t="str">
        <f t="shared" si="28"/>
        <v>TER A</v>
      </c>
      <c r="K55" s="429">
        <v>1</v>
      </c>
      <c r="L55" s="429">
        <v>1</v>
      </c>
      <c r="M55" s="430"/>
      <c r="N55" s="430"/>
      <c r="O55" s="430"/>
      <c r="P55" s="431">
        <v>0</v>
      </c>
      <c r="Q55" s="431">
        <f t="shared" si="29"/>
        <v>0</v>
      </c>
      <c r="R55" s="431">
        <f>+SETAHUN!H56</f>
        <v>0</v>
      </c>
      <c r="S55" s="431">
        <f>+SETAHUN!K56</f>
        <v>0</v>
      </c>
      <c r="T55" s="431">
        <v>0</v>
      </c>
      <c r="U55" s="431">
        <f>+SETAHUN!F56+M55+N55</f>
        <v>1704881.56</v>
      </c>
      <c r="V55" s="431">
        <v>0</v>
      </c>
      <c r="W55" s="431">
        <f>+SETAHUN!U56+O55</f>
        <v>187627.44</v>
      </c>
      <c r="X55" s="431">
        <v>0</v>
      </c>
      <c r="Y55" s="431">
        <v>0</v>
      </c>
      <c r="Z55" s="431">
        <f t="shared" si="30"/>
        <v>0</v>
      </c>
      <c r="AA55" s="431">
        <f t="shared" si="31"/>
        <v>1892509</v>
      </c>
      <c r="AB55" s="431">
        <f t="shared" si="32"/>
        <v>94625</v>
      </c>
      <c r="AC55" s="431">
        <f>('ASTEK+PENSIUN-DIISI SMPAI DES'!O144+'ASTEK+PENSIUN-DIISI SMPAI DES'!O58)</f>
        <v>116298</v>
      </c>
      <c r="AD55" s="431">
        <f t="shared" si="33"/>
        <v>1681586</v>
      </c>
      <c r="AE55" s="430">
        <f t="shared" si="34"/>
        <v>58500000</v>
      </c>
      <c r="AF55" s="430">
        <f t="shared" si="10"/>
        <v>0</v>
      </c>
      <c r="AG55" s="432">
        <f t="shared" si="35"/>
        <v>0</v>
      </c>
      <c r="AH55" s="432">
        <f t="shared" si="36"/>
        <v>0</v>
      </c>
      <c r="AI55" s="430">
        <f>+'PAJAK JAN-NOV'!R52</f>
        <v>0</v>
      </c>
      <c r="AJ55" s="479">
        <f t="shared" si="37"/>
        <v>0</v>
      </c>
      <c r="AK55" s="32" t="str">
        <f>+'PAJAK JAN-NOV'!B52</f>
        <v>LALU MUHAMAD HADI</v>
      </c>
      <c r="AL55" s="33">
        <f t="shared" si="7"/>
        <v>0</v>
      </c>
      <c r="AM55" s="32"/>
      <c r="AN55" s="33"/>
      <c r="AO55" s="32"/>
      <c r="AP55" s="32"/>
    </row>
    <row r="56" spans="2:42" s="136" customFormat="1" ht="20.25" customHeight="1">
      <c r="B56" s="131">
        <v>51</v>
      </c>
      <c r="C56" s="132" t="str">
        <f>+PERBULAN!B56</f>
        <v>RIJAL</v>
      </c>
      <c r="D56" s="452" t="s">
        <v>584</v>
      </c>
      <c r="E56" s="37" t="s">
        <v>69</v>
      </c>
      <c r="F56" s="366" t="s">
        <v>537</v>
      </c>
      <c r="G56" s="350" t="s">
        <v>526</v>
      </c>
      <c r="H56" s="362" t="s">
        <v>39</v>
      </c>
      <c r="I56" s="353" t="s">
        <v>9</v>
      </c>
      <c r="J56" s="147" t="str">
        <f t="shared" si="28"/>
        <v>TER B</v>
      </c>
      <c r="K56" s="393">
        <v>1</v>
      </c>
      <c r="L56" s="393">
        <v>12</v>
      </c>
      <c r="M56" s="138">
        <f>30*129220</f>
        <v>3876600</v>
      </c>
      <c r="N56" s="139">
        <v>179000</v>
      </c>
      <c r="O56" s="139">
        <v>188232.44</v>
      </c>
      <c r="P56" s="138">
        <v>0</v>
      </c>
      <c r="Q56" s="138">
        <f t="shared" si="29"/>
        <v>4243832.4400000004</v>
      </c>
      <c r="R56" s="138">
        <f>+SETAHUN!H57</f>
        <v>4026100</v>
      </c>
      <c r="S56" s="138">
        <f>+SETAHUN!K57</f>
        <v>200000</v>
      </c>
      <c r="T56" s="138">
        <v>0</v>
      </c>
      <c r="U56" s="138">
        <f>+SETAHUN!F57+M56+N56</f>
        <v>49786089.599999994</v>
      </c>
      <c r="V56" s="138">
        <v>0</v>
      </c>
      <c r="W56" s="138">
        <f>+SETAHUN!U57+O56</f>
        <v>2257317.2799999998</v>
      </c>
      <c r="X56" s="138">
        <v>0</v>
      </c>
      <c r="Y56" s="138">
        <v>0</v>
      </c>
      <c r="Z56" s="138">
        <f t="shared" si="30"/>
        <v>4226100</v>
      </c>
      <c r="AA56" s="138">
        <f t="shared" si="31"/>
        <v>56269506.879999995</v>
      </c>
      <c r="AB56" s="138">
        <f t="shared" si="32"/>
        <v>2813475</v>
      </c>
      <c r="AC56" s="138">
        <f>('ASTEK+PENSIUN-DIISI SMPAI DES'!O145+'ASTEK+PENSIUN-DIISI SMPAI DES'!O59)</f>
        <v>1397676</v>
      </c>
      <c r="AD56" s="138">
        <f t="shared" si="33"/>
        <v>52058355.879999995</v>
      </c>
      <c r="AE56" s="139">
        <f t="shared" si="34"/>
        <v>63000000</v>
      </c>
      <c r="AF56" s="139">
        <f t="shared" si="10"/>
        <v>0</v>
      </c>
      <c r="AG56" s="140">
        <f t="shared" si="35"/>
        <v>0</v>
      </c>
      <c r="AH56" s="140">
        <f t="shared" si="36"/>
        <v>0</v>
      </c>
      <c r="AI56" s="67">
        <f>+'PAJAK JAN-NOV'!R53</f>
        <v>84012</v>
      </c>
      <c r="AJ56" s="478">
        <f t="shared" si="37"/>
        <v>0</v>
      </c>
      <c r="AK56" s="32" t="str">
        <f>+'PAJAK JAN-NOV'!B53</f>
        <v>RIJAL</v>
      </c>
      <c r="AL56" s="33">
        <f t="shared" si="7"/>
        <v>84012</v>
      </c>
      <c r="AM56" s="32"/>
      <c r="AN56" s="33"/>
      <c r="AO56" s="32"/>
      <c r="AP56" s="32"/>
    </row>
    <row r="57" spans="2:42" s="136" customFormat="1" ht="20.25" customHeight="1">
      <c r="B57" s="131">
        <v>52</v>
      </c>
      <c r="C57" s="132" t="str">
        <f>+PERBULAN!B57</f>
        <v>FAHRUDIN</v>
      </c>
      <c r="D57" s="137" t="s">
        <v>540</v>
      </c>
      <c r="E57" s="37" t="s">
        <v>69</v>
      </c>
      <c r="F57" s="366" t="s">
        <v>541</v>
      </c>
      <c r="G57" s="350" t="s">
        <v>526</v>
      </c>
      <c r="H57" s="362" t="s">
        <v>39</v>
      </c>
      <c r="I57" s="353" t="s">
        <v>7</v>
      </c>
      <c r="J57" s="147" t="str">
        <f t="shared" si="28"/>
        <v>TER A</v>
      </c>
      <c r="K57" s="393">
        <v>3</v>
      </c>
      <c r="L57" s="393">
        <v>12</v>
      </c>
      <c r="M57" s="138">
        <f t="shared" ref="M57:M70" si="40">31*129220</f>
        <v>4005820</v>
      </c>
      <c r="N57" s="139">
        <v>1455820</v>
      </c>
      <c r="O57" s="139">
        <v>187627.44</v>
      </c>
      <c r="P57" s="138">
        <v>0</v>
      </c>
      <c r="Q57" s="138">
        <f t="shared" si="29"/>
        <v>5649267.4400000004</v>
      </c>
      <c r="R57" s="138">
        <f>+SETAHUN!H58</f>
        <v>0</v>
      </c>
      <c r="S57" s="138">
        <f>+SETAHUN!K58</f>
        <v>0</v>
      </c>
      <c r="T57" s="138">
        <v>0</v>
      </c>
      <c r="U57" s="138">
        <f>+SETAHUN!F58+M57+N57</f>
        <v>53314341.039999999</v>
      </c>
      <c r="V57" s="138">
        <v>0</v>
      </c>
      <c r="W57" s="138">
        <f>+SETAHUN!U58+O57</f>
        <v>1876274.4</v>
      </c>
      <c r="X57" s="138">
        <v>0</v>
      </c>
      <c r="Y57" s="138">
        <v>0</v>
      </c>
      <c r="Z57" s="138">
        <f t="shared" si="30"/>
        <v>0</v>
      </c>
      <c r="AA57" s="138">
        <f t="shared" si="31"/>
        <v>55190615.439999998</v>
      </c>
      <c r="AB57" s="138">
        <f t="shared" si="32"/>
        <v>2759531</v>
      </c>
      <c r="AC57" s="138">
        <f>('ASTEK+PENSIUN-DIISI SMPAI DES'!O146+'ASTEK+PENSIUN-DIISI SMPAI DES'!O60)</f>
        <v>1162980</v>
      </c>
      <c r="AD57" s="138">
        <f t="shared" si="33"/>
        <v>51268104.439999998</v>
      </c>
      <c r="AE57" s="139">
        <f t="shared" si="34"/>
        <v>54000000</v>
      </c>
      <c r="AF57" s="139">
        <f t="shared" si="10"/>
        <v>0</v>
      </c>
      <c r="AG57" s="140">
        <f t="shared" si="35"/>
        <v>0</v>
      </c>
      <c r="AH57" s="140">
        <f t="shared" si="36"/>
        <v>0</v>
      </c>
      <c r="AI57" s="67">
        <f>+'PAJAK JAN-NOV'!R54</f>
        <v>284296</v>
      </c>
      <c r="AJ57" s="478">
        <f t="shared" si="37"/>
        <v>0</v>
      </c>
      <c r="AK57" s="32" t="str">
        <f>+'PAJAK JAN-NOV'!B54</f>
        <v>FAHRUDIN</v>
      </c>
      <c r="AL57" s="33">
        <f t="shared" si="7"/>
        <v>284296</v>
      </c>
      <c r="AM57" s="32"/>
      <c r="AN57" s="33"/>
      <c r="AO57" s="32"/>
      <c r="AP57" s="32"/>
    </row>
    <row r="58" spans="2:42" s="136" customFormat="1" ht="20.25" customHeight="1">
      <c r="B58" s="131">
        <v>53</v>
      </c>
      <c r="C58" s="132" t="str">
        <f>+PERBULAN!B58</f>
        <v>HERIANTO ARBI</v>
      </c>
      <c r="D58" s="451" t="s">
        <v>544</v>
      </c>
      <c r="E58" s="37" t="s">
        <v>69</v>
      </c>
      <c r="F58" s="366" t="s">
        <v>545</v>
      </c>
      <c r="G58" s="350" t="s">
        <v>526</v>
      </c>
      <c r="H58" s="362" t="s">
        <v>39</v>
      </c>
      <c r="I58" s="353" t="s">
        <v>7</v>
      </c>
      <c r="J58" s="147" t="str">
        <f t="shared" si="28"/>
        <v>TER A</v>
      </c>
      <c r="K58" s="393">
        <v>5</v>
      </c>
      <c r="L58" s="393">
        <v>12</v>
      </c>
      <c r="M58" s="138">
        <f t="shared" si="40"/>
        <v>4005820</v>
      </c>
      <c r="N58" s="139">
        <v>858020</v>
      </c>
      <c r="O58" s="139">
        <v>187627.44</v>
      </c>
      <c r="P58" s="138">
        <v>0</v>
      </c>
      <c r="Q58" s="138">
        <f t="shared" si="29"/>
        <v>5051467.4400000004</v>
      </c>
      <c r="R58" s="138">
        <f>+SETAHUN!H59</f>
        <v>0</v>
      </c>
      <c r="S58" s="138">
        <f>+SETAHUN!K59</f>
        <v>0</v>
      </c>
      <c r="T58" s="138">
        <v>0</v>
      </c>
      <c r="U58" s="138">
        <f>+SETAHUN!F59+M58+N58</f>
        <v>39972718.919999994</v>
      </c>
      <c r="V58" s="138">
        <v>0</v>
      </c>
      <c r="W58" s="138">
        <f>+SETAHUN!U59+O58</f>
        <v>1501019.52</v>
      </c>
      <c r="X58" s="138">
        <v>0</v>
      </c>
      <c r="Y58" s="138">
        <v>0</v>
      </c>
      <c r="Z58" s="138">
        <f t="shared" si="30"/>
        <v>0</v>
      </c>
      <c r="AA58" s="138">
        <f t="shared" si="31"/>
        <v>41473738.439999998</v>
      </c>
      <c r="AB58" s="138">
        <f t="shared" si="32"/>
        <v>2073687</v>
      </c>
      <c r="AC58" s="138">
        <f>('ASTEK+PENSIUN-DIISI SMPAI DES'!O147+'ASTEK+PENSIUN-DIISI SMPAI DES'!O61)</f>
        <v>930384</v>
      </c>
      <c r="AD58" s="138">
        <f t="shared" si="33"/>
        <v>38469667.439999998</v>
      </c>
      <c r="AE58" s="139">
        <f t="shared" si="34"/>
        <v>54000000</v>
      </c>
      <c r="AF58" s="139">
        <f t="shared" si="10"/>
        <v>0</v>
      </c>
      <c r="AG58" s="140">
        <f t="shared" si="35"/>
        <v>0</v>
      </c>
      <c r="AH58" s="140">
        <f t="shared" si="36"/>
        <v>0</v>
      </c>
      <c r="AI58" s="67">
        <f>+'PAJAK JAN-NOV'!R55</f>
        <v>60502</v>
      </c>
      <c r="AJ58" s="478">
        <f t="shared" si="37"/>
        <v>0</v>
      </c>
      <c r="AK58" s="32" t="str">
        <f>+'PAJAK JAN-NOV'!B55</f>
        <v>HERIANTO ARBI</v>
      </c>
      <c r="AL58" s="33">
        <f t="shared" si="7"/>
        <v>60502</v>
      </c>
      <c r="AM58" s="32"/>
      <c r="AN58" s="33"/>
      <c r="AO58" s="32"/>
      <c r="AP58" s="32"/>
    </row>
    <row r="59" spans="2:42" s="136" customFormat="1" ht="20.25" customHeight="1">
      <c r="B59" s="131">
        <v>54</v>
      </c>
      <c r="C59" s="132" t="str">
        <f>+PERBULAN!B59</f>
        <v>EKO SUMANJAYA</v>
      </c>
      <c r="D59" s="137" t="s">
        <v>552</v>
      </c>
      <c r="E59" s="37" t="s">
        <v>553</v>
      </c>
      <c r="F59" s="366" t="s">
        <v>554</v>
      </c>
      <c r="G59" s="350" t="s">
        <v>83</v>
      </c>
      <c r="H59" s="362" t="s">
        <v>39</v>
      </c>
      <c r="I59" s="353" t="s">
        <v>9</v>
      </c>
      <c r="J59" s="147" t="str">
        <f t="shared" si="28"/>
        <v>TER B</v>
      </c>
      <c r="K59" s="393">
        <v>1</v>
      </c>
      <c r="L59" s="393">
        <v>12</v>
      </c>
      <c r="M59" s="138">
        <f>29*129220</f>
        <v>3747380</v>
      </c>
      <c r="N59" s="139">
        <v>167850</v>
      </c>
      <c r="O59" s="139">
        <v>189224.64</v>
      </c>
      <c r="P59" s="138">
        <v>0</v>
      </c>
      <c r="Q59" s="138">
        <f t="shared" si="29"/>
        <v>4104454.64</v>
      </c>
      <c r="R59" s="138">
        <f>+SETAHUN!H60</f>
        <v>4046100</v>
      </c>
      <c r="S59" s="138">
        <f>+SETAHUN!K60</f>
        <v>200000</v>
      </c>
      <c r="T59" s="138">
        <v>0</v>
      </c>
      <c r="U59" s="138">
        <f>+SETAHUN!F60+M59+N59</f>
        <v>49382672.199999996</v>
      </c>
      <c r="V59" s="138">
        <v>0</v>
      </c>
      <c r="W59" s="138">
        <f>+SETAHUN!U60+O59</f>
        <v>2267636.88</v>
      </c>
      <c r="X59" s="138">
        <v>0</v>
      </c>
      <c r="Y59" s="138">
        <v>0</v>
      </c>
      <c r="Z59" s="138">
        <f t="shared" si="30"/>
        <v>4246100</v>
      </c>
      <c r="AA59" s="138">
        <f t="shared" si="31"/>
        <v>55896409.079999998</v>
      </c>
      <c r="AB59" s="138">
        <f t="shared" si="32"/>
        <v>2794820</v>
      </c>
      <c r="AC59" s="138">
        <f>('ASTEK+PENSIUN-DIISI SMPAI DES'!O148+'ASTEK+PENSIUN-DIISI SMPAI DES'!O62)</f>
        <v>1401246</v>
      </c>
      <c r="AD59" s="138">
        <f t="shared" si="33"/>
        <v>51700343.079999998</v>
      </c>
      <c r="AE59" s="139">
        <f t="shared" si="34"/>
        <v>63000000</v>
      </c>
      <c r="AF59" s="139">
        <f t="shared" si="10"/>
        <v>0</v>
      </c>
      <c r="AG59" s="140">
        <f t="shared" si="35"/>
        <v>0</v>
      </c>
      <c r="AH59" s="140">
        <f t="shared" si="36"/>
        <v>0</v>
      </c>
      <c r="AI59" s="67">
        <f>+'PAJAK JAN-NOV'!R56</f>
        <v>87005</v>
      </c>
      <c r="AJ59" s="478">
        <f t="shared" si="37"/>
        <v>0</v>
      </c>
      <c r="AK59" s="32" t="str">
        <f>+'PAJAK JAN-NOV'!B56</f>
        <v>EKO SUMANJAYA</v>
      </c>
      <c r="AL59" s="33">
        <f t="shared" si="7"/>
        <v>87005</v>
      </c>
      <c r="AM59" s="32"/>
      <c r="AN59" s="33"/>
      <c r="AO59" s="32"/>
      <c r="AP59" s="32"/>
    </row>
    <row r="60" spans="2:42" s="136" customFormat="1" ht="20.25" customHeight="1">
      <c r="B60" s="131">
        <v>55</v>
      </c>
      <c r="C60" s="132" t="str">
        <f>+PERBULAN!B60</f>
        <v>DEKY FRANZA</v>
      </c>
      <c r="D60" s="137" t="s">
        <v>555</v>
      </c>
      <c r="E60" s="37" t="s">
        <v>69</v>
      </c>
      <c r="F60" s="366" t="s">
        <v>556</v>
      </c>
      <c r="G60" s="350" t="s">
        <v>83</v>
      </c>
      <c r="H60" s="362" t="s">
        <v>39</v>
      </c>
      <c r="I60" s="353" t="s">
        <v>7</v>
      </c>
      <c r="J60" s="147" t="str">
        <f t="shared" si="28"/>
        <v>TER A</v>
      </c>
      <c r="K60" s="393">
        <v>1</v>
      </c>
      <c r="L60" s="393">
        <v>12</v>
      </c>
      <c r="M60" s="138">
        <f>26*129220</f>
        <v>3359720</v>
      </c>
      <c r="N60" s="139">
        <v>189287.27723840345</v>
      </c>
      <c r="O60" s="139">
        <v>187748.44</v>
      </c>
      <c r="P60" s="138">
        <v>0</v>
      </c>
      <c r="Q60" s="138">
        <f t="shared" si="29"/>
        <v>3736755.7172384034</v>
      </c>
      <c r="R60" s="138">
        <f>+SETAHUN!H61</f>
        <v>3286750</v>
      </c>
      <c r="S60" s="138">
        <f>+SETAHUN!K61</f>
        <v>116667</v>
      </c>
      <c r="T60" s="138">
        <v>0</v>
      </c>
      <c r="U60" s="138">
        <f>+SETAHUN!F61+M60+N60</f>
        <v>47670740.43723841</v>
      </c>
      <c r="V60" s="138">
        <v>0</v>
      </c>
      <c r="W60" s="138">
        <f>+SETAHUN!U61+O60</f>
        <v>2252455.2799999998</v>
      </c>
      <c r="X60" s="138">
        <v>0</v>
      </c>
      <c r="Y60" s="138">
        <v>0</v>
      </c>
      <c r="Z60" s="138">
        <f t="shared" si="30"/>
        <v>3403417</v>
      </c>
      <c r="AA60" s="138">
        <f t="shared" si="31"/>
        <v>53326612.717238411</v>
      </c>
      <c r="AB60" s="138">
        <f t="shared" si="32"/>
        <v>2666331</v>
      </c>
      <c r="AC60" s="138">
        <f>('ASTEK+PENSIUN-DIISI SMPAI DES'!O149+'ASTEK+PENSIUN-DIISI SMPAI DES'!O63)</f>
        <v>1396026</v>
      </c>
      <c r="AD60" s="138">
        <f t="shared" si="33"/>
        <v>49264255.717238411</v>
      </c>
      <c r="AE60" s="139">
        <f t="shared" si="34"/>
        <v>54000000</v>
      </c>
      <c r="AF60" s="139">
        <f t="shared" si="10"/>
        <v>0</v>
      </c>
      <c r="AG60" s="140">
        <f t="shared" si="35"/>
        <v>0</v>
      </c>
      <c r="AH60" s="140">
        <f t="shared" si="36"/>
        <v>0</v>
      </c>
      <c r="AI60" s="67">
        <f>+'PAJAK JAN-NOV'!R57</f>
        <v>113237</v>
      </c>
      <c r="AJ60" s="478">
        <f t="shared" si="37"/>
        <v>0</v>
      </c>
      <c r="AK60" s="32" t="str">
        <f>+'PAJAK JAN-NOV'!B57</f>
        <v>DEKY FRANZA</v>
      </c>
      <c r="AL60" s="33">
        <f t="shared" ref="AL60:AL75" si="41">AI60-AH60</f>
        <v>113237</v>
      </c>
      <c r="AM60" s="32"/>
      <c r="AN60" s="33"/>
      <c r="AO60" s="32"/>
      <c r="AP60" s="32"/>
    </row>
    <row r="61" spans="2:42" s="136" customFormat="1" ht="20.25" customHeight="1">
      <c r="B61" s="131">
        <v>56</v>
      </c>
      <c r="C61" s="132" t="str">
        <f>+PERBULAN!B61</f>
        <v>SUMARDI</v>
      </c>
      <c r="D61" s="137" t="s">
        <v>557</v>
      </c>
      <c r="E61" s="37" t="s">
        <v>558</v>
      </c>
      <c r="F61" s="366" t="s">
        <v>559</v>
      </c>
      <c r="G61" s="350" t="s">
        <v>83</v>
      </c>
      <c r="H61" s="362" t="s">
        <v>39</v>
      </c>
      <c r="I61" s="353" t="s">
        <v>9</v>
      </c>
      <c r="J61" s="147" t="str">
        <f t="shared" si="28"/>
        <v>TER B</v>
      </c>
      <c r="K61" s="393">
        <v>1</v>
      </c>
      <c r="L61" s="393">
        <v>12</v>
      </c>
      <c r="M61" s="138">
        <f>27*129220</f>
        <v>3488940</v>
      </c>
      <c r="N61" s="139">
        <v>140400</v>
      </c>
      <c r="O61" s="139">
        <v>188934.24</v>
      </c>
      <c r="P61" s="138">
        <v>0</v>
      </c>
      <c r="Q61" s="138">
        <f t="shared" si="29"/>
        <v>3818274.24</v>
      </c>
      <c r="R61" s="138">
        <f>+SETAHUN!H62</f>
        <v>4026600</v>
      </c>
      <c r="S61" s="138">
        <f>+SETAHUN!K62</f>
        <v>200000</v>
      </c>
      <c r="T61" s="138">
        <v>0</v>
      </c>
      <c r="U61" s="138">
        <f>+SETAHUN!F62+M61+N61</f>
        <v>48886875.79999999</v>
      </c>
      <c r="V61" s="138">
        <v>0</v>
      </c>
      <c r="W61" s="138">
        <f>+SETAHUN!U62+O61</f>
        <v>2264984.88</v>
      </c>
      <c r="X61" s="138">
        <v>0</v>
      </c>
      <c r="Y61" s="138">
        <v>0</v>
      </c>
      <c r="Z61" s="138">
        <f t="shared" si="30"/>
        <v>4226600</v>
      </c>
      <c r="AA61" s="138">
        <f t="shared" si="31"/>
        <v>55378460.679999992</v>
      </c>
      <c r="AB61" s="138">
        <f t="shared" si="32"/>
        <v>2768923</v>
      </c>
      <c r="AC61" s="138">
        <f>('ASTEK+PENSIUN-DIISI SMPAI DES'!O150+'ASTEK+PENSIUN-DIISI SMPAI DES'!O64)</f>
        <v>1400346</v>
      </c>
      <c r="AD61" s="138">
        <f t="shared" si="33"/>
        <v>51209191.679999992</v>
      </c>
      <c r="AE61" s="139">
        <f t="shared" si="34"/>
        <v>63000000</v>
      </c>
      <c r="AF61" s="139">
        <f t="shared" ref="AF61:AF70" si="42">ROUNDDOWN(IF(AD61&lt;=AE61,0,IF(AD61&gt;AE61,AD61-AE61)),-3)</f>
        <v>0</v>
      </c>
      <c r="AG61" s="140">
        <f t="shared" si="35"/>
        <v>0</v>
      </c>
      <c r="AH61" s="140">
        <f t="shared" si="36"/>
        <v>0</v>
      </c>
      <c r="AI61" s="67">
        <f>+'PAJAK JAN-NOV'!R58</f>
        <v>86898</v>
      </c>
      <c r="AJ61" s="478">
        <f>IF(AG61&lt;=AI61,0,IF(AG61&gt;AI61,AG61-AI61))</f>
        <v>0</v>
      </c>
      <c r="AK61" s="32" t="str">
        <f>+'PAJAK JAN-NOV'!B58</f>
        <v>SUMARDI</v>
      </c>
      <c r="AL61" s="33">
        <f t="shared" si="41"/>
        <v>86898</v>
      </c>
      <c r="AM61" s="32"/>
      <c r="AN61" s="33"/>
      <c r="AO61" s="32"/>
      <c r="AP61" s="32"/>
    </row>
    <row r="62" spans="2:42" s="136" customFormat="1" ht="20.25" customHeight="1">
      <c r="B62" s="131">
        <v>57</v>
      </c>
      <c r="C62" s="132" t="str">
        <f>+PERBULAN!B62</f>
        <v>SUKARDI</v>
      </c>
      <c r="D62" s="451" t="s">
        <v>560</v>
      </c>
      <c r="E62" s="37" t="s">
        <v>69</v>
      </c>
      <c r="F62" s="366" t="s">
        <v>561</v>
      </c>
      <c r="G62" s="350" t="s">
        <v>83</v>
      </c>
      <c r="H62" s="362" t="s">
        <v>39</v>
      </c>
      <c r="I62" s="353" t="s">
        <v>17</v>
      </c>
      <c r="J62" s="147" t="str">
        <f t="shared" si="28"/>
        <v>TER A</v>
      </c>
      <c r="K62" s="393">
        <v>1</v>
      </c>
      <c r="L62" s="393">
        <v>12</v>
      </c>
      <c r="M62" s="138">
        <f>29*129220</f>
        <v>3747380</v>
      </c>
      <c r="N62" s="139">
        <v>109800</v>
      </c>
      <c r="O62" s="139">
        <v>187748.44</v>
      </c>
      <c r="P62" s="138">
        <v>0</v>
      </c>
      <c r="Q62" s="138">
        <f t="shared" si="29"/>
        <v>4044928.44</v>
      </c>
      <c r="R62" s="138">
        <f>+SETAHUN!H63</f>
        <v>3655300</v>
      </c>
      <c r="S62" s="138">
        <f>+SETAHUN!K63</f>
        <v>133333</v>
      </c>
      <c r="T62" s="138">
        <v>0</v>
      </c>
      <c r="U62" s="138">
        <f>+SETAHUN!F63+M62+N62</f>
        <v>49909542.160000004</v>
      </c>
      <c r="V62" s="138">
        <v>0</v>
      </c>
      <c r="W62" s="138">
        <f>+SETAHUN!U63+O62</f>
        <v>2252555.2799999998</v>
      </c>
      <c r="X62" s="138">
        <v>0</v>
      </c>
      <c r="Y62" s="138">
        <v>0</v>
      </c>
      <c r="Z62" s="138">
        <f t="shared" si="30"/>
        <v>3788633</v>
      </c>
      <c r="AA62" s="138">
        <f t="shared" si="31"/>
        <v>55950730.440000005</v>
      </c>
      <c r="AB62" s="138">
        <f t="shared" si="32"/>
        <v>2797537</v>
      </c>
      <c r="AC62" s="138">
        <f>('ASTEK+PENSIUN-DIISI SMPAI DES'!O151+'ASTEK+PENSIUN-DIISI SMPAI DES'!O65)</f>
        <v>1396026</v>
      </c>
      <c r="AD62" s="138">
        <f t="shared" si="33"/>
        <v>51757167.440000005</v>
      </c>
      <c r="AE62" s="139">
        <f t="shared" si="34"/>
        <v>58500000</v>
      </c>
      <c r="AF62" s="139">
        <f t="shared" si="42"/>
        <v>0</v>
      </c>
      <c r="AG62" s="140">
        <f t="shared" si="35"/>
        <v>0</v>
      </c>
      <c r="AH62" s="140">
        <f t="shared" si="36"/>
        <v>0</v>
      </c>
      <c r="AI62" s="67">
        <f>+'PAJAK JAN-NOV'!R59</f>
        <v>126195</v>
      </c>
      <c r="AJ62" s="478">
        <f t="shared" si="37"/>
        <v>0</v>
      </c>
      <c r="AK62" s="32" t="str">
        <f>+'PAJAK JAN-NOV'!B59</f>
        <v>SUKARDI</v>
      </c>
      <c r="AL62" s="33">
        <f t="shared" si="41"/>
        <v>126195</v>
      </c>
      <c r="AM62" s="32"/>
      <c r="AN62" s="33"/>
      <c r="AO62" s="32"/>
      <c r="AP62" s="32"/>
    </row>
    <row r="63" spans="2:42" s="136" customFormat="1" ht="20.25" customHeight="1">
      <c r="B63" s="131">
        <v>58</v>
      </c>
      <c r="C63" s="132" t="str">
        <f>+PERBULAN!B63</f>
        <v>YANTI NOVITA</v>
      </c>
      <c r="D63" s="137" t="s">
        <v>262</v>
      </c>
      <c r="E63" s="37" t="s">
        <v>565</v>
      </c>
      <c r="F63" s="366" t="s">
        <v>566</v>
      </c>
      <c r="G63" s="350" t="s">
        <v>83</v>
      </c>
      <c r="H63" s="362" t="s">
        <v>38</v>
      </c>
      <c r="I63" s="353" t="s">
        <v>7</v>
      </c>
      <c r="J63" s="147" t="str">
        <f t="shared" si="28"/>
        <v>TER A</v>
      </c>
      <c r="K63" s="393">
        <v>1</v>
      </c>
      <c r="L63" s="393">
        <v>12</v>
      </c>
      <c r="M63" s="138">
        <f t="shared" si="40"/>
        <v>4005820</v>
      </c>
      <c r="N63" s="139">
        <v>120250</v>
      </c>
      <c r="O63" s="139">
        <v>190071.64</v>
      </c>
      <c r="P63" s="138">
        <v>0</v>
      </c>
      <c r="Q63" s="138">
        <f t="shared" si="29"/>
        <v>4316141.6399999997</v>
      </c>
      <c r="R63" s="138">
        <f>+SETAHUN!H64</f>
        <v>3991100</v>
      </c>
      <c r="S63" s="138">
        <f>+SETAHUN!K64</f>
        <v>200000</v>
      </c>
      <c r="T63" s="138">
        <v>0</v>
      </c>
      <c r="U63" s="138">
        <f>+SETAHUN!F64+M63+N63</f>
        <v>48019941.159999989</v>
      </c>
      <c r="V63" s="138">
        <v>0</v>
      </c>
      <c r="W63" s="138">
        <f>+SETAHUN!U64+O63</f>
        <v>2274747.48</v>
      </c>
      <c r="X63" s="138">
        <v>0</v>
      </c>
      <c r="Y63" s="138">
        <v>0</v>
      </c>
      <c r="Z63" s="138">
        <f t="shared" si="30"/>
        <v>4191100</v>
      </c>
      <c r="AA63" s="138">
        <f t="shared" si="31"/>
        <v>54485788.639999986</v>
      </c>
      <c r="AB63" s="138">
        <f t="shared" si="32"/>
        <v>2724289</v>
      </c>
      <c r="AC63" s="138">
        <f>('ASTEK+PENSIUN-DIISI SMPAI DES'!O152+'ASTEK+PENSIUN-DIISI SMPAI DES'!O66)</f>
        <v>1404141</v>
      </c>
      <c r="AD63" s="138">
        <f t="shared" si="33"/>
        <v>50357358.639999986</v>
      </c>
      <c r="AE63" s="139">
        <f t="shared" si="34"/>
        <v>54000000</v>
      </c>
      <c r="AF63" s="139">
        <f t="shared" si="42"/>
        <v>0</v>
      </c>
      <c r="AG63" s="140">
        <f t="shared" si="35"/>
        <v>0</v>
      </c>
      <c r="AH63" s="140">
        <f t="shared" si="36"/>
        <v>0</v>
      </c>
      <c r="AI63" s="67">
        <f>+'PAJAK JAN-NOV'!R60</f>
        <v>124548</v>
      </c>
      <c r="AJ63" s="478">
        <f t="shared" si="37"/>
        <v>0</v>
      </c>
      <c r="AK63" s="32" t="str">
        <f>+'PAJAK JAN-NOV'!B60</f>
        <v>YANTI NOVITA</v>
      </c>
      <c r="AL63" s="33">
        <f t="shared" si="41"/>
        <v>124548</v>
      </c>
      <c r="AM63" s="32"/>
      <c r="AN63" s="33"/>
      <c r="AO63" s="32"/>
      <c r="AP63" s="32"/>
    </row>
    <row r="64" spans="2:42" s="136" customFormat="1" ht="20.25" customHeight="1">
      <c r="B64" s="131">
        <v>59</v>
      </c>
      <c r="C64" s="132" t="str">
        <f>+PERBULAN!B64</f>
        <v>FRANSISCO GAUTAMA</v>
      </c>
      <c r="D64" s="137" t="s">
        <v>567</v>
      </c>
      <c r="E64" s="37" t="s">
        <v>568</v>
      </c>
      <c r="F64" s="366" t="s">
        <v>569</v>
      </c>
      <c r="G64" s="350" t="s">
        <v>83</v>
      </c>
      <c r="H64" s="362" t="s">
        <v>39</v>
      </c>
      <c r="I64" s="353" t="s">
        <v>9</v>
      </c>
      <c r="J64" s="147" t="str">
        <f t="shared" si="28"/>
        <v>TER B</v>
      </c>
      <c r="K64" s="393">
        <v>1</v>
      </c>
      <c r="L64" s="393">
        <v>12</v>
      </c>
      <c r="M64" s="138">
        <f>30*129220</f>
        <v>3876600</v>
      </c>
      <c r="N64" s="139">
        <v>475659.39766081871</v>
      </c>
      <c r="O64" s="139">
        <v>189563.44</v>
      </c>
      <c r="P64" s="138">
        <v>0</v>
      </c>
      <c r="Q64" s="138">
        <f t="shared" si="29"/>
        <v>4541822.8376608193</v>
      </c>
      <c r="R64" s="138">
        <f>+SETAHUN!H65</f>
        <v>4052600</v>
      </c>
      <c r="S64" s="138">
        <f>+SETAHUN!K65</f>
        <v>200000</v>
      </c>
      <c r="T64" s="138">
        <v>0</v>
      </c>
      <c r="U64" s="138">
        <f>+SETAHUN!F65+M64+N64</f>
        <v>51323420.997660816</v>
      </c>
      <c r="V64" s="138">
        <v>0</v>
      </c>
      <c r="W64" s="138">
        <f>+SETAHUN!U65+O64</f>
        <v>2271058.2799999998</v>
      </c>
      <c r="X64" s="138">
        <v>0</v>
      </c>
      <c r="Y64" s="138">
        <v>0</v>
      </c>
      <c r="Z64" s="138">
        <f t="shared" si="30"/>
        <v>4252600</v>
      </c>
      <c r="AA64" s="138">
        <f t="shared" si="31"/>
        <v>57847079.277660817</v>
      </c>
      <c r="AB64" s="138">
        <f t="shared" si="32"/>
        <v>2892354</v>
      </c>
      <c r="AC64" s="138">
        <f>('ASTEK+PENSIUN-DIISI SMPAI DES'!O153+'ASTEK+PENSIUN-DIISI SMPAI DES'!O67)</f>
        <v>1402251</v>
      </c>
      <c r="AD64" s="138">
        <f t="shared" si="33"/>
        <v>53552474.277660817</v>
      </c>
      <c r="AE64" s="139">
        <f t="shared" si="34"/>
        <v>63000000</v>
      </c>
      <c r="AF64" s="139">
        <f t="shared" si="42"/>
        <v>0</v>
      </c>
      <c r="AG64" s="140">
        <f t="shared" si="35"/>
        <v>0</v>
      </c>
      <c r="AH64" s="140">
        <f t="shared" si="36"/>
        <v>0</v>
      </c>
      <c r="AI64" s="67">
        <f>+'PAJAK JAN-NOV'!R61</f>
        <v>85072</v>
      </c>
      <c r="AJ64" s="478">
        <f t="shared" si="37"/>
        <v>0</v>
      </c>
      <c r="AK64" s="32" t="str">
        <f>+'PAJAK JAN-NOV'!B61</f>
        <v>FRANSISCO GAUTAMA</v>
      </c>
      <c r="AL64" s="33">
        <f t="shared" si="41"/>
        <v>85072</v>
      </c>
      <c r="AM64" s="32"/>
      <c r="AN64" s="33"/>
      <c r="AO64" s="32"/>
      <c r="AP64" s="32"/>
    </row>
    <row r="65" spans="2:54" s="136" customFormat="1" ht="20.25" customHeight="1">
      <c r="B65" s="131">
        <v>60</v>
      </c>
      <c r="C65" s="132" t="str">
        <f>+PERBULAN!B65</f>
        <v>MUSDI</v>
      </c>
      <c r="D65" s="137" t="s">
        <v>570</v>
      </c>
      <c r="E65" s="37" t="s">
        <v>571</v>
      </c>
      <c r="F65" s="366" t="s">
        <v>342</v>
      </c>
      <c r="G65" s="350" t="s">
        <v>83</v>
      </c>
      <c r="H65" s="362" t="s">
        <v>39</v>
      </c>
      <c r="I65" s="353" t="s">
        <v>11</v>
      </c>
      <c r="J65" s="147" t="str">
        <f t="shared" si="28"/>
        <v>TER B</v>
      </c>
      <c r="K65" s="393">
        <v>1</v>
      </c>
      <c r="L65" s="393">
        <v>12</v>
      </c>
      <c r="M65" s="138">
        <f>30*129220</f>
        <v>3876600</v>
      </c>
      <c r="N65" s="139">
        <v>166500</v>
      </c>
      <c r="O65" s="139">
        <v>188934.24</v>
      </c>
      <c r="P65" s="138">
        <v>0</v>
      </c>
      <c r="Q65" s="138">
        <f t="shared" si="29"/>
        <v>4232034.24</v>
      </c>
      <c r="R65" s="138">
        <f>+SETAHUN!H66</f>
        <v>4067100</v>
      </c>
      <c r="S65" s="138">
        <f>+SETAHUN!K66</f>
        <v>200000</v>
      </c>
      <c r="T65" s="138">
        <v>0</v>
      </c>
      <c r="U65" s="138">
        <f>+SETAHUN!F66+M65+N65</f>
        <v>51729508.559999987</v>
      </c>
      <c r="V65" s="138">
        <v>0</v>
      </c>
      <c r="W65" s="138">
        <f>+SETAHUN!U66+O65</f>
        <v>2264839.6799999997</v>
      </c>
      <c r="X65" s="138">
        <v>0</v>
      </c>
      <c r="Y65" s="138">
        <v>0</v>
      </c>
      <c r="Z65" s="138">
        <f t="shared" si="30"/>
        <v>4267100</v>
      </c>
      <c r="AA65" s="138">
        <f t="shared" si="31"/>
        <v>58261448.239999987</v>
      </c>
      <c r="AB65" s="138">
        <f t="shared" si="32"/>
        <v>2913072</v>
      </c>
      <c r="AC65" s="138">
        <f>('ASTEK+PENSIUN-DIISI SMPAI DES'!O154+'ASTEK+PENSIUN-DIISI SMPAI DES'!O68)</f>
        <v>1400256</v>
      </c>
      <c r="AD65" s="138">
        <f t="shared" si="33"/>
        <v>53948120.239999987</v>
      </c>
      <c r="AE65" s="139">
        <f t="shared" si="34"/>
        <v>67500000</v>
      </c>
      <c r="AF65" s="139">
        <f t="shared" si="42"/>
        <v>0</v>
      </c>
      <c r="AG65" s="140">
        <f t="shared" si="35"/>
        <v>0</v>
      </c>
      <c r="AH65" s="140">
        <f t="shared" si="36"/>
        <v>0</v>
      </c>
      <c r="AI65" s="67">
        <f>+'PAJAK JAN-NOV'!R62</f>
        <v>85882</v>
      </c>
      <c r="AJ65" s="478">
        <f t="shared" si="37"/>
        <v>0</v>
      </c>
      <c r="AK65" s="32" t="str">
        <f>+'PAJAK JAN-NOV'!B62</f>
        <v>MUSDI</v>
      </c>
      <c r="AL65" s="33">
        <f t="shared" si="41"/>
        <v>85882</v>
      </c>
      <c r="AM65" s="32"/>
      <c r="AN65" s="33"/>
      <c r="AO65" s="32"/>
      <c r="AP65" s="32"/>
    </row>
    <row r="66" spans="2:54" s="136" customFormat="1" ht="20.25" customHeight="1">
      <c r="B66" s="131">
        <v>61</v>
      </c>
      <c r="C66" s="132" t="str">
        <f>+PERBULAN!B66</f>
        <v>M.IDRIS PRATAMA</v>
      </c>
      <c r="D66" s="452" t="s">
        <v>589</v>
      </c>
      <c r="E66" s="37" t="s">
        <v>69</v>
      </c>
      <c r="F66" s="366" t="s">
        <v>572</v>
      </c>
      <c r="G66" s="350" t="s">
        <v>83</v>
      </c>
      <c r="H66" s="362" t="s">
        <v>39</v>
      </c>
      <c r="I66" s="353" t="s">
        <v>7</v>
      </c>
      <c r="J66" s="147" t="str">
        <f t="shared" si="28"/>
        <v>TER A</v>
      </c>
      <c r="K66" s="393">
        <v>1</v>
      </c>
      <c r="L66" s="393">
        <v>12</v>
      </c>
      <c r="M66" s="138">
        <f>28*129220</f>
        <v>3618160</v>
      </c>
      <c r="N66" s="139">
        <v>51250.204394481349</v>
      </c>
      <c r="O66" s="139">
        <v>187869.44</v>
      </c>
      <c r="P66" s="138">
        <v>0</v>
      </c>
      <c r="Q66" s="138">
        <f t="shared" si="29"/>
        <v>3857279.6443944811</v>
      </c>
      <c r="R66" s="138">
        <f>+SETAHUN!H67</f>
        <v>3946600</v>
      </c>
      <c r="S66" s="138">
        <f>+SETAHUN!K67</f>
        <v>200000</v>
      </c>
      <c r="T66" s="138">
        <v>0</v>
      </c>
      <c r="U66" s="138">
        <f>+SETAHUN!F67+M66+N66</f>
        <v>51007807.364394486</v>
      </c>
      <c r="V66" s="138">
        <v>0</v>
      </c>
      <c r="W66" s="138">
        <f>+SETAHUN!U67+O66</f>
        <v>2253781.2799999998</v>
      </c>
      <c r="X66" s="138">
        <v>0</v>
      </c>
      <c r="Y66" s="138">
        <v>0</v>
      </c>
      <c r="Z66" s="138">
        <f t="shared" si="30"/>
        <v>4146600</v>
      </c>
      <c r="AA66" s="138">
        <f t="shared" si="31"/>
        <v>57408188.644394487</v>
      </c>
      <c r="AB66" s="138">
        <f t="shared" si="32"/>
        <v>2870409</v>
      </c>
      <c r="AC66" s="138">
        <f>('ASTEK+PENSIUN-DIISI SMPAI DES'!O155+'ASTEK+PENSIUN-DIISI SMPAI DES'!O69)</f>
        <v>1396476</v>
      </c>
      <c r="AD66" s="138">
        <f t="shared" si="33"/>
        <v>53141303.644394487</v>
      </c>
      <c r="AE66" s="139">
        <f t="shared" si="34"/>
        <v>54000000</v>
      </c>
      <c r="AF66" s="139">
        <f t="shared" si="42"/>
        <v>0</v>
      </c>
      <c r="AG66" s="140">
        <f t="shared" si="35"/>
        <v>0</v>
      </c>
      <c r="AH66" s="140">
        <f t="shared" si="36"/>
        <v>0</v>
      </c>
      <c r="AI66" s="67">
        <f>+'PAJAK JAN-NOV'!R63</f>
        <v>193365</v>
      </c>
      <c r="AJ66" s="478">
        <f t="shared" si="37"/>
        <v>0</v>
      </c>
      <c r="AK66" s="32" t="str">
        <f>+'PAJAK JAN-NOV'!B63</f>
        <v>M.IDRIS PRATAMA</v>
      </c>
      <c r="AL66" s="33">
        <f t="shared" si="41"/>
        <v>193365</v>
      </c>
      <c r="AM66" s="32"/>
      <c r="AN66" s="33"/>
      <c r="AO66" s="32"/>
      <c r="AP66" s="32"/>
    </row>
    <row r="67" spans="2:54" s="136" customFormat="1" ht="20.25" customHeight="1">
      <c r="B67" s="131">
        <v>62</v>
      </c>
      <c r="C67" s="132" t="str">
        <f>+PERBULAN!B67</f>
        <v>NOLA WILANDA</v>
      </c>
      <c r="D67" s="451" t="s">
        <v>576</v>
      </c>
      <c r="E67" s="37" t="s">
        <v>69</v>
      </c>
      <c r="F67" s="366" t="s">
        <v>577</v>
      </c>
      <c r="G67" s="350" t="s">
        <v>83</v>
      </c>
      <c r="H67" s="362" t="s">
        <v>38</v>
      </c>
      <c r="I67" s="353" t="s">
        <v>7</v>
      </c>
      <c r="J67" s="147" t="str">
        <f t="shared" si="28"/>
        <v>TER A</v>
      </c>
      <c r="K67" s="393">
        <v>9</v>
      </c>
      <c r="L67" s="393">
        <v>12</v>
      </c>
      <c r="M67" s="138">
        <f t="shared" si="40"/>
        <v>4005820</v>
      </c>
      <c r="N67" s="139">
        <v>69750</v>
      </c>
      <c r="O67" s="139">
        <v>187627.44</v>
      </c>
      <c r="P67" s="138">
        <v>0</v>
      </c>
      <c r="Q67" s="138">
        <f t="shared" si="29"/>
        <v>4263197.4400000004</v>
      </c>
      <c r="R67" s="138">
        <f>+SETAHUN!H68</f>
        <v>0</v>
      </c>
      <c r="S67" s="138">
        <f>+SETAHUN!K68</f>
        <v>0</v>
      </c>
      <c r="T67" s="138">
        <v>0</v>
      </c>
      <c r="U67" s="138">
        <f>+SETAHUN!F68+M67+N67</f>
        <v>15834588.68</v>
      </c>
      <c r="V67" s="138">
        <v>0</v>
      </c>
      <c r="W67" s="138">
        <f>+SETAHUN!U68+O67</f>
        <v>750509.76</v>
      </c>
      <c r="X67" s="138">
        <v>0</v>
      </c>
      <c r="Y67" s="138">
        <v>0</v>
      </c>
      <c r="Z67" s="138">
        <f t="shared" si="30"/>
        <v>0</v>
      </c>
      <c r="AA67" s="138">
        <f t="shared" si="31"/>
        <v>16585098.439999999</v>
      </c>
      <c r="AB67" s="138">
        <f t="shared" si="32"/>
        <v>829255</v>
      </c>
      <c r="AC67" s="138">
        <f>('ASTEK+PENSIUN-DIISI SMPAI DES'!O156+'ASTEK+PENSIUN-DIISI SMPAI DES'!O70)</f>
        <v>465192</v>
      </c>
      <c r="AD67" s="138">
        <f t="shared" si="33"/>
        <v>15290651.439999999</v>
      </c>
      <c r="AE67" s="139">
        <f t="shared" si="34"/>
        <v>54000000</v>
      </c>
      <c r="AF67" s="139">
        <f t="shared" si="42"/>
        <v>0</v>
      </c>
      <c r="AG67" s="140">
        <f t="shared" si="35"/>
        <v>0</v>
      </c>
      <c r="AH67" s="140">
        <f t="shared" si="36"/>
        <v>0</v>
      </c>
      <c r="AI67" s="67">
        <f>+'PAJAK JAN-NOV'!R64</f>
        <v>0</v>
      </c>
      <c r="AJ67" s="478">
        <f t="shared" si="37"/>
        <v>0</v>
      </c>
      <c r="AK67" s="32" t="str">
        <f>+'PAJAK JAN-NOV'!B64</f>
        <v>NOLA WILANDA</v>
      </c>
      <c r="AL67" s="33">
        <f t="shared" si="41"/>
        <v>0</v>
      </c>
      <c r="AM67" s="32"/>
      <c r="AN67" s="33"/>
      <c r="AO67" s="32"/>
      <c r="AP67" s="32"/>
    </row>
    <row r="68" spans="2:54" s="136" customFormat="1" ht="20.25" customHeight="1">
      <c r="B68" s="131">
        <v>63</v>
      </c>
      <c r="C68" s="132" t="str">
        <f>+PERBULAN!B68</f>
        <v>AGUSTIAN</v>
      </c>
      <c r="D68" s="451" t="s">
        <v>578</v>
      </c>
      <c r="E68" s="37" t="s">
        <v>69</v>
      </c>
      <c r="F68" s="366" t="s">
        <v>579</v>
      </c>
      <c r="G68" s="350" t="s">
        <v>83</v>
      </c>
      <c r="H68" s="362" t="s">
        <v>39</v>
      </c>
      <c r="I68" s="353" t="s">
        <v>7</v>
      </c>
      <c r="J68" s="147" t="str">
        <f t="shared" si="28"/>
        <v>TER A</v>
      </c>
      <c r="K68" s="393">
        <v>9</v>
      </c>
      <c r="L68" s="393">
        <v>12</v>
      </c>
      <c r="M68" s="138">
        <f>29*129220</f>
        <v>3747380</v>
      </c>
      <c r="N68" s="139">
        <v>65250</v>
      </c>
      <c r="O68" s="139">
        <v>187627.44</v>
      </c>
      <c r="P68" s="138">
        <v>0</v>
      </c>
      <c r="Q68" s="138">
        <f t="shared" si="29"/>
        <v>4000257.44</v>
      </c>
      <c r="R68" s="138">
        <f>+SETAHUN!H69</f>
        <v>0</v>
      </c>
      <c r="S68" s="138">
        <f>+SETAHUN!K69</f>
        <v>0</v>
      </c>
      <c r="T68" s="138">
        <v>0</v>
      </c>
      <c r="U68" s="138">
        <f>+SETAHUN!F69+M68+N68</f>
        <v>15571648.68</v>
      </c>
      <c r="V68" s="138">
        <v>0</v>
      </c>
      <c r="W68" s="138">
        <f>+SETAHUN!U69+O68</f>
        <v>750509.76</v>
      </c>
      <c r="X68" s="138">
        <v>0</v>
      </c>
      <c r="Y68" s="138">
        <v>0</v>
      </c>
      <c r="Z68" s="138">
        <f t="shared" si="30"/>
        <v>0</v>
      </c>
      <c r="AA68" s="138">
        <f t="shared" si="31"/>
        <v>16322158.439999999</v>
      </c>
      <c r="AB68" s="138">
        <f t="shared" si="32"/>
        <v>816108</v>
      </c>
      <c r="AC68" s="138">
        <f>('ASTEK+PENSIUN-DIISI SMPAI DES'!O157+'ASTEK+PENSIUN-DIISI SMPAI DES'!O71)</f>
        <v>465192</v>
      </c>
      <c r="AD68" s="138">
        <f t="shared" si="33"/>
        <v>15040858.439999999</v>
      </c>
      <c r="AE68" s="139">
        <f t="shared" si="34"/>
        <v>54000000</v>
      </c>
      <c r="AF68" s="139">
        <f t="shared" si="42"/>
        <v>0</v>
      </c>
      <c r="AG68" s="140">
        <f t="shared" si="35"/>
        <v>0</v>
      </c>
      <c r="AH68" s="140">
        <f t="shared" si="36"/>
        <v>0</v>
      </c>
      <c r="AI68" s="67">
        <f>+'PAJAK JAN-NOV'!R65</f>
        <v>0</v>
      </c>
      <c r="AJ68" s="478">
        <f t="shared" si="37"/>
        <v>0</v>
      </c>
      <c r="AK68" s="32" t="str">
        <f>+'PAJAK JAN-NOV'!B65</f>
        <v>AGUSTIAN</v>
      </c>
      <c r="AL68" s="33">
        <f t="shared" si="41"/>
        <v>0</v>
      </c>
      <c r="AM68" s="32"/>
      <c r="AN68" s="33"/>
      <c r="AO68" s="32"/>
      <c r="AP68" s="32"/>
    </row>
    <row r="69" spans="2:54" s="136" customFormat="1" ht="20.25" customHeight="1">
      <c r="B69" s="131">
        <v>64</v>
      </c>
      <c r="C69" s="132" t="str">
        <f>+PERBULAN!B69</f>
        <v>DWI MARZETI</v>
      </c>
      <c r="D69" s="451" t="s">
        <v>580</v>
      </c>
      <c r="E69" s="37" t="s">
        <v>69</v>
      </c>
      <c r="F69" s="366" t="s">
        <v>581</v>
      </c>
      <c r="G69" s="350" t="s">
        <v>83</v>
      </c>
      <c r="H69" s="362" t="s">
        <v>38</v>
      </c>
      <c r="I69" s="353" t="s">
        <v>7</v>
      </c>
      <c r="J69" s="147" t="str">
        <f t="shared" si="28"/>
        <v>TER A</v>
      </c>
      <c r="K69" s="393">
        <v>9</v>
      </c>
      <c r="L69" s="393">
        <v>12</v>
      </c>
      <c r="M69" s="138">
        <f t="shared" si="40"/>
        <v>4005820</v>
      </c>
      <c r="N69" s="139">
        <v>69750</v>
      </c>
      <c r="O69" s="139">
        <v>187627.44</v>
      </c>
      <c r="P69" s="138">
        <v>0</v>
      </c>
      <c r="Q69" s="138">
        <f t="shared" si="29"/>
        <v>4263197.4400000004</v>
      </c>
      <c r="R69" s="138">
        <f>+SETAHUN!H70</f>
        <v>0</v>
      </c>
      <c r="S69" s="138">
        <f>+SETAHUN!K70</f>
        <v>0</v>
      </c>
      <c r="T69" s="138">
        <v>0</v>
      </c>
      <c r="U69" s="138">
        <f>+SETAHUN!F70+M69+N69</f>
        <v>15705368.68</v>
      </c>
      <c r="V69" s="138">
        <v>0</v>
      </c>
      <c r="W69" s="138">
        <f>+SETAHUN!U70+O69</f>
        <v>750509.76</v>
      </c>
      <c r="X69" s="138">
        <v>0</v>
      </c>
      <c r="Y69" s="138">
        <v>0</v>
      </c>
      <c r="Z69" s="138">
        <f t="shared" si="30"/>
        <v>0</v>
      </c>
      <c r="AA69" s="138">
        <f t="shared" si="31"/>
        <v>16455878.439999999</v>
      </c>
      <c r="AB69" s="138">
        <f t="shared" si="32"/>
        <v>822794</v>
      </c>
      <c r="AC69" s="138">
        <f>('ASTEK+PENSIUN-DIISI SMPAI DES'!O158+'ASTEK+PENSIUN-DIISI SMPAI DES'!O72)</f>
        <v>465192</v>
      </c>
      <c r="AD69" s="138">
        <f t="shared" si="33"/>
        <v>15167892.439999999</v>
      </c>
      <c r="AE69" s="139">
        <f t="shared" si="34"/>
        <v>54000000</v>
      </c>
      <c r="AF69" s="139">
        <f t="shared" si="42"/>
        <v>0</v>
      </c>
      <c r="AG69" s="140">
        <f t="shared" si="35"/>
        <v>0</v>
      </c>
      <c r="AH69" s="140">
        <f t="shared" si="36"/>
        <v>0</v>
      </c>
      <c r="AI69" s="67">
        <f>+'PAJAK JAN-NOV'!R66</f>
        <v>0</v>
      </c>
      <c r="AJ69" s="478">
        <f t="shared" si="37"/>
        <v>0</v>
      </c>
      <c r="AK69" s="32" t="str">
        <f>+'PAJAK JAN-NOV'!B66</f>
        <v>DWI MARZETI</v>
      </c>
      <c r="AL69" s="33">
        <f t="shared" si="41"/>
        <v>0</v>
      </c>
      <c r="AM69" s="32"/>
      <c r="AN69" s="33"/>
      <c r="AO69" s="32"/>
      <c r="AP69" s="32"/>
    </row>
    <row r="70" spans="2:54" s="136" customFormat="1" ht="20.25" customHeight="1">
      <c r="B70" s="131">
        <v>65</v>
      </c>
      <c r="C70" s="132" t="str">
        <f>+PERBULAN!B70</f>
        <v>SUTRA PRAYOGI</v>
      </c>
      <c r="D70" s="137" t="s">
        <v>583</v>
      </c>
      <c r="E70" s="37" t="s">
        <v>69</v>
      </c>
      <c r="F70" s="366" t="s">
        <v>346</v>
      </c>
      <c r="G70" s="350" t="s">
        <v>526</v>
      </c>
      <c r="H70" s="362" t="s">
        <v>39</v>
      </c>
      <c r="I70" s="353" t="s">
        <v>7</v>
      </c>
      <c r="J70" s="147" t="str">
        <f t="shared" si="28"/>
        <v>TER A</v>
      </c>
      <c r="K70" s="393">
        <v>10</v>
      </c>
      <c r="L70" s="393">
        <v>12</v>
      </c>
      <c r="M70" s="138">
        <f t="shared" si="40"/>
        <v>4005820</v>
      </c>
      <c r="N70" s="139">
        <v>912428.66666666663</v>
      </c>
      <c r="O70" s="139">
        <v>187627.44</v>
      </c>
      <c r="P70" s="138">
        <v>0</v>
      </c>
      <c r="Q70" s="138">
        <f t="shared" si="29"/>
        <v>5105876.1066666674</v>
      </c>
      <c r="R70" s="138">
        <f>+SETAHUN!H71</f>
        <v>0</v>
      </c>
      <c r="S70" s="138">
        <f>+SETAHUN!K71</f>
        <v>0</v>
      </c>
      <c r="T70" s="138">
        <v>0</v>
      </c>
      <c r="U70" s="138">
        <f>+SETAHUN!F71+M70+N70</f>
        <v>14924027.786666665</v>
      </c>
      <c r="V70" s="138">
        <v>0</v>
      </c>
      <c r="W70" s="138">
        <f>+SETAHUN!U71+O70</f>
        <v>562882.32000000007</v>
      </c>
      <c r="X70" s="138">
        <v>0</v>
      </c>
      <c r="Y70" s="138">
        <v>0</v>
      </c>
      <c r="Z70" s="138">
        <f t="shared" si="30"/>
        <v>0</v>
      </c>
      <c r="AA70" s="138">
        <f>SUM(U70:Z70)</f>
        <v>15486910.106666666</v>
      </c>
      <c r="AB70" s="138">
        <f t="shared" si="32"/>
        <v>774346</v>
      </c>
      <c r="AC70" s="138">
        <f>('ASTEK+PENSIUN-DIISI SMPAI DES'!O159+'ASTEK+PENSIUN-DIISI SMPAI DES'!O73)</f>
        <v>348894</v>
      </c>
      <c r="AD70" s="138">
        <f t="shared" si="33"/>
        <v>14363670.106666666</v>
      </c>
      <c r="AE70" s="139">
        <f t="shared" si="34"/>
        <v>54000000</v>
      </c>
      <c r="AF70" s="139">
        <f t="shared" si="42"/>
        <v>0</v>
      </c>
      <c r="AG70" s="140">
        <f t="shared" si="35"/>
        <v>0</v>
      </c>
      <c r="AH70" s="140">
        <f t="shared" si="36"/>
        <v>0</v>
      </c>
      <c r="AI70" s="67">
        <f>+'PAJAK JAN-NOV'!R67</f>
        <v>0</v>
      </c>
      <c r="AJ70" s="478">
        <f t="shared" si="37"/>
        <v>0</v>
      </c>
      <c r="AK70" s="32" t="str">
        <f>+'PAJAK JAN-NOV'!B67</f>
        <v>SUTRA PRAYOGI</v>
      </c>
      <c r="AL70" s="33">
        <f t="shared" si="41"/>
        <v>0</v>
      </c>
      <c r="AM70" s="32"/>
      <c r="AN70" s="33"/>
      <c r="AO70" s="32"/>
      <c r="AP70" s="32"/>
    </row>
    <row r="71" spans="2:54" s="136" customFormat="1" ht="20.25" customHeight="1" thickBot="1">
      <c r="B71" s="131">
        <v>66</v>
      </c>
      <c r="C71" s="132" t="str">
        <f>+PERBULAN!B71</f>
        <v>SAHARUDIN</v>
      </c>
      <c r="D71" s="461" t="s">
        <v>587</v>
      </c>
      <c r="E71" s="37" t="s">
        <v>586</v>
      </c>
      <c r="F71" s="366" t="s">
        <v>588</v>
      </c>
      <c r="G71" s="350" t="s">
        <v>83</v>
      </c>
      <c r="H71" s="362" t="s">
        <v>39</v>
      </c>
      <c r="I71" s="353" t="s">
        <v>17</v>
      </c>
      <c r="J71" s="147" t="str">
        <f t="shared" ref="J71:J75" si="43">IF(ISBLANK(I71),"",IF(OR(I71="TK/0",I71="TK/1",I71="K/0"),"TER A",IF(I71="K/3","TER C","TER B")))</f>
        <v>TER A</v>
      </c>
      <c r="K71" s="393">
        <v>1</v>
      </c>
      <c r="L71" s="393">
        <v>12</v>
      </c>
      <c r="M71" s="138">
        <f>29*129220</f>
        <v>3747380</v>
      </c>
      <c r="N71" s="139">
        <v>140300</v>
      </c>
      <c r="O71" s="139">
        <v>189224.64</v>
      </c>
      <c r="P71" s="138">
        <v>0</v>
      </c>
      <c r="Q71" s="138">
        <f t="shared" ref="Q71:Q75" si="44">SUM(M71:P71)</f>
        <v>4076904.64</v>
      </c>
      <c r="R71" s="138">
        <f>+SETAHUN!H72</f>
        <v>4017600</v>
      </c>
      <c r="S71" s="138">
        <f>+SETAHUN!K72</f>
        <v>200000</v>
      </c>
      <c r="T71" s="138">
        <v>0</v>
      </c>
      <c r="U71" s="138">
        <f>+SETAHUN!F72+M71+N71</f>
        <v>47818436.759999998</v>
      </c>
      <c r="V71" s="138">
        <v>0</v>
      </c>
      <c r="W71" s="138">
        <f>+SETAHUN!U72+O71</f>
        <v>2267876.88</v>
      </c>
      <c r="X71" s="138">
        <v>0</v>
      </c>
      <c r="Y71" s="138">
        <v>0</v>
      </c>
      <c r="Z71" s="138">
        <f t="shared" ref="Z71:Z75" si="45">SUM(R71:T71)</f>
        <v>4217600</v>
      </c>
      <c r="AA71" s="138">
        <f t="shared" ref="AA71:AA75" si="46">SUM(U71:Z71)</f>
        <v>54303913.640000001</v>
      </c>
      <c r="AB71" s="138">
        <f t="shared" si="32"/>
        <v>2715196</v>
      </c>
      <c r="AC71" s="138">
        <f>('ASTEK+PENSIUN-DIISI SMPAI DES'!O160+'ASTEK+PENSIUN-DIISI SMPAI DES'!O74)</f>
        <v>1401246</v>
      </c>
      <c r="AD71" s="138">
        <f t="shared" ref="AD71:AD75" si="47">AA71-AB71-AC71</f>
        <v>50187471.640000001</v>
      </c>
      <c r="AE71" s="139">
        <f t="shared" ref="AE71:AE75" si="48">IFERROR(VLOOKUP(I71,TARIF,3,FALSE),0)</f>
        <v>58500000</v>
      </c>
      <c r="AF71" s="139">
        <f t="shared" ref="AF71:AF75" si="49">ROUNDDOWN(IF(AD71&lt;=AE71,0,IF(AD71&gt;AE71,AD71-AE71)),-3)</f>
        <v>0</v>
      </c>
      <c r="AG71" s="140">
        <f t="shared" ref="AG71:AG75" si="50">IF(AF71&gt;5000000000,AF71*35%-306000000,IF(AF71&gt;500000000,AF71*30%-56000000,IF(AF71&gt;250000000,AF71*25%-31000000,IF(AF71&gt;60000000,AF71*15%-6000000,AF71*5%))))</f>
        <v>0</v>
      </c>
      <c r="AH71" s="140">
        <f t="shared" ref="AH71:AH75" si="51">ROUND(IF(E71=0,AG71*120%,AG71),0)</f>
        <v>0</v>
      </c>
      <c r="AI71" s="67">
        <f>+'PAJAK JAN-NOV'!R68</f>
        <v>123360</v>
      </c>
      <c r="AJ71" s="478">
        <f t="shared" ref="AJ71:AJ75" si="52">IF(AG71&lt;=AI71,0,IF(AG71&gt;AI71,AG71-AI71))</f>
        <v>0</v>
      </c>
      <c r="AK71" s="32" t="str">
        <f>+'PAJAK JAN-NOV'!B68</f>
        <v>SAHARUDIN</v>
      </c>
      <c r="AL71" s="33">
        <f t="shared" si="41"/>
        <v>123360</v>
      </c>
      <c r="AM71" s="32"/>
      <c r="AN71" s="33"/>
      <c r="AO71" s="32"/>
      <c r="AP71" s="32"/>
    </row>
    <row r="72" spans="2:54" s="136" customFormat="1" ht="15" hidden="1" customHeight="1">
      <c r="B72" s="131">
        <v>67</v>
      </c>
      <c r="C72" s="132">
        <f>+PERBULAN!B72</f>
        <v>0</v>
      </c>
      <c r="D72" s="137"/>
      <c r="E72" s="37"/>
      <c r="F72" s="366"/>
      <c r="G72" s="350"/>
      <c r="H72" s="362"/>
      <c r="I72" s="353"/>
      <c r="J72" s="147" t="str">
        <f t="shared" si="43"/>
        <v/>
      </c>
      <c r="K72" s="393"/>
      <c r="L72" s="393"/>
      <c r="M72" s="139"/>
      <c r="N72" s="139"/>
      <c r="O72" s="139"/>
      <c r="P72" s="138">
        <v>0</v>
      </c>
      <c r="Q72" s="138">
        <f t="shared" si="44"/>
        <v>0</v>
      </c>
      <c r="R72" s="138">
        <f>+SETAHUN!H73</f>
        <v>0</v>
      </c>
      <c r="S72" s="138">
        <f>+SETAHUN!K73</f>
        <v>0</v>
      </c>
      <c r="T72" s="138">
        <v>0</v>
      </c>
      <c r="U72" s="138">
        <f>+SETAHUN!F73+M72+N72</f>
        <v>0</v>
      </c>
      <c r="V72" s="138">
        <v>0</v>
      </c>
      <c r="W72" s="138">
        <f>+SETAHUN!U73+O72</f>
        <v>0</v>
      </c>
      <c r="X72" s="138">
        <v>0</v>
      </c>
      <c r="Y72" s="138">
        <v>0</v>
      </c>
      <c r="Z72" s="138">
        <f t="shared" si="45"/>
        <v>0</v>
      </c>
      <c r="AA72" s="138">
        <f t="shared" si="46"/>
        <v>0</v>
      </c>
      <c r="AB72" s="138">
        <f t="shared" si="32"/>
        <v>0</v>
      </c>
      <c r="AC72" s="138">
        <f>('ASTEK+PENSIUN-DIISI SMPAI DES'!O161+'ASTEK+PENSIUN-DIISI SMPAI DES'!O75)</f>
        <v>0</v>
      </c>
      <c r="AD72" s="138">
        <f t="shared" si="47"/>
        <v>0</v>
      </c>
      <c r="AE72" s="139">
        <f t="shared" si="48"/>
        <v>0</v>
      </c>
      <c r="AF72" s="139">
        <f t="shared" si="49"/>
        <v>0</v>
      </c>
      <c r="AG72" s="140">
        <f t="shared" si="50"/>
        <v>0</v>
      </c>
      <c r="AH72" s="140">
        <f t="shared" si="51"/>
        <v>0</v>
      </c>
      <c r="AI72" s="67">
        <f>+'PAJAK JAN-NOV'!R69</f>
        <v>0</v>
      </c>
      <c r="AJ72" s="478">
        <f t="shared" si="52"/>
        <v>0</v>
      </c>
      <c r="AK72" s="32">
        <f>+'PAJAK JAN-NOV'!B69</f>
        <v>0</v>
      </c>
      <c r="AL72" s="33">
        <f t="shared" si="41"/>
        <v>0</v>
      </c>
      <c r="AM72" s="32"/>
      <c r="AN72" s="33"/>
      <c r="AO72" s="32"/>
      <c r="AP72" s="32"/>
    </row>
    <row r="73" spans="2:54" s="136" customFormat="1" ht="15" hidden="1" customHeight="1">
      <c r="B73" s="131">
        <v>68</v>
      </c>
      <c r="C73" s="132">
        <f>+PERBULAN!B73</f>
        <v>0</v>
      </c>
      <c r="D73" s="137"/>
      <c r="E73" s="37"/>
      <c r="F73" s="366"/>
      <c r="G73" s="350"/>
      <c r="H73" s="362"/>
      <c r="I73" s="353"/>
      <c r="J73" s="147" t="str">
        <f t="shared" si="43"/>
        <v/>
      </c>
      <c r="K73" s="393"/>
      <c r="L73" s="393"/>
      <c r="M73" s="139"/>
      <c r="N73" s="139"/>
      <c r="O73" s="139"/>
      <c r="P73" s="138">
        <v>0</v>
      </c>
      <c r="Q73" s="138">
        <f t="shared" si="44"/>
        <v>0</v>
      </c>
      <c r="R73" s="138">
        <f>+SETAHUN!H74</f>
        <v>0</v>
      </c>
      <c r="S73" s="138">
        <f>+SETAHUN!K74</f>
        <v>0</v>
      </c>
      <c r="T73" s="138">
        <v>0</v>
      </c>
      <c r="U73" s="138">
        <f>+SETAHUN!F74+M73+N73</f>
        <v>0</v>
      </c>
      <c r="V73" s="138">
        <v>0</v>
      </c>
      <c r="W73" s="138">
        <f>+SETAHUN!U74+O73</f>
        <v>0</v>
      </c>
      <c r="X73" s="138">
        <v>0</v>
      </c>
      <c r="Y73" s="138">
        <v>0</v>
      </c>
      <c r="Z73" s="138">
        <f t="shared" si="45"/>
        <v>0</v>
      </c>
      <c r="AA73" s="138">
        <f t="shared" si="46"/>
        <v>0</v>
      </c>
      <c r="AB73" s="138">
        <f t="shared" si="32"/>
        <v>0</v>
      </c>
      <c r="AC73" s="138">
        <f>('ASTEK+PENSIUN-DIISI SMPAI DES'!O162+'ASTEK+PENSIUN-DIISI SMPAI DES'!O76)</f>
        <v>0</v>
      </c>
      <c r="AD73" s="138">
        <f t="shared" si="47"/>
        <v>0</v>
      </c>
      <c r="AE73" s="139">
        <f t="shared" si="48"/>
        <v>0</v>
      </c>
      <c r="AF73" s="139">
        <f t="shared" si="49"/>
        <v>0</v>
      </c>
      <c r="AG73" s="140">
        <f t="shared" si="50"/>
        <v>0</v>
      </c>
      <c r="AH73" s="140">
        <f t="shared" si="51"/>
        <v>0</v>
      </c>
      <c r="AI73" s="67">
        <f>+'PAJAK JAN-NOV'!R70</f>
        <v>0</v>
      </c>
      <c r="AJ73" s="478">
        <f t="shared" si="52"/>
        <v>0</v>
      </c>
      <c r="AK73" s="32">
        <f>+'PAJAK JAN-NOV'!B70</f>
        <v>0</v>
      </c>
      <c r="AL73" s="33">
        <f t="shared" si="41"/>
        <v>0</v>
      </c>
      <c r="AM73" s="32"/>
      <c r="AN73" s="33"/>
      <c r="AO73" s="32"/>
      <c r="AP73" s="32"/>
    </row>
    <row r="74" spans="2:54" s="136" customFormat="1" ht="15" hidden="1" customHeight="1">
      <c r="B74" s="131">
        <v>69</v>
      </c>
      <c r="C74" s="132">
        <f>+PERBULAN!B74</f>
        <v>0</v>
      </c>
      <c r="D74" s="137"/>
      <c r="E74" s="37"/>
      <c r="F74" s="366"/>
      <c r="G74" s="350"/>
      <c r="H74" s="362"/>
      <c r="I74" s="353"/>
      <c r="J74" s="147" t="str">
        <f t="shared" si="43"/>
        <v/>
      </c>
      <c r="K74" s="393"/>
      <c r="L74" s="393"/>
      <c r="M74" s="139"/>
      <c r="N74" s="139"/>
      <c r="O74" s="139"/>
      <c r="P74" s="138">
        <v>0</v>
      </c>
      <c r="Q74" s="138">
        <f t="shared" si="44"/>
        <v>0</v>
      </c>
      <c r="R74" s="138">
        <f>+SETAHUN!H75</f>
        <v>0</v>
      </c>
      <c r="S74" s="138">
        <f>+SETAHUN!K75</f>
        <v>0</v>
      </c>
      <c r="T74" s="138">
        <v>0</v>
      </c>
      <c r="U74" s="138">
        <f>+SETAHUN!F75+M74+N74</f>
        <v>0</v>
      </c>
      <c r="V74" s="138">
        <v>0</v>
      </c>
      <c r="W74" s="138">
        <f>+SETAHUN!U75+O74</f>
        <v>0</v>
      </c>
      <c r="X74" s="138">
        <v>0</v>
      </c>
      <c r="Y74" s="138">
        <v>0</v>
      </c>
      <c r="Z74" s="138">
        <f t="shared" si="45"/>
        <v>0</v>
      </c>
      <c r="AA74" s="138">
        <f t="shared" si="46"/>
        <v>0</v>
      </c>
      <c r="AB74" s="138">
        <f t="shared" si="32"/>
        <v>0</v>
      </c>
      <c r="AC74" s="138">
        <f>('ASTEK+PENSIUN-DIISI SMPAI DES'!O163+'ASTEK+PENSIUN-DIISI SMPAI DES'!O77)</f>
        <v>0</v>
      </c>
      <c r="AD74" s="138">
        <f t="shared" si="47"/>
        <v>0</v>
      </c>
      <c r="AE74" s="139">
        <f t="shared" si="48"/>
        <v>0</v>
      </c>
      <c r="AF74" s="139">
        <f t="shared" si="49"/>
        <v>0</v>
      </c>
      <c r="AG74" s="140">
        <f t="shared" si="50"/>
        <v>0</v>
      </c>
      <c r="AH74" s="140">
        <f t="shared" si="51"/>
        <v>0</v>
      </c>
      <c r="AI74" s="67">
        <f>+'PAJAK JAN-NOV'!R71</f>
        <v>0</v>
      </c>
      <c r="AJ74" s="478">
        <f t="shared" si="52"/>
        <v>0</v>
      </c>
      <c r="AK74" s="32">
        <f>+'PAJAK JAN-NOV'!B71</f>
        <v>0</v>
      </c>
      <c r="AL74" s="33">
        <f t="shared" si="41"/>
        <v>0</v>
      </c>
      <c r="AM74" s="32"/>
      <c r="AN74" s="33"/>
      <c r="AO74" s="32"/>
      <c r="AP74" s="32"/>
    </row>
    <row r="75" spans="2:54" s="136" customFormat="1" ht="15" hidden="1" customHeight="1" thickBot="1">
      <c r="B75" s="131">
        <v>70</v>
      </c>
      <c r="C75" s="132">
        <f>+PERBULAN!B75</f>
        <v>0</v>
      </c>
      <c r="D75" s="137"/>
      <c r="E75" s="37"/>
      <c r="F75" s="366"/>
      <c r="G75" s="350"/>
      <c r="H75" s="362"/>
      <c r="I75" s="353"/>
      <c r="J75" s="147" t="str">
        <f t="shared" si="43"/>
        <v/>
      </c>
      <c r="K75" s="393"/>
      <c r="L75" s="393"/>
      <c r="M75" s="139"/>
      <c r="N75" s="139"/>
      <c r="O75" s="139"/>
      <c r="P75" s="138">
        <v>0</v>
      </c>
      <c r="Q75" s="138">
        <f t="shared" si="44"/>
        <v>0</v>
      </c>
      <c r="R75" s="138">
        <f>+SETAHUN!H76</f>
        <v>0</v>
      </c>
      <c r="S75" s="138">
        <f>+SETAHUN!K76</f>
        <v>0</v>
      </c>
      <c r="T75" s="138">
        <v>0</v>
      </c>
      <c r="U75" s="138">
        <f>+SETAHUN!F76+M75+N75</f>
        <v>0</v>
      </c>
      <c r="V75" s="138">
        <v>0</v>
      </c>
      <c r="W75" s="138">
        <f>+SETAHUN!U76+O75</f>
        <v>0</v>
      </c>
      <c r="X75" s="138">
        <v>0</v>
      </c>
      <c r="Y75" s="138">
        <v>0</v>
      </c>
      <c r="Z75" s="138">
        <f t="shared" si="45"/>
        <v>0</v>
      </c>
      <c r="AA75" s="138">
        <f t="shared" si="46"/>
        <v>0</v>
      </c>
      <c r="AB75" s="138">
        <f t="shared" si="32"/>
        <v>0</v>
      </c>
      <c r="AC75" s="138">
        <f>('ASTEK+PENSIUN-DIISI SMPAI DES'!O164+'ASTEK+PENSIUN-DIISI SMPAI DES'!O78)</f>
        <v>0</v>
      </c>
      <c r="AD75" s="138">
        <f t="shared" si="47"/>
        <v>0</v>
      </c>
      <c r="AE75" s="139">
        <f t="shared" si="48"/>
        <v>0</v>
      </c>
      <c r="AF75" s="139">
        <f t="shared" si="49"/>
        <v>0</v>
      </c>
      <c r="AG75" s="140">
        <f t="shared" si="50"/>
        <v>0</v>
      </c>
      <c r="AH75" s="140">
        <f t="shared" si="51"/>
        <v>0</v>
      </c>
      <c r="AI75" s="67">
        <f>+'PAJAK JAN-NOV'!R72</f>
        <v>0</v>
      </c>
      <c r="AJ75" s="478">
        <f t="shared" si="52"/>
        <v>0</v>
      </c>
      <c r="AK75" s="32">
        <f>+'PAJAK JAN-NOV'!B72</f>
        <v>0</v>
      </c>
      <c r="AL75" s="33">
        <f t="shared" si="41"/>
        <v>0</v>
      </c>
      <c r="AM75" s="32"/>
      <c r="AN75" s="33"/>
      <c r="AO75" s="32"/>
      <c r="AP75" s="32"/>
    </row>
    <row r="76" spans="2:54" s="371" customFormat="1" ht="22.15" customHeight="1" thickBot="1"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8"/>
      <c r="M76" s="369">
        <f>SUM(M6:M75)</f>
        <v>211274700</v>
      </c>
      <c r="N76" s="369">
        <f t="shared" ref="N76:AJ76" si="53">SUM(N6:N75)</f>
        <v>41200066.012276165</v>
      </c>
      <c r="O76" s="369">
        <f t="shared" si="53"/>
        <v>10209224.080000004</v>
      </c>
      <c r="P76" s="369">
        <f t="shared" si="53"/>
        <v>0</v>
      </c>
      <c r="Q76" s="369">
        <f t="shared" si="53"/>
        <v>262683990.0922761</v>
      </c>
      <c r="R76" s="369">
        <f t="shared" si="53"/>
        <v>218451125</v>
      </c>
      <c r="S76" s="369">
        <f t="shared" si="53"/>
        <v>23050000</v>
      </c>
      <c r="T76" s="369">
        <f t="shared" si="53"/>
        <v>0</v>
      </c>
      <c r="U76" s="369">
        <f t="shared" si="53"/>
        <v>3153494186.3722744</v>
      </c>
      <c r="V76" s="369">
        <f t="shared" si="53"/>
        <v>0</v>
      </c>
      <c r="W76" s="369">
        <f t="shared" si="53"/>
        <v>122603204.47999994</v>
      </c>
      <c r="X76" s="369">
        <f t="shared" si="53"/>
        <v>0</v>
      </c>
      <c r="Y76" s="369">
        <f t="shared" si="53"/>
        <v>0</v>
      </c>
      <c r="Z76" s="369">
        <f t="shared" si="53"/>
        <v>241501125</v>
      </c>
      <c r="AA76" s="369">
        <f t="shared" si="53"/>
        <v>3517598515.8522758</v>
      </c>
      <c r="AB76" s="369">
        <f t="shared" si="53"/>
        <v>175879926</v>
      </c>
      <c r="AC76" s="369">
        <f t="shared" si="53"/>
        <v>75759462</v>
      </c>
      <c r="AD76" s="369">
        <f t="shared" si="53"/>
        <v>3265959127.8522763</v>
      </c>
      <c r="AE76" s="369">
        <f t="shared" si="53"/>
        <v>4032000000</v>
      </c>
      <c r="AF76" s="369">
        <f t="shared" si="53"/>
        <v>224131000</v>
      </c>
      <c r="AG76" s="369">
        <f t="shared" si="53"/>
        <v>11206550</v>
      </c>
      <c r="AH76" s="369">
        <f t="shared" si="53"/>
        <v>11206550</v>
      </c>
      <c r="AI76" s="369">
        <f t="shared" si="53"/>
        <v>15698786</v>
      </c>
      <c r="AJ76" s="480">
        <f t="shared" si="53"/>
        <v>1244154</v>
      </c>
      <c r="AK76" s="42"/>
      <c r="AL76" s="43">
        <f>SUM(AL6:AL75)</f>
        <v>4492236</v>
      </c>
      <c r="AM76" s="42"/>
      <c r="AN76" s="43"/>
      <c r="AO76" s="42"/>
      <c r="AP76" s="42"/>
      <c r="AQ76" s="370"/>
      <c r="AR76" s="370"/>
      <c r="AS76" s="370"/>
      <c r="AT76" s="370"/>
      <c r="AU76" s="370"/>
      <c r="AV76" s="370"/>
      <c r="AW76" s="370"/>
      <c r="AX76" s="370"/>
      <c r="AY76" s="370"/>
      <c r="AZ76" s="370"/>
      <c r="BA76" s="370"/>
      <c r="BB76" s="370"/>
    </row>
    <row r="77" spans="2:54" ht="15" customHeight="1" thickTop="1">
      <c r="AI77" s="67"/>
    </row>
    <row r="78" spans="2:54" ht="15" customHeight="1">
      <c r="B78" s="370" t="s">
        <v>47</v>
      </c>
      <c r="O78" s="373"/>
      <c r="AG78" s="60"/>
      <c r="AI78" s="41"/>
    </row>
    <row r="79" spans="2:54" ht="15" customHeight="1">
      <c r="B79" s="136" t="s">
        <v>48</v>
      </c>
      <c r="O79" s="373"/>
      <c r="AG79" s="60"/>
    </row>
    <row r="80" spans="2:54" ht="15" customHeight="1">
      <c r="B80" s="136" t="s">
        <v>56</v>
      </c>
      <c r="O80" s="373"/>
      <c r="AG80" s="60"/>
    </row>
    <row r="81" spans="2:76" ht="15" customHeight="1">
      <c r="B81" s="136" t="s">
        <v>49</v>
      </c>
      <c r="O81" s="373"/>
      <c r="AG81" s="60"/>
    </row>
    <row r="82" spans="2:76" s="31" customFormat="1" ht="15" customHeight="1">
      <c r="B82" s="136" t="s">
        <v>57</v>
      </c>
      <c r="C82" s="28"/>
      <c r="D82" s="221"/>
      <c r="E82" s="29"/>
      <c r="F82" s="28"/>
      <c r="G82" s="338"/>
      <c r="H82" s="339"/>
      <c r="I82" s="339"/>
      <c r="J82" s="339"/>
      <c r="K82" s="339"/>
      <c r="L82" s="339"/>
      <c r="M82" s="28"/>
      <c r="N82" s="28"/>
      <c r="O82" s="373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60"/>
      <c r="AH82" s="28"/>
      <c r="AK82" s="32"/>
      <c r="AL82" s="33"/>
      <c r="AM82" s="32"/>
      <c r="AN82" s="33"/>
      <c r="AO82" s="32"/>
      <c r="AP82" s="32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372"/>
      <c r="BD82" s="372"/>
      <c r="BE82" s="372"/>
      <c r="BF82" s="372"/>
      <c r="BG82" s="372"/>
      <c r="BH82" s="372"/>
      <c r="BI82" s="372"/>
      <c r="BJ82" s="372"/>
      <c r="BK82" s="372"/>
      <c r="BL82" s="372"/>
      <c r="BM82" s="372"/>
      <c r="BN82" s="372"/>
      <c r="BO82" s="372"/>
      <c r="BP82" s="372"/>
      <c r="BQ82" s="372"/>
      <c r="BR82" s="372"/>
      <c r="BS82" s="372"/>
      <c r="BT82" s="372"/>
      <c r="BU82" s="372"/>
      <c r="BV82" s="372"/>
      <c r="BW82" s="372"/>
      <c r="BX82" s="372"/>
    </row>
    <row r="83" spans="2:76" s="31" customFormat="1" ht="15" customHeight="1">
      <c r="B83" s="136" t="s">
        <v>50</v>
      </c>
      <c r="C83" s="28"/>
      <c r="D83" s="221"/>
      <c r="E83" s="29"/>
      <c r="F83" s="28"/>
      <c r="G83" s="338"/>
      <c r="H83" s="339"/>
      <c r="I83" s="339"/>
      <c r="J83" s="339"/>
      <c r="K83" s="339"/>
      <c r="L83" s="339"/>
      <c r="M83" s="28"/>
      <c r="N83" s="28"/>
      <c r="O83" s="373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>
        <f>SUM(AH78:AH82)</f>
        <v>0</v>
      </c>
      <c r="AK83" s="32"/>
      <c r="AL83" s="33"/>
      <c r="AM83" s="32"/>
      <c r="AN83" s="33"/>
      <c r="AO83" s="32"/>
      <c r="AP83" s="32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372"/>
      <c r="BD83" s="372"/>
      <c r="BE83" s="372"/>
      <c r="BF83" s="372"/>
      <c r="BG83" s="372"/>
      <c r="BH83" s="372"/>
      <c r="BI83" s="372"/>
      <c r="BJ83" s="372"/>
      <c r="BK83" s="372"/>
      <c r="BL83" s="372"/>
      <c r="BM83" s="372"/>
      <c r="BN83" s="372"/>
      <c r="BO83" s="372"/>
      <c r="BP83" s="372"/>
      <c r="BQ83" s="372"/>
      <c r="BR83" s="372"/>
      <c r="BS83" s="372"/>
      <c r="BT83" s="372"/>
      <c r="BU83" s="372"/>
      <c r="BV83" s="372"/>
      <c r="BW83" s="372"/>
      <c r="BX83" s="372"/>
    </row>
    <row r="84" spans="2:76" s="31" customFormat="1" ht="15" customHeight="1">
      <c r="B84" s="136" t="s">
        <v>51</v>
      </c>
      <c r="C84" s="28"/>
      <c r="D84" s="221"/>
      <c r="E84" s="29"/>
      <c r="F84" s="28"/>
      <c r="G84" s="338"/>
      <c r="H84" s="339"/>
      <c r="I84" s="339"/>
      <c r="J84" s="339"/>
      <c r="K84" s="339"/>
      <c r="L84" s="339"/>
      <c r="M84" s="28"/>
      <c r="N84" s="28"/>
      <c r="O84" s="373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K84" s="32"/>
      <c r="AL84" s="33"/>
      <c r="AM84" s="32"/>
      <c r="AN84" s="33"/>
      <c r="AO84" s="32"/>
      <c r="AP84" s="32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372"/>
      <c r="BD84" s="372"/>
      <c r="BE84" s="372"/>
      <c r="BF84" s="372"/>
      <c r="BG84" s="372"/>
      <c r="BH84" s="372"/>
      <c r="BI84" s="372"/>
      <c r="BJ84" s="372"/>
      <c r="BK84" s="372"/>
      <c r="BL84" s="372"/>
      <c r="BM84" s="372"/>
      <c r="BN84" s="372"/>
      <c r="BO84" s="372"/>
      <c r="BP84" s="372"/>
      <c r="BQ84" s="372"/>
      <c r="BR84" s="372"/>
      <c r="BS84" s="372"/>
      <c r="BT84" s="372"/>
      <c r="BU84" s="372"/>
      <c r="BV84" s="372"/>
      <c r="BW84" s="372"/>
      <c r="BX84" s="372"/>
    </row>
    <row r="85" spans="2:76" s="31" customFormat="1" ht="15" customHeight="1">
      <c r="B85" s="136" t="s">
        <v>52</v>
      </c>
      <c r="C85" s="28"/>
      <c r="D85" s="221"/>
      <c r="E85" s="29"/>
      <c r="F85" s="28"/>
      <c r="G85" s="338"/>
      <c r="H85" s="339"/>
      <c r="I85" s="339"/>
      <c r="J85" s="339"/>
      <c r="K85" s="339"/>
      <c r="L85" s="339"/>
      <c r="M85" s="28"/>
      <c r="N85" s="28"/>
      <c r="O85" s="373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K85" s="32"/>
      <c r="AL85" s="33"/>
      <c r="AM85" s="32"/>
      <c r="AN85" s="33"/>
      <c r="AO85" s="32"/>
      <c r="AP85" s="32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372"/>
      <c r="BD85" s="372"/>
      <c r="BE85" s="372"/>
      <c r="BF85" s="372"/>
      <c r="BG85" s="372"/>
      <c r="BH85" s="372"/>
      <c r="BI85" s="372"/>
      <c r="BJ85" s="372"/>
      <c r="BK85" s="372"/>
      <c r="BL85" s="372"/>
      <c r="BM85" s="372"/>
      <c r="BN85" s="372"/>
      <c r="BO85" s="372"/>
      <c r="BP85" s="372"/>
      <c r="BQ85" s="372"/>
      <c r="BR85" s="372"/>
      <c r="BS85" s="372"/>
      <c r="BT85" s="372"/>
      <c r="BU85" s="372"/>
      <c r="BV85" s="372"/>
      <c r="BW85" s="372"/>
      <c r="BX85" s="372"/>
    </row>
    <row r="86" spans="2:76" s="31" customFormat="1" ht="15" customHeight="1">
      <c r="B86" s="136" t="s">
        <v>65</v>
      </c>
      <c r="C86" s="28"/>
      <c r="D86" s="221"/>
      <c r="E86" s="29"/>
      <c r="F86" s="28"/>
      <c r="G86" s="338"/>
      <c r="H86" s="339"/>
      <c r="I86" s="339"/>
      <c r="J86" s="339"/>
      <c r="K86" s="339"/>
      <c r="L86" s="339"/>
      <c r="M86" s="28"/>
      <c r="N86" s="28"/>
      <c r="O86" s="373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K86" s="32"/>
      <c r="AL86" s="33"/>
      <c r="AM86" s="32"/>
      <c r="AN86" s="33"/>
      <c r="AO86" s="32"/>
      <c r="AP86" s="32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372"/>
      <c r="BD86" s="372"/>
      <c r="BE86" s="372"/>
      <c r="BF86" s="372"/>
      <c r="BG86" s="372"/>
      <c r="BH86" s="372"/>
      <c r="BI86" s="372"/>
      <c r="BJ86" s="372"/>
      <c r="BK86" s="372"/>
      <c r="BL86" s="372"/>
      <c r="BM86" s="372"/>
      <c r="BN86" s="372"/>
      <c r="BO86" s="372"/>
      <c r="BP86" s="372"/>
      <c r="BQ86" s="372"/>
      <c r="BR86" s="372"/>
      <c r="BS86" s="372"/>
      <c r="BT86" s="372"/>
      <c r="BU86" s="372"/>
      <c r="BV86" s="372"/>
      <c r="BW86" s="372"/>
      <c r="BX86" s="372"/>
    </row>
    <row r="87" spans="2:76" s="31" customFormat="1" ht="15" customHeight="1">
      <c r="B87" s="136"/>
      <c r="C87" s="28"/>
      <c r="D87" s="467"/>
      <c r="E87" s="29"/>
      <c r="F87" s="28"/>
      <c r="G87" s="338"/>
      <c r="H87" s="339"/>
      <c r="I87" s="339"/>
      <c r="J87" s="339"/>
      <c r="K87" s="339"/>
      <c r="L87" s="339"/>
      <c r="M87" s="28"/>
      <c r="N87" s="28"/>
      <c r="O87" s="373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K87" s="32"/>
      <c r="AL87" s="33"/>
      <c r="AM87" s="32"/>
      <c r="AN87" s="33"/>
      <c r="AO87" s="32"/>
      <c r="AP87" s="32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372"/>
      <c r="BD87" s="372"/>
      <c r="BE87" s="372"/>
      <c r="BF87" s="372"/>
      <c r="BG87" s="372"/>
      <c r="BH87" s="372"/>
      <c r="BI87" s="372"/>
      <c r="BJ87" s="372"/>
      <c r="BK87" s="372"/>
      <c r="BL87" s="372"/>
      <c r="BM87" s="372"/>
      <c r="BN87" s="372"/>
      <c r="BO87" s="372"/>
      <c r="BP87" s="372"/>
      <c r="BQ87" s="372"/>
      <c r="BR87" s="372"/>
      <c r="BS87" s="372"/>
      <c r="BT87" s="372"/>
      <c r="BU87" s="372"/>
      <c r="BV87" s="372"/>
      <c r="BW87" s="372"/>
      <c r="BX87" s="372"/>
    </row>
    <row r="88" spans="2:76" s="31" customFormat="1" ht="18.75" customHeight="1">
      <c r="B88" s="136"/>
      <c r="C88" s="532" t="s">
        <v>590</v>
      </c>
      <c r="D88" s="532"/>
      <c r="E88" s="469"/>
      <c r="F88" s="468"/>
      <c r="G88" s="470"/>
      <c r="H88" s="471"/>
      <c r="I88" s="471"/>
      <c r="J88" s="471"/>
      <c r="K88" s="471"/>
      <c r="L88" s="471"/>
      <c r="M88" s="472"/>
      <c r="N88" s="472"/>
      <c r="O88" s="473"/>
      <c r="P88" s="472"/>
      <c r="Q88" s="532" t="s">
        <v>593</v>
      </c>
      <c r="R88" s="532"/>
      <c r="S88" s="532"/>
      <c r="T88" s="472"/>
      <c r="U88" s="472"/>
      <c r="V88" s="472"/>
      <c r="W88" s="472"/>
      <c r="X88" s="472"/>
      <c r="Y88" s="472"/>
      <c r="Z88" s="532" t="s">
        <v>596</v>
      </c>
      <c r="AA88" s="532"/>
      <c r="AB88" s="28"/>
      <c r="AC88" s="28"/>
      <c r="AD88" s="28"/>
      <c r="AE88" s="28"/>
      <c r="AF88" s="28"/>
      <c r="AG88" s="28"/>
      <c r="AH88" s="28"/>
      <c r="AK88" s="32"/>
      <c r="AL88" s="33"/>
      <c r="AM88" s="32"/>
      <c r="AN88" s="33"/>
      <c r="AO88" s="32"/>
      <c r="AP88" s="32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372"/>
      <c r="BD88" s="372"/>
      <c r="BE88" s="372"/>
      <c r="BF88" s="372"/>
      <c r="BG88" s="372"/>
      <c r="BH88" s="372"/>
      <c r="BI88" s="372"/>
      <c r="BJ88" s="372"/>
      <c r="BK88" s="372"/>
      <c r="BL88" s="372"/>
      <c r="BM88" s="372"/>
      <c r="BN88" s="372"/>
      <c r="BO88" s="372"/>
      <c r="BP88" s="372"/>
      <c r="BQ88" s="372"/>
      <c r="BR88" s="372"/>
      <c r="BS88" s="372"/>
      <c r="BT88" s="372"/>
      <c r="BU88" s="372"/>
      <c r="BV88" s="372"/>
      <c r="BW88" s="372"/>
      <c r="BX88" s="372"/>
    </row>
    <row r="89" spans="2:76" s="31" customFormat="1" ht="15" customHeight="1">
      <c r="B89" s="136"/>
      <c r="C89" s="468"/>
      <c r="D89" s="468"/>
      <c r="E89" s="469"/>
      <c r="F89" s="472"/>
      <c r="G89" s="470"/>
      <c r="H89" s="471"/>
      <c r="I89" s="471"/>
      <c r="J89" s="471"/>
      <c r="K89" s="471"/>
      <c r="L89" s="471"/>
      <c r="M89" s="472"/>
      <c r="N89" s="472"/>
      <c r="O89" s="473"/>
      <c r="P89" s="472"/>
      <c r="Q89" s="472"/>
      <c r="R89" s="472"/>
      <c r="S89" s="472"/>
      <c r="T89" s="472"/>
      <c r="U89" s="472"/>
      <c r="V89" s="472"/>
      <c r="W89" s="472"/>
      <c r="X89" s="472"/>
      <c r="Y89" s="472"/>
      <c r="Z89" s="472"/>
      <c r="AA89" s="472"/>
      <c r="AB89" s="28"/>
      <c r="AC89" s="28"/>
      <c r="AD89" s="28"/>
      <c r="AE89" s="28"/>
      <c r="AF89" s="28"/>
      <c r="AG89" s="28"/>
      <c r="AH89" s="28"/>
      <c r="AK89" s="32"/>
      <c r="AL89" s="33"/>
      <c r="AM89" s="32"/>
      <c r="AN89" s="33"/>
      <c r="AO89" s="32"/>
      <c r="AP89" s="32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372"/>
      <c r="BD89" s="372"/>
      <c r="BE89" s="372"/>
      <c r="BF89" s="372"/>
      <c r="BG89" s="372"/>
      <c r="BH89" s="372"/>
      <c r="BI89" s="372"/>
      <c r="BJ89" s="372"/>
      <c r="BK89" s="372"/>
      <c r="BL89" s="372"/>
      <c r="BM89" s="372"/>
      <c r="BN89" s="372"/>
      <c r="BO89" s="372"/>
      <c r="BP89" s="372"/>
      <c r="BQ89" s="372"/>
      <c r="BR89" s="372"/>
      <c r="BS89" s="372"/>
      <c r="BT89" s="372"/>
      <c r="BU89" s="372"/>
      <c r="BV89" s="372"/>
      <c r="BW89" s="372"/>
      <c r="BX89" s="372"/>
    </row>
    <row r="90" spans="2:76" s="31" customFormat="1" ht="15" customHeight="1">
      <c r="B90" s="136"/>
      <c r="C90" s="468"/>
      <c r="D90" s="468"/>
      <c r="E90" s="469"/>
      <c r="F90" s="472"/>
      <c r="G90" s="470"/>
      <c r="H90" s="471"/>
      <c r="I90" s="471"/>
      <c r="J90" s="471"/>
      <c r="K90" s="471"/>
      <c r="L90" s="471"/>
      <c r="M90" s="472"/>
      <c r="N90" s="472"/>
      <c r="O90" s="473"/>
      <c r="P90" s="472"/>
      <c r="Q90" s="472"/>
      <c r="R90" s="472"/>
      <c r="S90" s="472"/>
      <c r="T90" s="472"/>
      <c r="U90" s="472"/>
      <c r="V90" s="472"/>
      <c r="W90" s="472"/>
      <c r="X90" s="472"/>
      <c r="Y90" s="472"/>
      <c r="Z90" s="472"/>
      <c r="AA90" s="472"/>
      <c r="AB90" s="28"/>
      <c r="AC90" s="28"/>
      <c r="AD90" s="28"/>
      <c r="AE90" s="28"/>
      <c r="AF90" s="28"/>
      <c r="AG90" s="28"/>
      <c r="AH90" s="28"/>
      <c r="AK90" s="32"/>
      <c r="AL90" s="33"/>
      <c r="AM90" s="32"/>
      <c r="AN90" s="33"/>
      <c r="AO90" s="32"/>
      <c r="AP90" s="32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372"/>
      <c r="BD90" s="372"/>
      <c r="BE90" s="372"/>
      <c r="BF90" s="372"/>
      <c r="BG90" s="372"/>
      <c r="BH90" s="372"/>
      <c r="BI90" s="372"/>
      <c r="BJ90" s="372"/>
      <c r="BK90" s="372"/>
      <c r="BL90" s="372"/>
      <c r="BM90" s="372"/>
      <c r="BN90" s="372"/>
      <c r="BO90" s="372"/>
      <c r="BP90" s="372"/>
      <c r="BQ90" s="372"/>
      <c r="BR90" s="372"/>
      <c r="BS90" s="372"/>
      <c r="BT90" s="372"/>
      <c r="BU90" s="372"/>
      <c r="BV90" s="372"/>
      <c r="BW90" s="372"/>
      <c r="BX90" s="372"/>
    </row>
    <row r="91" spans="2:76" s="31" customFormat="1" ht="15" customHeight="1">
      <c r="B91" s="136"/>
      <c r="C91" s="468"/>
      <c r="D91" s="468"/>
      <c r="E91" s="469"/>
      <c r="F91" s="472"/>
      <c r="G91" s="470"/>
      <c r="H91" s="471"/>
      <c r="I91" s="471"/>
      <c r="J91" s="471"/>
      <c r="K91" s="471"/>
      <c r="L91" s="471"/>
      <c r="M91" s="472"/>
      <c r="N91" s="472"/>
      <c r="O91" s="473"/>
      <c r="P91" s="472"/>
      <c r="Q91" s="472"/>
      <c r="R91" s="472"/>
      <c r="S91" s="472"/>
      <c r="T91" s="472"/>
      <c r="U91" s="472"/>
      <c r="V91" s="472"/>
      <c r="W91" s="472"/>
      <c r="X91" s="472"/>
      <c r="Y91" s="472"/>
      <c r="Z91" s="472"/>
      <c r="AA91" s="472"/>
      <c r="AB91" s="28"/>
      <c r="AC91" s="28"/>
      <c r="AD91" s="28"/>
      <c r="AE91" s="28"/>
      <c r="AF91" s="28"/>
      <c r="AG91" s="28"/>
      <c r="AH91" s="28"/>
      <c r="AK91" s="32"/>
      <c r="AL91" s="33"/>
      <c r="AM91" s="32"/>
      <c r="AN91" s="33"/>
      <c r="AO91" s="32"/>
      <c r="AP91" s="32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372"/>
      <c r="BD91" s="372"/>
      <c r="BE91" s="372"/>
      <c r="BF91" s="372"/>
      <c r="BG91" s="372"/>
      <c r="BH91" s="372"/>
      <c r="BI91" s="372"/>
      <c r="BJ91" s="372"/>
      <c r="BK91" s="372"/>
      <c r="BL91" s="372"/>
      <c r="BM91" s="372"/>
      <c r="BN91" s="372"/>
      <c r="BO91" s="372"/>
      <c r="BP91" s="372"/>
      <c r="BQ91" s="372"/>
      <c r="BR91" s="372"/>
      <c r="BS91" s="372"/>
      <c r="BT91" s="372"/>
      <c r="BU91" s="372"/>
      <c r="BV91" s="372"/>
      <c r="BW91" s="372"/>
      <c r="BX91" s="372"/>
    </row>
    <row r="92" spans="2:76" s="31" customFormat="1" ht="20.25" customHeight="1">
      <c r="B92" s="136"/>
      <c r="C92" s="533" t="s">
        <v>591</v>
      </c>
      <c r="D92" s="533"/>
      <c r="E92" s="469"/>
      <c r="F92" s="474"/>
      <c r="G92" s="534"/>
      <c r="H92" s="534"/>
      <c r="I92" s="534"/>
      <c r="J92" s="534"/>
      <c r="K92" s="534"/>
      <c r="L92" s="471"/>
      <c r="M92" s="472"/>
      <c r="N92" s="472"/>
      <c r="O92" s="473"/>
      <c r="P92" s="472"/>
      <c r="Q92" s="533" t="s">
        <v>594</v>
      </c>
      <c r="R92" s="533"/>
      <c r="S92" s="533"/>
      <c r="T92" s="472"/>
      <c r="U92" s="472"/>
      <c r="V92" s="472"/>
      <c r="W92" s="472"/>
      <c r="X92" s="472"/>
      <c r="Y92" s="472"/>
      <c r="Z92" s="533" t="s">
        <v>597</v>
      </c>
      <c r="AA92" s="533"/>
      <c r="AB92" s="28"/>
      <c r="AC92" s="28"/>
      <c r="AD92" s="28"/>
      <c r="AE92" s="28"/>
      <c r="AF92" s="28"/>
      <c r="AG92" s="28"/>
      <c r="AH92" s="28"/>
      <c r="AK92" s="32"/>
      <c r="AL92" s="33"/>
      <c r="AM92" s="32"/>
      <c r="AN92" s="33"/>
      <c r="AO92" s="32"/>
      <c r="AP92" s="32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372"/>
      <c r="BD92" s="372"/>
      <c r="BE92" s="372"/>
      <c r="BF92" s="372"/>
      <c r="BG92" s="372"/>
      <c r="BH92" s="372"/>
      <c r="BI92" s="372"/>
      <c r="BJ92" s="372"/>
      <c r="BK92" s="372"/>
      <c r="BL92" s="372"/>
      <c r="BM92" s="372"/>
      <c r="BN92" s="372"/>
      <c r="BO92" s="372"/>
      <c r="BP92" s="372"/>
      <c r="BQ92" s="372"/>
      <c r="BR92" s="372"/>
      <c r="BS92" s="372"/>
      <c r="BT92" s="372"/>
      <c r="BU92" s="372"/>
      <c r="BV92" s="372"/>
      <c r="BW92" s="372"/>
      <c r="BX92" s="372"/>
    </row>
    <row r="93" spans="2:76" s="31" customFormat="1" ht="15" customHeight="1">
      <c r="B93" s="136"/>
      <c r="C93" s="532" t="s">
        <v>592</v>
      </c>
      <c r="D93" s="532"/>
      <c r="E93" s="469"/>
      <c r="F93" s="468"/>
      <c r="G93" s="470"/>
      <c r="H93" s="471"/>
      <c r="I93" s="471"/>
      <c r="J93" s="471"/>
      <c r="K93" s="471"/>
      <c r="L93" s="471"/>
      <c r="M93" s="472"/>
      <c r="N93" s="472"/>
      <c r="O93" s="473"/>
      <c r="P93" s="472"/>
      <c r="Q93" s="532" t="s">
        <v>595</v>
      </c>
      <c r="R93" s="532"/>
      <c r="S93" s="532"/>
      <c r="T93" s="472"/>
      <c r="U93" s="472"/>
      <c r="V93" s="472"/>
      <c r="W93" s="472"/>
      <c r="X93" s="472"/>
      <c r="Y93" s="472"/>
      <c r="Z93" s="532" t="s">
        <v>598</v>
      </c>
      <c r="AA93" s="532"/>
      <c r="AB93" s="28"/>
      <c r="AC93" s="28"/>
      <c r="AD93" s="28"/>
      <c r="AE93" s="28"/>
      <c r="AF93" s="28"/>
      <c r="AG93" s="28"/>
      <c r="AH93" s="28"/>
      <c r="AK93" s="32"/>
      <c r="AL93" s="33"/>
      <c r="AM93" s="32"/>
      <c r="AN93" s="33"/>
      <c r="AO93" s="32"/>
      <c r="AP93" s="32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372"/>
      <c r="BD93" s="372"/>
      <c r="BE93" s="372"/>
      <c r="BF93" s="372"/>
      <c r="BG93" s="372"/>
      <c r="BH93" s="372"/>
      <c r="BI93" s="372"/>
      <c r="BJ93" s="372"/>
      <c r="BK93" s="372"/>
      <c r="BL93" s="372"/>
      <c r="BM93" s="372"/>
      <c r="BN93" s="372"/>
      <c r="BO93" s="372"/>
      <c r="BP93" s="372"/>
      <c r="BQ93" s="372"/>
      <c r="BR93" s="372"/>
      <c r="BS93" s="372"/>
      <c r="BT93" s="372"/>
      <c r="BU93" s="372"/>
      <c r="BV93" s="372"/>
      <c r="BW93" s="372"/>
      <c r="BX93" s="372"/>
    </row>
    <row r="94" spans="2:76" s="31" customFormat="1" ht="15" customHeight="1">
      <c r="B94" s="136"/>
      <c r="C94" s="28"/>
      <c r="D94" s="221"/>
      <c r="E94" s="29"/>
      <c r="F94" s="28"/>
      <c r="G94" s="338"/>
      <c r="H94" s="339"/>
      <c r="I94" s="339"/>
      <c r="J94" s="339"/>
      <c r="K94" s="339"/>
      <c r="L94" s="339"/>
      <c r="M94" s="28"/>
      <c r="N94" s="28"/>
      <c r="O94" s="373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K94" s="32"/>
      <c r="AL94" s="33"/>
      <c r="AM94" s="32"/>
      <c r="AN94" s="33"/>
      <c r="AO94" s="32"/>
      <c r="AP94" s="32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372"/>
      <c r="BD94" s="372"/>
      <c r="BE94" s="372"/>
      <c r="BF94" s="372"/>
      <c r="BG94" s="372"/>
      <c r="BH94" s="372"/>
      <c r="BI94" s="372"/>
      <c r="BJ94" s="372"/>
      <c r="BK94" s="372"/>
      <c r="BL94" s="372"/>
      <c r="BM94" s="372"/>
      <c r="BN94" s="372"/>
      <c r="BO94" s="372"/>
      <c r="BP94" s="372"/>
      <c r="BQ94" s="372"/>
      <c r="BR94" s="372"/>
      <c r="BS94" s="372"/>
      <c r="BT94" s="372"/>
      <c r="BU94" s="372"/>
      <c r="BV94" s="372"/>
      <c r="BW94" s="372"/>
      <c r="BX94" s="372"/>
    </row>
    <row r="95" spans="2:76" s="136" customFormat="1" ht="15" customHeight="1">
      <c r="B95" s="358">
        <v>27</v>
      </c>
      <c r="C95" s="132" t="str">
        <f>+PERBULAN!B79</f>
        <v>RIO RESFATI</v>
      </c>
      <c r="D95" s="55" t="s">
        <v>279</v>
      </c>
      <c r="E95" s="144" t="s">
        <v>69</v>
      </c>
      <c r="F95" s="364" t="s">
        <v>337</v>
      </c>
      <c r="G95" s="350" t="s">
        <v>362</v>
      </c>
      <c r="H95" s="362" t="s">
        <v>39</v>
      </c>
      <c r="I95" s="365" t="s">
        <v>9</v>
      </c>
      <c r="J95" s="395" t="str">
        <f t="shared" ref="J95:J105" si="54">IF(ISBLANK(I95),"",IF(OR(I95="TK/0",I95="TK/1",I95="K/0"),"TER A",IF(I95="K/3","TER C","TER B")))</f>
        <v>TER B</v>
      </c>
      <c r="K95" s="393"/>
      <c r="L95" s="393"/>
      <c r="M95" s="396"/>
      <c r="N95" s="396"/>
      <c r="O95" s="396"/>
      <c r="P95" s="138">
        <v>0</v>
      </c>
      <c r="Q95" s="138">
        <f t="shared" ref="Q95:Q105" si="55">SUM(M95:P95)</f>
        <v>0</v>
      </c>
      <c r="R95" s="138">
        <f>+SETAHUN!H208</f>
        <v>4035600</v>
      </c>
      <c r="S95" s="138">
        <f>+SETAHUN!K208</f>
        <v>0</v>
      </c>
      <c r="T95" s="138">
        <v>0</v>
      </c>
      <c r="U95" s="138">
        <f>+SETAHUN!F208+M95+N95</f>
        <v>9991495.1199999992</v>
      </c>
      <c r="V95" s="138">
        <v>0</v>
      </c>
      <c r="W95" s="138">
        <f>+SETAHUN!U208+O95</f>
        <v>377894.88</v>
      </c>
      <c r="X95" s="138">
        <v>0</v>
      </c>
      <c r="Y95" s="138">
        <v>0</v>
      </c>
      <c r="Z95" s="138">
        <f t="shared" ref="Z95:Z105" si="56">SUM(R95:T95)</f>
        <v>4035600</v>
      </c>
      <c r="AA95" s="138">
        <f t="shared" ref="AA95:AA105" si="57">SUM(U95:Z95)</f>
        <v>14404990</v>
      </c>
      <c r="AB95" s="138">
        <f t="shared" ref="AB95:AB105" si="58">ROUND(IF((AA95)*5%&gt;6000000,6000000,(AA95)*5%),0)</f>
        <v>720250</v>
      </c>
      <c r="AC95" s="138">
        <f>((3876600*3%)*(L95-K95+1))</f>
        <v>116298</v>
      </c>
      <c r="AD95" s="138">
        <f t="shared" ref="AD95:AD105" si="59">AA95-AB95-AC95</f>
        <v>13568442</v>
      </c>
      <c r="AE95" s="139">
        <f t="shared" ref="AE95:AE105" si="60">IFERROR(VLOOKUP(I95,TARIF,3,FALSE),0)</f>
        <v>63000000</v>
      </c>
      <c r="AF95" s="139">
        <f t="shared" ref="AF95:AF105" si="61">ROUNDDOWN(IF(AD95&lt;=AE95,0,IF(AD95&gt;AE95,AD95-AE95)),-3)</f>
        <v>0</v>
      </c>
      <c r="AG95" s="397">
        <f t="shared" ref="AG95:AG105" si="62">IF(AF95&gt;5000000000,AF95*35%-306000000,IF(AF95&gt;500000000,AF95*30%-56000000,IF(AF95&gt;250000000,AF95*25%-31000000,IF(AF95&gt;60000000,AF95*15%-6000000,AF95*5%))))</f>
        <v>0</v>
      </c>
      <c r="AH95" s="140">
        <f t="shared" ref="AH95:AH105" si="63">ROUND(IF(E95=0,AG95*120%,AG95),0)</f>
        <v>0</v>
      </c>
      <c r="AI95" s="67">
        <f>+'PAJAK JAN-NOV'!R78</f>
        <v>0</v>
      </c>
      <c r="AJ95" s="142">
        <f t="shared" ref="AJ95:AJ105" si="64">IF(AG95&lt;=AI95,0,IF(AG95&gt;AI95,AG95-AI95))</f>
        <v>0</v>
      </c>
      <c r="AK95" s="32"/>
      <c r="AL95" s="33">
        <f t="shared" ref="AL95:AL105" si="65">AI95-AH95</f>
        <v>0</v>
      </c>
      <c r="AM95" s="32"/>
      <c r="AN95" s="33"/>
      <c r="AO95" s="32"/>
      <c r="AP95" s="32"/>
    </row>
    <row r="96" spans="2:76" s="136" customFormat="1" ht="15" customHeight="1">
      <c r="B96" s="131">
        <v>12</v>
      </c>
      <c r="C96" s="132" t="str">
        <f>+PERBULAN!B80</f>
        <v>YANTI NOVITA</v>
      </c>
      <c r="D96" s="133" t="s">
        <v>262</v>
      </c>
      <c r="E96" s="146" t="s">
        <v>437</v>
      </c>
      <c r="F96" s="143" t="s">
        <v>325</v>
      </c>
      <c r="G96" s="350" t="s">
        <v>530</v>
      </c>
      <c r="H96" s="134" t="s">
        <v>38</v>
      </c>
      <c r="I96" s="135" t="s">
        <v>7</v>
      </c>
      <c r="J96" s="147" t="str">
        <f t="shared" si="54"/>
        <v>TER A</v>
      </c>
      <c r="K96" s="393">
        <v>1</v>
      </c>
      <c r="L96" s="393"/>
      <c r="M96" s="138"/>
      <c r="N96" s="138"/>
      <c r="O96" s="138"/>
      <c r="P96" s="138">
        <v>0</v>
      </c>
      <c r="Q96" s="138">
        <f t="shared" si="55"/>
        <v>0</v>
      </c>
      <c r="R96" s="138">
        <f>+SETAHUN!H209</f>
        <v>3991100</v>
      </c>
      <c r="S96" s="138">
        <f>+SETAHUN!K209</f>
        <v>0</v>
      </c>
      <c r="T96" s="138">
        <v>0</v>
      </c>
      <c r="U96" s="138">
        <f>+SETAHUN!F209+M96+N96</f>
        <v>11973298.68</v>
      </c>
      <c r="V96" s="138">
        <v>0</v>
      </c>
      <c r="W96" s="138">
        <f>+SETAHUN!U209+O96</f>
        <v>568522.31999999995</v>
      </c>
      <c r="X96" s="138">
        <v>0</v>
      </c>
      <c r="Y96" s="138">
        <v>0</v>
      </c>
      <c r="Z96" s="138">
        <f t="shared" si="56"/>
        <v>3991100</v>
      </c>
      <c r="AA96" s="138">
        <f t="shared" si="57"/>
        <v>16532921</v>
      </c>
      <c r="AB96" s="138">
        <f t="shared" si="58"/>
        <v>826646</v>
      </c>
      <c r="AC96" s="138">
        <f>((3876600*3%)*(L96-K96+1))</f>
        <v>0</v>
      </c>
      <c r="AD96" s="138">
        <f t="shared" si="59"/>
        <v>15706275</v>
      </c>
      <c r="AE96" s="139">
        <f t="shared" si="60"/>
        <v>54000000</v>
      </c>
      <c r="AF96" s="139">
        <f t="shared" si="61"/>
        <v>0</v>
      </c>
      <c r="AG96" s="140">
        <f t="shared" si="62"/>
        <v>0</v>
      </c>
      <c r="AH96" s="140">
        <f t="shared" si="63"/>
        <v>0</v>
      </c>
      <c r="AI96" s="67">
        <f>+'PAJAK JAN-NOV'!R79</f>
        <v>124548</v>
      </c>
      <c r="AJ96" s="142">
        <f t="shared" si="64"/>
        <v>0</v>
      </c>
      <c r="AK96" s="32"/>
      <c r="AL96" s="33">
        <f t="shared" si="65"/>
        <v>124548</v>
      </c>
      <c r="AM96" s="32"/>
      <c r="AN96" s="33"/>
      <c r="AO96" s="32"/>
      <c r="AP96" s="32"/>
    </row>
    <row r="97" spans="2:76" s="136" customFormat="1" ht="15" customHeight="1">
      <c r="B97" s="131">
        <v>60</v>
      </c>
      <c r="C97" s="132" t="str">
        <f>+PERBULAN!B81</f>
        <v>EDI ZULKARNADI</v>
      </c>
      <c r="D97" s="137" t="s">
        <v>538</v>
      </c>
      <c r="E97" s="37" t="s">
        <v>542</v>
      </c>
      <c r="F97" s="366" t="s">
        <v>539</v>
      </c>
      <c r="G97" s="350" t="s">
        <v>526</v>
      </c>
      <c r="H97" s="362" t="s">
        <v>39</v>
      </c>
      <c r="I97" s="353" t="s">
        <v>9</v>
      </c>
      <c r="J97" s="147" t="str">
        <f t="shared" si="54"/>
        <v>TER B</v>
      </c>
      <c r="K97" s="393">
        <v>1</v>
      </c>
      <c r="L97" s="393"/>
      <c r="M97" s="139"/>
      <c r="N97" s="139"/>
      <c r="O97" s="139"/>
      <c r="P97" s="138">
        <v>0</v>
      </c>
      <c r="Q97" s="138">
        <f t="shared" si="55"/>
        <v>0</v>
      </c>
      <c r="R97" s="138">
        <f>+SETAHUN!H210</f>
        <v>3998100</v>
      </c>
      <c r="S97" s="138">
        <f>+SETAHUN!K210</f>
        <v>600000</v>
      </c>
      <c r="T97" s="138">
        <v>0</v>
      </c>
      <c r="U97" s="138">
        <f>+SETAHUN!F210+M97+N97</f>
        <v>25387320.799999993</v>
      </c>
      <c r="V97" s="138">
        <v>0</v>
      </c>
      <c r="W97" s="138">
        <f>+SETAHUN!U210+O97</f>
        <v>1131764.6399999999</v>
      </c>
      <c r="X97" s="138">
        <v>0</v>
      </c>
      <c r="Y97" s="138">
        <v>0</v>
      </c>
      <c r="Z97" s="138">
        <f t="shared" si="56"/>
        <v>4598100</v>
      </c>
      <c r="AA97" s="138">
        <f t="shared" si="57"/>
        <v>31117185.439999994</v>
      </c>
      <c r="AB97" s="138">
        <f t="shared" si="58"/>
        <v>1555859</v>
      </c>
      <c r="AC97" s="138">
        <f>((3876600*3%)*(L97-K97+1))</f>
        <v>0</v>
      </c>
      <c r="AD97" s="138">
        <f t="shared" si="59"/>
        <v>29561326.439999994</v>
      </c>
      <c r="AE97" s="139">
        <f t="shared" si="60"/>
        <v>63000000</v>
      </c>
      <c r="AF97" s="139">
        <f t="shared" si="61"/>
        <v>0</v>
      </c>
      <c r="AG97" s="140">
        <f t="shared" si="62"/>
        <v>0</v>
      </c>
      <c r="AH97" s="140">
        <f t="shared" si="63"/>
        <v>0</v>
      </c>
      <c r="AI97" s="67">
        <f>+'PAJAK JAN-NOV'!R80</f>
        <v>85203</v>
      </c>
      <c r="AJ97" s="142">
        <f t="shared" si="64"/>
        <v>0</v>
      </c>
      <c r="AK97" s="32"/>
      <c r="AL97" s="33">
        <f t="shared" si="65"/>
        <v>85203</v>
      </c>
      <c r="AM97" s="32"/>
      <c r="AN97" s="33"/>
      <c r="AO97" s="32"/>
      <c r="AP97" s="32"/>
    </row>
    <row r="98" spans="2:76" s="136" customFormat="1" ht="15" customHeight="1">
      <c r="B98" s="131">
        <v>37</v>
      </c>
      <c r="C98" s="132" t="str">
        <f>+PERBULAN!B82</f>
        <v>SUNARDI</v>
      </c>
      <c r="D98" s="137" t="s">
        <v>291</v>
      </c>
      <c r="E98" s="37" t="s">
        <v>69</v>
      </c>
      <c r="F98" s="366" t="s">
        <v>191</v>
      </c>
      <c r="G98" s="350" t="s">
        <v>526</v>
      </c>
      <c r="H98" s="362" t="s">
        <v>39</v>
      </c>
      <c r="I98" s="353" t="s">
        <v>11</v>
      </c>
      <c r="J98" s="147" t="str">
        <f t="shared" si="54"/>
        <v>TER B</v>
      </c>
      <c r="K98" s="393">
        <v>1</v>
      </c>
      <c r="L98" s="393"/>
      <c r="M98" s="139"/>
      <c r="N98" s="139"/>
      <c r="O98" s="139"/>
      <c r="P98" s="138">
        <v>0</v>
      </c>
      <c r="Q98" s="138">
        <f t="shared" si="55"/>
        <v>0</v>
      </c>
      <c r="R98" s="138">
        <f>+SETAHUN!H211</f>
        <v>4053100</v>
      </c>
      <c r="S98" s="138">
        <f>+SETAHUN!K211</f>
        <v>200000</v>
      </c>
      <c r="T98" s="138">
        <v>0</v>
      </c>
      <c r="U98" s="138">
        <f>+SETAHUN!F211+M98+N98</f>
        <v>27063209.359999996</v>
      </c>
      <c r="V98" s="138">
        <v>0</v>
      </c>
      <c r="W98" s="138">
        <f>+SETAHUN!U211+O98</f>
        <v>1127964.6399999999</v>
      </c>
      <c r="X98" s="138">
        <v>0</v>
      </c>
      <c r="Y98" s="138">
        <v>0</v>
      </c>
      <c r="Z98" s="138">
        <f t="shared" si="56"/>
        <v>4253100</v>
      </c>
      <c r="AA98" s="138">
        <f t="shared" si="57"/>
        <v>32444273.999999996</v>
      </c>
      <c r="AB98" s="138">
        <f t="shared" si="58"/>
        <v>1622214</v>
      </c>
      <c r="AC98" s="138">
        <f>((3876600*3%)*(L98-K98+1))</f>
        <v>0</v>
      </c>
      <c r="AD98" s="138">
        <f t="shared" si="59"/>
        <v>30822059.999999996</v>
      </c>
      <c r="AE98" s="139">
        <f t="shared" si="60"/>
        <v>67500000</v>
      </c>
      <c r="AF98" s="139">
        <f t="shared" si="61"/>
        <v>0</v>
      </c>
      <c r="AG98" s="140">
        <f t="shared" si="62"/>
        <v>0</v>
      </c>
      <c r="AH98" s="140">
        <f t="shared" si="63"/>
        <v>0</v>
      </c>
      <c r="AI98" s="67">
        <f>+'PAJAK JAN-NOV'!R81</f>
        <v>87096</v>
      </c>
      <c r="AJ98" s="142">
        <f t="shared" si="64"/>
        <v>0</v>
      </c>
      <c r="AK98" s="32"/>
      <c r="AL98" s="33">
        <f t="shared" si="65"/>
        <v>87096</v>
      </c>
      <c r="AM98" s="32"/>
      <c r="AN98" s="33"/>
      <c r="AO98" s="32"/>
      <c r="AP98" s="32"/>
    </row>
    <row r="99" spans="2:76" s="136" customFormat="1" ht="15" customHeight="1">
      <c r="B99" s="131">
        <v>29</v>
      </c>
      <c r="C99" s="132" t="str">
        <f>+PERBULAN!B83</f>
        <v>MUSNI</v>
      </c>
      <c r="D99" s="55" t="s">
        <v>283</v>
      </c>
      <c r="E99" s="56" t="s">
        <v>69</v>
      </c>
      <c r="F99" s="364" t="s">
        <v>196</v>
      </c>
      <c r="G99" s="350" t="s">
        <v>526</v>
      </c>
      <c r="H99" s="362" t="s">
        <v>39</v>
      </c>
      <c r="I99" s="365" t="s">
        <v>17</v>
      </c>
      <c r="J99" s="395" t="str">
        <f t="shared" si="54"/>
        <v>TER A</v>
      </c>
      <c r="K99" s="393">
        <v>1</v>
      </c>
      <c r="L99" s="393"/>
      <c r="M99" s="139"/>
      <c r="N99" s="396"/>
      <c r="O99" s="396"/>
      <c r="P99" s="138">
        <v>0</v>
      </c>
      <c r="Q99" s="138">
        <f t="shared" si="55"/>
        <v>0</v>
      </c>
      <c r="R99" s="138">
        <f>+SETAHUN!H212</f>
        <v>4008600</v>
      </c>
      <c r="S99" s="138">
        <f>+SETAHUN!K212</f>
        <v>900000</v>
      </c>
      <c r="T99" s="138">
        <v>0</v>
      </c>
      <c r="U99" s="138">
        <f>+SETAHUN!F212+M99+N99</f>
        <v>33018563.519999996</v>
      </c>
      <c r="V99" s="138">
        <v>0</v>
      </c>
      <c r="W99" s="138">
        <f>+SETAHUN!U212+O99</f>
        <v>1319448.48</v>
      </c>
      <c r="X99" s="138">
        <v>0</v>
      </c>
      <c r="Y99" s="138">
        <v>0</v>
      </c>
      <c r="Z99" s="138">
        <f t="shared" si="56"/>
        <v>4908600</v>
      </c>
      <c r="AA99" s="138">
        <f t="shared" si="57"/>
        <v>39246611.999999993</v>
      </c>
      <c r="AB99" s="138">
        <f t="shared" si="58"/>
        <v>1962331</v>
      </c>
      <c r="AC99" s="138">
        <f>('ASTEK+PENSIUN-DIISI SMPAI DES'!O168+'ASTEK+PENSIUN-DIISI SMPAI DES'!O81)</f>
        <v>814716</v>
      </c>
      <c r="AD99" s="138">
        <f t="shared" si="59"/>
        <v>36469564.999999993</v>
      </c>
      <c r="AE99" s="139">
        <f t="shared" si="60"/>
        <v>58500000</v>
      </c>
      <c r="AF99" s="139">
        <f t="shared" si="61"/>
        <v>0</v>
      </c>
      <c r="AG99" s="397">
        <f t="shared" si="62"/>
        <v>0</v>
      </c>
      <c r="AH99" s="140">
        <f t="shared" si="63"/>
        <v>0</v>
      </c>
      <c r="AI99" s="67">
        <f>+'PAJAK JAN-NOV'!R82</f>
        <v>220221</v>
      </c>
      <c r="AJ99" s="142">
        <f t="shared" si="64"/>
        <v>0</v>
      </c>
      <c r="AK99" s="32" t="str">
        <f>+'PAJAK JAN-NOV'!B82</f>
        <v>MUSNI</v>
      </c>
      <c r="AL99" s="33">
        <f t="shared" si="65"/>
        <v>220221</v>
      </c>
      <c r="AM99" s="32"/>
      <c r="AN99" s="33"/>
      <c r="AO99" s="32"/>
      <c r="AP99" s="32"/>
    </row>
    <row r="100" spans="2:76" s="136" customFormat="1" ht="15" customHeight="1">
      <c r="B100" s="131">
        <v>31</v>
      </c>
      <c r="C100" s="132" t="str">
        <f>+PERBULAN!B84</f>
        <v>ARPANDI</v>
      </c>
      <c r="D100" s="55" t="s">
        <v>285</v>
      </c>
      <c r="E100" s="56" t="s">
        <v>69</v>
      </c>
      <c r="F100" s="364" t="s">
        <v>342</v>
      </c>
      <c r="G100" s="350" t="s">
        <v>526</v>
      </c>
      <c r="H100" s="362" t="s">
        <v>39</v>
      </c>
      <c r="I100" s="365" t="s">
        <v>9</v>
      </c>
      <c r="J100" s="395" t="str">
        <f t="shared" si="54"/>
        <v>TER B</v>
      </c>
      <c r="K100" s="393">
        <v>1</v>
      </c>
      <c r="L100" s="393"/>
      <c r="M100" s="139"/>
      <c r="N100" s="396"/>
      <c r="O100" s="396"/>
      <c r="P100" s="138">
        <v>0</v>
      </c>
      <c r="Q100" s="138">
        <f t="shared" si="55"/>
        <v>0</v>
      </c>
      <c r="R100" s="138">
        <f>+SETAHUN!H213</f>
        <v>4034100</v>
      </c>
      <c r="S100" s="138">
        <f>+SETAHUN!K213</f>
        <v>200000</v>
      </c>
      <c r="T100" s="138">
        <v>0</v>
      </c>
      <c r="U100" s="138">
        <f>+SETAHUN!F213+M100+N100</f>
        <v>33863773.519999996</v>
      </c>
      <c r="V100" s="138">
        <v>0</v>
      </c>
      <c r="W100" s="138">
        <f>+SETAHUN!U213+O100</f>
        <v>1318728.48</v>
      </c>
      <c r="X100" s="138">
        <v>0</v>
      </c>
      <c r="Y100" s="138">
        <v>0</v>
      </c>
      <c r="Z100" s="138">
        <f t="shared" si="56"/>
        <v>4234100</v>
      </c>
      <c r="AA100" s="138">
        <f t="shared" si="57"/>
        <v>39416601.999999993</v>
      </c>
      <c r="AB100" s="138">
        <f t="shared" si="58"/>
        <v>1970830</v>
      </c>
      <c r="AC100" s="138">
        <f>('ASTEK+PENSIUN-DIISI SMPAI DES'!O169+'ASTEK+PENSIUN-DIISI SMPAI DES'!O82)</f>
        <v>814716</v>
      </c>
      <c r="AD100" s="138">
        <f t="shared" si="59"/>
        <v>36631055.999999993</v>
      </c>
      <c r="AE100" s="139">
        <f t="shared" si="60"/>
        <v>63000000</v>
      </c>
      <c r="AF100" s="139">
        <f t="shared" si="61"/>
        <v>0</v>
      </c>
      <c r="AG100" s="397">
        <f t="shared" si="62"/>
        <v>0</v>
      </c>
      <c r="AH100" s="140">
        <f t="shared" si="63"/>
        <v>0</v>
      </c>
      <c r="AI100" s="67">
        <f>+'PAJAK JAN-NOV'!R83</f>
        <v>139353</v>
      </c>
      <c r="AJ100" s="142">
        <f t="shared" si="64"/>
        <v>0</v>
      </c>
      <c r="AK100" s="32" t="str">
        <f>+'PAJAK JAN-NOV'!B83</f>
        <v>ARPANDI</v>
      </c>
      <c r="AL100" s="33">
        <f t="shared" si="65"/>
        <v>139353</v>
      </c>
      <c r="AM100" s="32"/>
      <c r="AN100" s="33"/>
      <c r="AO100" s="32"/>
      <c r="AP100" s="32"/>
    </row>
    <row r="101" spans="2:76" s="136" customFormat="1" ht="15" customHeight="1">
      <c r="B101" s="131">
        <v>32</v>
      </c>
      <c r="C101" s="132" t="str">
        <f>+PERBULAN!B85</f>
        <v>MASRI</v>
      </c>
      <c r="D101" s="55" t="s">
        <v>286</v>
      </c>
      <c r="E101" s="56" t="s">
        <v>69</v>
      </c>
      <c r="F101" s="364" t="s">
        <v>343</v>
      </c>
      <c r="G101" s="350" t="s">
        <v>526</v>
      </c>
      <c r="H101" s="362" t="s">
        <v>39</v>
      </c>
      <c r="I101" s="365" t="s">
        <v>9</v>
      </c>
      <c r="J101" s="395" t="str">
        <f t="shared" si="54"/>
        <v>TER B</v>
      </c>
      <c r="K101" s="393">
        <v>1</v>
      </c>
      <c r="L101" s="393"/>
      <c r="M101" s="139"/>
      <c r="N101" s="396"/>
      <c r="O101" s="396"/>
      <c r="P101" s="138">
        <v>0</v>
      </c>
      <c r="Q101" s="138">
        <f t="shared" si="55"/>
        <v>0</v>
      </c>
      <c r="R101" s="138">
        <f>+SETAHUN!H214</f>
        <v>4040100</v>
      </c>
      <c r="S101" s="138">
        <f>+SETAHUN!K214</f>
        <v>200000</v>
      </c>
      <c r="T101" s="138">
        <v>0</v>
      </c>
      <c r="U101" s="138">
        <f>+SETAHUN!F214+M101+N101</f>
        <v>32895812.119999997</v>
      </c>
      <c r="V101" s="138">
        <v>0</v>
      </c>
      <c r="W101" s="138">
        <f>+SETAHUN!U214+O101</f>
        <v>1320818.8799999999</v>
      </c>
      <c r="X101" s="138">
        <v>0</v>
      </c>
      <c r="Y101" s="138">
        <v>0</v>
      </c>
      <c r="Z101" s="138">
        <f t="shared" si="56"/>
        <v>4240100</v>
      </c>
      <c r="AA101" s="138">
        <f t="shared" si="57"/>
        <v>38456731</v>
      </c>
      <c r="AB101" s="138">
        <f t="shared" si="58"/>
        <v>1922837</v>
      </c>
      <c r="AC101" s="138">
        <f>('ASTEK+PENSIUN-DIISI SMPAI DES'!O170+'ASTEK+PENSIUN-DIISI SMPAI DES'!O83)</f>
        <v>814896</v>
      </c>
      <c r="AD101" s="138">
        <f t="shared" si="59"/>
        <v>35718998</v>
      </c>
      <c r="AE101" s="139">
        <f t="shared" si="60"/>
        <v>63000000</v>
      </c>
      <c r="AF101" s="139">
        <f t="shared" si="61"/>
        <v>0</v>
      </c>
      <c r="AG101" s="397">
        <f t="shared" si="62"/>
        <v>0</v>
      </c>
      <c r="AH101" s="140">
        <f t="shared" si="63"/>
        <v>0</v>
      </c>
      <c r="AI101" s="67">
        <f>+'PAJAK JAN-NOV'!R84</f>
        <v>88787</v>
      </c>
      <c r="AJ101" s="142">
        <f t="shared" si="64"/>
        <v>0</v>
      </c>
      <c r="AK101" s="32" t="str">
        <f>+'PAJAK JAN-NOV'!B84</f>
        <v>MASRI</v>
      </c>
      <c r="AL101" s="33">
        <f t="shared" si="65"/>
        <v>88787</v>
      </c>
      <c r="AM101" s="32"/>
      <c r="AN101" s="33"/>
      <c r="AO101" s="32"/>
      <c r="AP101" s="32"/>
    </row>
    <row r="102" spans="2:76" s="136" customFormat="1" ht="15" customHeight="1">
      <c r="B102" s="131">
        <v>35</v>
      </c>
      <c r="C102" s="132" t="str">
        <f>+PERBULAN!B86</f>
        <v>HARDIANSYAH</v>
      </c>
      <c r="D102" s="137" t="s">
        <v>289</v>
      </c>
      <c r="E102" s="37" t="s">
        <v>69</v>
      </c>
      <c r="F102" s="366" t="s">
        <v>195</v>
      </c>
      <c r="G102" s="350" t="s">
        <v>526</v>
      </c>
      <c r="H102" s="362" t="s">
        <v>39</v>
      </c>
      <c r="I102" s="353" t="s">
        <v>11</v>
      </c>
      <c r="J102" s="147" t="str">
        <f t="shared" si="54"/>
        <v>TER B</v>
      </c>
      <c r="K102" s="393">
        <v>1</v>
      </c>
      <c r="L102" s="393"/>
      <c r="M102" s="139"/>
      <c r="N102" s="139"/>
      <c r="O102" s="139"/>
      <c r="P102" s="138">
        <v>0</v>
      </c>
      <c r="Q102" s="138">
        <f t="shared" si="55"/>
        <v>0</v>
      </c>
      <c r="R102" s="138">
        <f>+SETAHUN!H215</f>
        <v>4053100</v>
      </c>
      <c r="S102" s="138">
        <f>+SETAHUN!K215</f>
        <v>600000</v>
      </c>
      <c r="T102" s="138">
        <v>0</v>
      </c>
      <c r="U102" s="138">
        <f>+SETAHUN!F215+M102+N102</f>
        <v>33102182.919999994</v>
      </c>
      <c r="V102" s="138">
        <v>0</v>
      </c>
      <c r="W102" s="138">
        <f>+SETAHUN!U215+O102</f>
        <v>1316497.08</v>
      </c>
      <c r="X102" s="138">
        <v>0</v>
      </c>
      <c r="Y102" s="138">
        <v>0</v>
      </c>
      <c r="Z102" s="138">
        <f t="shared" si="56"/>
        <v>4653100</v>
      </c>
      <c r="AA102" s="138">
        <f t="shared" si="57"/>
        <v>39071779.999999993</v>
      </c>
      <c r="AB102" s="138">
        <f t="shared" si="58"/>
        <v>1953589</v>
      </c>
      <c r="AC102" s="138">
        <f>('ASTEK+PENSIUN-DIISI SMPAI DES'!O171+'ASTEK+PENSIUN-DIISI SMPAI DES'!O84)</f>
        <v>814461</v>
      </c>
      <c r="AD102" s="138">
        <f t="shared" si="59"/>
        <v>36303729.999999993</v>
      </c>
      <c r="AE102" s="139">
        <f t="shared" si="60"/>
        <v>67500000</v>
      </c>
      <c r="AF102" s="139">
        <f t="shared" si="61"/>
        <v>0</v>
      </c>
      <c r="AG102" s="140">
        <f t="shared" si="62"/>
        <v>0</v>
      </c>
      <c r="AH102" s="140">
        <f t="shared" si="63"/>
        <v>0</v>
      </c>
      <c r="AI102" s="67">
        <f>+'PAJAK JAN-NOV'!R85</f>
        <v>88930</v>
      </c>
      <c r="AJ102" s="142">
        <f t="shared" si="64"/>
        <v>0</v>
      </c>
      <c r="AK102" s="32" t="str">
        <f>+'PAJAK JAN-NOV'!B85</f>
        <v>HARDIANSYAH</v>
      </c>
      <c r="AL102" s="33">
        <f t="shared" si="65"/>
        <v>88930</v>
      </c>
      <c r="AM102" s="32"/>
      <c r="AN102" s="33"/>
      <c r="AO102" s="32"/>
      <c r="AP102" s="32"/>
    </row>
    <row r="103" spans="2:76" s="136" customFormat="1" ht="15" customHeight="1">
      <c r="B103" s="131">
        <v>41</v>
      </c>
      <c r="C103" s="132" t="str">
        <f>+PERBULAN!B87</f>
        <v>SALEH</v>
      </c>
      <c r="D103" s="137" t="s">
        <v>302</v>
      </c>
      <c r="E103" s="37" t="s">
        <v>69</v>
      </c>
      <c r="F103" s="366" t="s">
        <v>354</v>
      </c>
      <c r="G103" s="350" t="s">
        <v>526</v>
      </c>
      <c r="H103" s="362" t="s">
        <v>39</v>
      </c>
      <c r="I103" s="353" t="s">
        <v>17</v>
      </c>
      <c r="J103" s="147" t="str">
        <f t="shared" si="54"/>
        <v>TER A</v>
      </c>
      <c r="K103" s="393">
        <v>1</v>
      </c>
      <c r="L103" s="393"/>
      <c r="M103" s="139"/>
      <c r="N103" s="139"/>
      <c r="O103" s="139"/>
      <c r="P103" s="138">
        <v>0</v>
      </c>
      <c r="Q103" s="138">
        <f t="shared" si="55"/>
        <v>0</v>
      </c>
      <c r="R103" s="138">
        <f>+SETAHUN!H216</f>
        <v>3990100</v>
      </c>
      <c r="S103" s="138">
        <f>+SETAHUN!K216</f>
        <v>200000</v>
      </c>
      <c r="T103" s="138">
        <v>0</v>
      </c>
      <c r="U103" s="138">
        <f>+SETAHUN!F216+M103+N103</f>
        <v>33525064.919999994</v>
      </c>
      <c r="V103" s="138">
        <v>0</v>
      </c>
      <c r="W103" s="138">
        <f>+SETAHUN!U216+O103</f>
        <v>1314113.08</v>
      </c>
      <c r="X103" s="138">
        <v>0</v>
      </c>
      <c r="Y103" s="138">
        <v>0</v>
      </c>
      <c r="Z103" s="138">
        <f t="shared" si="56"/>
        <v>4190100</v>
      </c>
      <c r="AA103" s="138">
        <f t="shared" si="57"/>
        <v>39029277.999999993</v>
      </c>
      <c r="AB103" s="138">
        <f t="shared" si="58"/>
        <v>1951464</v>
      </c>
      <c r="AC103" s="138">
        <f>('ASTEK+PENSIUN-DIISI SMPAI DES'!O172+'ASTEK+PENSIUN-DIISI SMPAI DES'!O85)</f>
        <v>814161</v>
      </c>
      <c r="AD103" s="138">
        <f t="shared" si="59"/>
        <v>36263652.999999993</v>
      </c>
      <c r="AE103" s="139">
        <f t="shared" si="60"/>
        <v>58500000</v>
      </c>
      <c r="AF103" s="139">
        <f t="shared" si="61"/>
        <v>0</v>
      </c>
      <c r="AG103" s="140">
        <f t="shared" si="62"/>
        <v>0</v>
      </c>
      <c r="AH103" s="140">
        <f t="shared" si="63"/>
        <v>0</v>
      </c>
      <c r="AI103" s="67">
        <f>+'PAJAK JAN-NOV'!R86</f>
        <v>246332</v>
      </c>
      <c r="AJ103" s="142">
        <f t="shared" si="64"/>
        <v>0</v>
      </c>
      <c r="AK103" s="32" t="str">
        <f>+'PAJAK JAN-NOV'!B86</f>
        <v>SALEH</v>
      </c>
      <c r="AL103" s="33">
        <f t="shared" si="65"/>
        <v>246332</v>
      </c>
      <c r="AM103" s="32"/>
      <c r="AN103" s="33"/>
      <c r="AO103" s="32"/>
      <c r="AP103" s="32"/>
    </row>
    <row r="104" spans="2:76" s="136" customFormat="1" ht="15" customHeight="1">
      <c r="B104" s="131">
        <v>48</v>
      </c>
      <c r="C104" s="132" t="str">
        <f>+PERBULAN!B88</f>
        <v>JUFRI</v>
      </c>
      <c r="D104" s="137" t="s">
        <v>315</v>
      </c>
      <c r="E104" s="37" t="s">
        <v>69</v>
      </c>
      <c r="F104" s="366" t="s">
        <v>361</v>
      </c>
      <c r="G104" s="350" t="s">
        <v>526</v>
      </c>
      <c r="H104" s="362" t="s">
        <v>39</v>
      </c>
      <c r="I104" s="353" t="s">
        <v>11</v>
      </c>
      <c r="J104" s="147" t="str">
        <f t="shared" si="54"/>
        <v>TER B</v>
      </c>
      <c r="K104" s="393">
        <v>1</v>
      </c>
      <c r="L104" s="393"/>
      <c r="M104" s="139"/>
      <c r="N104" s="139"/>
      <c r="O104" s="139"/>
      <c r="P104" s="138">
        <v>0</v>
      </c>
      <c r="Q104" s="138">
        <f t="shared" si="55"/>
        <v>0</v>
      </c>
      <c r="R104" s="138">
        <f>+SETAHUN!H217</f>
        <v>4050600</v>
      </c>
      <c r="S104" s="138">
        <f>+SETAHUN!K217</f>
        <v>200000</v>
      </c>
      <c r="T104" s="138">
        <v>0</v>
      </c>
      <c r="U104" s="138">
        <f>+SETAHUN!F217+M104+N104</f>
        <v>31572635.919999994</v>
      </c>
      <c r="V104" s="138">
        <v>0</v>
      </c>
      <c r="W104" s="138">
        <f>+SETAHUN!U217+O104</f>
        <v>1315776.08</v>
      </c>
      <c r="X104" s="138">
        <v>0</v>
      </c>
      <c r="Y104" s="138">
        <v>0</v>
      </c>
      <c r="Z104" s="138">
        <f t="shared" si="56"/>
        <v>4250600</v>
      </c>
      <c r="AA104" s="138">
        <f t="shared" si="57"/>
        <v>37139011.999999993</v>
      </c>
      <c r="AB104" s="138">
        <f t="shared" si="58"/>
        <v>1856951</v>
      </c>
      <c r="AC104" s="138">
        <f>('ASTEK+PENSIUN-DIISI SMPAI DES'!O173+'ASTEK+PENSIUN-DIISI SMPAI DES'!O86)</f>
        <v>814386</v>
      </c>
      <c r="AD104" s="138">
        <f t="shared" si="59"/>
        <v>34467674.999999993</v>
      </c>
      <c r="AE104" s="139">
        <f t="shared" si="60"/>
        <v>67500000</v>
      </c>
      <c r="AF104" s="139">
        <f t="shared" si="61"/>
        <v>0</v>
      </c>
      <c r="AG104" s="140">
        <f t="shared" si="62"/>
        <v>0</v>
      </c>
      <c r="AH104" s="140">
        <f t="shared" si="63"/>
        <v>0</v>
      </c>
      <c r="AI104" s="67">
        <f>+'PAJAK JAN-NOV'!R87</f>
        <v>85964</v>
      </c>
      <c r="AJ104" s="142">
        <f t="shared" si="64"/>
        <v>0</v>
      </c>
      <c r="AK104" s="32" t="str">
        <f>+'PAJAK JAN-NOV'!B87</f>
        <v>JUFRI</v>
      </c>
      <c r="AL104" s="33">
        <f t="shared" si="65"/>
        <v>85964</v>
      </c>
      <c r="AM104" s="32"/>
      <c r="AN104" s="33"/>
      <c r="AO104" s="32"/>
      <c r="AP104" s="32"/>
    </row>
    <row r="105" spans="2:76" s="136" customFormat="1" ht="15" customHeight="1">
      <c r="B105" s="131">
        <v>50</v>
      </c>
      <c r="C105" s="132" t="str">
        <f>+PERBULAN!B89</f>
        <v>ZAMALUDIN</v>
      </c>
      <c r="D105" s="137" t="s">
        <v>364</v>
      </c>
      <c r="E105" s="37" t="s">
        <v>69</v>
      </c>
      <c r="F105" s="366" t="s">
        <v>365</v>
      </c>
      <c r="G105" s="350" t="s">
        <v>526</v>
      </c>
      <c r="H105" s="362" t="s">
        <v>39</v>
      </c>
      <c r="I105" s="353" t="s">
        <v>9</v>
      </c>
      <c r="J105" s="147" t="str">
        <f t="shared" si="54"/>
        <v>TER B</v>
      </c>
      <c r="K105" s="393">
        <v>1</v>
      </c>
      <c r="L105" s="393"/>
      <c r="M105" s="139"/>
      <c r="N105" s="139"/>
      <c r="O105" s="139"/>
      <c r="P105" s="138">
        <v>0</v>
      </c>
      <c r="Q105" s="138">
        <f t="shared" si="55"/>
        <v>0</v>
      </c>
      <c r="R105" s="138">
        <f>+SETAHUN!H218</f>
        <v>2008050</v>
      </c>
      <c r="S105" s="138">
        <f>+SETAHUN!K218</f>
        <v>150000</v>
      </c>
      <c r="T105" s="138">
        <v>0</v>
      </c>
      <c r="U105" s="138">
        <f>+SETAHUN!F218+M105+N105</f>
        <v>32385173.919999994</v>
      </c>
      <c r="V105" s="138">
        <v>0</v>
      </c>
      <c r="W105" s="138">
        <f>+SETAHUN!U218+O105</f>
        <v>1313392.08</v>
      </c>
      <c r="X105" s="138">
        <v>0</v>
      </c>
      <c r="Y105" s="138">
        <v>0</v>
      </c>
      <c r="Z105" s="138">
        <f t="shared" si="56"/>
        <v>2158050</v>
      </c>
      <c r="AA105" s="138">
        <f t="shared" si="57"/>
        <v>35856615.999999993</v>
      </c>
      <c r="AB105" s="138">
        <f t="shared" si="58"/>
        <v>1792831</v>
      </c>
      <c r="AC105" s="138">
        <f>('ASTEK+PENSIUN-DIISI SMPAI DES'!O174+'ASTEK+PENSIUN-DIISI SMPAI DES'!O87)</f>
        <v>814086</v>
      </c>
      <c r="AD105" s="138">
        <f t="shared" si="59"/>
        <v>33249698.999999993</v>
      </c>
      <c r="AE105" s="139">
        <f t="shared" si="60"/>
        <v>63000000</v>
      </c>
      <c r="AF105" s="139">
        <f t="shared" si="61"/>
        <v>0</v>
      </c>
      <c r="AG105" s="140">
        <f t="shared" si="62"/>
        <v>0</v>
      </c>
      <c r="AH105" s="140">
        <f t="shared" si="63"/>
        <v>0</v>
      </c>
      <c r="AI105" s="67">
        <f>+'PAJAK JAN-NOV'!R88</f>
        <v>34167</v>
      </c>
      <c r="AJ105" s="142">
        <f t="shared" si="64"/>
        <v>0</v>
      </c>
      <c r="AK105" s="32" t="str">
        <f>+'PAJAK JAN-NOV'!B88</f>
        <v>ZAMALUDIN</v>
      </c>
      <c r="AL105" s="33">
        <f t="shared" si="65"/>
        <v>34167</v>
      </c>
      <c r="AM105" s="32"/>
      <c r="AN105" s="33"/>
      <c r="AO105" s="32"/>
      <c r="AP105" s="32"/>
    </row>
    <row r="106" spans="2:76" s="28" customFormat="1">
      <c r="B106" s="136"/>
      <c r="D106" s="221"/>
      <c r="E106" s="29"/>
      <c r="G106" s="338"/>
      <c r="H106" s="339"/>
      <c r="I106" s="339"/>
      <c r="J106" s="339"/>
      <c r="K106" s="339"/>
      <c r="L106" s="339"/>
      <c r="O106" s="373"/>
      <c r="AI106" s="31"/>
      <c r="AJ106" s="31"/>
      <c r="AK106" s="32"/>
      <c r="AL106" s="33"/>
      <c r="AM106" s="32"/>
      <c r="AN106" s="33"/>
      <c r="AO106" s="32"/>
      <c r="AP106" s="32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372"/>
      <c r="BD106" s="372"/>
      <c r="BE106" s="372"/>
      <c r="BF106" s="372"/>
      <c r="BG106" s="372"/>
      <c r="BH106" s="372"/>
      <c r="BI106" s="372"/>
      <c r="BJ106" s="372"/>
      <c r="BK106" s="372"/>
      <c r="BL106" s="372"/>
      <c r="BM106" s="372"/>
      <c r="BN106" s="372"/>
      <c r="BO106" s="372"/>
      <c r="BP106" s="372"/>
      <c r="BQ106" s="372"/>
      <c r="BR106" s="372"/>
      <c r="BS106" s="372"/>
      <c r="BT106" s="372"/>
      <c r="BU106" s="372"/>
      <c r="BV106" s="372"/>
      <c r="BW106" s="372"/>
      <c r="BX106" s="372"/>
    </row>
    <row r="107" spans="2:76" s="28" customFormat="1">
      <c r="B107" s="136"/>
      <c r="D107" s="221"/>
      <c r="E107" s="29"/>
      <c r="G107" s="338"/>
      <c r="H107" s="339"/>
      <c r="I107" s="339"/>
      <c r="J107" s="339"/>
      <c r="K107" s="339"/>
      <c r="L107" s="339"/>
      <c r="O107" s="373"/>
      <c r="AI107" s="31"/>
      <c r="AJ107" s="31"/>
      <c r="AK107" s="32"/>
      <c r="AL107" s="33"/>
      <c r="AM107" s="32"/>
      <c r="AN107" s="33"/>
      <c r="AO107" s="32"/>
      <c r="AP107" s="32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372"/>
      <c r="BD107" s="372"/>
      <c r="BE107" s="372"/>
      <c r="BF107" s="372"/>
      <c r="BG107" s="372"/>
      <c r="BH107" s="372"/>
      <c r="BI107" s="372"/>
      <c r="BJ107" s="372"/>
      <c r="BK107" s="372"/>
      <c r="BL107" s="372"/>
      <c r="BM107" s="372"/>
      <c r="BN107" s="372"/>
      <c r="BO107" s="372"/>
      <c r="BP107" s="372"/>
      <c r="BQ107" s="372"/>
      <c r="BR107" s="372"/>
      <c r="BS107" s="372"/>
      <c r="BT107" s="372"/>
      <c r="BU107" s="372"/>
      <c r="BV107" s="372"/>
      <c r="BW107" s="372"/>
      <c r="BX107" s="372"/>
    </row>
    <row r="108" spans="2:76" s="28" customFormat="1">
      <c r="B108" s="136"/>
      <c r="D108" s="221"/>
      <c r="E108" s="29"/>
      <c r="G108" s="338"/>
      <c r="H108" s="339"/>
      <c r="I108" s="339"/>
      <c r="J108" s="339"/>
      <c r="K108" s="339"/>
      <c r="L108" s="339"/>
      <c r="O108" s="373"/>
      <c r="AI108" s="31"/>
      <c r="AJ108" s="31"/>
      <c r="AK108" s="32"/>
      <c r="AL108" s="33"/>
      <c r="AM108" s="32"/>
      <c r="AN108" s="33"/>
      <c r="AO108" s="32"/>
      <c r="AP108" s="32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372"/>
      <c r="BD108" s="372"/>
      <c r="BE108" s="372"/>
      <c r="BF108" s="372"/>
      <c r="BG108" s="372"/>
      <c r="BH108" s="372"/>
      <c r="BI108" s="372"/>
      <c r="BJ108" s="372"/>
      <c r="BK108" s="372"/>
      <c r="BL108" s="372"/>
      <c r="BM108" s="372"/>
      <c r="BN108" s="372"/>
      <c r="BO108" s="372"/>
      <c r="BP108" s="372"/>
      <c r="BQ108" s="372"/>
      <c r="BR108" s="372"/>
      <c r="BS108" s="372"/>
      <c r="BT108" s="372"/>
      <c r="BU108" s="372"/>
      <c r="BV108" s="372"/>
      <c r="BW108" s="372"/>
      <c r="BX108" s="372"/>
    </row>
    <row r="109" spans="2:76" s="28" customFormat="1">
      <c r="B109" s="136"/>
      <c r="D109" s="221"/>
      <c r="E109" s="29"/>
      <c r="G109" s="338"/>
      <c r="H109" s="339"/>
      <c r="I109" s="339"/>
      <c r="J109" s="339"/>
      <c r="K109" s="339"/>
      <c r="L109" s="339"/>
      <c r="O109" s="373"/>
      <c r="AI109" s="31"/>
      <c r="AJ109" s="31"/>
      <c r="AK109" s="32"/>
      <c r="AL109" s="33"/>
      <c r="AM109" s="32"/>
      <c r="AN109" s="33"/>
      <c r="AO109" s="32"/>
      <c r="AP109" s="32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372"/>
      <c r="BD109" s="372"/>
      <c r="BE109" s="372"/>
      <c r="BF109" s="372"/>
      <c r="BG109" s="372"/>
      <c r="BH109" s="372"/>
      <c r="BI109" s="372"/>
      <c r="BJ109" s="372"/>
      <c r="BK109" s="372"/>
      <c r="BL109" s="372"/>
      <c r="BM109" s="372"/>
      <c r="BN109" s="372"/>
      <c r="BO109" s="372"/>
      <c r="BP109" s="372"/>
      <c r="BQ109" s="372"/>
      <c r="BR109" s="372"/>
      <c r="BS109" s="372"/>
      <c r="BT109" s="372"/>
      <c r="BU109" s="372"/>
      <c r="BV109" s="372"/>
      <c r="BW109" s="372"/>
      <c r="BX109" s="372"/>
    </row>
    <row r="110" spans="2:76" s="28" customFormat="1">
      <c r="B110" s="136"/>
      <c r="D110" s="221"/>
      <c r="E110" s="29"/>
      <c r="G110" s="338"/>
      <c r="H110" s="339"/>
      <c r="I110" s="339"/>
      <c r="J110" s="339"/>
      <c r="K110" s="339"/>
      <c r="L110" s="339"/>
      <c r="O110" s="373"/>
      <c r="AI110" s="31"/>
      <c r="AJ110" s="31"/>
      <c r="AK110" s="32"/>
      <c r="AL110" s="33"/>
      <c r="AM110" s="32"/>
      <c r="AN110" s="33"/>
      <c r="AO110" s="32"/>
      <c r="AP110" s="32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372"/>
      <c r="BD110" s="372"/>
      <c r="BE110" s="372"/>
      <c r="BF110" s="372"/>
      <c r="BG110" s="372"/>
      <c r="BH110" s="372"/>
      <c r="BI110" s="372"/>
      <c r="BJ110" s="372"/>
      <c r="BK110" s="372"/>
      <c r="BL110" s="372"/>
      <c r="BM110" s="372"/>
      <c r="BN110" s="372"/>
      <c r="BO110" s="372"/>
      <c r="BP110" s="372"/>
      <c r="BQ110" s="372"/>
      <c r="BR110" s="372"/>
      <c r="BS110" s="372"/>
      <c r="BT110" s="372"/>
      <c r="BU110" s="372"/>
      <c r="BV110" s="372"/>
      <c r="BW110" s="372"/>
      <c r="BX110" s="372"/>
    </row>
    <row r="111" spans="2:76" s="28" customFormat="1">
      <c r="B111" s="136"/>
      <c r="D111" s="221"/>
      <c r="E111" s="29"/>
      <c r="G111" s="338"/>
      <c r="H111" s="339"/>
      <c r="I111" s="339"/>
      <c r="J111" s="339"/>
      <c r="K111" s="339"/>
      <c r="L111" s="339"/>
      <c r="O111" s="373"/>
      <c r="AI111" s="31"/>
      <c r="AJ111" s="31"/>
      <c r="AK111" s="32"/>
      <c r="AL111" s="33"/>
      <c r="AM111" s="32"/>
      <c r="AN111" s="33"/>
      <c r="AO111" s="32"/>
      <c r="AP111" s="32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372"/>
      <c r="BD111" s="372"/>
      <c r="BE111" s="372"/>
      <c r="BF111" s="372"/>
      <c r="BG111" s="372"/>
      <c r="BH111" s="372"/>
      <c r="BI111" s="372"/>
      <c r="BJ111" s="372"/>
      <c r="BK111" s="372"/>
      <c r="BL111" s="372"/>
      <c r="BM111" s="372"/>
      <c r="BN111" s="372"/>
      <c r="BO111" s="372"/>
      <c r="BP111" s="372"/>
      <c r="BQ111" s="372"/>
      <c r="BR111" s="372"/>
      <c r="BS111" s="372"/>
      <c r="BT111" s="372"/>
      <c r="BU111" s="372"/>
      <c r="BV111" s="372"/>
      <c r="BW111" s="372"/>
      <c r="BX111" s="372"/>
    </row>
    <row r="112" spans="2:76" s="28" customFormat="1">
      <c r="B112" s="136"/>
      <c r="D112" s="221"/>
      <c r="E112" s="29"/>
      <c r="G112" s="338"/>
      <c r="H112" s="339"/>
      <c r="I112" s="339"/>
      <c r="J112" s="339"/>
      <c r="K112" s="339"/>
      <c r="L112" s="339"/>
      <c r="O112" s="373"/>
      <c r="AI112" s="31"/>
      <c r="AJ112" s="31"/>
      <c r="AK112" s="32"/>
      <c r="AL112" s="33"/>
      <c r="AM112" s="32"/>
      <c r="AN112" s="33"/>
      <c r="AO112" s="32"/>
      <c r="AP112" s="32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372"/>
      <c r="BD112" s="372"/>
      <c r="BE112" s="372"/>
      <c r="BF112" s="372"/>
      <c r="BG112" s="372"/>
      <c r="BH112" s="372"/>
      <c r="BI112" s="372"/>
      <c r="BJ112" s="372"/>
      <c r="BK112" s="372"/>
      <c r="BL112" s="372"/>
      <c r="BM112" s="372"/>
      <c r="BN112" s="372"/>
      <c r="BO112" s="372"/>
      <c r="BP112" s="372"/>
      <c r="BQ112" s="372"/>
      <c r="BR112" s="372"/>
      <c r="BS112" s="372"/>
      <c r="BT112" s="372"/>
      <c r="BU112" s="372"/>
      <c r="BV112" s="372"/>
      <c r="BW112" s="372"/>
      <c r="BX112" s="372"/>
    </row>
    <row r="113" spans="2:76" s="28" customFormat="1">
      <c r="B113" s="136"/>
      <c r="D113" s="221"/>
      <c r="E113" s="29"/>
      <c r="G113" s="338"/>
      <c r="H113" s="339"/>
      <c r="I113" s="339"/>
      <c r="J113" s="339"/>
      <c r="K113" s="339"/>
      <c r="L113" s="339"/>
      <c r="O113" s="373"/>
      <c r="AI113" s="31"/>
      <c r="AJ113" s="31"/>
      <c r="AK113" s="32"/>
      <c r="AL113" s="33"/>
      <c r="AM113" s="32"/>
      <c r="AN113" s="33"/>
      <c r="AO113" s="32"/>
      <c r="AP113" s="32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372"/>
      <c r="BD113" s="372"/>
      <c r="BE113" s="372"/>
      <c r="BF113" s="372"/>
      <c r="BG113" s="372"/>
      <c r="BH113" s="372"/>
      <c r="BI113" s="372"/>
      <c r="BJ113" s="372"/>
      <c r="BK113" s="372"/>
      <c r="BL113" s="372"/>
      <c r="BM113" s="372"/>
      <c r="BN113" s="372"/>
      <c r="BO113" s="372"/>
      <c r="BP113" s="372"/>
      <c r="BQ113" s="372"/>
      <c r="BR113" s="372"/>
      <c r="BS113" s="372"/>
      <c r="BT113" s="372"/>
      <c r="BU113" s="372"/>
      <c r="BV113" s="372"/>
      <c r="BW113" s="372"/>
      <c r="BX113" s="372"/>
    </row>
    <row r="114" spans="2:76" s="28" customFormat="1">
      <c r="B114" s="136"/>
      <c r="D114" s="221"/>
      <c r="E114" s="29"/>
      <c r="G114" s="338"/>
      <c r="H114" s="339"/>
      <c r="I114" s="339"/>
      <c r="J114" s="339"/>
      <c r="K114" s="339"/>
      <c r="L114" s="339"/>
      <c r="O114" s="373"/>
      <c r="AI114" s="31"/>
      <c r="AJ114" s="31"/>
      <c r="AK114" s="32"/>
      <c r="AL114" s="33"/>
      <c r="AM114" s="32"/>
      <c r="AN114" s="33"/>
      <c r="AO114" s="32"/>
      <c r="AP114" s="32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372"/>
      <c r="BD114" s="372"/>
      <c r="BE114" s="372"/>
      <c r="BF114" s="372"/>
      <c r="BG114" s="372"/>
      <c r="BH114" s="372"/>
      <c r="BI114" s="372"/>
      <c r="BJ114" s="372"/>
      <c r="BK114" s="372"/>
      <c r="BL114" s="372"/>
      <c r="BM114" s="372"/>
      <c r="BN114" s="372"/>
      <c r="BO114" s="372"/>
      <c r="BP114" s="372"/>
      <c r="BQ114" s="372"/>
      <c r="BR114" s="372"/>
      <c r="BS114" s="372"/>
      <c r="BT114" s="372"/>
      <c r="BU114" s="372"/>
      <c r="BV114" s="372"/>
      <c r="BW114" s="372"/>
      <c r="BX114" s="372"/>
    </row>
    <row r="115" spans="2:76" s="28" customFormat="1">
      <c r="B115" s="136"/>
      <c r="D115" s="221"/>
      <c r="E115" s="29"/>
      <c r="G115" s="338"/>
      <c r="H115" s="339"/>
      <c r="I115" s="339"/>
      <c r="J115" s="339"/>
      <c r="K115" s="339"/>
      <c r="L115" s="339"/>
      <c r="O115" s="373"/>
      <c r="AI115" s="31"/>
      <c r="AJ115" s="31"/>
      <c r="AK115" s="32"/>
      <c r="AL115" s="33"/>
      <c r="AM115" s="32"/>
      <c r="AN115" s="33"/>
      <c r="AO115" s="32"/>
      <c r="AP115" s="32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372"/>
      <c r="BD115" s="372"/>
      <c r="BE115" s="372"/>
      <c r="BF115" s="372"/>
      <c r="BG115" s="372"/>
      <c r="BH115" s="372"/>
      <c r="BI115" s="372"/>
      <c r="BJ115" s="372"/>
      <c r="BK115" s="372"/>
      <c r="BL115" s="372"/>
      <c r="BM115" s="372"/>
      <c r="BN115" s="372"/>
      <c r="BO115" s="372"/>
      <c r="BP115" s="372"/>
      <c r="BQ115" s="372"/>
      <c r="BR115" s="372"/>
      <c r="BS115" s="372"/>
      <c r="BT115" s="372"/>
      <c r="BU115" s="372"/>
      <c r="BV115" s="372"/>
      <c r="BW115" s="372"/>
      <c r="BX115" s="372"/>
    </row>
    <row r="116" spans="2:76" s="28" customFormat="1">
      <c r="B116" s="136"/>
      <c r="D116" s="221"/>
      <c r="E116" s="29"/>
      <c r="G116" s="338"/>
      <c r="H116" s="339"/>
      <c r="I116" s="339"/>
      <c r="J116" s="339"/>
      <c r="K116" s="339"/>
      <c r="L116" s="339"/>
      <c r="O116" s="373"/>
      <c r="AI116" s="31"/>
      <c r="AJ116" s="31"/>
      <c r="AK116" s="32"/>
      <c r="AL116" s="33"/>
      <c r="AM116" s="32"/>
      <c r="AN116" s="33"/>
      <c r="AO116" s="32"/>
      <c r="AP116" s="32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372"/>
      <c r="BD116" s="372"/>
      <c r="BE116" s="372"/>
      <c r="BF116" s="372"/>
      <c r="BG116" s="372"/>
      <c r="BH116" s="372"/>
      <c r="BI116" s="372"/>
      <c r="BJ116" s="372"/>
      <c r="BK116" s="372"/>
      <c r="BL116" s="372"/>
      <c r="BM116" s="372"/>
      <c r="BN116" s="372"/>
      <c r="BO116" s="372"/>
      <c r="BP116" s="372"/>
      <c r="BQ116" s="372"/>
      <c r="BR116" s="372"/>
      <c r="BS116" s="372"/>
      <c r="BT116" s="372"/>
      <c r="BU116" s="372"/>
      <c r="BV116" s="372"/>
      <c r="BW116" s="372"/>
      <c r="BX116" s="372"/>
    </row>
    <row r="117" spans="2:76" s="28" customFormat="1">
      <c r="B117" s="136"/>
      <c r="D117" s="221"/>
      <c r="E117" s="29"/>
      <c r="G117" s="338"/>
      <c r="H117" s="339"/>
      <c r="I117" s="339"/>
      <c r="J117" s="339"/>
      <c r="K117" s="339"/>
      <c r="L117" s="339"/>
      <c r="O117" s="373"/>
      <c r="AI117" s="31"/>
      <c r="AJ117" s="31"/>
      <c r="AK117" s="32"/>
      <c r="AL117" s="33"/>
      <c r="AM117" s="32"/>
      <c r="AN117" s="33"/>
      <c r="AO117" s="32"/>
      <c r="AP117" s="32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372"/>
      <c r="BD117" s="372"/>
      <c r="BE117" s="372"/>
      <c r="BF117" s="372"/>
      <c r="BG117" s="372"/>
      <c r="BH117" s="372"/>
      <c r="BI117" s="372"/>
      <c r="BJ117" s="372"/>
      <c r="BK117" s="372"/>
      <c r="BL117" s="372"/>
      <c r="BM117" s="372"/>
      <c r="BN117" s="372"/>
      <c r="BO117" s="372"/>
      <c r="BP117" s="372"/>
      <c r="BQ117" s="372"/>
      <c r="BR117" s="372"/>
      <c r="BS117" s="372"/>
      <c r="BT117" s="372"/>
      <c r="BU117" s="372"/>
      <c r="BV117" s="372"/>
      <c r="BW117" s="372"/>
      <c r="BX117" s="372"/>
    </row>
    <row r="118" spans="2:76" s="28" customFormat="1">
      <c r="B118" s="136"/>
      <c r="D118" s="221"/>
      <c r="E118" s="29"/>
      <c r="G118" s="338"/>
      <c r="H118" s="339"/>
      <c r="I118" s="339"/>
      <c r="J118" s="339"/>
      <c r="K118" s="339"/>
      <c r="L118" s="339"/>
      <c r="O118" s="373"/>
      <c r="AI118" s="31"/>
      <c r="AJ118" s="31"/>
      <c r="AK118" s="32"/>
      <c r="AL118" s="33"/>
      <c r="AM118" s="32"/>
      <c r="AN118" s="33"/>
      <c r="AO118" s="32"/>
      <c r="AP118" s="32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372"/>
      <c r="BD118" s="372"/>
      <c r="BE118" s="372"/>
      <c r="BF118" s="372"/>
      <c r="BG118" s="372"/>
      <c r="BH118" s="372"/>
      <c r="BI118" s="372"/>
      <c r="BJ118" s="372"/>
      <c r="BK118" s="372"/>
      <c r="BL118" s="372"/>
      <c r="BM118" s="372"/>
      <c r="BN118" s="372"/>
      <c r="BO118" s="372"/>
      <c r="BP118" s="372"/>
      <c r="BQ118" s="372"/>
      <c r="BR118" s="372"/>
      <c r="BS118" s="372"/>
      <c r="BT118" s="372"/>
      <c r="BU118" s="372"/>
      <c r="BV118" s="372"/>
      <c r="BW118" s="372"/>
      <c r="BX118" s="372"/>
    </row>
    <row r="119" spans="2:76" s="28" customFormat="1">
      <c r="B119" s="136"/>
      <c r="D119" s="221"/>
      <c r="E119" s="29"/>
      <c r="G119" s="338"/>
      <c r="H119" s="339"/>
      <c r="I119" s="339"/>
      <c r="J119" s="339"/>
      <c r="K119" s="339"/>
      <c r="L119" s="339"/>
      <c r="O119" s="373"/>
      <c r="AI119" s="31"/>
      <c r="AJ119" s="31"/>
      <c r="AK119" s="32"/>
      <c r="AL119" s="33"/>
      <c r="AM119" s="32"/>
      <c r="AN119" s="33"/>
      <c r="AO119" s="32"/>
      <c r="AP119" s="32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372"/>
      <c r="BD119" s="372"/>
      <c r="BE119" s="372"/>
      <c r="BF119" s="372"/>
      <c r="BG119" s="372"/>
      <c r="BH119" s="372"/>
      <c r="BI119" s="372"/>
      <c r="BJ119" s="372"/>
      <c r="BK119" s="372"/>
      <c r="BL119" s="372"/>
      <c r="BM119" s="372"/>
      <c r="BN119" s="372"/>
      <c r="BO119" s="372"/>
      <c r="BP119" s="372"/>
      <c r="BQ119" s="372"/>
      <c r="BR119" s="372"/>
      <c r="BS119" s="372"/>
      <c r="BT119" s="372"/>
      <c r="BU119" s="372"/>
      <c r="BV119" s="372"/>
      <c r="BW119" s="372"/>
      <c r="BX119" s="372"/>
    </row>
    <row r="120" spans="2:76" s="28" customFormat="1">
      <c r="B120" s="136"/>
      <c r="D120" s="221"/>
      <c r="E120" s="29"/>
      <c r="G120" s="338"/>
      <c r="H120" s="339"/>
      <c r="I120" s="339"/>
      <c r="J120" s="339"/>
      <c r="K120" s="339"/>
      <c r="L120" s="339"/>
      <c r="O120" s="373"/>
      <c r="AI120" s="31"/>
      <c r="AJ120" s="31"/>
      <c r="AK120" s="32"/>
      <c r="AL120" s="33"/>
      <c r="AM120" s="32"/>
      <c r="AN120" s="33"/>
      <c r="AO120" s="32"/>
      <c r="AP120" s="32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372"/>
      <c r="BD120" s="372"/>
      <c r="BE120" s="372"/>
      <c r="BF120" s="372"/>
      <c r="BG120" s="372"/>
      <c r="BH120" s="372"/>
      <c r="BI120" s="372"/>
      <c r="BJ120" s="372"/>
      <c r="BK120" s="372"/>
      <c r="BL120" s="372"/>
      <c r="BM120" s="372"/>
      <c r="BN120" s="372"/>
      <c r="BO120" s="372"/>
      <c r="BP120" s="372"/>
      <c r="BQ120" s="372"/>
      <c r="BR120" s="372"/>
      <c r="BS120" s="372"/>
      <c r="BT120" s="372"/>
      <c r="BU120" s="372"/>
      <c r="BV120" s="372"/>
      <c r="BW120" s="372"/>
      <c r="BX120" s="372"/>
    </row>
    <row r="121" spans="2:76" s="28" customFormat="1">
      <c r="B121" s="136"/>
      <c r="D121" s="221"/>
      <c r="E121" s="29"/>
      <c r="G121" s="338"/>
      <c r="H121" s="339"/>
      <c r="I121" s="339"/>
      <c r="J121" s="339"/>
      <c r="K121" s="339"/>
      <c r="L121" s="339"/>
      <c r="O121" s="373"/>
      <c r="AI121" s="31"/>
      <c r="AJ121" s="31"/>
      <c r="AK121" s="32"/>
      <c r="AL121" s="33"/>
      <c r="AM121" s="32"/>
      <c r="AN121" s="33"/>
      <c r="AO121" s="32"/>
      <c r="AP121" s="32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372"/>
      <c r="BD121" s="372"/>
      <c r="BE121" s="372"/>
      <c r="BF121" s="372"/>
      <c r="BG121" s="372"/>
      <c r="BH121" s="372"/>
      <c r="BI121" s="372"/>
      <c r="BJ121" s="372"/>
      <c r="BK121" s="372"/>
      <c r="BL121" s="372"/>
      <c r="BM121" s="372"/>
      <c r="BN121" s="372"/>
      <c r="BO121" s="372"/>
      <c r="BP121" s="372"/>
      <c r="BQ121" s="372"/>
      <c r="BR121" s="372"/>
      <c r="BS121" s="372"/>
      <c r="BT121" s="372"/>
      <c r="BU121" s="372"/>
      <c r="BV121" s="372"/>
      <c r="BW121" s="372"/>
      <c r="BX121" s="372"/>
    </row>
    <row r="122" spans="2:76" s="28" customFormat="1">
      <c r="B122" s="136"/>
      <c r="D122" s="221"/>
      <c r="E122" s="29"/>
      <c r="G122" s="338"/>
      <c r="H122" s="339"/>
      <c r="I122" s="339"/>
      <c r="J122" s="339"/>
      <c r="K122" s="339"/>
      <c r="L122" s="339"/>
      <c r="O122" s="373"/>
      <c r="AI122" s="31"/>
      <c r="AJ122" s="31"/>
      <c r="AK122" s="32"/>
      <c r="AL122" s="33"/>
      <c r="AM122" s="32"/>
      <c r="AN122" s="33"/>
      <c r="AO122" s="32"/>
      <c r="AP122" s="32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372"/>
      <c r="BD122" s="372"/>
      <c r="BE122" s="372"/>
      <c r="BF122" s="372"/>
      <c r="BG122" s="372"/>
      <c r="BH122" s="372"/>
      <c r="BI122" s="372"/>
      <c r="BJ122" s="372"/>
      <c r="BK122" s="372"/>
      <c r="BL122" s="372"/>
      <c r="BM122" s="372"/>
      <c r="BN122" s="372"/>
      <c r="BO122" s="372"/>
      <c r="BP122" s="372"/>
      <c r="BQ122" s="372"/>
      <c r="BR122" s="372"/>
      <c r="BS122" s="372"/>
      <c r="BT122" s="372"/>
      <c r="BU122" s="372"/>
      <c r="BV122" s="372"/>
      <c r="BW122" s="372"/>
      <c r="BX122" s="372"/>
    </row>
    <row r="123" spans="2:76" s="28" customFormat="1">
      <c r="B123" s="136"/>
      <c r="D123" s="221"/>
      <c r="E123" s="29"/>
      <c r="G123" s="338"/>
      <c r="H123" s="339"/>
      <c r="I123" s="339"/>
      <c r="J123" s="339"/>
      <c r="K123" s="339"/>
      <c r="L123" s="339"/>
      <c r="O123" s="373"/>
      <c r="AI123" s="31"/>
      <c r="AJ123" s="31"/>
      <c r="AK123" s="32"/>
      <c r="AL123" s="33"/>
      <c r="AM123" s="32"/>
      <c r="AN123" s="33"/>
      <c r="AO123" s="32"/>
      <c r="AP123" s="32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372"/>
      <c r="BD123" s="372"/>
      <c r="BE123" s="372"/>
      <c r="BF123" s="372"/>
      <c r="BG123" s="372"/>
      <c r="BH123" s="372"/>
      <c r="BI123" s="372"/>
      <c r="BJ123" s="372"/>
      <c r="BK123" s="372"/>
      <c r="BL123" s="372"/>
      <c r="BM123" s="372"/>
      <c r="BN123" s="372"/>
      <c r="BO123" s="372"/>
      <c r="BP123" s="372"/>
      <c r="BQ123" s="372"/>
      <c r="BR123" s="372"/>
      <c r="BS123" s="372"/>
      <c r="BT123" s="372"/>
      <c r="BU123" s="372"/>
      <c r="BV123" s="372"/>
      <c r="BW123" s="372"/>
      <c r="BX123" s="372"/>
    </row>
    <row r="124" spans="2:76" s="28" customFormat="1">
      <c r="B124" s="136"/>
      <c r="D124" s="221"/>
      <c r="E124" s="29"/>
      <c r="G124" s="338"/>
      <c r="H124" s="339"/>
      <c r="I124" s="339"/>
      <c r="J124" s="339"/>
      <c r="K124" s="339"/>
      <c r="L124" s="339"/>
      <c r="O124" s="373"/>
      <c r="AI124" s="31"/>
      <c r="AJ124" s="31"/>
      <c r="AK124" s="32"/>
      <c r="AL124" s="33"/>
      <c r="AM124" s="32"/>
      <c r="AN124" s="33"/>
      <c r="AO124" s="32"/>
      <c r="AP124" s="32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372"/>
      <c r="BD124" s="372"/>
      <c r="BE124" s="372"/>
      <c r="BF124" s="372"/>
      <c r="BG124" s="372"/>
      <c r="BH124" s="372"/>
      <c r="BI124" s="372"/>
      <c r="BJ124" s="372"/>
      <c r="BK124" s="372"/>
      <c r="BL124" s="372"/>
      <c r="BM124" s="372"/>
      <c r="BN124" s="372"/>
      <c r="BO124" s="372"/>
      <c r="BP124" s="372"/>
      <c r="BQ124" s="372"/>
      <c r="BR124" s="372"/>
      <c r="BS124" s="372"/>
      <c r="BT124" s="372"/>
      <c r="BU124" s="372"/>
      <c r="BV124" s="372"/>
      <c r="BW124" s="372"/>
      <c r="BX124" s="372"/>
    </row>
    <row r="125" spans="2:76" s="28" customFormat="1">
      <c r="B125" s="136"/>
      <c r="D125" s="221"/>
      <c r="E125" s="29"/>
      <c r="G125" s="338"/>
      <c r="H125" s="339"/>
      <c r="I125" s="339"/>
      <c r="J125" s="339"/>
      <c r="K125" s="339"/>
      <c r="L125" s="339"/>
      <c r="O125" s="373"/>
      <c r="AI125" s="31"/>
      <c r="AJ125" s="31"/>
      <c r="AK125" s="32"/>
      <c r="AL125" s="33"/>
      <c r="AM125" s="32"/>
      <c r="AN125" s="33"/>
      <c r="AO125" s="32"/>
      <c r="AP125" s="32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372"/>
      <c r="BD125" s="372"/>
      <c r="BE125" s="372"/>
      <c r="BF125" s="372"/>
      <c r="BG125" s="372"/>
      <c r="BH125" s="372"/>
      <c r="BI125" s="372"/>
      <c r="BJ125" s="372"/>
      <c r="BK125" s="372"/>
      <c r="BL125" s="372"/>
      <c r="BM125" s="372"/>
      <c r="BN125" s="372"/>
      <c r="BO125" s="372"/>
      <c r="BP125" s="372"/>
      <c r="BQ125" s="372"/>
      <c r="BR125" s="372"/>
      <c r="BS125" s="372"/>
      <c r="BT125" s="372"/>
      <c r="BU125" s="372"/>
      <c r="BV125" s="372"/>
      <c r="BW125" s="372"/>
      <c r="BX125" s="372"/>
    </row>
    <row r="126" spans="2:76" s="28" customFormat="1">
      <c r="B126" s="136"/>
      <c r="D126" s="221"/>
      <c r="E126" s="29"/>
      <c r="G126" s="338"/>
      <c r="H126" s="339"/>
      <c r="I126" s="339"/>
      <c r="J126" s="339"/>
      <c r="K126" s="339"/>
      <c r="L126" s="339"/>
      <c r="O126" s="373"/>
      <c r="AI126" s="31"/>
      <c r="AJ126" s="31"/>
      <c r="AK126" s="32"/>
      <c r="AL126" s="33"/>
      <c r="AM126" s="32"/>
      <c r="AN126" s="33"/>
      <c r="AO126" s="32"/>
      <c r="AP126" s="32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372"/>
      <c r="BD126" s="372"/>
      <c r="BE126" s="372"/>
      <c r="BF126" s="372"/>
      <c r="BG126" s="372"/>
      <c r="BH126" s="372"/>
      <c r="BI126" s="372"/>
      <c r="BJ126" s="372"/>
      <c r="BK126" s="372"/>
      <c r="BL126" s="372"/>
      <c r="BM126" s="372"/>
      <c r="BN126" s="372"/>
      <c r="BO126" s="372"/>
      <c r="BP126" s="372"/>
      <c r="BQ126" s="372"/>
      <c r="BR126" s="372"/>
      <c r="BS126" s="372"/>
      <c r="BT126" s="372"/>
      <c r="BU126" s="372"/>
      <c r="BV126" s="372"/>
      <c r="BW126" s="372"/>
      <c r="BX126" s="372"/>
    </row>
    <row r="127" spans="2:76" s="28" customFormat="1">
      <c r="B127" s="136"/>
      <c r="D127" s="221"/>
      <c r="E127" s="29"/>
      <c r="G127" s="338"/>
      <c r="H127" s="339"/>
      <c r="I127" s="339"/>
      <c r="J127" s="339"/>
      <c r="K127" s="339"/>
      <c r="L127" s="339"/>
      <c r="O127" s="373"/>
      <c r="AI127" s="31"/>
      <c r="AJ127" s="31"/>
      <c r="AK127" s="32"/>
      <c r="AL127" s="33"/>
      <c r="AM127" s="32"/>
      <c r="AN127" s="33"/>
      <c r="AO127" s="32"/>
      <c r="AP127" s="32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372"/>
      <c r="BD127" s="372"/>
      <c r="BE127" s="372"/>
      <c r="BF127" s="372"/>
      <c r="BG127" s="372"/>
      <c r="BH127" s="372"/>
      <c r="BI127" s="372"/>
      <c r="BJ127" s="372"/>
      <c r="BK127" s="372"/>
      <c r="BL127" s="372"/>
      <c r="BM127" s="372"/>
      <c r="BN127" s="372"/>
      <c r="BO127" s="372"/>
      <c r="BP127" s="372"/>
      <c r="BQ127" s="372"/>
      <c r="BR127" s="372"/>
      <c r="BS127" s="372"/>
      <c r="BT127" s="372"/>
      <c r="BU127" s="372"/>
      <c r="BV127" s="372"/>
      <c r="BW127" s="372"/>
      <c r="BX127" s="372"/>
    </row>
    <row r="128" spans="2:76" s="28" customFormat="1">
      <c r="B128" s="136"/>
      <c r="D128" s="221"/>
      <c r="E128" s="29"/>
      <c r="G128" s="338"/>
      <c r="H128" s="339"/>
      <c r="I128" s="339"/>
      <c r="J128" s="339"/>
      <c r="K128" s="339"/>
      <c r="L128" s="339"/>
      <c r="O128" s="373"/>
      <c r="AI128" s="31"/>
      <c r="AJ128" s="31"/>
      <c r="AK128" s="32"/>
      <c r="AL128" s="33"/>
      <c r="AM128" s="32"/>
      <c r="AN128" s="33"/>
      <c r="AO128" s="32"/>
      <c r="AP128" s="32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372"/>
      <c r="BD128" s="372"/>
      <c r="BE128" s="372"/>
      <c r="BF128" s="372"/>
      <c r="BG128" s="372"/>
      <c r="BH128" s="372"/>
      <c r="BI128" s="372"/>
      <c r="BJ128" s="372"/>
      <c r="BK128" s="372"/>
      <c r="BL128" s="372"/>
      <c r="BM128" s="372"/>
      <c r="BN128" s="372"/>
      <c r="BO128" s="372"/>
      <c r="BP128" s="372"/>
      <c r="BQ128" s="372"/>
      <c r="BR128" s="372"/>
      <c r="BS128" s="372"/>
      <c r="BT128" s="372"/>
      <c r="BU128" s="372"/>
      <c r="BV128" s="372"/>
      <c r="BW128" s="372"/>
      <c r="BX128" s="372"/>
    </row>
    <row r="129" spans="2:76" s="28" customFormat="1">
      <c r="B129" s="136"/>
      <c r="D129" s="221"/>
      <c r="E129" s="29"/>
      <c r="G129" s="338"/>
      <c r="H129" s="339"/>
      <c r="I129" s="339"/>
      <c r="J129" s="339"/>
      <c r="K129" s="339"/>
      <c r="L129" s="339"/>
      <c r="O129" s="373"/>
      <c r="AI129" s="31"/>
      <c r="AJ129" s="31"/>
      <c r="AK129" s="32"/>
      <c r="AL129" s="33"/>
      <c r="AM129" s="32"/>
      <c r="AN129" s="33"/>
      <c r="AO129" s="32"/>
      <c r="AP129" s="32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372"/>
      <c r="BD129" s="372"/>
      <c r="BE129" s="372"/>
      <c r="BF129" s="372"/>
      <c r="BG129" s="372"/>
      <c r="BH129" s="372"/>
      <c r="BI129" s="372"/>
      <c r="BJ129" s="372"/>
      <c r="BK129" s="372"/>
      <c r="BL129" s="372"/>
      <c r="BM129" s="372"/>
      <c r="BN129" s="372"/>
      <c r="BO129" s="372"/>
      <c r="BP129" s="372"/>
      <c r="BQ129" s="372"/>
      <c r="BR129" s="372"/>
      <c r="BS129" s="372"/>
      <c r="BT129" s="372"/>
      <c r="BU129" s="372"/>
      <c r="BV129" s="372"/>
      <c r="BW129" s="372"/>
      <c r="BX129" s="372"/>
    </row>
    <row r="130" spans="2:76" s="28" customFormat="1">
      <c r="B130" s="136"/>
      <c r="D130" s="221"/>
      <c r="E130" s="29"/>
      <c r="G130" s="338"/>
      <c r="H130" s="339"/>
      <c r="I130" s="339"/>
      <c r="J130" s="339"/>
      <c r="K130" s="339"/>
      <c r="L130" s="339"/>
      <c r="O130" s="373"/>
      <c r="AI130" s="31"/>
      <c r="AJ130" s="31"/>
      <c r="AK130" s="32"/>
      <c r="AL130" s="33"/>
      <c r="AM130" s="32"/>
      <c r="AN130" s="33"/>
      <c r="AO130" s="32"/>
      <c r="AP130" s="32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372"/>
      <c r="BD130" s="372"/>
      <c r="BE130" s="372"/>
      <c r="BF130" s="372"/>
      <c r="BG130" s="372"/>
      <c r="BH130" s="372"/>
      <c r="BI130" s="372"/>
      <c r="BJ130" s="372"/>
      <c r="BK130" s="372"/>
      <c r="BL130" s="372"/>
      <c r="BM130" s="372"/>
      <c r="BN130" s="372"/>
      <c r="BO130" s="372"/>
      <c r="BP130" s="372"/>
      <c r="BQ130" s="372"/>
      <c r="BR130" s="372"/>
      <c r="BS130" s="372"/>
      <c r="BT130" s="372"/>
      <c r="BU130" s="372"/>
      <c r="BV130" s="372"/>
      <c r="BW130" s="372"/>
      <c r="BX130" s="372"/>
    </row>
    <row r="131" spans="2:76" s="28" customFormat="1">
      <c r="B131" s="136"/>
      <c r="D131" s="221"/>
      <c r="E131" s="29"/>
      <c r="G131" s="338"/>
      <c r="H131" s="339"/>
      <c r="I131" s="339"/>
      <c r="J131" s="339"/>
      <c r="K131" s="339"/>
      <c r="L131" s="339"/>
      <c r="O131" s="373"/>
      <c r="AI131" s="31"/>
      <c r="AJ131" s="31"/>
      <c r="AK131" s="32"/>
      <c r="AL131" s="33"/>
      <c r="AM131" s="32"/>
      <c r="AN131" s="33"/>
      <c r="AO131" s="32"/>
      <c r="AP131" s="32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372"/>
      <c r="BD131" s="372"/>
      <c r="BE131" s="372"/>
      <c r="BF131" s="372"/>
      <c r="BG131" s="372"/>
      <c r="BH131" s="372"/>
      <c r="BI131" s="372"/>
      <c r="BJ131" s="372"/>
      <c r="BK131" s="372"/>
      <c r="BL131" s="372"/>
      <c r="BM131" s="372"/>
      <c r="BN131" s="372"/>
      <c r="BO131" s="372"/>
      <c r="BP131" s="372"/>
      <c r="BQ131" s="372"/>
      <c r="BR131" s="372"/>
      <c r="BS131" s="372"/>
      <c r="BT131" s="372"/>
      <c r="BU131" s="372"/>
      <c r="BV131" s="372"/>
      <c r="BW131" s="372"/>
      <c r="BX131" s="372"/>
    </row>
    <row r="132" spans="2:76" s="28" customFormat="1">
      <c r="B132" s="136"/>
      <c r="D132" s="221"/>
      <c r="E132" s="29"/>
      <c r="G132" s="338"/>
      <c r="H132" s="339"/>
      <c r="I132" s="339"/>
      <c r="J132" s="339"/>
      <c r="K132" s="339"/>
      <c r="L132" s="339"/>
      <c r="O132" s="373"/>
      <c r="AI132" s="31"/>
      <c r="AJ132" s="31"/>
      <c r="AK132" s="32"/>
      <c r="AL132" s="33"/>
      <c r="AM132" s="32"/>
      <c r="AN132" s="33"/>
      <c r="AO132" s="32"/>
      <c r="AP132" s="32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372"/>
      <c r="BD132" s="372"/>
      <c r="BE132" s="372"/>
      <c r="BF132" s="372"/>
      <c r="BG132" s="372"/>
      <c r="BH132" s="372"/>
      <c r="BI132" s="372"/>
      <c r="BJ132" s="372"/>
      <c r="BK132" s="372"/>
      <c r="BL132" s="372"/>
      <c r="BM132" s="372"/>
      <c r="BN132" s="372"/>
      <c r="BO132" s="372"/>
      <c r="BP132" s="372"/>
      <c r="BQ132" s="372"/>
      <c r="BR132" s="372"/>
      <c r="BS132" s="372"/>
      <c r="BT132" s="372"/>
      <c r="BU132" s="372"/>
      <c r="BV132" s="372"/>
      <c r="BW132" s="372"/>
      <c r="BX132" s="372"/>
    </row>
    <row r="133" spans="2:76" s="28" customFormat="1">
      <c r="B133" s="136"/>
      <c r="D133" s="221"/>
      <c r="E133" s="29"/>
      <c r="G133" s="338"/>
      <c r="H133" s="339"/>
      <c r="I133" s="339"/>
      <c r="J133" s="339"/>
      <c r="K133" s="339"/>
      <c r="L133" s="339"/>
      <c r="O133" s="374"/>
      <c r="AI133" s="31"/>
      <c r="AJ133" s="31"/>
      <c r="AK133" s="32"/>
      <c r="AL133" s="33"/>
      <c r="AM133" s="32"/>
      <c r="AN133" s="33"/>
      <c r="AO133" s="32"/>
      <c r="AP133" s="32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372"/>
      <c r="BD133" s="372"/>
      <c r="BE133" s="372"/>
      <c r="BF133" s="372"/>
      <c r="BG133" s="372"/>
      <c r="BH133" s="372"/>
      <c r="BI133" s="372"/>
      <c r="BJ133" s="372"/>
      <c r="BK133" s="372"/>
      <c r="BL133" s="372"/>
      <c r="BM133" s="372"/>
      <c r="BN133" s="372"/>
      <c r="BO133" s="372"/>
      <c r="BP133" s="372"/>
      <c r="BQ133" s="372"/>
      <c r="BR133" s="372"/>
      <c r="BS133" s="372"/>
      <c r="BT133" s="372"/>
      <c r="BU133" s="372"/>
      <c r="BV133" s="372"/>
      <c r="BW133" s="372"/>
      <c r="BX133" s="372"/>
    </row>
    <row r="134" spans="2:76" s="28" customFormat="1">
      <c r="B134" s="136"/>
      <c r="D134" s="221"/>
      <c r="E134" s="29"/>
      <c r="G134" s="338"/>
      <c r="H134" s="339"/>
      <c r="I134" s="339"/>
      <c r="J134" s="339"/>
      <c r="K134" s="339"/>
      <c r="L134" s="339"/>
      <c r="O134" s="373"/>
      <c r="AI134" s="31"/>
      <c r="AJ134" s="31"/>
      <c r="AK134" s="32"/>
      <c r="AL134" s="33"/>
      <c r="AM134" s="32"/>
      <c r="AN134" s="33"/>
      <c r="AO134" s="32"/>
      <c r="AP134" s="32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372"/>
      <c r="BD134" s="372"/>
      <c r="BE134" s="372"/>
      <c r="BF134" s="372"/>
      <c r="BG134" s="372"/>
      <c r="BH134" s="372"/>
      <c r="BI134" s="372"/>
      <c r="BJ134" s="372"/>
      <c r="BK134" s="372"/>
      <c r="BL134" s="372"/>
      <c r="BM134" s="372"/>
      <c r="BN134" s="372"/>
      <c r="BO134" s="372"/>
      <c r="BP134" s="372"/>
      <c r="BQ134" s="372"/>
      <c r="BR134" s="372"/>
      <c r="BS134" s="372"/>
      <c r="BT134" s="372"/>
      <c r="BU134" s="372"/>
      <c r="BV134" s="372"/>
      <c r="BW134" s="372"/>
      <c r="BX134" s="372"/>
    </row>
    <row r="135" spans="2:76" s="28" customFormat="1">
      <c r="B135" s="136"/>
      <c r="D135" s="221"/>
      <c r="E135" s="29"/>
      <c r="G135" s="338"/>
      <c r="H135" s="339"/>
      <c r="I135" s="339"/>
      <c r="J135" s="339"/>
      <c r="K135" s="339"/>
      <c r="L135" s="339"/>
      <c r="O135" s="373"/>
      <c r="AI135" s="31"/>
      <c r="AJ135" s="31"/>
      <c r="AK135" s="32"/>
      <c r="AL135" s="33"/>
      <c r="AM135" s="32"/>
      <c r="AN135" s="33"/>
      <c r="AO135" s="32"/>
      <c r="AP135" s="32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372"/>
      <c r="BD135" s="372"/>
      <c r="BE135" s="372"/>
      <c r="BF135" s="372"/>
      <c r="BG135" s="372"/>
      <c r="BH135" s="372"/>
      <c r="BI135" s="372"/>
      <c r="BJ135" s="372"/>
      <c r="BK135" s="372"/>
      <c r="BL135" s="372"/>
      <c r="BM135" s="372"/>
      <c r="BN135" s="372"/>
      <c r="BO135" s="372"/>
      <c r="BP135" s="372"/>
      <c r="BQ135" s="372"/>
      <c r="BR135" s="372"/>
      <c r="BS135" s="372"/>
      <c r="BT135" s="372"/>
      <c r="BU135" s="372"/>
      <c r="BV135" s="372"/>
      <c r="BW135" s="372"/>
      <c r="BX135" s="372"/>
    </row>
    <row r="136" spans="2:76" s="28" customFormat="1">
      <c r="B136" s="136"/>
      <c r="D136" s="221"/>
      <c r="E136" s="29"/>
      <c r="G136" s="338"/>
      <c r="H136" s="339"/>
      <c r="I136" s="339"/>
      <c r="J136" s="339"/>
      <c r="K136" s="339"/>
      <c r="L136" s="339"/>
      <c r="O136" s="373"/>
      <c r="AI136" s="31"/>
      <c r="AJ136" s="31"/>
      <c r="AK136" s="32"/>
      <c r="AL136" s="33"/>
      <c r="AM136" s="32"/>
      <c r="AN136" s="33"/>
      <c r="AO136" s="32"/>
      <c r="AP136" s="32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372"/>
      <c r="BD136" s="372"/>
      <c r="BE136" s="372"/>
      <c r="BF136" s="372"/>
      <c r="BG136" s="372"/>
      <c r="BH136" s="372"/>
      <c r="BI136" s="372"/>
      <c r="BJ136" s="372"/>
      <c r="BK136" s="372"/>
      <c r="BL136" s="372"/>
      <c r="BM136" s="372"/>
      <c r="BN136" s="372"/>
      <c r="BO136" s="372"/>
      <c r="BP136" s="372"/>
      <c r="BQ136" s="372"/>
      <c r="BR136" s="372"/>
      <c r="BS136" s="372"/>
      <c r="BT136" s="372"/>
      <c r="BU136" s="372"/>
      <c r="BV136" s="372"/>
      <c r="BW136" s="372"/>
      <c r="BX136" s="372"/>
    </row>
    <row r="137" spans="2:76" s="28" customFormat="1">
      <c r="B137" s="136"/>
      <c r="D137" s="221"/>
      <c r="E137" s="29"/>
      <c r="G137" s="338"/>
      <c r="H137" s="339"/>
      <c r="I137" s="339"/>
      <c r="J137" s="339"/>
      <c r="K137" s="339"/>
      <c r="L137" s="339"/>
      <c r="O137" s="373"/>
      <c r="AI137" s="31"/>
      <c r="AJ137" s="31"/>
      <c r="AK137" s="32"/>
      <c r="AL137" s="33"/>
      <c r="AM137" s="32"/>
      <c r="AN137" s="33"/>
      <c r="AO137" s="32"/>
      <c r="AP137" s="32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372"/>
      <c r="BD137" s="372"/>
      <c r="BE137" s="372"/>
      <c r="BF137" s="372"/>
      <c r="BG137" s="372"/>
      <c r="BH137" s="372"/>
      <c r="BI137" s="372"/>
      <c r="BJ137" s="372"/>
      <c r="BK137" s="372"/>
      <c r="BL137" s="372"/>
      <c r="BM137" s="372"/>
      <c r="BN137" s="372"/>
      <c r="BO137" s="372"/>
      <c r="BP137" s="372"/>
      <c r="BQ137" s="372"/>
      <c r="BR137" s="372"/>
      <c r="BS137" s="372"/>
      <c r="BT137" s="372"/>
      <c r="BU137" s="372"/>
      <c r="BV137" s="372"/>
      <c r="BW137" s="372"/>
      <c r="BX137" s="372"/>
    </row>
    <row r="138" spans="2:76" s="28" customFormat="1">
      <c r="B138" s="136"/>
      <c r="D138" s="221"/>
      <c r="E138" s="29"/>
      <c r="G138" s="338"/>
      <c r="H138" s="339"/>
      <c r="I138" s="339"/>
      <c r="J138" s="339"/>
      <c r="K138" s="339"/>
      <c r="L138" s="339"/>
      <c r="O138" s="373"/>
      <c r="AI138" s="31"/>
      <c r="AJ138" s="31"/>
      <c r="AK138" s="32"/>
      <c r="AL138" s="33"/>
      <c r="AM138" s="32"/>
      <c r="AN138" s="33"/>
      <c r="AO138" s="32"/>
      <c r="AP138" s="32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372"/>
      <c r="BD138" s="372"/>
      <c r="BE138" s="372"/>
      <c r="BF138" s="372"/>
      <c r="BG138" s="372"/>
      <c r="BH138" s="372"/>
      <c r="BI138" s="372"/>
      <c r="BJ138" s="372"/>
      <c r="BK138" s="372"/>
      <c r="BL138" s="372"/>
      <c r="BM138" s="372"/>
      <c r="BN138" s="372"/>
      <c r="BO138" s="372"/>
      <c r="BP138" s="372"/>
      <c r="BQ138" s="372"/>
      <c r="BR138" s="372"/>
      <c r="BS138" s="372"/>
      <c r="BT138" s="372"/>
      <c r="BU138" s="372"/>
      <c r="BV138" s="372"/>
      <c r="BW138" s="372"/>
      <c r="BX138" s="372"/>
    </row>
    <row r="139" spans="2:76" s="28" customFormat="1">
      <c r="B139" s="136"/>
      <c r="D139" s="221"/>
      <c r="E139" s="29"/>
      <c r="G139" s="338"/>
      <c r="H139" s="339"/>
      <c r="I139" s="339"/>
      <c r="J139" s="339"/>
      <c r="K139" s="339"/>
      <c r="L139" s="339"/>
      <c r="O139" s="373"/>
      <c r="AI139" s="31"/>
      <c r="AJ139" s="31"/>
      <c r="AK139" s="32"/>
      <c r="AL139" s="33"/>
      <c r="AM139" s="32"/>
      <c r="AN139" s="33"/>
      <c r="AO139" s="32"/>
      <c r="AP139" s="32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372"/>
      <c r="BD139" s="372"/>
      <c r="BE139" s="372"/>
      <c r="BF139" s="372"/>
      <c r="BG139" s="372"/>
      <c r="BH139" s="372"/>
      <c r="BI139" s="372"/>
      <c r="BJ139" s="372"/>
      <c r="BK139" s="372"/>
      <c r="BL139" s="372"/>
      <c r="BM139" s="372"/>
      <c r="BN139" s="372"/>
      <c r="BO139" s="372"/>
      <c r="BP139" s="372"/>
      <c r="BQ139" s="372"/>
      <c r="BR139" s="372"/>
      <c r="BS139" s="372"/>
      <c r="BT139" s="372"/>
      <c r="BU139" s="372"/>
      <c r="BV139" s="372"/>
      <c r="BW139" s="372"/>
      <c r="BX139" s="372"/>
    </row>
    <row r="140" spans="2:76" s="28" customFormat="1">
      <c r="B140" s="136"/>
      <c r="D140" s="221"/>
      <c r="E140" s="29"/>
      <c r="G140" s="338"/>
      <c r="H140" s="339"/>
      <c r="I140" s="339"/>
      <c r="J140" s="339"/>
      <c r="K140" s="339"/>
      <c r="L140" s="339"/>
      <c r="O140" s="373"/>
      <c r="AI140" s="31"/>
      <c r="AJ140" s="31"/>
      <c r="AK140" s="32"/>
      <c r="AL140" s="33"/>
      <c r="AM140" s="32"/>
      <c r="AN140" s="33"/>
      <c r="AO140" s="32"/>
      <c r="AP140" s="32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372"/>
      <c r="BD140" s="372"/>
      <c r="BE140" s="372"/>
      <c r="BF140" s="372"/>
      <c r="BG140" s="372"/>
      <c r="BH140" s="372"/>
      <c r="BI140" s="372"/>
      <c r="BJ140" s="372"/>
      <c r="BK140" s="372"/>
      <c r="BL140" s="372"/>
      <c r="BM140" s="372"/>
      <c r="BN140" s="372"/>
      <c r="BO140" s="372"/>
      <c r="BP140" s="372"/>
      <c r="BQ140" s="372"/>
      <c r="BR140" s="372"/>
      <c r="BS140" s="372"/>
      <c r="BT140" s="372"/>
      <c r="BU140" s="372"/>
      <c r="BV140" s="372"/>
      <c r="BW140" s="372"/>
      <c r="BX140" s="372"/>
    </row>
    <row r="141" spans="2:76" s="28" customFormat="1">
      <c r="B141" s="136"/>
      <c r="D141" s="221"/>
      <c r="E141" s="29"/>
      <c r="G141" s="338"/>
      <c r="H141" s="339"/>
      <c r="I141" s="339"/>
      <c r="J141" s="339"/>
      <c r="K141" s="339"/>
      <c r="L141" s="339"/>
      <c r="O141" s="373"/>
      <c r="AI141" s="31"/>
      <c r="AJ141" s="31"/>
      <c r="AK141" s="32"/>
      <c r="AL141" s="33"/>
      <c r="AM141" s="32"/>
      <c r="AN141" s="33"/>
      <c r="AO141" s="32"/>
      <c r="AP141" s="32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372"/>
      <c r="BD141" s="372"/>
      <c r="BE141" s="372"/>
      <c r="BF141" s="372"/>
      <c r="BG141" s="372"/>
      <c r="BH141" s="372"/>
      <c r="BI141" s="372"/>
      <c r="BJ141" s="372"/>
      <c r="BK141" s="372"/>
      <c r="BL141" s="372"/>
      <c r="BM141" s="372"/>
      <c r="BN141" s="372"/>
      <c r="BO141" s="372"/>
      <c r="BP141" s="372"/>
      <c r="BQ141" s="372"/>
      <c r="BR141" s="372"/>
      <c r="BS141" s="372"/>
      <c r="BT141" s="372"/>
      <c r="BU141" s="372"/>
      <c r="BV141" s="372"/>
      <c r="BW141" s="372"/>
      <c r="BX141" s="372"/>
    </row>
    <row r="142" spans="2:76" s="28" customFormat="1">
      <c r="B142" s="136"/>
      <c r="D142" s="221"/>
      <c r="E142" s="29"/>
      <c r="G142" s="338"/>
      <c r="H142" s="339"/>
      <c r="I142" s="339"/>
      <c r="J142" s="339"/>
      <c r="K142" s="339"/>
      <c r="L142" s="339"/>
      <c r="O142" s="373"/>
      <c r="AI142" s="31"/>
      <c r="AJ142" s="31"/>
      <c r="AK142" s="32"/>
      <c r="AL142" s="33"/>
      <c r="AM142" s="32"/>
      <c r="AN142" s="33"/>
      <c r="AO142" s="32"/>
      <c r="AP142" s="32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372"/>
      <c r="BD142" s="372"/>
      <c r="BE142" s="372"/>
      <c r="BF142" s="372"/>
      <c r="BG142" s="372"/>
      <c r="BH142" s="372"/>
      <c r="BI142" s="372"/>
      <c r="BJ142" s="372"/>
      <c r="BK142" s="372"/>
      <c r="BL142" s="372"/>
      <c r="BM142" s="372"/>
      <c r="BN142" s="372"/>
      <c r="BO142" s="372"/>
      <c r="BP142" s="372"/>
      <c r="BQ142" s="372"/>
      <c r="BR142" s="372"/>
      <c r="BS142" s="372"/>
      <c r="BT142" s="372"/>
      <c r="BU142" s="372"/>
      <c r="BV142" s="372"/>
      <c r="BW142" s="372"/>
      <c r="BX142" s="372"/>
    </row>
    <row r="143" spans="2:76" s="28" customFormat="1">
      <c r="B143" s="136"/>
      <c r="D143" s="221"/>
      <c r="E143" s="29"/>
      <c r="G143" s="338"/>
      <c r="H143" s="339"/>
      <c r="I143" s="339"/>
      <c r="J143" s="339"/>
      <c r="K143" s="339"/>
      <c r="L143" s="339"/>
      <c r="O143" s="374"/>
      <c r="AI143" s="31"/>
      <c r="AJ143" s="31"/>
      <c r="AK143" s="32"/>
      <c r="AL143" s="33"/>
      <c r="AM143" s="32"/>
      <c r="AN143" s="33"/>
      <c r="AO143" s="32"/>
      <c r="AP143" s="32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372"/>
      <c r="BD143" s="372"/>
      <c r="BE143" s="372"/>
      <c r="BF143" s="372"/>
      <c r="BG143" s="372"/>
      <c r="BH143" s="372"/>
      <c r="BI143" s="372"/>
      <c r="BJ143" s="372"/>
      <c r="BK143" s="372"/>
      <c r="BL143" s="372"/>
      <c r="BM143" s="372"/>
      <c r="BN143" s="372"/>
      <c r="BO143" s="372"/>
      <c r="BP143" s="372"/>
      <c r="BQ143" s="372"/>
      <c r="BR143" s="372"/>
      <c r="BS143" s="372"/>
      <c r="BT143" s="372"/>
      <c r="BU143" s="372"/>
      <c r="BV143" s="372"/>
      <c r="BW143" s="372"/>
      <c r="BX143" s="372"/>
    </row>
    <row r="144" spans="2:76" s="28" customFormat="1">
      <c r="B144" s="136"/>
      <c r="D144" s="221"/>
      <c r="E144" s="29"/>
      <c r="G144" s="338"/>
      <c r="H144" s="339"/>
      <c r="I144" s="339"/>
      <c r="J144" s="339"/>
      <c r="K144" s="339"/>
      <c r="L144" s="339"/>
      <c r="O144" s="373"/>
      <c r="AI144" s="31"/>
      <c r="AJ144" s="31"/>
      <c r="AK144" s="32"/>
      <c r="AL144" s="33"/>
      <c r="AM144" s="32"/>
      <c r="AN144" s="33"/>
      <c r="AO144" s="32"/>
      <c r="AP144" s="32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372"/>
      <c r="BD144" s="372"/>
      <c r="BE144" s="372"/>
      <c r="BF144" s="372"/>
      <c r="BG144" s="372"/>
      <c r="BH144" s="372"/>
      <c r="BI144" s="372"/>
      <c r="BJ144" s="372"/>
      <c r="BK144" s="372"/>
      <c r="BL144" s="372"/>
      <c r="BM144" s="372"/>
      <c r="BN144" s="372"/>
      <c r="BO144" s="372"/>
      <c r="BP144" s="372"/>
      <c r="BQ144" s="372"/>
      <c r="BR144" s="372"/>
      <c r="BS144" s="372"/>
      <c r="BT144" s="372"/>
      <c r="BU144" s="372"/>
      <c r="BV144" s="372"/>
      <c r="BW144" s="372"/>
      <c r="BX144" s="372"/>
    </row>
    <row r="145" spans="2:76" s="28" customFormat="1">
      <c r="B145" s="136"/>
      <c r="D145" s="221"/>
      <c r="E145" s="29"/>
      <c r="G145" s="338"/>
      <c r="H145" s="339"/>
      <c r="I145" s="339"/>
      <c r="J145" s="339"/>
      <c r="K145" s="339"/>
      <c r="L145" s="339"/>
      <c r="O145" s="373"/>
      <c r="AI145" s="31"/>
      <c r="AJ145" s="31"/>
      <c r="AK145" s="32"/>
      <c r="AL145" s="33"/>
      <c r="AM145" s="32"/>
      <c r="AN145" s="33"/>
      <c r="AO145" s="32"/>
      <c r="AP145" s="32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372"/>
      <c r="BD145" s="372"/>
      <c r="BE145" s="372"/>
      <c r="BF145" s="372"/>
      <c r="BG145" s="372"/>
      <c r="BH145" s="372"/>
      <c r="BI145" s="372"/>
      <c r="BJ145" s="372"/>
      <c r="BK145" s="372"/>
      <c r="BL145" s="372"/>
      <c r="BM145" s="372"/>
      <c r="BN145" s="372"/>
      <c r="BO145" s="372"/>
      <c r="BP145" s="372"/>
      <c r="BQ145" s="372"/>
      <c r="BR145" s="372"/>
      <c r="BS145" s="372"/>
      <c r="BT145" s="372"/>
      <c r="BU145" s="372"/>
      <c r="BV145" s="372"/>
      <c r="BW145" s="372"/>
      <c r="BX145" s="372"/>
    </row>
    <row r="146" spans="2:76" s="28" customFormat="1">
      <c r="B146" s="136"/>
      <c r="D146" s="221"/>
      <c r="E146" s="29"/>
      <c r="G146" s="338"/>
      <c r="H146" s="339"/>
      <c r="I146" s="339"/>
      <c r="J146" s="339"/>
      <c r="K146" s="339"/>
      <c r="L146" s="339"/>
      <c r="O146" s="373"/>
      <c r="AI146" s="31"/>
      <c r="AJ146" s="31"/>
      <c r="AK146" s="32"/>
      <c r="AL146" s="33"/>
      <c r="AM146" s="32"/>
      <c r="AN146" s="33"/>
      <c r="AO146" s="32"/>
      <c r="AP146" s="32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372"/>
      <c r="BD146" s="372"/>
      <c r="BE146" s="372"/>
      <c r="BF146" s="372"/>
      <c r="BG146" s="372"/>
      <c r="BH146" s="372"/>
      <c r="BI146" s="372"/>
      <c r="BJ146" s="372"/>
      <c r="BK146" s="372"/>
      <c r="BL146" s="372"/>
      <c r="BM146" s="372"/>
      <c r="BN146" s="372"/>
      <c r="BO146" s="372"/>
      <c r="BP146" s="372"/>
      <c r="BQ146" s="372"/>
      <c r="BR146" s="372"/>
      <c r="BS146" s="372"/>
      <c r="BT146" s="372"/>
      <c r="BU146" s="372"/>
      <c r="BV146" s="372"/>
      <c r="BW146" s="372"/>
      <c r="BX146" s="372"/>
    </row>
    <row r="147" spans="2:76" s="28" customFormat="1">
      <c r="B147" s="136"/>
      <c r="D147" s="221"/>
      <c r="E147" s="29"/>
      <c r="G147" s="338"/>
      <c r="H147" s="339"/>
      <c r="I147" s="339"/>
      <c r="J147" s="339"/>
      <c r="K147" s="339"/>
      <c r="L147" s="339"/>
      <c r="O147" s="373"/>
      <c r="AI147" s="31"/>
      <c r="AJ147" s="31"/>
      <c r="AK147" s="32"/>
      <c r="AL147" s="33"/>
      <c r="AM147" s="32"/>
      <c r="AN147" s="33"/>
      <c r="AO147" s="32"/>
      <c r="AP147" s="32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372"/>
      <c r="BD147" s="372"/>
      <c r="BE147" s="372"/>
      <c r="BF147" s="372"/>
      <c r="BG147" s="372"/>
      <c r="BH147" s="372"/>
      <c r="BI147" s="372"/>
      <c r="BJ147" s="372"/>
      <c r="BK147" s="372"/>
      <c r="BL147" s="372"/>
      <c r="BM147" s="372"/>
      <c r="BN147" s="372"/>
      <c r="BO147" s="372"/>
      <c r="BP147" s="372"/>
      <c r="BQ147" s="372"/>
      <c r="BR147" s="372"/>
      <c r="BS147" s="372"/>
      <c r="BT147" s="372"/>
      <c r="BU147" s="372"/>
      <c r="BV147" s="372"/>
      <c r="BW147" s="372"/>
      <c r="BX147" s="372"/>
    </row>
    <row r="148" spans="2:76" s="28" customFormat="1">
      <c r="B148" s="136"/>
      <c r="D148" s="221"/>
      <c r="E148" s="29"/>
      <c r="G148" s="338"/>
      <c r="H148" s="339"/>
      <c r="I148" s="339"/>
      <c r="J148" s="339"/>
      <c r="K148" s="339"/>
      <c r="L148" s="339"/>
      <c r="O148" s="373"/>
      <c r="AI148" s="31"/>
      <c r="AJ148" s="31"/>
      <c r="AK148" s="32"/>
      <c r="AL148" s="33"/>
      <c r="AM148" s="32"/>
      <c r="AN148" s="33"/>
      <c r="AO148" s="32"/>
      <c r="AP148" s="32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372"/>
      <c r="BD148" s="372"/>
      <c r="BE148" s="372"/>
      <c r="BF148" s="372"/>
      <c r="BG148" s="372"/>
      <c r="BH148" s="372"/>
      <c r="BI148" s="372"/>
      <c r="BJ148" s="372"/>
      <c r="BK148" s="372"/>
      <c r="BL148" s="372"/>
      <c r="BM148" s="372"/>
      <c r="BN148" s="372"/>
      <c r="BO148" s="372"/>
      <c r="BP148" s="372"/>
      <c r="BQ148" s="372"/>
      <c r="BR148" s="372"/>
      <c r="BS148" s="372"/>
      <c r="BT148" s="372"/>
      <c r="BU148" s="372"/>
      <c r="BV148" s="372"/>
      <c r="BW148" s="372"/>
      <c r="BX148" s="372"/>
    </row>
    <row r="149" spans="2:76" s="28" customFormat="1">
      <c r="B149" s="136"/>
      <c r="D149" s="221"/>
      <c r="E149" s="29"/>
      <c r="G149" s="338"/>
      <c r="H149" s="339"/>
      <c r="I149" s="339"/>
      <c r="J149" s="339"/>
      <c r="K149" s="339"/>
      <c r="L149" s="339"/>
      <c r="O149" s="373"/>
      <c r="AI149" s="31"/>
      <c r="AJ149" s="31"/>
      <c r="AK149" s="32"/>
      <c r="AL149" s="33"/>
      <c r="AM149" s="32"/>
      <c r="AN149" s="33"/>
      <c r="AO149" s="32"/>
      <c r="AP149" s="32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372"/>
      <c r="BD149" s="372"/>
      <c r="BE149" s="372"/>
      <c r="BF149" s="372"/>
      <c r="BG149" s="372"/>
      <c r="BH149" s="372"/>
      <c r="BI149" s="372"/>
      <c r="BJ149" s="372"/>
      <c r="BK149" s="372"/>
      <c r="BL149" s="372"/>
      <c r="BM149" s="372"/>
      <c r="BN149" s="372"/>
      <c r="BO149" s="372"/>
      <c r="BP149" s="372"/>
      <c r="BQ149" s="372"/>
      <c r="BR149" s="372"/>
      <c r="BS149" s="372"/>
      <c r="BT149" s="372"/>
      <c r="BU149" s="372"/>
      <c r="BV149" s="372"/>
      <c r="BW149" s="372"/>
      <c r="BX149" s="372"/>
    </row>
    <row r="150" spans="2:76" s="28" customFormat="1">
      <c r="B150" s="136"/>
      <c r="D150" s="221"/>
      <c r="E150" s="29"/>
      <c r="G150" s="338"/>
      <c r="H150" s="339"/>
      <c r="I150" s="339"/>
      <c r="J150" s="339"/>
      <c r="K150" s="339"/>
      <c r="L150" s="339"/>
      <c r="O150" s="373"/>
      <c r="AI150" s="31"/>
      <c r="AJ150" s="31"/>
      <c r="AK150" s="32"/>
      <c r="AL150" s="33"/>
      <c r="AM150" s="32"/>
      <c r="AN150" s="33"/>
      <c r="AO150" s="32"/>
      <c r="AP150" s="32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372"/>
      <c r="BD150" s="372"/>
      <c r="BE150" s="372"/>
      <c r="BF150" s="372"/>
      <c r="BG150" s="372"/>
      <c r="BH150" s="372"/>
      <c r="BI150" s="372"/>
      <c r="BJ150" s="372"/>
      <c r="BK150" s="372"/>
      <c r="BL150" s="372"/>
      <c r="BM150" s="372"/>
      <c r="BN150" s="372"/>
      <c r="BO150" s="372"/>
      <c r="BP150" s="372"/>
      <c r="BQ150" s="372"/>
      <c r="BR150" s="372"/>
      <c r="BS150" s="372"/>
      <c r="BT150" s="372"/>
      <c r="BU150" s="372"/>
      <c r="BV150" s="372"/>
      <c r="BW150" s="372"/>
      <c r="BX150" s="372"/>
    </row>
    <row r="151" spans="2:76" s="28" customFormat="1">
      <c r="B151" s="136"/>
      <c r="D151" s="221"/>
      <c r="E151" s="29"/>
      <c r="G151" s="338"/>
      <c r="H151" s="339"/>
      <c r="I151" s="339"/>
      <c r="J151" s="339"/>
      <c r="K151" s="339"/>
      <c r="L151" s="339"/>
      <c r="O151" s="373"/>
      <c r="AI151" s="31"/>
      <c r="AJ151" s="31"/>
      <c r="AK151" s="32"/>
      <c r="AL151" s="33"/>
      <c r="AM151" s="32"/>
      <c r="AN151" s="33"/>
      <c r="AO151" s="32"/>
      <c r="AP151" s="32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372"/>
      <c r="BD151" s="372"/>
      <c r="BE151" s="372"/>
      <c r="BF151" s="372"/>
      <c r="BG151" s="372"/>
      <c r="BH151" s="372"/>
      <c r="BI151" s="372"/>
      <c r="BJ151" s="372"/>
      <c r="BK151" s="372"/>
      <c r="BL151" s="372"/>
      <c r="BM151" s="372"/>
      <c r="BN151" s="372"/>
      <c r="BO151" s="372"/>
      <c r="BP151" s="372"/>
      <c r="BQ151" s="372"/>
      <c r="BR151" s="372"/>
      <c r="BS151" s="372"/>
      <c r="BT151" s="372"/>
      <c r="BU151" s="372"/>
      <c r="BV151" s="372"/>
      <c r="BW151" s="372"/>
      <c r="BX151" s="372"/>
    </row>
    <row r="152" spans="2:76" s="28" customFormat="1">
      <c r="B152" s="136"/>
      <c r="D152" s="221"/>
      <c r="E152" s="29"/>
      <c r="G152" s="338"/>
      <c r="H152" s="339"/>
      <c r="I152" s="339"/>
      <c r="J152" s="339"/>
      <c r="K152" s="339"/>
      <c r="L152" s="339"/>
      <c r="O152" s="373"/>
      <c r="AI152" s="31"/>
      <c r="AJ152" s="31"/>
      <c r="AK152" s="32"/>
      <c r="AL152" s="33"/>
      <c r="AM152" s="32"/>
      <c r="AN152" s="33"/>
      <c r="AO152" s="32"/>
      <c r="AP152" s="32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372"/>
      <c r="BD152" s="372"/>
      <c r="BE152" s="372"/>
      <c r="BF152" s="372"/>
      <c r="BG152" s="372"/>
      <c r="BH152" s="372"/>
      <c r="BI152" s="372"/>
      <c r="BJ152" s="372"/>
      <c r="BK152" s="372"/>
      <c r="BL152" s="372"/>
      <c r="BM152" s="372"/>
      <c r="BN152" s="372"/>
      <c r="BO152" s="372"/>
      <c r="BP152" s="372"/>
      <c r="BQ152" s="372"/>
      <c r="BR152" s="372"/>
      <c r="BS152" s="372"/>
      <c r="BT152" s="372"/>
      <c r="BU152" s="372"/>
      <c r="BV152" s="372"/>
      <c r="BW152" s="372"/>
      <c r="BX152" s="372"/>
    </row>
    <row r="153" spans="2:76" s="28" customFormat="1">
      <c r="B153" s="136"/>
      <c r="D153" s="221"/>
      <c r="E153" s="29"/>
      <c r="G153" s="338"/>
      <c r="H153" s="339"/>
      <c r="I153" s="339"/>
      <c r="J153" s="339"/>
      <c r="K153" s="339"/>
      <c r="L153" s="339"/>
      <c r="O153" s="373"/>
      <c r="AI153" s="31"/>
      <c r="AJ153" s="31"/>
      <c r="AK153" s="32"/>
      <c r="AL153" s="33"/>
      <c r="AM153" s="32"/>
      <c r="AN153" s="33"/>
      <c r="AO153" s="32"/>
      <c r="AP153" s="32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372"/>
      <c r="BD153" s="372"/>
      <c r="BE153" s="372"/>
      <c r="BF153" s="372"/>
      <c r="BG153" s="372"/>
      <c r="BH153" s="372"/>
      <c r="BI153" s="372"/>
      <c r="BJ153" s="372"/>
      <c r="BK153" s="372"/>
      <c r="BL153" s="372"/>
      <c r="BM153" s="372"/>
      <c r="BN153" s="372"/>
      <c r="BO153" s="372"/>
      <c r="BP153" s="372"/>
      <c r="BQ153" s="372"/>
      <c r="BR153" s="372"/>
      <c r="BS153" s="372"/>
      <c r="BT153" s="372"/>
      <c r="BU153" s="372"/>
      <c r="BV153" s="372"/>
      <c r="BW153" s="372"/>
      <c r="BX153" s="372"/>
    </row>
    <row r="154" spans="2:76" s="28" customFormat="1">
      <c r="B154" s="136"/>
      <c r="D154" s="221"/>
      <c r="E154" s="29"/>
      <c r="G154" s="338"/>
      <c r="H154" s="339"/>
      <c r="I154" s="339"/>
      <c r="J154" s="339"/>
      <c r="K154" s="339"/>
      <c r="L154" s="339"/>
      <c r="O154" s="373"/>
      <c r="AI154" s="31"/>
      <c r="AJ154" s="31"/>
      <c r="AK154" s="32"/>
      <c r="AL154" s="33"/>
      <c r="AM154" s="32"/>
      <c r="AN154" s="33"/>
      <c r="AO154" s="32"/>
      <c r="AP154" s="32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372"/>
      <c r="BD154" s="372"/>
      <c r="BE154" s="372"/>
      <c r="BF154" s="372"/>
      <c r="BG154" s="372"/>
      <c r="BH154" s="372"/>
      <c r="BI154" s="372"/>
      <c r="BJ154" s="372"/>
      <c r="BK154" s="372"/>
      <c r="BL154" s="372"/>
      <c r="BM154" s="372"/>
      <c r="BN154" s="372"/>
      <c r="BO154" s="372"/>
      <c r="BP154" s="372"/>
      <c r="BQ154" s="372"/>
      <c r="BR154" s="372"/>
      <c r="BS154" s="372"/>
      <c r="BT154" s="372"/>
      <c r="BU154" s="372"/>
      <c r="BV154" s="372"/>
      <c r="BW154" s="372"/>
      <c r="BX154" s="372"/>
    </row>
    <row r="155" spans="2:76" s="28" customFormat="1">
      <c r="B155" s="136"/>
      <c r="D155" s="221"/>
      <c r="E155" s="29"/>
      <c r="G155" s="338"/>
      <c r="H155" s="339"/>
      <c r="I155" s="339"/>
      <c r="J155" s="339"/>
      <c r="K155" s="339"/>
      <c r="L155" s="339"/>
      <c r="O155" s="374"/>
      <c r="AI155" s="31"/>
      <c r="AJ155" s="31"/>
      <c r="AK155" s="32"/>
      <c r="AL155" s="33"/>
      <c r="AM155" s="32"/>
      <c r="AN155" s="33"/>
      <c r="AO155" s="32"/>
      <c r="AP155" s="32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372"/>
      <c r="BD155" s="372"/>
      <c r="BE155" s="372"/>
      <c r="BF155" s="372"/>
      <c r="BG155" s="372"/>
      <c r="BH155" s="372"/>
      <c r="BI155" s="372"/>
      <c r="BJ155" s="372"/>
      <c r="BK155" s="372"/>
      <c r="BL155" s="372"/>
      <c r="BM155" s="372"/>
      <c r="BN155" s="372"/>
      <c r="BO155" s="372"/>
      <c r="BP155" s="372"/>
      <c r="BQ155" s="372"/>
      <c r="BR155" s="372"/>
      <c r="BS155" s="372"/>
      <c r="BT155" s="372"/>
      <c r="BU155" s="372"/>
      <c r="BV155" s="372"/>
      <c r="BW155" s="372"/>
      <c r="BX155" s="372"/>
    </row>
    <row r="156" spans="2:76" s="28" customFormat="1">
      <c r="B156" s="136"/>
      <c r="D156" s="221"/>
      <c r="E156" s="29"/>
      <c r="G156" s="338"/>
      <c r="H156" s="339"/>
      <c r="I156" s="339"/>
      <c r="J156" s="339"/>
      <c r="K156" s="339"/>
      <c r="L156" s="339"/>
      <c r="O156" s="373"/>
      <c r="AI156" s="31"/>
      <c r="AJ156" s="31"/>
      <c r="AK156" s="32"/>
      <c r="AL156" s="33"/>
      <c r="AM156" s="32"/>
      <c r="AN156" s="33"/>
      <c r="AO156" s="32"/>
      <c r="AP156" s="32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372"/>
      <c r="BD156" s="372"/>
      <c r="BE156" s="372"/>
      <c r="BF156" s="372"/>
      <c r="BG156" s="372"/>
      <c r="BH156" s="372"/>
      <c r="BI156" s="372"/>
      <c r="BJ156" s="372"/>
      <c r="BK156" s="372"/>
      <c r="BL156" s="372"/>
      <c r="BM156" s="372"/>
      <c r="BN156" s="372"/>
      <c r="BO156" s="372"/>
      <c r="BP156" s="372"/>
      <c r="BQ156" s="372"/>
      <c r="BR156" s="372"/>
      <c r="BS156" s="372"/>
      <c r="BT156" s="372"/>
      <c r="BU156" s="372"/>
      <c r="BV156" s="372"/>
      <c r="BW156" s="372"/>
      <c r="BX156" s="372"/>
    </row>
    <row r="157" spans="2:76" s="28" customFormat="1">
      <c r="B157" s="136"/>
      <c r="D157" s="221"/>
      <c r="E157" s="29"/>
      <c r="G157" s="338"/>
      <c r="H157" s="339"/>
      <c r="I157" s="339"/>
      <c r="J157" s="339"/>
      <c r="K157" s="339"/>
      <c r="L157" s="339"/>
      <c r="O157" s="373"/>
      <c r="AI157" s="31"/>
      <c r="AJ157" s="31"/>
      <c r="AK157" s="32"/>
      <c r="AL157" s="33"/>
      <c r="AM157" s="32"/>
      <c r="AN157" s="33"/>
      <c r="AO157" s="32"/>
      <c r="AP157" s="32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372"/>
      <c r="BD157" s="372"/>
      <c r="BE157" s="372"/>
      <c r="BF157" s="372"/>
      <c r="BG157" s="372"/>
      <c r="BH157" s="372"/>
      <c r="BI157" s="372"/>
      <c r="BJ157" s="372"/>
      <c r="BK157" s="372"/>
      <c r="BL157" s="372"/>
      <c r="BM157" s="372"/>
      <c r="BN157" s="372"/>
      <c r="BO157" s="372"/>
      <c r="BP157" s="372"/>
      <c r="BQ157" s="372"/>
      <c r="BR157" s="372"/>
      <c r="BS157" s="372"/>
      <c r="BT157" s="372"/>
      <c r="BU157" s="372"/>
      <c r="BV157" s="372"/>
      <c r="BW157" s="372"/>
      <c r="BX157" s="372"/>
    </row>
    <row r="158" spans="2:76" s="28" customFormat="1">
      <c r="B158" s="136"/>
      <c r="D158" s="221"/>
      <c r="E158" s="29"/>
      <c r="G158" s="338"/>
      <c r="H158" s="339"/>
      <c r="I158" s="339"/>
      <c r="J158" s="339"/>
      <c r="K158" s="339"/>
      <c r="L158" s="339"/>
      <c r="O158" s="373"/>
      <c r="AI158" s="31"/>
      <c r="AJ158" s="31"/>
      <c r="AK158" s="32"/>
      <c r="AL158" s="33"/>
      <c r="AM158" s="32"/>
      <c r="AN158" s="33"/>
      <c r="AO158" s="32"/>
      <c r="AP158" s="32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372"/>
      <c r="BD158" s="372"/>
      <c r="BE158" s="372"/>
      <c r="BF158" s="372"/>
      <c r="BG158" s="372"/>
      <c r="BH158" s="372"/>
      <c r="BI158" s="372"/>
      <c r="BJ158" s="372"/>
      <c r="BK158" s="372"/>
      <c r="BL158" s="372"/>
      <c r="BM158" s="372"/>
      <c r="BN158" s="372"/>
      <c r="BO158" s="372"/>
      <c r="BP158" s="372"/>
      <c r="BQ158" s="372"/>
      <c r="BR158" s="372"/>
      <c r="BS158" s="372"/>
      <c r="BT158" s="372"/>
      <c r="BU158" s="372"/>
      <c r="BV158" s="372"/>
      <c r="BW158" s="372"/>
      <c r="BX158" s="372"/>
    </row>
    <row r="159" spans="2:76" s="28" customFormat="1">
      <c r="B159" s="136"/>
      <c r="D159" s="221"/>
      <c r="E159" s="29"/>
      <c r="G159" s="338"/>
      <c r="H159" s="339"/>
      <c r="I159" s="339"/>
      <c r="J159" s="339"/>
      <c r="K159" s="339"/>
      <c r="L159" s="339"/>
      <c r="O159" s="373"/>
      <c r="AI159" s="31"/>
      <c r="AJ159" s="31"/>
      <c r="AK159" s="32"/>
      <c r="AL159" s="33"/>
      <c r="AM159" s="32"/>
      <c r="AN159" s="33"/>
      <c r="AO159" s="32"/>
      <c r="AP159" s="32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372"/>
      <c r="BD159" s="372"/>
      <c r="BE159" s="372"/>
      <c r="BF159" s="372"/>
      <c r="BG159" s="372"/>
      <c r="BH159" s="372"/>
      <c r="BI159" s="372"/>
      <c r="BJ159" s="372"/>
      <c r="BK159" s="372"/>
      <c r="BL159" s="372"/>
      <c r="BM159" s="372"/>
      <c r="BN159" s="372"/>
      <c r="BO159" s="372"/>
      <c r="BP159" s="372"/>
      <c r="BQ159" s="372"/>
      <c r="BR159" s="372"/>
      <c r="BS159" s="372"/>
      <c r="BT159" s="372"/>
      <c r="BU159" s="372"/>
      <c r="BV159" s="372"/>
      <c r="BW159" s="372"/>
      <c r="BX159" s="372"/>
    </row>
    <row r="160" spans="2:76" s="28" customFormat="1">
      <c r="B160" s="136"/>
      <c r="D160" s="221"/>
      <c r="E160" s="29"/>
      <c r="G160" s="338"/>
      <c r="H160" s="339"/>
      <c r="I160" s="339"/>
      <c r="J160" s="339"/>
      <c r="K160" s="339"/>
      <c r="L160" s="339"/>
      <c r="O160" s="373"/>
      <c r="AI160" s="31"/>
      <c r="AJ160" s="31"/>
      <c r="AK160" s="32"/>
      <c r="AL160" s="33"/>
      <c r="AM160" s="32"/>
      <c r="AN160" s="33"/>
      <c r="AO160" s="32"/>
      <c r="AP160" s="32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372"/>
      <c r="BD160" s="372"/>
      <c r="BE160" s="372"/>
      <c r="BF160" s="372"/>
      <c r="BG160" s="372"/>
      <c r="BH160" s="372"/>
      <c r="BI160" s="372"/>
      <c r="BJ160" s="372"/>
      <c r="BK160" s="372"/>
      <c r="BL160" s="372"/>
      <c r="BM160" s="372"/>
      <c r="BN160" s="372"/>
      <c r="BO160" s="372"/>
      <c r="BP160" s="372"/>
      <c r="BQ160" s="372"/>
      <c r="BR160" s="372"/>
      <c r="BS160" s="372"/>
      <c r="BT160" s="372"/>
      <c r="BU160" s="372"/>
      <c r="BV160" s="372"/>
      <c r="BW160" s="372"/>
      <c r="BX160" s="372"/>
    </row>
    <row r="161" spans="2:76" s="28" customFormat="1">
      <c r="B161" s="136"/>
      <c r="D161" s="221"/>
      <c r="E161" s="29"/>
      <c r="G161" s="338"/>
      <c r="H161" s="339"/>
      <c r="I161" s="339"/>
      <c r="J161" s="339"/>
      <c r="K161" s="339"/>
      <c r="L161" s="339"/>
      <c r="O161" s="375"/>
      <c r="AI161" s="31"/>
      <c r="AJ161" s="31"/>
      <c r="AK161" s="32"/>
      <c r="AL161" s="33"/>
      <c r="AM161" s="32"/>
      <c r="AN161" s="33"/>
      <c r="AO161" s="32"/>
      <c r="AP161" s="32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372"/>
      <c r="BD161" s="372"/>
      <c r="BE161" s="372"/>
      <c r="BF161" s="372"/>
      <c r="BG161" s="372"/>
      <c r="BH161" s="372"/>
      <c r="BI161" s="372"/>
      <c r="BJ161" s="372"/>
      <c r="BK161" s="372"/>
      <c r="BL161" s="372"/>
      <c r="BM161" s="372"/>
      <c r="BN161" s="372"/>
      <c r="BO161" s="372"/>
      <c r="BP161" s="372"/>
      <c r="BQ161" s="372"/>
      <c r="BR161" s="372"/>
      <c r="BS161" s="372"/>
      <c r="BT161" s="372"/>
      <c r="BU161" s="372"/>
      <c r="BV161" s="372"/>
      <c r="BW161" s="372"/>
      <c r="BX161" s="372"/>
    </row>
    <row r="162" spans="2:76" s="28" customFormat="1">
      <c r="B162" s="136"/>
      <c r="D162" s="221"/>
      <c r="E162" s="29"/>
      <c r="G162" s="338"/>
      <c r="H162" s="339"/>
      <c r="I162" s="339"/>
      <c r="J162" s="339"/>
      <c r="K162" s="339"/>
      <c r="L162" s="339"/>
      <c r="O162" s="373"/>
      <c r="AI162" s="31"/>
      <c r="AJ162" s="31"/>
      <c r="AK162" s="32"/>
      <c r="AL162" s="33"/>
      <c r="AM162" s="32"/>
      <c r="AN162" s="33"/>
      <c r="AO162" s="32"/>
      <c r="AP162" s="32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372"/>
      <c r="BD162" s="372"/>
      <c r="BE162" s="372"/>
      <c r="BF162" s="372"/>
      <c r="BG162" s="372"/>
      <c r="BH162" s="372"/>
      <c r="BI162" s="372"/>
      <c r="BJ162" s="372"/>
      <c r="BK162" s="372"/>
      <c r="BL162" s="372"/>
      <c r="BM162" s="372"/>
      <c r="BN162" s="372"/>
      <c r="BO162" s="372"/>
      <c r="BP162" s="372"/>
      <c r="BQ162" s="372"/>
      <c r="BR162" s="372"/>
      <c r="BS162" s="372"/>
      <c r="BT162" s="372"/>
      <c r="BU162" s="372"/>
      <c r="BV162" s="372"/>
      <c r="BW162" s="372"/>
      <c r="BX162" s="372"/>
    </row>
    <row r="163" spans="2:76" s="28" customFormat="1">
      <c r="B163" s="136"/>
      <c r="D163" s="221"/>
      <c r="E163" s="29"/>
      <c r="G163" s="338"/>
      <c r="H163" s="339"/>
      <c r="I163" s="339"/>
      <c r="J163" s="339"/>
      <c r="K163" s="339"/>
      <c r="L163" s="339"/>
      <c r="O163" s="373"/>
      <c r="AI163" s="31"/>
      <c r="AJ163" s="31"/>
      <c r="AK163" s="32"/>
      <c r="AL163" s="33"/>
      <c r="AM163" s="32"/>
      <c r="AN163" s="33"/>
      <c r="AO163" s="32"/>
      <c r="AP163" s="32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372"/>
      <c r="BD163" s="372"/>
      <c r="BE163" s="372"/>
      <c r="BF163" s="372"/>
      <c r="BG163" s="372"/>
      <c r="BH163" s="372"/>
      <c r="BI163" s="372"/>
      <c r="BJ163" s="372"/>
      <c r="BK163" s="372"/>
      <c r="BL163" s="372"/>
      <c r="BM163" s="372"/>
      <c r="BN163" s="372"/>
      <c r="BO163" s="372"/>
      <c r="BP163" s="372"/>
      <c r="BQ163" s="372"/>
      <c r="BR163" s="372"/>
      <c r="BS163" s="372"/>
      <c r="BT163" s="372"/>
      <c r="BU163" s="372"/>
      <c r="BV163" s="372"/>
      <c r="BW163" s="372"/>
      <c r="BX163" s="372"/>
    </row>
    <row r="164" spans="2:76" s="28" customFormat="1">
      <c r="B164" s="136"/>
      <c r="D164" s="221"/>
      <c r="E164" s="29"/>
      <c r="G164" s="338"/>
      <c r="H164" s="339"/>
      <c r="I164" s="339"/>
      <c r="J164" s="339"/>
      <c r="K164" s="339"/>
      <c r="L164" s="339"/>
      <c r="O164" s="373"/>
      <c r="AI164" s="31"/>
      <c r="AJ164" s="31"/>
      <c r="AK164" s="32"/>
      <c r="AL164" s="33"/>
      <c r="AM164" s="32"/>
      <c r="AN164" s="33"/>
      <c r="AO164" s="32"/>
      <c r="AP164" s="32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372"/>
      <c r="BD164" s="372"/>
      <c r="BE164" s="372"/>
      <c r="BF164" s="372"/>
      <c r="BG164" s="372"/>
      <c r="BH164" s="372"/>
      <c r="BI164" s="372"/>
      <c r="BJ164" s="372"/>
      <c r="BK164" s="372"/>
      <c r="BL164" s="372"/>
      <c r="BM164" s="372"/>
      <c r="BN164" s="372"/>
      <c r="BO164" s="372"/>
      <c r="BP164" s="372"/>
      <c r="BQ164" s="372"/>
      <c r="BR164" s="372"/>
      <c r="BS164" s="372"/>
      <c r="BT164" s="372"/>
      <c r="BU164" s="372"/>
      <c r="BV164" s="372"/>
      <c r="BW164" s="372"/>
      <c r="BX164" s="372"/>
    </row>
    <row r="165" spans="2:76" s="28" customFormat="1">
      <c r="B165" s="136"/>
      <c r="D165" s="221"/>
      <c r="E165" s="29"/>
      <c r="G165" s="338"/>
      <c r="H165" s="339"/>
      <c r="I165" s="339"/>
      <c r="J165" s="339"/>
      <c r="K165" s="339"/>
      <c r="L165" s="339"/>
      <c r="O165" s="373"/>
      <c r="AI165" s="31"/>
      <c r="AJ165" s="31"/>
      <c r="AK165" s="32"/>
      <c r="AL165" s="33"/>
      <c r="AM165" s="32"/>
      <c r="AN165" s="33"/>
      <c r="AO165" s="32"/>
      <c r="AP165" s="32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372"/>
      <c r="BD165" s="372"/>
      <c r="BE165" s="372"/>
      <c r="BF165" s="372"/>
      <c r="BG165" s="372"/>
      <c r="BH165" s="372"/>
      <c r="BI165" s="372"/>
      <c r="BJ165" s="372"/>
      <c r="BK165" s="372"/>
      <c r="BL165" s="372"/>
      <c r="BM165" s="372"/>
      <c r="BN165" s="372"/>
      <c r="BO165" s="372"/>
      <c r="BP165" s="372"/>
      <c r="BQ165" s="372"/>
      <c r="BR165" s="372"/>
      <c r="BS165" s="372"/>
      <c r="BT165" s="372"/>
      <c r="BU165" s="372"/>
      <c r="BV165" s="372"/>
      <c r="BW165" s="372"/>
      <c r="BX165" s="372"/>
    </row>
    <row r="166" spans="2:76" s="28" customFormat="1">
      <c r="B166" s="136"/>
      <c r="D166" s="221"/>
      <c r="E166" s="29"/>
      <c r="G166" s="338"/>
      <c r="H166" s="339"/>
      <c r="I166" s="339"/>
      <c r="J166" s="339"/>
      <c r="K166" s="339"/>
      <c r="L166" s="339"/>
      <c r="O166" s="373"/>
      <c r="AI166" s="31"/>
      <c r="AJ166" s="31"/>
      <c r="AK166" s="32"/>
      <c r="AL166" s="33"/>
      <c r="AM166" s="32"/>
      <c r="AN166" s="33"/>
      <c r="AO166" s="32"/>
      <c r="AP166" s="32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372"/>
      <c r="BD166" s="372"/>
      <c r="BE166" s="372"/>
      <c r="BF166" s="372"/>
      <c r="BG166" s="372"/>
      <c r="BH166" s="372"/>
      <c r="BI166" s="372"/>
      <c r="BJ166" s="372"/>
      <c r="BK166" s="372"/>
      <c r="BL166" s="372"/>
      <c r="BM166" s="372"/>
      <c r="BN166" s="372"/>
      <c r="BO166" s="372"/>
      <c r="BP166" s="372"/>
      <c r="BQ166" s="372"/>
      <c r="BR166" s="372"/>
      <c r="BS166" s="372"/>
      <c r="BT166" s="372"/>
      <c r="BU166" s="372"/>
      <c r="BV166" s="372"/>
      <c r="BW166" s="372"/>
      <c r="BX166" s="372"/>
    </row>
    <row r="167" spans="2:76" s="28" customFormat="1">
      <c r="B167" s="136"/>
      <c r="D167" s="221"/>
      <c r="E167" s="29"/>
      <c r="G167" s="338"/>
      <c r="H167" s="339"/>
      <c r="I167" s="339"/>
      <c r="J167" s="339"/>
      <c r="K167" s="339"/>
      <c r="L167" s="339"/>
      <c r="O167" s="374"/>
      <c r="AI167" s="31"/>
      <c r="AJ167" s="31"/>
      <c r="AK167" s="32"/>
      <c r="AL167" s="33"/>
      <c r="AM167" s="32"/>
      <c r="AN167" s="33"/>
      <c r="AO167" s="32"/>
      <c r="AP167" s="32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372"/>
      <c r="BD167" s="372"/>
      <c r="BE167" s="372"/>
      <c r="BF167" s="372"/>
      <c r="BG167" s="372"/>
      <c r="BH167" s="372"/>
      <c r="BI167" s="372"/>
      <c r="BJ167" s="372"/>
      <c r="BK167" s="372"/>
      <c r="BL167" s="372"/>
      <c r="BM167" s="372"/>
      <c r="BN167" s="372"/>
      <c r="BO167" s="372"/>
      <c r="BP167" s="372"/>
      <c r="BQ167" s="372"/>
      <c r="BR167" s="372"/>
      <c r="BS167" s="372"/>
      <c r="BT167" s="372"/>
      <c r="BU167" s="372"/>
      <c r="BV167" s="372"/>
      <c r="BW167" s="372"/>
      <c r="BX167" s="372"/>
    </row>
    <row r="168" spans="2:76" s="28" customFormat="1">
      <c r="B168" s="136"/>
      <c r="D168" s="221"/>
      <c r="E168" s="29"/>
      <c r="G168" s="338"/>
      <c r="H168" s="339"/>
      <c r="I168" s="339"/>
      <c r="J168" s="339"/>
      <c r="K168" s="339"/>
      <c r="L168" s="339"/>
      <c r="O168" s="373"/>
      <c r="AI168" s="31"/>
      <c r="AJ168" s="31"/>
      <c r="AK168" s="32"/>
      <c r="AL168" s="33"/>
      <c r="AM168" s="32"/>
      <c r="AN168" s="33"/>
      <c r="AO168" s="32"/>
      <c r="AP168" s="32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372"/>
      <c r="BD168" s="372"/>
      <c r="BE168" s="372"/>
      <c r="BF168" s="372"/>
      <c r="BG168" s="372"/>
      <c r="BH168" s="372"/>
      <c r="BI168" s="372"/>
      <c r="BJ168" s="372"/>
      <c r="BK168" s="372"/>
      <c r="BL168" s="372"/>
      <c r="BM168" s="372"/>
      <c r="BN168" s="372"/>
      <c r="BO168" s="372"/>
      <c r="BP168" s="372"/>
      <c r="BQ168" s="372"/>
      <c r="BR168" s="372"/>
      <c r="BS168" s="372"/>
      <c r="BT168" s="372"/>
      <c r="BU168" s="372"/>
      <c r="BV168" s="372"/>
      <c r="BW168" s="372"/>
      <c r="BX168" s="372"/>
    </row>
    <row r="169" spans="2:76" s="28" customFormat="1">
      <c r="B169" s="136"/>
      <c r="D169" s="221"/>
      <c r="E169" s="29"/>
      <c r="G169" s="338"/>
      <c r="H169" s="339"/>
      <c r="I169" s="339"/>
      <c r="J169" s="339"/>
      <c r="K169" s="339"/>
      <c r="L169" s="339"/>
      <c r="O169" s="373"/>
      <c r="AI169" s="31"/>
      <c r="AJ169" s="31"/>
      <c r="AK169" s="32"/>
      <c r="AL169" s="33"/>
      <c r="AM169" s="32"/>
      <c r="AN169" s="33"/>
      <c r="AO169" s="32"/>
      <c r="AP169" s="32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372"/>
      <c r="BD169" s="372"/>
      <c r="BE169" s="372"/>
      <c r="BF169" s="372"/>
      <c r="BG169" s="372"/>
      <c r="BH169" s="372"/>
      <c r="BI169" s="372"/>
      <c r="BJ169" s="372"/>
      <c r="BK169" s="372"/>
      <c r="BL169" s="372"/>
      <c r="BM169" s="372"/>
      <c r="BN169" s="372"/>
      <c r="BO169" s="372"/>
      <c r="BP169" s="372"/>
      <c r="BQ169" s="372"/>
      <c r="BR169" s="372"/>
      <c r="BS169" s="372"/>
      <c r="BT169" s="372"/>
      <c r="BU169" s="372"/>
      <c r="BV169" s="372"/>
      <c r="BW169" s="372"/>
      <c r="BX169" s="372"/>
    </row>
    <row r="170" spans="2:76" s="28" customFormat="1">
      <c r="B170" s="136"/>
      <c r="D170" s="221"/>
      <c r="E170" s="29"/>
      <c r="G170" s="338"/>
      <c r="H170" s="339"/>
      <c r="I170" s="339"/>
      <c r="J170" s="339"/>
      <c r="K170" s="339"/>
      <c r="L170" s="339"/>
      <c r="O170" s="373"/>
      <c r="AI170" s="31"/>
      <c r="AJ170" s="31"/>
      <c r="AK170" s="32"/>
      <c r="AL170" s="33"/>
      <c r="AM170" s="32"/>
      <c r="AN170" s="33"/>
      <c r="AO170" s="32"/>
      <c r="AP170" s="32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372"/>
      <c r="BD170" s="372"/>
      <c r="BE170" s="372"/>
      <c r="BF170" s="372"/>
      <c r="BG170" s="372"/>
      <c r="BH170" s="372"/>
      <c r="BI170" s="372"/>
      <c r="BJ170" s="372"/>
      <c r="BK170" s="372"/>
      <c r="BL170" s="372"/>
      <c r="BM170" s="372"/>
      <c r="BN170" s="372"/>
      <c r="BO170" s="372"/>
      <c r="BP170" s="372"/>
      <c r="BQ170" s="372"/>
      <c r="BR170" s="372"/>
      <c r="BS170" s="372"/>
      <c r="BT170" s="372"/>
      <c r="BU170" s="372"/>
      <c r="BV170" s="372"/>
      <c r="BW170" s="372"/>
      <c r="BX170" s="372"/>
    </row>
    <row r="171" spans="2:76" s="28" customFormat="1">
      <c r="B171" s="136"/>
      <c r="D171" s="221"/>
      <c r="E171" s="29"/>
      <c r="G171" s="338"/>
      <c r="H171" s="339"/>
      <c r="I171" s="339"/>
      <c r="J171" s="339"/>
      <c r="K171" s="339"/>
      <c r="L171" s="339"/>
      <c r="O171" s="373"/>
      <c r="AI171" s="31"/>
      <c r="AJ171" s="31"/>
      <c r="AK171" s="32"/>
      <c r="AL171" s="33"/>
      <c r="AM171" s="32"/>
      <c r="AN171" s="33"/>
      <c r="AO171" s="32"/>
      <c r="AP171" s="32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372"/>
      <c r="BD171" s="372"/>
      <c r="BE171" s="372"/>
      <c r="BF171" s="372"/>
      <c r="BG171" s="372"/>
      <c r="BH171" s="372"/>
      <c r="BI171" s="372"/>
      <c r="BJ171" s="372"/>
      <c r="BK171" s="372"/>
      <c r="BL171" s="372"/>
      <c r="BM171" s="372"/>
      <c r="BN171" s="372"/>
      <c r="BO171" s="372"/>
      <c r="BP171" s="372"/>
      <c r="BQ171" s="372"/>
      <c r="BR171" s="372"/>
      <c r="BS171" s="372"/>
      <c r="BT171" s="372"/>
      <c r="BU171" s="372"/>
      <c r="BV171" s="372"/>
      <c r="BW171" s="372"/>
      <c r="BX171" s="372"/>
    </row>
    <row r="172" spans="2:76" s="28" customFormat="1">
      <c r="B172" s="136"/>
      <c r="D172" s="221"/>
      <c r="E172" s="29"/>
      <c r="G172" s="338"/>
      <c r="H172" s="339"/>
      <c r="I172" s="339"/>
      <c r="J172" s="339"/>
      <c r="K172" s="339"/>
      <c r="L172" s="339"/>
      <c r="O172" s="373"/>
      <c r="AI172" s="31"/>
      <c r="AJ172" s="31"/>
      <c r="AK172" s="32"/>
      <c r="AL172" s="33"/>
      <c r="AM172" s="32"/>
      <c r="AN172" s="33"/>
      <c r="AO172" s="32"/>
      <c r="AP172" s="32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372"/>
      <c r="BD172" s="372"/>
      <c r="BE172" s="372"/>
      <c r="BF172" s="372"/>
      <c r="BG172" s="372"/>
      <c r="BH172" s="372"/>
      <c r="BI172" s="372"/>
      <c r="BJ172" s="372"/>
      <c r="BK172" s="372"/>
      <c r="BL172" s="372"/>
      <c r="BM172" s="372"/>
      <c r="BN172" s="372"/>
      <c r="BO172" s="372"/>
      <c r="BP172" s="372"/>
      <c r="BQ172" s="372"/>
      <c r="BR172" s="372"/>
      <c r="BS172" s="372"/>
      <c r="BT172" s="372"/>
      <c r="BU172" s="372"/>
      <c r="BV172" s="372"/>
      <c r="BW172" s="372"/>
      <c r="BX172" s="372"/>
    </row>
    <row r="173" spans="2:76" s="28" customFormat="1">
      <c r="B173" s="136"/>
      <c r="D173" s="221"/>
      <c r="E173" s="29"/>
      <c r="G173" s="338"/>
      <c r="H173" s="339"/>
      <c r="I173" s="339"/>
      <c r="J173" s="339"/>
      <c r="K173" s="339"/>
      <c r="L173" s="339"/>
      <c r="O173" s="373"/>
      <c r="AI173" s="31"/>
      <c r="AJ173" s="31"/>
      <c r="AK173" s="32"/>
      <c r="AL173" s="33"/>
      <c r="AM173" s="32"/>
      <c r="AN173" s="33"/>
      <c r="AO173" s="32"/>
      <c r="AP173" s="32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372"/>
      <c r="BD173" s="372"/>
      <c r="BE173" s="372"/>
      <c r="BF173" s="372"/>
      <c r="BG173" s="372"/>
      <c r="BH173" s="372"/>
      <c r="BI173" s="372"/>
      <c r="BJ173" s="372"/>
      <c r="BK173" s="372"/>
      <c r="BL173" s="372"/>
      <c r="BM173" s="372"/>
      <c r="BN173" s="372"/>
      <c r="BO173" s="372"/>
      <c r="BP173" s="372"/>
      <c r="BQ173" s="372"/>
      <c r="BR173" s="372"/>
      <c r="BS173" s="372"/>
      <c r="BT173" s="372"/>
      <c r="BU173" s="372"/>
      <c r="BV173" s="372"/>
      <c r="BW173" s="372"/>
      <c r="BX173" s="372"/>
    </row>
    <row r="174" spans="2:76" s="28" customFormat="1">
      <c r="B174" s="136"/>
      <c r="D174" s="221"/>
      <c r="E174" s="29"/>
      <c r="G174" s="338"/>
      <c r="H174" s="339"/>
      <c r="I174" s="339"/>
      <c r="J174" s="339"/>
      <c r="K174" s="339"/>
      <c r="L174" s="339"/>
      <c r="O174" s="373"/>
      <c r="AI174" s="31"/>
      <c r="AJ174" s="31"/>
      <c r="AK174" s="32"/>
      <c r="AL174" s="33"/>
      <c r="AM174" s="32"/>
      <c r="AN174" s="33"/>
      <c r="AO174" s="32"/>
      <c r="AP174" s="32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372"/>
      <c r="BD174" s="372"/>
      <c r="BE174" s="372"/>
      <c r="BF174" s="372"/>
      <c r="BG174" s="372"/>
      <c r="BH174" s="372"/>
      <c r="BI174" s="372"/>
      <c r="BJ174" s="372"/>
      <c r="BK174" s="372"/>
      <c r="BL174" s="372"/>
      <c r="BM174" s="372"/>
      <c r="BN174" s="372"/>
      <c r="BO174" s="372"/>
      <c r="BP174" s="372"/>
      <c r="BQ174" s="372"/>
      <c r="BR174" s="372"/>
      <c r="BS174" s="372"/>
      <c r="BT174" s="372"/>
      <c r="BU174" s="372"/>
      <c r="BV174" s="372"/>
      <c r="BW174" s="372"/>
      <c r="BX174" s="372"/>
    </row>
    <row r="175" spans="2:76" s="28" customFormat="1">
      <c r="B175" s="136"/>
      <c r="D175" s="221"/>
      <c r="E175" s="29"/>
      <c r="G175" s="338"/>
      <c r="H175" s="339"/>
      <c r="I175" s="339"/>
      <c r="J175" s="339"/>
      <c r="K175" s="339"/>
      <c r="L175" s="339"/>
      <c r="O175" s="373"/>
      <c r="AI175" s="31"/>
      <c r="AJ175" s="31"/>
      <c r="AK175" s="32"/>
      <c r="AL175" s="33"/>
      <c r="AM175" s="32"/>
      <c r="AN175" s="33"/>
      <c r="AO175" s="32"/>
      <c r="AP175" s="32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372"/>
      <c r="BD175" s="372"/>
      <c r="BE175" s="372"/>
      <c r="BF175" s="372"/>
      <c r="BG175" s="372"/>
      <c r="BH175" s="372"/>
      <c r="BI175" s="372"/>
      <c r="BJ175" s="372"/>
      <c r="BK175" s="372"/>
      <c r="BL175" s="372"/>
      <c r="BM175" s="372"/>
      <c r="BN175" s="372"/>
      <c r="BO175" s="372"/>
      <c r="BP175" s="372"/>
      <c r="BQ175" s="372"/>
      <c r="BR175" s="372"/>
      <c r="BS175" s="372"/>
      <c r="BT175" s="372"/>
      <c r="BU175" s="372"/>
      <c r="BV175" s="372"/>
      <c r="BW175" s="372"/>
      <c r="BX175" s="372"/>
    </row>
    <row r="176" spans="2:76" s="28" customFormat="1">
      <c r="B176" s="136"/>
      <c r="D176" s="221"/>
      <c r="E176" s="29"/>
      <c r="G176" s="338"/>
      <c r="H176" s="339"/>
      <c r="I176" s="339"/>
      <c r="J176" s="339"/>
      <c r="K176" s="339"/>
      <c r="L176" s="339"/>
      <c r="O176" s="373"/>
      <c r="AI176" s="31"/>
      <c r="AJ176" s="31"/>
      <c r="AK176" s="32"/>
      <c r="AL176" s="33"/>
      <c r="AM176" s="32"/>
      <c r="AN176" s="33"/>
      <c r="AO176" s="32"/>
      <c r="AP176" s="32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372"/>
      <c r="BD176" s="372"/>
      <c r="BE176" s="372"/>
      <c r="BF176" s="372"/>
      <c r="BG176" s="372"/>
      <c r="BH176" s="372"/>
      <c r="BI176" s="372"/>
      <c r="BJ176" s="372"/>
      <c r="BK176" s="372"/>
      <c r="BL176" s="372"/>
      <c r="BM176" s="372"/>
      <c r="BN176" s="372"/>
      <c r="BO176" s="372"/>
      <c r="BP176" s="372"/>
      <c r="BQ176" s="372"/>
      <c r="BR176" s="372"/>
      <c r="BS176" s="372"/>
      <c r="BT176" s="372"/>
      <c r="BU176" s="372"/>
      <c r="BV176" s="372"/>
      <c r="BW176" s="372"/>
      <c r="BX176" s="372"/>
    </row>
    <row r="177" spans="2:76" s="28" customFormat="1">
      <c r="B177" s="136"/>
      <c r="D177" s="221"/>
      <c r="E177" s="29"/>
      <c r="G177" s="338"/>
      <c r="H177" s="339"/>
      <c r="I177" s="339"/>
      <c r="J177" s="339"/>
      <c r="K177" s="339"/>
      <c r="L177" s="339"/>
      <c r="O177" s="373"/>
      <c r="AI177" s="31"/>
      <c r="AJ177" s="31"/>
      <c r="AK177" s="32"/>
      <c r="AL177" s="33"/>
      <c r="AM177" s="32"/>
      <c r="AN177" s="33"/>
      <c r="AO177" s="32"/>
      <c r="AP177" s="32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372"/>
      <c r="BD177" s="372"/>
      <c r="BE177" s="372"/>
      <c r="BF177" s="372"/>
      <c r="BG177" s="372"/>
      <c r="BH177" s="372"/>
      <c r="BI177" s="372"/>
      <c r="BJ177" s="372"/>
      <c r="BK177" s="372"/>
      <c r="BL177" s="372"/>
      <c r="BM177" s="372"/>
      <c r="BN177" s="372"/>
      <c r="BO177" s="372"/>
      <c r="BP177" s="372"/>
      <c r="BQ177" s="372"/>
      <c r="BR177" s="372"/>
      <c r="BS177" s="372"/>
      <c r="BT177" s="372"/>
      <c r="BU177" s="372"/>
      <c r="BV177" s="372"/>
      <c r="BW177" s="372"/>
      <c r="BX177" s="372"/>
    </row>
    <row r="178" spans="2:76" s="28" customFormat="1">
      <c r="B178" s="136"/>
      <c r="D178" s="221"/>
      <c r="E178" s="29"/>
      <c r="G178" s="338"/>
      <c r="H178" s="339"/>
      <c r="I178" s="339"/>
      <c r="J178" s="339"/>
      <c r="K178" s="339"/>
      <c r="L178" s="339"/>
      <c r="O178" s="373"/>
      <c r="AI178" s="31"/>
      <c r="AJ178" s="31"/>
      <c r="AK178" s="32"/>
      <c r="AL178" s="33"/>
      <c r="AM178" s="32"/>
      <c r="AN178" s="33"/>
      <c r="AO178" s="32"/>
      <c r="AP178" s="32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372"/>
      <c r="BD178" s="372"/>
      <c r="BE178" s="372"/>
      <c r="BF178" s="372"/>
      <c r="BG178" s="372"/>
      <c r="BH178" s="372"/>
      <c r="BI178" s="372"/>
      <c r="BJ178" s="372"/>
      <c r="BK178" s="372"/>
      <c r="BL178" s="372"/>
      <c r="BM178" s="372"/>
      <c r="BN178" s="372"/>
      <c r="BO178" s="372"/>
      <c r="BP178" s="372"/>
      <c r="BQ178" s="372"/>
      <c r="BR178" s="372"/>
      <c r="BS178" s="372"/>
      <c r="BT178" s="372"/>
      <c r="BU178" s="372"/>
      <c r="BV178" s="372"/>
      <c r="BW178" s="372"/>
      <c r="BX178" s="372"/>
    </row>
    <row r="179" spans="2:76" s="28" customFormat="1">
      <c r="B179" s="136"/>
      <c r="D179" s="221"/>
      <c r="E179" s="29"/>
      <c r="G179" s="338"/>
      <c r="H179" s="339"/>
      <c r="I179" s="339"/>
      <c r="J179" s="339"/>
      <c r="K179" s="339"/>
      <c r="L179" s="339"/>
      <c r="O179" s="373"/>
      <c r="AI179" s="31"/>
      <c r="AJ179" s="31"/>
      <c r="AK179" s="32"/>
      <c r="AL179" s="33"/>
      <c r="AM179" s="32"/>
      <c r="AN179" s="33"/>
      <c r="AO179" s="32"/>
      <c r="AP179" s="32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372"/>
      <c r="BD179" s="372"/>
      <c r="BE179" s="372"/>
      <c r="BF179" s="372"/>
      <c r="BG179" s="372"/>
      <c r="BH179" s="372"/>
      <c r="BI179" s="372"/>
      <c r="BJ179" s="372"/>
      <c r="BK179" s="372"/>
      <c r="BL179" s="372"/>
      <c r="BM179" s="372"/>
      <c r="BN179" s="372"/>
      <c r="BO179" s="372"/>
      <c r="BP179" s="372"/>
      <c r="BQ179" s="372"/>
      <c r="BR179" s="372"/>
      <c r="BS179" s="372"/>
      <c r="BT179" s="372"/>
      <c r="BU179" s="372"/>
      <c r="BV179" s="372"/>
      <c r="BW179" s="372"/>
      <c r="BX179" s="372"/>
    </row>
    <row r="180" spans="2:76" s="28" customFormat="1">
      <c r="B180" s="136"/>
      <c r="D180" s="221"/>
      <c r="E180" s="29"/>
      <c r="G180" s="338"/>
      <c r="H180" s="339"/>
      <c r="I180" s="339"/>
      <c r="J180" s="339"/>
      <c r="K180" s="339"/>
      <c r="L180" s="339"/>
      <c r="O180" s="373"/>
      <c r="AI180" s="31"/>
      <c r="AJ180" s="31"/>
      <c r="AK180" s="32"/>
      <c r="AL180" s="33"/>
      <c r="AM180" s="32"/>
      <c r="AN180" s="33"/>
      <c r="AO180" s="32"/>
      <c r="AP180" s="32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372"/>
      <c r="BD180" s="372"/>
      <c r="BE180" s="372"/>
      <c r="BF180" s="372"/>
      <c r="BG180" s="372"/>
      <c r="BH180" s="372"/>
      <c r="BI180" s="372"/>
      <c r="BJ180" s="372"/>
      <c r="BK180" s="372"/>
      <c r="BL180" s="372"/>
      <c r="BM180" s="372"/>
      <c r="BN180" s="372"/>
      <c r="BO180" s="372"/>
      <c r="BP180" s="372"/>
      <c r="BQ180" s="372"/>
      <c r="BR180" s="372"/>
      <c r="BS180" s="372"/>
      <c r="BT180" s="372"/>
      <c r="BU180" s="372"/>
      <c r="BV180" s="372"/>
      <c r="BW180" s="372"/>
      <c r="BX180" s="372"/>
    </row>
    <row r="181" spans="2:76" s="28" customFormat="1">
      <c r="B181" s="136"/>
      <c r="D181" s="221"/>
      <c r="E181" s="29"/>
      <c r="G181" s="338"/>
      <c r="H181" s="339"/>
      <c r="I181" s="339"/>
      <c r="J181" s="339"/>
      <c r="K181" s="339"/>
      <c r="L181" s="339"/>
      <c r="O181" s="373"/>
      <c r="AI181" s="31"/>
      <c r="AJ181" s="31"/>
      <c r="AK181" s="32"/>
      <c r="AL181" s="33"/>
      <c r="AM181" s="32"/>
      <c r="AN181" s="33"/>
      <c r="AO181" s="32"/>
      <c r="AP181" s="32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372"/>
      <c r="BD181" s="372"/>
      <c r="BE181" s="372"/>
      <c r="BF181" s="372"/>
      <c r="BG181" s="372"/>
      <c r="BH181" s="372"/>
      <c r="BI181" s="372"/>
      <c r="BJ181" s="372"/>
      <c r="BK181" s="372"/>
      <c r="BL181" s="372"/>
      <c r="BM181" s="372"/>
      <c r="BN181" s="372"/>
      <c r="BO181" s="372"/>
      <c r="BP181" s="372"/>
      <c r="BQ181" s="372"/>
      <c r="BR181" s="372"/>
      <c r="BS181" s="372"/>
      <c r="BT181" s="372"/>
      <c r="BU181" s="372"/>
      <c r="BV181" s="372"/>
      <c r="BW181" s="372"/>
      <c r="BX181" s="372"/>
    </row>
    <row r="182" spans="2:76" s="28" customFormat="1">
      <c r="B182" s="136"/>
      <c r="D182" s="221"/>
      <c r="E182" s="29"/>
      <c r="G182" s="338"/>
      <c r="H182" s="339"/>
      <c r="I182" s="339"/>
      <c r="J182" s="339"/>
      <c r="K182" s="339"/>
      <c r="L182" s="339"/>
      <c r="O182" s="373"/>
      <c r="AI182" s="31"/>
      <c r="AJ182" s="31"/>
      <c r="AK182" s="32"/>
      <c r="AL182" s="33"/>
      <c r="AM182" s="32"/>
      <c r="AN182" s="33"/>
      <c r="AO182" s="32"/>
      <c r="AP182" s="32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372"/>
      <c r="BD182" s="372"/>
      <c r="BE182" s="372"/>
      <c r="BF182" s="372"/>
      <c r="BG182" s="372"/>
      <c r="BH182" s="372"/>
      <c r="BI182" s="372"/>
      <c r="BJ182" s="372"/>
      <c r="BK182" s="372"/>
      <c r="BL182" s="372"/>
      <c r="BM182" s="372"/>
      <c r="BN182" s="372"/>
      <c r="BO182" s="372"/>
      <c r="BP182" s="372"/>
      <c r="BQ182" s="372"/>
      <c r="BR182" s="372"/>
      <c r="BS182" s="372"/>
      <c r="BT182" s="372"/>
      <c r="BU182" s="372"/>
      <c r="BV182" s="372"/>
      <c r="BW182" s="372"/>
      <c r="BX182" s="372"/>
    </row>
    <row r="183" spans="2:76" s="28" customFormat="1">
      <c r="B183" s="136"/>
      <c r="D183" s="221"/>
      <c r="E183" s="29"/>
      <c r="G183" s="338"/>
      <c r="H183" s="339"/>
      <c r="I183" s="339"/>
      <c r="J183" s="339"/>
      <c r="K183" s="339"/>
      <c r="L183" s="339"/>
      <c r="O183" s="373"/>
      <c r="AI183" s="31"/>
      <c r="AJ183" s="31"/>
      <c r="AK183" s="32"/>
      <c r="AL183" s="33"/>
      <c r="AM183" s="32"/>
      <c r="AN183" s="33"/>
      <c r="AO183" s="32"/>
      <c r="AP183" s="32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372"/>
      <c r="BD183" s="372"/>
      <c r="BE183" s="372"/>
      <c r="BF183" s="372"/>
      <c r="BG183" s="372"/>
      <c r="BH183" s="372"/>
      <c r="BI183" s="372"/>
      <c r="BJ183" s="372"/>
      <c r="BK183" s="372"/>
      <c r="BL183" s="372"/>
      <c r="BM183" s="372"/>
      <c r="BN183" s="372"/>
      <c r="BO183" s="372"/>
      <c r="BP183" s="372"/>
      <c r="BQ183" s="372"/>
      <c r="BR183" s="372"/>
      <c r="BS183" s="372"/>
      <c r="BT183" s="372"/>
      <c r="BU183" s="372"/>
      <c r="BV183" s="372"/>
      <c r="BW183" s="372"/>
      <c r="BX183" s="372"/>
    </row>
    <row r="184" spans="2:76" s="28" customFormat="1">
      <c r="B184" s="136"/>
      <c r="D184" s="221"/>
      <c r="E184" s="29"/>
      <c r="G184" s="338"/>
      <c r="H184" s="339"/>
      <c r="I184" s="339"/>
      <c r="J184" s="339"/>
      <c r="K184" s="339"/>
      <c r="L184" s="339"/>
      <c r="O184" s="373"/>
      <c r="AI184" s="31"/>
      <c r="AJ184" s="31"/>
      <c r="AK184" s="32"/>
      <c r="AL184" s="33"/>
      <c r="AM184" s="32"/>
      <c r="AN184" s="33"/>
      <c r="AO184" s="32"/>
      <c r="AP184" s="32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372"/>
      <c r="BD184" s="372"/>
      <c r="BE184" s="372"/>
      <c r="BF184" s="372"/>
      <c r="BG184" s="372"/>
      <c r="BH184" s="372"/>
      <c r="BI184" s="372"/>
      <c r="BJ184" s="372"/>
      <c r="BK184" s="372"/>
      <c r="BL184" s="372"/>
      <c r="BM184" s="372"/>
      <c r="BN184" s="372"/>
      <c r="BO184" s="372"/>
      <c r="BP184" s="372"/>
      <c r="BQ184" s="372"/>
      <c r="BR184" s="372"/>
      <c r="BS184" s="372"/>
      <c r="BT184" s="372"/>
      <c r="BU184" s="372"/>
      <c r="BV184" s="372"/>
      <c r="BW184" s="372"/>
      <c r="BX184" s="372"/>
    </row>
    <row r="185" spans="2:76" s="28" customFormat="1">
      <c r="B185" s="136"/>
      <c r="D185" s="221"/>
      <c r="E185" s="29"/>
      <c r="G185" s="338"/>
      <c r="H185" s="339"/>
      <c r="I185" s="339"/>
      <c r="J185" s="339"/>
      <c r="K185" s="339"/>
      <c r="L185" s="339"/>
      <c r="O185" s="373"/>
      <c r="AI185" s="31"/>
      <c r="AJ185" s="31"/>
      <c r="AK185" s="32"/>
      <c r="AL185" s="33"/>
      <c r="AM185" s="32"/>
      <c r="AN185" s="33"/>
      <c r="AO185" s="32"/>
      <c r="AP185" s="32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372"/>
      <c r="BD185" s="372"/>
      <c r="BE185" s="372"/>
      <c r="BF185" s="372"/>
      <c r="BG185" s="372"/>
      <c r="BH185" s="372"/>
      <c r="BI185" s="372"/>
      <c r="BJ185" s="372"/>
      <c r="BK185" s="372"/>
      <c r="BL185" s="372"/>
      <c r="BM185" s="372"/>
      <c r="BN185" s="372"/>
      <c r="BO185" s="372"/>
      <c r="BP185" s="372"/>
      <c r="BQ185" s="372"/>
      <c r="BR185" s="372"/>
      <c r="BS185" s="372"/>
      <c r="BT185" s="372"/>
      <c r="BU185" s="372"/>
      <c r="BV185" s="372"/>
      <c r="BW185" s="372"/>
      <c r="BX185" s="372"/>
    </row>
    <row r="186" spans="2:76" s="28" customFormat="1">
      <c r="B186" s="136"/>
      <c r="D186" s="221"/>
      <c r="E186" s="29"/>
      <c r="G186" s="338"/>
      <c r="H186" s="339"/>
      <c r="I186" s="339"/>
      <c r="J186" s="339"/>
      <c r="K186" s="339"/>
      <c r="L186" s="339"/>
      <c r="O186" s="373"/>
      <c r="AI186" s="31"/>
      <c r="AJ186" s="31"/>
      <c r="AK186" s="32"/>
      <c r="AL186" s="33"/>
      <c r="AM186" s="32"/>
      <c r="AN186" s="33"/>
      <c r="AO186" s="32"/>
      <c r="AP186" s="32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372"/>
      <c r="BD186" s="372"/>
      <c r="BE186" s="372"/>
      <c r="BF186" s="372"/>
      <c r="BG186" s="372"/>
      <c r="BH186" s="372"/>
      <c r="BI186" s="372"/>
      <c r="BJ186" s="372"/>
      <c r="BK186" s="372"/>
      <c r="BL186" s="372"/>
      <c r="BM186" s="372"/>
      <c r="BN186" s="372"/>
      <c r="BO186" s="372"/>
      <c r="BP186" s="372"/>
      <c r="BQ186" s="372"/>
      <c r="BR186" s="372"/>
      <c r="BS186" s="372"/>
      <c r="BT186" s="372"/>
      <c r="BU186" s="372"/>
      <c r="BV186" s="372"/>
      <c r="BW186" s="372"/>
      <c r="BX186" s="372"/>
    </row>
    <row r="187" spans="2:76" s="28" customFormat="1">
      <c r="B187" s="136"/>
      <c r="D187" s="221"/>
      <c r="E187" s="29"/>
      <c r="G187" s="338"/>
      <c r="H187" s="339"/>
      <c r="I187" s="339"/>
      <c r="J187" s="339"/>
      <c r="K187" s="339"/>
      <c r="L187" s="339"/>
      <c r="O187" s="373"/>
      <c r="AI187" s="31"/>
      <c r="AJ187" s="31"/>
      <c r="AK187" s="32"/>
      <c r="AL187" s="33"/>
      <c r="AM187" s="32"/>
      <c r="AN187" s="33"/>
      <c r="AO187" s="32"/>
      <c r="AP187" s="32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372"/>
      <c r="BD187" s="372"/>
      <c r="BE187" s="372"/>
      <c r="BF187" s="372"/>
      <c r="BG187" s="372"/>
      <c r="BH187" s="372"/>
      <c r="BI187" s="372"/>
      <c r="BJ187" s="372"/>
      <c r="BK187" s="372"/>
      <c r="BL187" s="372"/>
      <c r="BM187" s="372"/>
      <c r="BN187" s="372"/>
      <c r="BO187" s="372"/>
      <c r="BP187" s="372"/>
      <c r="BQ187" s="372"/>
      <c r="BR187" s="372"/>
      <c r="BS187" s="372"/>
      <c r="BT187" s="372"/>
      <c r="BU187" s="372"/>
      <c r="BV187" s="372"/>
      <c r="BW187" s="372"/>
      <c r="BX187" s="372"/>
    </row>
    <row r="188" spans="2:76" s="28" customFormat="1">
      <c r="B188" s="136"/>
      <c r="D188" s="221"/>
      <c r="E188" s="29"/>
      <c r="G188" s="338"/>
      <c r="H188" s="339"/>
      <c r="I188" s="339"/>
      <c r="J188" s="339"/>
      <c r="K188" s="339"/>
      <c r="L188" s="339"/>
      <c r="O188" s="373"/>
      <c r="AI188" s="31"/>
      <c r="AJ188" s="31"/>
      <c r="AK188" s="32"/>
      <c r="AL188" s="33"/>
      <c r="AM188" s="32"/>
      <c r="AN188" s="33"/>
      <c r="AO188" s="32"/>
      <c r="AP188" s="32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372"/>
      <c r="BD188" s="372"/>
      <c r="BE188" s="372"/>
      <c r="BF188" s="372"/>
      <c r="BG188" s="372"/>
      <c r="BH188" s="372"/>
      <c r="BI188" s="372"/>
      <c r="BJ188" s="372"/>
      <c r="BK188" s="372"/>
      <c r="BL188" s="372"/>
      <c r="BM188" s="372"/>
      <c r="BN188" s="372"/>
      <c r="BO188" s="372"/>
      <c r="BP188" s="372"/>
      <c r="BQ188" s="372"/>
      <c r="BR188" s="372"/>
      <c r="BS188" s="372"/>
      <c r="BT188" s="372"/>
      <c r="BU188" s="372"/>
      <c r="BV188" s="372"/>
      <c r="BW188" s="372"/>
      <c r="BX188" s="372"/>
    </row>
    <row r="189" spans="2:76" s="28" customFormat="1">
      <c r="B189" s="136"/>
      <c r="D189" s="221"/>
      <c r="E189" s="29"/>
      <c r="G189" s="338"/>
      <c r="H189" s="339"/>
      <c r="I189" s="339"/>
      <c r="J189" s="339"/>
      <c r="K189" s="339"/>
      <c r="L189" s="339"/>
      <c r="O189" s="373"/>
      <c r="AI189" s="31"/>
      <c r="AJ189" s="31"/>
      <c r="AK189" s="32"/>
      <c r="AL189" s="33"/>
      <c r="AM189" s="32"/>
      <c r="AN189" s="33"/>
      <c r="AO189" s="32"/>
      <c r="AP189" s="32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372"/>
      <c r="BD189" s="372"/>
      <c r="BE189" s="372"/>
      <c r="BF189" s="372"/>
      <c r="BG189" s="372"/>
      <c r="BH189" s="372"/>
      <c r="BI189" s="372"/>
      <c r="BJ189" s="372"/>
      <c r="BK189" s="372"/>
      <c r="BL189" s="372"/>
      <c r="BM189" s="372"/>
      <c r="BN189" s="372"/>
      <c r="BO189" s="372"/>
      <c r="BP189" s="372"/>
      <c r="BQ189" s="372"/>
      <c r="BR189" s="372"/>
      <c r="BS189" s="372"/>
      <c r="BT189" s="372"/>
      <c r="BU189" s="372"/>
      <c r="BV189" s="372"/>
      <c r="BW189" s="372"/>
      <c r="BX189" s="372"/>
    </row>
    <row r="190" spans="2:76" s="28" customFormat="1">
      <c r="B190" s="136"/>
      <c r="D190" s="221"/>
      <c r="E190" s="29"/>
      <c r="G190" s="338"/>
      <c r="H190" s="339"/>
      <c r="I190" s="339"/>
      <c r="J190" s="339"/>
      <c r="K190" s="339"/>
      <c r="L190" s="339"/>
      <c r="O190" s="373"/>
      <c r="AI190" s="31"/>
      <c r="AJ190" s="31"/>
      <c r="AK190" s="32"/>
      <c r="AL190" s="33"/>
      <c r="AM190" s="32"/>
      <c r="AN190" s="33"/>
      <c r="AO190" s="32"/>
      <c r="AP190" s="32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372"/>
      <c r="BD190" s="372"/>
      <c r="BE190" s="372"/>
      <c r="BF190" s="372"/>
      <c r="BG190" s="372"/>
      <c r="BH190" s="372"/>
      <c r="BI190" s="372"/>
      <c r="BJ190" s="372"/>
      <c r="BK190" s="372"/>
      <c r="BL190" s="372"/>
      <c r="BM190" s="372"/>
      <c r="BN190" s="372"/>
      <c r="BO190" s="372"/>
      <c r="BP190" s="372"/>
      <c r="BQ190" s="372"/>
      <c r="BR190" s="372"/>
      <c r="BS190" s="372"/>
      <c r="BT190" s="372"/>
      <c r="BU190" s="372"/>
      <c r="BV190" s="372"/>
      <c r="BW190" s="372"/>
      <c r="BX190" s="372"/>
    </row>
    <row r="191" spans="2:76" s="28" customFormat="1">
      <c r="B191" s="136"/>
      <c r="D191" s="221"/>
      <c r="E191" s="29"/>
      <c r="G191" s="338"/>
      <c r="H191" s="339"/>
      <c r="I191" s="339"/>
      <c r="J191" s="339"/>
      <c r="K191" s="339"/>
      <c r="L191" s="339"/>
      <c r="O191" s="373"/>
      <c r="AI191" s="31"/>
      <c r="AJ191" s="31"/>
      <c r="AK191" s="32"/>
      <c r="AL191" s="33"/>
      <c r="AM191" s="32"/>
      <c r="AN191" s="33"/>
      <c r="AO191" s="32"/>
      <c r="AP191" s="32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372"/>
      <c r="BD191" s="372"/>
      <c r="BE191" s="372"/>
      <c r="BF191" s="372"/>
      <c r="BG191" s="372"/>
      <c r="BH191" s="372"/>
      <c r="BI191" s="372"/>
      <c r="BJ191" s="372"/>
      <c r="BK191" s="372"/>
      <c r="BL191" s="372"/>
      <c r="BM191" s="372"/>
      <c r="BN191" s="372"/>
      <c r="BO191" s="372"/>
      <c r="BP191" s="372"/>
      <c r="BQ191" s="372"/>
      <c r="BR191" s="372"/>
      <c r="BS191" s="372"/>
      <c r="BT191" s="372"/>
      <c r="BU191" s="372"/>
      <c r="BV191" s="372"/>
      <c r="BW191" s="372"/>
      <c r="BX191" s="372"/>
    </row>
    <row r="192" spans="2:76" s="28" customFormat="1">
      <c r="B192" s="136"/>
      <c r="D192" s="221"/>
      <c r="E192" s="29"/>
      <c r="G192" s="338"/>
      <c r="H192" s="339"/>
      <c r="I192" s="339"/>
      <c r="J192" s="339"/>
      <c r="K192" s="339"/>
      <c r="L192" s="339"/>
      <c r="O192" s="373"/>
      <c r="AI192" s="31"/>
      <c r="AJ192" s="31"/>
      <c r="AK192" s="32"/>
      <c r="AL192" s="33"/>
      <c r="AM192" s="32"/>
      <c r="AN192" s="33"/>
      <c r="AO192" s="32"/>
      <c r="AP192" s="32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372"/>
      <c r="BD192" s="372"/>
      <c r="BE192" s="372"/>
      <c r="BF192" s="372"/>
      <c r="BG192" s="372"/>
      <c r="BH192" s="372"/>
      <c r="BI192" s="372"/>
      <c r="BJ192" s="372"/>
      <c r="BK192" s="372"/>
      <c r="BL192" s="372"/>
      <c r="BM192" s="372"/>
      <c r="BN192" s="372"/>
      <c r="BO192" s="372"/>
      <c r="BP192" s="372"/>
      <c r="BQ192" s="372"/>
      <c r="BR192" s="372"/>
      <c r="BS192" s="372"/>
      <c r="BT192" s="372"/>
      <c r="BU192" s="372"/>
      <c r="BV192" s="372"/>
      <c r="BW192" s="372"/>
      <c r="BX192" s="372"/>
    </row>
    <row r="193" spans="2:76" s="28" customFormat="1">
      <c r="B193" s="136"/>
      <c r="D193" s="221"/>
      <c r="E193" s="29"/>
      <c r="G193" s="338"/>
      <c r="H193" s="339"/>
      <c r="I193" s="339"/>
      <c r="J193" s="339"/>
      <c r="K193" s="339"/>
      <c r="L193" s="339"/>
      <c r="O193" s="373"/>
      <c r="AI193" s="31"/>
      <c r="AJ193" s="31"/>
      <c r="AK193" s="32"/>
      <c r="AL193" s="33"/>
      <c r="AM193" s="32"/>
      <c r="AN193" s="33"/>
      <c r="AO193" s="32"/>
      <c r="AP193" s="32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372"/>
      <c r="BD193" s="372"/>
      <c r="BE193" s="372"/>
      <c r="BF193" s="372"/>
      <c r="BG193" s="372"/>
      <c r="BH193" s="372"/>
      <c r="BI193" s="372"/>
      <c r="BJ193" s="372"/>
      <c r="BK193" s="372"/>
      <c r="BL193" s="372"/>
      <c r="BM193" s="372"/>
      <c r="BN193" s="372"/>
      <c r="BO193" s="372"/>
      <c r="BP193" s="372"/>
      <c r="BQ193" s="372"/>
      <c r="BR193" s="372"/>
      <c r="BS193" s="372"/>
      <c r="BT193" s="372"/>
      <c r="BU193" s="372"/>
      <c r="BV193" s="372"/>
      <c r="BW193" s="372"/>
      <c r="BX193" s="372"/>
    </row>
    <row r="194" spans="2:76" s="28" customFormat="1">
      <c r="B194" s="136"/>
      <c r="D194" s="221"/>
      <c r="E194" s="29"/>
      <c r="G194" s="338"/>
      <c r="H194" s="339"/>
      <c r="I194" s="339"/>
      <c r="J194" s="339"/>
      <c r="K194" s="339"/>
      <c r="L194" s="339"/>
      <c r="O194" s="373"/>
      <c r="AI194" s="31"/>
      <c r="AJ194" s="31"/>
      <c r="AK194" s="32"/>
      <c r="AL194" s="33"/>
      <c r="AM194" s="32"/>
      <c r="AN194" s="33"/>
      <c r="AO194" s="32"/>
      <c r="AP194" s="32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372"/>
      <c r="BD194" s="372"/>
      <c r="BE194" s="372"/>
      <c r="BF194" s="372"/>
      <c r="BG194" s="372"/>
      <c r="BH194" s="372"/>
      <c r="BI194" s="372"/>
      <c r="BJ194" s="372"/>
      <c r="BK194" s="372"/>
      <c r="BL194" s="372"/>
      <c r="BM194" s="372"/>
      <c r="BN194" s="372"/>
      <c r="BO194" s="372"/>
      <c r="BP194" s="372"/>
      <c r="BQ194" s="372"/>
      <c r="BR194" s="372"/>
      <c r="BS194" s="372"/>
      <c r="BT194" s="372"/>
      <c r="BU194" s="372"/>
      <c r="BV194" s="372"/>
      <c r="BW194" s="372"/>
      <c r="BX194" s="372"/>
    </row>
    <row r="195" spans="2:76" s="28" customFormat="1">
      <c r="B195" s="136"/>
      <c r="D195" s="221"/>
      <c r="E195" s="29"/>
      <c r="G195" s="338"/>
      <c r="H195" s="339"/>
      <c r="I195" s="339"/>
      <c r="J195" s="339"/>
      <c r="K195" s="339"/>
      <c r="L195" s="339"/>
      <c r="O195" s="376"/>
      <c r="AI195" s="31"/>
      <c r="AJ195" s="31"/>
      <c r="AK195" s="32"/>
      <c r="AL195" s="33"/>
      <c r="AM195" s="32"/>
      <c r="AN195" s="33"/>
      <c r="AO195" s="32"/>
      <c r="AP195" s="32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372"/>
      <c r="BD195" s="372"/>
      <c r="BE195" s="372"/>
      <c r="BF195" s="372"/>
      <c r="BG195" s="372"/>
      <c r="BH195" s="372"/>
      <c r="BI195" s="372"/>
      <c r="BJ195" s="372"/>
      <c r="BK195" s="372"/>
      <c r="BL195" s="372"/>
      <c r="BM195" s="372"/>
      <c r="BN195" s="372"/>
      <c r="BO195" s="372"/>
      <c r="BP195" s="372"/>
      <c r="BQ195" s="372"/>
      <c r="BR195" s="372"/>
      <c r="BS195" s="372"/>
      <c r="BT195" s="372"/>
      <c r="BU195" s="372"/>
      <c r="BV195" s="372"/>
      <c r="BW195" s="372"/>
      <c r="BX195" s="372"/>
    </row>
    <row r="196" spans="2:76" s="28" customFormat="1">
      <c r="B196" s="136"/>
      <c r="D196" s="221"/>
      <c r="E196" s="29"/>
      <c r="G196" s="338"/>
      <c r="H196" s="339"/>
      <c r="I196" s="339"/>
      <c r="J196" s="339"/>
      <c r="K196" s="339"/>
      <c r="L196" s="339"/>
      <c r="O196" s="377"/>
      <c r="AI196" s="31"/>
      <c r="AJ196" s="31"/>
      <c r="AK196" s="32"/>
      <c r="AL196" s="33"/>
      <c r="AM196" s="32"/>
      <c r="AN196" s="33"/>
      <c r="AO196" s="32"/>
      <c r="AP196" s="32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372"/>
      <c r="BD196" s="372"/>
      <c r="BE196" s="372"/>
      <c r="BF196" s="372"/>
      <c r="BG196" s="372"/>
      <c r="BH196" s="372"/>
      <c r="BI196" s="372"/>
      <c r="BJ196" s="372"/>
      <c r="BK196" s="372"/>
      <c r="BL196" s="372"/>
      <c r="BM196" s="372"/>
      <c r="BN196" s="372"/>
      <c r="BO196" s="372"/>
      <c r="BP196" s="372"/>
      <c r="BQ196" s="372"/>
      <c r="BR196" s="372"/>
      <c r="BS196" s="372"/>
      <c r="BT196" s="372"/>
      <c r="BU196" s="372"/>
      <c r="BV196" s="372"/>
      <c r="BW196" s="372"/>
      <c r="BX196" s="372"/>
    </row>
    <row r="197" spans="2:76" s="28" customFormat="1">
      <c r="B197" s="136"/>
      <c r="D197" s="221"/>
      <c r="E197" s="29"/>
      <c r="G197" s="338"/>
      <c r="H197" s="339"/>
      <c r="I197" s="339"/>
      <c r="J197" s="339"/>
      <c r="K197" s="339"/>
      <c r="L197" s="339"/>
      <c r="O197" s="377"/>
      <c r="AI197" s="31"/>
      <c r="AJ197" s="31"/>
      <c r="AK197" s="32"/>
      <c r="AL197" s="33"/>
      <c r="AM197" s="32"/>
      <c r="AN197" s="33"/>
      <c r="AO197" s="32"/>
      <c r="AP197" s="32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372"/>
      <c r="BD197" s="372"/>
      <c r="BE197" s="372"/>
      <c r="BF197" s="372"/>
      <c r="BG197" s="372"/>
      <c r="BH197" s="372"/>
      <c r="BI197" s="372"/>
      <c r="BJ197" s="372"/>
      <c r="BK197" s="372"/>
      <c r="BL197" s="372"/>
      <c r="BM197" s="372"/>
      <c r="BN197" s="372"/>
      <c r="BO197" s="372"/>
      <c r="BP197" s="372"/>
      <c r="BQ197" s="372"/>
      <c r="BR197" s="372"/>
      <c r="BS197" s="372"/>
      <c r="BT197" s="372"/>
      <c r="BU197" s="372"/>
      <c r="BV197" s="372"/>
      <c r="BW197" s="372"/>
      <c r="BX197" s="372"/>
    </row>
    <row r="198" spans="2:76" s="28" customFormat="1">
      <c r="B198" s="136"/>
      <c r="D198" s="221"/>
      <c r="E198" s="29"/>
      <c r="G198" s="338"/>
      <c r="H198" s="339"/>
      <c r="I198" s="339"/>
      <c r="J198" s="339"/>
      <c r="K198" s="339"/>
      <c r="L198" s="339"/>
      <c r="O198" s="377"/>
      <c r="AI198" s="31"/>
      <c r="AJ198" s="31"/>
      <c r="AK198" s="32"/>
      <c r="AL198" s="33"/>
      <c r="AM198" s="32"/>
      <c r="AN198" s="33"/>
      <c r="AO198" s="32"/>
      <c r="AP198" s="32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372"/>
      <c r="BD198" s="372"/>
      <c r="BE198" s="372"/>
      <c r="BF198" s="372"/>
      <c r="BG198" s="372"/>
      <c r="BH198" s="372"/>
      <c r="BI198" s="372"/>
      <c r="BJ198" s="372"/>
      <c r="BK198" s="372"/>
      <c r="BL198" s="372"/>
      <c r="BM198" s="372"/>
      <c r="BN198" s="372"/>
      <c r="BO198" s="372"/>
      <c r="BP198" s="372"/>
      <c r="BQ198" s="372"/>
      <c r="BR198" s="372"/>
      <c r="BS198" s="372"/>
      <c r="BT198" s="372"/>
      <c r="BU198" s="372"/>
      <c r="BV198" s="372"/>
      <c r="BW198" s="372"/>
      <c r="BX198" s="372"/>
    </row>
    <row r="199" spans="2:76" s="28" customFormat="1">
      <c r="B199" s="136"/>
      <c r="D199" s="221"/>
      <c r="E199" s="29"/>
      <c r="G199" s="338"/>
      <c r="H199" s="339"/>
      <c r="I199" s="339"/>
      <c r="J199" s="339"/>
      <c r="K199" s="339"/>
      <c r="L199" s="339"/>
      <c r="O199" s="377"/>
      <c r="AI199" s="31"/>
      <c r="AJ199" s="31"/>
      <c r="AK199" s="32"/>
      <c r="AL199" s="33"/>
      <c r="AM199" s="32"/>
      <c r="AN199" s="33"/>
      <c r="AO199" s="32"/>
      <c r="AP199" s="32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372"/>
      <c r="BD199" s="372"/>
      <c r="BE199" s="372"/>
      <c r="BF199" s="372"/>
      <c r="BG199" s="372"/>
      <c r="BH199" s="372"/>
      <c r="BI199" s="372"/>
      <c r="BJ199" s="372"/>
      <c r="BK199" s="372"/>
      <c r="BL199" s="372"/>
      <c r="BM199" s="372"/>
      <c r="BN199" s="372"/>
      <c r="BO199" s="372"/>
      <c r="BP199" s="372"/>
      <c r="BQ199" s="372"/>
      <c r="BR199" s="372"/>
      <c r="BS199" s="372"/>
      <c r="BT199" s="372"/>
      <c r="BU199" s="372"/>
      <c r="BV199" s="372"/>
      <c r="BW199" s="372"/>
      <c r="BX199" s="372"/>
    </row>
    <row r="200" spans="2:76" s="28" customFormat="1">
      <c r="B200" s="136"/>
      <c r="D200" s="221"/>
      <c r="E200" s="29"/>
      <c r="G200" s="338"/>
      <c r="H200" s="339"/>
      <c r="I200" s="339"/>
      <c r="J200" s="339"/>
      <c r="K200" s="339"/>
      <c r="L200" s="339"/>
      <c r="O200" s="378"/>
      <c r="AI200" s="31"/>
      <c r="AJ200" s="31"/>
      <c r="AK200" s="32"/>
      <c r="AL200" s="33"/>
      <c r="AM200" s="32"/>
      <c r="AN200" s="33"/>
      <c r="AO200" s="32"/>
      <c r="AP200" s="32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372"/>
      <c r="BD200" s="372"/>
      <c r="BE200" s="372"/>
      <c r="BF200" s="372"/>
      <c r="BG200" s="372"/>
      <c r="BH200" s="372"/>
      <c r="BI200" s="372"/>
      <c r="BJ200" s="372"/>
      <c r="BK200" s="372"/>
      <c r="BL200" s="372"/>
      <c r="BM200" s="372"/>
      <c r="BN200" s="372"/>
      <c r="BO200" s="372"/>
      <c r="BP200" s="372"/>
      <c r="BQ200" s="372"/>
      <c r="BR200" s="372"/>
      <c r="BS200" s="372"/>
      <c r="BT200" s="372"/>
      <c r="BU200" s="372"/>
      <c r="BV200" s="372"/>
      <c r="BW200" s="372"/>
      <c r="BX200" s="372"/>
    </row>
    <row r="201" spans="2:76" s="28" customFormat="1">
      <c r="B201" s="136"/>
      <c r="D201" s="221"/>
      <c r="E201" s="29"/>
      <c r="G201" s="338"/>
      <c r="H201" s="339"/>
      <c r="I201" s="339"/>
      <c r="J201" s="339"/>
      <c r="K201" s="339"/>
      <c r="L201" s="339"/>
      <c r="O201" s="379"/>
      <c r="AI201" s="31"/>
      <c r="AJ201" s="31"/>
      <c r="AK201" s="32"/>
      <c r="AL201" s="33"/>
      <c r="AM201" s="32"/>
      <c r="AN201" s="33"/>
      <c r="AO201" s="32"/>
      <c r="AP201" s="32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372"/>
      <c r="BD201" s="372"/>
      <c r="BE201" s="372"/>
      <c r="BF201" s="372"/>
      <c r="BG201" s="372"/>
      <c r="BH201" s="372"/>
      <c r="BI201" s="372"/>
      <c r="BJ201" s="372"/>
      <c r="BK201" s="372"/>
      <c r="BL201" s="372"/>
      <c r="BM201" s="372"/>
      <c r="BN201" s="372"/>
      <c r="BO201" s="372"/>
      <c r="BP201" s="372"/>
      <c r="BQ201" s="372"/>
      <c r="BR201" s="372"/>
      <c r="BS201" s="372"/>
      <c r="BT201" s="372"/>
      <c r="BU201" s="372"/>
      <c r="BV201" s="372"/>
      <c r="BW201" s="372"/>
      <c r="BX201" s="372"/>
    </row>
    <row r="202" spans="2:76" s="28" customFormat="1">
      <c r="B202" s="136"/>
      <c r="D202" s="221"/>
      <c r="E202" s="29"/>
      <c r="G202" s="338"/>
      <c r="H202" s="339"/>
      <c r="I202" s="339"/>
      <c r="J202" s="339"/>
      <c r="K202" s="339"/>
      <c r="L202" s="339"/>
      <c r="O202" s="377"/>
      <c r="AI202" s="31"/>
      <c r="AJ202" s="31"/>
      <c r="AK202" s="32"/>
      <c r="AL202" s="33"/>
      <c r="AM202" s="32"/>
      <c r="AN202" s="33"/>
      <c r="AO202" s="32"/>
      <c r="AP202" s="32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372"/>
      <c r="BD202" s="372"/>
      <c r="BE202" s="372"/>
      <c r="BF202" s="372"/>
      <c r="BG202" s="372"/>
      <c r="BH202" s="372"/>
      <c r="BI202" s="372"/>
      <c r="BJ202" s="372"/>
      <c r="BK202" s="372"/>
      <c r="BL202" s="372"/>
      <c r="BM202" s="372"/>
      <c r="BN202" s="372"/>
      <c r="BO202" s="372"/>
      <c r="BP202" s="372"/>
      <c r="BQ202" s="372"/>
      <c r="BR202" s="372"/>
      <c r="BS202" s="372"/>
      <c r="BT202" s="372"/>
      <c r="BU202" s="372"/>
      <c r="BV202" s="372"/>
      <c r="BW202" s="372"/>
      <c r="BX202" s="372"/>
    </row>
    <row r="203" spans="2:76" s="28" customFormat="1">
      <c r="B203" s="136"/>
      <c r="D203" s="221"/>
      <c r="E203" s="29"/>
      <c r="G203" s="338"/>
      <c r="H203" s="339"/>
      <c r="I203" s="339"/>
      <c r="J203" s="339"/>
      <c r="K203" s="339"/>
      <c r="L203" s="339"/>
      <c r="O203" s="378"/>
      <c r="AI203" s="31"/>
      <c r="AJ203" s="31"/>
      <c r="AK203" s="32"/>
      <c r="AL203" s="33"/>
      <c r="AM203" s="32"/>
      <c r="AN203" s="33"/>
      <c r="AO203" s="32"/>
      <c r="AP203" s="32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372"/>
      <c r="BD203" s="372"/>
      <c r="BE203" s="372"/>
      <c r="BF203" s="372"/>
      <c r="BG203" s="372"/>
      <c r="BH203" s="372"/>
      <c r="BI203" s="372"/>
      <c r="BJ203" s="372"/>
      <c r="BK203" s="372"/>
      <c r="BL203" s="372"/>
      <c r="BM203" s="372"/>
      <c r="BN203" s="372"/>
      <c r="BO203" s="372"/>
      <c r="BP203" s="372"/>
      <c r="BQ203" s="372"/>
      <c r="BR203" s="372"/>
      <c r="BS203" s="372"/>
      <c r="BT203" s="372"/>
      <c r="BU203" s="372"/>
      <c r="BV203" s="372"/>
      <c r="BW203" s="372"/>
      <c r="BX203" s="372"/>
    </row>
    <row r="204" spans="2:76" s="28" customFormat="1">
      <c r="B204" s="136"/>
      <c r="D204" s="221"/>
      <c r="E204" s="29"/>
      <c r="G204" s="338"/>
      <c r="H204" s="339"/>
      <c r="I204" s="339"/>
      <c r="J204" s="339"/>
      <c r="K204" s="339"/>
      <c r="L204" s="339"/>
      <c r="O204" s="380"/>
      <c r="AI204" s="31"/>
      <c r="AJ204" s="31"/>
      <c r="AK204" s="32"/>
      <c r="AL204" s="33"/>
      <c r="AM204" s="32"/>
      <c r="AN204" s="33"/>
      <c r="AO204" s="32"/>
      <c r="AP204" s="32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372"/>
      <c r="BD204" s="372"/>
      <c r="BE204" s="372"/>
      <c r="BF204" s="372"/>
      <c r="BG204" s="372"/>
      <c r="BH204" s="372"/>
      <c r="BI204" s="372"/>
      <c r="BJ204" s="372"/>
      <c r="BK204" s="372"/>
      <c r="BL204" s="372"/>
      <c r="BM204" s="372"/>
      <c r="BN204" s="372"/>
      <c r="BO204" s="372"/>
      <c r="BP204" s="372"/>
      <c r="BQ204" s="372"/>
      <c r="BR204" s="372"/>
      <c r="BS204" s="372"/>
      <c r="BT204" s="372"/>
      <c r="BU204" s="372"/>
      <c r="BV204" s="372"/>
      <c r="BW204" s="372"/>
      <c r="BX204" s="372"/>
    </row>
    <row r="205" spans="2:76" s="28" customFormat="1">
      <c r="B205" s="136"/>
      <c r="D205" s="221"/>
      <c r="E205" s="29"/>
      <c r="G205" s="338"/>
      <c r="H205" s="339"/>
      <c r="I205" s="339"/>
      <c r="J205" s="339"/>
      <c r="K205" s="339"/>
      <c r="L205" s="339"/>
      <c r="O205" s="377"/>
      <c r="AI205" s="31"/>
      <c r="AJ205" s="31"/>
      <c r="AK205" s="32"/>
      <c r="AL205" s="33"/>
      <c r="AM205" s="32"/>
      <c r="AN205" s="33"/>
      <c r="AO205" s="32"/>
      <c r="AP205" s="32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372"/>
      <c r="BD205" s="372"/>
      <c r="BE205" s="372"/>
      <c r="BF205" s="372"/>
      <c r="BG205" s="372"/>
      <c r="BH205" s="372"/>
      <c r="BI205" s="372"/>
      <c r="BJ205" s="372"/>
      <c r="BK205" s="372"/>
      <c r="BL205" s="372"/>
      <c r="BM205" s="372"/>
      <c r="BN205" s="372"/>
      <c r="BO205" s="372"/>
      <c r="BP205" s="372"/>
      <c r="BQ205" s="372"/>
      <c r="BR205" s="372"/>
      <c r="BS205" s="372"/>
      <c r="BT205" s="372"/>
      <c r="BU205" s="372"/>
      <c r="BV205" s="372"/>
      <c r="BW205" s="372"/>
      <c r="BX205" s="372"/>
    </row>
    <row r="206" spans="2:76" s="28" customFormat="1">
      <c r="B206" s="136"/>
      <c r="D206" s="221"/>
      <c r="E206" s="29"/>
      <c r="G206" s="338"/>
      <c r="H206" s="339"/>
      <c r="I206" s="339"/>
      <c r="J206" s="339"/>
      <c r="K206" s="339"/>
      <c r="L206" s="339"/>
      <c r="O206" s="377"/>
      <c r="AI206" s="31"/>
      <c r="AJ206" s="31"/>
      <c r="AK206" s="32"/>
      <c r="AL206" s="33"/>
      <c r="AM206" s="32"/>
      <c r="AN206" s="33"/>
      <c r="AO206" s="32"/>
      <c r="AP206" s="32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372"/>
      <c r="BD206" s="372"/>
      <c r="BE206" s="372"/>
      <c r="BF206" s="372"/>
      <c r="BG206" s="372"/>
      <c r="BH206" s="372"/>
      <c r="BI206" s="372"/>
      <c r="BJ206" s="372"/>
      <c r="BK206" s="372"/>
      <c r="BL206" s="372"/>
      <c r="BM206" s="372"/>
      <c r="BN206" s="372"/>
      <c r="BO206" s="372"/>
      <c r="BP206" s="372"/>
      <c r="BQ206" s="372"/>
      <c r="BR206" s="372"/>
      <c r="BS206" s="372"/>
      <c r="BT206" s="372"/>
      <c r="BU206" s="372"/>
      <c r="BV206" s="372"/>
      <c r="BW206" s="372"/>
      <c r="BX206" s="372"/>
    </row>
    <row r="207" spans="2:76" s="28" customFormat="1">
      <c r="B207" s="136"/>
      <c r="D207" s="221"/>
      <c r="E207" s="29"/>
      <c r="G207" s="338"/>
      <c r="H207" s="339"/>
      <c r="I207" s="339"/>
      <c r="J207" s="339"/>
      <c r="K207" s="339"/>
      <c r="L207" s="339"/>
      <c r="O207" s="377"/>
      <c r="AI207" s="31"/>
      <c r="AJ207" s="31"/>
      <c r="AK207" s="32"/>
      <c r="AL207" s="33"/>
      <c r="AM207" s="32"/>
      <c r="AN207" s="33"/>
      <c r="AO207" s="32"/>
      <c r="AP207" s="32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372"/>
      <c r="BD207" s="372"/>
      <c r="BE207" s="372"/>
      <c r="BF207" s="372"/>
      <c r="BG207" s="372"/>
      <c r="BH207" s="372"/>
      <c r="BI207" s="372"/>
      <c r="BJ207" s="372"/>
      <c r="BK207" s="372"/>
      <c r="BL207" s="372"/>
      <c r="BM207" s="372"/>
      <c r="BN207" s="372"/>
      <c r="BO207" s="372"/>
      <c r="BP207" s="372"/>
      <c r="BQ207" s="372"/>
      <c r="BR207" s="372"/>
      <c r="BS207" s="372"/>
      <c r="BT207" s="372"/>
      <c r="BU207" s="372"/>
      <c r="BV207" s="372"/>
      <c r="BW207" s="372"/>
      <c r="BX207" s="372"/>
    </row>
    <row r="208" spans="2:76" s="28" customFormat="1">
      <c r="B208" s="136"/>
      <c r="D208" s="221"/>
      <c r="E208" s="29"/>
      <c r="G208" s="338"/>
      <c r="H208" s="339"/>
      <c r="I208" s="339"/>
      <c r="J208" s="339"/>
      <c r="K208" s="339"/>
      <c r="L208" s="339"/>
      <c r="O208" s="380"/>
      <c r="AI208" s="31"/>
      <c r="AJ208" s="31"/>
      <c r="AK208" s="32"/>
      <c r="AL208" s="33"/>
      <c r="AM208" s="32"/>
      <c r="AN208" s="33"/>
      <c r="AO208" s="32"/>
      <c r="AP208" s="32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372"/>
      <c r="BD208" s="372"/>
      <c r="BE208" s="372"/>
      <c r="BF208" s="372"/>
      <c r="BG208" s="372"/>
      <c r="BH208" s="372"/>
      <c r="BI208" s="372"/>
      <c r="BJ208" s="372"/>
      <c r="BK208" s="372"/>
      <c r="BL208" s="372"/>
      <c r="BM208" s="372"/>
      <c r="BN208" s="372"/>
      <c r="BO208" s="372"/>
      <c r="BP208" s="372"/>
      <c r="BQ208" s="372"/>
      <c r="BR208" s="372"/>
      <c r="BS208" s="372"/>
      <c r="BT208" s="372"/>
      <c r="BU208" s="372"/>
      <c r="BV208" s="372"/>
      <c r="BW208" s="372"/>
      <c r="BX208" s="372"/>
    </row>
    <row r="209" spans="2:76" s="28" customFormat="1">
      <c r="B209" s="136"/>
      <c r="D209" s="221"/>
      <c r="E209" s="29"/>
      <c r="G209" s="338"/>
      <c r="H209" s="339"/>
      <c r="I209" s="339"/>
      <c r="J209" s="339"/>
      <c r="K209" s="339"/>
      <c r="L209" s="339"/>
      <c r="O209" s="376"/>
      <c r="AI209" s="31"/>
      <c r="AJ209" s="31"/>
      <c r="AK209" s="32"/>
      <c r="AL209" s="33"/>
      <c r="AM209" s="32"/>
      <c r="AN209" s="33"/>
      <c r="AO209" s="32"/>
      <c r="AP209" s="32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372"/>
      <c r="BD209" s="372"/>
      <c r="BE209" s="372"/>
      <c r="BF209" s="372"/>
      <c r="BG209" s="372"/>
      <c r="BH209" s="372"/>
      <c r="BI209" s="372"/>
      <c r="BJ209" s="372"/>
      <c r="BK209" s="372"/>
      <c r="BL209" s="372"/>
      <c r="BM209" s="372"/>
      <c r="BN209" s="372"/>
      <c r="BO209" s="372"/>
      <c r="BP209" s="372"/>
      <c r="BQ209" s="372"/>
      <c r="BR209" s="372"/>
      <c r="BS209" s="372"/>
      <c r="BT209" s="372"/>
      <c r="BU209" s="372"/>
      <c r="BV209" s="372"/>
      <c r="BW209" s="372"/>
      <c r="BX209" s="372"/>
    </row>
    <row r="210" spans="2:76" s="28" customFormat="1">
      <c r="B210" s="136"/>
      <c r="D210" s="221"/>
      <c r="E210" s="29"/>
      <c r="G210" s="338"/>
      <c r="H210" s="339"/>
      <c r="I210" s="339"/>
      <c r="J210" s="339"/>
      <c r="K210" s="339"/>
      <c r="L210" s="339"/>
      <c r="O210" s="378"/>
      <c r="AI210" s="31"/>
      <c r="AJ210" s="31"/>
      <c r="AK210" s="32"/>
      <c r="AL210" s="33"/>
      <c r="AM210" s="32"/>
      <c r="AN210" s="33"/>
      <c r="AO210" s="32"/>
      <c r="AP210" s="32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372"/>
      <c r="BD210" s="372"/>
      <c r="BE210" s="372"/>
      <c r="BF210" s="372"/>
      <c r="BG210" s="372"/>
      <c r="BH210" s="372"/>
      <c r="BI210" s="372"/>
      <c r="BJ210" s="372"/>
      <c r="BK210" s="372"/>
      <c r="BL210" s="372"/>
      <c r="BM210" s="372"/>
      <c r="BN210" s="372"/>
      <c r="BO210" s="372"/>
      <c r="BP210" s="372"/>
      <c r="BQ210" s="372"/>
      <c r="BR210" s="372"/>
      <c r="BS210" s="372"/>
      <c r="BT210" s="372"/>
      <c r="BU210" s="372"/>
      <c r="BV210" s="372"/>
      <c r="BW210" s="372"/>
      <c r="BX210" s="372"/>
    </row>
    <row r="211" spans="2:76" s="28" customFormat="1">
      <c r="B211" s="136"/>
      <c r="D211" s="221"/>
      <c r="E211" s="29"/>
      <c r="G211" s="338"/>
      <c r="H211" s="339"/>
      <c r="I211" s="339"/>
      <c r="J211" s="339"/>
      <c r="K211" s="339"/>
      <c r="L211" s="339"/>
      <c r="O211" s="377"/>
      <c r="AI211" s="31"/>
      <c r="AJ211" s="31"/>
      <c r="AK211" s="32"/>
      <c r="AL211" s="33"/>
      <c r="AM211" s="32"/>
      <c r="AN211" s="33"/>
      <c r="AO211" s="32"/>
      <c r="AP211" s="32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372"/>
      <c r="BD211" s="372"/>
      <c r="BE211" s="372"/>
      <c r="BF211" s="372"/>
      <c r="BG211" s="372"/>
      <c r="BH211" s="372"/>
      <c r="BI211" s="372"/>
      <c r="BJ211" s="372"/>
      <c r="BK211" s="372"/>
      <c r="BL211" s="372"/>
      <c r="BM211" s="372"/>
      <c r="BN211" s="372"/>
      <c r="BO211" s="372"/>
      <c r="BP211" s="372"/>
      <c r="BQ211" s="372"/>
      <c r="BR211" s="372"/>
      <c r="BS211" s="372"/>
      <c r="BT211" s="372"/>
      <c r="BU211" s="372"/>
      <c r="BV211" s="372"/>
      <c r="BW211" s="372"/>
      <c r="BX211" s="372"/>
    </row>
    <row r="212" spans="2:76" s="28" customFormat="1">
      <c r="B212" s="136"/>
      <c r="D212" s="221"/>
      <c r="E212" s="29"/>
      <c r="G212" s="338"/>
      <c r="H212" s="339"/>
      <c r="I212" s="339"/>
      <c r="J212" s="339"/>
      <c r="K212" s="339"/>
      <c r="L212" s="339"/>
      <c r="O212" s="377"/>
      <c r="AI212" s="31"/>
      <c r="AJ212" s="31"/>
      <c r="AK212" s="32"/>
      <c r="AL212" s="33"/>
      <c r="AM212" s="32"/>
      <c r="AN212" s="33"/>
      <c r="AO212" s="32"/>
      <c r="AP212" s="32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372"/>
      <c r="BD212" s="372"/>
      <c r="BE212" s="372"/>
      <c r="BF212" s="372"/>
      <c r="BG212" s="372"/>
      <c r="BH212" s="372"/>
      <c r="BI212" s="372"/>
      <c r="BJ212" s="372"/>
      <c r="BK212" s="372"/>
      <c r="BL212" s="372"/>
      <c r="BM212" s="372"/>
      <c r="BN212" s="372"/>
      <c r="BO212" s="372"/>
      <c r="BP212" s="372"/>
      <c r="BQ212" s="372"/>
      <c r="BR212" s="372"/>
      <c r="BS212" s="372"/>
      <c r="BT212" s="372"/>
      <c r="BU212" s="372"/>
      <c r="BV212" s="372"/>
      <c r="BW212" s="372"/>
      <c r="BX212" s="372"/>
    </row>
    <row r="213" spans="2:76" s="28" customFormat="1">
      <c r="B213" s="136"/>
      <c r="D213" s="221"/>
      <c r="E213" s="29"/>
      <c r="G213" s="338"/>
      <c r="H213" s="339"/>
      <c r="I213" s="339"/>
      <c r="J213" s="339"/>
      <c r="K213" s="339"/>
      <c r="L213" s="339"/>
      <c r="O213" s="377"/>
      <c r="AI213" s="31"/>
      <c r="AJ213" s="31"/>
      <c r="AK213" s="32"/>
      <c r="AL213" s="33"/>
      <c r="AM213" s="32"/>
      <c r="AN213" s="33"/>
      <c r="AO213" s="32"/>
      <c r="AP213" s="32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372"/>
      <c r="BD213" s="372"/>
      <c r="BE213" s="372"/>
      <c r="BF213" s="372"/>
      <c r="BG213" s="372"/>
      <c r="BH213" s="372"/>
      <c r="BI213" s="372"/>
      <c r="BJ213" s="372"/>
      <c r="BK213" s="372"/>
      <c r="BL213" s="372"/>
      <c r="BM213" s="372"/>
      <c r="BN213" s="372"/>
      <c r="BO213" s="372"/>
      <c r="BP213" s="372"/>
      <c r="BQ213" s="372"/>
      <c r="BR213" s="372"/>
      <c r="BS213" s="372"/>
      <c r="BT213" s="372"/>
      <c r="BU213" s="372"/>
      <c r="BV213" s="372"/>
      <c r="BW213" s="372"/>
      <c r="BX213" s="372"/>
    </row>
    <row r="214" spans="2:76" s="28" customFormat="1">
      <c r="B214" s="136"/>
      <c r="D214" s="221"/>
      <c r="E214" s="29"/>
      <c r="G214" s="338"/>
      <c r="H214" s="339"/>
      <c r="I214" s="339"/>
      <c r="J214" s="339"/>
      <c r="K214" s="339"/>
      <c r="L214" s="339"/>
      <c r="O214" s="377"/>
      <c r="AI214" s="31"/>
      <c r="AJ214" s="31"/>
      <c r="AK214" s="32"/>
      <c r="AL214" s="33"/>
      <c r="AM214" s="32"/>
      <c r="AN214" s="33"/>
      <c r="AO214" s="32"/>
      <c r="AP214" s="32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372"/>
      <c r="BD214" s="372"/>
      <c r="BE214" s="372"/>
      <c r="BF214" s="372"/>
      <c r="BG214" s="372"/>
      <c r="BH214" s="372"/>
      <c r="BI214" s="372"/>
      <c r="BJ214" s="372"/>
      <c r="BK214" s="372"/>
      <c r="BL214" s="372"/>
      <c r="BM214" s="372"/>
      <c r="BN214" s="372"/>
      <c r="BO214" s="372"/>
      <c r="BP214" s="372"/>
      <c r="BQ214" s="372"/>
      <c r="BR214" s="372"/>
      <c r="BS214" s="372"/>
      <c r="BT214" s="372"/>
      <c r="BU214" s="372"/>
      <c r="BV214" s="372"/>
      <c r="BW214" s="372"/>
      <c r="BX214" s="372"/>
    </row>
    <row r="215" spans="2:76" s="28" customFormat="1">
      <c r="B215" s="136"/>
      <c r="D215" s="221"/>
      <c r="E215" s="29"/>
      <c r="G215" s="338"/>
      <c r="H215" s="339"/>
      <c r="I215" s="339"/>
      <c r="J215" s="339"/>
      <c r="K215" s="339"/>
      <c r="L215" s="339"/>
      <c r="O215" s="377"/>
      <c r="AI215" s="31"/>
      <c r="AJ215" s="31"/>
      <c r="AK215" s="32"/>
      <c r="AL215" s="33"/>
      <c r="AM215" s="32"/>
      <c r="AN215" s="33"/>
      <c r="AO215" s="32"/>
      <c r="AP215" s="32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372"/>
      <c r="BD215" s="372"/>
      <c r="BE215" s="372"/>
      <c r="BF215" s="372"/>
      <c r="BG215" s="372"/>
      <c r="BH215" s="372"/>
      <c r="BI215" s="372"/>
      <c r="BJ215" s="372"/>
      <c r="BK215" s="372"/>
      <c r="BL215" s="372"/>
      <c r="BM215" s="372"/>
      <c r="BN215" s="372"/>
      <c r="BO215" s="372"/>
      <c r="BP215" s="372"/>
      <c r="BQ215" s="372"/>
      <c r="BR215" s="372"/>
      <c r="BS215" s="372"/>
      <c r="BT215" s="372"/>
      <c r="BU215" s="372"/>
      <c r="BV215" s="372"/>
      <c r="BW215" s="372"/>
      <c r="BX215" s="372"/>
    </row>
    <row r="216" spans="2:76" s="28" customFormat="1">
      <c r="B216" s="136"/>
      <c r="D216" s="221"/>
      <c r="E216" s="29"/>
      <c r="G216" s="338"/>
      <c r="H216" s="339"/>
      <c r="I216" s="339"/>
      <c r="J216" s="339"/>
      <c r="K216" s="339"/>
      <c r="L216" s="339"/>
      <c r="O216" s="377"/>
      <c r="AI216" s="31"/>
      <c r="AJ216" s="31"/>
      <c r="AK216" s="32"/>
      <c r="AL216" s="33"/>
      <c r="AM216" s="32"/>
      <c r="AN216" s="33"/>
      <c r="AO216" s="32"/>
      <c r="AP216" s="32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372"/>
      <c r="BD216" s="372"/>
      <c r="BE216" s="372"/>
      <c r="BF216" s="372"/>
      <c r="BG216" s="372"/>
      <c r="BH216" s="372"/>
      <c r="BI216" s="372"/>
      <c r="BJ216" s="372"/>
      <c r="BK216" s="372"/>
      <c r="BL216" s="372"/>
      <c r="BM216" s="372"/>
      <c r="BN216" s="372"/>
      <c r="BO216" s="372"/>
      <c r="BP216" s="372"/>
      <c r="BQ216" s="372"/>
      <c r="BR216" s="372"/>
      <c r="BS216" s="372"/>
      <c r="BT216" s="372"/>
      <c r="BU216" s="372"/>
      <c r="BV216" s="372"/>
      <c r="BW216" s="372"/>
      <c r="BX216" s="372"/>
    </row>
    <row r="217" spans="2:76" s="28" customFormat="1">
      <c r="B217" s="136"/>
      <c r="D217" s="221"/>
      <c r="E217" s="29"/>
      <c r="G217" s="338"/>
      <c r="H217" s="339"/>
      <c r="I217" s="339"/>
      <c r="J217" s="339"/>
      <c r="K217" s="339"/>
      <c r="L217" s="339"/>
      <c r="O217" s="377"/>
      <c r="AI217" s="31"/>
      <c r="AJ217" s="31"/>
      <c r="AK217" s="32"/>
      <c r="AL217" s="33"/>
      <c r="AM217" s="32"/>
      <c r="AN217" s="33"/>
      <c r="AO217" s="32"/>
      <c r="AP217" s="32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372"/>
      <c r="BD217" s="372"/>
      <c r="BE217" s="372"/>
      <c r="BF217" s="372"/>
      <c r="BG217" s="372"/>
      <c r="BH217" s="372"/>
      <c r="BI217" s="372"/>
      <c r="BJ217" s="372"/>
      <c r="BK217" s="372"/>
      <c r="BL217" s="372"/>
      <c r="BM217" s="372"/>
      <c r="BN217" s="372"/>
      <c r="BO217" s="372"/>
      <c r="BP217" s="372"/>
      <c r="BQ217" s="372"/>
      <c r="BR217" s="372"/>
      <c r="BS217" s="372"/>
      <c r="BT217" s="372"/>
      <c r="BU217" s="372"/>
      <c r="BV217" s="372"/>
      <c r="BW217" s="372"/>
      <c r="BX217" s="372"/>
    </row>
    <row r="218" spans="2:76" s="28" customFormat="1">
      <c r="B218" s="136"/>
      <c r="D218" s="221"/>
      <c r="E218" s="29"/>
      <c r="G218" s="338"/>
      <c r="H218" s="339"/>
      <c r="I218" s="339"/>
      <c r="J218" s="339"/>
      <c r="K218" s="339"/>
      <c r="L218" s="339"/>
      <c r="O218" s="377"/>
      <c r="AI218" s="31"/>
      <c r="AJ218" s="31"/>
      <c r="AK218" s="32"/>
      <c r="AL218" s="33"/>
      <c r="AM218" s="32"/>
      <c r="AN218" s="33"/>
      <c r="AO218" s="32"/>
      <c r="AP218" s="32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372"/>
      <c r="BD218" s="372"/>
      <c r="BE218" s="372"/>
      <c r="BF218" s="372"/>
      <c r="BG218" s="372"/>
      <c r="BH218" s="372"/>
      <c r="BI218" s="372"/>
      <c r="BJ218" s="372"/>
      <c r="BK218" s="372"/>
      <c r="BL218" s="372"/>
      <c r="BM218" s="372"/>
      <c r="BN218" s="372"/>
      <c r="BO218" s="372"/>
      <c r="BP218" s="372"/>
      <c r="BQ218" s="372"/>
      <c r="BR218" s="372"/>
      <c r="BS218" s="372"/>
      <c r="BT218" s="372"/>
      <c r="BU218" s="372"/>
      <c r="BV218" s="372"/>
      <c r="BW218" s="372"/>
      <c r="BX218" s="372"/>
    </row>
    <row r="219" spans="2:76" s="28" customFormat="1">
      <c r="B219" s="136"/>
      <c r="D219" s="221"/>
      <c r="E219" s="29"/>
      <c r="G219" s="338"/>
      <c r="H219" s="339"/>
      <c r="I219" s="339"/>
      <c r="J219" s="339"/>
      <c r="K219" s="339"/>
      <c r="L219" s="339"/>
      <c r="O219" s="381"/>
      <c r="AI219" s="31"/>
      <c r="AJ219" s="31"/>
      <c r="AK219" s="32"/>
      <c r="AL219" s="33"/>
      <c r="AM219" s="32"/>
      <c r="AN219" s="33"/>
      <c r="AO219" s="32"/>
      <c r="AP219" s="32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372"/>
      <c r="BD219" s="372"/>
      <c r="BE219" s="372"/>
      <c r="BF219" s="372"/>
      <c r="BG219" s="372"/>
      <c r="BH219" s="372"/>
      <c r="BI219" s="372"/>
      <c r="BJ219" s="372"/>
      <c r="BK219" s="372"/>
      <c r="BL219" s="372"/>
      <c r="BM219" s="372"/>
      <c r="BN219" s="372"/>
      <c r="BO219" s="372"/>
      <c r="BP219" s="372"/>
      <c r="BQ219" s="372"/>
      <c r="BR219" s="372"/>
      <c r="BS219" s="372"/>
      <c r="BT219" s="372"/>
      <c r="BU219" s="372"/>
      <c r="BV219" s="372"/>
      <c r="BW219" s="372"/>
      <c r="BX219" s="372"/>
    </row>
    <row r="220" spans="2:76" s="28" customFormat="1">
      <c r="B220" s="136"/>
      <c r="D220" s="221"/>
      <c r="E220" s="29"/>
      <c r="G220" s="338"/>
      <c r="H220" s="339"/>
      <c r="I220" s="339"/>
      <c r="J220" s="339"/>
      <c r="K220" s="339"/>
      <c r="L220" s="339"/>
      <c r="O220" s="376"/>
      <c r="AI220" s="31"/>
      <c r="AJ220" s="31"/>
      <c r="AK220" s="32"/>
      <c r="AL220" s="33"/>
      <c r="AM220" s="32"/>
      <c r="AN220" s="33"/>
      <c r="AO220" s="32"/>
      <c r="AP220" s="32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372"/>
      <c r="BD220" s="372"/>
      <c r="BE220" s="372"/>
      <c r="BF220" s="372"/>
      <c r="BG220" s="372"/>
      <c r="BH220" s="372"/>
      <c r="BI220" s="372"/>
      <c r="BJ220" s="372"/>
      <c r="BK220" s="372"/>
      <c r="BL220" s="372"/>
      <c r="BM220" s="372"/>
      <c r="BN220" s="372"/>
      <c r="BO220" s="372"/>
      <c r="BP220" s="372"/>
      <c r="BQ220" s="372"/>
      <c r="BR220" s="372"/>
      <c r="BS220" s="372"/>
      <c r="BT220" s="372"/>
      <c r="BU220" s="372"/>
      <c r="BV220" s="372"/>
      <c r="BW220" s="372"/>
      <c r="BX220" s="372"/>
    </row>
    <row r="221" spans="2:76" s="28" customFormat="1">
      <c r="B221" s="136"/>
      <c r="D221" s="221"/>
      <c r="E221" s="29"/>
      <c r="G221" s="338"/>
      <c r="H221" s="339"/>
      <c r="I221" s="339"/>
      <c r="J221" s="339"/>
      <c r="K221" s="339"/>
      <c r="L221" s="339"/>
      <c r="O221" s="380"/>
      <c r="AI221" s="31"/>
      <c r="AJ221" s="31"/>
      <c r="AK221" s="32"/>
      <c r="AL221" s="33"/>
      <c r="AM221" s="32"/>
      <c r="AN221" s="33"/>
      <c r="AO221" s="32"/>
      <c r="AP221" s="32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372"/>
      <c r="BD221" s="372"/>
      <c r="BE221" s="372"/>
      <c r="BF221" s="372"/>
      <c r="BG221" s="372"/>
      <c r="BH221" s="372"/>
      <c r="BI221" s="372"/>
      <c r="BJ221" s="372"/>
      <c r="BK221" s="372"/>
      <c r="BL221" s="372"/>
      <c r="BM221" s="372"/>
      <c r="BN221" s="372"/>
      <c r="BO221" s="372"/>
      <c r="BP221" s="372"/>
      <c r="BQ221" s="372"/>
      <c r="BR221" s="372"/>
      <c r="BS221" s="372"/>
      <c r="BT221" s="372"/>
      <c r="BU221" s="372"/>
      <c r="BV221" s="372"/>
      <c r="BW221" s="372"/>
      <c r="BX221" s="372"/>
    </row>
    <row r="222" spans="2:76" s="28" customFormat="1">
      <c r="B222" s="136"/>
      <c r="D222" s="221"/>
      <c r="E222" s="29"/>
      <c r="G222" s="338"/>
      <c r="H222" s="339"/>
      <c r="I222" s="339"/>
      <c r="J222" s="339"/>
      <c r="K222" s="339"/>
      <c r="L222" s="339"/>
      <c r="O222" s="380"/>
      <c r="AI222" s="31"/>
      <c r="AJ222" s="31"/>
      <c r="AK222" s="32"/>
      <c r="AL222" s="33"/>
      <c r="AM222" s="32"/>
      <c r="AN222" s="33"/>
      <c r="AO222" s="32"/>
      <c r="AP222" s="32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372"/>
      <c r="BD222" s="372"/>
      <c r="BE222" s="372"/>
      <c r="BF222" s="372"/>
      <c r="BG222" s="372"/>
      <c r="BH222" s="372"/>
      <c r="BI222" s="372"/>
      <c r="BJ222" s="372"/>
      <c r="BK222" s="372"/>
      <c r="BL222" s="372"/>
      <c r="BM222" s="372"/>
      <c r="BN222" s="372"/>
      <c r="BO222" s="372"/>
      <c r="BP222" s="372"/>
      <c r="BQ222" s="372"/>
      <c r="BR222" s="372"/>
      <c r="BS222" s="372"/>
      <c r="BT222" s="372"/>
      <c r="BU222" s="372"/>
      <c r="BV222" s="372"/>
      <c r="BW222" s="372"/>
      <c r="BX222" s="372"/>
    </row>
    <row r="223" spans="2:76" s="28" customFormat="1">
      <c r="B223" s="136"/>
      <c r="D223" s="221"/>
      <c r="E223" s="29"/>
      <c r="G223" s="338"/>
      <c r="H223" s="339"/>
      <c r="I223" s="339"/>
      <c r="J223" s="339"/>
      <c r="K223" s="339"/>
      <c r="L223" s="339"/>
      <c r="O223" s="379"/>
      <c r="AI223" s="31"/>
      <c r="AJ223" s="31"/>
      <c r="AK223" s="32"/>
      <c r="AL223" s="33"/>
      <c r="AM223" s="32"/>
      <c r="AN223" s="33"/>
      <c r="AO223" s="32"/>
      <c r="AP223" s="32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372"/>
      <c r="BD223" s="372"/>
      <c r="BE223" s="372"/>
      <c r="BF223" s="372"/>
      <c r="BG223" s="372"/>
      <c r="BH223" s="372"/>
      <c r="BI223" s="372"/>
      <c r="BJ223" s="372"/>
      <c r="BK223" s="372"/>
      <c r="BL223" s="372"/>
      <c r="BM223" s="372"/>
      <c r="BN223" s="372"/>
      <c r="BO223" s="372"/>
      <c r="BP223" s="372"/>
      <c r="BQ223" s="372"/>
      <c r="BR223" s="372"/>
      <c r="BS223" s="372"/>
      <c r="BT223" s="372"/>
      <c r="BU223" s="372"/>
      <c r="BV223" s="372"/>
      <c r="BW223" s="372"/>
      <c r="BX223" s="372"/>
    </row>
    <row r="224" spans="2:76" s="28" customFormat="1">
      <c r="B224" s="136"/>
      <c r="D224" s="221"/>
      <c r="E224" s="29"/>
      <c r="G224" s="338"/>
      <c r="H224" s="339"/>
      <c r="I224" s="339"/>
      <c r="J224" s="339"/>
      <c r="K224" s="339"/>
      <c r="L224" s="339"/>
      <c r="O224" s="380"/>
      <c r="AI224" s="31"/>
      <c r="AJ224" s="31"/>
      <c r="AK224" s="32"/>
      <c r="AL224" s="33"/>
      <c r="AM224" s="32"/>
      <c r="AN224" s="33"/>
      <c r="AO224" s="32"/>
      <c r="AP224" s="32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372"/>
      <c r="BD224" s="372"/>
      <c r="BE224" s="372"/>
      <c r="BF224" s="372"/>
      <c r="BG224" s="372"/>
      <c r="BH224" s="372"/>
      <c r="BI224" s="372"/>
      <c r="BJ224" s="372"/>
      <c r="BK224" s="372"/>
      <c r="BL224" s="372"/>
      <c r="BM224" s="372"/>
      <c r="BN224" s="372"/>
      <c r="BO224" s="372"/>
      <c r="BP224" s="372"/>
      <c r="BQ224" s="372"/>
      <c r="BR224" s="372"/>
      <c r="BS224" s="372"/>
      <c r="BT224" s="372"/>
      <c r="BU224" s="372"/>
      <c r="BV224" s="372"/>
      <c r="BW224" s="372"/>
      <c r="BX224" s="372"/>
    </row>
    <row r="225" spans="2:76" s="28" customFormat="1">
      <c r="B225" s="136"/>
      <c r="D225" s="221"/>
      <c r="E225" s="29"/>
      <c r="G225" s="338"/>
      <c r="H225" s="339"/>
      <c r="I225" s="339"/>
      <c r="J225" s="339"/>
      <c r="K225" s="339"/>
      <c r="L225" s="339"/>
      <c r="O225" s="379"/>
      <c r="AI225" s="31"/>
      <c r="AJ225" s="31"/>
      <c r="AK225" s="32"/>
      <c r="AL225" s="33"/>
      <c r="AM225" s="32"/>
      <c r="AN225" s="33"/>
      <c r="AO225" s="32"/>
      <c r="AP225" s="32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372"/>
      <c r="BD225" s="372"/>
      <c r="BE225" s="372"/>
      <c r="BF225" s="372"/>
      <c r="BG225" s="372"/>
      <c r="BH225" s="372"/>
      <c r="BI225" s="372"/>
      <c r="BJ225" s="372"/>
      <c r="BK225" s="372"/>
      <c r="BL225" s="372"/>
      <c r="BM225" s="372"/>
      <c r="BN225" s="372"/>
      <c r="BO225" s="372"/>
      <c r="BP225" s="372"/>
      <c r="BQ225" s="372"/>
      <c r="BR225" s="372"/>
      <c r="BS225" s="372"/>
      <c r="BT225" s="372"/>
      <c r="BU225" s="372"/>
      <c r="BV225" s="372"/>
      <c r="BW225" s="372"/>
      <c r="BX225" s="372"/>
    </row>
    <row r="226" spans="2:76" s="28" customFormat="1">
      <c r="B226" s="136"/>
      <c r="D226" s="221"/>
      <c r="E226" s="29"/>
      <c r="G226" s="338"/>
      <c r="H226" s="339"/>
      <c r="I226" s="339"/>
      <c r="J226" s="339"/>
      <c r="K226" s="339"/>
      <c r="L226" s="339"/>
      <c r="O226" s="381"/>
      <c r="AI226" s="31"/>
      <c r="AJ226" s="31"/>
      <c r="AK226" s="32"/>
      <c r="AL226" s="33"/>
      <c r="AM226" s="32"/>
      <c r="AN226" s="33"/>
      <c r="AO226" s="32"/>
      <c r="AP226" s="32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372"/>
      <c r="BD226" s="372"/>
      <c r="BE226" s="372"/>
      <c r="BF226" s="372"/>
      <c r="BG226" s="372"/>
      <c r="BH226" s="372"/>
      <c r="BI226" s="372"/>
      <c r="BJ226" s="372"/>
      <c r="BK226" s="372"/>
      <c r="BL226" s="372"/>
      <c r="BM226" s="372"/>
      <c r="BN226" s="372"/>
      <c r="BO226" s="372"/>
      <c r="BP226" s="372"/>
      <c r="BQ226" s="372"/>
      <c r="BR226" s="372"/>
      <c r="BS226" s="372"/>
      <c r="BT226" s="372"/>
      <c r="BU226" s="372"/>
      <c r="BV226" s="372"/>
      <c r="BW226" s="372"/>
      <c r="BX226" s="372"/>
    </row>
    <row r="227" spans="2:76" s="28" customFormat="1">
      <c r="B227" s="136"/>
      <c r="D227" s="221"/>
      <c r="E227" s="29"/>
      <c r="G227" s="338"/>
      <c r="H227" s="339"/>
      <c r="I227" s="339"/>
      <c r="J227" s="339"/>
      <c r="K227" s="339"/>
      <c r="L227" s="339"/>
      <c r="O227" s="381"/>
      <c r="AI227" s="31"/>
      <c r="AJ227" s="31"/>
      <c r="AK227" s="32"/>
      <c r="AL227" s="33"/>
      <c r="AM227" s="32"/>
      <c r="AN227" s="33"/>
      <c r="AO227" s="32"/>
      <c r="AP227" s="32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372"/>
      <c r="BD227" s="372"/>
      <c r="BE227" s="372"/>
      <c r="BF227" s="372"/>
      <c r="BG227" s="372"/>
      <c r="BH227" s="372"/>
      <c r="BI227" s="372"/>
      <c r="BJ227" s="372"/>
      <c r="BK227" s="372"/>
      <c r="BL227" s="372"/>
      <c r="BM227" s="372"/>
      <c r="BN227" s="372"/>
      <c r="BO227" s="372"/>
      <c r="BP227" s="372"/>
      <c r="BQ227" s="372"/>
      <c r="BR227" s="372"/>
      <c r="BS227" s="372"/>
      <c r="BT227" s="372"/>
      <c r="BU227" s="372"/>
      <c r="BV227" s="372"/>
      <c r="BW227" s="372"/>
      <c r="BX227" s="372"/>
    </row>
    <row r="228" spans="2:76" s="28" customFormat="1">
      <c r="B228" s="136"/>
      <c r="D228" s="221"/>
      <c r="E228" s="29"/>
      <c r="G228" s="338"/>
      <c r="H228" s="339"/>
      <c r="I228" s="339"/>
      <c r="J228" s="339"/>
      <c r="K228" s="339"/>
      <c r="L228" s="339"/>
      <c r="O228" s="377"/>
      <c r="AI228" s="31"/>
      <c r="AJ228" s="31"/>
      <c r="AK228" s="32"/>
      <c r="AL228" s="33"/>
      <c r="AM228" s="32"/>
      <c r="AN228" s="33"/>
      <c r="AO228" s="32"/>
      <c r="AP228" s="32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372"/>
      <c r="BD228" s="372"/>
      <c r="BE228" s="372"/>
      <c r="BF228" s="372"/>
      <c r="BG228" s="372"/>
      <c r="BH228" s="372"/>
      <c r="BI228" s="372"/>
      <c r="BJ228" s="372"/>
      <c r="BK228" s="372"/>
      <c r="BL228" s="372"/>
      <c r="BM228" s="372"/>
      <c r="BN228" s="372"/>
      <c r="BO228" s="372"/>
      <c r="BP228" s="372"/>
      <c r="BQ228" s="372"/>
      <c r="BR228" s="372"/>
      <c r="BS228" s="372"/>
      <c r="BT228" s="372"/>
      <c r="BU228" s="372"/>
      <c r="BV228" s="372"/>
      <c r="BW228" s="372"/>
      <c r="BX228" s="372"/>
    </row>
    <row r="229" spans="2:76" s="28" customFormat="1">
      <c r="B229" s="136"/>
      <c r="D229" s="221"/>
      <c r="E229" s="29"/>
      <c r="G229" s="338"/>
      <c r="H229" s="339"/>
      <c r="I229" s="339"/>
      <c r="J229" s="339"/>
      <c r="K229" s="339"/>
      <c r="L229" s="339"/>
      <c r="O229" s="377"/>
      <c r="AI229" s="31"/>
      <c r="AJ229" s="31"/>
      <c r="AK229" s="32"/>
      <c r="AL229" s="33"/>
      <c r="AM229" s="32"/>
      <c r="AN229" s="33"/>
      <c r="AO229" s="32"/>
      <c r="AP229" s="32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372"/>
      <c r="BD229" s="372"/>
      <c r="BE229" s="372"/>
      <c r="BF229" s="372"/>
      <c r="BG229" s="372"/>
      <c r="BH229" s="372"/>
      <c r="BI229" s="372"/>
      <c r="BJ229" s="372"/>
      <c r="BK229" s="372"/>
      <c r="BL229" s="372"/>
      <c r="BM229" s="372"/>
      <c r="BN229" s="372"/>
      <c r="BO229" s="372"/>
      <c r="BP229" s="372"/>
      <c r="BQ229" s="372"/>
      <c r="BR229" s="372"/>
      <c r="BS229" s="372"/>
      <c r="BT229" s="372"/>
      <c r="BU229" s="372"/>
      <c r="BV229" s="372"/>
      <c r="BW229" s="372"/>
      <c r="BX229" s="372"/>
    </row>
    <row r="230" spans="2:76" s="28" customFormat="1">
      <c r="B230" s="136"/>
      <c r="D230" s="221"/>
      <c r="E230" s="29"/>
      <c r="G230" s="338"/>
      <c r="H230" s="339"/>
      <c r="I230" s="339"/>
      <c r="J230" s="339"/>
      <c r="K230" s="339"/>
      <c r="L230" s="339"/>
      <c r="O230" s="380"/>
      <c r="AI230" s="31"/>
      <c r="AJ230" s="31"/>
      <c r="AK230" s="32"/>
      <c r="AL230" s="33"/>
      <c r="AM230" s="32"/>
      <c r="AN230" s="33"/>
      <c r="AO230" s="32"/>
      <c r="AP230" s="32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372"/>
      <c r="BD230" s="372"/>
      <c r="BE230" s="372"/>
      <c r="BF230" s="372"/>
      <c r="BG230" s="372"/>
      <c r="BH230" s="372"/>
      <c r="BI230" s="372"/>
      <c r="BJ230" s="372"/>
      <c r="BK230" s="372"/>
      <c r="BL230" s="372"/>
      <c r="BM230" s="372"/>
      <c r="BN230" s="372"/>
      <c r="BO230" s="372"/>
      <c r="BP230" s="372"/>
      <c r="BQ230" s="372"/>
      <c r="BR230" s="372"/>
      <c r="BS230" s="372"/>
      <c r="BT230" s="372"/>
      <c r="BU230" s="372"/>
      <c r="BV230" s="372"/>
      <c r="BW230" s="372"/>
      <c r="BX230" s="372"/>
    </row>
    <row r="231" spans="2:76" s="28" customFormat="1">
      <c r="B231" s="136"/>
      <c r="D231" s="221"/>
      <c r="E231" s="29"/>
      <c r="G231" s="338"/>
      <c r="H231" s="339"/>
      <c r="I231" s="339"/>
      <c r="J231" s="339"/>
      <c r="K231" s="339"/>
      <c r="L231" s="339"/>
      <c r="O231" s="377"/>
      <c r="AI231" s="31"/>
      <c r="AJ231" s="31"/>
      <c r="AK231" s="32"/>
      <c r="AL231" s="33"/>
      <c r="AM231" s="32"/>
      <c r="AN231" s="33"/>
      <c r="AO231" s="32"/>
      <c r="AP231" s="32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372"/>
      <c r="BD231" s="372"/>
      <c r="BE231" s="372"/>
      <c r="BF231" s="372"/>
      <c r="BG231" s="372"/>
      <c r="BH231" s="372"/>
      <c r="BI231" s="372"/>
      <c r="BJ231" s="372"/>
      <c r="BK231" s="372"/>
      <c r="BL231" s="372"/>
      <c r="BM231" s="372"/>
      <c r="BN231" s="372"/>
      <c r="BO231" s="372"/>
      <c r="BP231" s="372"/>
      <c r="BQ231" s="372"/>
      <c r="BR231" s="372"/>
      <c r="BS231" s="372"/>
      <c r="BT231" s="372"/>
      <c r="BU231" s="372"/>
      <c r="BV231" s="372"/>
      <c r="BW231" s="372"/>
      <c r="BX231" s="372"/>
    </row>
    <row r="232" spans="2:76" s="28" customFormat="1">
      <c r="B232" s="136"/>
      <c r="D232" s="221"/>
      <c r="E232" s="29"/>
      <c r="G232" s="338"/>
      <c r="H232" s="339"/>
      <c r="I232" s="339"/>
      <c r="J232" s="339"/>
      <c r="K232" s="339"/>
      <c r="L232" s="339"/>
      <c r="O232" s="382"/>
      <c r="AI232" s="31"/>
      <c r="AJ232" s="31"/>
      <c r="AK232" s="32"/>
      <c r="AL232" s="33"/>
      <c r="AM232" s="32"/>
      <c r="AN232" s="33"/>
      <c r="AO232" s="32"/>
      <c r="AP232" s="32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372"/>
      <c r="BD232" s="372"/>
      <c r="BE232" s="372"/>
      <c r="BF232" s="372"/>
      <c r="BG232" s="372"/>
      <c r="BH232" s="372"/>
      <c r="BI232" s="372"/>
      <c r="BJ232" s="372"/>
      <c r="BK232" s="372"/>
      <c r="BL232" s="372"/>
      <c r="BM232" s="372"/>
      <c r="BN232" s="372"/>
      <c r="BO232" s="372"/>
      <c r="BP232" s="372"/>
      <c r="BQ232" s="372"/>
      <c r="BR232" s="372"/>
      <c r="BS232" s="372"/>
      <c r="BT232" s="372"/>
      <c r="BU232" s="372"/>
      <c r="BV232" s="372"/>
      <c r="BW232" s="372"/>
      <c r="BX232" s="372"/>
    </row>
    <row r="233" spans="2:76" s="28" customFormat="1">
      <c r="B233" s="136"/>
      <c r="D233" s="221"/>
      <c r="E233" s="29"/>
      <c r="G233" s="338"/>
      <c r="H233" s="339"/>
      <c r="I233" s="339"/>
      <c r="J233" s="339"/>
      <c r="K233" s="339"/>
      <c r="L233" s="339"/>
      <c r="O233" s="378"/>
      <c r="AI233" s="31"/>
      <c r="AJ233" s="31"/>
      <c r="AK233" s="32"/>
      <c r="AL233" s="33"/>
      <c r="AM233" s="32"/>
      <c r="AN233" s="33"/>
      <c r="AO233" s="32"/>
      <c r="AP233" s="32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372"/>
      <c r="BD233" s="372"/>
      <c r="BE233" s="372"/>
      <c r="BF233" s="372"/>
      <c r="BG233" s="372"/>
      <c r="BH233" s="372"/>
      <c r="BI233" s="372"/>
      <c r="BJ233" s="372"/>
      <c r="BK233" s="372"/>
      <c r="BL233" s="372"/>
      <c r="BM233" s="372"/>
      <c r="BN233" s="372"/>
      <c r="BO233" s="372"/>
      <c r="BP233" s="372"/>
      <c r="BQ233" s="372"/>
      <c r="BR233" s="372"/>
      <c r="BS233" s="372"/>
      <c r="BT233" s="372"/>
      <c r="BU233" s="372"/>
      <c r="BV233" s="372"/>
      <c r="BW233" s="372"/>
      <c r="BX233" s="372"/>
    </row>
    <row r="234" spans="2:76" s="28" customFormat="1">
      <c r="B234" s="136"/>
      <c r="D234" s="221"/>
      <c r="E234" s="29"/>
      <c r="G234" s="338"/>
      <c r="H234" s="339"/>
      <c r="I234" s="339"/>
      <c r="J234" s="339"/>
      <c r="K234" s="339"/>
      <c r="L234" s="339"/>
      <c r="O234" s="380"/>
      <c r="AI234" s="31"/>
      <c r="AJ234" s="31"/>
      <c r="AK234" s="32"/>
      <c r="AL234" s="33"/>
      <c r="AM234" s="32"/>
      <c r="AN234" s="33"/>
      <c r="AO234" s="32"/>
      <c r="AP234" s="32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372"/>
      <c r="BD234" s="372"/>
      <c r="BE234" s="372"/>
      <c r="BF234" s="372"/>
      <c r="BG234" s="372"/>
      <c r="BH234" s="372"/>
      <c r="BI234" s="372"/>
      <c r="BJ234" s="372"/>
      <c r="BK234" s="372"/>
      <c r="BL234" s="372"/>
      <c r="BM234" s="372"/>
      <c r="BN234" s="372"/>
      <c r="BO234" s="372"/>
      <c r="BP234" s="372"/>
      <c r="BQ234" s="372"/>
      <c r="BR234" s="372"/>
      <c r="BS234" s="372"/>
      <c r="BT234" s="372"/>
      <c r="BU234" s="372"/>
      <c r="BV234" s="372"/>
      <c r="BW234" s="372"/>
      <c r="BX234" s="372"/>
    </row>
    <row r="235" spans="2:76" s="28" customFormat="1">
      <c r="B235" s="136"/>
      <c r="D235" s="221"/>
      <c r="E235" s="29"/>
      <c r="G235" s="338"/>
      <c r="H235" s="339"/>
      <c r="I235" s="339"/>
      <c r="J235" s="339"/>
      <c r="K235" s="339"/>
      <c r="L235" s="339"/>
      <c r="O235" s="380"/>
      <c r="AI235" s="31"/>
      <c r="AJ235" s="31"/>
      <c r="AK235" s="32"/>
      <c r="AL235" s="33"/>
      <c r="AM235" s="32"/>
      <c r="AN235" s="33"/>
      <c r="AO235" s="32"/>
      <c r="AP235" s="32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372"/>
      <c r="BD235" s="372"/>
      <c r="BE235" s="372"/>
      <c r="BF235" s="372"/>
      <c r="BG235" s="372"/>
      <c r="BH235" s="372"/>
      <c r="BI235" s="372"/>
      <c r="BJ235" s="372"/>
      <c r="BK235" s="372"/>
      <c r="BL235" s="372"/>
      <c r="BM235" s="372"/>
      <c r="BN235" s="372"/>
      <c r="BO235" s="372"/>
      <c r="BP235" s="372"/>
      <c r="BQ235" s="372"/>
      <c r="BR235" s="372"/>
      <c r="BS235" s="372"/>
      <c r="BT235" s="372"/>
      <c r="BU235" s="372"/>
      <c r="BV235" s="372"/>
      <c r="BW235" s="372"/>
      <c r="BX235" s="372"/>
    </row>
    <row r="236" spans="2:76" s="28" customFormat="1">
      <c r="B236" s="136"/>
      <c r="D236" s="221"/>
      <c r="E236" s="29"/>
      <c r="G236" s="338"/>
      <c r="H236" s="339"/>
      <c r="I236" s="339"/>
      <c r="J236" s="339"/>
      <c r="K236" s="339"/>
      <c r="L236" s="339"/>
      <c r="O236" s="377"/>
      <c r="AI236" s="31"/>
      <c r="AJ236" s="31"/>
      <c r="AK236" s="32"/>
      <c r="AL236" s="33"/>
      <c r="AM236" s="32"/>
      <c r="AN236" s="33"/>
      <c r="AO236" s="32"/>
      <c r="AP236" s="32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372"/>
      <c r="BD236" s="372"/>
      <c r="BE236" s="372"/>
      <c r="BF236" s="372"/>
      <c r="BG236" s="372"/>
      <c r="BH236" s="372"/>
      <c r="BI236" s="372"/>
      <c r="BJ236" s="372"/>
      <c r="BK236" s="372"/>
      <c r="BL236" s="372"/>
      <c r="BM236" s="372"/>
      <c r="BN236" s="372"/>
      <c r="BO236" s="372"/>
      <c r="BP236" s="372"/>
      <c r="BQ236" s="372"/>
      <c r="BR236" s="372"/>
      <c r="BS236" s="372"/>
      <c r="BT236" s="372"/>
      <c r="BU236" s="372"/>
      <c r="BV236" s="372"/>
      <c r="BW236" s="372"/>
      <c r="BX236" s="372"/>
    </row>
    <row r="237" spans="2:76" s="28" customFormat="1">
      <c r="B237" s="136"/>
      <c r="D237" s="221"/>
      <c r="E237" s="29"/>
      <c r="G237" s="338"/>
      <c r="H237" s="339"/>
      <c r="I237" s="339"/>
      <c r="J237" s="339"/>
      <c r="K237" s="339"/>
      <c r="L237" s="339"/>
      <c r="O237" s="380"/>
      <c r="AI237" s="31"/>
      <c r="AJ237" s="31"/>
      <c r="AK237" s="32"/>
      <c r="AL237" s="33"/>
      <c r="AM237" s="32"/>
      <c r="AN237" s="33"/>
      <c r="AO237" s="32"/>
      <c r="AP237" s="32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372"/>
      <c r="BD237" s="372"/>
      <c r="BE237" s="372"/>
      <c r="BF237" s="372"/>
      <c r="BG237" s="372"/>
      <c r="BH237" s="372"/>
      <c r="BI237" s="372"/>
      <c r="BJ237" s="372"/>
      <c r="BK237" s="372"/>
      <c r="BL237" s="372"/>
      <c r="BM237" s="372"/>
      <c r="BN237" s="372"/>
      <c r="BO237" s="372"/>
      <c r="BP237" s="372"/>
      <c r="BQ237" s="372"/>
      <c r="BR237" s="372"/>
      <c r="BS237" s="372"/>
      <c r="BT237" s="372"/>
      <c r="BU237" s="372"/>
      <c r="BV237" s="372"/>
      <c r="BW237" s="372"/>
      <c r="BX237" s="372"/>
    </row>
    <row r="238" spans="2:76" s="28" customFormat="1">
      <c r="B238" s="136"/>
      <c r="D238" s="221"/>
      <c r="E238" s="29"/>
      <c r="G238" s="338"/>
      <c r="H238" s="339"/>
      <c r="I238" s="339"/>
      <c r="J238" s="339"/>
      <c r="K238" s="339"/>
      <c r="L238" s="339"/>
      <c r="O238" s="380"/>
      <c r="AI238" s="31"/>
      <c r="AJ238" s="31"/>
      <c r="AK238" s="32"/>
      <c r="AL238" s="33"/>
      <c r="AM238" s="32"/>
      <c r="AN238" s="33"/>
      <c r="AO238" s="32"/>
      <c r="AP238" s="32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372"/>
      <c r="BD238" s="372"/>
      <c r="BE238" s="372"/>
      <c r="BF238" s="372"/>
      <c r="BG238" s="372"/>
      <c r="BH238" s="372"/>
      <c r="BI238" s="372"/>
      <c r="BJ238" s="372"/>
      <c r="BK238" s="372"/>
      <c r="BL238" s="372"/>
      <c r="BM238" s="372"/>
      <c r="BN238" s="372"/>
      <c r="BO238" s="372"/>
      <c r="BP238" s="372"/>
      <c r="BQ238" s="372"/>
      <c r="BR238" s="372"/>
      <c r="BS238" s="372"/>
      <c r="BT238" s="372"/>
      <c r="BU238" s="372"/>
      <c r="BV238" s="372"/>
      <c r="BW238" s="372"/>
      <c r="BX238" s="372"/>
    </row>
    <row r="239" spans="2:76" s="28" customFormat="1">
      <c r="B239" s="136"/>
      <c r="D239" s="221"/>
      <c r="E239" s="29"/>
      <c r="G239" s="338"/>
      <c r="H239" s="339"/>
      <c r="I239" s="339"/>
      <c r="J239" s="339"/>
      <c r="K239" s="339"/>
      <c r="L239" s="339"/>
      <c r="O239" s="377"/>
      <c r="AI239" s="31"/>
      <c r="AJ239" s="31"/>
      <c r="AK239" s="32"/>
      <c r="AL239" s="33"/>
      <c r="AM239" s="32"/>
      <c r="AN239" s="33"/>
      <c r="AO239" s="32"/>
      <c r="AP239" s="32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372"/>
      <c r="BD239" s="372"/>
      <c r="BE239" s="372"/>
      <c r="BF239" s="372"/>
      <c r="BG239" s="372"/>
      <c r="BH239" s="372"/>
      <c r="BI239" s="372"/>
      <c r="BJ239" s="372"/>
      <c r="BK239" s="372"/>
      <c r="BL239" s="372"/>
      <c r="BM239" s="372"/>
      <c r="BN239" s="372"/>
      <c r="BO239" s="372"/>
      <c r="BP239" s="372"/>
      <c r="BQ239" s="372"/>
      <c r="BR239" s="372"/>
      <c r="BS239" s="372"/>
      <c r="BT239" s="372"/>
      <c r="BU239" s="372"/>
      <c r="BV239" s="372"/>
      <c r="BW239" s="372"/>
      <c r="BX239" s="372"/>
    </row>
    <row r="240" spans="2:76" s="28" customFormat="1">
      <c r="B240" s="136"/>
      <c r="D240" s="221"/>
      <c r="E240" s="29"/>
      <c r="G240" s="338"/>
      <c r="H240" s="339"/>
      <c r="I240" s="339"/>
      <c r="J240" s="339"/>
      <c r="K240" s="339"/>
      <c r="L240" s="339"/>
      <c r="O240" s="383"/>
      <c r="AI240" s="31"/>
      <c r="AJ240" s="31"/>
      <c r="AK240" s="32"/>
      <c r="AL240" s="33"/>
      <c r="AM240" s="32"/>
      <c r="AN240" s="33"/>
      <c r="AO240" s="32"/>
      <c r="AP240" s="32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372"/>
      <c r="BD240" s="372"/>
      <c r="BE240" s="372"/>
      <c r="BF240" s="372"/>
      <c r="BG240" s="372"/>
      <c r="BH240" s="372"/>
      <c r="BI240" s="372"/>
      <c r="BJ240" s="372"/>
      <c r="BK240" s="372"/>
      <c r="BL240" s="372"/>
      <c r="BM240" s="372"/>
      <c r="BN240" s="372"/>
      <c r="BO240" s="372"/>
      <c r="BP240" s="372"/>
      <c r="BQ240" s="372"/>
      <c r="BR240" s="372"/>
      <c r="BS240" s="372"/>
      <c r="BT240" s="372"/>
      <c r="BU240" s="372"/>
      <c r="BV240" s="372"/>
      <c r="BW240" s="372"/>
      <c r="BX240" s="372"/>
    </row>
    <row r="241" spans="2:76" s="28" customFormat="1">
      <c r="B241" s="136"/>
      <c r="D241" s="221"/>
      <c r="E241" s="29"/>
      <c r="G241" s="338"/>
      <c r="H241" s="339"/>
      <c r="I241" s="339"/>
      <c r="J241" s="339"/>
      <c r="K241" s="339"/>
      <c r="L241" s="339"/>
      <c r="O241" s="377"/>
      <c r="AI241" s="31"/>
      <c r="AJ241" s="31"/>
      <c r="AK241" s="32"/>
      <c r="AL241" s="33"/>
      <c r="AM241" s="32"/>
      <c r="AN241" s="33"/>
      <c r="AO241" s="32"/>
      <c r="AP241" s="32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372"/>
      <c r="BD241" s="372"/>
      <c r="BE241" s="372"/>
      <c r="BF241" s="372"/>
      <c r="BG241" s="372"/>
      <c r="BH241" s="372"/>
      <c r="BI241" s="372"/>
      <c r="BJ241" s="372"/>
      <c r="BK241" s="372"/>
      <c r="BL241" s="372"/>
      <c r="BM241" s="372"/>
      <c r="BN241" s="372"/>
      <c r="BO241" s="372"/>
      <c r="BP241" s="372"/>
      <c r="BQ241" s="372"/>
      <c r="BR241" s="372"/>
      <c r="BS241" s="372"/>
      <c r="BT241" s="372"/>
      <c r="BU241" s="372"/>
      <c r="BV241" s="372"/>
      <c r="BW241" s="372"/>
      <c r="BX241" s="372"/>
    </row>
    <row r="242" spans="2:76" s="28" customFormat="1">
      <c r="B242" s="136"/>
      <c r="D242" s="221"/>
      <c r="E242" s="29"/>
      <c r="G242" s="338"/>
      <c r="H242" s="339"/>
      <c r="I242" s="339"/>
      <c r="J242" s="339"/>
      <c r="K242" s="339"/>
      <c r="L242" s="339"/>
      <c r="O242" s="380"/>
      <c r="AI242" s="31"/>
      <c r="AJ242" s="31"/>
      <c r="AK242" s="32"/>
      <c r="AL242" s="33"/>
      <c r="AM242" s="32"/>
      <c r="AN242" s="33"/>
      <c r="AO242" s="32"/>
      <c r="AP242" s="32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372"/>
      <c r="BD242" s="372"/>
      <c r="BE242" s="372"/>
      <c r="BF242" s="372"/>
      <c r="BG242" s="372"/>
      <c r="BH242" s="372"/>
      <c r="BI242" s="372"/>
      <c r="BJ242" s="372"/>
      <c r="BK242" s="372"/>
      <c r="BL242" s="372"/>
      <c r="BM242" s="372"/>
      <c r="BN242" s="372"/>
      <c r="BO242" s="372"/>
      <c r="BP242" s="372"/>
      <c r="BQ242" s="372"/>
      <c r="BR242" s="372"/>
      <c r="BS242" s="372"/>
      <c r="BT242" s="372"/>
      <c r="BU242" s="372"/>
      <c r="BV242" s="372"/>
      <c r="BW242" s="372"/>
      <c r="BX242" s="372"/>
    </row>
    <row r="243" spans="2:76" s="28" customFormat="1">
      <c r="B243" s="136"/>
      <c r="D243" s="221"/>
      <c r="E243" s="29"/>
      <c r="G243" s="338"/>
      <c r="H243" s="339"/>
      <c r="I243" s="339"/>
      <c r="J243" s="339"/>
      <c r="K243" s="339"/>
      <c r="L243" s="339"/>
      <c r="O243" s="377"/>
      <c r="AI243" s="31"/>
      <c r="AJ243" s="31"/>
      <c r="AK243" s="32"/>
      <c r="AL243" s="33"/>
      <c r="AM243" s="32"/>
      <c r="AN243" s="33"/>
      <c r="AO243" s="32"/>
      <c r="AP243" s="32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372"/>
      <c r="BD243" s="372"/>
      <c r="BE243" s="372"/>
      <c r="BF243" s="372"/>
      <c r="BG243" s="372"/>
      <c r="BH243" s="372"/>
      <c r="BI243" s="372"/>
      <c r="BJ243" s="372"/>
      <c r="BK243" s="372"/>
      <c r="BL243" s="372"/>
      <c r="BM243" s="372"/>
      <c r="BN243" s="372"/>
      <c r="BO243" s="372"/>
      <c r="BP243" s="372"/>
      <c r="BQ243" s="372"/>
      <c r="BR243" s="372"/>
      <c r="BS243" s="372"/>
      <c r="BT243" s="372"/>
      <c r="BU243" s="372"/>
      <c r="BV243" s="372"/>
      <c r="BW243" s="372"/>
      <c r="BX243" s="372"/>
    </row>
    <row r="244" spans="2:76" s="28" customFormat="1">
      <c r="B244" s="136"/>
      <c r="D244" s="221"/>
      <c r="E244" s="29"/>
      <c r="G244" s="338"/>
      <c r="H244" s="339"/>
      <c r="I244" s="339"/>
      <c r="J244" s="339"/>
      <c r="K244" s="339"/>
      <c r="L244" s="339"/>
      <c r="O244" s="382"/>
      <c r="AI244" s="31"/>
      <c r="AJ244" s="31"/>
      <c r="AK244" s="32"/>
      <c r="AL244" s="33"/>
      <c r="AM244" s="32"/>
      <c r="AN244" s="33"/>
      <c r="AO244" s="32"/>
      <c r="AP244" s="32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372"/>
      <c r="BD244" s="372"/>
      <c r="BE244" s="372"/>
      <c r="BF244" s="372"/>
      <c r="BG244" s="372"/>
      <c r="BH244" s="372"/>
      <c r="BI244" s="372"/>
      <c r="BJ244" s="372"/>
      <c r="BK244" s="372"/>
      <c r="BL244" s="372"/>
      <c r="BM244" s="372"/>
      <c r="BN244" s="372"/>
      <c r="BO244" s="372"/>
      <c r="BP244" s="372"/>
      <c r="BQ244" s="372"/>
      <c r="BR244" s="372"/>
      <c r="BS244" s="372"/>
      <c r="BT244" s="372"/>
      <c r="BU244" s="372"/>
      <c r="BV244" s="372"/>
      <c r="BW244" s="372"/>
      <c r="BX244" s="372"/>
    </row>
    <row r="245" spans="2:76" s="28" customFormat="1">
      <c r="B245" s="136"/>
      <c r="D245" s="221"/>
      <c r="E245" s="29"/>
      <c r="G245" s="338"/>
      <c r="H245" s="339"/>
      <c r="I245" s="339"/>
      <c r="J245" s="339"/>
      <c r="K245" s="339"/>
      <c r="L245" s="339"/>
      <c r="O245" s="380"/>
      <c r="AI245" s="31"/>
      <c r="AJ245" s="31"/>
      <c r="AK245" s="32"/>
      <c r="AL245" s="33"/>
      <c r="AM245" s="32"/>
      <c r="AN245" s="33"/>
      <c r="AO245" s="32"/>
      <c r="AP245" s="32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372"/>
      <c r="BD245" s="372"/>
      <c r="BE245" s="372"/>
      <c r="BF245" s="372"/>
      <c r="BG245" s="372"/>
      <c r="BH245" s="372"/>
      <c r="BI245" s="372"/>
      <c r="BJ245" s="372"/>
      <c r="BK245" s="372"/>
      <c r="BL245" s="372"/>
      <c r="BM245" s="372"/>
      <c r="BN245" s="372"/>
      <c r="BO245" s="372"/>
      <c r="BP245" s="372"/>
      <c r="BQ245" s="372"/>
      <c r="BR245" s="372"/>
      <c r="BS245" s="372"/>
      <c r="BT245" s="372"/>
      <c r="BU245" s="372"/>
      <c r="BV245" s="372"/>
      <c r="BW245" s="372"/>
      <c r="BX245" s="372"/>
    </row>
    <row r="246" spans="2:76" s="28" customFormat="1">
      <c r="B246" s="136"/>
      <c r="D246" s="221"/>
      <c r="E246" s="29"/>
      <c r="G246" s="338"/>
      <c r="H246" s="339"/>
      <c r="I246" s="339"/>
      <c r="J246" s="339"/>
      <c r="K246" s="339"/>
      <c r="L246" s="339"/>
      <c r="O246" s="381"/>
      <c r="AI246" s="31"/>
      <c r="AJ246" s="31"/>
      <c r="AK246" s="32"/>
      <c r="AL246" s="33"/>
      <c r="AM246" s="32"/>
      <c r="AN246" s="33"/>
      <c r="AO246" s="32"/>
      <c r="AP246" s="32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372"/>
      <c r="BD246" s="372"/>
      <c r="BE246" s="372"/>
      <c r="BF246" s="372"/>
      <c r="BG246" s="372"/>
      <c r="BH246" s="372"/>
      <c r="BI246" s="372"/>
      <c r="BJ246" s="372"/>
      <c r="BK246" s="372"/>
      <c r="BL246" s="372"/>
      <c r="BM246" s="372"/>
      <c r="BN246" s="372"/>
      <c r="BO246" s="372"/>
      <c r="BP246" s="372"/>
      <c r="BQ246" s="372"/>
      <c r="BR246" s="372"/>
      <c r="BS246" s="372"/>
      <c r="BT246" s="372"/>
      <c r="BU246" s="372"/>
      <c r="BV246" s="372"/>
      <c r="BW246" s="372"/>
      <c r="BX246" s="372"/>
    </row>
    <row r="247" spans="2:76" s="28" customFormat="1">
      <c r="B247" s="136"/>
      <c r="D247" s="221"/>
      <c r="E247" s="29"/>
      <c r="G247" s="338"/>
      <c r="H247" s="339"/>
      <c r="I247" s="339"/>
      <c r="J247" s="339"/>
      <c r="K247" s="339"/>
      <c r="L247" s="339"/>
      <c r="O247" s="377"/>
      <c r="AI247" s="31"/>
      <c r="AJ247" s="31"/>
      <c r="AK247" s="32"/>
      <c r="AL247" s="33"/>
      <c r="AM247" s="32"/>
      <c r="AN247" s="33"/>
      <c r="AO247" s="32"/>
      <c r="AP247" s="32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372"/>
      <c r="BD247" s="372"/>
      <c r="BE247" s="372"/>
      <c r="BF247" s="372"/>
      <c r="BG247" s="372"/>
      <c r="BH247" s="372"/>
      <c r="BI247" s="372"/>
      <c r="BJ247" s="372"/>
      <c r="BK247" s="372"/>
      <c r="BL247" s="372"/>
      <c r="BM247" s="372"/>
      <c r="BN247" s="372"/>
      <c r="BO247" s="372"/>
      <c r="BP247" s="372"/>
      <c r="BQ247" s="372"/>
      <c r="BR247" s="372"/>
      <c r="BS247" s="372"/>
      <c r="BT247" s="372"/>
      <c r="BU247" s="372"/>
      <c r="BV247" s="372"/>
      <c r="BW247" s="372"/>
      <c r="BX247" s="372"/>
    </row>
    <row r="248" spans="2:76" s="28" customFormat="1">
      <c r="B248" s="136"/>
      <c r="D248" s="221"/>
      <c r="E248" s="29"/>
      <c r="G248" s="338"/>
      <c r="H248" s="339"/>
      <c r="I248" s="339"/>
      <c r="J248" s="339"/>
      <c r="K248" s="339"/>
      <c r="L248" s="339"/>
      <c r="O248" s="380"/>
      <c r="AI248" s="31"/>
      <c r="AJ248" s="31"/>
      <c r="AK248" s="32"/>
      <c r="AL248" s="33"/>
      <c r="AM248" s="32"/>
      <c r="AN248" s="33"/>
      <c r="AO248" s="32"/>
      <c r="AP248" s="32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372"/>
      <c r="BD248" s="372"/>
      <c r="BE248" s="372"/>
      <c r="BF248" s="372"/>
      <c r="BG248" s="372"/>
      <c r="BH248" s="372"/>
      <c r="BI248" s="372"/>
      <c r="BJ248" s="372"/>
      <c r="BK248" s="372"/>
      <c r="BL248" s="372"/>
      <c r="BM248" s="372"/>
      <c r="BN248" s="372"/>
      <c r="BO248" s="372"/>
      <c r="BP248" s="372"/>
      <c r="BQ248" s="372"/>
      <c r="BR248" s="372"/>
      <c r="BS248" s="372"/>
      <c r="BT248" s="372"/>
      <c r="BU248" s="372"/>
      <c r="BV248" s="372"/>
      <c r="BW248" s="372"/>
      <c r="BX248" s="372"/>
    </row>
    <row r="249" spans="2:76" s="28" customFormat="1">
      <c r="B249" s="136"/>
      <c r="D249" s="221"/>
      <c r="E249" s="29"/>
      <c r="G249" s="338"/>
      <c r="H249" s="339"/>
      <c r="I249" s="339"/>
      <c r="J249" s="339"/>
      <c r="K249" s="339"/>
      <c r="L249" s="339"/>
      <c r="O249" s="377"/>
      <c r="AI249" s="31"/>
      <c r="AJ249" s="31"/>
      <c r="AK249" s="32"/>
      <c r="AL249" s="33"/>
      <c r="AM249" s="32"/>
      <c r="AN249" s="33"/>
      <c r="AO249" s="32"/>
      <c r="AP249" s="32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372"/>
      <c r="BD249" s="372"/>
      <c r="BE249" s="372"/>
      <c r="BF249" s="372"/>
      <c r="BG249" s="372"/>
      <c r="BH249" s="372"/>
      <c r="BI249" s="372"/>
      <c r="BJ249" s="372"/>
      <c r="BK249" s="372"/>
      <c r="BL249" s="372"/>
      <c r="BM249" s="372"/>
      <c r="BN249" s="372"/>
      <c r="BO249" s="372"/>
      <c r="BP249" s="372"/>
      <c r="BQ249" s="372"/>
      <c r="BR249" s="372"/>
      <c r="BS249" s="372"/>
      <c r="BT249" s="372"/>
      <c r="BU249" s="372"/>
      <c r="BV249" s="372"/>
      <c r="BW249" s="372"/>
      <c r="BX249" s="372"/>
    </row>
    <row r="250" spans="2:76" s="28" customFormat="1">
      <c r="B250" s="136"/>
      <c r="D250" s="221"/>
      <c r="E250" s="29"/>
      <c r="G250" s="338"/>
      <c r="H250" s="339"/>
      <c r="I250" s="339"/>
      <c r="J250" s="339"/>
      <c r="K250" s="339"/>
      <c r="L250" s="339"/>
      <c r="O250" s="377"/>
      <c r="AI250" s="31"/>
      <c r="AJ250" s="31"/>
      <c r="AK250" s="32"/>
      <c r="AL250" s="33"/>
      <c r="AM250" s="32"/>
      <c r="AN250" s="33"/>
      <c r="AO250" s="32"/>
      <c r="AP250" s="32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372"/>
      <c r="BD250" s="372"/>
      <c r="BE250" s="372"/>
      <c r="BF250" s="372"/>
      <c r="BG250" s="372"/>
      <c r="BH250" s="372"/>
      <c r="BI250" s="372"/>
      <c r="BJ250" s="372"/>
      <c r="BK250" s="372"/>
      <c r="BL250" s="372"/>
      <c r="BM250" s="372"/>
      <c r="BN250" s="372"/>
      <c r="BO250" s="372"/>
      <c r="BP250" s="372"/>
      <c r="BQ250" s="372"/>
      <c r="BR250" s="372"/>
      <c r="BS250" s="372"/>
      <c r="BT250" s="372"/>
      <c r="BU250" s="372"/>
      <c r="BV250" s="372"/>
      <c r="BW250" s="372"/>
      <c r="BX250" s="372"/>
    </row>
    <row r="251" spans="2:76" s="28" customFormat="1">
      <c r="B251" s="136"/>
      <c r="D251" s="221"/>
      <c r="E251" s="29"/>
      <c r="G251" s="338"/>
      <c r="H251" s="339"/>
      <c r="I251" s="339"/>
      <c r="J251" s="339"/>
      <c r="K251" s="339"/>
      <c r="L251" s="339"/>
      <c r="O251" s="377"/>
      <c r="AI251" s="31"/>
      <c r="AJ251" s="31"/>
      <c r="AK251" s="32"/>
      <c r="AL251" s="33"/>
      <c r="AM251" s="32"/>
      <c r="AN251" s="33"/>
      <c r="AO251" s="32"/>
      <c r="AP251" s="32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372"/>
      <c r="BD251" s="372"/>
      <c r="BE251" s="372"/>
      <c r="BF251" s="372"/>
      <c r="BG251" s="372"/>
      <c r="BH251" s="372"/>
      <c r="BI251" s="372"/>
      <c r="BJ251" s="372"/>
      <c r="BK251" s="372"/>
      <c r="BL251" s="372"/>
      <c r="BM251" s="372"/>
      <c r="BN251" s="372"/>
      <c r="BO251" s="372"/>
      <c r="BP251" s="372"/>
      <c r="BQ251" s="372"/>
      <c r="BR251" s="372"/>
      <c r="BS251" s="372"/>
      <c r="BT251" s="372"/>
      <c r="BU251" s="372"/>
      <c r="BV251" s="372"/>
      <c r="BW251" s="372"/>
      <c r="BX251" s="372"/>
    </row>
    <row r="252" spans="2:76" s="28" customFormat="1">
      <c r="B252" s="136"/>
      <c r="D252" s="221"/>
      <c r="E252" s="29"/>
      <c r="G252" s="338"/>
      <c r="H252" s="339"/>
      <c r="I252" s="339"/>
      <c r="J252" s="339"/>
      <c r="K252" s="339"/>
      <c r="L252" s="339"/>
      <c r="O252" s="377"/>
      <c r="AI252" s="31"/>
      <c r="AJ252" s="31"/>
      <c r="AK252" s="32"/>
      <c r="AL252" s="33"/>
      <c r="AM252" s="32"/>
      <c r="AN252" s="33"/>
      <c r="AO252" s="32"/>
      <c r="AP252" s="32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372"/>
      <c r="BD252" s="372"/>
      <c r="BE252" s="372"/>
      <c r="BF252" s="372"/>
      <c r="BG252" s="372"/>
      <c r="BH252" s="372"/>
      <c r="BI252" s="372"/>
      <c r="BJ252" s="372"/>
      <c r="BK252" s="372"/>
      <c r="BL252" s="372"/>
      <c r="BM252" s="372"/>
      <c r="BN252" s="372"/>
      <c r="BO252" s="372"/>
      <c r="BP252" s="372"/>
      <c r="BQ252" s="372"/>
      <c r="BR252" s="372"/>
      <c r="BS252" s="372"/>
      <c r="BT252" s="372"/>
      <c r="BU252" s="372"/>
      <c r="BV252" s="372"/>
      <c r="BW252" s="372"/>
      <c r="BX252" s="372"/>
    </row>
    <row r="253" spans="2:76" s="28" customFormat="1">
      <c r="B253" s="136"/>
      <c r="D253" s="221"/>
      <c r="E253" s="29"/>
      <c r="G253" s="338"/>
      <c r="H253" s="339"/>
      <c r="I253" s="339"/>
      <c r="J253" s="339"/>
      <c r="K253" s="339"/>
      <c r="L253" s="339"/>
      <c r="O253" s="384"/>
      <c r="AI253" s="31"/>
      <c r="AJ253" s="31"/>
      <c r="AK253" s="32"/>
      <c r="AL253" s="33"/>
      <c r="AM253" s="32"/>
      <c r="AN253" s="33"/>
      <c r="AO253" s="32"/>
      <c r="AP253" s="32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372"/>
      <c r="BD253" s="372"/>
      <c r="BE253" s="372"/>
      <c r="BF253" s="372"/>
      <c r="BG253" s="372"/>
      <c r="BH253" s="372"/>
      <c r="BI253" s="372"/>
      <c r="BJ253" s="372"/>
      <c r="BK253" s="372"/>
      <c r="BL253" s="372"/>
      <c r="BM253" s="372"/>
      <c r="BN253" s="372"/>
      <c r="BO253" s="372"/>
      <c r="BP253" s="372"/>
      <c r="BQ253" s="372"/>
      <c r="BR253" s="372"/>
      <c r="BS253" s="372"/>
      <c r="BT253" s="372"/>
      <c r="BU253" s="372"/>
      <c r="BV253" s="372"/>
      <c r="BW253" s="372"/>
      <c r="BX253" s="372"/>
    </row>
    <row r="254" spans="2:76" s="28" customFormat="1">
      <c r="B254" s="136"/>
      <c r="D254" s="221"/>
      <c r="E254" s="29"/>
      <c r="G254" s="338"/>
      <c r="H254" s="339"/>
      <c r="I254" s="339"/>
      <c r="J254" s="339"/>
      <c r="K254" s="339"/>
      <c r="L254" s="339"/>
      <c r="O254" s="377"/>
      <c r="AI254" s="31"/>
      <c r="AJ254" s="31"/>
      <c r="AK254" s="32"/>
      <c r="AL254" s="33"/>
      <c r="AM254" s="32"/>
      <c r="AN254" s="33"/>
      <c r="AO254" s="32"/>
      <c r="AP254" s="32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372"/>
      <c r="BD254" s="372"/>
      <c r="BE254" s="372"/>
      <c r="BF254" s="372"/>
      <c r="BG254" s="372"/>
      <c r="BH254" s="372"/>
      <c r="BI254" s="372"/>
      <c r="BJ254" s="372"/>
      <c r="BK254" s="372"/>
      <c r="BL254" s="372"/>
      <c r="BM254" s="372"/>
      <c r="BN254" s="372"/>
      <c r="BO254" s="372"/>
      <c r="BP254" s="372"/>
      <c r="BQ254" s="372"/>
      <c r="BR254" s="372"/>
      <c r="BS254" s="372"/>
      <c r="BT254" s="372"/>
      <c r="BU254" s="372"/>
      <c r="BV254" s="372"/>
      <c r="BW254" s="372"/>
      <c r="BX254" s="372"/>
    </row>
    <row r="255" spans="2:76" s="28" customFormat="1">
      <c r="B255" s="136"/>
      <c r="D255" s="221"/>
      <c r="E255" s="29"/>
      <c r="G255" s="338"/>
      <c r="H255" s="339"/>
      <c r="I255" s="339"/>
      <c r="J255" s="339"/>
      <c r="K255" s="339"/>
      <c r="L255" s="339"/>
      <c r="O255" s="380"/>
      <c r="AI255" s="31"/>
      <c r="AJ255" s="31"/>
      <c r="AK255" s="32"/>
      <c r="AL255" s="33"/>
      <c r="AM255" s="32"/>
      <c r="AN255" s="33"/>
      <c r="AO255" s="32"/>
      <c r="AP255" s="32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372"/>
      <c r="BD255" s="372"/>
      <c r="BE255" s="372"/>
      <c r="BF255" s="372"/>
      <c r="BG255" s="372"/>
      <c r="BH255" s="372"/>
      <c r="BI255" s="372"/>
      <c r="BJ255" s="372"/>
      <c r="BK255" s="372"/>
      <c r="BL255" s="372"/>
      <c r="BM255" s="372"/>
      <c r="BN255" s="372"/>
      <c r="BO255" s="372"/>
      <c r="BP255" s="372"/>
      <c r="BQ255" s="372"/>
      <c r="BR255" s="372"/>
      <c r="BS255" s="372"/>
      <c r="BT255" s="372"/>
      <c r="BU255" s="372"/>
      <c r="BV255" s="372"/>
      <c r="BW255" s="372"/>
      <c r="BX255" s="372"/>
    </row>
    <row r="256" spans="2:76" s="28" customFormat="1">
      <c r="B256" s="136"/>
      <c r="D256" s="221"/>
      <c r="E256" s="29"/>
      <c r="G256" s="338"/>
      <c r="H256" s="339"/>
      <c r="I256" s="339"/>
      <c r="J256" s="339"/>
      <c r="K256" s="339"/>
      <c r="L256" s="339"/>
      <c r="O256" s="380"/>
      <c r="AI256" s="31"/>
      <c r="AJ256" s="31"/>
      <c r="AK256" s="32"/>
      <c r="AL256" s="33"/>
      <c r="AM256" s="32"/>
      <c r="AN256" s="33"/>
      <c r="AO256" s="32"/>
      <c r="AP256" s="32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372"/>
      <c r="BD256" s="372"/>
      <c r="BE256" s="372"/>
      <c r="BF256" s="372"/>
      <c r="BG256" s="372"/>
      <c r="BH256" s="372"/>
      <c r="BI256" s="372"/>
      <c r="BJ256" s="372"/>
      <c r="BK256" s="372"/>
      <c r="BL256" s="372"/>
      <c r="BM256" s="372"/>
      <c r="BN256" s="372"/>
      <c r="BO256" s="372"/>
      <c r="BP256" s="372"/>
      <c r="BQ256" s="372"/>
      <c r="BR256" s="372"/>
      <c r="BS256" s="372"/>
      <c r="BT256" s="372"/>
      <c r="BU256" s="372"/>
      <c r="BV256" s="372"/>
      <c r="BW256" s="372"/>
      <c r="BX256" s="372"/>
    </row>
    <row r="257" spans="2:76" s="28" customFormat="1">
      <c r="B257" s="136"/>
      <c r="D257" s="221"/>
      <c r="E257" s="29"/>
      <c r="G257" s="338"/>
      <c r="H257" s="339"/>
      <c r="I257" s="339"/>
      <c r="J257" s="339"/>
      <c r="K257" s="339"/>
      <c r="L257" s="339"/>
      <c r="O257" s="377"/>
      <c r="AI257" s="31"/>
      <c r="AJ257" s="31"/>
      <c r="AK257" s="32"/>
      <c r="AL257" s="33"/>
      <c r="AM257" s="32"/>
      <c r="AN257" s="33"/>
      <c r="AO257" s="32"/>
      <c r="AP257" s="32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372"/>
      <c r="BD257" s="372"/>
      <c r="BE257" s="372"/>
      <c r="BF257" s="372"/>
      <c r="BG257" s="372"/>
      <c r="BH257" s="372"/>
      <c r="BI257" s="372"/>
      <c r="BJ257" s="372"/>
      <c r="BK257" s="372"/>
      <c r="BL257" s="372"/>
      <c r="BM257" s="372"/>
      <c r="BN257" s="372"/>
      <c r="BO257" s="372"/>
      <c r="BP257" s="372"/>
      <c r="BQ257" s="372"/>
      <c r="BR257" s="372"/>
      <c r="BS257" s="372"/>
      <c r="BT257" s="372"/>
      <c r="BU257" s="372"/>
      <c r="BV257" s="372"/>
      <c r="BW257" s="372"/>
      <c r="BX257" s="372"/>
    </row>
    <row r="258" spans="2:76" s="28" customFormat="1">
      <c r="B258" s="136"/>
      <c r="D258" s="221"/>
      <c r="E258" s="29"/>
      <c r="G258" s="338"/>
      <c r="H258" s="339"/>
      <c r="I258" s="339"/>
      <c r="J258" s="339"/>
      <c r="K258" s="339"/>
      <c r="L258" s="339"/>
      <c r="O258" s="381"/>
      <c r="AI258" s="31"/>
      <c r="AJ258" s="31"/>
      <c r="AK258" s="32"/>
      <c r="AL258" s="33"/>
      <c r="AM258" s="32"/>
      <c r="AN258" s="33"/>
      <c r="AO258" s="32"/>
      <c r="AP258" s="32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372"/>
      <c r="BD258" s="372"/>
      <c r="BE258" s="372"/>
      <c r="BF258" s="372"/>
      <c r="BG258" s="372"/>
      <c r="BH258" s="372"/>
      <c r="BI258" s="372"/>
      <c r="BJ258" s="372"/>
      <c r="BK258" s="372"/>
      <c r="BL258" s="372"/>
      <c r="BM258" s="372"/>
      <c r="BN258" s="372"/>
      <c r="BO258" s="372"/>
      <c r="BP258" s="372"/>
      <c r="BQ258" s="372"/>
      <c r="BR258" s="372"/>
      <c r="BS258" s="372"/>
      <c r="BT258" s="372"/>
      <c r="BU258" s="372"/>
      <c r="BV258" s="372"/>
      <c r="BW258" s="372"/>
      <c r="BX258" s="372"/>
    </row>
    <row r="259" spans="2:76" s="28" customFormat="1">
      <c r="B259" s="136"/>
      <c r="D259" s="221"/>
      <c r="E259" s="29"/>
      <c r="G259" s="338"/>
      <c r="H259" s="339"/>
      <c r="I259" s="339"/>
      <c r="J259" s="339"/>
      <c r="K259" s="339"/>
      <c r="L259" s="339"/>
      <c r="O259" s="381"/>
      <c r="AI259" s="31"/>
      <c r="AJ259" s="31"/>
      <c r="AK259" s="32"/>
      <c r="AL259" s="33"/>
      <c r="AM259" s="32"/>
      <c r="AN259" s="33"/>
      <c r="AO259" s="32"/>
      <c r="AP259" s="32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372"/>
      <c r="BD259" s="372"/>
      <c r="BE259" s="372"/>
      <c r="BF259" s="372"/>
      <c r="BG259" s="372"/>
      <c r="BH259" s="372"/>
      <c r="BI259" s="372"/>
      <c r="BJ259" s="372"/>
      <c r="BK259" s="372"/>
      <c r="BL259" s="372"/>
      <c r="BM259" s="372"/>
      <c r="BN259" s="372"/>
      <c r="BO259" s="372"/>
      <c r="BP259" s="372"/>
      <c r="BQ259" s="372"/>
      <c r="BR259" s="372"/>
      <c r="BS259" s="372"/>
      <c r="BT259" s="372"/>
      <c r="BU259" s="372"/>
      <c r="BV259" s="372"/>
      <c r="BW259" s="372"/>
      <c r="BX259" s="372"/>
    </row>
    <row r="260" spans="2:76" s="28" customFormat="1">
      <c r="B260" s="136"/>
      <c r="D260" s="221"/>
      <c r="E260" s="29"/>
      <c r="G260" s="338"/>
      <c r="H260" s="339"/>
      <c r="I260" s="339"/>
      <c r="J260" s="339"/>
      <c r="K260" s="339"/>
      <c r="L260" s="339"/>
      <c r="O260" s="377"/>
      <c r="AI260" s="31"/>
      <c r="AJ260" s="31"/>
      <c r="AK260" s="32"/>
      <c r="AL260" s="33"/>
      <c r="AM260" s="32"/>
      <c r="AN260" s="33"/>
      <c r="AO260" s="32"/>
      <c r="AP260" s="32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372"/>
      <c r="BD260" s="372"/>
      <c r="BE260" s="372"/>
      <c r="BF260" s="372"/>
      <c r="BG260" s="372"/>
      <c r="BH260" s="372"/>
      <c r="BI260" s="372"/>
      <c r="BJ260" s="372"/>
      <c r="BK260" s="372"/>
      <c r="BL260" s="372"/>
      <c r="BM260" s="372"/>
      <c r="BN260" s="372"/>
      <c r="BO260" s="372"/>
      <c r="BP260" s="372"/>
      <c r="BQ260" s="372"/>
      <c r="BR260" s="372"/>
      <c r="BS260" s="372"/>
      <c r="BT260" s="372"/>
      <c r="BU260" s="372"/>
      <c r="BV260" s="372"/>
      <c r="BW260" s="372"/>
      <c r="BX260" s="372"/>
    </row>
    <row r="261" spans="2:76" s="28" customFormat="1">
      <c r="B261" s="136"/>
      <c r="D261" s="221"/>
      <c r="E261" s="29"/>
      <c r="G261" s="338"/>
      <c r="H261" s="339"/>
      <c r="I261" s="339"/>
      <c r="J261" s="339"/>
      <c r="K261" s="339"/>
      <c r="L261" s="339"/>
      <c r="O261" s="380"/>
      <c r="AI261" s="31"/>
      <c r="AJ261" s="31"/>
      <c r="AK261" s="32"/>
      <c r="AL261" s="33"/>
      <c r="AM261" s="32"/>
      <c r="AN261" s="33"/>
      <c r="AO261" s="32"/>
      <c r="AP261" s="32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372"/>
      <c r="BD261" s="372"/>
      <c r="BE261" s="372"/>
      <c r="BF261" s="372"/>
      <c r="BG261" s="372"/>
      <c r="BH261" s="372"/>
      <c r="BI261" s="372"/>
      <c r="BJ261" s="372"/>
      <c r="BK261" s="372"/>
      <c r="BL261" s="372"/>
      <c r="BM261" s="372"/>
      <c r="BN261" s="372"/>
      <c r="BO261" s="372"/>
      <c r="BP261" s="372"/>
      <c r="BQ261" s="372"/>
      <c r="BR261" s="372"/>
      <c r="BS261" s="372"/>
      <c r="BT261" s="372"/>
      <c r="BU261" s="372"/>
      <c r="BV261" s="372"/>
      <c r="BW261" s="372"/>
      <c r="BX261" s="372"/>
    </row>
    <row r="262" spans="2:76" s="28" customFormat="1">
      <c r="B262" s="136"/>
      <c r="D262" s="221"/>
      <c r="E262" s="29"/>
      <c r="G262" s="338"/>
      <c r="H262" s="339"/>
      <c r="I262" s="339"/>
      <c r="J262" s="339"/>
      <c r="K262" s="339"/>
      <c r="L262" s="339"/>
      <c r="O262" s="381"/>
      <c r="AI262" s="31"/>
      <c r="AJ262" s="31"/>
      <c r="AK262" s="32"/>
      <c r="AL262" s="33"/>
      <c r="AM262" s="32"/>
      <c r="AN262" s="33"/>
      <c r="AO262" s="32"/>
      <c r="AP262" s="32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372"/>
      <c r="BD262" s="372"/>
      <c r="BE262" s="372"/>
      <c r="BF262" s="372"/>
      <c r="BG262" s="372"/>
      <c r="BH262" s="372"/>
      <c r="BI262" s="372"/>
      <c r="BJ262" s="372"/>
      <c r="BK262" s="372"/>
      <c r="BL262" s="372"/>
      <c r="BM262" s="372"/>
      <c r="BN262" s="372"/>
      <c r="BO262" s="372"/>
      <c r="BP262" s="372"/>
      <c r="BQ262" s="372"/>
      <c r="BR262" s="372"/>
      <c r="BS262" s="372"/>
      <c r="BT262" s="372"/>
      <c r="BU262" s="372"/>
      <c r="BV262" s="372"/>
      <c r="BW262" s="372"/>
      <c r="BX262" s="372"/>
    </row>
    <row r="263" spans="2:76" s="28" customFormat="1">
      <c r="B263" s="136"/>
      <c r="D263" s="221"/>
      <c r="E263" s="29"/>
      <c r="G263" s="338"/>
      <c r="H263" s="339"/>
      <c r="I263" s="339"/>
      <c r="J263" s="339"/>
      <c r="K263" s="339"/>
      <c r="L263" s="339"/>
      <c r="O263" s="377"/>
      <c r="AI263" s="31"/>
      <c r="AJ263" s="31"/>
      <c r="AK263" s="32"/>
      <c r="AL263" s="33"/>
      <c r="AM263" s="32"/>
      <c r="AN263" s="33"/>
      <c r="AO263" s="32"/>
      <c r="AP263" s="32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372"/>
      <c r="BD263" s="372"/>
      <c r="BE263" s="372"/>
      <c r="BF263" s="372"/>
      <c r="BG263" s="372"/>
      <c r="BH263" s="372"/>
      <c r="BI263" s="372"/>
      <c r="BJ263" s="372"/>
      <c r="BK263" s="372"/>
      <c r="BL263" s="372"/>
      <c r="BM263" s="372"/>
      <c r="BN263" s="372"/>
      <c r="BO263" s="372"/>
      <c r="BP263" s="372"/>
      <c r="BQ263" s="372"/>
      <c r="BR263" s="372"/>
      <c r="BS263" s="372"/>
      <c r="BT263" s="372"/>
      <c r="BU263" s="372"/>
      <c r="BV263" s="372"/>
      <c r="BW263" s="372"/>
      <c r="BX263" s="372"/>
    </row>
    <row r="264" spans="2:76" s="28" customFormat="1">
      <c r="B264" s="136"/>
      <c r="D264" s="221"/>
      <c r="E264" s="29"/>
      <c r="G264" s="338"/>
      <c r="H264" s="339"/>
      <c r="I264" s="339"/>
      <c r="J264" s="339"/>
      <c r="K264" s="339"/>
      <c r="L264" s="339"/>
      <c r="O264" s="377"/>
      <c r="AI264" s="31"/>
      <c r="AJ264" s="31"/>
      <c r="AK264" s="32"/>
      <c r="AL264" s="33"/>
      <c r="AM264" s="32"/>
      <c r="AN264" s="33"/>
      <c r="AO264" s="32"/>
      <c r="AP264" s="32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372"/>
      <c r="BD264" s="372"/>
      <c r="BE264" s="372"/>
      <c r="BF264" s="372"/>
      <c r="BG264" s="372"/>
      <c r="BH264" s="372"/>
      <c r="BI264" s="372"/>
      <c r="BJ264" s="372"/>
      <c r="BK264" s="372"/>
      <c r="BL264" s="372"/>
      <c r="BM264" s="372"/>
      <c r="BN264" s="372"/>
      <c r="BO264" s="372"/>
      <c r="BP264" s="372"/>
      <c r="BQ264" s="372"/>
      <c r="BR264" s="372"/>
      <c r="BS264" s="372"/>
      <c r="BT264" s="372"/>
      <c r="BU264" s="372"/>
      <c r="BV264" s="372"/>
      <c r="BW264" s="372"/>
      <c r="BX264" s="372"/>
    </row>
    <row r="265" spans="2:76" s="28" customFormat="1">
      <c r="B265" s="136"/>
      <c r="D265" s="221"/>
      <c r="E265" s="29"/>
      <c r="G265" s="338"/>
      <c r="H265" s="339"/>
      <c r="I265" s="339"/>
      <c r="J265" s="339"/>
      <c r="K265" s="339"/>
      <c r="L265" s="339"/>
      <c r="O265" s="377"/>
      <c r="AI265" s="31"/>
      <c r="AJ265" s="31"/>
      <c r="AK265" s="32"/>
      <c r="AL265" s="33"/>
      <c r="AM265" s="32"/>
      <c r="AN265" s="33"/>
      <c r="AO265" s="32"/>
      <c r="AP265" s="32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372"/>
      <c r="BD265" s="372"/>
      <c r="BE265" s="372"/>
      <c r="BF265" s="372"/>
      <c r="BG265" s="372"/>
      <c r="BH265" s="372"/>
      <c r="BI265" s="372"/>
      <c r="BJ265" s="372"/>
      <c r="BK265" s="372"/>
      <c r="BL265" s="372"/>
      <c r="BM265" s="372"/>
      <c r="BN265" s="372"/>
      <c r="BO265" s="372"/>
      <c r="BP265" s="372"/>
      <c r="BQ265" s="372"/>
      <c r="BR265" s="372"/>
      <c r="BS265" s="372"/>
      <c r="BT265" s="372"/>
      <c r="BU265" s="372"/>
      <c r="BV265" s="372"/>
      <c r="BW265" s="372"/>
      <c r="BX265" s="372"/>
    </row>
    <row r="266" spans="2:76" s="28" customFormat="1">
      <c r="B266" s="136"/>
      <c r="D266" s="221"/>
      <c r="E266" s="29"/>
      <c r="G266" s="338"/>
      <c r="H266" s="339"/>
      <c r="I266" s="339"/>
      <c r="J266" s="339"/>
      <c r="K266" s="339"/>
      <c r="L266" s="339"/>
      <c r="O266" s="377"/>
      <c r="AI266" s="31"/>
      <c r="AJ266" s="31"/>
      <c r="AK266" s="32"/>
      <c r="AL266" s="33"/>
      <c r="AM266" s="32"/>
      <c r="AN266" s="33"/>
      <c r="AO266" s="32"/>
      <c r="AP266" s="32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372"/>
      <c r="BD266" s="372"/>
      <c r="BE266" s="372"/>
      <c r="BF266" s="372"/>
      <c r="BG266" s="372"/>
      <c r="BH266" s="372"/>
      <c r="BI266" s="372"/>
      <c r="BJ266" s="372"/>
      <c r="BK266" s="372"/>
      <c r="BL266" s="372"/>
      <c r="BM266" s="372"/>
      <c r="BN266" s="372"/>
      <c r="BO266" s="372"/>
      <c r="BP266" s="372"/>
      <c r="BQ266" s="372"/>
      <c r="BR266" s="372"/>
      <c r="BS266" s="372"/>
      <c r="BT266" s="372"/>
      <c r="BU266" s="372"/>
      <c r="BV266" s="372"/>
      <c r="BW266" s="372"/>
      <c r="BX266" s="372"/>
    </row>
    <row r="267" spans="2:76" s="28" customFormat="1">
      <c r="B267" s="136"/>
      <c r="D267" s="221"/>
      <c r="E267" s="29"/>
      <c r="G267" s="338"/>
      <c r="H267" s="339"/>
      <c r="I267" s="339"/>
      <c r="J267" s="339"/>
      <c r="K267" s="339"/>
      <c r="L267" s="339"/>
      <c r="O267" s="381"/>
      <c r="AI267" s="31"/>
      <c r="AJ267" s="31"/>
      <c r="AK267" s="32"/>
      <c r="AL267" s="33"/>
      <c r="AM267" s="32"/>
      <c r="AN267" s="33"/>
      <c r="AO267" s="32"/>
      <c r="AP267" s="32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372"/>
      <c r="BD267" s="372"/>
      <c r="BE267" s="372"/>
      <c r="BF267" s="372"/>
      <c r="BG267" s="372"/>
      <c r="BH267" s="372"/>
      <c r="BI267" s="372"/>
      <c r="BJ267" s="372"/>
      <c r="BK267" s="372"/>
      <c r="BL267" s="372"/>
      <c r="BM267" s="372"/>
      <c r="BN267" s="372"/>
      <c r="BO267" s="372"/>
      <c r="BP267" s="372"/>
      <c r="BQ267" s="372"/>
      <c r="BR267" s="372"/>
      <c r="BS267" s="372"/>
      <c r="BT267" s="372"/>
      <c r="BU267" s="372"/>
      <c r="BV267" s="372"/>
      <c r="BW267" s="372"/>
      <c r="BX267" s="372"/>
    </row>
    <row r="268" spans="2:76" s="28" customFormat="1">
      <c r="B268" s="136"/>
      <c r="D268" s="221"/>
      <c r="E268" s="29"/>
      <c r="G268" s="338"/>
      <c r="H268" s="339"/>
      <c r="I268" s="339"/>
      <c r="J268" s="339"/>
      <c r="K268" s="339"/>
      <c r="L268" s="339"/>
      <c r="O268" s="380"/>
      <c r="AI268" s="31"/>
      <c r="AJ268" s="31"/>
      <c r="AK268" s="32"/>
      <c r="AL268" s="33"/>
      <c r="AM268" s="32"/>
      <c r="AN268" s="33"/>
      <c r="AO268" s="32"/>
      <c r="AP268" s="32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372"/>
      <c r="BD268" s="372"/>
      <c r="BE268" s="372"/>
      <c r="BF268" s="372"/>
      <c r="BG268" s="372"/>
      <c r="BH268" s="372"/>
      <c r="BI268" s="372"/>
      <c r="BJ268" s="372"/>
      <c r="BK268" s="372"/>
      <c r="BL268" s="372"/>
      <c r="BM268" s="372"/>
      <c r="BN268" s="372"/>
      <c r="BO268" s="372"/>
      <c r="BP268" s="372"/>
      <c r="BQ268" s="372"/>
      <c r="BR268" s="372"/>
      <c r="BS268" s="372"/>
      <c r="BT268" s="372"/>
      <c r="BU268" s="372"/>
      <c r="BV268" s="372"/>
      <c r="BW268" s="372"/>
      <c r="BX268" s="372"/>
    </row>
    <row r="269" spans="2:76" s="28" customFormat="1">
      <c r="B269" s="136"/>
      <c r="D269" s="221"/>
      <c r="E269" s="29"/>
      <c r="G269" s="338"/>
      <c r="H269" s="339"/>
      <c r="I269" s="339"/>
      <c r="J269" s="339"/>
      <c r="K269" s="339"/>
      <c r="L269" s="339"/>
      <c r="O269" s="380"/>
      <c r="AI269" s="31"/>
      <c r="AJ269" s="31"/>
      <c r="AK269" s="32"/>
      <c r="AL269" s="33"/>
      <c r="AM269" s="32"/>
      <c r="AN269" s="33"/>
      <c r="AO269" s="32"/>
      <c r="AP269" s="32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372"/>
      <c r="BD269" s="372"/>
      <c r="BE269" s="372"/>
      <c r="BF269" s="372"/>
      <c r="BG269" s="372"/>
      <c r="BH269" s="372"/>
      <c r="BI269" s="372"/>
      <c r="BJ269" s="372"/>
      <c r="BK269" s="372"/>
      <c r="BL269" s="372"/>
      <c r="BM269" s="372"/>
      <c r="BN269" s="372"/>
      <c r="BO269" s="372"/>
      <c r="BP269" s="372"/>
      <c r="BQ269" s="372"/>
      <c r="BR269" s="372"/>
      <c r="BS269" s="372"/>
      <c r="BT269" s="372"/>
      <c r="BU269" s="372"/>
      <c r="BV269" s="372"/>
      <c r="BW269" s="372"/>
      <c r="BX269" s="372"/>
    </row>
    <row r="270" spans="2:76" s="28" customFormat="1">
      <c r="B270" s="136"/>
      <c r="D270" s="221"/>
      <c r="E270" s="29"/>
      <c r="G270" s="338"/>
      <c r="H270" s="339"/>
      <c r="I270" s="339"/>
      <c r="J270" s="339"/>
      <c r="K270" s="339"/>
      <c r="L270" s="339"/>
      <c r="O270" s="381"/>
      <c r="AI270" s="31"/>
      <c r="AJ270" s="31"/>
      <c r="AK270" s="32"/>
      <c r="AL270" s="33"/>
      <c r="AM270" s="32"/>
      <c r="AN270" s="33"/>
      <c r="AO270" s="32"/>
      <c r="AP270" s="32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372"/>
      <c r="BD270" s="372"/>
      <c r="BE270" s="372"/>
      <c r="BF270" s="372"/>
      <c r="BG270" s="372"/>
      <c r="BH270" s="372"/>
      <c r="BI270" s="372"/>
      <c r="BJ270" s="372"/>
      <c r="BK270" s="372"/>
      <c r="BL270" s="372"/>
      <c r="BM270" s="372"/>
      <c r="BN270" s="372"/>
      <c r="BO270" s="372"/>
      <c r="BP270" s="372"/>
      <c r="BQ270" s="372"/>
      <c r="BR270" s="372"/>
      <c r="BS270" s="372"/>
      <c r="BT270" s="372"/>
      <c r="BU270" s="372"/>
      <c r="BV270" s="372"/>
      <c r="BW270" s="372"/>
      <c r="BX270" s="372"/>
    </row>
    <row r="271" spans="2:76" s="28" customFormat="1">
      <c r="B271" s="136"/>
      <c r="D271" s="221"/>
      <c r="E271" s="29"/>
      <c r="G271" s="338"/>
      <c r="H271" s="339"/>
      <c r="I271" s="339"/>
      <c r="J271" s="339"/>
      <c r="K271" s="339"/>
      <c r="L271" s="339"/>
      <c r="O271" s="377"/>
      <c r="AI271" s="31"/>
      <c r="AJ271" s="31"/>
      <c r="AK271" s="32"/>
      <c r="AL271" s="33"/>
      <c r="AM271" s="32"/>
      <c r="AN271" s="33"/>
      <c r="AO271" s="32"/>
      <c r="AP271" s="32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372"/>
      <c r="BD271" s="372"/>
      <c r="BE271" s="372"/>
      <c r="BF271" s="372"/>
      <c r="BG271" s="372"/>
      <c r="BH271" s="372"/>
      <c r="BI271" s="372"/>
      <c r="BJ271" s="372"/>
      <c r="BK271" s="372"/>
      <c r="BL271" s="372"/>
      <c r="BM271" s="372"/>
      <c r="BN271" s="372"/>
      <c r="BO271" s="372"/>
      <c r="BP271" s="372"/>
      <c r="BQ271" s="372"/>
      <c r="BR271" s="372"/>
      <c r="BS271" s="372"/>
      <c r="BT271" s="372"/>
      <c r="BU271" s="372"/>
      <c r="BV271" s="372"/>
      <c r="BW271" s="372"/>
      <c r="BX271" s="372"/>
    </row>
    <row r="272" spans="2:76" s="28" customFormat="1">
      <c r="B272" s="136"/>
      <c r="D272" s="221"/>
      <c r="E272" s="29"/>
      <c r="G272" s="338"/>
      <c r="H272" s="339"/>
      <c r="I272" s="339"/>
      <c r="J272" s="339"/>
      <c r="K272" s="339"/>
      <c r="L272" s="339"/>
      <c r="O272" s="377"/>
      <c r="AI272" s="31"/>
      <c r="AJ272" s="31"/>
      <c r="AK272" s="32"/>
      <c r="AL272" s="33"/>
      <c r="AM272" s="32"/>
      <c r="AN272" s="33"/>
      <c r="AO272" s="32"/>
      <c r="AP272" s="32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372"/>
      <c r="BD272" s="372"/>
      <c r="BE272" s="372"/>
      <c r="BF272" s="372"/>
      <c r="BG272" s="372"/>
      <c r="BH272" s="372"/>
      <c r="BI272" s="372"/>
      <c r="BJ272" s="372"/>
      <c r="BK272" s="372"/>
      <c r="BL272" s="372"/>
      <c r="BM272" s="372"/>
      <c r="BN272" s="372"/>
      <c r="BO272" s="372"/>
      <c r="BP272" s="372"/>
      <c r="BQ272" s="372"/>
      <c r="BR272" s="372"/>
      <c r="BS272" s="372"/>
      <c r="BT272" s="372"/>
      <c r="BU272" s="372"/>
      <c r="BV272" s="372"/>
      <c r="BW272" s="372"/>
      <c r="BX272" s="372"/>
    </row>
    <row r="273" spans="2:76" s="28" customFormat="1">
      <c r="B273" s="136"/>
      <c r="D273" s="221"/>
      <c r="E273" s="29"/>
      <c r="G273" s="338"/>
      <c r="H273" s="339"/>
      <c r="I273" s="339"/>
      <c r="J273" s="339"/>
      <c r="K273" s="339"/>
      <c r="L273" s="339"/>
      <c r="O273" s="377"/>
      <c r="AI273" s="31"/>
      <c r="AJ273" s="31"/>
      <c r="AK273" s="32"/>
      <c r="AL273" s="33"/>
      <c r="AM273" s="32"/>
      <c r="AN273" s="33"/>
      <c r="AO273" s="32"/>
      <c r="AP273" s="32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372"/>
      <c r="BD273" s="372"/>
      <c r="BE273" s="372"/>
      <c r="BF273" s="372"/>
      <c r="BG273" s="372"/>
      <c r="BH273" s="372"/>
      <c r="BI273" s="372"/>
      <c r="BJ273" s="372"/>
      <c r="BK273" s="372"/>
      <c r="BL273" s="372"/>
      <c r="BM273" s="372"/>
      <c r="BN273" s="372"/>
      <c r="BO273" s="372"/>
      <c r="BP273" s="372"/>
      <c r="BQ273" s="372"/>
      <c r="BR273" s="372"/>
      <c r="BS273" s="372"/>
      <c r="BT273" s="372"/>
      <c r="BU273" s="372"/>
      <c r="BV273" s="372"/>
      <c r="BW273" s="372"/>
      <c r="BX273" s="372"/>
    </row>
    <row r="274" spans="2:76" s="28" customFormat="1">
      <c r="B274" s="136"/>
      <c r="D274" s="221"/>
      <c r="E274" s="29"/>
      <c r="G274" s="338"/>
      <c r="H274" s="339"/>
      <c r="I274" s="339"/>
      <c r="J274" s="339"/>
      <c r="K274" s="339"/>
      <c r="L274" s="339"/>
      <c r="O274" s="377"/>
      <c r="AI274" s="31"/>
      <c r="AJ274" s="31"/>
      <c r="AK274" s="32"/>
      <c r="AL274" s="33"/>
      <c r="AM274" s="32"/>
      <c r="AN274" s="33"/>
      <c r="AO274" s="32"/>
      <c r="AP274" s="32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372"/>
      <c r="BD274" s="372"/>
      <c r="BE274" s="372"/>
      <c r="BF274" s="372"/>
      <c r="BG274" s="372"/>
      <c r="BH274" s="372"/>
      <c r="BI274" s="372"/>
      <c r="BJ274" s="372"/>
      <c r="BK274" s="372"/>
      <c r="BL274" s="372"/>
      <c r="BM274" s="372"/>
      <c r="BN274" s="372"/>
      <c r="BO274" s="372"/>
      <c r="BP274" s="372"/>
      <c r="BQ274" s="372"/>
      <c r="BR274" s="372"/>
      <c r="BS274" s="372"/>
      <c r="BT274" s="372"/>
      <c r="BU274" s="372"/>
      <c r="BV274" s="372"/>
      <c r="BW274" s="372"/>
      <c r="BX274" s="372"/>
    </row>
    <row r="275" spans="2:76" s="28" customFormat="1">
      <c r="B275" s="136"/>
      <c r="D275" s="221"/>
      <c r="E275" s="29"/>
      <c r="G275" s="338"/>
      <c r="H275" s="339"/>
      <c r="I275" s="339"/>
      <c r="J275" s="339"/>
      <c r="K275" s="339"/>
      <c r="L275" s="339"/>
      <c r="O275" s="377"/>
      <c r="AI275" s="31"/>
      <c r="AJ275" s="31"/>
      <c r="AK275" s="32"/>
      <c r="AL275" s="33"/>
      <c r="AM275" s="32"/>
      <c r="AN275" s="33"/>
      <c r="AO275" s="32"/>
      <c r="AP275" s="32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372"/>
      <c r="BD275" s="372"/>
      <c r="BE275" s="372"/>
      <c r="BF275" s="372"/>
      <c r="BG275" s="372"/>
      <c r="BH275" s="372"/>
      <c r="BI275" s="372"/>
      <c r="BJ275" s="372"/>
      <c r="BK275" s="372"/>
      <c r="BL275" s="372"/>
      <c r="BM275" s="372"/>
      <c r="BN275" s="372"/>
      <c r="BO275" s="372"/>
      <c r="BP275" s="372"/>
      <c r="BQ275" s="372"/>
      <c r="BR275" s="372"/>
      <c r="BS275" s="372"/>
      <c r="BT275" s="372"/>
      <c r="BU275" s="372"/>
      <c r="BV275" s="372"/>
      <c r="BW275" s="372"/>
      <c r="BX275" s="372"/>
    </row>
    <row r="276" spans="2:76" s="28" customFormat="1">
      <c r="B276" s="136"/>
      <c r="D276" s="221"/>
      <c r="E276" s="29"/>
      <c r="G276" s="338"/>
      <c r="H276" s="339"/>
      <c r="I276" s="339"/>
      <c r="J276" s="339"/>
      <c r="K276" s="339"/>
      <c r="L276" s="339"/>
      <c r="O276" s="385"/>
      <c r="AI276" s="31"/>
      <c r="AJ276" s="31"/>
      <c r="AK276" s="32"/>
      <c r="AL276" s="33"/>
      <c r="AM276" s="32"/>
      <c r="AN276" s="33"/>
      <c r="AO276" s="32"/>
      <c r="AP276" s="32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372"/>
      <c r="BD276" s="372"/>
      <c r="BE276" s="372"/>
      <c r="BF276" s="372"/>
      <c r="BG276" s="372"/>
      <c r="BH276" s="372"/>
      <c r="BI276" s="372"/>
      <c r="BJ276" s="372"/>
      <c r="BK276" s="372"/>
      <c r="BL276" s="372"/>
      <c r="BM276" s="372"/>
      <c r="BN276" s="372"/>
      <c r="BO276" s="372"/>
      <c r="BP276" s="372"/>
      <c r="BQ276" s="372"/>
      <c r="BR276" s="372"/>
      <c r="BS276" s="372"/>
      <c r="BT276" s="372"/>
      <c r="BU276" s="372"/>
      <c r="BV276" s="372"/>
      <c r="BW276" s="372"/>
      <c r="BX276" s="372"/>
    </row>
    <row r="277" spans="2:76" s="28" customFormat="1">
      <c r="B277" s="136"/>
      <c r="D277" s="221"/>
      <c r="E277" s="29"/>
      <c r="G277" s="338"/>
      <c r="H277" s="339"/>
      <c r="I277" s="339"/>
      <c r="J277" s="339"/>
      <c r="K277" s="339"/>
      <c r="L277" s="339"/>
      <c r="O277" s="377"/>
      <c r="AI277" s="31"/>
      <c r="AJ277" s="31"/>
      <c r="AK277" s="32"/>
      <c r="AL277" s="33"/>
      <c r="AM277" s="32"/>
      <c r="AN277" s="33"/>
      <c r="AO277" s="32"/>
      <c r="AP277" s="32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372"/>
      <c r="BD277" s="372"/>
      <c r="BE277" s="372"/>
      <c r="BF277" s="372"/>
      <c r="BG277" s="372"/>
      <c r="BH277" s="372"/>
      <c r="BI277" s="372"/>
      <c r="BJ277" s="372"/>
      <c r="BK277" s="372"/>
      <c r="BL277" s="372"/>
      <c r="BM277" s="372"/>
      <c r="BN277" s="372"/>
      <c r="BO277" s="372"/>
      <c r="BP277" s="372"/>
      <c r="BQ277" s="372"/>
      <c r="BR277" s="372"/>
      <c r="BS277" s="372"/>
      <c r="BT277" s="372"/>
      <c r="BU277" s="372"/>
      <c r="BV277" s="372"/>
      <c r="BW277" s="372"/>
      <c r="BX277" s="372"/>
    </row>
    <row r="278" spans="2:76" s="28" customFormat="1">
      <c r="B278" s="136"/>
      <c r="D278" s="221"/>
      <c r="E278" s="29"/>
      <c r="G278" s="338"/>
      <c r="H278" s="339"/>
      <c r="I278" s="339"/>
      <c r="J278" s="339"/>
      <c r="K278" s="339"/>
      <c r="L278" s="339"/>
      <c r="O278" s="380"/>
      <c r="AI278" s="31"/>
      <c r="AJ278" s="31"/>
      <c r="AK278" s="32"/>
      <c r="AL278" s="33"/>
      <c r="AM278" s="32"/>
      <c r="AN278" s="33"/>
      <c r="AO278" s="32"/>
      <c r="AP278" s="32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372"/>
      <c r="BD278" s="372"/>
      <c r="BE278" s="372"/>
      <c r="BF278" s="372"/>
      <c r="BG278" s="372"/>
      <c r="BH278" s="372"/>
      <c r="BI278" s="372"/>
      <c r="BJ278" s="372"/>
      <c r="BK278" s="372"/>
      <c r="BL278" s="372"/>
      <c r="BM278" s="372"/>
      <c r="BN278" s="372"/>
      <c r="BO278" s="372"/>
      <c r="BP278" s="372"/>
      <c r="BQ278" s="372"/>
      <c r="BR278" s="372"/>
      <c r="BS278" s="372"/>
      <c r="BT278" s="372"/>
      <c r="BU278" s="372"/>
      <c r="BV278" s="372"/>
      <c r="BW278" s="372"/>
      <c r="BX278" s="372"/>
    </row>
    <row r="279" spans="2:76" s="28" customFormat="1">
      <c r="B279" s="136"/>
      <c r="D279" s="221"/>
      <c r="E279" s="29"/>
      <c r="G279" s="338"/>
      <c r="H279" s="339"/>
      <c r="I279" s="339"/>
      <c r="J279" s="339"/>
      <c r="K279" s="339"/>
      <c r="L279" s="339"/>
      <c r="O279" s="382"/>
      <c r="AI279" s="31"/>
      <c r="AJ279" s="31"/>
      <c r="AK279" s="32"/>
      <c r="AL279" s="33"/>
      <c r="AM279" s="32"/>
      <c r="AN279" s="33"/>
      <c r="AO279" s="32"/>
      <c r="AP279" s="32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372"/>
      <c r="BD279" s="372"/>
      <c r="BE279" s="372"/>
      <c r="BF279" s="372"/>
      <c r="BG279" s="372"/>
      <c r="BH279" s="372"/>
      <c r="BI279" s="372"/>
      <c r="BJ279" s="372"/>
      <c r="BK279" s="372"/>
      <c r="BL279" s="372"/>
      <c r="BM279" s="372"/>
      <c r="BN279" s="372"/>
      <c r="BO279" s="372"/>
      <c r="BP279" s="372"/>
      <c r="BQ279" s="372"/>
      <c r="BR279" s="372"/>
      <c r="BS279" s="372"/>
      <c r="BT279" s="372"/>
      <c r="BU279" s="372"/>
      <c r="BV279" s="372"/>
      <c r="BW279" s="372"/>
      <c r="BX279" s="372"/>
    </row>
    <row r="280" spans="2:76" s="28" customFormat="1">
      <c r="B280" s="136"/>
      <c r="D280" s="221"/>
      <c r="E280" s="29"/>
      <c r="G280" s="338"/>
      <c r="H280" s="339"/>
      <c r="I280" s="339"/>
      <c r="J280" s="339"/>
      <c r="K280" s="339"/>
      <c r="L280" s="339"/>
      <c r="O280" s="377"/>
      <c r="AI280" s="31"/>
      <c r="AJ280" s="31"/>
      <c r="AK280" s="32"/>
      <c r="AL280" s="33"/>
      <c r="AM280" s="32"/>
      <c r="AN280" s="33"/>
      <c r="AO280" s="32"/>
      <c r="AP280" s="32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372"/>
      <c r="BD280" s="372"/>
      <c r="BE280" s="372"/>
      <c r="BF280" s="372"/>
      <c r="BG280" s="372"/>
      <c r="BH280" s="372"/>
      <c r="BI280" s="372"/>
      <c r="BJ280" s="372"/>
      <c r="BK280" s="372"/>
      <c r="BL280" s="372"/>
      <c r="BM280" s="372"/>
      <c r="BN280" s="372"/>
      <c r="BO280" s="372"/>
      <c r="BP280" s="372"/>
      <c r="BQ280" s="372"/>
      <c r="BR280" s="372"/>
      <c r="BS280" s="372"/>
      <c r="BT280" s="372"/>
      <c r="BU280" s="372"/>
      <c r="BV280" s="372"/>
      <c r="BW280" s="372"/>
      <c r="BX280" s="372"/>
    </row>
    <row r="281" spans="2:76" s="28" customFormat="1">
      <c r="B281" s="136"/>
      <c r="D281" s="221"/>
      <c r="E281" s="29"/>
      <c r="G281" s="338"/>
      <c r="H281" s="339"/>
      <c r="I281" s="339"/>
      <c r="J281" s="339"/>
      <c r="K281" s="339"/>
      <c r="L281" s="339"/>
      <c r="O281" s="377"/>
      <c r="AI281" s="31"/>
      <c r="AJ281" s="31"/>
      <c r="AK281" s="32"/>
      <c r="AL281" s="33"/>
      <c r="AM281" s="32"/>
      <c r="AN281" s="33"/>
      <c r="AO281" s="32"/>
      <c r="AP281" s="32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372"/>
      <c r="BD281" s="372"/>
      <c r="BE281" s="372"/>
      <c r="BF281" s="372"/>
      <c r="BG281" s="372"/>
      <c r="BH281" s="372"/>
      <c r="BI281" s="372"/>
      <c r="BJ281" s="372"/>
      <c r="BK281" s="372"/>
      <c r="BL281" s="372"/>
      <c r="BM281" s="372"/>
      <c r="BN281" s="372"/>
      <c r="BO281" s="372"/>
      <c r="BP281" s="372"/>
      <c r="BQ281" s="372"/>
      <c r="BR281" s="372"/>
      <c r="BS281" s="372"/>
      <c r="BT281" s="372"/>
      <c r="BU281" s="372"/>
      <c r="BV281" s="372"/>
      <c r="BW281" s="372"/>
      <c r="BX281" s="372"/>
    </row>
    <row r="282" spans="2:76" s="28" customFormat="1">
      <c r="B282" s="136"/>
      <c r="D282" s="221"/>
      <c r="E282" s="29"/>
      <c r="G282" s="338"/>
      <c r="H282" s="339"/>
      <c r="I282" s="339"/>
      <c r="J282" s="339"/>
      <c r="K282" s="339"/>
      <c r="L282" s="339"/>
      <c r="O282" s="377"/>
      <c r="AI282" s="31"/>
      <c r="AJ282" s="31"/>
      <c r="AK282" s="32"/>
      <c r="AL282" s="33"/>
      <c r="AM282" s="32"/>
      <c r="AN282" s="33"/>
      <c r="AO282" s="32"/>
      <c r="AP282" s="32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372"/>
      <c r="BD282" s="372"/>
      <c r="BE282" s="372"/>
      <c r="BF282" s="372"/>
      <c r="BG282" s="372"/>
      <c r="BH282" s="372"/>
      <c r="BI282" s="372"/>
      <c r="BJ282" s="372"/>
      <c r="BK282" s="372"/>
      <c r="BL282" s="372"/>
      <c r="BM282" s="372"/>
      <c r="BN282" s="372"/>
      <c r="BO282" s="372"/>
      <c r="BP282" s="372"/>
      <c r="BQ282" s="372"/>
      <c r="BR282" s="372"/>
      <c r="BS282" s="372"/>
      <c r="BT282" s="372"/>
      <c r="BU282" s="372"/>
      <c r="BV282" s="372"/>
      <c r="BW282" s="372"/>
      <c r="BX282" s="372"/>
    </row>
    <row r="283" spans="2:76" s="28" customFormat="1">
      <c r="B283" s="136"/>
      <c r="D283" s="221"/>
      <c r="E283" s="29"/>
      <c r="G283" s="338"/>
      <c r="H283" s="339"/>
      <c r="I283" s="339"/>
      <c r="J283" s="339"/>
      <c r="K283" s="339"/>
      <c r="L283" s="339"/>
      <c r="O283" s="380"/>
      <c r="AI283" s="31"/>
      <c r="AJ283" s="31"/>
      <c r="AK283" s="32"/>
      <c r="AL283" s="33"/>
      <c r="AM283" s="32"/>
      <c r="AN283" s="33"/>
      <c r="AO283" s="32"/>
      <c r="AP283" s="32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372"/>
      <c r="BD283" s="372"/>
      <c r="BE283" s="372"/>
      <c r="BF283" s="372"/>
      <c r="BG283" s="372"/>
      <c r="BH283" s="372"/>
      <c r="BI283" s="372"/>
      <c r="BJ283" s="372"/>
      <c r="BK283" s="372"/>
      <c r="BL283" s="372"/>
      <c r="BM283" s="372"/>
      <c r="BN283" s="372"/>
      <c r="BO283" s="372"/>
      <c r="BP283" s="372"/>
      <c r="BQ283" s="372"/>
      <c r="BR283" s="372"/>
      <c r="BS283" s="372"/>
      <c r="BT283" s="372"/>
      <c r="BU283" s="372"/>
      <c r="BV283" s="372"/>
      <c r="BW283" s="372"/>
      <c r="BX283" s="372"/>
    </row>
    <row r="284" spans="2:76" s="28" customFormat="1">
      <c r="B284" s="136"/>
      <c r="D284" s="221"/>
      <c r="E284" s="29"/>
      <c r="G284" s="338"/>
      <c r="H284" s="339"/>
      <c r="I284" s="339"/>
      <c r="J284" s="339"/>
      <c r="K284" s="339"/>
      <c r="L284" s="339"/>
      <c r="O284" s="383"/>
      <c r="AI284" s="31"/>
      <c r="AJ284" s="31"/>
      <c r="AK284" s="32"/>
      <c r="AL284" s="33"/>
      <c r="AM284" s="32"/>
      <c r="AN284" s="33"/>
      <c r="AO284" s="32"/>
      <c r="AP284" s="32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372"/>
      <c r="BD284" s="372"/>
      <c r="BE284" s="372"/>
      <c r="BF284" s="372"/>
      <c r="BG284" s="372"/>
      <c r="BH284" s="372"/>
      <c r="BI284" s="372"/>
      <c r="BJ284" s="372"/>
      <c r="BK284" s="372"/>
      <c r="BL284" s="372"/>
      <c r="BM284" s="372"/>
      <c r="BN284" s="372"/>
      <c r="BO284" s="372"/>
      <c r="BP284" s="372"/>
      <c r="BQ284" s="372"/>
      <c r="BR284" s="372"/>
      <c r="BS284" s="372"/>
      <c r="BT284" s="372"/>
      <c r="BU284" s="372"/>
      <c r="BV284" s="372"/>
      <c r="BW284" s="372"/>
      <c r="BX284" s="372"/>
    </row>
    <row r="285" spans="2:76" s="28" customFormat="1">
      <c r="B285" s="136"/>
      <c r="D285" s="221"/>
      <c r="E285" s="29"/>
      <c r="G285" s="338"/>
      <c r="H285" s="339"/>
      <c r="I285" s="339"/>
      <c r="J285" s="339"/>
      <c r="K285" s="339"/>
      <c r="L285" s="339"/>
      <c r="O285" s="381"/>
      <c r="AI285" s="31"/>
      <c r="AJ285" s="31"/>
      <c r="AK285" s="32"/>
      <c r="AL285" s="33"/>
      <c r="AM285" s="32"/>
      <c r="AN285" s="33"/>
      <c r="AO285" s="32"/>
      <c r="AP285" s="32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372"/>
      <c r="BD285" s="372"/>
      <c r="BE285" s="372"/>
      <c r="BF285" s="372"/>
      <c r="BG285" s="372"/>
      <c r="BH285" s="372"/>
      <c r="BI285" s="372"/>
      <c r="BJ285" s="372"/>
      <c r="BK285" s="372"/>
      <c r="BL285" s="372"/>
      <c r="BM285" s="372"/>
      <c r="BN285" s="372"/>
      <c r="BO285" s="372"/>
      <c r="BP285" s="372"/>
      <c r="BQ285" s="372"/>
      <c r="BR285" s="372"/>
      <c r="BS285" s="372"/>
      <c r="BT285" s="372"/>
      <c r="BU285" s="372"/>
      <c r="BV285" s="372"/>
      <c r="BW285" s="372"/>
      <c r="BX285" s="372"/>
    </row>
    <row r="286" spans="2:76" s="28" customFormat="1">
      <c r="B286" s="136"/>
      <c r="D286" s="221"/>
      <c r="E286" s="29"/>
      <c r="G286" s="338"/>
      <c r="H286" s="339"/>
      <c r="I286" s="339"/>
      <c r="J286" s="339"/>
      <c r="K286" s="339"/>
      <c r="L286" s="339"/>
      <c r="O286" s="376"/>
      <c r="AI286" s="31"/>
      <c r="AJ286" s="31"/>
      <c r="AK286" s="32"/>
      <c r="AL286" s="33"/>
      <c r="AM286" s="32"/>
      <c r="AN286" s="33"/>
      <c r="AO286" s="32"/>
      <c r="AP286" s="32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372"/>
      <c r="BD286" s="372"/>
      <c r="BE286" s="372"/>
      <c r="BF286" s="372"/>
      <c r="BG286" s="372"/>
      <c r="BH286" s="372"/>
      <c r="BI286" s="372"/>
      <c r="BJ286" s="372"/>
      <c r="BK286" s="372"/>
      <c r="BL286" s="372"/>
      <c r="BM286" s="372"/>
      <c r="BN286" s="372"/>
      <c r="BO286" s="372"/>
      <c r="BP286" s="372"/>
      <c r="BQ286" s="372"/>
      <c r="BR286" s="372"/>
      <c r="BS286" s="372"/>
      <c r="BT286" s="372"/>
      <c r="BU286" s="372"/>
      <c r="BV286" s="372"/>
      <c r="BW286" s="372"/>
      <c r="BX286" s="372"/>
    </row>
    <row r="287" spans="2:76" s="28" customFormat="1">
      <c r="B287" s="136"/>
      <c r="D287" s="221"/>
      <c r="E287" s="29"/>
      <c r="G287" s="338"/>
      <c r="H287" s="339"/>
      <c r="I287" s="339"/>
      <c r="J287" s="339"/>
      <c r="K287" s="339"/>
      <c r="L287" s="339"/>
      <c r="O287" s="379"/>
      <c r="AI287" s="31"/>
      <c r="AJ287" s="31"/>
      <c r="AK287" s="32"/>
      <c r="AL287" s="33"/>
      <c r="AM287" s="32"/>
      <c r="AN287" s="33"/>
      <c r="AO287" s="32"/>
      <c r="AP287" s="32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372"/>
      <c r="BD287" s="372"/>
      <c r="BE287" s="372"/>
      <c r="BF287" s="372"/>
      <c r="BG287" s="372"/>
      <c r="BH287" s="372"/>
      <c r="BI287" s="372"/>
      <c r="BJ287" s="372"/>
      <c r="BK287" s="372"/>
      <c r="BL287" s="372"/>
      <c r="BM287" s="372"/>
      <c r="BN287" s="372"/>
      <c r="BO287" s="372"/>
      <c r="BP287" s="372"/>
      <c r="BQ287" s="372"/>
      <c r="BR287" s="372"/>
      <c r="BS287" s="372"/>
      <c r="BT287" s="372"/>
      <c r="BU287" s="372"/>
      <c r="BV287" s="372"/>
      <c r="BW287" s="372"/>
      <c r="BX287" s="372"/>
    </row>
    <row r="288" spans="2:76" s="28" customFormat="1">
      <c r="B288" s="136"/>
      <c r="D288" s="221"/>
      <c r="E288" s="29"/>
      <c r="G288" s="338"/>
      <c r="H288" s="339"/>
      <c r="I288" s="339"/>
      <c r="J288" s="339"/>
      <c r="K288" s="339"/>
      <c r="L288" s="339"/>
      <c r="O288" s="377"/>
      <c r="AI288" s="31"/>
      <c r="AJ288" s="31"/>
      <c r="AK288" s="32"/>
      <c r="AL288" s="33"/>
      <c r="AM288" s="32"/>
      <c r="AN288" s="33"/>
      <c r="AO288" s="32"/>
      <c r="AP288" s="32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372"/>
      <c r="BD288" s="372"/>
      <c r="BE288" s="372"/>
      <c r="BF288" s="372"/>
      <c r="BG288" s="372"/>
      <c r="BH288" s="372"/>
      <c r="BI288" s="372"/>
      <c r="BJ288" s="372"/>
      <c r="BK288" s="372"/>
      <c r="BL288" s="372"/>
      <c r="BM288" s="372"/>
      <c r="BN288" s="372"/>
      <c r="BO288" s="372"/>
      <c r="BP288" s="372"/>
      <c r="BQ288" s="372"/>
      <c r="BR288" s="372"/>
      <c r="BS288" s="372"/>
      <c r="BT288" s="372"/>
      <c r="BU288" s="372"/>
      <c r="BV288" s="372"/>
      <c r="BW288" s="372"/>
      <c r="BX288" s="372"/>
    </row>
    <row r="289" spans="2:76" s="28" customFormat="1">
      <c r="B289" s="136"/>
      <c r="D289" s="221"/>
      <c r="E289" s="29"/>
      <c r="G289" s="338"/>
      <c r="H289" s="339"/>
      <c r="I289" s="339"/>
      <c r="J289" s="339"/>
      <c r="K289" s="339"/>
      <c r="L289" s="339"/>
      <c r="O289" s="386"/>
      <c r="AI289" s="31"/>
      <c r="AJ289" s="31"/>
      <c r="AK289" s="32"/>
      <c r="AL289" s="33"/>
      <c r="AM289" s="32"/>
      <c r="AN289" s="33"/>
      <c r="AO289" s="32"/>
      <c r="AP289" s="32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372"/>
      <c r="BD289" s="372"/>
      <c r="BE289" s="372"/>
      <c r="BF289" s="372"/>
      <c r="BG289" s="372"/>
      <c r="BH289" s="372"/>
      <c r="BI289" s="372"/>
      <c r="BJ289" s="372"/>
      <c r="BK289" s="372"/>
      <c r="BL289" s="372"/>
      <c r="BM289" s="372"/>
      <c r="BN289" s="372"/>
      <c r="BO289" s="372"/>
      <c r="BP289" s="372"/>
      <c r="BQ289" s="372"/>
      <c r="BR289" s="372"/>
      <c r="BS289" s="372"/>
      <c r="BT289" s="372"/>
      <c r="BU289" s="372"/>
      <c r="BV289" s="372"/>
      <c r="BW289" s="372"/>
      <c r="BX289" s="372"/>
    </row>
    <row r="290" spans="2:76" s="28" customFormat="1">
      <c r="B290" s="136"/>
      <c r="D290" s="221"/>
      <c r="E290" s="29"/>
      <c r="G290" s="338"/>
      <c r="H290" s="339"/>
      <c r="I290" s="339"/>
      <c r="J290" s="339"/>
      <c r="K290" s="339"/>
      <c r="L290" s="339"/>
      <c r="O290" s="376"/>
      <c r="AI290" s="31"/>
      <c r="AJ290" s="31"/>
      <c r="AK290" s="32"/>
      <c r="AL290" s="33"/>
      <c r="AM290" s="32"/>
      <c r="AN290" s="33"/>
      <c r="AO290" s="32"/>
      <c r="AP290" s="32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372"/>
      <c r="BD290" s="372"/>
      <c r="BE290" s="372"/>
      <c r="BF290" s="372"/>
      <c r="BG290" s="372"/>
      <c r="BH290" s="372"/>
      <c r="BI290" s="372"/>
      <c r="BJ290" s="372"/>
      <c r="BK290" s="372"/>
      <c r="BL290" s="372"/>
      <c r="BM290" s="372"/>
      <c r="BN290" s="372"/>
      <c r="BO290" s="372"/>
      <c r="BP290" s="372"/>
      <c r="BQ290" s="372"/>
      <c r="BR290" s="372"/>
      <c r="BS290" s="372"/>
      <c r="BT290" s="372"/>
      <c r="BU290" s="372"/>
      <c r="BV290" s="372"/>
      <c r="BW290" s="372"/>
      <c r="BX290" s="372"/>
    </row>
    <row r="291" spans="2:76" s="28" customFormat="1">
      <c r="B291" s="136"/>
      <c r="D291" s="221"/>
      <c r="E291" s="29"/>
      <c r="G291" s="338"/>
      <c r="H291" s="339"/>
      <c r="I291" s="339"/>
      <c r="J291" s="339"/>
      <c r="K291" s="339"/>
      <c r="L291" s="339"/>
      <c r="O291" s="387"/>
      <c r="AI291" s="31"/>
      <c r="AJ291" s="31"/>
      <c r="AK291" s="32"/>
      <c r="AL291" s="33"/>
      <c r="AM291" s="32"/>
      <c r="AN291" s="33"/>
      <c r="AO291" s="32"/>
      <c r="AP291" s="32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372"/>
      <c r="BD291" s="372"/>
      <c r="BE291" s="372"/>
      <c r="BF291" s="372"/>
      <c r="BG291" s="372"/>
      <c r="BH291" s="372"/>
      <c r="BI291" s="372"/>
      <c r="BJ291" s="372"/>
      <c r="BK291" s="372"/>
      <c r="BL291" s="372"/>
      <c r="BM291" s="372"/>
      <c r="BN291" s="372"/>
      <c r="BO291" s="372"/>
      <c r="BP291" s="372"/>
      <c r="BQ291" s="372"/>
      <c r="BR291" s="372"/>
      <c r="BS291" s="372"/>
      <c r="BT291" s="372"/>
      <c r="BU291" s="372"/>
      <c r="BV291" s="372"/>
      <c r="BW291" s="372"/>
      <c r="BX291" s="372"/>
    </row>
    <row r="292" spans="2:76" s="28" customFormat="1">
      <c r="B292" s="136"/>
      <c r="D292" s="221"/>
      <c r="E292" s="29"/>
      <c r="G292" s="338"/>
      <c r="H292" s="339"/>
      <c r="I292" s="339"/>
      <c r="J292" s="339"/>
      <c r="K292" s="339"/>
      <c r="L292" s="339"/>
      <c r="O292" s="379"/>
      <c r="AI292" s="31"/>
      <c r="AJ292" s="31"/>
      <c r="AK292" s="32"/>
      <c r="AL292" s="33"/>
      <c r="AM292" s="32"/>
      <c r="AN292" s="33"/>
      <c r="AO292" s="32"/>
      <c r="AP292" s="32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372"/>
      <c r="BD292" s="372"/>
      <c r="BE292" s="372"/>
      <c r="BF292" s="372"/>
      <c r="BG292" s="372"/>
      <c r="BH292" s="372"/>
      <c r="BI292" s="372"/>
      <c r="BJ292" s="372"/>
      <c r="BK292" s="372"/>
      <c r="BL292" s="372"/>
      <c r="BM292" s="372"/>
      <c r="BN292" s="372"/>
      <c r="BO292" s="372"/>
      <c r="BP292" s="372"/>
      <c r="BQ292" s="372"/>
      <c r="BR292" s="372"/>
      <c r="BS292" s="372"/>
      <c r="BT292" s="372"/>
      <c r="BU292" s="372"/>
      <c r="BV292" s="372"/>
      <c r="BW292" s="372"/>
      <c r="BX292" s="372"/>
    </row>
    <row r="293" spans="2:76" s="28" customFormat="1">
      <c r="B293" s="136"/>
      <c r="D293" s="221"/>
      <c r="E293" s="29"/>
      <c r="G293" s="338"/>
      <c r="H293" s="339"/>
      <c r="I293" s="339"/>
      <c r="J293" s="339"/>
      <c r="K293" s="339"/>
      <c r="L293" s="339"/>
      <c r="O293" s="376"/>
      <c r="AI293" s="31"/>
      <c r="AJ293" s="31"/>
      <c r="AK293" s="32"/>
      <c r="AL293" s="33"/>
      <c r="AM293" s="32"/>
      <c r="AN293" s="33"/>
      <c r="AO293" s="32"/>
      <c r="AP293" s="32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372"/>
      <c r="BD293" s="372"/>
      <c r="BE293" s="372"/>
      <c r="BF293" s="372"/>
      <c r="BG293" s="372"/>
      <c r="BH293" s="372"/>
      <c r="BI293" s="372"/>
      <c r="BJ293" s="372"/>
      <c r="BK293" s="372"/>
      <c r="BL293" s="372"/>
      <c r="BM293" s="372"/>
      <c r="BN293" s="372"/>
      <c r="BO293" s="372"/>
      <c r="BP293" s="372"/>
      <c r="BQ293" s="372"/>
      <c r="BR293" s="372"/>
      <c r="BS293" s="372"/>
      <c r="BT293" s="372"/>
      <c r="BU293" s="372"/>
      <c r="BV293" s="372"/>
      <c r="BW293" s="372"/>
      <c r="BX293" s="372"/>
    </row>
    <row r="294" spans="2:76" s="28" customFormat="1">
      <c r="B294" s="136"/>
      <c r="D294" s="221"/>
      <c r="E294" s="29"/>
      <c r="G294" s="338"/>
      <c r="H294" s="339"/>
      <c r="I294" s="339"/>
      <c r="J294" s="339"/>
      <c r="K294" s="339"/>
      <c r="L294" s="339"/>
      <c r="O294" s="377"/>
      <c r="AI294" s="31"/>
      <c r="AJ294" s="31"/>
      <c r="AK294" s="32"/>
      <c r="AL294" s="33"/>
      <c r="AM294" s="32"/>
      <c r="AN294" s="33"/>
      <c r="AO294" s="32"/>
      <c r="AP294" s="32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372"/>
      <c r="BD294" s="372"/>
      <c r="BE294" s="372"/>
      <c r="BF294" s="372"/>
      <c r="BG294" s="372"/>
      <c r="BH294" s="372"/>
      <c r="BI294" s="372"/>
      <c r="BJ294" s="372"/>
      <c r="BK294" s="372"/>
      <c r="BL294" s="372"/>
      <c r="BM294" s="372"/>
      <c r="BN294" s="372"/>
      <c r="BO294" s="372"/>
      <c r="BP294" s="372"/>
      <c r="BQ294" s="372"/>
      <c r="BR294" s="372"/>
      <c r="BS294" s="372"/>
      <c r="BT294" s="372"/>
      <c r="BU294" s="372"/>
      <c r="BV294" s="372"/>
      <c r="BW294" s="372"/>
      <c r="BX294" s="372"/>
    </row>
    <row r="295" spans="2:76" s="28" customFormat="1">
      <c r="B295" s="136"/>
      <c r="D295" s="221"/>
      <c r="E295" s="29"/>
      <c r="G295" s="338"/>
      <c r="H295" s="339"/>
      <c r="I295" s="339"/>
      <c r="J295" s="339"/>
      <c r="K295" s="339"/>
      <c r="L295" s="339"/>
      <c r="O295" s="377"/>
      <c r="AI295" s="31"/>
      <c r="AJ295" s="31"/>
      <c r="AK295" s="32"/>
      <c r="AL295" s="33"/>
      <c r="AM295" s="32"/>
      <c r="AN295" s="33"/>
      <c r="AO295" s="32"/>
      <c r="AP295" s="32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372"/>
      <c r="BD295" s="372"/>
      <c r="BE295" s="372"/>
      <c r="BF295" s="372"/>
      <c r="BG295" s="372"/>
      <c r="BH295" s="372"/>
      <c r="BI295" s="372"/>
      <c r="BJ295" s="372"/>
      <c r="BK295" s="372"/>
      <c r="BL295" s="372"/>
      <c r="BM295" s="372"/>
      <c r="BN295" s="372"/>
      <c r="BO295" s="372"/>
      <c r="BP295" s="372"/>
      <c r="BQ295" s="372"/>
      <c r="BR295" s="372"/>
      <c r="BS295" s="372"/>
      <c r="BT295" s="372"/>
      <c r="BU295" s="372"/>
      <c r="BV295" s="372"/>
      <c r="BW295" s="372"/>
      <c r="BX295" s="372"/>
    </row>
    <row r="296" spans="2:76" s="28" customFormat="1">
      <c r="B296" s="136"/>
      <c r="D296" s="221"/>
      <c r="E296" s="29"/>
      <c r="G296" s="338"/>
      <c r="H296" s="339"/>
      <c r="I296" s="339"/>
      <c r="J296" s="339"/>
      <c r="K296" s="339"/>
      <c r="L296" s="339"/>
      <c r="O296" s="377"/>
      <c r="AI296" s="31"/>
      <c r="AJ296" s="31"/>
      <c r="AK296" s="32"/>
      <c r="AL296" s="33"/>
      <c r="AM296" s="32"/>
      <c r="AN296" s="33"/>
      <c r="AO296" s="32"/>
      <c r="AP296" s="32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372"/>
      <c r="BD296" s="372"/>
      <c r="BE296" s="372"/>
      <c r="BF296" s="372"/>
      <c r="BG296" s="372"/>
      <c r="BH296" s="372"/>
      <c r="BI296" s="372"/>
      <c r="BJ296" s="372"/>
      <c r="BK296" s="372"/>
      <c r="BL296" s="372"/>
      <c r="BM296" s="372"/>
      <c r="BN296" s="372"/>
      <c r="BO296" s="372"/>
      <c r="BP296" s="372"/>
      <c r="BQ296" s="372"/>
      <c r="BR296" s="372"/>
      <c r="BS296" s="372"/>
      <c r="BT296" s="372"/>
      <c r="BU296" s="372"/>
      <c r="BV296" s="372"/>
      <c r="BW296" s="372"/>
      <c r="BX296" s="372"/>
    </row>
    <row r="297" spans="2:76" s="28" customFormat="1">
      <c r="B297" s="136"/>
      <c r="D297" s="221"/>
      <c r="E297" s="29"/>
      <c r="G297" s="338"/>
      <c r="H297" s="339"/>
      <c r="I297" s="339"/>
      <c r="J297" s="339"/>
      <c r="K297" s="339"/>
      <c r="L297" s="339"/>
      <c r="O297" s="377"/>
      <c r="AI297" s="31"/>
      <c r="AJ297" s="31"/>
      <c r="AK297" s="32"/>
      <c r="AL297" s="33"/>
      <c r="AM297" s="32"/>
      <c r="AN297" s="33"/>
      <c r="AO297" s="32"/>
      <c r="AP297" s="32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372"/>
      <c r="BD297" s="372"/>
      <c r="BE297" s="372"/>
      <c r="BF297" s="372"/>
      <c r="BG297" s="372"/>
      <c r="BH297" s="372"/>
      <c r="BI297" s="372"/>
      <c r="BJ297" s="372"/>
      <c r="BK297" s="372"/>
      <c r="BL297" s="372"/>
      <c r="BM297" s="372"/>
      <c r="BN297" s="372"/>
      <c r="BO297" s="372"/>
      <c r="BP297" s="372"/>
      <c r="BQ297" s="372"/>
      <c r="BR297" s="372"/>
      <c r="BS297" s="372"/>
      <c r="BT297" s="372"/>
      <c r="BU297" s="372"/>
      <c r="BV297" s="372"/>
      <c r="BW297" s="372"/>
      <c r="BX297" s="372"/>
    </row>
    <row r="298" spans="2:76" s="28" customFormat="1">
      <c r="B298" s="136"/>
      <c r="D298" s="221"/>
      <c r="E298" s="29"/>
      <c r="G298" s="338"/>
      <c r="H298" s="339"/>
      <c r="I298" s="339"/>
      <c r="J298" s="339"/>
      <c r="K298" s="339"/>
      <c r="L298" s="339"/>
      <c r="O298" s="378"/>
      <c r="AI298" s="31"/>
      <c r="AJ298" s="31"/>
      <c r="AK298" s="32"/>
      <c r="AL298" s="33"/>
      <c r="AM298" s="32"/>
      <c r="AN298" s="33"/>
      <c r="AO298" s="32"/>
      <c r="AP298" s="32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372"/>
      <c r="BD298" s="372"/>
      <c r="BE298" s="372"/>
      <c r="BF298" s="372"/>
      <c r="BG298" s="372"/>
      <c r="BH298" s="372"/>
      <c r="BI298" s="372"/>
      <c r="BJ298" s="372"/>
      <c r="BK298" s="372"/>
      <c r="BL298" s="372"/>
      <c r="BM298" s="372"/>
      <c r="BN298" s="372"/>
      <c r="BO298" s="372"/>
      <c r="BP298" s="372"/>
      <c r="BQ298" s="372"/>
      <c r="BR298" s="372"/>
      <c r="BS298" s="372"/>
      <c r="BT298" s="372"/>
      <c r="BU298" s="372"/>
      <c r="BV298" s="372"/>
      <c r="BW298" s="372"/>
      <c r="BX298" s="372"/>
    </row>
    <row r="299" spans="2:76" s="28" customFormat="1">
      <c r="B299" s="136"/>
      <c r="D299" s="221"/>
      <c r="E299" s="29"/>
      <c r="G299" s="338"/>
      <c r="H299" s="339"/>
      <c r="I299" s="339"/>
      <c r="J299" s="339"/>
      <c r="K299" s="339"/>
      <c r="L299" s="339"/>
      <c r="O299" s="380"/>
      <c r="AI299" s="31"/>
      <c r="AJ299" s="31"/>
      <c r="AK299" s="32"/>
      <c r="AL299" s="33"/>
      <c r="AM299" s="32"/>
      <c r="AN299" s="33"/>
      <c r="AO299" s="32"/>
      <c r="AP299" s="32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372"/>
      <c r="BD299" s="372"/>
      <c r="BE299" s="372"/>
      <c r="BF299" s="372"/>
      <c r="BG299" s="372"/>
      <c r="BH299" s="372"/>
      <c r="BI299" s="372"/>
      <c r="BJ299" s="372"/>
      <c r="BK299" s="372"/>
      <c r="BL299" s="372"/>
      <c r="BM299" s="372"/>
      <c r="BN299" s="372"/>
      <c r="BO299" s="372"/>
      <c r="BP299" s="372"/>
      <c r="BQ299" s="372"/>
      <c r="BR299" s="372"/>
      <c r="BS299" s="372"/>
      <c r="BT299" s="372"/>
      <c r="BU299" s="372"/>
      <c r="BV299" s="372"/>
      <c r="BW299" s="372"/>
      <c r="BX299" s="372"/>
    </row>
    <row r="300" spans="2:76" s="28" customFormat="1">
      <c r="B300" s="136"/>
      <c r="D300" s="221"/>
      <c r="E300" s="29"/>
      <c r="G300" s="338"/>
      <c r="H300" s="339"/>
      <c r="I300" s="339"/>
      <c r="J300" s="339"/>
      <c r="K300" s="339"/>
      <c r="L300" s="339"/>
      <c r="O300" s="377"/>
      <c r="AI300" s="31"/>
      <c r="AJ300" s="31"/>
      <c r="AK300" s="32"/>
      <c r="AL300" s="33"/>
      <c r="AM300" s="32"/>
      <c r="AN300" s="33"/>
      <c r="AO300" s="32"/>
      <c r="AP300" s="32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372"/>
      <c r="BD300" s="372"/>
      <c r="BE300" s="372"/>
      <c r="BF300" s="372"/>
      <c r="BG300" s="372"/>
      <c r="BH300" s="372"/>
      <c r="BI300" s="372"/>
      <c r="BJ300" s="372"/>
      <c r="BK300" s="372"/>
      <c r="BL300" s="372"/>
      <c r="BM300" s="372"/>
      <c r="BN300" s="372"/>
      <c r="BO300" s="372"/>
      <c r="BP300" s="372"/>
      <c r="BQ300" s="372"/>
      <c r="BR300" s="372"/>
      <c r="BS300" s="372"/>
      <c r="BT300" s="372"/>
      <c r="BU300" s="372"/>
      <c r="BV300" s="372"/>
      <c r="BW300" s="372"/>
      <c r="BX300" s="372"/>
    </row>
    <row r="301" spans="2:76" s="28" customFormat="1">
      <c r="B301" s="136"/>
      <c r="D301" s="221"/>
      <c r="E301" s="29"/>
      <c r="G301" s="338"/>
      <c r="H301" s="339"/>
      <c r="I301" s="339"/>
      <c r="J301" s="339"/>
      <c r="K301" s="339"/>
      <c r="L301" s="339"/>
      <c r="O301" s="377"/>
      <c r="AI301" s="31"/>
      <c r="AJ301" s="31"/>
      <c r="AK301" s="32"/>
      <c r="AL301" s="33"/>
      <c r="AM301" s="32"/>
      <c r="AN301" s="33"/>
      <c r="AO301" s="32"/>
      <c r="AP301" s="32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372"/>
      <c r="BD301" s="372"/>
      <c r="BE301" s="372"/>
      <c r="BF301" s="372"/>
      <c r="BG301" s="372"/>
      <c r="BH301" s="372"/>
      <c r="BI301" s="372"/>
      <c r="BJ301" s="372"/>
      <c r="BK301" s="372"/>
      <c r="BL301" s="372"/>
      <c r="BM301" s="372"/>
      <c r="BN301" s="372"/>
      <c r="BO301" s="372"/>
      <c r="BP301" s="372"/>
      <c r="BQ301" s="372"/>
      <c r="BR301" s="372"/>
      <c r="BS301" s="372"/>
      <c r="BT301" s="372"/>
      <c r="BU301" s="372"/>
      <c r="BV301" s="372"/>
      <c r="BW301" s="372"/>
      <c r="BX301" s="372"/>
    </row>
    <row r="302" spans="2:76" s="28" customFormat="1">
      <c r="B302" s="136"/>
      <c r="D302" s="221"/>
      <c r="E302" s="29"/>
      <c r="G302" s="338"/>
      <c r="H302" s="339"/>
      <c r="I302" s="339"/>
      <c r="J302" s="339"/>
      <c r="K302" s="339"/>
      <c r="L302" s="339"/>
      <c r="O302" s="381"/>
      <c r="AI302" s="31"/>
      <c r="AJ302" s="31"/>
      <c r="AK302" s="32"/>
      <c r="AL302" s="33"/>
      <c r="AM302" s="32"/>
      <c r="AN302" s="33"/>
      <c r="AO302" s="32"/>
      <c r="AP302" s="32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372"/>
      <c r="BD302" s="372"/>
      <c r="BE302" s="372"/>
      <c r="BF302" s="372"/>
      <c r="BG302" s="372"/>
      <c r="BH302" s="372"/>
      <c r="BI302" s="372"/>
      <c r="BJ302" s="372"/>
      <c r="BK302" s="372"/>
      <c r="BL302" s="372"/>
      <c r="BM302" s="372"/>
      <c r="BN302" s="372"/>
      <c r="BO302" s="372"/>
      <c r="BP302" s="372"/>
      <c r="BQ302" s="372"/>
      <c r="BR302" s="372"/>
      <c r="BS302" s="372"/>
      <c r="BT302" s="372"/>
      <c r="BU302" s="372"/>
      <c r="BV302" s="372"/>
      <c r="BW302" s="372"/>
      <c r="BX302" s="372"/>
    </row>
    <row r="303" spans="2:76" s="28" customFormat="1">
      <c r="B303" s="136"/>
      <c r="D303" s="221"/>
      <c r="E303" s="29"/>
      <c r="G303" s="338"/>
      <c r="H303" s="339"/>
      <c r="I303" s="339"/>
      <c r="J303" s="339"/>
      <c r="K303" s="339"/>
      <c r="L303" s="339"/>
      <c r="O303" s="380"/>
      <c r="AI303" s="31"/>
      <c r="AJ303" s="31"/>
      <c r="AK303" s="32"/>
      <c r="AL303" s="33"/>
      <c r="AM303" s="32"/>
      <c r="AN303" s="33"/>
      <c r="AO303" s="32"/>
      <c r="AP303" s="32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372"/>
      <c r="BD303" s="372"/>
      <c r="BE303" s="372"/>
      <c r="BF303" s="372"/>
      <c r="BG303" s="372"/>
      <c r="BH303" s="372"/>
      <c r="BI303" s="372"/>
      <c r="BJ303" s="372"/>
      <c r="BK303" s="372"/>
      <c r="BL303" s="372"/>
      <c r="BM303" s="372"/>
      <c r="BN303" s="372"/>
      <c r="BO303" s="372"/>
      <c r="BP303" s="372"/>
      <c r="BQ303" s="372"/>
      <c r="BR303" s="372"/>
      <c r="BS303" s="372"/>
      <c r="BT303" s="372"/>
      <c r="BU303" s="372"/>
      <c r="BV303" s="372"/>
      <c r="BW303" s="372"/>
      <c r="BX303" s="372"/>
    </row>
    <row r="304" spans="2:76" s="28" customFormat="1">
      <c r="B304" s="136"/>
      <c r="D304" s="221"/>
      <c r="E304" s="29"/>
      <c r="G304" s="338"/>
      <c r="H304" s="339"/>
      <c r="I304" s="339"/>
      <c r="J304" s="339"/>
      <c r="K304" s="339"/>
      <c r="L304" s="339"/>
      <c r="O304" s="380"/>
      <c r="AI304" s="31"/>
      <c r="AJ304" s="31"/>
      <c r="AK304" s="32"/>
      <c r="AL304" s="33"/>
      <c r="AM304" s="32"/>
      <c r="AN304" s="33"/>
      <c r="AO304" s="32"/>
      <c r="AP304" s="32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372"/>
      <c r="BD304" s="372"/>
      <c r="BE304" s="372"/>
      <c r="BF304" s="372"/>
      <c r="BG304" s="372"/>
      <c r="BH304" s="372"/>
      <c r="BI304" s="372"/>
      <c r="BJ304" s="372"/>
      <c r="BK304" s="372"/>
      <c r="BL304" s="372"/>
      <c r="BM304" s="372"/>
      <c r="BN304" s="372"/>
      <c r="BO304" s="372"/>
      <c r="BP304" s="372"/>
      <c r="BQ304" s="372"/>
      <c r="BR304" s="372"/>
      <c r="BS304" s="372"/>
      <c r="BT304" s="372"/>
      <c r="BU304" s="372"/>
      <c r="BV304" s="372"/>
      <c r="BW304" s="372"/>
      <c r="BX304" s="372"/>
    </row>
    <row r="305" spans="2:76" s="28" customFormat="1">
      <c r="B305" s="136"/>
      <c r="D305" s="221"/>
      <c r="E305" s="29"/>
      <c r="G305" s="338"/>
      <c r="H305" s="339"/>
      <c r="I305" s="339"/>
      <c r="J305" s="339"/>
      <c r="K305" s="339"/>
      <c r="L305" s="339"/>
      <c r="O305" s="377"/>
      <c r="AI305" s="31"/>
      <c r="AJ305" s="31"/>
      <c r="AK305" s="32"/>
      <c r="AL305" s="33"/>
      <c r="AM305" s="32"/>
      <c r="AN305" s="33"/>
      <c r="AO305" s="32"/>
      <c r="AP305" s="32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372"/>
      <c r="BD305" s="372"/>
      <c r="BE305" s="372"/>
      <c r="BF305" s="372"/>
      <c r="BG305" s="372"/>
      <c r="BH305" s="372"/>
      <c r="BI305" s="372"/>
      <c r="BJ305" s="372"/>
      <c r="BK305" s="372"/>
      <c r="BL305" s="372"/>
      <c r="BM305" s="372"/>
      <c r="BN305" s="372"/>
      <c r="BO305" s="372"/>
      <c r="BP305" s="372"/>
      <c r="BQ305" s="372"/>
      <c r="BR305" s="372"/>
      <c r="BS305" s="372"/>
      <c r="BT305" s="372"/>
      <c r="BU305" s="372"/>
      <c r="BV305" s="372"/>
      <c r="BW305" s="372"/>
      <c r="BX305" s="372"/>
    </row>
    <row r="306" spans="2:76" s="28" customFormat="1">
      <c r="B306" s="136"/>
      <c r="D306" s="221"/>
      <c r="E306" s="29"/>
      <c r="G306" s="338"/>
      <c r="H306" s="339"/>
      <c r="I306" s="339"/>
      <c r="J306" s="339"/>
      <c r="K306" s="339"/>
      <c r="L306" s="339"/>
      <c r="O306" s="385"/>
      <c r="AI306" s="31"/>
      <c r="AJ306" s="31"/>
      <c r="AK306" s="32"/>
      <c r="AL306" s="33"/>
      <c r="AM306" s="32"/>
      <c r="AN306" s="33"/>
      <c r="AO306" s="32"/>
      <c r="AP306" s="32"/>
      <c r="AQ306" s="136"/>
      <c r="AR306" s="136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372"/>
      <c r="BD306" s="372"/>
      <c r="BE306" s="372"/>
      <c r="BF306" s="372"/>
      <c r="BG306" s="372"/>
      <c r="BH306" s="372"/>
      <c r="BI306" s="372"/>
      <c r="BJ306" s="372"/>
      <c r="BK306" s="372"/>
      <c r="BL306" s="372"/>
      <c r="BM306" s="372"/>
      <c r="BN306" s="372"/>
      <c r="BO306" s="372"/>
      <c r="BP306" s="372"/>
      <c r="BQ306" s="372"/>
      <c r="BR306" s="372"/>
      <c r="BS306" s="372"/>
      <c r="BT306" s="372"/>
      <c r="BU306" s="372"/>
      <c r="BV306" s="372"/>
      <c r="BW306" s="372"/>
      <c r="BX306" s="372"/>
    </row>
    <row r="307" spans="2:76" s="28" customFormat="1">
      <c r="B307" s="136"/>
      <c r="D307" s="221"/>
      <c r="E307" s="29"/>
      <c r="G307" s="338"/>
      <c r="H307" s="339"/>
      <c r="I307" s="339"/>
      <c r="J307" s="339"/>
      <c r="K307" s="339"/>
      <c r="L307" s="339"/>
      <c r="O307" s="380"/>
      <c r="AI307" s="31"/>
      <c r="AJ307" s="31"/>
      <c r="AK307" s="32"/>
      <c r="AL307" s="33"/>
      <c r="AM307" s="32"/>
      <c r="AN307" s="33"/>
      <c r="AO307" s="32"/>
      <c r="AP307" s="32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372"/>
      <c r="BD307" s="372"/>
      <c r="BE307" s="372"/>
      <c r="BF307" s="372"/>
      <c r="BG307" s="372"/>
      <c r="BH307" s="372"/>
      <c r="BI307" s="372"/>
      <c r="BJ307" s="372"/>
      <c r="BK307" s="372"/>
      <c r="BL307" s="372"/>
      <c r="BM307" s="372"/>
      <c r="BN307" s="372"/>
      <c r="BO307" s="372"/>
      <c r="BP307" s="372"/>
      <c r="BQ307" s="372"/>
      <c r="BR307" s="372"/>
      <c r="BS307" s="372"/>
      <c r="BT307" s="372"/>
      <c r="BU307" s="372"/>
      <c r="BV307" s="372"/>
      <c r="BW307" s="372"/>
      <c r="BX307" s="372"/>
    </row>
    <row r="308" spans="2:76" s="28" customFormat="1">
      <c r="B308" s="136"/>
      <c r="D308" s="221"/>
      <c r="E308" s="29"/>
      <c r="G308" s="338"/>
      <c r="H308" s="339"/>
      <c r="I308" s="339"/>
      <c r="J308" s="339"/>
      <c r="K308" s="339"/>
      <c r="L308" s="339"/>
      <c r="O308" s="377"/>
      <c r="AI308" s="31"/>
      <c r="AJ308" s="31"/>
      <c r="AK308" s="32"/>
      <c r="AL308" s="33"/>
      <c r="AM308" s="32"/>
      <c r="AN308" s="33"/>
      <c r="AO308" s="32"/>
      <c r="AP308" s="32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372"/>
      <c r="BD308" s="372"/>
      <c r="BE308" s="372"/>
      <c r="BF308" s="372"/>
      <c r="BG308" s="372"/>
      <c r="BH308" s="372"/>
      <c r="BI308" s="372"/>
      <c r="BJ308" s="372"/>
      <c r="BK308" s="372"/>
      <c r="BL308" s="372"/>
      <c r="BM308" s="372"/>
      <c r="BN308" s="372"/>
      <c r="BO308" s="372"/>
      <c r="BP308" s="372"/>
      <c r="BQ308" s="372"/>
      <c r="BR308" s="372"/>
      <c r="BS308" s="372"/>
      <c r="BT308" s="372"/>
      <c r="BU308" s="372"/>
      <c r="BV308" s="372"/>
      <c r="BW308" s="372"/>
      <c r="BX308" s="372"/>
    </row>
    <row r="309" spans="2:76" s="28" customFormat="1">
      <c r="B309" s="136"/>
      <c r="D309" s="221"/>
      <c r="E309" s="29"/>
      <c r="G309" s="338"/>
      <c r="H309" s="339"/>
      <c r="I309" s="339"/>
      <c r="J309" s="339"/>
      <c r="K309" s="339"/>
      <c r="L309" s="339"/>
      <c r="O309" s="378"/>
      <c r="AI309" s="31"/>
      <c r="AJ309" s="31"/>
      <c r="AK309" s="32"/>
      <c r="AL309" s="33"/>
      <c r="AM309" s="32"/>
      <c r="AN309" s="33"/>
      <c r="AO309" s="32"/>
      <c r="AP309" s="32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372"/>
      <c r="BD309" s="372"/>
      <c r="BE309" s="372"/>
      <c r="BF309" s="372"/>
      <c r="BG309" s="372"/>
      <c r="BH309" s="372"/>
      <c r="BI309" s="372"/>
      <c r="BJ309" s="372"/>
      <c r="BK309" s="372"/>
      <c r="BL309" s="372"/>
      <c r="BM309" s="372"/>
      <c r="BN309" s="372"/>
      <c r="BO309" s="372"/>
      <c r="BP309" s="372"/>
      <c r="BQ309" s="372"/>
      <c r="BR309" s="372"/>
      <c r="BS309" s="372"/>
      <c r="BT309" s="372"/>
      <c r="BU309" s="372"/>
      <c r="BV309" s="372"/>
      <c r="BW309" s="372"/>
      <c r="BX309" s="372"/>
    </row>
    <row r="310" spans="2:76" s="28" customFormat="1">
      <c r="B310" s="136"/>
      <c r="D310" s="221"/>
      <c r="E310" s="29"/>
      <c r="G310" s="338"/>
      <c r="H310" s="339"/>
      <c r="I310" s="339"/>
      <c r="J310" s="339"/>
      <c r="K310" s="339"/>
      <c r="L310" s="339"/>
      <c r="O310" s="380"/>
      <c r="AI310" s="31"/>
      <c r="AJ310" s="31"/>
      <c r="AK310" s="32"/>
      <c r="AL310" s="33"/>
      <c r="AM310" s="32"/>
      <c r="AN310" s="33"/>
      <c r="AO310" s="32"/>
      <c r="AP310" s="32"/>
      <c r="AQ310" s="136"/>
      <c r="AR310" s="136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372"/>
      <c r="BD310" s="372"/>
      <c r="BE310" s="372"/>
      <c r="BF310" s="372"/>
      <c r="BG310" s="372"/>
      <c r="BH310" s="372"/>
      <c r="BI310" s="372"/>
      <c r="BJ310" s="372"/>
      <c r="BK310" s="372"/>
      <c r="BL310" s="372"/>
      <c r="BM310" s="372"/>
      <c r="BN310" s="372"/>
      <c r="BO310" s="372"/>
      <c r="BP310" s="372"/>
      <c r="BQ310" s="372"/>
      <c r="BR310" s="372"/>
      <c r="BS310" s="372"/>
      <c r="BT310" s="372"/>
      <c r="BU310" s="372"/>
      <c r="BV310" s="372"/>
      <c r="BW310" s="372"/>
      <c r="BX310" s="372"/>
    </row>
    <row r="311" spans="2:76" s="28" customFormat="1">
      <c r="B311" s="136"/>
      <c r="D311" s="221"/>
      <c r="E311" s="29"/>
      <c r="G311" s="338"/>
      <c r="H311" s="339"/>
      <c r="I311" s="339"/>
      <c r="J311" s="339"/>
      <c r="K311" s="339"/>
      <c r="L311" s="339"/>
      <c r="O311" s="388"/>
      <c r="AI311" s="31"/>
      <c r="AJ311" s="31"/>
      <c r="AK311" s="32"/>
      <c r="AL311" s="33"/>
      <c r="AM311" s="32"/>
      <c r="AN311" s="33"/>
      <c r="AO311" s="32"/>
      <c r="AP311" s="32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372"/>
      <c r="BD311" s="372"/>
      <c r="BE311" s="372"/>
      <c r="BF311" s="372"/>
      <c r="BG311" s="372"/>
      <c r="BH311" s="372"/>
      <c r="BI311" s="372"/>
      <c r="BJ311" s="372"/>
      <c r="BK311" s="372"/>
      <c r="BL311" s="372"/>
      <c r="BM311" s="372"/>
      <c r="BN311" s="372"/>
      <c r="BO311" s="372"/>
      <c r="BP311" s="372"/>
      <c r="BQ311" s="372"/>
      <c r="BR311" s="372"/>
      <c r="BS311" s="372"/>
      <c r="BT311" s="372"/>
      <c r="BU311" s="372"/>
      <c r="BV311" s="372"/>
      <c r="BW311" s="372"/>
      <c r="BX311" s="372"/>
    </row>
    <row r="312" spans="2:76" s="28" customFormat="1">
      <c r="B312" s="136"/>
      <c r="D312" s="221"/>
      <c r="E312" s="29"/>
      <c r="G312" s="338"/>
      <c r="H312" s="339"/>
      <c r="I312" s="339"/>
      <c r="J312" s="339"/>
      <c r="K312" s="339"/>
      <c r="L312" s="339"/>
      <c r="O312" s="380"/>
      <c r="AI312" s="31"/>
      <c r="AJ312" s="31"/>
      <c r="AK312" s="32"/>
      <c r="AL312" s="33"/>
      <c r="AM312" s="32"/>
      <c r="AN312" s="33"/>
      <c r="AO312" s="32"/>
      <c r="AP312" s="32"/>
      <c r="AQ312" s="136"/>
      <c r="AR312" s="136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372"/>
      <c r="BD312" s="372"/>
      <c r="BE312" s="372"/>
      <c r="BF312" s="372"/>
      <c r="BG312" s="372"/>
      <c r="BH312" s="372"/>
      <c r="BI312" s="372"/>
      <c r="BJ312" s="372"/>
      <c r="BK312" s="372"/>
      <c r="BL312" s="372"/>
      <c r="BM312" s="372"/>
      <c r="BN312" s="372"/>
      <c r="BO312" s="372"/>
      <c r="BP312" s="372"/>
      <c r="BQ312" s="372"/>
      <c r="BR312" s="372"/>
      <c r="BS312" s="372"/>
      <c r="BT312" s="372"/>
      <c r="BU312" s="372"/>
      <c r="BV312" s="372"/>
      <c r="BW312" s="372"/>
      <c r="BX312" s="372"/>
    </row>
    <row r="313" spans="2:76" s="28" customFormat="1">
      <c r="B313" s="136"/>
      <c r="D313" s="221"/>
      <c r="E313" s="29"/>
      <c r="G313" s="338"/>
      <c r="H313" s="339"/>
      <c r="I313" s="339"/>
      <c r="J313" s="339"/>
      <c r="K313" s="339"/>
      <c r="L313" s="339"/>
      <c r="O313" s="377"/>
      <c r="AI313" s="31"/>
      <c r="AJ313" s="31"/>
      <c r="AK313" s="32"/>
      <c r="AL313" s="33"/>
      <c r="AM313" s="32"/>
      <c r="AN313" s="33"/>
      <c r="AO313" s="32"/>
      <c r="AP313" s="32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372"/>
      <c r="BD313" s="372"/>
      <c r="BE313" s="372"/>
      <c r="BF313" s="372"/>
      <c r="BG313" s="372"/>
      <c r="BH313" s="372"/>
      <c r="BI313" s="372"/>
      <c r="BJ313" s="372"/>
      <c r="BK313" s="372"/>
      <c r="BL313" s="372"/>
      <c r="BM313" s="372"/>
      <c r="BN313" s="372"/>
      <c r="BO313" s="372"/>
      <c r="BP313" s="372"/>
      <c r="BQ313" s="372"/>
      <c r="BR313" s="372"/>
      <c r="BS313" s="372"/>
      <c r="BT313" s="372"/>
      <c r="BU313" s="372"/>
      <c r="BV313" s="372"/>
      <c r="BW313" s="372"/>
      <c r="BX313" s="372"/>
    </row>
    <row r="314" spans="2:76" s="28" customFormat="1">
      <c r="B314" s="136"/>
      <c r="D314" s="221"/>
      <c r="E314" s="29"/>
      <c r="G314" s="338"/>
      <c r="H314" s="339"/>
      <c r="I314" s="339"/>
      <c r="J314" s="339"/>
      <c r="K314" s="339"/>
      <c r="L314" s="339"/>
      <c r="O314" s="388"/>
      <c r="AI314" s="31"/>
      <c r="AJ314" s="31"/>
      <c r="AK314" s="32"/>
      <c r="AL314" s="33"/>
      <c r="AM314" s="32"/>
      <c r="AN314" s="33"/>
      <c r="AO314" s="32"/>
      <c r="AP314" s="32"/>
      <c r="AQ314" s="136"/>
      <c r="AR314" s="136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372"/>
      <c r="BD314" s="372"/>
      <c r="BE314" s="372"/>
      <c r="BF314" s="372"/>
      <c r="BG314" s="372"/>
      <c r="BH314" s="372"/>
      <c r="BI314" s="372"/>
      <c r="BJ314" s="372"/>
      <c r="BK314" s="372"/>
      <c r="BL314" s="372"/>
      <c r="BM314" s="372"/>
      <c r="BN314" s="372"/>
      <c r="BO314" s="372"/>
      <c r="BP314" s="372"/>
      <c r="BQ314" s="372"/>
      <c r="BR314" s="372"/>
      <c r="BS314" s="372"/>
      <c r="BT314" s="372"/>
      <c r="BU314" s="372"/>
      <c r="BV314" s="372"/>
      <c r="BW314" s="372"/>
      <c r="BX314" s="372"/>
    </row>
    <row r="315" spans="2:76" s="28" customFormat="1">
      <c r="B315" s="136"/>
      <c r="D315" s="221"/>
      <c r="E315" s="29"/>
      <c r="G315" s="338"/>
      <c r="H315" s="339"/>
      <c r="I315" s="339"/>
      <c r="J315" s="339"/>
      <c r="K315" s="339"/>
      <c r="L315" s="339"/>
      <c r="O315" s="377"/>
      <c r="AI315" s="31"/>
      <c r="AJ315" s="31"/>
      <c r="AK315" s="32"/>
      <c r="AL315" s="33"/>
      <c r="AM315" s="32"/>
      <c r="AN315" s="33"/>
      <c r="AO315" s="32"/>
      <c r="AP315" s="32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372"/>
      <c r="BD315" s="372"/>
      <c r="BE315" s="372"/>
      <c r="BF315" s="372"/>
      <c r="BG315" s="372"/>
      <c r="BH315" s="372"/>
      <c r="BI315" s="372"/>
      <c r="BJ315" s="372"/>
      <c r="BK315" s="372"/>
      <c r="BL315" s="372"/>
      <c r="BM315" s="372"/>
      <c r="BN315" s="372"/>
      <c r="BO315" s="372"/>
      <c r="BP315" s="372"/>
      <c r="BQ315" s="372"/>
      <c r="BR315" s="372"/>
      <c r="BS315" s="372"/>
      <c r="BT315" s="372"/>
      <c r="BU315" s="372"/>
      <c r="BV315" s="372"/>
      <c r="BW315" s="372"/>
      <c r="BX315" s="372"/>
    </row>
    <row r="316" spans="2:76" s="28" customFormat="1">
      <c r="B316" s="136"/>
      <c r="D316" s="221"/>
      <c r="E316" s="29"/>
      <c r="G316" s="338"/>
      <c r="H316" s="339"/>
      <c r="I316" s="339"/>
      <c r="J316" s="339"/>
      <c r="K316" s="339"/>
      <c r="L316" s="339"/>
      <c r="O316" s="380"/>
      <c r="AI316" s="31"/>
      <c r="AJ316" s="31"/>
      <c r="AK316" s="32"/>
      <c r="AL316" s="33"/>
      <c r="AM316" s="32"/>
      <c r="AN316" s="33"/>
      <c r="AO316" s="32"/>
      <c r="AP316" s="32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372"/>
      <c r="BD316" s="372"/>
      <c r="BE316" s="372"/>
      <c r="BF316" s="372"/>
      <c r="BG316" s="372"/>
      <c r="BH316" s="372"/>
      <c r="BI316" s="372"/>
      <c r="BJ316" s="372"/>
      <c r="BK316" s="372"/>
      <c r="BL316" s="372"/>
      <c r="BM316" s="372"/>
      <c r="BN316" s="372"/>
      <c r="BO316" s="372"/>
      <c r="BP316" s="372"/>
      <c r="BQ316" s="372"/>
      <c r="BR316" s="372"/>
      <c r="BS316" s="372"/>
      <c r="BT316" s="372"/>
      <c r="BU316" s="372"/>
      <c r="BV316" s="372"/>
      <c r="BW316" s="372"/>
      <c r="BX316" s="372"/>
    </row>
    <row r="317" spans="2:76" s="28" customFormat="1">
      <c r="B317" s="136"/>
      <c r="D317" s="221"/>
      <c r="E317" s="29"/>
      <c r="G317" s="338"/>
      <c r="H317" s="339"/>
      <c r="I317" s="339"/>
      <c r="J317" s="339"/>
      <c r="K317" s="339"/>
      <c r="L317" s="339"/>
      <c r="O317" s="384"/>
      <c r="AI317" s="31"/>
      <c r="AJ317" s="31"/>
      <c r="AK317" s="32"/>
      <c r="AL317" s="33"/>
      <c r="AM317" s="32"/>
      <c r="AN317" s="33"/>
      <c r="AO317" s="32"/>
      <c r="AP317" s="32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372"/>
      <c r="BD317" s="372"/>
      <c r="BE317" s="372"/>
      <c r="BF317" s="372"/>
      <c r="BG317" s="372"/>
      <c r="BH317" s="372"/>
      <c r="BI317" s="372"/>
      <c r="BJ317" s="372"/>
      <c r="BK317" s="372"/>
      <c r="BL317" s="372"/>
      <c r="BM317" s="372"/>
      <c r="BN317" s="372"/>
      <c r="BO317" s="372"/>
      <c r="BP317" s="372"/>
      <c r="BQ317" s="372"/>
      <c r="BR317" s="372"/>
      <c r="BS317" s="372"/>
      <c r="BT317" s="372"/>
      <c r="BU317" s="372"/>
      <c r="BV317" s="372"/>
      <c r="BW317" s="372"/>
      <c r="BX317" s="372"/>
    </row>
    <row r="318" spans="2:76" s="28" customFormat="1">
      <c r="B318" s="136"/>
      <c r="D318" s="221"/>
      <c r="E318" s="29"/>
      <c r="G318" s="338"/>
      <c r="H318" s="339"/>
      <c r="I318" s="339"/>
      <c r="J318" s="339"/>
      <c r="K318" s="339"/>
      <c r="L318" s="339"/>
      <c r="O318" s="380"/>
      <c r="AI318" s="31"/>
      <c r="AJ318" s="31"/>
      <c r="AK318" s="32"/>
      <c r="AL318" s="33"/>
      <c r="AM318" s="32"/>
      <c r="AN318" s="33"/>
      <c r="AO318" s="32"/>
      <c r="AP318" s="32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372"/>
      <c r="BD318" s="372"/>
      <c r="BE318" s="372"/>
      <c r="BF318" s="372"/>
      <c r="BG318" s="372"/>
      <c r="BH318" s="372"/>
      <c r="BI318" s="372"/>
      <c r="BJ318" s="372"/>
      <c r="BK318" s="372"/>
      <c r="BL318" s="372"/>
      <c r="BM318" s="372"/>
      <c r="BN318" s="372"/>
      <c r="BO318" s="372"/>
      <c r="BP318" s="372"/>
      <c r="BQ318" s="372"/>
      <c r="BR318" s="372"/>
      <c r="BS318" s="372"/>
      <c r="BT318" s="372"/>
      <c r="BU318" s="372"/>
      <c r="BV318" s="372"/>
      <c r="BW318" s="372"/>
      <c r="BX318" s="372"/>
    </row>
    <row r="319" spans="2:76" s="28" customFormat="1">
      <c r="B319" s="136"/>
      <c r="D319" s="221"/>
      <c r="E319" s="29"/>
      <c r="G319" s="338"/>
      <c r="H319" s="339"/>
      <c r="I319" s="339"/>
      <c r="J319" s="339"/>
      <c r="K319" s="339"/>
      <c r="L319" s="339"/>
      <c r="O319" s="379"/>
      <c r="AI319" s="31"/>
      <c r="AJ319" s="31"/>
      <c r="AK319" s="32"/>
      <c r="AL319" s="33"/>
      <c r="AM319" s="32"/>
      <c r="AN319" s="33"/>
      <c r="AO319" s="32"/>
      <c r="AP319" s="32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372"/>
      <c r="BD319" s="372"/>
      <c r="BE319" s="372"/>
      <c r="BF319" s="372"/>
      <c r="BG319" s="372"/>
      <c r="BH319" s="372"/>
      <c r="BI319" s="372"/>
      <c r="BJ319" s="372"/>
      <c r="BK319" s="372"/>
      <c r="BL319" s="372"/>
      <c r="BM319" s="372"/>
      <c r="BN319" s="372"/>
      <c r="BO319" s="372"/>
      <c r="BP319" s="372"/>
      <c r="BQ319" s="372"/>
      <c r="BR319" s="372"/>
      <c r="BS319" s="372"/>
      <c r="BT319" s="372"/>
      <c r="BU319" s="372"/>
      <c r="BV319" s="372"/>
      <c r="BW319" s="372"/>
      <c r="BX319" s="372"/>
    </row>
    <row r="320" spans="2:76" s="28" customFormat="1">
      <c r="B320" s="136"/>
      <c r="D320" s="221"/>
      <c r="E320" s="29"/>
      <c r="G320" s="338"/>
      <c r="H320" s="339"/>
      <c r="I320" s="339"/>
      <c r="J320" s="339"/>
      <c r="K320" s="339"/>
      <c r="L320" s="339"/>
      <c r="O320" s="377"/>
      <c r="AI320" s="31"/>
      <c r="AJ320" s="31"/>
      <c r="AK320" s="32"/>
      <c r="AL320" s="33"/>
      <c r="AM320" s="32"/>
      <c r="AN320" s="33"/>
      <c r="AO320" s="32"/>
      <c r="AP320" s="32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372"/>
      <c r="BD320" s="372"/>
      <c r="BE320" s="372"/>
      <c r="BF320" s="372"/>
      <c r="BG320" s="372"/>
      <c r="BH320" s="372"/>
      <c r="BI320" s="372"/>
      <c r="BJ320" s="372"/>
      <c r="BK320" s="372"/>
      <c r="BL320" s="372"/>
      <c r="BM320" s="372"/>
      <c r="BN320" s="372"/>
      <c r="BO320" s="372"/>
      <c r="BP320" s="372"/>
      <c r="BQ320" s="372"/>
      <c r="BR320" s="372"/>
      <c r="BS320" s="372"/>
      <c r="BT320" s="372"/>
      <c r="BU320" s="372"/>
      <c r="BV320" s="372"/>
      <c r="BW320" s="372"/>
      <c r="BX320" s="372"/>
    </row>
    <row r="321" spans="2:76" s="28" customFormat="1">
      <c r="B321" s="136"/>
      <c r="D321" s="221"/>
      <c r="E321" s="29"/>
      <c r="G321" s="338"/>
      <c r="H321" s="339"/>
      <c r="I321" s="339"/>
      <c r="J321" s="339"/>
      <c r="K321" s="339"/>
      <c r="L321" s="339"/>
      <c r="O321" s="376"/>
      <c r="AI321" s="31"/>
      <c r="AJ321" s="31"/>
      <c r="AK321" s="32"/>
      <c r="AL321" s="33"/>
      <c r="AM321" s="32"/>
      <c r="AN321" s="33"/>
      <c r="AO321" s="32"/>
      <c r="AP321" s="32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372"/>
      <c r="BD321" s="372"/>
      <c r="BE321" s="372"/>
      <c r="BF321" s="372"/>
      <c r="BG321" s="372"/>
      <c r="BH321" s="372"/>
      <c r="BI321" s="372"/>
      <c r="BJ321" s="372"/>
      <c r="BK321" s="372"/>
      <c r="BL321" s="372"/>
      <c r="BM321" s="372"/>
      <c r="BN321" s="372"/>
      <c r="BO321" s="372"/>
      <c r="BP321" s="372"/>
      <c r="BQ321" s="372"/>
      <c r="BR321" s="372"/>
      <c r="BS321" s="372"/>
      <c r="BT321" s="372"/>
      <c r="BU321" s="372"/>
      <c r="BV321" s="372"/>
      <c r="BW321" s="372"/>
      <c r="BX321" s="372"/>
    </row>
    <row r="322" spans="2:76" s="28" customFormat="1">
      <c r="B322" s="136"/>
      <c r="D322" s="221"/>
      <c r="E322" s="29"/>
      <c r="G322" s="338"/>
      <c r="H322" s="339"/>
      <c r="I322" s="339"/>
      <c r="J322" s="339"/>
      <c r="K322" s="339"/>
      <c r="L322" s="339"/>
      <c r="O322" s="377"/>
      <c r="AI322" s="31"/>
      <c r="AJ322" s="31"/>
      <c r="AK322" s="32"/>
      <c r="AL322" s="33"/>
      <c r="AM322" s="32"/>
      <c r="AN322" s="33"/>
      <c r="AO322" s="32"/>
      <c r="AP322" s="32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372"/>
      <c r="BD322" s="372"/>
      <c r="BE322" s="372"/>
      <c r="BF322" s="372"/>
      <c r="BG322" s="372"/>
      <c r="BH322" s="372"/>
      <c r="BI322" s="372"/>
      <c r="BJ322" s="372"/>
      <c r="BK322" s="372"/>
      <c r="BL322" s="372"/>
      <c r="BM322" s="372"/>
      <c r="BN322" s="372"/>
      <c r="BO322" s="372"/>
      <c r="BP322" s="372"/>
      <c r="BQ322" s="372"/>
      <c r="BR322" s="372"/>
      <c r="BS322" s="372"/>
      <c r="BT322" s="372"/>
      <c r="BU322" s="372"/>
      <c r="BV322" s="372"/>
      <c r="BW322" s="372"/>
      <c r="BX322" s="372"/>
    </row>
    <row r="323" spans="2:76" s="28" customFormat="1">
      <c r="B323" s="136"/>
      <c r="D323" s="221"/>
      <c r="E323" s="29"/>
      <c r="G323" s="338"/>
      <c r="H323" s="339"/>
      <c r="I323" s="339"/>
      <c r="J323" s="339"/>
      <c r="K323" s="339"/>
      <c r="L323" s="339"/>
      <c r="O323" s="377"/>
      <c r="AI323" s="31"/>
      <c r="AJ323" s="31"/>
      <c r="AK323" s="32"/>
      <c r="AL323" s="33"/>
      <c r="AM323" s="32"/>
      <c r="AN323" s="33"/>
      <c r="AO323" s="32"/>
      <c r="AP323" s="32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372"/>
      <c r="BD323" s="372"/>
      <c r="BE323" s="372"/>
      <c r="BF323" s="372"/>
      <c r="BG323" s="372"/>
      <c r="BH323" s="372"/>
      <c r="BI323" s="372"/>
      <c r="BJ323" s="372"/>
      <c r="BK323" s="372"/>
      <c r="BL323" s="372"/>
      <c r="BM323" s="372"/>
      <c r="BN323" s="372"/>
      <c r="BO323" s="372"/>
      <c r="BP323" s="372"/>
      <c r="BQ323" s="372"/>
      <c r="BR323" s="372"/>
      <c r="BS323" s="372"/>
      <c r="BT323" s="372"/>
      <c r="BU323" s="372"/>
      <c r="BV323" s="372"/>
      <c r="BW323" s="372"/>
      <c r="BX323" s="372"/>
    </row>
    <row r="324" spans="2:76" s="28" customFormat="1">
      <c r="B324" s="136"/>
      <c r="D324" s="221"/>
      <c r="E324" s="29"/>
      <c r="G324" s="338"/>
      <c r="H324" s="339"/>
      <c r="I324" s="339"/>
      <c r="J324" s="339"/>
      <c r="K324" s="339"/>
      <c r="L324" s="339"/>
      <c r="O324" s="376"/>
      <c r="AI324" s="31"/>
      <c r="AJ324" s="31"/>
      <c r="AK324" s="32"/>
      <c r="AL324" s="33"/>
      <c r="AM324" s="32"/>
      <c r="AN324" s="33"/>
      <c r="AO324" s="32"/>
      <c r="AP324" s="32"/>
      <c r="AQ324" s="136"/>
      <c r="AR324" s="136"/>
      <c r="AS324" s="136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372"/>
      <c r="BD324" s="372"/>
      <c r="BE324" s="372"/>
      <c r="BF324" s="372"/>
      <c r="BG324" s="372"/>
      <c r="BH324" s="372"/>
      <c r="BI324" s="372"/>
      <c r="BJ324" s="372"/>
      <c r="BK324" s="372"/>
      <c r="BL324" s="372"/>
      <c r="BM324" s="372"/>
      <c r="BN324" s="372"/>
      <c r="BO324" s="372"/>
      <c r="BP324" s="372"/>
      <c r="BQ324" s="372"/>
      <c r="BR324" s="372"/>
      <c r="BS324" s="372"/>
      <c r="BT324" s="372"/>
      <c r="BU324" s="372"/>
      <c r="BV324" s="372"/>
      <c r="BW324" s="372"/>
      <c r="BX324" s="372"/>
    </row>
    <row r="325" spans="2:76" s="28" customFormat="1">
      <c r="B325" s="136"/>
      <c r="D325" s="221"/>
      <c r="E325" s="29"/>
      <c r="G325" s="338"/>
      <c r="H325" s="339"/>
      <c r="I325" s="339"/>
      <c r="J325" s="339"/>
      <c r="K325" s="339"/>
      <c r="L325" s="339"/>
      <c r="O325" s="381"/>
      <c r="AI325" s="31"/>
      <c r="AJ325" s="31"/>
      <c r="AK325" s="32"/>
      <c r="AL325" s="33"/>
      <c r="AM325" s="32"/>
      <c r="AN325" s="33"/>
      <c r="AO325" s="32"/>
      <c r="AP325" s="32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372"/>
      <c r="BD325" s="372"/>
      <c r="BE325" s="372"/>
      <c r="BF325" s="372"/>
      <c r="BG325" s="372"/>
      <c r="BH325" s="372"/>
      <c r="BI325" s="372"/>
      <c r="BJ325" s="372"/>
      <c r="BK325" s="372"/>
      <c r="BL325" s="372"/>
      <c r="BM325" s="372"/>
      <c r="BN325" s="372"/>
      <c r="BO325" s="372"/>
      <c r="BP325" s="372"/>
      <c r="BQ325" s="372"/>
      <c r="BR325" s="372"/>
      <c r="BS325" s="372"/>
      <c r="BT325" s="372"/>
      <c r="BU325" s="372"/>
      <c r="BV325" s="372"/>
      <c r="BW325" s="372"/>
      <c r="BX325" s="372"/>
    </row>
    <row r="326" spans="2:76" s="28" customFormat="1">
      <c r="B326" s="136"/>
      <c r="D326" s="221"/>
      <c r="E326" s="29"/>
      <c r="G326" s="338"/>
      <c r="H326" s="339"/>
      <c r="I326" s="339"/>
      <c r="J326" s="339"/>
      <c r="K326" s="339"/>
      <c r="L326" s="339"/>
      <c r="O326" s="377"/>
      <c r="AI326" s="31"/>
      <c r="AJ326" s="31"/>
      <c r="AK326" s="32"/>
      <c r="AL326" s="33"/>
      <c r="AM326" s="32"/>
      <c r="AN326" s="33"/>
      <c r="AO326" s="32"/>
      <c r="AP326" s="32"/>
      <c r="AQ326" s="136"/>
      <c r="AR326" s="136"/>
      <c r="AS326" s="136"/>
      <c r="AT326" s="136"/>
      <c r="AU326" s="136"/>
      <c r="AV326" s="136"/>
      <c r="AW326" s="136"/>
      <c r="AX326" s="136"/>
      <c r="AY326" s="136"/>
      <c r="AZ326" s="136"/>
      <c r="BA326" s="136"/>
      <c r="BB326" s="136"/>
      <c r="BC326" s="372"/>
      <c r="BD326" s="372"/>
      <c r="BE326" s="372"/>
      <c r="BF326" s="372"/>
      <c r="BG326" s="372"/>
      <c r="BH326" s="372"/>
      <c r="BI326" s="372"/>
      <c r="BJ326" s="372"/>
      <c r="BK326" s="372"/>
      <c r="BL326" s="372"/>
      <c r="BM326" s="372"/>
      <c r="BN326" s="372"/>
      <c r="BO326" s="372"/>
      <c r="BP326" s="372"/>
      <c r="BQ326" s="372"/>
      <c r="BR326" s="372"/>
      <c r="BS326" s="372"/>
      <c r="BT326" s="372"/>
      <c r="BU326" s="372"/>
      <c r="BV326" s="372"/>
      <c r="BW326" s="372"/>
      <c r="BX326" s="372"/>
    </row>
    <row r="327" spans="2:76" s="28" customFormat="1">
      <c r="B327" s="136"/>
      <c r="D327" s="221"/>
      <c r="E327" s="29"/>
      <c r="G327" s="338"/>
      <c r="H327" s="339"/>
      <c r="I327" s="339"/>
      <c r="J327" s="339"/>
      <c r="K327" s="339"/>
      <c r="L327" s="339"/>
      <c r="O327" s="377"/>
      <c r="AI327" s="31"/>
      <c r="AJ327" s="31"/>
      <c r="AK327" s="32"/>
      <c r="AL327" s="33"/>
      <c r="AM327" s="32"/>
      <c r="AN327" s="33"/>
      <c r="AO327" s="32"/>
      <c r="AP327" s="32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372"/>
      <c r="BD327" s="372"/>
      <c r="BE327" s="372"/>
      <c r="BF327" s="372"/>
      <c r="BG327" s="372"/>
      <c r="BH327" s="372"/>
      <c r="BI327" s="372"/>
      <c r="BJ327" s="372"/>
      <c r="BK327" s="372"/>
      <c r="BL327" s="372"/>
      <c r="BM327" s="372"/>
      <c r="BN327" s="372"/>
      <c r="BO327" s="372"/>
      <c r="BP327" s="372"/>
      <c r="BQ327" s="372"/>
      <c r="BR327" s="372"/>
      <c r="BS327" s="372"/>
      <c r="BT327" s="372"/>
      <c r="BU327" s="372"/>
      <c r="BV327" s="372"/>
      <c r="BW327" s="372"/>
      <c r="BX327" s="372"/>
    </row>
    <row r="328" spans="2:76" s="28" customFormat="1">
      <c r="B328" s="136"/>
      <c r="D328" s="221"/>
      <c r="E328" s="29"/>
      <c r="G328" s="338"/>
      <c r="H328" s="339"/>
      <c r="I328" s="339"/>
      <c r="J328" s="339"/>
      <c r="K328" s="339"/>
      <c r="L328" s="339"/>
      <c r="O328" s="377"/>
      <c r="AI328" s="31"/>
      <c r="AJ328" s="31"/>
      <c r="AK328" s="32"/>
      <c r="AL328" s="33"/>
      <c r="AM328" s="32"/>
      <c r="AN328" s="33"/>
      <c r="AO328" s="32"/>
      <c r="AP328" s="32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372"/>
      <c r="BD328" s="372"/>
      <c r="BE328" s="372"/>
      <c r="BF328" s="372"/>
      <c r="BG328" s="372"/>
      <c r="BH328" s="372"/>
      <c r="BI328" s="372"/>
      <c r="BJ328" s="372"/>
      <c r="BK328" s="372"/>
      <c r="BL328" s="372"/>
      <c r="BM328" s="372"/>
      <c r="BN328" s="372"/>
      <c r="BO328" s="372"/>
      <c r="BP328" s="372"/>
      <c r="BQ328" s="372"/>
      <c r="BR328" s="372"/>
      <c r="BS328" s="372"/>
      <c r="BT328" s="372"/>
      <c r="BU328" s="372"/>
      <c r="BV328" s="372"/>
      <c r="BW328" s="372"/>
      <c r="BX328" s="372"/>
    </row>
    <row r="329" spans="2:76" s="28" customFormat="1">
      <c r="B329" s="136"/>
      <c r="D329" s="221"/>
      <c r="E329" s="29"/>
      <c r="G329" s="338"/>
      <c r="H329" s="339"/>
      <c r="I329" s="339"/>
      <c r="J329" s="339"/>
      <c r="K329" s="339"/>
      <c r="L329" s="339"/>
      <c r="O329" s="380"/>
      <c r="AI329" s="31"/>
      <c r="AJ329" s="31"/>
      <c r="AK329" s="32"/>
      <c r="AL329" s="33"/>
      <c r="AM329" s="32"/>
      <c r="AN329" s="33"/>
      <c r="AO329" s="32"/>
      <c r="AP329" s="32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372"/>
      <c r="BD329" s="372"/>
      <c r="BE329" s="372"/>
      <c r="BF329" s="372"/>
      <c r="BG329" s="372"/>
      <c r="BH329" s="372"/>
      <c r="BI329" s="372"/>
      <c r="BJ329" s="372"/>
      <c r="BK329" s="372"/>
      <c r="BL329" s="372"/>
      <c r="BM329" s="372"/>
      <c r="BN329" s="372"/>
      <c r="BO329" s="372"/>
      <c r="BP329" s="372"/>
      <c r="BQ329" s="372"/>
      <c r="BR329" s="372"/>
      <c r="BS329" s="372"/>
      <c r="BT329" s="372"/>
      <c r="BU329" s="372"/>
      <c r="BV329" s="372"/>
      <c r="BW329" s="372"/>
      <c r="BX329" s="372"/>
    </row>
    <row r="330" spans="2:76" s="28" customFormat="1">
      <c r="B330" s="136"/>
      <c r="D330" s="221"/>
      <c r="E330" s="29"/>
      <c r="G330" s="338"/>
      <c r="H330" s="339"/>
      <c r="I330" s="339"/>
      <c r="J330" s="339"/>
      <c r="K330" s="339"/>
      <c r="L330" s="339"/>
      <c r="O330" s="376"/>
      <c r="AI330" s="31"/>
      <c r="AJ330" s="31"/>
      <c r="AK330" s="32"/>
      <c r="AL330" s="33"/>
      <c r="AM330" s="32"/>
      <c r="AN330" s="33"/>
      <c r="AO330" s="32"/>
      <c r="AP330" s="32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372"/>
      <c r="BD330" s="372"/>
      <c r="BE330" s="372"/>
      <c r="BF330" s="372"/>
      <c r="BG330" s="372"/>
      <c r="BH330" s="372"/>
      <c r="BI330" s="372"/>
      <c r="BJ330" s="372"/>
      <c r="BK330" s="372"/>
      <c r="BL330" s="372"/>
      <c r="BM330" s="372"/>
      <c r="BN330" s="372"/>
      <c r="BO330" s="372"/>
      <c r="BP330" s="372"/>
      <c r="BQ330" s="372"/>
      <c r="BR330" s="372"/>
      <c r="BS330" s="372"/>
      <c r="BT330" s="372"/>
      <c r="BU330" s="372"/>
      <c r="BV330" s="372"/>
      <c r="BW330" s="372"/>
      <c r="BX330" s="372"/>
    </row>
    <row r="331" spans="2:76" s="28" customFormat="1">
      <c r="B331" s="136"/>
      <c r="D331" s="221"/>
      <c r="E331" s="29"/>
      <c r="G331" s="338"/>
      <c r="H331" s="339"/>
      <c r="I331" s="339"/>
      <c r="J331" s="339"/>
      <c r="K331" s="339"/>
      <c r="L331" s="339"/>
      <c r="O331" s="379"/>
      <c r="AI331" s="31"/>
      <c r="AJ331" s="31"/>
      <c r="AK331" s="32"/>
      <c r="AL331" s="33"/>
      <c r="AM331" s="32"/>
      <c r="AN331" s="33"/>
      <c r="AO331" s="32"/>
      <c r="AP331" s="32"/>
      <c r="AQ331" s="136"/>
      <c r="AR331" s="136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372"/>
      <c r="BD331" s="372"/>
      <c r="BE331" s="372"/>
      <c r="BF331" s="372"/>
      <c r="BG331" s="372"/>
      <c r="BH331" s="372"/>
      <c r="BI331" s="372"/>
      <c r="BJ331" s="372"/>
      <c r="BK331" s="372"/>
      <c r="BL331" s="372"/>
      <c r="BM331" s="372"/>
      <c r="BN331" s="372"/>
      <c r="BO331" s="372"/>
      <c r="BP331" s="372"/>
      <c r="BQ331" s="372"/>
      <c r="BR331" s="372"/>
      <c r="BS331" s="372"/>
      <c r="BT331" s="372"/>
      <c r="BU331" s="372"/>
      <c r="BV331" s="372"/>
      <c r="BW331" s="372"/>
      <c r="BX331" s="372"/>
    </row>
    <row r="332" spans="2:76" s="28" customFormat="1">
      <c r="B332" s="136"/>
      <c r="D332" s="221"/>
      <c r="E332" s="29"/>
      <c r="G332" s="338"/>
      <c r="H332" s="339"/>
      <c r="I332" s="339"/>
      <c r="J332" s="339"/>
      <c r="K332" s="339"/>
      <c r="L332" s="339"/>
      <c r="O332" s="377"/>
      <c r="AI332" s="31"/>
      <c r="AJ332" s="31"/>
      <c r="AK332" s="32"/>
      <c r="AL332" s="33"/>
      <c r="AM332" s="32"/>
      <c r="AN332" s="33"/>
      <c r="AO332" s="32"/>
      <c r="AP332" s="32"/>
      <c r="AQ332" s="136"/>
      <c r="AR332" s="136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372"/>
      <c r="BD332" s="372"/>
      <c r="BE332" s="372"/>
      <c r="BF332" s="372"/>
      <c r="BG332" s="372"/>
      <c r="BH332" s="372"/>
      <c r="BI332" s="372"/>
      <c r="BJ332" s="372"/>
      <c r="BK332" s="372"/>
      <c r="BL332" s="372"/>
      <c r="BM332" s="372"/>
      <c r="BN332" s="372"/>
      <c r="BO332" s="372"/>
      <c r="BP332" s="372"/>
      <c r="BQ332" s="372"/>
      <c r="BR332" s="372"/>
      <c r="BS332" s="372"/>
      <c r="BT332" s="372"/>
      <c r="BU332" s="372"/>
      <c r="BV332" s="372"/>
      <c r="BW332" s="372"/>
      <c r="BX332" s="372"/>
    </row>
    <row r="333" spans="2:76" s="28" customFormat="1">
      <c r="B333" s="136"/>
      <c r="D333" s="221"/>
      <c r="E333" s="29"/>
      <c r="G333" s="338"/>
      <c r="H333" s="339"/>
      <c r="I333" s="339"/>
      <c r="J333" s="339"/>
      <c r="K333" s="339"/>
      <c r="L333" s="339"/>
      <c r="O333" s="377"/>
      <c r="AI333" s="31"/>
      <c r="AJ333" s="31"/>
      <c r="AK333" s="32"/>
      <c r="AL333" s="33"/>
      <c r="AM333" s="32"/>
      <c r="AN333" s="33"/>
      <c r="AO333" s="32"/>
      <c r="AP333" s="32"/>
      <c r="AQ333" s="136"/>
      <c r="AR333" s="136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372"/>
      <c r="BD333" s="372"/>
      <c r="BE333" s="372"/>
      <c r="BF333" s="372"/>
      <c r="BG333" s="372"/>
      <c r="BH333" s="372"/>
      <c r="BI333" s="372"/>
      <c r="BJ333" s="372"/>
      <c r="BK333" s="372"/>
      <c r="BL333" s="372"/>
      <c r="BM333" s="372"/>
      <c r="BN333" s="372"/>
      <c r="BO333" s="372"/>
      <c r="BP333" s="372"/>
      <c r="BQ333" s="372"/>
      <c r="BR333" s="372"/>
      <c r="BS333" s="372"/>
      <c r="BT333" s="372"/>
      <c r="BU333" s="372"/>
      <c r="BV333" s="372"/>
      <c r="BW333" s="372"/>
      <c r="BX333" s="372"/>
    </row>
    <row r="334" spans="2:76" s="28" customFormat="1">
      <c r="B334" s="136"/>
      <c r="D334" s="221"/>
      <c r="E334" s="29"/>
      <c r="G334" s="338"/>
      <c r="H334" s="339"/>
      <c r="I334" s="339"/>
      <c r="J334" s="339"/>
      <c r="K334" s="339"/>
      <c r="L334" s="339"/>
      <c r="O334" s="377"/>
      <c r="AI334" s="31"/>
      <c r="AJ334" s="31"/>
      <c r="AK334" s="32"/>
      <c r="AL334" s="33"/>
      <c r="AM334" s="32"/>
      <c r="AN334" s="33"/>
      <c r="AO334" s="32"/>
      <c r="AP334" s="32"/>
      <c r="AQ334" s="136"/>
      <c r="AR334" s="136"/>
      <c r="AS334" s="136"/>
      <c r="AT334" s="136"/>
      <c r="AU334" s="136"/>
      <c r="AV334" s="136"/>
      <c r="AW334" s="136"/>
      <c r="AX334" s="136"/>
      <c r="AY334" s="136"/>
      <c r="AZ334" s="136"/>
      <c r="BA334" s="136"/>
      <c r="BB334" s="136"/>
      <c r="BC334" s="372"/>
      <c r="BD334" s="372"/>
      <c r="BE334" s="372"/>
      <c r="BF334" s="372"/>
      <c r="BG334" s="372"/>
      <c r="BH334" s="372"/>
      <c r="BI334" s="372"/>
      <c r="BJ334" s="372"/>
      <c r="BK334" s="372"/>
      <c r="BL334" s="372"/>
      <c r="BM334" s="372"/>
      <c r="BN334" s="372"/>
      <c r="BO334" s="372"/>
      <c r="BP334" s="372"/>
      <c r="BQ334" s="372"/>
      <c r="BR334" s="372"/>
      <c r="BS334" s="372"/>
      <c r="BT334" s="372"/>
      <c r="BU334" s="372"/>
      <c r="BV334" s="372"/>
      <c r="BW334" s="372"/>
      <c r="BX334" s="372"/>
    </row>
    <row r="335" spans="2:76" s="28" customFormat="1">
      <c r="B335" s="136"/>
      <c r="D335" s="221"/>
      <c r="E335" s="29"/>
      <c r="G335" s="338"/>
      <c r="H335" s="339"/>
      <c r="I335" s="339"/>
      <c r="J335" s="339"/>
      <c r="K335" s="339"/>
      <c r="L335" s="339"/>
      <c r="O335" s="377"/>
      <c r="AI335" s="31"/>
      <c r="AJ335" s="31"/>
      <c r="AK335" s="32"/>
      <c r="AL335" s="33"/>
      <c r="AM335" s="32"/>
      <c r="AN335" s="33"/>
      <c r="AO335" s="32"/>
      <c r="AP335" s="32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372"/>
      <c r="BD335" s="372"/>
      <c r="BE335" s="372"/>
      <c r="BF335" s="372"/>
      <c r="BG335" s="372"/>
      <c r="BH335" s="372"/>
      <c r="BI335" s="372"/>
      <c r="BJ335" s="372"/>
      <c r="BK335" s="372"/>
      <c r="BL335" s="372"/>
      <c r="BM335" s="372"/>
      <c r="BN335" s="372"/>
      <c r="BO335" s="372"/>
      <c r="BP335" s="372"/>
      <c r="BQ335" s="372"/>
      <c r="BR335" s="372"/>
      <c r="BS335" s="372"/>
      <c r="BT335" s="372"/>
      <c r="BU335" s="372"/>
      <c r="BV335" s="372"/>
      <c r="BW335" s="372"/>
      <c r="BX335" s="372"/>
    </row>
    <row r="336" spans="2:76" s="28" customFormat="1">
      <c r="B336" s="136"/>
      <c r="D336" s="221"/>
      <c r="E336" s="29"/>
      <c r="G336" s="338"/>
      <c r="H336" s="339"/>
      <c r="I336" s="339"/>
      <c r="J336" s="339"/>
      <c r="K336" s="339"/>
      <c r="L336" s="339"/>
      <c r="O336" s="389"/>
      <c r="AI336" s="31"/>
      <c r="AJ336" s="31"/>
      <c r="AK336" s="32"/>
      <c r="AL336" s="33"/>
      <c r="AM336" s="32"/>
      <c r="AN336" s="33"/>
      <c r="AO336" s="32"/>
      <c r="AP336" s="32"/>
      <c r="AQ336" s="136"/>
      <c r="AR336" s="136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372"/>
      <c r="BD336" s="372"/>
      <c r="BE336" s="372"/>
      <c r="BF336" s="372"/>
      <c r="BG336" s="372"/>
      <c r="BH336" s="372"/>
      <c r="BI336" s="372"/>
      <c r="BJ336" s="372"/>
      <c r="BK336" s="372"/>
      <c r="BL336" s="372"/>
      <c r="BM336" s="372"/>
      <c r="BN336" s="372"/>
      <c r="BO336" s="372"/>
      <c r="BP336" s="372"/>
      <c r="BQ336" s="372"/>
      <c r="BR336" s="372"/>
      <c r="BS336" s="372"/>
      <c r="BT336" s="372"/>
      <c r="BU336" s="372"/>
      <c r="BV336" s="372"/>
      <c r="BW336" s="372"/>
      <c r="BX336" s="372"/>
    </row>
    <row r="337" spans="2:76" s="28" customFormat="1">
      <c r="B337" s="136"/>
      <c r="D337" s="221"/>
      <c r="E337" s="29"/>
      <c r="G337" s="338"/>
      <c r="H337" s="339"/>
      <c r="I337" s="339"/>
      <c r="J337" s="339"/>
      <c r="K337" s="339"/>
      <c r="L337" s="339"/>
      <c r="O337" s="377"/>
      <c r="AI337" s="31"/>
      <c r="AJ337" s="31"/>
      <c r="AK337" s="32"/>
      <c r="AL337" s="33"/>
      <c r="AM337" s="32"/>
      <c r="AN337" s="33"/>
      <c r="AO337" s="32"/>
      <c r="AP337" s="32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372"/>
      <c r="BD337" s="372"/>
      <c r="BE337" s="372"/>
      <c r="BF337" s="372"/>
      <c r="BG337" s="372"/>
      <c r="BH337" s="372"/>
      <c r="BI337" s="372"/>
      <c r="BJ337" s="372"/>
      <c r="BK337" s="372"/>
      <c r="BL337" s="372"/>
      <c r="BM337" s="372"/>
      <c r="BN337" s="372"/>
      <c r="BO337" s="372"/>
      <c r="BP337" s="372"/>
      <c r="BQ337" s="372"/>
      <c r="BR337" s="372"/>
      <c r="BS337" s="372"/>
      <c r="BT337" s="372"/>
      <c r="BU337" s="372"/>
      <c r="BV337" s="372"/>
      <c r="BW337" s="372"/>
      <c r="BX337" s="372"/>
    </row>
    <row r="338" spans="2:76" s="28" customFormat="1">
      <c r="B338" s="136"/>
      <c r="D338" s="221"/>
      <c r="E338" s="29"/>
      <c r="G338" s="338"/>
      <c r="H338" s="339"/>
      <c r="I338" s="339"/>
      <c r="J338" s="339"/>
      <c r="K338" s="339"/>
      <c r="L338" s="339"/>
      <c r="O338" s="377"/>
      <c r="AI338" s="31"/>
      <c r="AJ338" s="31"/>
      <c r="AK338" s="32"/>
      <c r="AL338" s="33"/>
      <c r="AM338" s="32"/>
      <c r="AN338" s="33"/>
      <c r="AO338" s="32"/>
      <c r="AP338" s="32"/>
      <c r="AQ338" s="136"/>
      <c r="AR338" s="136"/>
      <c r="AS338" s="136"/>
      <c r="AT338" s="136"/>
      <c r="AU338" s="136"/>
      <c r="AV338" s="136"/>
      <c r="AW338" s="136"/>
      <c r="AX338" s="136"/>
      <c r="AY338" s="136"/>
      <c r="AZ338" s="136"/>
      <c r="BA338" s="136"/>
      <c r="BB338" s="136"/>
      <c r="BC338" s="372"/>
      <c r="BD338" s="372"/>
      <c r="BE338" s="372"/>
      <c r="BF338" s="372"/>
      <c r="BG338" s="372"/>
      <c r="BH338" s="372"/>
      <c r="BI338" s="372"/>
      <c r="BJ338" s="372"/>
      <c r="BK338" s="372"/>
      <c r="BL338" s="372"/>
      <c r="BM338" s="372"/>
      <c r="BN338" s="372"/>
      <c r="BO338" s="372"/>
      <c r="BP338" s="372"/>
      <c r="BQ338" s="372"/>
      <c r="BR338" s="372"/>
      <c r="BS338" s="372"/>
      <c r="BT338" s="372"/>
      <c r="BU338" s="372"/>
      <c r="BV338" s="372"/>
      <c r="BW338" s="372"/>
      <c r="BX338" s="372"/>
    </row>
    <row r="339" spans="2:76" s="28" customFormat="1">
      <c r="B339" s="136"/>
      <c r="D339" s="221"/>
      <c r="E339" s="29"/>
      <c r="G339" s="338"/>
      <c r="H339" s="339"/>
      <c r="I339" s="339"/>
      <c r="J339" s="339"/>
      <c r="K339" s="339"/>
      <c r="L339" s="339"/>
      <c r="O339" s="377"/>
      <c r="AI339" s="31"/>
      <c r="AJ339" s="31"/>
      <c r="AK339" s="32"/>
      <c r="AL339" s="33"/>
      <c r="AM339" s="32"/>
      <c r="AN339" s="33"/>
      <c r="AO339" s="32"/>
      <c r="AP339" s="32"/>
      <c r="AQ339" s="136"/>
      <c r="AR339" s="136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372"/>
      <c r="BD339" s="372"/>
      <c r="BE339" s="372"/>
      <c r="BF339" s="372"/>
      <c r="BG339" s="372"/>
      <c r="BH339" s="372"/>
      <c r="BI339" s="372"/>
      <c r="BJ339" s="372"/>
      <c r="BK339" s="372"/>
      <c r="BL339" s="372"/>
      <c r="BM339" s="372"/>
      <c r="BN339" s="372"/>
      <c r="BO339" s="372"/>
      <c r="BP339" s="372"/>
      <c r="BQ339" s="372"/>
      <c r="BR339" s="372"/>
      <c r="BS339" s="372"/>
      <c r="BT339" s="372"/>
      <c r="BU339" s="372"/>
      <c r="BV339" s="372"/>
      <c r="BW339" s="372"/>
      <c r="BX339" s="372"/>
    </row>
    <row r="340" spans="2:76" s="28" customFormat="1">
      <c r="B340" s="136"/>
      <c r="D340" s="221"/>
      <c r="E340" s="29"/>
      <c r="G340" s="338"/>
      <c r="H340" s="339"/>
      <c r="I340" s="339"/>
      <c r="J340" s="339"/>
      <c r="K340" s="339"/>
      <c r="L340" s="339"/>
      <c r="O340" s="380"/>
      <c r="AI340" s="31"/>
      <c r="AJ340" s="31"/>
      <c r="AK340" s="32"/>
      <c r="AL340" s="33"/>
      <c r="AM340" s="32"/>
      <c r="AN340" s="33"/>
      <c r="AO340" s="32"/>
      <c r="AP340" s="32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372"/>
      <c r="BD340" s="372"/>
      <c r="BE340" s="372"/>
      <c r="BF340" s="372"/>
      <c r="BG340" s="372"/>
      <c r="BH340" s="372"/>
      <c r="BI340" s="372"/>
      <c r="BJ340" s="372"/>
      <c r="BK340" s="372"/>
      <c r="BL340" s="372"/>
      <c r="BM340" s="372"/>
      <c r="BN340" s="372"/>
      <c r="BO340" s="372"/>
      <c r="BP340" s="372"/>
      <c r="BQ340" s="372"/>
      <c r="BR340" s="372"/>
      <c r="BS340" s="372"/>
      <c r="BT340" s="372"/>
      <c r="BU340" s="372"/>
      <c r="BV340" s="372"/>
      <c r="BW340" s="372"/>
      <c r="BX340" s="372"/>
    </row>
    <row r="341" spans="2:76" s="28" customFormat="1">
      <c r="B341" s="136"/>
      <c r="D341" s="221"/>
      <c r="E341" s="29"/>
      <c r="G341" s="338"/>
      <c r="H341" s="339"/>
      <c r="I341" s="339"/>
      <c r="J341" s="339"/>
      <c r="K341" s="339"/>
      <c r="L341" s="339"/>
      <c r="O341" s="377"/>
      <c r="AI341" s="31"/>
      <c r="AJ341" s="31"/>
      <c r="AK341" s="32"/>
      <c r="AL341" s="33"/>
      <c r="AM341" s="32"/>
      <c r="AN341" s="33"/>
      <c r="AO341" s="32"/>
      <c r="AP341" s="32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372"/>
      <c r="BD341" s="372"/>
      <c r="BE341" s="372"/>
      <c r="BF341" s="372"/>
      <c r="BG341" s="372"/>
      <c r="BH341" s="372"/>
      <c r="BI341" s="372"/>
      <c r="BJ341" s="372"/>
      <c r="BK341" s="372"/>
      <c r="BL341" s="372"/>
      <c r="BM341" s="372"/>
      <c r="BN341" s="372"/>
      <c r="BO341" s="372"/>
      <c r="BP341" s="372"/>
      <c r="BQ341" s="372"/>
      <c r="BR341" s="372"/>
      <c r="BS341" s="372"/>
      <c r="BT341" s="372"/>
      <c r="BU341" s="372"/>
      <c r="BV341" s="372"/>
      <c r="BW341" s="372"/>
      <c r="BX341" s="372"/>
    </row>
    <row r="342" spans="2:76" s="28" customFormat="1">
      <c r="B342" s="136"/>
      <c r="D342" s="221"/>
      <c r="E342" s="29"/>
      <c r="G342" s="338"/>
      <c r="H342" s="339"/>
      <c r="I342" s="339"/>
      <c r="J342" s="339"/>
      <c r="K342" s="339"/>
      <c r="L342" s="339"/>
      <c r="O342" s="377"/>
      <c r="AI342" s="31"/>
      <c r="AJ342" s="31"/>
      <c r="AK342" s="32"/>
      <c r="AL342" s="33"/>
      <c r="AM342" s="32"/>
      <c r="AN342" s="33"/>
      <c r="AO342" s="32"/>
      <c r="AP342" s="32"/>
      <c r="AQ342" s="136"/>
      <c r="AR342" s="136"/>
      <c r="AS342" s="136"/>
      <c r="AT342" s="136"/>
      <c r="AU342" s="136"/>
      <c r="AV342" s="136"/>
      <c r="AW342" s="136"/>
      <c r="AX342" s="136"/>
      <c r="AY342" s="136"/>
      <c r="AZ342" s="136"/>
      <c r="BA342" s="136"/>
      <c r="BB342" s="136"/>
      <c r="BC342" s="372"/>
      <c r="BD342" s="372"/>
      <c r="BE342" s="372"/>
      <c r="BF342" s="372"/>
      <c r="BG342" s="372"/>
      <c r="BH342" s="372"/>
      <c r="BI342" s="372"/>
      <c r="BJ342" s="372"/>
      <c r="BK342" s="372"/>
      <c r="BL342" s="372"/>
      <c r="BM342" s="372"/>
      <c r="BN342" s="372"/>
      <c r="BO342" s="372"/>
      <c r="BP342" s="372"/>
      <c r="BQ342" s="372"/>
      <c r="BR342" s="372"/>
      <c r="BS342" s="372"/>
      <c r="BT342" s="372"/>
      <c r="BU342" s="372"/>
      <c r="BV342" s="372"/>
      <c r="BW342" s="372"/>
      <c r="BX342" s="372"/>
    </row>
    <row r="343" spans="2:76" s="28" customFormat="1">
      <c r="B343" s="136"/>
      <c r="D343" s="221"/>
      <c r="E343" s="29"/>
      <c r="G343" s="338"/>
      <c r="H343" s="339"/>
      <c r="I343" s="339"/>
      <c r="J343" s="339"/>
      <c r="K343" s="339"/>
      <c r="L343" s="339"/>
      <c r="O343" s="382"/>
      <c r="AI343" s="31"/>
      <c r="AJ343" s="31"/>
      <c r="AK343" s="32"/>
      <c r="AL343" s="33"/>
      <c r="AM343" s="32"/>
      <c r="AN343" s="33"/>
      <c r="AO343" s="32"/>
      <c r="AP343" s="32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372"/>
      <c r="BD343" s="372"/>
      <c r="BE343" s="372"/>
      <c r="BF343" s="372"/>
      <c r="BG343" s="372"/>
      <c r="BH343" s="372"/>
      <c r="BI343" s="372"/>
      <c r="BJ343" s="372"/>
      <c r="BK343" s="372"/>
      <c r="BL343" s="372"/>
      <c r="BM343" s="372"/>
      <c r="BN343" s="372"/>
      <c r="BO343" s="372"/>
      <c r="BP343" s="372"/>
      <c r="BQ343" s="372"/>
      <c r="BR343" s="372"/>
      <c r="BS343" s="372"/>
      <c r="BT343" s="372"/>
      <c r="BU343" s="372"/>
      <c r="BV343" s="372"/>
      <c r="BW343" s="372"/>
      <c r="BX343" s="372"/>
    </row>
    <row r="344" spans="2:76" s="28" customFormat="1">
      <c r="B344" s="136"/>
      <c r="D344" s="221"/>
      <c r="E344" s="29"/>
      <c r="G344" s="338"/>
      <c r="H344" s="339"/>
      <c r="I344" s="339"/>
      <c r="J344" s="339"/>
      <c r="K344" s="339"/>
      <c r="L344" s="339"/>
      <c r="O344" s="377"/>
      <c r="AI344" s="31"/>
      <c r="AJ344" s="31"/>
      <c r="AK344" s="32"/>
      <c r="AL344" s="33"/>
      <c r="AM344" s="32"/>
      <c r="AN344" s="33"/>
      <c r="AO344" s="32"/>
      <c r="AP344" s="32"/>
      <c r="AQ344" s="136"/>
      <c r="AR344" s="136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372"/>
      <c r="BD344" s="372"/>
      <c r="BE344" s="372"/>
      <c r="BF344" s="372"/>
      <c r="BG344" s="372"/>
      <c r="BH344" s="372"/>
      <c r="BI344" s="372"/>
      <c r="BJ344" s="372"/>
      <c r="BK344" s="372"/>
      <c r="BL344" s="372"/>
      <c r="BM344" s="372"/>
      <c r="BN344" s="372"/>
      <c r="BO344" s="372"/>
      <c r="BP344" s="372"/>
      <c r="BQ344" s="372"/>
      <c r="BR344" s="372"/>
      <c r="BS344" s="372"/>
      <c r="BT344" s="372"/>
      <c r="BU344" s="372"/>
      <c r="BV344" s="372"/>
      <c r="BW344" s="372"/>
      <c r="BX344" s="372"/>
    </row>
    <row r="345" spans="2:76" s="28" customFormat="1">
      <c r="B345" s="136"/>
      <c r="D345" s="221"/>
      <c r="E345" s="29"/>
      <c r="G345" s="338"/>
      <c r="H345" s="339"/>
      <c r="I345" s="339"/>
      <c r="J345" s="339"/>
      <c r="K345" s="339"/>
      <c r="L345" s="339"/>
      <c r="O345" s="380"/>
      <c r="AI345" s="31"/>
      <c r="AJ345" s="31"/>
      <c r="AK345" s="32"/>
      <c r="AL345" s="33"/>
      <c r="AM345" s="32"/>
      <c r="AN345" s="33"/>
      <c r="AO345" s="32"/>
      <c r="AP345" s="32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372"/>
      <c r="BD345" s="372"/>
      <c r="BE345" s="372"/>
      <c r="BF345" s="372"/>
      <c r="BG345" s="372"/>
      <c r="BH345" s="372"/>
      <c r="BI345" s="372"/>
      <c r="BJ345" s="372"/>
      <c r="BK345" s="372"/>
      <c r="BL345" s="372"/>
      <c r="BM345" s="372"/>
      <c r="BN345" s="372"/>
      <c r="BO345" s="372"/>
      <c r="BP345" s="372"/>
      <c r="BQ345" s="372"/>
      <c r="BR345" s="372"/>
      <c r="BS345" s="372"/>
      <c r="BT345" s="372"/>
      <c r="BU345" s="372"/>
      <c r="BV345" s="372"/>
      <c r="BW345" s="372"/>
      <c r="BX345" s="372"/>
    </row>
    <row r="346" spans="2:76" s="28" customFormat="1">
      <c r="B346" s="136"/>
      <c r="D346" s="221"/>
      <c r="E346" s="29"/>
      <c r="G346" s="338"/>
      <c r="H346" s="339"/>
      <c r="I346" s="339"/>
      <c r="J346" s="339"/>
      <c r="K346" s="339"/>
      <c r="L346" s="339"/>
      <c r="O346" s="380"/>
      <c r="AI346" s="31"/>
      <c r="AJ346" s="31"/>
      <c r="AK346" s="32"/>
      <c r="AL346" s="33"/>
      <c r="AM346" s="32"/>
      <c r="AN346" s="33"/>
      <c r="AO346" s="32"/>
      <c r="AP346" s="32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372"/>
      <c r="BD346" s="372"/>
      <c r="BE346" s="372"/>
      <c r="BF346" s="372"/>
      <c r="BG346" s="372"/>
      <c r="BH346" s="372"/>
      <c r="BI346" s="372"/>
      <c r="BJ346" s="372"/>
      <c r="BK346" s="372"/>
      <c r="BL346" s="372"/>
      <c r="BM346" s="372"/>
      <c r="BN346" s="372"/>
      <c r="BO346" s="372"/>
      <c r="BP346" s="372"/>
      <c r="BQ346" s="372"/>
      <c r="BR346" s="372"/>
      <c r="BS346" s="372"/>
      <c r="BT346" s="372"/>
      <c r="BU346" s="372"/>
      <c r="BV346" s="372"/>
      <c r="BW346" s="372"/>
      <c r="BX346" s="372"/>
    </row>
    <row r="347" spans="2:76" s="28" customFormat="1">
      <c r="B347" s="136"/>
      <c r="D347" s="221"/>
      <c r="E347" s="29"/>
      <c r="G347" s="338"/>
      <c r="H347" s="339"/>
      <c r="I347" s="339"/>
      <c r="J347" s="339"/>
      <c r="K347" s="339"/>
      <c r="L347" s="339"/>
      <c r="O347" s="381"/>
      <c r="AI347" s="31"/>
      <c r="AJ347" s="31"/>
      <c r="AK347" s="32"/>
      <c r="AL347" s="33"/>
      <c r="AM347" s="32"/>
      <c r="AN347" s="33"/>
      <c r="AO347" s="32"/>
      <c r="AP347" s="32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372"/>
      <c r="BD347" s="372"/>
      <c r="BE347" s="372"/>
      <c r="BF347" s="372"/>
      <c r="BG347" s="372"/>
      <c r="BH347" s="372"/>
      <c r="BI347" s="372"/>
      <c r="BJ347" s="372"/>
      <c r="BK347" s="372"/>
      <c r="BL347" s="372"/>
      <c r="BM347" s="372"/>
      <c r="BN347" s="372"/>
      <c r="BO347" s="372"/>
      <c r="BP347" s="372"/>
      <c r="BQ347" s="372"/>
      <c r="BR347" s="372"/>
      <c r="BS347" s="372"/>
      <c r="BT347" s="372"/>
      <c r="BU347" s="372"/>
      <c r="BV347" s="372"/>
      <c r="BW347" s="372"/>
      <c r="BX347" s="372"/>
    </row>
    <row r="348" spans="2:76" s="28" customFormat="1">
      <c r="B348" s="136"/>
      <c r="D348" s="221"/>
      <c r="E348" s="29"/>
      <c r="G348" s="338"/>
      <c r="H348" s="339"/>
      <c r="I348" s="339"/>
      <c r="J348" s="339"/>
      <c r="K348" s="339"/>
      <c r="L348" s="339"/>
      <c r="O348" s="377"/>
      <c r="AI348" s="31"/>
      <c r="AJ348" s="31"/>
      <c r="AK348" s="32"/>
      <c r="AL348" s="33"/>
      <c r="AM348" s="32"/>
      <c r="AN348" s="33"/>
      <c r="AO348" s="32"/>
      <c r="AP348" s="32"/>
      <c r="AQ348" s="136"/>
      <c r="AR348" s="136"/>
      <c r="AS348" s="136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372"/>
      <c r="BD348" s="372"/>
      <c r="BE348" s="372"/>
      <c r="BF348" s="372"/>
      <c r="BG348" s="372"/>
      <c r="BH348" s="372"/>
      <c r="BI348" s="372"/>
      <c r="BJ348" s="372"/>
      <c r="BK348" s="372"/>
      <c r="BL348" s="372"/>
      <c r="BM348" s="372"/>
      <c r="BN348" s="372"/>
      <c r="BO348" s="372"/>
      <c r="BP348" s="372"/>
      <c r="BQ348" s="372"/>
      <c r="BR348" s="372"/>
      <c r="BS348" s="372"/>
      <c r="BT348" s="372"/>
      <c r="BU348" s="372"/>
      <c r="BV348" s="372"/>
      <c r="BW348" s="372"/>
      <c r="BX348" s="372"/>
    </row>
    <row r="349" spans="2:76" s="28" customFormat="1">
      <c r="B349" s="136"/>
      <c r="D349" s="221"/>
      <c r="E349" s="29"/>
      <c r="G349" s="338"/>
      <c r="H349" s="339"/>
      <c r="I349" s="339"/>
      <c r="J349" s="339"/>
      <c r="K349" s="339"/>
      <c r="L349" s="339"/>
      <c r="O349" s="377"/>
      <c r="AI349" s="31"/>
      <c r="AJ349" s="31"/>
      <c r="AK349" s="32"/>
      <c r="AL349" s="33"/>
      <c r="AM349" s="32"/>
      <c r="AN349" s="33"/>
      <c r="AO349" s="32"/>
      <c r="AP349" s="32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372"/>
      <c r="BD349" s="372"/>
      <c r="BE349" s="372"/>
      <c r="BF349" s="372"/>
      <c r="BG349" s="372"/>
      <c r="BH349" s="372"/>
      <c r="BI349" s="372"/>
      <c r="BJ349" s="372"/>
      <c r="BK349" s="372"/>
      <c r="BL349" s="372"/>
      <c r="BM349" s="372"/>
      <c r="BN349" s="372"/>
      <c r="BO349" s="372"/>
      <c r="BP349" s="372"/>
      <c r="BQ349" s="372"/>
      <c r="BR349" s="372"/>
      <c r="BS349" s="372"/>
      <c r="BT349" s="372"/>
      <c r="BU349" s="372"/>
      <c r="BV349" s="372"/>
      <c r="BW349" s="372"/>
      <c r="BX349" s="372"/>
    </row>
    <row r="350" spans="2:76" s="28" customFormat="1">
      <c r="B350" s="136"/>
      <c r="D350" s="221"/>
      <c r="E350" s="29"/>
      <c r="G350" s="338"/>
      <c r="H350" s="339"/>
      <c r="I350" s="339"/>
      <c r="J350" s="339"/>
      <c r="K350" s="339"/>
      <c r="L350" s="339"/>
      <c r="O350" s="381"/>
      <c r="AI350" s="31"/>
      <c r="AJ350" s="31"/>
      <c r="AK350" s="32"/>
      <c r="AL350" s="33"/>
      <c r="AM350" s="32"/>
      <c r="AN350" s="33"/>
      <c r="AO350" s="32"/>
      <c r="AP350" s="32"/>
      <c r="AQ350" s="136"/>
      <c r="AR350" s="136"/>
      <c r="AS350" s="136"/>
      <c r="AT350" s="136"/>
      <c r="AU350" s="136"/>
      <c r="AV350" s="136"/>
      <c r="AW350" s="136"/>
      <c r="AX350" s="136"/>
      <c r="AY350" s="136"/>
      <c r="AZ350" s="136"/>
      <c r="BA350" s="136"/>
      <c r="BB350" s="136"/>
      <c r="BC350" s="372"/>
      <c r="BD350" s="372"/>
      <c r="BE350" s="372"/>
      <c r="BF350" s="372"/>
      <c r="BG350" s="372"/>
      <c r="BH350" s="372"/>
      <c r="BI350" s="372"/>
      <c r="BJ350" s="372"/>
      <c r="BK350" s="372"/>
      <c r="BL350" s="372"/>
      <c r="BM350" s="372"/>
      <c r="BN350" s="372"/>
      <c r="BO350" s="372"/>
      <c r="BP350" s="372"/>
      <c r="BQ350" s="372"/>
      <c r="BR350" s="372"/>
      <c r="BS350" s="372"/>
      <c r="BT350" s="372"/>
      <c r="BU350" s="372"/>
      <c r="BV350" s="372"/>
      <c r="BW350" s="372"/>
      <c r="BX350" s="372"/>
    </row>
    <row r="351" spans="2:76" s="28" customFormat="1">
      <c r="B351" s="136"/>
      <c r="D351" s="221"/>
      <c r="E351" s="29"/>
      <c r="G351" s="338"/>
      <c r="H351" s="339"/>
      <c r="I351" s="339"/>
      <c r="J351" s="339"/>
      <c r="K351" s="339"/>
      <c r="L351" s="339"/>
      <c r="O351" s="380"/>
      <c r="AI351" s="31"/>
      <c r="AJ351" s="31"/>
      <c r="AK351" s="32"/>
      <c r="AL351" s="33"/>
      <c r="AM351" s="32"/>
      <c r="AN351" s="33"/>
      <c r="AO351" s="32"/>
      <c r="AP351" s="32"/>
      <c r="AQ351" s="136"/>
      <c r="AR351" s="136"/>
      <c r="AS351" s="136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372"/>
      <c r="BD351" s="372"/>
      <c r="BE351" s="372"/>
      <c r="BF351" s="372"/>
      <c r="BG351" s="372"/>
      <c r="BH351" s="372"/>
      <c r="BI351" s="372"/>
      <c r="BJ351" s="372"/>
      <c r="BK351" s="372"/>
      <c r="BL351" s="372"/>
      <c r="BM351" s="372"/>
      <c r="BN351" s="372"/>
      <c r="BO351" s="372"/>
      <c r="BP351" s="372"/>
      <c r="BQ351" s="372"/>
      <c r="BR351" s="372"/>
      <c r="BS351" s="372"/>
      <c r="BT351" s="372"/>
      <c r="BU351" s="372"/>
      <c r="BV351" s="372"/>
      <c r="BW351" s="372"/>
      <c r="BX351" s="372"/>
    </row>
    <row r="352" spans="2:76" s="28" customFormat="1">
      <c r="B352" s="136"/>
      <c r="D352" s="221"/>
      <c r="E352" s="29"/>
      <c r="G352" s="338"/>
      <c r="H352" s="339"/>
      <c r="I352" s="339"/>
      <c r="J352" s="339"/>
      <c r="K352" s="339"/>
      <c r="L352" s="339"/>
      <c r="O352" s="377"/>
      <c r="AI352" s="31"/>
      <c r="AJ352" s="31"/>
      <c r="AK352" s="32"/>
      <c r="AL352" s="33"/>
      <c r="AM352" s="32"/>
      <c r="AN352" s="33"/>
      <c r="AO352" s="32"/>
      <c r="AP352" s="32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372"/>
      <c r="BD352" s="372"/>
      <c r="BE352" s="372"/>
      <c r="BF352" s="372"/>
      <c r="BG352" s="372"/>
      <c r="BH352" s="372"/>
      <c r="BI352" s="372"/>
      <c r="BJ352" s="372"/>
      <c r="BK352" s="372"/>
      <c r="BL352" s="372"/>
      <c r="BM352" s="372"/>
      <c r="BN352" s="372"/>
      <c r="BO352" s="372"/>
      <c r="BP352" s="372"/>
      <c r="BQ352" s="372"/>
      <c r="BR352" s="372"/>
      <c r="BS352" s="372"/>
      <c r="BT352" s="372"/>
      <c r="BU352" s="372"/>
      <c r="BV352" s="372"/>
      <c r="BW352" s="372"/>
      <c r="BX352" s="372"/>
    </row>
    <row r="353" spans="2:76" s="28" customFormat="1">
      <c r="B353" s="136"/>
      <c r="D353" s="221"/>
      <c r="E353" s="29"/>
      <c r="G353" s="338"/>
      <c r="H353" s="339"/>
      <c r="I353" s="339"/>
      <c r="J353" s="339"/>
      <c r="K353" s="339"/>
      <c r="L353" s="339"/>
      <c r="O353" s="381"/>
      <c r="AI353" s="31"/>
      <c r="AJ353" s="31"/>
      <c r="AK353" s="32"/>
      <c r="AL353" s="33"/>
      <c r="AM353" s="32"/>
      <c r="AN353" s="33"/>
      <c r="AO353" s="32"/>
      <c r="AP353" s="32"/>
      <c r="AQ353" s="136"/>
      <c r="AR353" s="136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372"/>
      <c r="BD353" s="372"/>
      <c r="BE353" s="372"/>
      <c r="BF353" s="372"/>
      <c r="BG353" s="372"/>
      <c r="BH353" s="372"/>
      <c r="BI353" s="372"/>
      <c r="BJ353" s="372"/>
      <c r="BK353" s="372"/>
      <c r="BL353" s="372"/>
      <c r="BM353" s="372"/>
      <c r="BN353" s="372"/>
      <c r="BO353" s="372"/>
      <c r="BP353" s="372"/>
      <c r="BQ353" s="372"/>
      <c r="BR353" s="372"/>
      <c r="BS353" s="372"/>
      <c r="BT353" s="372"/>
      <c r="BU353" s="372"/>
      <c r="BV353" s="372"/>
      <c r="BW353" s="372"/>
      <c r="BX353" s="372"/>
    </row>
    <row r="354" spans="2:76" s="28" customFormat="1">
      <c r="B354" s="136"/>
      <c r="D354" s="221"/>
      <c r="E354" s="29"/>
      <c r="G354" s="338"/>
      <c r="H354" s="339"/>
      <c r="I354" s="339"/>
      <c r="J354" s="339"/>
      <c r="K354" s="339"/>
      <c r="L354" s="339"/>
      <c r="O354" s="380"/>
      <c r="AI354" s="31"/>
      <c r="AJ354" s="31"/>
      <c r="AK354" s="32"/>
      <c r="AL354" s="33"/>
      <c r="AM354" s="32"/>
      <c r="AN354" s="33"/>
      <c r="AO354" s="32"/>
      <c r="AP354" s="32"/>
      <c r="AQ354" s="136"/>
      <c r="AR354" s="136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372"/>
      <c r="BD354" s="372"/>
      <c r="BE354" s="372"/>
      <c r="BF354" s="372"/>
      <c r="BG354" s="372"/>
      <c r="BH354" s="372"/>
      <c r="BI354" s="372"/>
      <c r="BJ354" s="372"/>
      <c r="BK354" s="372"/>
      <c r="BL354" s="372"/>
      <c r="BM354" s="372"/>
      <c r="BN354" s="372"/>
      <c r="BO354" s="372"/>
      <c r="BP354" s="372"/>
      <c r="BQ354" s="372"/>
      <c r="BR354" s="372"/>
      <c r="BS354" s="372"/>
      <c r="BT354" s="372"/>
      <c r="BU354" s="372"/>
      <c r="BV354" s="372"/>
      <c r="BW354" s="372"/>
      <c r="BX354" s="372"/>
    </row>
    <row r="355" spans="2:76" s="28" customFormat="1">
      <c r="B355" s="136"/>
      <c r="D355" s="221"/>
      <c r="E355" s="29"/>
      <c r="G355" s="338"/>
      <c r="H355" s="339"/>
      <c r="I355" s="339"/>
      <c r="J355" s="339"/>
      <c r="K355" s="339"/>
      <c r="L355" s="339"/>
      <c r="O355" s="379"/>
      <c r="AI355" s="31"/>
      <c r="AJ355" s="31"/>
      <c r="AK355" s="32"/>
      <c r="AL355" s="33"/>
      <c r="AM355" s="32"/>
      <c r="AN355" s="33"/>
      <c r="AO355" s="32"/>
      <c r="AP355" s="32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372"/>
      <c r="BD355" s="372"/>
      <c r="BE355" s="372"/>
      <c r="BF355" s="372"/>
      <c r="BG355" s="372"/>
      <c r="BH355" s="372"/>
      <c r="BI355" s="372"/>
      <c r="BJ355" s="372"/>
      <c r="BK355" s="372"/>
      <c r="BL355" s="372"/>
      <c r="BM355" s="372"/>
      <c r="BN355" s="372"/>
      <c r="BO355" s="372"/>
      <c r="BP355" s="372"/>
      <c r="BQ355" s="372"/>
      <c r="BR355" s="372"/>
      <c r="BS355" s="372"/>
      <c r="BT355" s="372"/>
      <c r="BU355" s="372"/>
      <c r="BV355" s="372"/>
      <c r="BW355" s="372"/>
      <c r="BX355" s="372"/>
    </row>
    <row r="356" spans="2:76" s="28" customFormat="1">
      <c r="B356" s="136"/>
      <c r="D356" s="221"/>
      <c r="E356" s="29"/>
      <c r="G356" s="338"/>
      <c r="H356" s="339"/>
      <c r="I356" s="339"/>
      <c r="J356" s="339"/>
      <c r="K356" s="339"/>
      <c r="L356" s="339"/>
      <c r="O356" s="385"/>
      <c r="AI356" s="31"/>
      <c r="AJ356" s="31"/>
      <c r="AK356" s="32"/>
      <c r="AL356" s="33"/>
      <c r="AM356" s="32"/>
      <c r="AN356" s="33"/>
      <c r="AO356" s="32"/>
      <c r="AP356" s="32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372"/>
      <c r="BD356" s="372"/>
      <c r="BE356" s="372"/>
      <c r="BF356" s="372"/>
      <c r="BG356" s="372"/>
      <c r="BH356" s="372"/>
      <c r="BI356" s="372"/>
      <c r="BJ356" s="372"/>
      <c r="BK356" s="372"/>
      <c r="BL356" s="372"/>
      <c r="BM356" s="372"/>
      <c r="BN356" s="372"/>
      <c r="BO356" s="372"/>
      <c r="BP356" s="372"/>
      <c r="BQ356" s="372"/>
      <c r="BR356" s="372"/>
      <c r="BS356" s="372"/>
      <c r="BT356" s="372"/>
      <c r="BU356" s="372"/>
      <c r="BV356" s="372"/>
      <c r="BW356" s="372"/>
      <c r="BX356" s="372"/>
    </row>
    <row r="357" spans="2:76" s="28" customFormat="1">
      <c r="B357" s="136"/>
      <c r="D357" s="221"/>
      <c r="E357" s="29"/>
      <c r="G357" s="338"/>
      <c r="H357" s="339"/>
      <c r="I357" s="339"/>
      <c r="J357" s="339"/>
      <c r="K357" s="339"/>
      <c r="L357" s="339"/>
      <c r="O357" s="377"/>
      <c r="AI357" s="31"/>
      <c r="AJ357" s="31"/>
      <c r="AK357" s="32"/>
      <c r="AL357" s="33"/>
      <c r="AM357" s="32"/>
      <c r="AN357" s="33"/>
      <c r="AO357" s="32"/>
      <c r="AP357" s="32"/>
      <c r="AQ357" s="136"/>
      <c r="AR357" s="136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372"/>
      <c r="BD357" s="372"/>
      <c r="BE357" s="372"/>
      <c r="BF357" s="372"/>
      <c r="BG357" s="372"/>
      <c r="BH357" s="372"/>
      <c r="BI357" s="372"/>
      <c r="BJ357" s="372"/>
      <c r="BK357" s="372"/>
      <c r="BL357" s="372"/>
      <c r="BM357" s="372"/>
      <c r="BN357" s="372"/>
      <c r="BO357" s="372"/>
      <c r="BP357" s="372"/>
      <c r="BQ357" s="372"/>
      <c r="BR357" s="372"/>
      <c r="BS357" s="372"/>
      <c r="BT357" s="372"/>
      <c r="BU357" s="372"/>
      <c r="BV357" s="372"/>
      <c r="BW357" s="372"/>
      <c r="BX357" s="372"/>
    </row>
    <row r="358" spans="2:76" s="28" customFormat="1">
      <c r="B358" s="136"/>
      <c r="D358" s="221"/>
      <c r="E358" s="29"/>
      <c r="G358" s="338"/>
      <c r="H358" s="339"/>
      <c r="I358" s="339"/>
      <c r="J358" s="339"/>
      <c r="K358" s="339"/>
      <c r="L358" s="339"/>
      <c r="O358" s="380"/>
      <c r="AI358" s="31"/>
      <c r="AJ358" s="31"/>
      <c r="AK358" s="32"/>
      <c r="AL358" s="33"/>
      <c r="AM358" s="32"/>
      <c r="AN358" s="33"/>
      <c r="AO358" s="32"/>
      <c r="AP358" s="32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372"/>
      <c r="BD358" s="372"/>
      <c r="BE358" s="372"/>
      <c r="BF358" s="372"/>
      <c r="BG358" s="372"/>
      <c r="BH358" s="372"/>
      <c r="BI358" s="372"/>
      <c r="BJ358" s="372"/>
      <c r="BK358" s="372"/>
      <c r="BL358" s="372"/>
      <c r="BM358" s="372"/>
      <c r="BN358" s="372"/>
      <c r="BO358" s="372"/>
      <c r="BP358" s="372"/>
      <c r="BQ358" s="372"/>
      <c r="BR358" s="372"/>
      <c r="BS358" s="372"/>
      <c r="BT358" s="372"/>
      <c r="BU358" s="372"/>
      <c r="BV358" s="372"/>
      <c r="BW358" s="372"/>
      <c r="BX358" s="372"/>
    </row>
    <row r="359" spans="2:76" s="28" customFormat="1">
      <c r="B359" s="136"/>
      <c r="D359" s="221"/>
      <c r="E359" s="29"/>
      <c r="G359" s="338"/>
      <c r="H359" s="339"/>
      <c r="I359" s="339"/>
      <c r="J359" s="339"/>
      <c r="K359" s="339"/>
      <c r="L359" s="339"/>
      <c r="O359" s="380"/>
      <c r="AI359" s="31"/>
      <c r="AJ359" s="31"/>
      <c r="AK359" s="32"/>
      <c r="AL359" s="33"/>
      <c r="AM359" s="32"/>
      <c r="AN359" s="33"/>
      <c r="AO359" s="32"/>
      <c r="AP359" s="32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372"/>
      <c r="BD359" s="372"/>
      <c r="BE359" s="372"/>
      <c r="BF359" s="372"/>
      <c r="BG359" s="372"/>
      <c r="BH359" s="372"/>
      <c r="BI359" s="372"/>
      <c r="BJ359" s="372"/>
      <c r="BK359" s="372"/>
      <c r="BL359" s="372"/>
      <c r="BM359" s="372"/>
      <c r="BN359" s="372"/>
      <c r="BO359" s="372"/>
      <c r="BP359" s="372"/>
      <c r="BQ359" s="372"/>
      <c r="BR359" s="372"/>
      <c r="BS359" s="372"/>
      <c r="BT359" s="372"/>
      <c r="BU359" s="372"/>
      <c r="BV359" s="372"/>
      <c r="BW359" s="372"/>
      <c r="BX359" s="372"/>
    </row>
    <row r="360" spans="2:76" s="28" customFormat="1">
      <c r="B360" s="136"/>
      <c r="D360" s="221"/>
      <c r="E360" s="29"/>
      <c r="G360" s="338"/>
      <c r="H360" s="339"/>
      <c r="I360" s="339"/>
      <c r="J360" s="339"/>
      <c r="K360" s="339"/>
      <c r="L360" s="339"/>
      <c r="O360" s="381"/>
      <c r="AI360" s="31"/>
      <c r="AJ360" s="31"/>
      <c r="AK360" s="32"/>
      <c r="AL360" s="33"/>
      <c r="AM360" s="32"/>
      <c r="AN360" s="33"/>
      <c r="AO360" s="32"/>
      <c r="AP360" s="32"/>
      <c r="AQ360" s="136"/>
      <c r="AR360" s="136"/>
      <c r="AS360" s="136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372"/>
      <c r="BD360" s="372"/>
      <c r="BE360" s="372"/>
      <c r="BF360" s="372"/>
      <c r="BG360" s="372"/>
      <c r="BH360" s="372"/>
      <c r="BI360" s="372"/>
      <c r="BJ360" s="372"/>
      <c r="BK360" s="372"/>
      <c r="BL360" s="372"/>
      <c r="BM360" s="372"/>
      <c r="BN360" s="372"/>
      <c r="BO360" s="372"/>
      <c r="BP360" s="372"/>
      <c r="BQ360" s="372"/>
      <c r="BR360" s="372"/>
      <c r="BS360" s="372"/>
      <c r="BT360" s="372"/>
      <c r="BU360" s="372"/>
      <c r="BV360" s="372"/>
      <c r="BW360" s="372"/>
      <c r="BX360" s="372"/>
    </row>
    <row r="361" spans="2:76" s="28" customFormat="1">
      <c r="B361" s="136"/>
      <c r="D361" s="221"/>
      <c r="E361" s="29"/>
      <c r="G361" s="338"/>
      <c r="H361" s="339"/>
      <c r="I361" s="339"/>
      <c r="J361" s="339"/>
      <c r="K361" s="339"/>
      <c r="L361" s="339"/>
      <c r="O361" s="381"/>
      <c r="AI361" s="31"/>
      <c r="AJ361" s="31"/>
      <c r="AK361" s="32"/>
      <c r="AL361" s="33"/>
      <c r="AM361" s="32"/>
      <c r="AN361" s="33"/>
      <c r="AO361" s="32"/>
      <c r="AP361" s="32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372"/>
      <c r="BD361" s="372"/>
      <c r="BE361" s="372"/>
      <c r="BF361" s="372"/>
      <c r="BG361" s="372"/>
      <c r="BH361" s="372"/>
      <c r="BI361" s="372"/>
      <c r="BJ361" s="372"/>
      <c r="BK361" s="372"/>
      <c r="BL361" s="372"/>
      <c r="BM361" s="372"/>
      <c r="BN361" s="372"/>
      <c r="BO361" s="372"/>
      <c r="BP361" s="372"/>
      <c r="BQ361" s="372"/>
      <c r="BR361" s="372"/>
      <c r="BS361" s="372"/>
      <c r="BT361" s="372"/>
      <c r="BU361" s="372"/>
      <c r="BV361" s="372"/>
      <c r="BW361" s="372"/>
      <c r="BX361" s="372"/>
    </row>
    <row r="362" spans="2:76" s="28" customFormat="1">
      <c r="B362" s="136"/>
      <c r="D362" s="221"/>
      <c r="E362" s="29"/>
      <c r="G362" s="338"/>
      <c r="H362" s="339"/>
      <c r="I362" s="339"/>
      <c r="J362" s="339"/>
      <c r="K362" s="339"/>
      <c r="L362" s="339"/>
      <c r="O362" s="381"/>
      <c r="AI362" s="31"/>
      <c r="AJ362" s="31"/>
      <c r="AK362" s="32"/>
      <c r="AL362" s="33"/>
      <c r="AM362" s="32"/>
      <c r="AN362" s="33"/>
      <c r="AO362" s="32"/>
      <c r="AP362" s="32"/>
      <c r="AQ362" s="136"/>
      <c r="AR362" s="136"/>
      <c r="AS362" s="136"/>
      <c r="AT362" s="136"/>
      <c r="AU362" s="136"/>
      <c r="AV362" s="136"/>
      <c r="AW362" s="136"/>
      <c r="AX362" s="136"/>
      <c r="AY362" s="136"/>
      <c r="AZ362" s="136"/>
      <c r="BA362" s="136"/>
      <c r="BB362" s="136"/>
      <c r="BC362" s="372"/>
      <c r="BD362" s="372"/>
      <c r="BE362" s="372"/>
      <c r="BF362" s="372"/>
      <c r="BG362" s="372"/>
      <c r="BH362" s="372"/>
      <c r="BI362" s="372"/>
      <c r="BJ362" s="372"/>
      <c r="BK362" s="372"/>
      <c r="BL362" s="372"/>
      <c r="BM362" s="372"/>
      <c r="BN362" s="372"/>
      <c r="BO362" s="372"/>
      <c r="BP362" s="372"/>
      <c r="BQ362" s="372"/>
      <c r="BR362" s="372"/>
      <c r="BS362" s="372"/>
      <c r="BT362" s="372"/>
      <c r="BU362" s="372"/>
      <c r="BV362" s="372"/>
      <c r="BW362" s="372"/>
      <c r="BX362" s="372"/>
    </row>
    <row r="363" spans="2:76" s="28" customFormat="1">
      <c r="B363" s="136"/>
      <c r="D363" s="221"/>
      <c r="E363" s="29"/>
      <c r="G363" s="338"/>
      <c r="H363" s="339"/>
      <c r="I363" s="339"/>
      <c r="J363" s="339"/>
      <c r="K363" s="339"/>
      <c r="L363" s="339"/>
      <c r="O363" s="379"/>
      <c r="AI363" s="31"/>
      <c r="AJ363" s="31"/>
      <c r="AK363" s="32"/>
      <c r="AL363" s="33"/>
      <c r="AM363" s="32"/>
      <c r="AN363" s="33"/>
      <c r="AO363" s="32"/>
      <c r="AP363" s="32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372"/>
      <c r="BD363" s="372"/>
      <c r="BE363" s="372"/>
      <c r="BF363" s="372"/>
      <c r="BG363" s="372"/>
      <c r="BH363" s="372"/>
      <c r="BI363" s="372"/>
      <c r="BJ363" s="372"/>
      <c r="BK363" s="372"/>
      <c r="BL363" s="372"/>
      <c r="BM363" s="372"/>
      <c r="BN363" s="372"/>
      <c r="BO363" s="372"/>
      <c r="BP363" s="372"/>
      <c r="BQ363" s="372"/>
      <c r="BR363" s="372"/>
      <c r="BS363" s="372"/>
      <c r="BT363" s="372"/>
      <c r="BU363" s="372"/>
      <c r="BV363" s="372"/>
      <c r="BW363" s="372"/>
      <c r="BX363" s="372"/>
    </row>
    <row r="364" spans="2:76" s="28" customFormat="1">
      <c r="B364" s="136"/>
      <c r="D364" s="221"/>
      <c r="E364" s="29"/>
      <c r="G364" s="338"/>
      <c r="H364" s="339"/>
      <c r="I364" s="339"/>
      <c r="J364" s="339"/>
      <c r="K364" s="339"/>
      <c r="L364" s="339"/>
      <c r="O364" s="377"/>
      <c r="AI364" s="31"/>
      <c r="AJ364" s="31"/>
      <c r="AK364" s="32"/>
      <c r="AL364" s="33"/>
      <c r="AM364" s="32"/>
      <c r="AN364" s="33"/>
      <c r="AO364" s="32"/>
      <c r="AP364" s="32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372"/>
      <c r="BD364" s="372"/>
      <c r="BE364" s="372"/>
      <c r="BF364" s="372"/>
      <c r="BG364" s="372"/>
      <c r="BH364" s="372"/>
      <c r="BI364" s="372"/>
      <c r="BJ364" s="372"/>
      <c r="BK364" s="372"/>
      <c r="BL364" s="372"/>
      <c r="BM364" s="372"/>
      <c r="BN364" s="372"/>
      <c r="BO364" s="372"/>
      <c r="BP364" s="372"/>
      <c r="BQ364" s="372"/>
      <c r="BR364" s="372"/>
      <c r="BS364" s="372"/>
      <c r="BT364" s="372"/>
      <c r="BU364" s="372"/>
      <c r="BV364" s="372"/>
      <c r="BW364" s="372"/>
      <c r="BX364" s="372"/>
    </row>
    <row r="365" spans="2:76" s="28" customFormat="1">
      <c r="B365" s="136"/>
      <c r="D365" s="221"/>
      <c r="E365" s="29"/>
      <c r="G365" s="338"/>
      <c r="H365" s="339"/>
      <c r="I365" s="339"/>
      <c r="J365" s="339"/>
      <c r="K365" s="339"/>
      <c r="L365" s="339"/>
      <c r="O365" s="377"/>
      <c r="AI365" s="31"/>
      <c r="AJ365" s="31"/>
      <c r="AK365" s="32"/>
      <c r="AL365" s="33"/>
      <c r="AM365" s="32"/>
      <c r="AN365" s="33"/>
      <c r="AO365" s="32"/>
      <c r="AP365" s="32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372"/>
      <c r="BD365" s="372"/>
      <c r="BE365" s="372"/>
      <c r="BF365" s="372"/>
      <c r="BG365" s="372"/>
      <c r="BH365" s="372"/>
      <c r="BI365" s="372"/>
      <c r="BJ365" s="372"/>
      <c r="BK365" s="372"/>
      <c r="BL365" s="372"/>
      <c r="BM365" s="372"/>
      <c r="BN365" s="372"/>
      <c r="BO365" s="372"/>
      <c r="BP365" s="372"/>
      <c r="BQ365" s="372"/>
      <c r="BR365" s="372"/>
      <c r="BS365" s="372"/>
      <c r="BT365" s="372"/>
      <c r="BU365" s="372"/>
      <c r="BV365" s="372"/>
      <c r="BW365" s="372"/>
      <c r="BX365" s="372"/>
    </row>
    <row r="366" spans="2:76" s="28" customFormat="1">
      <c r="B366" s="136"/>
      <c r="D366" s="221"/>
      <c r="E366" s="29"/>
      <c r="G366" s="338"/>
      <c r="H366" s="339"/>
      <c r="I366" s="339"/>
      <c r="J366" s="339"/>
      <c r="K366" s="339"/>
      <c r="L366" s="339"/>
      <c r="O366" s="377"/>
      <c r="AI366" s="31"/>
      <c r="AJ366" s="31"/>
      <c r="AK366" s="32"/>
      <c r="AL366" s="33"/>
      <c r="AM366" s="32"/>
      <c r="AN366" s="33"/>
      <c r="AO366" s="32"/>
      <c r="AP366" s="32"/>
      <c r="AQ366" s="136"/>
      <c r="AR366" s="136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372"/>
      <c r="BD366" s="372"/>
      <c r="BE366" s="372"/>
      <c r="BF366" s="372"/>
      <c r="BG366" s="372"/>
      <c r="BH366" s="372"/>
      <c r="BI366" s="372"/>
      <c r="BJ366" s="372"/>
      <c r="BK366" s="372"/>
      <c r="BL366" s="372"/>
      <c r="BM366" s="372"/>
      <c r="BN366" s="372"/>
      <c r="BO366" s="372"/>
      <c r="BP366" s="372"/>
      <c r="BQ366" s="372"/>
      <c r="BR366" s="372"/>
      <c r="BS366" s="372"/>
      <c r="BT366" s="372"/>
      <c r="BU366" s="372"/>
      <c r="BV366" s="372"/>
      <c r="BW366" s="372"/>
      <c r="BX366" s="372"/>
    </row>
    <row r="367" spans="2:76" s="28" customFormat="1">
      <c r="B367" s="136"/>
      <c r="D367" s="221"/>
      <c r="E367" s="29"/>
      <c r="G367" s="338"/>
      <c r="H367" s="339"/>
      <c r="I367" s="339"/>
      <c r="J367" s="339"/>
      <c r="K367" s="339"/>
      <c r="L367" s="339"/>
      <c r="O367" s="380"/>
      <c r="AI367" s="31"/>
      <c r="AJ367" s="31"/>
      <c r="AK367" s="32"/>
      <c r="AL367" s="33"/>
      <c r="AM367" s="32"/>
      <c r="AN367" s="33"/>
      <c r="AO367" s="32"/>
      <c r="AP367" s="32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372"/>
      <c r="BD367" s="372"/>
      <c r="BE367" s="372"/>
      <c r="BF367" s="372"/>
      <c r="BG367" s="372"/>
      <c r="BH367" s="372"/>
      <c r="BI367" s="372"/>
      <c r="BJ367" s="372"/>
      <c r="BK367" s="372"/>
      <c r="BL367" s="372"/>
      <c r="BM367" s="372"/>
      <c r="BN367" s="372"/>
      <c r="BO367" s="372"/>
      <c r="BP367" s="372"/>
      <c r="BQ367" s="372"/>
      <c r="BR367" s="372"/>
      <c r="BS367" s="372"/>
      <c r="BT367" s="372"/>
      <c r="BU367" s="372"/>
      <c r="BV367" s="372"/>
      <c r="BW367" s="372"/>
      <c r="BX367" s="372"/>
    </row>
    <row r="368" spans="2:76" s="28" customFormat="1">
      <c r="B368" s="136"/>
      <c r="D368" s="221"/>
      <c r="E368" s="29"/>
      <c r="G368" s="338"/>
      <c r="H368" s="339"/>
      <c r="I368" s="339"/>
      <c r="J368" s="339"/>
      <c r="K368" s="339"/>
      <c r="L368" s="339"/>
      <c r="O368" s="380"/>
      <c r="AI368" s="31"/>
      <c r="AJ368" s="31"/>
      <c r="AK368" s="32"/>
      <c r="AL368" s="33"/>
      <c r="AM368" s="32"/>
      <c r="AN368" s="33"/>
      <c r="AO368" s="32"/>
      <c r="AP368" s="32"/>
      <c r="AQ368" s="136"/>
      <c r="AR368" s="136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372"/>
      <c r="BD368" s="372"/>
      <c r="BE368" s="372"/>
      <c r="BF368" s="372"/>
      <c r="BG368" s="372"/>
      <c r="BH368" s="372"/>
      <c r="BI368" s="372"/>
      <c r="BJ368" s="372"/>
      <c r="BK368" s="372"/>
      <c r="BL368" s="372"/>
      <c r="BM368" s="372"/>
      <c r="BN368" s="372"/>
      <c r="BO368" s="372"/>
      <c r="BP368" s="372"/>
      <c r="BQ368" s="372"/>
      <c r="BR368" s="372"/>
      <c r="BS368" s="372"/>
      <c r="BT368" s="372"/>
      <c r="BU368" s="372"/>
      <c r="BV368" s="372"/>
      <c r="BW368" s="372"/>
      <c r="BX368" s="372"/>
    </row>
    <row r="369" spans="2:76" s="28" customFormat="1">
      <c r="B369" s="136"/>
      <c r="D369" s="221"/>
      <c r="E369" s="29"/>
      <c r="G369" s="338"/>
      <c r="H369" s="339"/>
      <c r="I369" s="339"/>
      <c r="J369" s="339"/>
      <c r="K369" s="339"/>
      <c r="L369" s="339"/>
      <c r="O369" s="385"/>
      <c r="AI369" s="31"/>
      <c r="AJ369" s="31"/>
      <c r="AK369" s="32"/>
      <c r="AL369" s="33"/>
      <c r="AM369" s="32"/>
      <c r="AN369" s="33"/>
      <c r="AO369" s="32"/>
      <c r="AP369" s="32"/>
      <c r="AQ369" s="136"/>
      <c r="AR369" s="136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372"/>
      <c r="BD369" s="372"/>
      <c r="BE369" s="372"/>
      <c r="BF369" s="372"/>
      <c r="BG369" s="372"/>
      <c r="BH369" s="372"/>
      <c r="BI369" s="372"/>
      <c r="BJ369" s="372"/>
      <c r="BK369" s="372"/>
      <c r="BL369" s="372"/>
      <c r="BM369" s="372"/>
      <c r="BN369" s="372"/>
      <c r="BO369" s="372"/>
      <c r="BP369" s="372"/>
      <c r="BQ369" s="372"/>
      <c r="BR369" s="372"/>
      <c r="BS369" s="372"/>
      <c r="BT369" s="372"/>
      <c r="BU369" s="372"/>
      <c r="BV369" s="372"/>
      <c r="BW369" s="372"/>
      <c r="BX369" s="372"/>
    </row>
    <row r="370" spans="2:76" s="28" customFormat="1">
      <c r="B370" s="136"/>
      <c r="D370" s="221"/>
      <c r="E370" s="29"/>
      <c r="G370" s="338"/>
      <c r="H370" s="339"/>
      <c r="I370" s="339"/>
      <c r="J370" s="339"/>
      <c r="K370" s="339"/>
      <c r="L370" s="339"/>
      <c r="O370" s="377"/>
      <c r="AI370" s="31"/>
      <c r="AJ370" s="31"/>
      <c r="AK370" s="32"/>
      <c r="AL370" s="33"/>
      <c r="AM370" s="32"/>
      <c r="AN370" s="33"/>
      <c r="AO370" s="32"/>
      <c r="AP370" s="32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372"/>
      <c r="BD370" s="372"/>
      <c r="BE370" s="372"/>
      <c r="BF370" s="372"/>
      <c r="BG370" s="372"/>
      <c r="BH370" s="372"/>
      <c r="BI370" s="372"/>
      <c r="BJ370" s="372"/>
      <c r="BK370" s="372"/>
      <c r="BL370" s="372"/>
      <c r="BM370" s="372"/>
      <c r="BN370" s="372"/>
      <c r="BO370" s="372"/>
      <c r="BP370" s="372"/>
      <c r="BQ370" s="372"/>
      <c r="BR370" s="372"/>
      <c r="BS370" s="372"/>
      <c r="BT370" s="372"/>
      <c r="BU370" s="372"/>
      <c r="BV370" s="372"/>
      <c r="BW370" s="372"/>
      <c r="BX370" s="372"/>
    </row>
    <row r="371" spans="2:76" s="28" customFormat="1">
      <c r="B371" s="136"/>
      <c r="D371" s="221"/>
      <c r="E371" s="29"/>
      <c r="G371" s="338"/>
      <c r="H371" s="339"/>
      <c r="I371" s="339"/>
      <c r="J371" s="339"/>
      <c r="K371" s="339"/>
      <c r="L371" s="339"/>
      <c r="O371" s="380"/>
      <c r="AI371" s="31"/>
      <c r="AJ371" s="31"/>
      <c r="AK371" s="32"/>
      <c r="AL371" s="33"/>
      <c r="AM371" s="32"/>
      <c r="AN371" s="33"/>
      <c r="AO371" s="32"/>
      <c r="AP371" s="32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372"/>
      <c r="BD371" s="372"/>
      <c r="BE371" s="372"/>
      <c r="BF371" s="372"/>
      <c r="BG371" s="372"/>
      <c r="BH371" s="372"/>
      <c r="BI371" s="372"/>
      <c r="BJ371" s="372"/>
      <c r="BK371" s="372"/>
      <c r="BL371" s="372"/>
      <c r="BM371" s="372"/>
      <c r="BN371" s="372"/>
      <c r="BO371" s="372"/>
      <c r="BP371" s="372"/>
      <c r="BQ371" s="372"/>
      <c r="BR371" s="372"/>
      <c r="BS371" s="372"/>
      <c r="BT371" s="372"/>
      <c r="BU371" s="372"/>
      <c r="BV371" s="372"/>
      <c r="BW371" s="372"/>
      <c r="BX371" s="372"/>
    </row>
    <row r="372" spans="2:76" s="28" customFormat="1">
      <c r="B372" s="136"/>
      <c r="D372" s="221"/>
      <c r="E372" s="29"/>
      <c r="G372" s="338"/>
      <c r="H372" s="339"/>
      <c r="I372" s="339"/>
      <c r="J372" s="339"/>
      <c r="K372" s="339"/>
      <c r="L372" s="339"/>
      <c r="O372" s="380"/>
      <c r="AI372" s="31"/>
      <c r="AJ372" s="31"/>
      <c r="AK372" s="32"/>
      <c r="AL372" s="33"/>
      <c r="AM372" s="32"/>
      <c r="AN372" s="33"/>
      <c r="AO372" s="32"/>
      <c r="AP372" s="32"/>
      <c r="AQ372" s="136"/>
      <c r="AR372" s="136"/>
      <c r="AS372" s="136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372"/>
      <c r="BD372" s="372"/>
      <c r="BE372" s="372"/>
      <c r="BF372" s="372"/>
      <c r="BG372" s="372"/>
      <c r="BH372" s="372"/>
      <c r="BI372" s="372"/>
      <c r="BJ372" s="372"/>
      <c r="BK372" s="372"/>
      <c r="BL372" s="372"/>
      <c r="BM372" s="372"/>
      <c r="BN372" s="372"/>
      <c r="BO372" s="372"/>
      <c r="BP372" s="372"/>
      <c r="BQ372" s="372"/>
      <c r="BR372" s="372"/>
      <c r="BS372" s="372"/>
      <c r="BT372" s="372"/>
      <c r="BU372" s="372"/>
      <c r="BV372" s="372"/>
      <c r="BW372" s="372"/>
      <c r="BX372" s="372"/>
    </row>
    <row r="373" spans="2:76" s="28" customFormat="1">
      <c r="B373" s="136"/>
      <c r="D373" s="221"/>
      <c r="E373" s="29"/>
      <c r="G373" s="338"/>
      <c r="H373" s="339"/>
      <c r="I373" s="339"/>
      <c r="J373" s="339"/>
      <c r="K373" s="339"/>
      <c r="L373" s="339"/>
      <c r="O373" s="380"/>
      <c r="AI373" s="31"/>
      <c r="AJ373" s="31"/>
      <c r="AK373" s="32"/>
      <c r="AL373" s="33"/>
      <c r="AM373" s="32"/>
      <c r="AN373" s="33"/>
      <c r="AO373" s="32"/>
      <c r="AP373" s="32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372"/>
      <c r="BD373" s="372"/>
      <c r="BE373" s="372"/>
      <c r="BF373" s="372"/>
      <c r="BG373" s="372"/>
      <c r="BH373" s="372"/>
      <c r="BI373" s="372"/>
      <c r="BJ373" s="372"/>
      <c r="BK373" s="372"/>
      <c r="BL373" s="372"/>
      <c r="BM373" s="372"/>
      <c r="BN373" s="372"/>
      <c r="BO373" s="372"/>
      <c r="BP373" s="372"/>
      <c r="BQ373" s="372"/>
      <c r="BR373" s="372"/>
      <c r="BS373" s="372"/>
      <c r="BT373" s="372"/>
      <c r="BU373" s="372"/>
      <c r="BV373" s="372"/>
      <c r="BW373" s="372"/>
      <c r="BX373" s="372"/>
    </row>
    <row r="374" spans="2:76" s="28" customFormat="1">
      <c r="B374" s="136"/>
      <c r="D374" s="221"/>
      <c r="E374" s="29"/>
      <c r="G374" s="338"/>
      <c r="H374" s="339"/>
      <c r="I374" s="339"/>
      <c r="J374" s="339"/>
      <c r="K374" s="339"/>
      <c r="L374" s="339"/>
      <c r="O374" s="382"/>
      <c r="AI374" s="31"/>
      <c r="AJ374" s="31"/>
      <c r="AK374" s="32"/>
      <c r="AL374" s="33"/>
      <c r="AM374" s="32"/>
      <c r="AN374" s="33"/>
      <c r="AO374" s="32"/>
      <c r="AP374" s="32"/>
      <c r="AQ374" s="136"/>
      <c r="AR374" s="136"/>
      <c r="AS374" s="136"/>
      <c r="AT374" s="136"/>
      <c r="AU374" s="136"/>
      <c r="AV374" s="136"/>
      <c r="AW374" s="136"/>
      <c r="AX374" s="136"/>
      <c r="AY374" s="136"/>
      <c r="AZ374" s="136"/>
      <c r="BA374" s="136"/>
      <c r="BB374" s="136"/>
      <c r="BC374" s="372"/>
      <c r="BD374" s="372"/>
      <c r="BE374" s="372"/>
      <c r="BF374" s="372"/>
      <c r="BG374" s="372"/>
      <c r="BH374" s="372"/>
      <c r="BI374" s="372"/>
      <c r="BJ374" s="372"/>
      <c r="BK374" s="372"/>
      <c r="BL374" s="372"/>
      <c r="BM374" s="372"/>
      <c r="BN374" s="372"/>
      <c r="BO374" s="372"/>
      <c r="BP374" s="372"/>
      <c r="BQ374" s="372"/>
      <c r="BR374" s="372"/>
      <c r="BS374" s="372"/>
      <c r="BT374" s="372"/>
      <c r="BU374" s="372"/>
      <c r="BV374" s="372"/>
      <c r="BW374" s="372"/>
      <c r="BX374" s="372"/>
    </row>
    <row r="375" spans="2:76" s="28" customFormat="1">
      <c r="B375" s="136"/>
      <c r="D375" s="221"/>
      <c r="E375" s="29"/>
      <c r="G375" s="338"/>
      <c r="H375" s="339"/>
      <c r="I375" s="339"/>
      <c r="J375" s="339"/>
      <c r="K375" s="339"/>
      <c r="L375" s="339"/>
      <c r="O375" s="385"/>
      <c r="AI375" s="31"/>
      <c r="AJ375" s="31"/>
      <c r="AK375" s="32"/>
      <c r="AL375" s="33"/>
      <c r="AM375" s="32"/>
      <c r="AN375" s="33"/>
      <c r="AO375" s="32"/>
      <c r="AP375" s="32"/>
      <c r="AQ375" s="136"/>
      <c r="AR375" s="136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372"/>
      <c r="BD375" s="372"/>
      <c r="BE375" s="372"/>
      <c r="BF375" s="372"/>
      <c r="BG375" s="372"/>
      <c r="BH375" s="372"/>
      <c r="BI375" s="372"/>
      <c r="BJ375" s="372"/>
      <c r="BK375" s="372"/>
      <c r="BL375" s="372"/>
      <c r="BM375" s="372"/>
      <c r="BN375" s="372"/>
      <c r="BO375" s="372"/>
      <c r="BP375" s="372"/>
      <c r="BQ375" s="372"/>
      <c r="BR375" s="372"/>
      <c r="BS375" s="372"/>
      <c r="BT375" s="372"/>
      <c r="BU375" s="372"/>
      <c r="BV375" s="372"/>
      <c r="BW375" s="372"/>
      <c r="BX375" s="372"/>
    </row>
    <row r="376" spans="2:76" s="28" customFormat="1">
      <c r="B376" s="136"/>
      <c r="D376" s="221"/>
      <c r="E376" s="29"/>
      <c r="G376" s="338"/>
      <c r="H376" s="339"/>
      <c r="I376" s="339"/>
      <c r="J376" s="339"/>
      <c r="K376" s="339"/>
      <c r="L376" s="339"/>
      <c r="O376" s="376"/>
      <c r="AI376" s="31"/>
      <c r="AJ376" s="31"/>
      <c r="AK376" s="32"/>
      <c r="AL376" s="33"/>
      <c r="AM376" s="32"/>
      <c r="AN376" s="33"/>
      <c r="AO376" s="32"/>
      <c r="AP376" s="32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372"/>
      <c r="BD376" s="372"/>
      <c r="BE376" s="372"/>
      <c r="BF376" s="372"/>
      <c r="BG376" s="372"/>
      <c r="BH376" s="372"/>
      <c r="BI376" s="372"/>
      <c r="BJ376" s="372"/>
      <c r="BK376" s="372"/>
      <c r="BL376" s="372"/>
      <c r="BM376" s="372"/>
      <c r="BN376" s="372"/>
      <c r="BO376" s="372"/>
      <c r="BP376" s="372"/>
      <c r="BQ376" s="372"/>
      <c r="BR376" s="372"/>
      <c r="BS376" s="372"/>
      <c r="BT376" s="372"/>
      <c r="BU376" s="372"/>
      <c r="BV376" s="372"/>
      <c r="BW376" s="372"/>
      <c r="BX376" s="372"/>
    </row>
    <row r="377" spans="2:76" s="28" customFormat="1">
      <c r="B377" s="136"/>
      <c r="D377" s="221"/>
      <c r="E377" s="29"/>
      <c r="G377" s="338"/>
      <c r="H377" s="339"/>
      <c r="I377" s="339"/>
      <c r="J377" s="339"/>
      <c r="K377" s="339"/>
      <c r="L377" s="339"/>
      <c r="O377" s="382"/>
      <c r="AI377" s="31"/>
      <c r="AJ377" s="31"/>
      <c r="AK377" s="32"/>
      <c r="AL377" s="33"/>
      <c r="AM377" s="32"/>
      <c r="AN377" s="33"/>
      <c r="AO377" s="32"/>
      <c r="AP377" s="32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372"/>
      <c r="BD377" s="372"/>
      <c r="BE377" s="372"/>
      <c r="BF377" s="372"/>
      <c r="BG377" s="372"/>
      <c r="BH377" s="372"/>
      <c r="BI377" s="372"/>
      <c r="BJ377" s="372"/>
      <c r="BK377" s="372"/>
      <c r="BL377" s="372"/>
      <c r="BM377" s="372"/>
      <c r="BN377" s="372"/>
      <c r="BO377" s="372"/>
      <c r="BP377" s="372"/>
      <c r="BQ377" s="372"/>
      <c r="BR377" s="372"/>
      <c r="BS377" s="372"/>
      <c r="BT377" s="372"/>
      <c r="BU377" s="372"/>
      <c r="BV377" s="372"/>
      <c r="BW377" s="372"/>
      <c r="BX377" s="372"/>
    </row>
    <row r="378" spans="2:76" s="28" customFormat="1">
      <c r="B378" s="136"/>
      <c r="D378" s="221"/>
      <c r="E378" s="29"/>
      <c r="G378" s="338"/>
      <c r="H378" s="339"/>
      <c r="I378" s="339"/>
      <c r="J378" s="339"/>
      <c r="K378" s="339"/>
      <c r="L378" s="339"/>
      <c r="O378" s="377"/>
      <c r="AI378" s="31"/>
      <c r="AJ378" s="31"/>
      <c r="AK378" s="32"/>
      <c r="AL378" s="33"/>
      <c r="AM378" s="32"/>
      <c r="AN378" s="33"/>
      <c r="AO378" s="32"/>
      <c r="AP378" s="32"/>
      <c r="AQ378" s="136"/>
      <c r="AR378" s="136"/>
      <c r="AS378" s="136"/>
      <c r="AT378" s="136"/>
      <c r="AU378" s="136"/>
      <c r="AV378" s="136"/>
      <c r="AW378" s="136"/>
      <c r="AX378" s="136"/>
      <c r="AY378" s="136"/>
      <c r="AZ378" s="136"/>
      <c r="BA378" s="136"/>
      <c r="BB378" s="136"/>
      <c r="BC378" s="372"/>
      <c r="BD378" s="372"/>
      <c r="BE378" s="372"/>
      <c r="BF378" s="372"/>
      <c r="BG378" s="372"/>
      <c r="BH378" s="372"/>
      <c r="BI378" s="372"/>
      <c r="BJ378" s="372"/>
      <c r="BK378" s="372"/>
      <c r="BL378" s="372"/>
      <c r="BM378" s="372"/>
      <c r="BN378" s="372"/>
      <c r="BO378" s="372"/>
      <c r="BP378" s="372"/>
      <c r="BQ378" s="372"/>
      <c r="BR378" s="372"/>
      <c r="BS378" s="372"/>
      <c r="BT378" s="372"/>
      <c r="BU378" s="372"/>
      <c r="BV378" s="372"/>
      <c r="BW378" s="372"/>
      <c r="BX378" s="372"/>
    </row>
    <row r="379" spans="2:76" s="28" customFormat="1">
      <c r="B379" s="136"/>
      <c r="D379" s="221"/>
      <c r="E379" s="29"/>
      <c r="G379" s="338"/>
      <c r="H379" s="339"/>
      <c r="I379" s="339"/>
      <c r="J379" s="339"/>
      <c r="K379" s="339"/>
      <c r="L379" s="339"/>
      <c r="O379" s="377"/>
      <c r="AI379" s="31"/>
      <c r="AJ379" s="31"/>
      <c r="AK379" s="32"/>
      <c r="AL379" s="33"/>
      <c r="AM379" s="32"/>
      <c r="AN379" s="33"/>
      <c r="AO379" s="32"/>
      <c r="AP379" s="32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372"/>
      <c r="BD379" s="372"/>
      <c r="BE379" s="372"/>
      <c r="BF379" s="372"/>
      <c r="BG379" s="372"/>
      <c r="BH379" s="372"/>
      <c r="BI379" s="372"/>
      <c r="BJ379" s="372"/>
      <c r="BK379" s="372"/>
      <c r="BL379" s="372"/>
      <c r="BM379" s="372"/>
      <c r="BN379" s="372"/>
      <c r="BO379" s="372"/>
      <c r="BP379" s="372"/>
      <c r="BQ379" s="372"/>
      <c r="BR379" s="372"/>
      <c r="BS379" s="372"/>
      <c r="BT379" s="372"/>
      <c r="BU379" s="372"/>
      <c r="BV379" s="372"/>
      <c r="BW379" s="372"/>
      <c r="BX379" s="372"/>
    </row>
    <row r="380" spans="2:76" s="28" customFormat="1">
      <c r="B380" s="136"/>
      <c r="D380" s="221"/>
      <c r="E380" s="29"/>
      <c r="G380" s="338"/>
      <c r="H380" s="339"/>
      <c r="I380" s="339"/>
      <c r="J380" s="339"/>
      <c r="K380" s="339"/>
      <c r="L380" s="339"/>
      <c r="O380" s="381"/>
      <c r="AI380" s="31"/>
      <c r="AJ380" s="31"/>
      <c r="AK380" s="32"/>
      <c r="AL380" s="33"/>
      <c r="AM380" s="32"/>
      <c r="AN380" s="33"/>
      <c r="AO380" s="32"/>
      <c r="AP380" s="32"/>
      <c r="AQ380" s="136"/>
      <c r="AR380" s="136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372"/>
      <c r="BD380" s="372"/>
      <c r="BE380" s="372"/>
      <c r="BF380" s="372"/>
      <c r="BG380" s="372"/>
      <c r="BH380" s="372"/>
      <c r="BI380" s="372"/>
      <c r="BJ380" s="372"/>
      <c r="BK380" s="372"/>
      <c r="BL380" s="372"/>
      <c r="BM380" s="372"/>
      <c r="BN380" s="372"/>
      <c r="BO380" s="372"/>
      <c r="BP380" s="372"/>
      <c r="BQ380" s="372"/>
      <c r="BR380" s="372"/>
      <c r="BS380" s="372"/>
      <c r="BT380" s="372"/>
      <c r="BU380" s="372"/>
      <c r="BV380" s="372"/>
      <c r="BW380" s="372"/>
      <c r="BX380" s="372"/>
    </row>
    <row r="381" spans="2:76" s="28" customFormat="1">
      <c r="B381" s="136"/>
      <c r="D381" s="221"/>
      <c r="E381" s="29"/>
      <c r="G381" s="338"/>
      <c r="H381" s="339"/>
      <c r="I381" s="339"/>
      <c r="J381" s="339"/>
      <c r="K381" s="339"/>
      <c r="L381" s="339"/>
      <c r="O381" s="380"/>
      <c r="AI381" s="31"/>
      <c r="AJ381" s="31"/>
      <c r="AK381" s="32"/>
      <c r="AL381" s="33"/>
      <c r="AM381" s="32"/>
      <c r="AN381" s="33"/>
      <c r="AO381" s="32"/>
      <c r="AP381" s="32"/>
      <c r="AQ381" s="136"/>
      <c r="AR381" s="136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372"/>
      <c r="BD381" s="372"/>
      <c r="BE381" s="372"/>
      <c r="BF381" s="372"/>
      <c r="BG381" s="372"/>
      <c r="BH381" s="372"/>
      <c r="BI381" s="372"/>
      <c r="BJ381" s="372"/>
      <c r="BK381" s="372"/>
      <c r="BL381" s="372"/>
      <c r="BM381" s="372"/>
      <c r="BN381" s="372"/>
      <c r="BO381" s="372"/>
      <c r="BP381" s="372"/>
      <c r="BQ381" s="372"/>
      <c r="BR381" s="372"/>
      <c r="BS381" s="372"/>
      <c r="BT381" s="372"/>
      <c r="BU381" s="372"/>
      <c r="BV381" s="372"/>
      <c r="BW381" s="372"/>
      <c r="BX381" s="372"/>
    </row>
    <row r="382" spans="2:76" s="28" customFormat="1">
      <c r="B382" s="136"/>
      <c r="D382" s="221"/>
      <c r="E382" s="29"/>
      <c r="G382" s="338"/>
      <c r="H382" s="339"/>
      <c r="I382" s="339"/>
      <c r="J382" s="339"/>
      <c r="K382" s="339"/>
      <c r="L382" s="339"/>
      <c r="O382" s="380"/>
      <c r="AI382" s="31"/>
      <c r="AJ382" s="31"/>
      <c r="AK382" s="32"/>
      <c r="AL382" s="33"/>
      <c r="AM382" s="32"/>
      <c r="AN382" s="33"/>
      <c r="AO382" s="32"/>
      <c r="AP382" s="32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372"/>
      <c r="BD382" s="372"/>
      <c r="BE382" s="372"/>
      <c r="BF382" s="372"/>
      <c r="BG382" s="372"/>
      <c r="BH382" s="372"/>
      <c r="BI382" s="372"/>
      <c r="BJ382" s="372"/>
      <c r="BK382" s="372"/>
      <c r="BL382" s="372"/>
      <c r="BM382" s="372"/>
      <c r="BN382" s="372"/>
      <c r="BO382" s="372"/>
      <c r="BP382" s="372"/>
      <c r="BQ382" s="372"/>
      <c r="BR382" s="372"/>
      <c r="BS382" s="372"/>
      <c r="BT382" s="372"/>
      <c r="BU382" s="372"/>
      <c r="BV382" s="372"/>
      <c r="BW382" s="372"/>
      <c r="BX382" s="372"/>
    </row>
    <row r="383" spans="2:76" s="28" customFormat="1">
      <c r="B383" s="136"/>
      <c r="D383" s="221"/>
      <c r="E383" s="29"/>
      <c r="G383" s="338"/>
      <c r="H383" s="339"/>
      <c r="I383" s="339"/>
      <c r="J383" s="339"/>
      <c r="K383" s="339"/>
      <c r="L383" s="339"/>
      <c r="O383" s="390"/>
      <c r="AI383" s="31"/>
      <c r="AJ383" s="31"/>
      <c r="AK383" s="32"/>
      <c r="AL383" s="33"/>
      <c r="AM383" s="32"/>
      <c r="AN383" s="33"/>
      <c r="AO383" s="32"/>
      <c r="AP383" s="32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372"/>
      <c r="BD383" s="372"/>
      <c r="BE383" s="372"/>
      <c r="BF383" s="372"/>
      <c r="BG383" s="372"/>
      <c r="BH383" s="372"/>
      <c r="BI383" s="372"/>
      <c r="BJ383" s="372"/>
      <c r="BK383" s="372"/>
      <c r="BL383" s="372"/>
      <c r="BM383" s="372"/>
      <c r="BN383" s="372"/>
      <c r="BO383" s="372"/>
      <c r="BP383" s="372"/>
      <c r="BQ383" s="372"/>
      <c r="BR383" s="372"/>
      <c r="BS383" s="372"/>
      <c r="BT383" s="372"/>
      <c r="BU383" s="372"/>
      <c r="BV383" s="372"/>
      <c r="BW383" s="372"/>
      <c r="BX383" s="372"/>
    </row>
    <row r="384" spans="2:76" s="28" customFormat="1">
      <c r="B384" s="136"/>
      <c r="D384" s="221"/>
      <c r="E384" s="29"/>
      <c r="G384" s="338"/>
      <c r="H384" s="339"/>
      <c r="I384" s="339"/>
      <c r="J384" s="339"/>
      <c r="K384" s="339"/>
      <c r="L384" s="339"/>
      <c r="O384" s="377"/>
      <c r="AI384" s="31"/>
      <c r="AJ384" s="31"/>
      <c r="AK384" s="32"/>
      <c r="AL384" s="33"/>
      <c r="AM384" s="32"/>
      <c r="AN384" s="33"/>
      <c r="AO384" s="32"/>
      <c r="AP384" s="32"/>
      <c r="AQ384" s="136"/>
      <c r="AR384" s="136"/>
      <c r="AS384" s="136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372"/>
      <c r="BD384" s="372"/>
      <c r="BE384" s="372"/>
      <c r="BF384" s="372"/>
      <c r="BG384" s="372"/>
      <c r="BH384" s="372"/>
      <c r="BI384" s="372"/>
      <c r="BJ384" s="372"/>
      <c r="BK384" s="372"/>
      <c r="BL384" s="372"/>
      <c r="BM384" s="372"/>
      <c r="BN384" s="372"/>
      <c r="BO384" s="372"/>
      <c r="BP384" s="372"/>
      <c r="BQ384" s="372"/>
      <c r="BR384" s="372"/>
      <c r="BS384" s="372"/>
      <c r="BT384" s="372"/>
      <c r="BU384" s="372"/>
      <c r="BV384" s="372"/>
      <c r="BW384" s="372"/>
      <c r="BX384" s="372"/>
    </row>
    <row r="385" spans="2:76" s="28" customFormat="1">
      <c r="B385" s="136"/>
      <c r="D385" s="221"/>
      <c r="E385" s="29"/>
      <c r="G385" s="338"/>
      <c r="H385" s="339"/>
      <c r="I385" s="339"/>
      <c r="J385" s="339"/>
      <c r="K385" s="339"/>
      <c r="L385" s="339"/>
      <c r="O385" s="382"/>
      <c r="AI385" s="31"/>
      <c r="AJ385" s="31"/>
      <c r="AK385" s="32"/>
      <c r="AL385" s="33"/>
      <c r="AM385" s="32"/>
      <c r="AN385" s="33"/>
      <c r="AO385" s="32"/>
      <c r="AP385" s="32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372"/>
      <c r="BD385" s="372"/>
      <c r="BE385" s="372"/>
      <c r="BF385" s="372"/>
      <c r="BG385" s="372"/>
      <c r="BH385" s="372"/>
      <c r="BI385" s="372"/>
      <c r="BJ385" s="372"/>
      <c r="BK385" s="372"/>
      <c r="BL385" s="372"/>
      <c r="BM385" s="372"/>
      <c r="BN385" s="372"/>
      <c r="BO385" s="372"/>
      <c r="BP385" s="372"/>
      <c r="BQ385" s="372"/>
      <c r="BR385" s="372"/>
      <c r="BS385" s="372"/>
      <c r="BT385" s="372"/>
      <c r="BU385" s="372"/>
      <c r="BV385" s="372"/>
      <c r="BW385" s="372"/>
      <c r="BX385" s="372"/>
    </row>
    <row r="386" spans="2:76" s="28" customFormat="1">
      <c r="B386" s="136"/>
      <c r="D386" s="221"/>
      <c r="E386" s="29"/>
      <c r="G386" s="338"/>
      <c r="H386" s="339"/>
      <c r="I386" s="339"/>
      <c r="J386" s="339"/>
      <c r="K386" s="339"/>
      <c r="L386" s="339"/>
      <c r="O386" s="380"/>
      <c r="AI386" s="31"/>
      <c r="AJ386" s="31"/>
      <c r="AK386" s="32"/>
      <c r="AL386" s="33"/>
      <c r="AM386" s="32"/>
      <c r="AN386" s="33"/>
      <c r="AO386" s="32"/>
      <c r="AP386" s="32"/>
      <c r="AQ386" s="136"/>
      <c r="AR386" s="136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  <c r="BC386" s="372"/>
      <c r="BD386" s="372"/>
      <c r="BE386" s="372"/>
      <c r="BF386" s="372"/>
      <c r="BG386" s="372"/>
      <c r="BH386" s="372"/>
      <c r="BI386" s="372"/>
      <c r="BJ386" s="372"/>
      <c r="BK386" s="372"/>
      <c r="BL386" s="372"/>
      <c r="BM386" s="372"/>
      <c r="BN386" s="372"/>
      <c r="BO386" s="372"/>
      <c r="BP386" s="372"/>
      <c r="BQ386" s="372"/>
      <c r="BR386" s="372"/>
      <c r="BS386" s="372"/>
      <c r="BT386" s="372"/>
      <c r="BU386" s="372"/>
      <c r="BV386" s="372"/>
      <c r="BW386" s="372"/>
      <c r="BX386" s="372"/>
    </row>
    <row r="387" spans="2:76" s="28" customFormat="1">
      <c r="B387" s="136"/>
      <c r="D387" s="221"/>
      <c r="E387" s="29"/>
      <c r="G387" s="338"/>
      <c r="H387" s="339"/>
      <c r="I387" s="339"/>
      <c r="J387" s="339"/>
      <c r="K387" s="339"/>
      <c r="L387" s="339"/>
      <c r="O387" s="377"/>
      <c r="AI387" s="31"/>
      <c r="AJ387" s="31"/>
      <c r="AK387" s="32"/>
      <c r="AL387" s="33"/>
      <c r="AM387" s="32"/>
      <c r="AN387" s="33"/>
      <c r="AO387" s="32"/>
      <c r="AP387" s="32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372"/>
      <c r="BD387" s="372"/>
      <c r="BE387" s="372"/>
      <c r="BF387" s="372"/>
      <c r="BG387" s="372"/>
      <c r="BH387" s="372"/>
      <c r="BI387" s="372"/>
      <c r="BJ387" s="372"/>
      <c r="BK387" s="372"/>
      <c r="BL387" s="372"/>
      <c r="BM387" s="372"/>
      <c r="BN387" s="372"/>
      <c r="BO387" s="372"/>
      <c r="BP387" s="372"/>
      <c r="BQ387" s="372"/>
      <c r="BR387" s="372"/>
      <c r="BS387" s="372"/>
      <c r="BT387" s="372"/>
      <c r="BU387" s="372"/>
      <c r="BV387" s="372"/>
      <c r="BW387" s="372"/>
      <c r="BX387" s="372"/>
    </row>
    <row r="388" spans="2:76" s="28" customFormat="1">
      <c r="B388" s="136"/>
      <c r="D388" s="221"/>
      <c r="E388" s="29"/>
      <c r="G388" s="338"/>
      <c r="H388" s="339"/>
      <c r="I388" s="339"/>
      <c r="J388" s="339"/>
      <c r="K388" s="339"/>
      <c r="L388" s="339"/>
      <c r="O388" s="380"/>
      <c r="AI388" s="31"/>
      <c r="AJ388" s="31"/>
      <c r="AK388" s="32"/>
      <c r="AL388" s="33"/>
      <c r="AM388" s="32"/>
      <c r="AN388" s="33"/>
      <c r="AO388" s="32"/>
      <c r="AP388" s="32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372"/>
      <c r="BD388" s="372"/>
      <c r="BE388" s="372"/>
      <c r="BF388" s="372"/>
      <c r="BG388" s="372"/>
      <c r="BH388" s="372"/>
      <c r="BI388" s="372"/>
      <c r="BJ388" s="372"/>
      <c r="BK388" s="372"/>
      <c r="BL388" s="372"/>
      <c r="BM388" s="372"/>
      <c r="BN388" s="372"/>
      <c r="BO388" s="372"/>
      <c r="BP388" s="372"/>
      <c r="BQ388" s="372"/>
      <c r="BR388" s="372"/>
      <c r="BS388" s="372"/>
      <c r="BT388" s="372"/>
      <c r="BU388" s="372"/>
      <c r="BV388" s="372"/>
      <c r="BW388" s="372"/>
      <c r="BX388" s="372"/>
    </row>
    <row r="389" spans="2:76" s="28" customFormat="1">
      <c r="B389" s="136"/>
      <c r="D389" s="221"/>
      <c r="E389" s="29"/>
      <c r="G389" s="338"/>
      <c r="H389" s="339"/>
      <c r="I389" s="339"/>
      <c r="J389" s="339"/>
      <c r="K389" s="339"/>
      <c r="L389" s="339"/>
      <c r="O389" s="379"/>
      <c r="AI389" s="31"/>
      <c r="AJ389" s="31"/>
      <c r="AK389" s="32"/>
      <c r="AL389" s="33"/>
      <c r="AM389" s="32"/>
      <c r="AN389" s="33"/>
      <c r="AO389" s="32"/>
      <c r="AP389" s="32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372"/>
      <c r="BD389" s="372"/>
      <c r="BE389" s="372"/>
      <c r="BF389" s="372"/>
      <c r="BG389" s="372"/>
      <c r="BH389" s="372"/>
      <c r="BI389" s="372"/>
      <c r="BJ389" s="372"/>
      <c r="BK389" s="372"/>
      <c r="BL389" s="372"/>
      <c r="BM389" s="372"/>
      <c r="BN389" s="372"/>
      <c r="BO389" s="372"/>
      <c r="BP389" s="372"/>
      <c r="BQ389" s="372"/>
      <c r="BR389" s="372"/>
      <c r="BS389" s="372"/>
      <c r="BT389" s="372"/>
      <c r="BU389" s="372"/>
      <c r="BV389" s="372"/>
      <c r="BW389" s="372"/>
      <c r="BX389" s="372"/>
    </row>
    <row r="390" spans="2:76" s="28" customFormat="1">
      <c r="B390" s="136"/>
      <c r="D390" s="221"/>
      <c r="E390" s="29"/>
      <c r="G390" s="338"/>
      <c r="H390" s="339"/>
      <c r="I390" s="339"/>
      <c r="J390" s="339"/>
      <c r="K390" s="339"/>
      <c r="L390" s="339"/>
      <c r="O390" s="376"/>
      <c r="AI390" s="31"/>
      <c r="AJ390" s="31"/>
      <c r="AK390" s="32"/>
      <c r="AL390" s="33"/>
      <c r="AM390" s="32"/>
      <c r="AN390" s="33"/>
      <c r="AO390" s="32"/>
      <c r="AP390" s="32"/>
      <c r="AQ390" s="136"/>
      <c r="AR390" s="136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  <c r="BC390" s="372"/>
      <c r="BD390" s="372"/>
      <c r="BE390" s="372"/>
      <c r="BF390" s="372"/>
      <c r="BG390" s="372"/>
      <c r="BH390" s="372"/>
      <c r="BI390" s="372"/>
      <c r="BJ390" s="372"/>
      <c r="BK390" s="372"/>
      <c r="BL390" s="372"/>
      <c r="BM390" s="372"/>
      <c r="BN390" s="372"/>
      <c r="BO390" s="372"/>
      <c r="BP390" s="372"/>
      <c r="BQ390" s="372"/>
      <c r="BR390" s="372"/>
      <c r="BS390" s="372"/>
      <c r="BT390" s="372"/>
      <c r="BU390" s="372"/>
      <c r="BV390" s="372"/>
      <c r="BW390" s="372"/>
      <c r="BX390" s="372"/>
    </row>
    <row r="391" spans="2:76" s="28" customFormat="1">
      <c r="B391" s="136"/>
      <c r="D391" s="221"/>
      <c r="E391" s="29"/>
      <c r="G391" s="338"/>
      <c r="H391" s="339"/>
      <c r="I391" s="339"/>
      <c r="J391" s="339"/>
      <c r="K391" s="339"/>
      <c r="L391" s="339"/>
      <c r="O391" s="380"/>
      <c r="AI391" s="31"/>
      <c r="AJ391" s="31"/>
      <c r="AK391" s="32"/>
      <c r="AL391" s="33"/>
      <c r="AM391" s="32"/>
      <c r="AN391" s="33"/>
      <c r="AO391" s="32"/>
      <c r="AP391" s="32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372"/>
      <c r="BD391" s="372"/>
      <c r="BE391" s="372"/>
      <c r="BF391" s="372"/>
      <c r="BG391" s="372"/>
      <c r="BH391" s="372"/>
      <c r="BI391" s="372"/>
      <c r="BJ391" s="372"/>
      <c r="BK391" s="372"/>
      <c r="BL391" s="372"/>
      <c r="BM391" s="372"/>
      <c r="BN391" s="372"/>
      <c r="BO391" s="372"/>
      <c r="BP391" s="372"/>
      <c r="BQ391" s="372"/>
      <c r="BR391" s="372"/>
      <c r="BS391" s="372"/>
      <c r="BT391" s="372"/>
      <c r="BU391" s="372"/>
      <c r="BV391" s="372"/>
      <c r="BW391" s="372"/>
      <c r="BX391" s="372"/>
    </row>
    <row r="392" spans="2:76" s="28" customFormat="1">
      <c r="B392" s="136"/>
      <c r="D392" s="221"/>
      <c r="E392" s="29"/>
      <c r="G392" s="338"/>
      <c r="H392" s="339"/>
      <c r="I392" s="339"/>
      <c r="J392" s="339"/>
      <c r="K392" s="339"/>
      <c r="L392" s="339"/>
      <c r="O392" s="377"/>
      <c r="AI392" s="31"/>
      <c r="AJ392" s="31"/>
      <c r="AK392" s="32"/>
      <c r="AL392" s="33"/>
      <c r="AM392" s="32"/>
      <c r="AN392" s="33"/>
      <c r="AO392" s="32"/>
      <c r="AP392" s="32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372"/>
      <c r="BD392" s="372"/>
      <c r="BE392" s="372"/>
      <c r="BF392" s="372"/>
      <c r="BG392" s="372"/>
      <c r="BH392" s="372"/>
      <c r="BI392" s="372"/>
      <c r="BJ392" s="372"/>
      <c r="BK392" s="372"/>
      <c r="BL392" s="372"/>
      <c r="BM392" s="372"/>
      <c r="BN392" s="372"/>
      <c r="BO392" s="372"/>
      <c r="BP392" s="372"/>
      <c r="BQ392" s="372"/>
      <c r="BR392" s="372"/>
      <c r="BS392" s="372"/>
      <c r="BT392" s="372"/>
      <c r="BU392" s="372"/>
      <c r="BV392" s="372"/>
      <c r="BW392" s="372"/>
      <c r="BX392" s="372"/>
    </row>
    <row r="393" spans="2:76" s="28" customFormat="1">
      <c r="B393" s="136"/>
      <c r="D393" s="221"/>
      <c r="E393" s="29"/>
      <c r="G393" s="338"/>
      <c r="H393" s="339"/>
      <c r="I393" s="339"/>
      <c r="J393" s="339"/>
      <c r="K393" s="339"/>
      <c r="L393" s="339"/>
      <c r="O393" s="381"/>
      <c r="AI393" s="31"/>
      <c r="AJ393" s="31"/>
      <c r="AK393" s="32"/>
      <c r="AL393" s="33"/>
      <c r="AM393" s="32"/>
      <c r="AN393" s="33"/>
      <c r="AO393" s="32"/>
      <c r="AP393" s="32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372"/>
      <c r="BD393" s="372"/>
      <c r="BE393" s="372"/>
      <c r="BF393" s="372"/>
      <c r="BG393" s="372"/>
      <c r="BH393" s="372"/>
      <c r="BI393" s="372"/>
      <c r="BJ393" s="372"/>
      <c r="BK393" s="372"/>
      <c r="BL393" s="372"/>
      <c r="BM393" s="372"/>
      <c r="BN393" s="372"/>
      <c r="BO393" s="372"/>
      <c r="BP393" s="372"/>
      <c r="BQ393" s="372"/>
      <c r="BR393" s="372"/>
      <c r="BS393" s="372"/>
      <c r="BT393" s="372"/>
      <c r="BU393" s="372"/>
      <c r="BV393" s="372"/>
      <c r="BW393" s="372"/>
      <c r="BX393" s="372"/>
    </row>
    <row r="394" spans="2:76" s="28" customFormat="1">
      <c r="B394" s="136"/>
      <c r="D394" s="221"/>
      <c r="E394" s="29"/>
      <c r="G394" s="338"/>
      <c r="H394" s="339"/>
      <c r="I394" s="339"/>
      <c r="J394" s="339"/>
      <c r="K394" s="339"/>
      <c r="L394" s="339"/>
      <c r="O394" s="377"/>
      <c r="AI394" s="31"/>
      <c r="AJ394" s="31"/>
      <c r="AK394" s="32"/>
      <c r="AL394" s="33"/>
      <c r="AM394" s="32"/>
      <c r="AN394" s="33"/>
      <c r="AO394" s="32"/>
      <c r="AP394" s="32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372"/>
      <c r="BD394" s="372"/>
      <c r="BE394" s="372"/>
      <c r="BF394" s="372"/>
      <c r="BG394" s="372"/>
      <c r="BH394" s="372"/>
      <c r="BI394" s="372"/>
      <c r="BJ394" s="372"/>
      <c r="BK394" s="372"/>
      <c r="BL394" s="372"/>
      <c r="BM394" s="372"/>
      <c r="BN394" s="372"/>
      <c r="BO394" s="372"/>
      <c r="BP394" s="372"/>
      <c r="BQ394" s="372"/>
      <c r="BR394" s="372"/>
      <c r="BS394" s="372"/>
      <c r="BT394" s="372"/>
      <c r="BU394" s="372"/>
      <c r="BV394" s="372"/>
      <c r="BW394" s="372"/>
      <c r="BX394" s="372"/>
    </row>
    <row r="395" spans="2:76" s="28" customFormat="1">
      <c r="B395" s="136"/>
      <c r="D395" s="221"/>
      <c r="E395" s="29"/>
      <c r="G395" s="338"/>
      <c r="H395" s="339"/>
      <c r="I395" s="339"/>
      <c r="J395" s="339"/>
      <c r="K395" s="339"/>
      <c r="L395" s="339"/>
      <c r="O395" s="391"/>
      <c r="AI395" s="31"/>
      <c r="AJ395" s="31"/>
      <c r="AK395" s="32"/>
      <c r="AL395" s="33"/>
      <c r="AM395" s="32"/>
      <c r="AN395" s="33"/>
      <c r="AO395" s="32"/>
      <c r="AP395" s="32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372"/>
      <c r="BD395" s="372"/>
      <c r="BE395" s="372"/>
      <c r="BF395" s="372"/>
      <c r="BG395" s="372"/>
      <c r="BH395" s="372"/>
      <c r="BI395" s="372"/>
      <c r="BJ395" s="372"/>
      <c r="BK395" s="372"/>
      <c r="BL395" s="372"/>
      <c r="BM395" s="372"/>
      <c r="BN395" s="372"/>
      <c r="BO395" s="372"/>
      <c r="BP395" s="372"/>
      <c r="BQ395" s="372"/>
      <c r="BR395" s="372"/>
      <c r="BS395" s="372"/>
      <c r="BT395" s="372"/>
      <c r="BU395" s="372"/>
      <c r="BV395" s="372"/>
      <c r="BW395" s="372"/>
      <c r="BX395" s="372"/>
    </row>
    <row r="396" spans="2:76" s="28" customFormat="1">
      <c r="B396" s="136"/>
      <c r="D396" s="221"/>
      <c r="E396" s="29"/>
      <c r="G396" s="338"/>
      <c r="H396" s="339"/>
      <c r="I396" s="339"/>
      <c r="J396" s="339"/>
      <c r="K396" s="339"/>
      <c r="L396" s="339"/>
      <c r="O396" s="377"/>
      <c r="AI396" s="31"/>
      <c r="AJ396" s="31"/>
      <c r="AK396" s="32"/>
      <c r="AL396" s="33"/>
      <c r="AM396" s="32"/>
      <c r="AN396" s="33"/>
      <c r="AO396" s="32"/>
      <c r="AP396" s="32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372"/>
      <c r="BD396" s="372"/>
      <c r="BE396" s="372"/>
      <c r="BF396" s="372"/>
      <c r="BG396" s="372"/>
      <c r="BH396" s="372"/>
      <c r="BI396" s="372"/>
      <c r="BJ396" s="372"/>
      <c r="BK396" s="372"/>
      <c r="BL396" s="372"/>
      <c r="BM396" s="372"/>
      <c r="BN396" s="372"/>
      <c r="BO396" s="372"/>
      <c r="BP396" s="372"/>
      <c r="BQ396" s="372"/>
      <c r="BR396" s="372"/>
      <c r="BS396" s="372"/>
      <c r="BT396" s="372"/>
      <c r="BU396" s="372"/>
      <c r="BV396" s="372"/>
      <c r="BW396" s="372"/>
      <c r="BX396" s="372"/>
    </row>
    <row r="397" spans="2:76" s="28" customFormat="1">
      <c r="B397" s="136"/>
      <c r="D397" s="221"/>
      <c r="E397" s="29"/>
      <c r="G397" s="338"/>
      <c r="H397" s="339"/>
      <c r="I397" s="339"/>
      <c r="J397" s="339"/>
      <c r="K397" s="339"/>
      <c r="L397" s="339"/>
      <c r="O397" s="377"/>
      <c r="AI397" s="31"/>
      <c r="AJ397" s="31"/>
      <c r="AK397" s="32"/>
      <c r="AL397" s="33"/>
      <c r="AM397" s="32"/>
      <c r="AN397" s="33"/>
      <c r="AO397" s="32"/>
      <c r="AP397" s="32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372"/>
      <c r="BD397" s="372"/>
      <c r="BE397" s="372"/>
      <c r="BF397" s="372"/>
      <c r="BG397" s="372"/>
      <c r="BH397" s="372"/>
      <c r="BI397" s="372"/>
      <c r="BJ397" s="372"/>
      <c r="BK397" s="372"/>
      <c r="BL397" s="372"/>
      <c r="BM397" s="372"/>
      <c r="BN397" s="372"/>
      <c r="BO397" s="372"/>
      <c r="BP397" s="372"/>
      <c r="BQ397" s="372"/>
      <c r="BR397" s="372"/>
      <c r="BS397" s="372"/>
      <c r="BT397" s="372"/>
      <c r="BU397" s="372"/>
      <c r="BV397" s="372"/>
      <c r="BW397" s="372"/>
      <c r="BX397" s="372"/>
    </row>
    <row r="398" spans="2:76" s="28" customFormat="1">
      <c r="B398" s="136"/>
      <c r="D398" s="221"/>
      <c r="E398" s="29"/>
      <c r="G398" s="338"/>
      <c r="H398" s="339"/>
      <c r="I398" s="339"/>
      <c r="J398" s="339"/>
      <c r="K398" s="339"/>
      <c r="L398" s="339"/>
      <c r="O398" s="377"/>
      <c r="AI398" s="31"/>
      <c r="AJ398" s="31"/>
      <c r="AK398" s="32"/>
      <c r="AL398" s="33"/>
      <c r="AM398" s="32"/>
      <c r="AN398" s="33"/>
      <c r="AO398" s="32"/>
      <c r="AP398" s="32"/>
      <c r="AQ398" s="136"/>
      <c r="AR398" s="136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  <c r="BC398" s="372"/>
      <c r="BD398" s="372"/>
      <c r="BE398" s="372"/>
      <c r="BF398" s="372"/>
      <c r="BG398" s="372"/>
      <c r="BH398" s="372"/>
      <c r="BI398" s="372"/>
      <c r="BJ398" s="372"/>
      <c r="BK398" s="372"/>
      <c r="BL398" s="372"/>
      <c r="BM398" s="372"/>
      <c r="BN398" s="372"/>
      <c r="BO398" s="372"/>
      <c r="BP398" s="372"/>
      <c r="BQ398" s="372"/>
      <c r="BR398" s="372"/>
      <c r="BS398" s="372"/>
      <c r="BT398" s="372"/>
      <c r="BU398" s="372"/>
      <c r="BV398" s="372"/>
      <c r="BW398" s="372"/>
      <c r="BX398" s="372"/>
    </row>
    <row r="399" spans="2:76" s="28" customFormat="1">
      <c r="B399" s="136"/>
      <c r="D399" s="221"/>
      <c r="E399" s="29"/>
      <c r="G399" s="338"/>
      <c r="H399" s="339"/>
      <c r="I399" s="339"/>
      <c r="J399" s="339"/>
      <c r="K399" s="339"/>
      <c r="L399" s="339"/>
      <c r="O399" s="379"/>
      <c r="AI399" s="31"/>
      <c r="AJ399" s="31"/>
      <c r="AK399" s="32"/>
      <c r="AL399" s="33"/>
      <c r="AM399" s="32"/>
      <c r="AN399" s="33"/>
      <c r="AO399" s="32"/>
      <c r="AP399" s="32"/>
      <c r="AQ399" s="136"/>
      <c r="AR399" s="136"/>
      <c r="AS399" s="136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372"/>
      <c r="BD399" s="372"/>
      <c r="BE399" s="372"/>
      <c r="BF399" s="372"/>
      <c r="BG399" s="372"/>
      <c r="BH399" s="372"/>
      <c r="BI399" s="372"/>
      <c r="BJ399" s="372"/>
      <c r="BK399" s="372"/>
      <c r="BL399" s="372"/>
      <c r="BM399" s="372"/>
      <c r="BN399" s="372"/>
      <c r="BO399" s="372"/>
      <c r="BP399" s="372"/>
      <c r="BQ399" s="372"/>
      <c r="BR399" s="372"/>
      <c r="BS399" s="372"/>
      <c r="BT399" s="372"/>
      <c r="BU399" s="372"/>
      <c r="BV399" s="372"/>
      <c r="BW399" s="372"/>
      <c r="BX399" s="372"/>
    </row>
    <row r="400" spans="2:76" s="28" customFormat="1">
      <c r="B400" s="136"/>
      <c r="D400" s="221"/>
      <c r="E400" s="29"/>
      <c r="G400" s="338"/>
      <c r="H400" s="339"/>
      <c r="I400" s="339"/>
      <c r="J400" s="339"/>
      <c r="K400" s="339"/>
      <c r="L400" s="339"/>
      <c r="O400" s="388"/>
      <c r="AI400" s="31"/>
      <c r="AJ400" s="31"/>
      <c r="AK400" s="32"/>
      <c r="AL400" s="33"/>
      <c r="AM400" s="32"/>
      <c r="AN400" s="33"/>
      <c r="AO400" s="32"/>
      <c r="AP400" s="32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372"/>
      <c r="BD400" s="372"/>
      <c r="BE400" s="372"/>
      <c r="BF400" s="372"/>
      <c r="BG400" s="372"/>
      <c r="BH400" s="372"/>
      <c r="BI400" s="372"/>
      <c r="BJ400" s="372"/>
      <c r="BK400" s="372"/>
      <c r="BL400" s="372"/>
      <c r="BM400" s="372"/>
      <c r="BN400" s="372"/>
      <c r="BO400" s="372"/>
      <c r="BP400" s="372"/>
      <c r="BQ400" s="372"/>
      <c r="BR400" s="372"/>
      <c r="BS400" s="372"/>
      <c r="BT400" s="372"/>
      <c r="BU400" s="372"/>
      <c r="BV400" s="372"/>
      <c r="BW400" s="372"/>
      <c r="BX400" s="372"/>
    </row>
    <row r="401" spans="2:76" s="28" customFormat="1">
      <c r="B401" s="136"/>
      <c r="D401" s="221"/>
      <c r="E401" s="29"/>
      <c r="G401" s="338"/>
      <c r="H401" s="339"/>
      <c r="I401" s="339"/>
      <c r="J401" s="339"/>
      <c r="K401" s="339"/>
      <c r="L401" s="339"/>
      <c r="O401" s="379"/>
      <c r="AI401" s="31"/>
      <c r="AJ401" s="31"/>
      <c r="AK401" s="32"/>
      <c r="AL401" s="33"/>
      <c r="AM401" s="32"/>
      <c r="AN401" s="33"/>
      <c r="AO401" s="32"/>
      <c r="AP401" s="32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372"/>
      <c r="BD401" s="372"/>
      <c r="BE401" s="372"/>
      <c r="BF401" s="372"/>
      <c r="BG401" s="372"/>
      <c r="BH401" s="372"/>
      <c r="BI401" s="372"/>
      <c r="BJ401" s="372"/>
      <c r="BK401" s="372"/>
      <c r="BL401" s="372"/>
      <c r="BM401" s="372"/>
      <c r="BN401" s="372"/>
      <c r="BO401" s="372"/>
      <c r="BP401" s="372"/>
      <c r="BQ401" s="372"/>
      <c r="BR401" s="372"/>
      <c r="BS401" s="372"/>
      <c r="BT401" s="372"/>
      <c r="BU401" s="372"/>
      <c r="BV401" s="372"/>
      <c r="BW401" s="372"/>
      <c r="BX401" s="372"/>
    </row>
    <row r="402" spans="2:76" s="28" customFormat="1">
      <c r="B402" s="136"/>
      <c r="D402" s="221"/>
      <c r="E402" s="29"/>
      <c r="G402" s="338"/>
      <c r="H402" s="339"/>
      <c r="I402" s="339"/>
      <c r="J402" s="339"/>
      <c r="K402" s="339"/>
      <c r="L402" s="339"/>
      <c r="O402" s="377"/>
      <c r="AI402" s="31"/>
      <c r="AJ402" s="31"/>
      <c r="AK402" s="32"/>
      <c r="AL402" s="33"/>
      <c r="AM402" s="32"/>
      <c r="AN402" s="33"/>
      <c r="AO402" s="32"/>
      <c r="AP402" s="32"/>
      <c r="AQ402" s="136"/>
      <c r="AR402" s="136"/>
      <c r="AS402" s="136"/>
      <c r="AT402" s="136"/>
      <c r="AU402" s="136"/>
      <c r="AV402" s="136"/>
      <c r="AW402" s="136"/>
      <c r="AX402" s="136"/>
      <c r="AY402" s="136"/>
      <c r="AZ402" s="136"/>
      <c r="BA402" s="136"/>
      <c r="BB402" s="136"/>
      <c r="BC402" s="372"/>
      <c r="BD402" s="372"/>
      <c r="BE402" s="372"/>
      <c r="BF402" s="372"/>
      <c r="BG402" s="372"/>
      <c r="BH402" s="372"/>
      <c r="BI402" s="372"/>
      <c r="BJ402" s="372"/>
      <c r="BK402" s="372"/>
      <c r="BL402" s="372"/>
      <c r="BM402" s="372"/>
      <c r="BN402" s="372"/>
      <c r="BO402" s="372"/>
      <c r="BP402" s="372"/>
      <c r="BQ402" s="372"/>
      <c r="BR402" s="372"/>
      <c r="BS402" s="372"/>
      <c r="BT402" s="372"/>
      <c r="BU402" s="372"/>
      <c r="BV402" s="372"/>
      <c r="BW402" s="372"/>
      <c r="BX402" s="372"/>
    </row>
    <row r="403" spans="2:76" s="28" customFormat="1">
      <c r="B403" s="136"/>
      <c r="D403" s="221"/>
      <c r="E403" s="29"/>
      <c r="G403" s="338"/>
      <c r="H403" s="339"/>
      <c r="I403" s="339"/>
      <c r="J403" s="339"/>
      <c r="K403" s="339"/>
      <c r="L403" s="339"/>
      <c r="O403" s="385"/>
      <c r="AI403" s="31"/>
      <c r="AJ403" s="31"/>
      <c r="AK403" s="32"/>
      <c r="AL403" s="33"/>
      <c r="AM403" s="32"/>
      <c r="AN403" s="33"/>
      <c r="AO403" s="32"/>
      <c r="AP403" s="32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372"/>
      <c r="BD403" s="372"/>
      <c r="BE403" s="372"/>
      <c r="BF403" s="372"/>
      <c r="BG403" s="372"/>
      <c r="BH403" s="372"/>
      <c r="BI403" s="372"/>
      <c r="BJ403" s="372"/>
      <c r="BK403" s="372"/>
      <c r="BL403" s="372"/>
      <c r="BM403" s="372"/>
      <c r="BN403" s="372"/>
      <c r="BO403" s="372"/>
      <c r="BP403" s="372"/>
      <c r="BQ403" s="372"/>
      <c r="BR403" s="372"/>
      <c r="BS403" s="372"/>
      <c r="BT403" s="372"/>
      <c r="BU403" s="372"/>
      <c r="BV403" s="372"/>
      <c r="BW403" s="372"/>
      <c r="BX403" s="372"/>
    </row>
    <row r="404" spans="2:76" s="28" customFormat="1">
      <c r="B404" s="136"/>
      <c r="D404" s="221"/>
      <c r="E404" s="29"/>
      <c r="G404" s="338"/>
      <c r="H404" s="339"/>
      <c r="I404" s="339"/>
      <c r="J404" s="339"/>
      <c r="K404" s="339"/>
      <c r="L404" s="339"/>
      <c r="O404" s="377"/>
      <c r="AI404" s="31"/>
      <c r="AJ404" s="31"/>
      <c r="AK404" s="32"/>
      <c r="AL404" s="33"/>
      <c r="AM404" s="32"/>
      <c r="AN404" s="33"/>
      <c r="AO404" s="32"/>
      <c r="AP404" s="32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372"/>
      <c r="BD404" s="372"/>
      <c r="BE404" s="372"/>
      <c r="BF404" s="372"/>
      <c r="BG404" s="372"/>
      <c r="BH404" s="372"/>
      <c r="BI404" s="372"/>
      <c r="BJ404" s="372"/>
      <c r="BK404" s="372"/>
      <c r="BL404" s="372"/>
      <c r="BM404" s="372"/>
      <c r="BN404" s="372"/>
      <c r="BO404" s="372"/>
      <c r="BP404" s="372"/>
      <c r="BQ404" s="372"/>
      <c r="BR404" s="372"/>
      <c r="BS404" s="372"/>
      <c r="BT404" s="372"/>
      <c r="BU404" s="372"/>
      <c r="BV404" s="372"/>
      <c r="BW404" s="372"/>
      <c r="BX404" s="372"/>
    </row>
    <row r="405" spans="2:76" s="28" customFormat="1">
      <c r="B405" s="136"/>
      <c r="D405" s="221"/>
      <c r="E405" s="29"/>
      <c r="G405" s="338"/>
      <c r="H405" s="339"/>
      <c r="I405" s="339"/>
      <c r="J405" s="339"/>
      <c r="K405" s="339"/>
      <c r="L405" s="339"/>
      <c r="O405" s="379"/>
      <c r="AI405" s="31"/>
      <c r="AJ405" s="31"/>
      <c r="AK405" s="32"/>
      <c r="AL405" s="33"/>
      <c r="AM405" s="32"/>
      <c r="AN405" s="33"/>
      <c r="AO405" s="32"/>
      <c r="AP405" s="32"/>
      <c r="AQ405" s="136"/>
      <c r="AR405" s="136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372"/>
      <c r="BD405" s="372"/>
      <c r="BE405" s="372"/>
      <c r="BF405" s="372"/>
      <c r="BG405" s="372"/>
      <c r="BH405" s="372"/>
      <c r="BI405" s="372"/>
      <c r="BJ405" s="372"/>
      <c r="BK405" s="372"/>
      <c r="BL405" s="372"/>
      <c r="BM405" s="372"/>
      <c r="BN405" s="372"/>
      <c r="BO405" s="372"/>
      <c r="BP405" s="372"/>
      <c r="BQ405" s="372"/>
      <c r="BR405" s="372"/>
      <c r="BS405" s="372"/>
      <c r="BT405" s="372"/>
      <c r="BU405" s="372"/>
      <c r="BV405" s="372"/>
      <c r="BW405" s="372"/>
      <c r="BX405" s="372"/>
    </row>
    <row r="406" spans="2:76" s="28" customFormat="1">
      <c r="B406" s="136"/>
      <c r="D406" s="221"/>
      <c r="E406" s="29"/>
      <c r="G406" s="338"/>
      <c r="H406" s="339"/>
      <c r="I406" s="339"/>
      <c r="J406" s="339"/>
      <c r="K406" s="339"/>
      <c r="L406" s="339"/>
      <c r="O406" s="379"/>
      <c r="AI406" s="31"/>
      <c r="AJ406" s="31"/>
      <c r="AK406" s="32"/>
      <c r="AL406" s="33"/>
      <c r="AM406" s="32"/>
      <c r="AN406" s="33"/>
      <c r="AO406" s="32"/>
      <c r="AP406" s="32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372"/>
      <c r="BD406" s="372"/>
      <c r="BE406" s="372"/>
      <c r="BF406" s="372"/>
      <c r="BG406" s="372"/>
      <c r="BH406" s="372"/>
      <c r="BI406" s="372"/>
      <c r="BJ406" s="372"/>
      <c r="BK406" s="372"/>
      <c r="BL406" s="372"/>
      <c r="BM406" s="372"/>
      <c r="BN406" s="372"/>
      <c r="BO406" s="372"/>
      <c r="BP406" s="372"/>
      <c r="BQ406" s="372"/>
      <c r="BR406" s="372"/>
      <c r="BS406" s="372"/>
      <c r="BT406" s="372"/>
      <c r="BU406" s="372"/>
      <c r="BV406" s="372"/>
      <c r="BW406" s="372"/>
      <c r="BX406" s="372"/>
    </row>
    <row r="407" spans="2:76" s="28" customFormat="1">
      <c r="B407" s="136"/>
      <c r="D407" s="221"/>
      <c r="E407" s="29"/>
      <c r="G407" s="338"/>
      <c r="H407" s="339"/>
      <c r="I407" s="339"/>
      <c r="J407" s="339"/>
      <c r="K407" s="339"/>
      <c r="L407" s="339"/>
      <c r="O407" s="377"/>
      <c r="AI407" s="31"/>
      <c r="AJ407" s="31"/>
      <c r="AK407" s="32"/>
      <c r="AL407" s="33"/>
      <c r="AM407" s="32"/>
      <c r="AN407" s="33"/>
      <c r="AO407" s="32"/>
      <c r="AP407" s="32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372"/>
      <c r="BD407" s="372"/>
      <c r="BE407" s="372"/>
      <c r="BF407" s="372"/>
      <c r="BG407" s="372"/>
      <c r="BH407" s="372"/>
      <c r="BI407" s="372"/>
      <c r="BJ407" s="372"/>
      <c r="BK407" s="372"/>
      <c r="BL407" s="372"/>
      <c r="BM407" s="372"/>
      <c r="BN407" s="372"/>
      <c r="BO407" s="372"/>
      <c r="BP407" s="372"/>
      <c r="BQ407" s="372"/>
      <c r="BR407" s="372"/>
      <c r="BS407" s="372"/>
      <c r="BT407" s="372"/>
      <c r="BU407" s="372"/>
      <c r="BV407" s="372"/>
      <c r="BW407" s="372"/>
      <c r="BX407" s="372"/>
    </row>
    <row r="408" spans="2:76" s="28" customFormat="1">
      <c r="B408" s="136"/>
      <c r="D408" s="221"/>
      <c r="E408" s="29"/>
      <c r="G408" s="338"/>
      <c r="H408" s="339"/>
      <c r="I408" s="339"/>
      <c r="J408" s="339"/>
      <c r="K408" s="339"/>
      <c r="L408" s="339"/>
      <c r="O408" s="380"/>
      <c r="AI408" s="31"/>
      <c r="AJ408" s="31"/>
      <c r="AK408" s="32"/>
      <c r="AL408" s="33"/>
      <c r="AM408" s="32"/>
      <c r="AN408" s="33"/>
      <c r="AO408" s="32"/>
      <c r="AP408" s="32"/>
      <c r="AQ408" s="136"/>
      <c r="AR408" s="136"/>
      <c r="AS408" s="136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372"/>
      <c r="BD408" s="372"/>
      <c r="BE408" s="372"/>
      <c r="BF408" s="372"/>
      <c r="BG408" s="372"/>
      <c r="BH408" s="372"/>
      <c r="BI408" s="372"/>
      <c r="BJ408" s="372"/>
      <c r="BK408" s="372"/>
      <c r="BL408" s="372"/>
      <c r="BM408" s="372"/>
      <c r="BN408" s="372"/>
      <c r="BO408" s="372"/>
      <c r="BP408" s="372"/>
      <c r="BQ408" s="372"/>
      <c r="BR408" s="372"/>
      <c r="BS408" s="372"/>
      <c r="BT408" s="372"/>
      <c r="BU408" s="372"/>
      <c r="BV408" s="372"/>
      <c r="BW408" s="372"/>
      <c r="BX408" s="372"/>
    </row>
    <row r="409" spans="2:76" s="28" customFormat="1">
      <c r="B409" s="136"/>
      <c r="D409" s="221"/>
      <c r="E409" s="29"/>
      <c r="G409" s="338"/>
      <c r="H409" s="339"/>
      <c r="I409" s="339"/>
      <c r="J409" s="339"/>
      <c r="K409" s="339"/>
      <c r="L409" s="339"/>
      <c r="O409" s="381"/>
      <c r="AI409" s="31"/>
      <c r="AJ409" s="31"/>
      <c r="AK409" s="32"/>
      <c r="AL409" s="33"/>
      <c r="AM409" s="32"/>
      <c r="AN409" s="33"/>
      <c r="AO409" s="32"/>
      <c r="AP409" s="32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372"/>
      <c r="BD409" s="372"/>
      <c r="BE409" s="372"/>
      <c r="BF409" s="372"/>
      <c r="BG409" s="372"/>
      <c r="BH409" s="372"/>
      <c r="BI409" s="372"/>
      <c r="BJ409" s="372"/>
      <c r="BK409" s="372"/>
      <c r="BL409" s="372"/>
      <c r="BM409" s="372"/>
      <c r="BN409" s="372"/>
      <c r="BO409" s="372"/>
      <c r="BP409" s="372"/>
      <c r="BQ409" s="372"/>
      <c r="BR409" s="372"/>
      <c r="BS409" s="372"/>
      <c r="BT409" s="372"/>
      <c r="BU409" s="372"/>
      <c r="BV409" s="372"/>
      <c r="BW409" s="372"/>
      <c r="BX409" s="372"/>
    </row>
    <row r="410" spans="2:76" s="28" customFormat="1">
      <c r="B410" s="136"/>
      <c r="D410" s="221"/>
      <c r="E410" s="29"/>
      <c r="G410" s="338"/>
      <c r="H410" s="339"/>
      <c r="I410" s="339"/>
      <c r="J410" s="339"/>
      <c r="K410" s="339"/>
      <c r="L410" s="339"/>
      <c r="O410" s="380"/>
      <c r="AI410" s="31"/>
      <c r="AJ410" s="31"/>
      <c r="AK410" s="32"/>
      <c r="AL410" s="33"/>
      <c r="AM410" s="32"/>
      <c r="AN410" s="33"/>
      <c r="AO410" s="32"/>
      <c r="AP410" s="32"/>
      <c r="AQ410" s="136"/>
      <c r="AR410" s="136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372"/>
      <c r="BD410" s="372"/>
      <c r="BE410" s="372"/>
      <c r="BF410" s="372"/>
      <c r="BG410" s="372"/>
      <c r="BH410" s="372"/>
      <c r="BI410" s="372"/>
      <c r="BJ410" s="372"/>
      <c r="BK410" s="372"/>
      <c r="BL410" s="372"/>
      <c r="BM410" s="372"/>
      <c r="BN410" s="372"/>
      <c r="BO410" s="372"/>
      <c r="BP410" s="372"/>
      <c r="BQ410" s="372"/>
      <c r="BR410" s="372"/>
      <c r="BS410" s="372"/>
      <c r="BT410" s="372"/>
      <c r="BU410" s="372"/>
      <c r="BV410" s="372"/>
      <c r="BW410" s="372"/>
      <c r="BX410" s="372"/>
    </row>
    <row r="411" spans="2:76" s="28" customFormat="1">
      <c r="B411" s="136"/>
      <c r="D411" s="221"/>
      <c r="E411" s="29"/>
      <c r="G411" s="338"/>
      <c r="H411" s="339"/>
      <c r="I411" s="339"/>
      <c r="J411" s="339"/>
      <c r="K411" s="339"/>
      <c r="L411" s="339"/>
      <c r="O411" s="382"/>
      <c r="AI411" s="31"/>
      <c r="AJ411" s="31"/>
      <c r="AK411" s="32"/>
      <c r="AL411" s="33"/>
      <c r="AM411" s="32"/>
      <c r="AN411" s="33"/>
      <c r="AO411" s="32"/>
      <c r="AP411" s="32"/>
      <c r="AQ411" s="136"/>
      <c r="AR411" s="136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372"/>
      <c r="BD411" s="372"/>
      <c r="BE411" s="372"/>
      <c r="BF411" s="372"/>
      <c r="BG411" s="372"/>
      <c r="BH411" s="372"/>
      <c r="BI411" s="372"/>
      <c r="BJ411" s="372"/>
      <c r="BK411" s="372"/>
      <c r="BL411" s="372"/>
      <c r="BM411" s="372"/>
      <c r="BN411" s="372"/>
      <c r="BO411" s="372"/>
      <c r="BP411" s="372"/>
      <c r="BQ411" s="372"/>
      <c r="BR411" s="372"/>
      <c r="BS411" s="372"/>
      <c r="BT411" s="372"/>
      <c r="BU411" s="372"/>
      <c r="BV411" s="372"/>
      <c r="BW411" s="372"/>
      <c r="BX411" s="372"/>
    </row>
    <row r="412" spans="2:76" s="28" customFormat="1">
      <c r="B412" s="136"/>
      <c r="D412" s="221"/>
      <c r="E412" s="29"/>
      <c r="G412" s="338"/>
      <c r="H412" s="339"/>
      <c r="I412" s="339"/>
      <c r="J412" s="339"/>
      <c r="K412" s="339"/>
      <c r="L412" s="339"/>
      <c r="O412" s="377"/>
      <c r="AI412" s="31"/>
      <c r="AJ412" s="31"/>
      <c r="AK412" s="32"/>
      <c r="AL412" s="33"/>
      <c r="AM412" s="32"/>
      <c r="AN412" s="33"/>
      <c r="AO412" s="32"/>
      <c r="AP412" s="32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372"/>
      <c r="BD412" s="372"/>
      <c r="BE412" s="372"/>
      <c r="BF412" s="372"/>
      <c r="BG412" s="372"/>
      <c r="BH412" s="372"/>
      <c r="BI412" s="372"/>
      <c r="BJ412" s="372"/>
      <c r="BK412" s="372"/>
      <c r="BL412" s="372"/>
      <c r="BM412" s="372"/>
      <c r="BN412" s="372"/>
      <c r="BO412" s="372"/>
      <c r="BP412" s="372"/>
      <c r="BQ412" s="372"/>
      <c r="BR412" s="372"/>
      <c r="BS412" s="372"/>
      <c r="BT412" s="372"/>
      <c r="BU412" s="372"/>
      <c r="BV412" s="372"/>
      <c r="BW412" s="372"/>
      <c r="BX412" s="372"/>
    </row>
    <row r="413" spans="2:76" s="28" customFormat="1">
      <c r="B413" s="136"/>
      <c r="D413" s="221"/>
      <c r="E413" s="29"/>
      <c r="G413" s="338"/>
      <c r="H413" s="339"/>
      <c r="I413" s="339"/>
      <c r="J413" s="339"/>
      <c r="K413" s="339"/>
      <c r="L413" s="339"/>
      <c r="O413" s="380"/>
      <c r="AI413" s="31"/>
      <c r="AJ413" s="31"/>
      <c r="AK413" s="32"/>
      <c r="AL413" s="33"/>
      <c r="AM413" s="32"/>
      <c r="AN413" s="33"/>
      <c r="AO413" s="32"/>
      <c r="AP413" s="32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372"/>
      <c r="BD413" s="372"/>
      <c r="BE413" s="372"/>
      <c r="BF413" s="372"/>
      <c r="BG413" s="372"/>
      <c r="BH413" s="372"/>
      <c r="BI413" s="372"/>
      <c r="BJ413" s="372"/>
      <c r="BK413" s="372"/>
      <c r="BL413" s="372"/>
      <c r="BM413" s="372"/>
      <c r="BN413" s="372"/>
      <c r="BO413" s="372"/>
      <c r="BP413" s="372"/>
      <c r="BQ413" s="372"/>
      <c r="BR413" s="372"/>
      <c r="BS413" s="372"/>
      <c r="BT413" s="372"/>
      <c r="BU413" s="372"/>
      <c r="BV413" s="372"/>
      <c r="BW413" s="372"/>
      <c r="BX413" s="372"/>
    </row>
    <row r="414" spans="2:76" s="28" customFormat="1">
      <c r="B414" s="136"/>
      <c r="D414" s="221"/>
      <c r="E414" s="29"/>
      <c r="G414" s="338"/>
      <c r="H414" s="339"/>
      <c r="I414" s="339"/>
      <c r="J414" s="339"/>
      <c r="K414" s="339"/>
      <c r="L414" s="339"/>
      <c r="O414" s="377"/>
      <c r="AI414" s="31"/>
      <c r="AJ414" s="31"/>
      <c r="AK414" s="32"/>
      <c r="AL414" s="33"/>
      <c r="AM414" s="32"/>
      <c r="AN414" s="33"/>
      <c r="AO414" s="32"/>
      <c r="AP414" s="32"/>
      <c r="AQ414" s="136"/>
      <c r="AR414" s="136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372"/>
      <c r="BD414" s="372"/>
      <c r="BE414" s="372"/>
      <c r="BF414" s="372"/>
      <c r="BG414" s="372"/>
      <c r="BH414" s="372"/>
      <c r="BI414" s="372"/>
      <c r="BJ414" s="372"/>
      <c r="BK414" s="372"/>
      <c r="BL414" s="372"/>
      <c r="BM414" s="372"/>
      <c r="BN414" s="372"/>
      <c r="BO414" s="372"/>
      <c r="BP414" s="372"/>
      <c r="BQ414" s="372"/>
      <c r="BR414" s="372"/>
      <c r="BS414" s="372"/>
      <c r="BT414" s="372"/>
      <c r="BU414" s="372"/>
      <c r="BV414" s="372"/>
      <c r="BW414" s="372"/>
      <c r="BX414" s="372"/>
    </row>
    <row r="415" spans="2:76" s="28" customFormat="1">
      <c r="B415" s="136"/>
      <c r="D415" s="221"/>
      <c r="E415" s="29"/>
      <c r="G415" s="338"/>
      <c r="H415" s="339"/>
      <c r="I415" s="339"/>
      <c r="J415" s="339"/>
      <c r="K415" s="339"/>
      <c r="L415" s="339"/>
      <c r="O415" s="377"/>
      <c r="AI415" s="31"/>
      <c r="AJ415" s="31"/>
      <c r="AK415" s="32"/>
      <c r="AL415" s="33"/>
      <c r="AM415" s="32"/>
      <c r="AN415" s="33"/>
      <c r="AO415" s="32"/>
      <c r="AP415" s="32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372"/>
      <c r="BD415" s="372"/>
      <c r="BE415" s="372"/>
      <c r="BF415" s="372"/>
      <c r="BG415" s="372"/>
      <c r="BH415" s="372"/>
      <c r="BI415" s="372"/>
      <c r="BJ415" s="372"/>
      <c r="BK415" s="372"/>
      <c r="BL415" s="372"/>
      <c r="BM415" s="372"/>
      <c r="BN415" s="372"/>
      <c r="BO415" s="372"/>
      <c r="BP415" s="372"/>
      <c r="BQ415" s="372"/>
      <c r="BR415" s="372"/>
      <c r="BS415" s="372"/>
      <c r="BT415" s="372"/>
      <c r="BU415" s="372"/>
      <c r="BV415" s="372"/>
      <c r="BW415" s="372"/>
      <c r="BX415" s="372"/>
    </row>
    <row r="416" spans="2:76" s="28" customFormat="1">
      <c r="B416" s="136"/>
      <c r="D416" s="221"/>
      <c r="E416" s="29"/>
      <c r="G416" s="338"/>
      <c r="H416" s="339"/>
      <c r="I416" s="339"/>
      <c r="J416" s="339"/>
      <c r="K416" s="339"/>
      <c r="L416" s="339"/>
      <c r="O416" s="377"/>
      <c r="AI416" s="31"/>
      <c r="AJ416" s="31"/>
      <c r="AK416" s="32"/>
      <c r="AL416" s="33"/>
      <c r="AM416" s="32"/>
      <c r="AN416" s="33"/>
      <c r="AO416" s="32"/>
      <c r="AP416" s="32"/>
      <c r="AQ416" s="136"/>
      <c r="AR416" s="136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372"/>
      <c r="BD416" s="372"/>
      <c r="BE416" s="372"/>
      <c r="BF416" s="372"/>
      <c r="BG416" s="372"/>
      <c r="BH416" s="372"/>
      <c r="BI416" s="372"/>
      <c r="BJ416" s="372"/>
      <c r="BK416" s="372"/>
      <c r="BL416" s="372"/>
      <c r="BM416" s="372"/>
      <c r="BN416" s="372"/>
      <c r="BO416" s="372"/>
      <c r="BP416" s="372"/>
      <c r="BQ416" s="372"/>
      <c r="BR416" s="372"/>
      <c r="BS416" s="372"/>
      <c r="BT416" s="372"/>
      <c r="BU416" s="372"/>
      <c r="BV416" s="372"/>
      <c r="BW416" s="372"/>
      <c r="BX416" s="372"/>
    </row>
    <row r="417" spans="2:76" s="28" customFormat="1">
      <c r="B417" s="136"/>
      <c r="D417" s="221"/>
      <c r="E417" s="29"/>
      <c r="G417" s="338"/>
      <c r="H417" s="339"/>
      <c r="I417" s="339"/>
      <c r="J417" s="339"/>
      <c r="K417" s="339"/>
      <c r="L417" s="339"/>
      <c r="O417" s="378"/>
      <c r="AI417" s="31"/>
      <c r="AJ417" s="31"/>
      <c r="AK417" s="32"/>
      <c r="AL417" s="33"/>
      <c r="AM417" s="32"/>
      <c r="AN417" s="33"/>
      <c r="AO417" s="32"/>
      <c r="AP417" s="32"/>
      <c r="AQ417" s="136"/>
      <c r="AR417" s="136"/>
      <c r="AS417" s="136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372"/>
      <c r="BD417" s="372"/>
      <c r="BE417" s="372"/>
      <c r="BF417" s="372"/>
      <c r="BG417" s="372"/>
      <c r="BH417" s="372"/>
      <c r="BI417" s="372"/>
      <c r="BJ417" s="372"/>
      <c r="BK417" s="372"/>
      <c r="BL417" s="372"/>
      <c r="BM417" s="372"/>
      <c r="BN417" s="372"/>
      <c r="BO417" s="372"/>
      <c r="BP417" s="372"/>
      <c r="BQ417" s="372"/>
      <c r="BR417" s="372"/>
      <c r="BS417" s="372"/>
      <c r="BT417" s="372"/>
      <c r="BU417" s="372"/>
      <c r="BV417" s="372"/>
      <c r="BW417" s="372"/>
      <c r="BX417" s="372"/>
    </row>
    <row r="418" spans="2:76" s="28" customFormat="1">
      <c r="B418" s="136"/>
      <c r="D418" s="221"/>
      <c r="E418" s="29"/>
      <c r="G418" s="338"/>
      <c r="H418" s="339"/>
      <c r="I418" s="339"/>
      <c r="J418" s="339"/>
      <c r="K418" s="339"/>
      <c r="L418" s="339"/>
      <c r="O418" s="382"/>
      <c r="AI418" s="31"/>
      <c r="AJ418" s="31"/>
      <c r="AK418" s="32"/>
      <c r="AL418" s="33"/>
      <c r="AM418" s="32"/>
      <c r="AN418" s="33"/>
      <c r="AO418" s="32"/>
      <c r="AP418" s="32"/>
      <c r="AQ418" s="136"/>
      <c r="AR418" s="136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372"/>
      <c r="BD418" s="372"/>
      <c r="BE418" s="372"/>
      <c r="BF418" s="372"/>
      <c r="BG418" s="372"/>
      <c r="BH418" s="372"/>
      <c r="BI418" s="372"/>
      <c r="BJ418" s="372"/>
      <c r="BK418" s="372"/>
      <c r="BL418" s="372"/>
      <c r="BM418" s="372"/>
      <c r="BN418" s="372"/>
      <c r="BO418" s="372"/>
      <c r="BP418" s="372"/>
      <c r="BQ418" s="372"/>
      <c r="BR418" s="372"/>
      <c r="BS418" s="372"/>
      <c r="BT418" s="372"/>
      <c r="BU418" s="372"/>
      <c r="BV418" s="372"/>
      <c r="BW418" s="372"/>
      <c r="BX418" s="372"/>
    </row>
    <row r="419" spans="2:76" s="28" customFormat="1">
      <c r="B419" s="136"/>
      <c r="D419" s="221"/>
      <c r="E419" s="29"/>
      <c r="G419" s="338"/>
      <c r="H419" s="339"/>
      <c r="I419" s="339"/>
      <c r="J419" s="339"/>
      <c r="K419" s="339"/>
      <c r="L419" s="339"/>
      <c r="O419" s="380"/>
      <c r="AI419" s="31"/>
      <c r="AJ419" s="31"/>
      <c r="AK419" s="32"/>
      <c r="AL419" s="33"/>
      <c r="AM419" s="32"/>
      <c r="AN419" s="33"/>
      <c r="AO419" s="32"/>
      <c r="AP419" s="32"/>
      <c r="AQ419" s="136"/>
      <c r="AR419" s="136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372"/>
      <c r="BD419" s="372"/>
      <c r="BE419" s="372"/>
      <c r="BF419" s="372"/>
      <c r="BG419" s="372"/>
      <c r="BH419" s="372"/>
      <c r="BI419" s="372"/>
      <c r="BJ419" s="372"/>
      <c r="BK419" s="372"/>
      <c r="BL419" s="372"/>
      <c r="BM419" s="372"/>
      <c r="BN419" s="372"/>
      <c r="BO419" s="372"/>
      <c r="BP419" s="372"/>
      <c r="BQ419" s="372"/>
      <c r="BR419" s="372"/>
      <c r="BS419" s="372"/>
      <c r="BT419" s="372"/>
      <c r="BU419" s="372"/>
      <c r="BV419" s="372"/>
      <c r="BW419" s="372"/>
      <c r="BX419" s="372"/>
    </row>
    <row r="420" spans="2:76" s="28" customFormat="1">
      <c r="B420" s="136"/>
      <c r="D420" s="221"/>
      <c r="E420" s="29"/>
      <c r="G420" s="338"/>
      <c r="H420" s="339"/>
      <c r="I420" s="339"/>
      <c r="J420" s="339"/>
      <c r="K420" s="339"/>
      <c r="L420" s="339"/>
      <c r="O420" s="377"/>
      <c r="AI420" s="31"/>
      <c r="AJ420" s="31"/>
      <c r="AK420" s="32"/>
      <c r="AL420" s="33"/>
      <c r="AM420" s="32"/>
      <c r="AN420" s="33"/>
      <c r="AO420" s="32"/>
      <c r="AP420" s="32"/>
      <c r="AQ420" s="136"/>
      <c r="AR420" s="136"/>
      <c r="AS420" s="136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372"/>
      <c r="BD420" s="372"/>
      <c r="BE420" s="372"/>
      <c r="BF420" s="372"/>
      <c r="BG420" s="372"/>
      <c r="BH420" s="372"/>
      <c r="BI420" s="372"/>
      <c r="BJ420" s="372"/>
      <c r="BK420" s="372"/>
      <c r="BL420" s="372"/>
      <c r="BM420" s="372"/>
      <c r="BN420" s="372"/>
      <c r="BO420" s="372"/>
      <c r="BP420" s="372"/>
      <c r="BQ420" s="372"/>
      <c r="BR420" s="372"/>
      <c r="BS420" s="372"/>
      <c r="BT420" s="372"/>
      <c r="BU420" s="372"/>
      <c r="BV420" s="372"/>
      <c r="BW420" s="372"/>
      <c r="BX420" s="372"/>
    </row>
    <row r="421" spans="2:76" s="28" customFormat="1">
      <c r="B421" s="136"/>
      <c r="D421" s="221"/>
      <c r="E421" s="29"/>
      <c r="G421" s="338"/>
      <c r="H421" s="339"/>
      <c r="I421" s="339"/>
      <c r="J421" s="339"/>
      <c r="K421" s="339"/>
      <c r="L421" s="339"/>
      <c r="O421" s="377"/>
      <c r="AI421" s="31"/>
      <c r="AJ421" s="31"/>
      <c r="AK421" s="32"/>
      <c r="AL421" s="33"/>
      <c r="AM421" s="32"/>
      <c r="AN421" s="33"/>
      <c r="AO421" s="32"/>
      <c r="AP421" s="32"/>
      <c r="AQ421" s="136"/>
      <c r="AR421" s="136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372"/>
      <c r="BD421" s="372"/>
      <c r="BE421" s="372"/>
      <c r="BF421" s="372"/>
      <c r="BG421" s="372"/>
      <c r="BH421" s="372"/>
      <c r="BI421" s="372"/>
      <c r="BJ421" s="372"/>
      <c r="BK421" s="372"/>
      <c r="BL421" s="372"/>
      <c r="BM421" s="372"/>
      <c r="BN421" s="372"/>
      <c r="BO421" s="372"/>
      <c r="BP421" s="372"/>
      <c r="BQ421" s="372"/>
      <c r="BR421" s="372"/>
      <c r="BS421" s="372"/>
      <c r="BT421" s="372"/>
      <c r="BU421" s="372"/>
      <c r="BV421" s="372"/>
      <c r="BW421" s="372"/>
      <c r="BX421" s="372"/>
    </row>
    <row r="422" spans="2:76" s="28" customFormat="1">
      <c r="B422" s="136"/>
      <c r="D422" s="221"/>
      <c r="E422" s="29"/>
      <c r="G422" s="338"/>
      <c r="H422" s="339"/>
      <c r="I422" s="339"/>
      <c r="J422" s="339"/>
      <c r="K422" s="339"/>
      <c r="L422" s="339"/>
      <c r="O422" s="379"/>
      <c r="AI422" s="31"/>
      <c r="AJ422" s="31"/>
      <c r="AK422" s="32"/>
      <c r="AL422" s="33"/>
      <c r="AM422" s="32"/>
      <c r="AN422" s="33"/>
      <c r="AO422" s="32"/>
      <c r="AP422" s="32"/>
      <c r="AQ422" s="136"/>
      <c r="AR422" s="136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372"/>
      <c r="BD422" s="372"/>
      <c r="BE422" s="372"/>
      <c r="BF422" s="372"/>
      <c r="BG422" s="372"/>
      <c r="BH422" s="372"/>
      <c r="BI422" s="372"/>
      <c r="BJ422" s="372"/>
      <c r="BK422" s="372"/>
      <c r="BL422" s="372"/>
      <c r="BM422" s="372"/>
      <c r="BN422" s="372"/>
      <c r="BO422" s="372"/>
      <c r="BP422" s="372"/>
      <c r="BQ422" s="372"/>
      <c r="BR422" s="372"/>
      <c r="BS422" s="372"/>
      <c r="BT422" s="372"/>
      <c r="BU422" s="372"/>
      <c r="BV422" s="372"/>
      <c r="BW422" s="372"/>
      <c r="BX422" s="372"/>
    </row>
    <row r="423" spans="2:76" s="28" customFormat="1">
      <c r="B423" s="136"/>
      <c r="D423" s="221"/>
      <c r="E423" s="29"/>
      <c r="G423" s="338"/>
      <c r="H423" s="339"/>
      <c r="I423" s="339"/>
      <c r="J423" s="339"/>
      <c r="K423" s="339"/>
      <c r="L423" s="339"/>
      <c r="O423" s="376"/>
      <c r="AI423" s="31"/>
      <c r="AJ423" s="31"/>
      <c r="AK423" s="32"/>
      <c r="AL423" s="33"/>
      <c r="AM423" s="32"/>
      <c r="AN423" s="33"/>
      <c r="AO423" s="32"/>
      <c r="AP423" s="32"/>
      <c r="AQ423" s="136"/>
      <c r="AR423" s="136"/>
      <c r="AS423" s="136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372"/>
      <c r="BD423" s="372"/>
      <c r="BE423" s="372"/>
      <c r="BF423" s="372"/>
      <c r="BG423" s="372"/>
      <c r="BH423" s="372"/>
      <c r="BI423" s="372"/>
      <c r="BJ423" s="372"/>
      <c r="BK423" s="372"/>
      <c r="BL423" s="372"/>
      <c r="BM423" s="372"/>
      <c r="BN423" s="372"/>
      <c r="BO423" s="372"/>
      <c r="BP423" s="372"/>
      <c r="BQ423" s="372"/>
      <c r="BR423" s="372"/>
      <c r="BS423" s="372"/>
      <c r="BT423" s="372"/>
      <c r="BU423" s="372"/>
      <c r="BV423" s="372"/>
      <c r="BW423" s="372"/>
      <c r="BX423" s="372"/>
    </row>
    <row r="424" spans="2:76" s="28" customFormat="1">
      <c r="B424" s="136"/>
      <c r="D424" s="221"/>
      <c r="E424" s="29"/>
      <c r="G424" s="338"/>
      <c r="H424" s="339"/>
      <c r="I424" s="339"/>
      <c r="J424" s="339"/>
      <c r="K424" s="339"/>
      <c r="L424" s="339"/>
      <c r="O424" s="377"/>
      <c r="AI424" s="31"/>
      <c r="AJ424" s="31"/>
      <c r="AK424" s="32"/>
      <c r="AL424" s="33"/>
      <c r="AM424" s="32"/>
      <c r="AN424" s="33"/>
      <c r="AO424" s="32"/>
      <c r="AP424" s="32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372"/>
      <c r="BD424" s="372"/>
      <c r="BE424" s="372"/>
      <c r="BF424" s="372"/>
      <c r="BG424" s="372"/>
      <c r="BH424" s="372"/>
      <c r="BI424" s="372"/>
      <c r="BJ424" s="372"/>
      <c r="BK424" s="372"/>
      <c r="BL424" s="372"/>
      <c r="BM424" s="372"/>
      <c r="BN424" s="372"/>
      <c r="BO424" s="372"/>
      <c r="BP424" s="372"/>
      <c r="BQ424" s="372"/>
      <c r="BR424" s="372"/>
      <c r="BS424" s="372"/>
      <c r="BT424" s="372"/>
      <c r="BU424" s="372"/>
      <c r="BV424" s="372"/>
      <c r="BW424" s="372"/>
      <c r="BX424" s="372"/>
    </row>
    <row r="425" spans="2:76" s="28" customFormat="1">
      <c r="B425" s="136"/>
      <c r="D425" s="221"/>
      <c r="E425" s="29"/>
      <c r="G425" s="338"/>
      <c r="H425" s="339"/>
      <c r="I425" s="339"/>
      <c r="J425" s="339"/>
      <c r="K425" s="339"/>
      <c r="L425" s="339"/>
      <c r="O425" s="382"/>
      <c r="AI425" s="31"/>
      <c r="AJ425" s="31"/>
      <c r="AK425" s="32"/>
      <c r="AL425" s="33"/>
      <c r="AM425" s="32"/>
      <c r="AN425" s="33"/>
      <c r="AO425" s="32"/>
      <c r="AP425" s="32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372"/>
      <c r="BD425" s="372"/>
      <c r="BE425" s="372"/>
      <c r="BF425" s="372"/>
      <c r="BG425" s="372"/>
      <c r="BH425" s="372"/>
      <c r="BI425" s="372"/>
      <c r="BJ425" s="372"/>
      <c r="BK425" s="372"/>
      <c r="BL425" s="372"/>
      <c r="BM425" s="372"/>
      <c r="BN425" s="372"/>
      <c r="BO425" s="372"/>
      <c r="BP425" s="372"/>
      <c r="BQ425" s="372"/>
      <c r="BR425" s="372"/>
      <c r="BS425" s="372"/>
      <c r="BT425" s="372"/>
      <c r="BU425" s="372"/>
      <c r="BV425" s="372"/>
      <c r="BW425" s="372"/>
      <c r="BX425" s="372"/>
    </row>
    <row r="426" spans="2:76" s="28" customFormat="1">
      <c r="B426" s="136"/>
      <c r="D426" s="221"/>
      <c r="E426" s="29"/>
      <c r="G426" s="338"/>
      <c r="H426" s="339"/>
      <c r="I426" s="339"/>
      <c r="J426" s="339"/>
      <c r="K426" s="339"/>
      <c r="L426" s="339"/>
      <c r="O426" s="380"/>
      <c r="AI426" s="31"/>
      <c r="AJ426" s="31"/>
      <c r="AK426" s="32"/>
      <c r="AL426" s="33"/>
      <c r="AM426" s="32"/>
      <c r="AN426" s="33"/>
      <c r="AO426" s="32"/>
      <c r="AP426" s="32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372"/>
      <c r="BD426" s="372"/>
      <c r="BE426" s="372"/>
      <c r="BF426" s="372"/>
      <c r="BG426" s="372"/>
      <c r="BH426" s="372"/>
      <c r="BI426" s="372"/>
      <c r="BJ426" s="372"/>
      <c r="BK426" s="372"/>
      <c r="BL426" s="372"/>
      <c r="BM426" s="372"/>
      <c r="BN426" s="372"/>
      <c r="BO426" s="372"/>
      <c r="BP426" s="372"/>
      <c r="BQ426" s="372"/>
      <c r="BR426" s="372"/>
      <c r="BS426" s="372"/>
      <c r="BT426" s="372"/>
      <c r="BU426" s="372"/>
      <c r="BV426" s="372"/>
      <c r="BW426" s="372"/>
      <c r="BX426" s="372"/>
    </row>
    <row r="427" spans="2:76" s="28" customFormat="1">
      <c r="B427" s="136"/>
      <c r="D427" s="221"/>
      <c r="E427" s="29"/>
      <c r="G427" s="338"/>
      <c r="H427" s="339"/>
      <c r="I427" s="339"/>
      <c r="J427" s="339"/>
      <c r="K427" s="339"/>
      <c r="L427" s="339"/>
      <c r="O427" s="377"/>
      <c r="AI427" s="31"/>
      <c r="AJ427" s="31"/>
      <c r="AK427" s="32"/>
      <c r="AL427" s="33"/>
      <c r="AM427" s="32"/>
      <c r="AN427" s="33"/>
      <c r="AO427" s="32"/>
      <c r="AP427" s="32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372"/>
      <c r="BD427" s="372"/>
      <c r="BE427" s="372"/>
      <c r="BF427" s="372"/>
      <c r="BG427" s="372"/>
      <c r="BH427" s="372"/>
      <c r="BI427" s="372"/>
      <c r="BJ427" s="372"/>
      <c r="BK427" s="372"/>
      <c r="BL427" s="372"/>
      <c r="BM427" s="372"/>
      <c r="BN427" s="372"/>
      <c r="BO427" s="372"/>
      <c r="BP427" s="372"/>
      <c r="BQ427" s="372"/>
      <c r="BR427" s="372"/>
      <c r="BS427" s="372"/>
      <c r="BT427" s="372"/>
      <c r="BU427" s="372"/>
      <c r="BV427" s="372"/>
      <c r="BW427" s="372"/>
      <c r="BX427" s="372"/>
    </row>
    <row r="428" spans="2:76" s="28" customFormat="1">
      <c r="B428" s="136"/>
      <c r="D428" s="221"/>
      <c r="E428" s="29"/>
      <c r="G428" s="338"/>
      <c r="H428" s="339"/>
      <c r="I428" s="339"/>
      <c r="J428" s="339"/>
      <c r="K428" s="339"/>
      <c r="L428" s="339"/>
      <c r="O428" s="381"/>
      <c r="AI428" s="31"/>
      <c r="AJ428" s="31"/>
      <c r="AK428" s="32"/>
      <c r="AL428" s="33"/>
      <c r="AM428" s="32"/>
      <c r="AN428" s="33"/>
      <c r="AO428" s="32"/>
      <c r="AP428" s="32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372"/>
      <c r="BD428" s="372"/>
      <c r="BE428" s="372"/>
      <c r="BF428" s="372"/>
      <c r="BG428" s="372"/>
      <c r="BH428" s="372"/>
      <c r="BI428" s="372"/>
      <c r="BJ428" s="372"/>
      <c r="BK428" s="372"/>
      <c r="BL428" s="372"/>
      <c r="BM428" s="372"/>
      <c r="BN428" s="372"/>
      <c r="BO428" s="372"/>
      <c r="BP428" s="372"/>
      <c r="BQ428" s="372"/>
      <c r="BR428" s="372"/>
      <c r="BS428" s="372"/>
      <c r="BT428" s="372"/>
      <c r="BU428" s="372"/>
      <c r="BV428" s="372"/>
      <c r="BW428" s="372"/>
      <c r="BX428" s="372"/>
    </row>
    <row r="429" spans="2:76" s="28" customFormat="1">
      <c r="B429" s="136"/>
      <c r="D429" s="221"/>
      <c r="E429" s="29"/>
      <c r="G429" s="338"/>
      <c r="H429" s="339"/>
      <c r="I429" s="339"/>
      <c r="J429" s="339"/>
      <c r="K429" s="339"/>
      <c r="L429" s="339"/>
      <c r="O429" s="377"/>
      <c r="AI429" s="31"/>
      <c r="AJ429" s="31"/>
      <c r="AK429" s="32"/>
      <c r="AL429" s="33"/>
      <c r="AM429" s="32"/>
      <c r="AN429" s="33"/>
      <c r="AO429" s="32"/>
      <c r="AP429" s="32"/>
      <c r="AQ429" s="136"/>
      <c r="AR429" s="136"/>
      <c r="AS429" s="136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372"/>
      <c r="BD429" s="372"/>
      <c r="BE429" s="372"/>
      <c r="BF429" s="372"/>
      <c r="BG429" s="372"/>
      <c r="BH429" s="372"/>
      <c r="BI429" s="372"/>
      <c r="BJ429" s="372"/>
      <c r="BK429" s="372"/>
      <c r="BL429" s="372"/>
      <c r="BM429" s="372"/>
      <c r="BN429" s="372"/>
      <c r="BO429" s="372"/>
      <c r="BP429" s="372"/>
      <c r="BQ429" s="372"/>
      <c r="BR429" s="372"/>
      <c r="BS429" s="372"/>
      <c r="BT429" s="372"/>
      <c r="BU429" s="372"/>
      <c r="BV429" s="372"/>
      <c r="BW429" s="372"/>
      <c r="BX429" s="372"/>
    </row>
    <row r="430" spans="2:76" s="28" customFormat="1">
      <c r="B430" s="136"/>
      <c r="D430" s="221"/>
      <c r="E430" s="29"/>
      <c r="G430" s="338"/>
      <c r="H430" s="339"/>
      <c r="I430" s="339"/>
      <c r="J430" s="339"/>
      <c r="K430" s="339"/>
      <c r="L430" s="339"/>
      <c r="O430" s="377"/>
      <c r="AI430" s="31"/>
      <c r="AJ430" s="31"/>
      <c r="AK430" s="32"/>
      <c r="AL430" s="33"/>
      <c r="AM430" s="32"/>
      <c r="AN430" s="33"/>
      <c r="AO430" s="32"/>
      <c r="AP430" s="32"/>
      <c r="AQ430" s="136"/>
      <c r="AR430" s="136"/>
      <c r="AS430" s="136"/>
      <c r="AT430" s="136"/>
      <c r="AU430" s="136"/>
      <c r="AV430" s="136"/>
      <c r="AW430" s="136"/>
      <c r="AX430" s="136"/>
      <c r="AY430" s="136"/>
      <c r="AZ430" s="136"/>
      <c r="BA430" s="136"/>
      <c r="BB430" s="136"/>
      <c r="BC430" s="372"/>
      <c r="BD430" s="372"/>
      <c r="BE430" s="372"/>
      <c r="BF430" s="372"/>
      <c r="BG430" s="372"/>
      <c r="BH430" s="372"/>
      <c r="BI430" s="372"/>
      <c r="BJ430" s="372"/>
      <c r="BK430" s="372"/>
      <c r="BL430" s="372"/>
      <c r="BM430" s="372"/>
      <c r="BN430" s="372"/>
      <c r="BO430" s="372"/>
      <c r="BP430" s="372"/>
      <c r="BQ430" s="372"/>
      <c r="BR430" s="372"/>
      <c r="BS430" s="372"/>
      <c r="BT430" s="372"/>
      <c r="BU430" s="372"/>
      <c r="BV430" s="372"/>
      <c r="BW430" s="372"/>
      <c r="BX430" s="372"/>
    </row>
    <row r="431" spans="2:76" s="28" customFormat="1">
      <c r="B431" s="136"/>
      <c r="D431" s="221"/>
      <c r="E431" s="29"/>
      <c r="G431" s="338"/>
      <c r="H431" s="339"/>
      <c r="I431" s="339"/>
      <c r="J431" s="339"/>
      <c r="K431" s="339"/>
      <c r="L431" s="339"/>
      <c r="O431" s="379"/>
      <c r="AI431" s="31"/>
      <c r="AJ431" s="31"/>
      <c r="AK431" s="32"/>
      <c r="AL431" s="33"/>
      <c r="AM431" s="32"/>
      <c r="AN431" s="33"/>
      <c r="AO431" s="32"/>
      <c r="AP431" s="32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372"/>
      <c r="BD431" s="372"/>
      <c r="BE431" s="372"/>
      <c r="BF431" s="372"/>
      <c r="BG431" s="372"/>
      <c r="BH431" s="372"/>
      <c r="BI431" s="372"/>
      <c r="BJ431" s="372"/>
      <c r="BK431" s="372"/>
      <c r="BL431" s="372"/>
      <c r="BM431" s="372"/>
      <c r="BN431" s="372"/>
      <c r="BO431" s="372"/>
      <c r="BP431" s="372"/>
      <c r="BQ431" s="372"/>
      <c r="BR431" s="372"/>
      <c r="BS431" s="372"/>
      <c r="BT431" s="372"/>
      <c r="BU431" s="372"/>
      <c r="BV431" s="372"/>
      <c r="BW431" s="372"/>
      <c r="BX431" s="372"/>
    </row>
    <row r="432" spans="2:76" s="28" customFormat="1">
      <c r="B432" s="136"/>
      <c r="D432" s="221"/>
      <c r="E432" s="29"/>
      <c r="G432" s="338"/>
      <c r="H432" s="339"/>
      <c r="I432" s="339"/>
      <c r="J432" s="339"/>
      <c r="K432" s="339"/>
      <c r="L432" s="339"/>
      <c r="O432" s="377"/>
      <c r="AI432" s="31"/>
      <c r="AJ432" s="31"/>
      <c r="AK432" s="32"/>
      <c r="AL432" s="33"/>
      <c r="AM432" s="32"/>
      <c r="AN432" s="33"/>
      <c r="AO432" s="32"/>
      <c r="AP432" s="32"/>
      <c r="AQ432" s="136"/>
      <c r="AR432" s="136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372"/>
      <c r="BD432" s="372"/>
      <c r="BE432" s="372"/>
      <c r="BF432" s="372"/>
      <c r="BG432" s="372"/>
      <c r="BH432" s="372"/>
      <c r="BI432" s="372"/>
      <c r="BJ432" s="372"/>
      <c r="BK432" s="372"/>
      <c r="BL432" s="372"/>
      <c r="BM432" s="372"/>
      <c r="BN432" s="372"/>
      <c r="BO432" s="372"/>
      <c r="BP432" s="372"/>
      <c r="BQ432" s="372"/>
      <c r="BR432" s="372"/>
      <c r="BS432" s="372"/>
      <c r="BT432" s="372"/>
      <c r="BU432" s="372"/>
      <c r="BV432" s="372"/>
      <c r="BW432" s="372"/>
      <c r="BX432" s="372"/>
    </row>
    <row r="433" spans="2:76" s="28" customFormat="1">
      <c r="B433" s="136"/>
      <c r="D433" s="221"/>
      <c r="E433" s="29"/>
      <c r="G433" s="338"/>
      <c r="H433" s="339"/>
      <c r="I433" s="339"/>
      <c r="J433" s="339"/>
      <c r="K433" s="339"/>
      <c r="L433" s="339"/>
      <c r="O433" s="377"/>
      <c r="AI433" s="31"/>
      <c r="AJ433" s="31"/>
      <c r="AK433" s="32"/>
      <c r="AL433" s="33"/>
      <c r="AM433" s="32"/>
      <c r="AN433" s="33"/>
      <c r="AO433" s="32"/>
      <c r="AP433" s="32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372"/>
      <c r="BD433" s="372"/>
      <c r="BE433" s="372"/>
      <c r="BF433" s="372"/>
      <c r="BG433" s="372"/>
      <c r="BH433" s="372"/>
      <c r="BI433" s="372"/>
      <c r="BJ433" s="372"/>
      <c r="BK433" s="372"/>
      <c r="BL433" s="372"/>
      <c r="BM433" s="372"/>
      <c r="BN433" s="372"/>
      <c r="BO433" s="372"/>
      <c r="BP433" s="372"/>
      <c r="BQ433" s="372"/>
      <c r="BR433" s="372"/>
      <c r="BS433" s="372"/>
      <c r="BT433" s="372"/>
      <c r="BU433" s="372"/>
      <c r="BV433" s="372"/>
      <c r="BW433" s="372"/>
      <c r="BX433" s="372"/>
    </row>
    <row r="434" spans="2:76" s="28" customFormat="1">
      <c r="B434" s="136"/>
      <c r="D434" s="221"/>
      <c r="E434" s="29"/>
      <c r="G434" s="338"/>
      <c r="H434" s="339"/>
      <c r="I434" s="339"/>
      <c r="J434" s="339"/>
      <c r="K434" s="339"/>
      <c r="L434" s="339"/>
      <c r="O434" s="376"/>
      <c r="AI434" s="31"/>
      <c r="AJ434" s="31"/>
      <c r="AK434" s="32"/>
      <c r="AL434" s="33"/>
      <c r="AM434" s="32"/>
      <c r="AN434" s="33"/>
      <c r="AO434" s="32"/>
      <c r="AP434" s="32"/>
      <c r="AQ434" s="136"/>
      <c r="AR434" s="136"/>
      <c r="AS434" s="136"/>
      <c r="AT434" s="136"/>
      <c r="AU434" s="136"/>
      <c r="AV434" s="136"/>
      <c r="AW434" s="136"/>
      <c r="AX434" s="136"/>
      <c r="AY434" s="136"/>
      <c r="AZ434" s="136"/>
      <c r="BA434" s="136"/>
      <c r="BB434" s="136"/>
      <c r="BC434" s="372"/>
      <c r="BD434" s="372"/>
      <c r="BE434" s="372"/>
      <c r="BF434" s="372"/>
      <c r="BG434" s="372"/>
      <c r="BH434" s="372"/>
      <c r="BI434" s="372"/>
      <c r="BJ434" s="372"/>
      <c r="BK434" s="372"/>
      <c r="BL434" s="372"/>
      <c r="BM434" s="372"/>
      <c r="BN434" s="372"/>
      <c r="BO434" s="372"/>
      <c r="BP434" s="372"/>
      <c r="BQ434" s="372"/>
      <c r="BR434" s="372"/>
      <c r="BS434" s="372"/>
      <c r="BT434" s="372"/>
      <c r="BU434" s="372"/>
      <c r="BV434" s="372"/>
      <c r="BW434" s="372"/>
      <c r="BX434" s="372"/>
    </row>
    <row r="435" spans="2:76" s="28" customFormat="1">
      <c r="B435" s="136"/>
      <c r="D435" s="221"/>
      <c r="E435" s="29"/>
      <c r="G435" s="338"/>
      <c r="H435" s="339"/>
      <c r="I435" s="339"/>
      <c r="J435" s="339"/>
      <c r="K435" s="339"/>
      <c r="L435" s="339"/>
      <c r="O435" s="380"/>
      <c r="AI435" s="31"/>
      <c r="AJ435" s="31"/>
      <c r="AK435" s="32"/>
      <c r="AL435" s="33"/>
      <c r="AM435" s="32"/>
      <c r="AN435" s="33"/>
      <c r="AO435" s="32"/>
      <c r="AP435" s="32"/>
      <c r="AQ435" s="136"/>
      <c r="AR435" s="136"/>
      <c r="AS435" s="136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372"/>
      <c r="BD435" s="372"/>
      <c r="BE435" s="372"/>
      <c r="BF435" s="372"/>
      <c r="BG435" s="372"/>
      <c r="BH435" s="372"/>
      <c r="BI435" s="372"/>
      <c r="BJ435" s="372"/>
      <c r="BK435" s="372"/>
      <c r="BL435" s="372"/>
      <c r="BM435" s="372"/>
      <c r="BN435" s="372"/>
      <c r="BO435" s="372"/>
      <c r="BP435" s="372"/>
      <c r="BQ435" s="372"/>
      <c r="BR435" s="372"/>
      <c r="BS435" s="372"/>
      <c r="BT435" s="372"/>
      <c r="BU435" s="372"/>
      <c r="BV435" s="372"/>
      <c r="BW435" s="372"/>
      <c r="BX435" s="372"/>
    </row>
    <row r="436" spans="2:76" s="28" customFormat="1">
      <c r="B436" s="136"/>
      <c r="D436" s="221"/>
      <c r="E436" s="29"/>
      <c r="G436" s="338"/>
      <c r="H436" s="339"/>
      <c r="I436" s="339"/>
      <c r="J436" s="339"/>
      <c r="K436" s="339"/>
      <c r="L436" s="339"/>
      <c r="O436" s="380"/>
      <c r="AI436" s="31"/>
      <c r="AJ436" s="31"/>
      <c r="AK436" s="32"/>
      <c r="AL436" s="33"/>
      <c r="AM436" s="32"/>
      <c r="AN436" s="33"/>
      <c r="AO436" s="32"/>
      <c r="AP436" s="32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372"/>
      <c r="BD436" s="372"/>
      <c r="BE436" s="372"/>
      <c r="BF436" s="372"/>
      <c r="BG436" s="372"/>
      <c r="BH436" s="372"/>
      <c r="BI436" s="372"/>
      <c r="BJ436" s="372"/>
      <c r="BK436" s="372"/>
      <c r="BL436" s="372"/>
      <c r="BM436" s="372"/>
      <c r="BN436" s="372"/>
      <c r="BO436" s="372"/>
      <c r="BP436" s="372"/>
      <c r="BQ436" s="372"/>
      <c r="BR436" s="372"/>
      <c r="BS436" s="372"/>
      <c r="BT436" s="372"/>
      <c r="BU436" s="372"/>
      <c r="BV436" s="372"/>
      <c r="BW436" s="372"/>
      <c r="BX436" s="372"/>
    </row>
    <row r="437" spans="2:76" s="28" customFormat="1">
      <c r="B437" s="136"/>
      <c r="D437" s="221"/>
      <c r="E437" s="29"/>
      <c r="G437" s="338"/>
      <c r="H437" s="339"/>
      <c r="I437" s="339"/>
      <c r="J437" s="339"/>
      <c r="K437" s="339"/>
      <c r="L437" s="339"/>
      <c r="O437" s="380"/>
      <c r="AI437" s="31"/>
      <c r="AJ437" s="31"/>
      <c r="AK437" s="32"/>
      <c r="AL437" s="33"/>
      <c r="AM437" s="32"/>
      <c r="AN437" s="33"/>
      <c r="AO437" s="32"/>
      <c r="AP437" s="32"/>
      <c r="AQ437" s="136"/>
      <c r="AR437" s="136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372"/>
      <c r="BD437" s="372"/>
      <c r="BE437" s="372"/>
      <c r="BF437" s="372"/>
      <c r="BG437" s="372"/>
      <c r="BH437" s="372"/>
      <c r="BI437" s="372"/>
      <c r="BJ437" s="372"/>
      <c r="BK437" s="372"/>
      <c r="BL437" s="372"/>
      <c r="BM437" s="372"/>
      <c r="BN437" s="372"/>
      <c r="BO437" s="372"/>
      <c r="BP437" s="372"/>
      <c r="BQ437" s="372"/>
      <c r="BR437" s="372"/>
      <c r="BS437" s="372"/>
      <c r="BT437" s="372"/>
      <c r="BU437" s="372"/>
      <c r="BV437" s="372"/>
      <c r="BW437" s="372"/>
      <c r="BX437" s="372"/>
    </row>
    <row r="438" spans="2:76" s="28" customFormat="1">
      <c r="B438" s="136"/>
      <c r="D438" s="221"/>
      <c r="E438" s="29"/>
      <c r="G438" s="338"/>
      <c r="H438" s="339"/>
      <c r="I438" s="339"/>
      <c r="J438" s="339"/>
      <c r="K438" s="339"/>
      <c r="L438" s="339"/>
      <c r="O438" s="377"/>
      <c r="AI438" s="31"/>
      <c r="AJ438" s="31"/>
      <c r="AK438" s="32"/>
      <c r="AL438" s="33"/>
      <c r="AM438" s="32"/>
      <c r="AN438" s="33"/>
      <c r="AO438" s="32"/>
      <c r="AP438" s="32"/>
      <c r="AQ438" s="136"/>
      <c r="AR438" s="136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372"/>
      <c r="BD438" s="372"/>
      <c r="BE438" s="372"/>
      <c r="BF438" s="372"/>
      <c r="BG438" s="372"/>
      <c r="BH438" s="372"/>
      <c r="BI438" s="372"/>
      <c r="BJ438" s="372"/>
      <c r="BK438" s="372"/>
      <c r="BL438" s="372"/>
      <c r="BM438" s="372"/>
      <c r="BN438" s="372"/>
      <c r="BO438" s="372"/>
      <c r="BP438" s="372"/>
      <c r="BQ438" s="372"/>
      <c r="BR438" s="372"/>
      <c r="BS438" s="372"/>
      <c r="BT438" s="372"/>
      <c r="BU438" s="372"/>
      <c r="BV438" s="372"/>
      <c r="BW438" s="372"/>
      <c r="BX438" s="372"/>
    </row>
    <row r="439" spans="2:76" s="28" customFormat="1">
      <c r="B439" s="136"/>
      <c r="D439" s="221"/>
      <c r="E439" s="29"/>
      <c r="G439" s="338"/>
      <c r="H439" s="339"/>
      <c r="I439" s="339"/>
      <c r="J439" s="339"/>
      <c r="K439" s="339"/>
      <c r="L439" s="339"/>
      <c r="O439" s="377"/>
      <c r="AI439" s="31"/>
      <c r="AJ439" s="31"/>
      <c r="AK439" s="32"/>
      <c r="AL439" s="33"/>
      <c r="AM439" s="32"/>
      <c r="AN439" s="33"/>
      <c r="AO439" s="32"/>
      <c r="AP439" s="32"/>
      <c r="AQ439" s="136"/>
      <c r="AR439" s="136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372"/>
      <c r="BD439" s="372"/>
      <c r="BE439" s="372"/>
      <c r="BF439" s="372"/>
      <c r="BG439" s="372"/>
      <c r="BH439" s="372"/>
      <c r="BI439" s="372"/>
      <c r="BJ439" s="372"/>
      <c r="BK439" s="372"/>
      <c r="BL439" s="372"/>
      <c r="BM439" s="372"/>
      <c r="BN439" s="372"/>
      <c r="BO439" s="372"/>
      <c r="BP439" s="372"/>
      <c r="BQ439" s="372"/>
      <c r="BR439" s="372"/>
      <c r="BS439" s="372"/>
      <c r="BT439" s="372"/>
      <c r="BU439" s="372"/>
      <c r="BV439" s="372"/>
      <c r="BW439" s="372"/>
      <c r="BX439" s="372"/>
    </row>
    <row r="440" spans="2:76" s="28" customFormat="1">
      <c r="B440" s="136"/>
      <c r="D440" s="221"/>
      <c r="E440" s="29"/>
      <c r="G440" s="338"/>
      <c r="H440" s="339"/>
      <c r="I440" s="339"/>
      <c r="J440" s="339"/>
      <c r="K440" s="339"/>
      <c r="L440" s="339"/>
      <c r="O440" s="377"/>
      <c r="AI440" s="31"/>
      <c r="AJ440" s="31"/>
      <c r="AK440" s="32"/>
      <c r="AL440" s="33"/>
      <c r="AM440" s="32"/>
      <c r="AN440" s="33"/>
      <c r="AO440" s="32"/>
      <c r="AP440" s="32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372"/>
      <c r="BD440" s="372"/>
      <c r="BE440" s="372"/>
      <c r="BF440" s="372"/>
      <c r="BG440" s="372"/>
      <c r="BH440" s="372"/>
      <c r="BI440" s="372"/>
      <c r="BJ440" s="372"/>
      <c r="BK440" s="372"/>
      <c r="BL440" s="372"/>
      <c r="BM440" s="372"/>
      <c r="BN440" s="372"/>
      <c r="BO440" s="372"/>
      <c r="BP440" s="372"/>
      <c r="BQ440" s="372"/>
      <c r="BR440" s="372"/>
      <c r="BS440" s="372"/>
      <c r="BT440" s="372"/>
      <c r="BU440" s="372"/>
      <c r="BV440" s="372"/>
      <c r="BW440" s="372"/>
      <c r="BX440" s="372"/>
    </row>
    <row r="441" spans="2:76" s="28" customFormat="1">
      <c r="B441" s="136"/>
      <c r="D441" s="221"/>
      <c r="E441" s="29"/>
      <c r="G441" s="338"/>
      <c r="H441" s="339"/>
      <c r="I441" s="339"/>
      <c r="J441" s="339"/>
      <c r="K441" s="339"/>
      <c r="L441" s="339"/>
      <c r="O441" s="380"/>
      <c r="AI441" s="31"/>
      <c r="AJ441" s="31"/>
      <c r="AK441" s="32"/>
      <c r="AL441" s="33"/>
      <c r="AM441" s="32"/>
      <c r="AN441" s="33"/>
      <c r="AO441" s="32"/>
      <c r="AP441" s="32"/>
      <c r="AQ441" s="136"/>
      <c r="AR441" s="136"/>
      <c r="AS441" s="136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372"/>
      <c r="BD441" s="372"/>
      <c r="BE441" s="372"/>
      <c r="BF441" s="372"/>
      <c r="BG441" s="372"/>
      <c r="BH441" s="372"/>
      <c r="BI441" s="372"/>
      <c r="BJ441" s="372"/>
      <c r="BK441" s="372"/>
      <c r="BL441" s="372"/>
      <c r="BM441" s="372"/>
      <c r="BN441" s="372"/>
      <c r="BO441" s="372"/>
      <c r="BP441" s="372"/>
      <c r="BQ441" s="372"/>
      <c r="BR441" s="372"/>
      <c r="BS441" s="372"/>
      <c r="BT441" s="372"/>
      <c r="BU441" s="372"/>
      <c r="BV441" s="372"/>
      <c r="BW441" s="372"/>
      <c r="BX441" s="372"/>
    </row>
    <row r="442" spans="2:76" s="28" customFormat="1">
      <c r="B442" s="136"/>
      <c r="D442" s="221"/>
      <c r="E442" s="29"/>
      <c r="G442" s="338"/>
      <c r="H442" s="339"/>
      <c r="I442" s="339"/>
      <c r="J442" s="339"/>
      <c r="K442" s="339"/>
      <c r="L442" s="339"/>
      <c r="O442" s="377"/>
      <c r="AI442" s="31"/>
      <c r="AJ442" s="31"/>
      <c r="AK442" s="32"/>
      <c r="AL442" s="33"/>
      <c r="AM442" s="32"/>
      <c r="AN442" s="33"/>
      <c r="AO442" s="32"/>
      <c r="AP442" s="32"/>
      <c r="AQ442" s="136"/>
      <c r="AR442" s="136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372"/>
      <c r="BD442" s="372"/>
      <c r="BE442" s="372"/>
      <c r="BF442" s="372"/>
      <c r="BG442" s="372"/>
      <c r="BH442" s="372"/>
      <c r="BI442" s="372"/>
      <c r="BJ442" s="372"/>
      <c r="BK442" s="372"/>
      <c r="BL442" s="372"/>
      <c r="BM442" s="372"/>
      <c r="BN442" s="372"/>
      <c r="BO442" s="372"/>
      <c r="BP442" s="372"/>
      <c r="BQ442" s="372"/>
      <c r="BR442" s="372"/>
      <c r="BS442" s="372"/>
      <c r="BT442" s="372"/>
      <c r="BU442" s="372"/>
      <c r="BV442" s="372"/>
      <c r="BW442" s="372"/>
      <c r="BX442" s="372"/>
    </row>
    <row r="443" spans="2:76" s="28" customFormat="1">
      <c r="B443" s="136"/>
      <c r="D443" s="221"/>
      <c r="E443" s="29"/>
      <c r="G443" s="338"/>
      <c r="H443" s="339"/>
      <c r="I443" s="339"/>
      <c r="J443" s="339"/>
      <c r="K443" s="339"/>
      <c r="L443" s="339"/>
      <c r="O443" s="377"/>
      <c r="AI443" s="31"/>
      <c r="AJ443" s="31"/>
      <c r="AK443" s="32"/>
      <c r="AL443" s="33"/>
      <c r="AM443" s="32"/>
      <c r="AN443" s="33"/>
      <c r="AO443" s="32"/>
      <c r="AP443" s="32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372"/>
      <c r="BD443" s="372"/>
      <c r="BE443" s="372"/>
      <c r="BF443" s="372"/>
      <c r="BG443" s="372"/>
      <c r="BH443" s="372"/>
      <c r="BI443" s="372"/>
      <c r="BJ443" s="372"/>
      <c r="BK443" s="372"/>
      <c r="BL443" s="372"/>
      <c r="BM443" s="372"/>
      <c r="BN443" s="372"/>
      <c r="BO443" s="372"/>
      <c r="BP443" s="372"/>
      <c r="BQ443" s="372"/>
      <c r="BR443" s="372"/>
      <c r="BS443" s="372"/>
      <c r="BT443" s="372"/>
      <c r="BU443" s="372"/>
      <c r="BV443" s="372"/>
      <c r="BW443" s="372"/>
      <c r="BX443" s="372"/>
    </row>
    <row r="444" spans="2:76" s="28" customFormat="1">
      <c r="B444" s="136"/>
      <c r="D444" s="221"/>
      <c r="E444" s="29"/>
      <c r="G444" s="338"/>
      <c r="H444" s="339"/>
      <c r="I444" s="339"/>
      <c r="J444" s="339"/>
      <c r="K444" s="339"/>
      <c r="L444" s="339"/>
      <c r="O444" s="380"/>
      <c r="AI444" s="31"/>
      <c r="AJ444" s="31"/>
      <c r="AK444" s="32"/>
      <c r="AL444" s="33"/>
      <c r="AM444" s="32"/>
      <c r="AN444" s="33"/>
      <c r="AO444" s="32"/>
      <c r="AP444" s="32"/>
      <c r="AQ444" s="136"/>
      <c r="AR444" s="136"/>
      <c r="AS444" s="136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372"/>
      <c r="BD444" s="372"/>
      <c r="BE444" s="372"/>
      <c r="BF444" s="372"/>
      <c r="BG444" s="372"/>
      <c r="BH444" s="372"/>
      <c r="BI444" s="372"/>
      <c r="BJ444" s="372"/>
      <c r="BK444" s="372"/>
      <c r="BL444" s="372"/>
      <c r="BM444" s="372"/>
      <c r="BN444" s="372"/>
      <c r="BO444" s="372"/>
      <c r="BP444" s="372"/>
      <c r="BQ444" s="372"/>
      <c r="BR444" s="372"/>
      <c r="BS444" s="372"/>
      <c r="BT444" s="372"/>
      <c r="BU444" s="372"/>
      <c r="BV444" s="372"/>
      <c r="BW444" s="372"/>
      <c r="BX444" s="372"/>
    </row>
    <row r="445" spans="2:76" s="28" customFormat="1">
      <c r="B445" s="136"/>
      <c r="D445" s="221"/>
      <c r="E445" s="29"/>
      <c r="G445" s="338"/>
      <c r="H445" s="339"/>
      <c r="I445" s="339"/>
      <c r="J445" s="339"/>
      <c r="K445" s="339"/>
      <c r="L445" s="339"/>
      <c r="O445" s="383"/>
      <c r="AI445" s="31"/>
      <c r="AJ445" s="31"/>
      <c r="AK445" s="32"/>
      <c r="AL445" s="33"/>
      <c r="AM445" s="32"/>
      <c r="AN445" s="33"/>
      <c r="AO445" s="32"/>
      <c r="AP445" s="32"/>
      <c r="AQ445" s="136"/>
      <c r="AR445" s="136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372"/>
      <c r="BD445" s="372"/>
      <c r="BE445" s="372"/>
      <c r="BF445" s="372"/>
      <c r="BG445" s="372"/>
      <c r="BH445" s="372"/>
      <c r="BI445" s="372"/>
      <c r="BJ445" s="372"/>
      <c r="BK445" s="372"/>
      <c r="BL445" s="372"/>
      <c r="BM445" s="372"/>
      <c r="BN445" s="372"/>
      <c r="BO445" s="372"/>
      <c r="BP445" s="372"/>
      <c r="BQ445" s="372"/>
      <c r="BR445" s="372"/>
      <c r="BS445" s="372"/>
      <c r="BT445" s="372"/>
      <c r="BU445" s="372"/>
      <c r="BV445" s="372"/>
      <c r="BW445" s="372"/>
      <c r="BX445" s="372"/>
    </row>
    <row r="446" spans="2:76" s="28" customFormat="1">
      <c r="B446" s="136"/>
      <c r="D446" s="221"/>
      <c r="E446" s="29"/>
      <c r="G446" s="338"/>
      <c r="H446" s="339"/>
      <c r="I446" s="339"/>
      <c r="J446" s="339"/>
      <c r="K446" s="339"/>
      <c r="L446" s="339"/>
      <c r="O446" s="382"/>
      <c r="AI446" s="31"/>
      <c r="AJ446" s="31"/>
      <c r="AK446" s="32"/>
      <c r="AL446" s="33"/>
      <c r="AM446" s="32"/>
      <c r="AN446" s="33"/>
      <c r="AO446" s="32"/>
      <c r="AP446" s="32"/>
      <c r="AQ446" s="136"/>
      <c r="AR446" s="136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372"/>
      <c r="BD446" s="372"/>
      <c r="BE446" s="372"/>
      <c r="BF446" s="372"/>
      <c r="BG446" s="372"/>
      <c r="BH446" s="372"/>
      <c r="BI446" s="372"/>
      <c r="BJ446" s="372"/>
      <c r="BK446" s="372"/>
      <c r="BL446" s="372"/>
      <c r="BM446" s="372"/>
      <c r="BN446" s="372"/>
      <c r="BO446" s="372"/>
      <c r="BP446" s="372"/>
      <c r="BQ446" s="372"/>
      <c r="BR446" s="372"/>
      <c r="BS446" s="372"/>
      <c r="BT446" s="372"/>
      <c r="BU446" s="372"/>
      <c r="BV446" s="372"/>
      <c r="BW446" s="372"/>
      <c r="BX446" s="372"/>
    </row>
    <row r="447" spans="2:76" s="28" customFormat="1">
      <c r="B447" s="136"/>
      <c r="D447" s="221"/>
      <c r="E447" s="29"/>
      <c r="G447" s="338"/>
      <c r="H447" s="339"/>
      <c r="I447" s="339"/>
      <c r="J447" s="339"/>
      <c r="K447" s="339"/>
      <c r="L447" s="339"/>
      <c r="O447" s="377"/>
      <c r="AI447" s="31"/>
      <c r="AJ447" s="31"/>
      <c r="AK447" s="32"/>
      <c r="AL447" s="33"/>
      <c r="AM447" s="32"/>
      <c r="AN447" s="33"/>
      <c r="AO447" s="32"/>
      <c r="AP447" s="32"/>
      <c r="AQ447" s="136"/>
      <c r="AR447" s="136"/>
      <c r="AS447" s="136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372"/>
      <c r="BD447" s="372"/>
      <c r="BE447" s="372"/>
      <c r="BF447" s="372"/>
      <c r="BG447" s="372"/>
      <c r="BH447" s="372"/>
      <c r="BI447" s="372"/>
      <c r="BJ447" s="372"/>
      <c r="BK447" s="372"/>
      <c r="BL447" s="372"/>
      <c r="BM447" s="372"/>
      <c r="BN447" s="372"/>
      <c r="BO447" s="372"/>
      <c r="BP447" s="372"/>
      <c r="BQ447" s="372"/>
      <c r="BR447" s="372"/>
      <c r="BS447" s="372"/>
      <c r="BT447" s="372"/>
      <c r="BU447" s="372"/>
      <c r="BV447" s="372"/>
      <c r="BW447" s="372"/>
      <c r="BX447" s="372"/>
    </row>
    <row r="448" spans="2:76" s="28" customFormat="1">
      <c r="B448" s="136"/>
      <c r="D448" s="221"/>
      <c r="E448" s="29"/>
      <c r="G448" s="338"/>
      <c r="H448" s="339"/>
      <c r="I448" s="339"/>
      <c r="J448" s="339"/>
      <c r="K448" s="339"/>
      <c r="L448" s="339"/>
      <c r="O448" s="382"/>
      <c r="AI448" s="31"/>
      <c r="AJ448" s="31"/>
      <c r="AK448" s="32"/>
      <c r="AL448" s="33"/>
      <c r="AM448" s="32"/>
      <c r="AN448" s="33"/>
      <c r="AO448" s="32"/>
      <c r="AP448" s="32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372"/>
      <c r="BD448" s="372"/>
      <c r="BE448" s="372"/>
      <c r="BF448" s="372"/>
      <c r="BG448" s="372"/>
      <c r="BH448" s="372"/>
      <c r="BI448" s="372"/>
      <c r="BJ448" s="372"/>
      <c r="BK448" s="372"/>
      <c r="BL448" s="372"/>
      <c r="BM448" s="372"/>
      <c r="BN448" s="372"/>
      <c r="BO448" s="372"/>
      <c r="BP448" s="372"/>
      <c r="BQ448" s="372"/>
      <c r="BR448" s="372"/>
      <c r="BS448" s="372"/>
      <c r="BT448" s="372"/>
      <c r="BU448" s="372"/>
      <c r="BV448" s="372"/>
      <c r="BW448" s="372"/>
      <c r="BX448" s="372"/>
    </row>
    <row r="449" spans="2:76" s="28" customFormat="1">
      <c r="B449" s="136"/>
      <c r="D449" s="221"/>
      <c r="E449" s="29"/>
      <c r="G449" s="338"/>
      <c r="H449" s="339"/>
      <c r="I449" s="339"/>
      <c r="J449" s="339"/>
      <c r="K449" s="339"/>
      <c r="L449" s="339"/>
      <c r="O449" s="377"/>
      <c r="AI449" s="31"/>
      <c r="AJ449" s="31"/>
      <c r="AK449" s="32"/>
      <c r="AL449" s="33"/>
      <c r="AM449" s="32"/>
      <c r="AN449" s="33"/>
      <c r="AO449" s="32"/>
      <c r="AP449" s="32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372"/>
      <c r="BD449" s="372"/>
      <c r="BE449" s="372"/>
      <c r="BF449" s="372"/>
      <c r="BG449" s="372"/>
      <c r="BH449" s="372"/>
      <c r="BI449" s="372"/>
      <c r="BJ449" s="372"/>
      <c r="BK449" s="372"/>
      <c r="BL449" s="372"/>
      <c r="BM449" s="372"/>
      <c r="BN449" s="372"/>
      <c r="BO449" s="372"/>
      <c r="BP449" s="372"/>
      <c r="BQ449" s="372"/>
      <c r="BR449" s="372"/>
      <c r="BS449" s="372"/>
      <c r="BT449" s="372"/>
      <c r="BU449" s="372"/>
      <c r="BV449" s="372"/>
      <c r="BW449" s="372"/>
      <c r="BX449" s="372"/>
    </row>
    <row r="450" spans="2:76" s="28" customFormat="1">
      <c r="B450" s="136"/>
      <c r="D450" s="221"/>
      <c r="E450" s="29"/>
      <c r="G450" s="338"/>
      <c r="H450" s="339"/>
      <c r="I450" s="339"/>
      <c r="J450" s="339"/>
      <c r="K450" s="339"/>
      <c r="L450" s="339"/>
      <c r="O450" s="381"/>
      <c r="AI450" s="31"/>
      <c r="AJ450" s="31"/>
      <c r="AK450" s="32"/>
      <c r="AL450" s="33"/>
      <c r="AM450" s="32"/>
      <c r="AN450" s="33"/>
      <c r="AO450" s="32"/>
      <c r="AP450" s="32"/>
      <c r="AQ450" s="136"/>
      <c r="AR450" s="136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372"/>
      <c r="BD450" s="372"/>
      <c r="BE450" s="372"/>
      <c r="BF450" s="372"/>
      <c r="BG450" s="372"/>
      <c r="BH450" s="372"/>
      <c r="BI450" s="372"/>
      <c r="BJ450" s="372"/>
      <c r="BK450" s="372"/>
      <c r="BL450" s="372"/>
      <c r="BM450" s="372"/>
      <c r="BN450" s="372"/>
      <c r="BO450" s="372"/>
      <c r="BP450" s="372"/>
      <c r="BQ450" s="372"/>
      <c r="BR450" s="372"/>
      <c r="BS450" s="372"/>
      <c r="BT450" s="372"/>
      <c r="BU450" s="372"/>
      <c r="BV450" s="372"/>
      <c r="BW450" s="372"/>
      <c r="BX450" s="372"/>
    </row>
    <row r="451" spans="2:76" s="28" customFormat="1">
      <c r="B451" s="136"/>
      <c r="D451" s="221"/>
      <c r="E451" s="29"/>
      <c r="G451" s="338"/>
      <c r="H451" s="339"/>
      <c r="I451" s="339"/>
      <c r="J451" s="339"/>
      <c r="K451" s="339"/>
      <c r="L451" s="339"/>
      <c r="O451" s="377"/>
      <c r="AI451" s="31"/>
      <c r="AJ451" s="31"/>
      <c r="AK451" s="32"/>
      <c r="AL451" s="33"/>
      <c r="AM451" s="32"/>
      <c r="AN451" s="33"/>
      <c r="AO451" s="32"/>
      <c r="AP451" s="32"/>
      <c r="AQ451" s="136"/>
      <c r="AR451" s="136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372"/>
      <c r="BD451" s="372"/>
      <c r="BE451" s="372"/>
      <c r="BF451" s="372"/>
      <c r="BG451" s="372"/>
      <c r="BH451" s="372"/>
      <c r="BI451" s="372"/>
      <c r="BJ451" s="372"/>
      <c r="BK451" s="372"/>
      <c r="BL451" s="372"/>
      <c r="BM451" s="372"/>
      <c r="BN451" s="372"/>
      <c r="BO451" s="372"/>
      <c r="BP451" s="372"/>
      <c r="BQ451" s="372"/>
      <c r="BR451" s="372"/>
      <c r="BS451" s="372"/>
      <c r="BT451" s="372"/>
      <c r="BU451" s="372"/>
      <c r="BV451" s="372"/>
      <c r="BW451" s="372"/>
      <c r="BX451" s="372"/>
    </row>
    <row r="452" spans="2:76" s="28" customFormat="1">
      <c r="B452" s="136"/>
      <c r="D452" s="221"/>
      <c r="E452" s="29"/>
      <c r="G452" s="338"/>
      <c r="H452" s="339"/>
      <c r="I452" s="339"/>
      <c r="J452" s="339"/>
      <c r="K452" s="339"/>
      <c r="L452" s="339"/>
      <c r="O452" s="380"/>
      <c r="AI452" s="31"/>
      <c r="AJ452" s="31"/>
      <c r="AK452" s="32"/>
      <c r="AL452" s="33"/>
      <c r="AM452" s="32"/>
      <c r="AN452" s="33"/>
      <c r="AO452" s="32"/>
      <c r="AP452" s="32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372"/>
      <c r="BD452" s="372"/>
      <c r="BE452" s="372"/>
      <c r="BF452" s="372"/>
      <c r="BG452" s="372"/>
      <c r="BH452" s="372"/>
      <c r="BI452" s="372"/>
      <c r="BJ452" s="372"/>
      <c r="BK452" s="372"/>
      <c r="BL452" s="372"/>
      <c r="BM452" s="372"/>
      <c r="BN452" s="372"/>
      <c r="BO452" s="372"/>
      <c r="BP452" s="372"/>
      <c r="BQ452" s="372"/>
      <c r="BR452" s="372"/>
      <c r="BS452" s="372"/>
      <c r="BT452" s="372"/>
      <c r="BU452" s="372"/>
      <c r="BV452" s="372"/>
      <c r="BW452" s="372"/>
      <c r="BX452" s="372"/>
    </row>
    <row r="453" spans="2:76" s="28" customFormat="1">
      <c r="B453" s="136"/>
      <c r="D453" s="221"/>
      <c r="E453" s="29"/>
      <c r="G453" s="338"/>
      <c r="H453" s="339"/>
      <c r="I453" s="339"/>
      <c r="J453" s="339"/>
      <c r="K453" s="339"/>
      <c r="L453" s="339"/>
      <c r="O453" s="381"/>
      <c r="AI453" s="31"/>
      <c r="AJ453" s="31"/>
      <c r="AK453" s="32"/>
      <c r="AL453" s="33"/>
      <c r="AM453" s="32"/>
      <c r="AN453" s="33"/>
      <c r="AO453" s="32"/>
      <c r="AP453" s="32"/>
      <c r="AQ453" s="136"/>
      <c r="AR453" s="136"/>
      <c r="AS453" s="136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372"/>
      <c r="BD453" s="372"/>
      <c r="BE453" s="372"/>
      <c r="BF453" s="372"/>
      <c r="BG453" s="372"/>
      <c r="BH453" s="372"/>
      <c r="BI453" s="372"/>
      <c r="BJ453" s="372"/>
      <c r="BK453" s="372"/>
      <c r="BL453" s="372"/>
      <c r="BM453" s="372"/>
      <c r="BN453" s="372"/>
      <c r="BO453" s="372"/>
      <c r="BP453" s="372"/>
      <c r="BQ453" s="372"/>
      <c r="BR453" s="372"/>
      <c r="BS453" s="372"/>
      <c r="BT453" s="372"/>
      <c r="BU453" s="372"/>
      <c r="BV453" s="372"/>
      <c r="BW453" s="372"/>
      <c r="BX453" s="372"/>
    </row>
    <row r="454" spans="2:76" s="28" customFormat="1">
      <c r="B454" s="136"/>
      <c r="D454" s="221"/>
      <c r="E454" s="29"/>
      <c r="G454" s="338"/>
      <c r="H454" s="339"/>
      <c r="I454" s="339"/>
      <c r="J454" s="339"/>
      <c r="K454" s="339"/>
      <c r="L454" s="339"/>
      <c r="O454" s="379"/>
      <c r="AI454" s="31"/>
      <c r="AJ454" s="31"/>
      <c r="AK454" s="32"/>
      <c r="AL454" s="33"/>
      <c r="AM454" s="32"/>
      <c r="AN454" s="33"/>
      <c r="AO454" s="32"/>
      <c r="AP454" s="32"/>
      <c r="AQ454" s="136"/>
      <c r="AR454" s="136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372"/>
      <c r="BD454" s="372"/>
      <c r="BE454" s="372"/>
      <c r="BF454" s="372"/>
      <c r="BG454" s="372"/>
      <c r="BH454" s="372"/>
      <c r="BI454" s="372"/>
      <c r="BJ454" s="372"/>
      <c r="BK454" s="372"/>
      <c r="BL454" s="372"/>
      <c r="BM454" s="372"/>
      <c r="BN454" s="372"/>
      <c r="BO454" s="372"/>
      <c r="BP454" s="372"/>
      <c r="BQ454" s="372"/>
      <c r="BR454" s="372"/>
      <c r="BS454" s="372"/>
      <c r="BT454" s="372"/>
      <c r="BU454" s="372"/>
      <c r="BV454" s="372"/>
      <c r="BW454" s="372"/>
      <c r="BX454" s="372"/>
    </row>
    <row r="455" spans="2:76" s="28" customFormat="1">
      <c r="B455" s="136"/>
      <c r="D455" s="221"/>
      <c r="E455" s="29"/>
      <c r="G455" s="338"/>
      <c r="H455" s="339"/>
      <c r="I455" s="339"/>
      <c r="J455" s="339"/>
      <c r="K455" s="339"/>
      <c r="L455" s="339"/>
      <c r="O455" s="388"/>
      <c r="AI455" s="31"/>
      <c r="AJ455" s="31"/>
      <c r="AK455" s="32"/>
      <c r="AL455" s="33"/>
      <c r="AM455" s="32"/>
      <c r="AN455" s="33"/>
      <c r="AO455" s="32"/>
      <c r="AP455" s="32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372"/>
      <c r="BD455" s="372"/>
      <c r="BE455" s="372"/>
      <c r="BF455" s="372"/>
      <c r="BG455" s="372"/>
      <c r="BH455" s="372"/>
      <c r="BI455" s="372"/>
      <c r="BJ455" s="372"/>
      <c r="BK455" s="372"/>
      <c r="BL455" s="372"/>
      <c r="BM455" s="372"/>
      <c r="BN455" s="372"/>
      <c r="BO455" s="372"/>
      <c r="BP455" s="372"/>
      <c r="BQ455" s="372"/>
      <c r="BR455" s="372"/>
      <c r="BS455" s="372"/>
      <c r="BT455" s="372"/>
      <c r="BU455" s="372"/>
      <c r="BV455" s="372"/>
      <c r="BW455" s="372"/>
      <c r="BX455" s="372"/>
    </row>
    <row r="456" spans="2:76" s="28" customFormat="1">
      <c r="B456" s="136"/>
      <c r="D456" s="221"/>
      <c r="E456" s="29"/>
      <c r="G456" s="338"/>
      <c r="H456" s="339"/>
      <c r="I456" s="339"/>
      <c r="J456" s="339"/>
      <c r="K456" s="339"/>
      <c r="L456" s="339"/>
      <c r="O456" s="381"/>
      <c r="AI456" s="31"/>
      <c r="AJ456" s="31"/>
      <c r="AK456" s="32"/>
      <c r="AL456" s="33"/>
      <c r="AM456" s="32"/>
      <c r="AN456" s="33"/>
      <c r="AO456" s="32"/>
      <c r="AP456" s="32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372"/>
      <c r="BD456" s="372"/>
      <c r="BE456" s="372"/>
      <c r="BF456" s="372"/>
      <c r="BG456" s="372"/>
      <c r="BH456" s="372"/>
      <c r="BI456" s="372"/>
      <c r="BJ456" s="372"/>
      <c r="BK456" s="372"/>
      <c r="BL456" s="372"/>
      <c r="BM456" s="372"/>
      <c r="BN456" s="372"/>
      <c r="BO456" s="372"/>
      <c r="BP456" s="372"/>
      <c r="BQ456" s="372"/>
      <c r="BR456" s="372"/>
      <c r="BS456" s="372"/>
      <c r="BT456" s="372"/>
      <c r="BU456" s="372"/>
      <c r="BV456" s="372"/>
      <c r="BW456" s="372"/>
      <c r="BX456" s="372"/>
    </row>
    <row r="457" spans="2:76" s="28" customFormat="1">
      <c r="B457" s="136"/>
      <c r="D457" s="221"/>
      <c r="E457" s="29"/>
      <c r="G457" s="338"/>
      <c r="H457" s="339"/>
      <c r="I457" s="339"/>
      <c r="J457" s="339"/>
      <c r="K457" s="339"/>
      <c r="L457" s="339"/>
      <c r="O457" s="377"/>
      <c r="AI457" s="31"/>
      <c r="AJ457" s="31"/>
      <c r="AK457" s="32"/>
      <c r="AL457" s="33"/>
      <c r="AM457" s="32"/>
      <c r="AN457" s="33"/>
      <c r="AO457" s="32"/>
      <c r="AP457" s="32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372"/>
      <c r="BD457" s="372"/>
      <c r="BE457" s="372"/>
      <c r="BF457" s="372"/>
      <c r="BG457" s="372"/>
      <c r="BH457" s="372"/>
      <c r="BI457" s="372"/>
      <c r="BJ457" s="372"/>
      <c r="BK457" s="372"/>
      <c r="BL457" s="372"/>
      <c r="BM457" s="372"/>
      <c r="BN457" s="372"/>
      <c r="BO457" s="372"/>
      <c r="BP457" s="372"/>
      <c r="BQ457" s="372"/>
      <c r="BR457" s="372"/>
      <c r="BS457" s="372"/>
      <c r="BT457" s="372"/>
      <c r="BU457" s="372"/>
      <c r="BV457" s="372"/>
      <c r="BW457" s="372"/>
      <c r="BX457" s="372"/>
    </row>
    <row r="458" spans="2:76" s="28" customFormat="1">
      <c r="B458" s="136"/>
      <c r="D458" s="221"/>
      <c r="E458" s="29"/>
      <c r="G458" s="338"/>
      <c r="H458" s="339"/>
      <c r="I458" s="339"/>
      <c r="J458" s="339"/>
      <c r="K458" s="339"/>
      <c r="L458" s="339"/>
      <c r="O458" s="381"/>
      <c r="AI458" s="31"/>
      <c r="AJ458" s="31"/>
      <c r="AK458" s="32"/>
      <c r="AL458" s="33"/>
      <c r="AM458" s="32"/>
      <c r="AN458" s="33"/>
      <c r="AO458" s="32"/>
      <c r="AP458" s="32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372"/>
      <c r="BD458" s="372"/>
      <c r="BE458" s="372"/>
      <c r="BF458" s="372"/>
      <c r="BG458" s="372"/>
      <c r="BH458" s="372"/>
      <c r="BI458" s="372"/>
      <c r="BJ458" s="372"/>
      <c r="BK458" s="372"/>
      <c r="BL458" s="372"/>
      <c r="BM458" s="372"/>
      <c r="BN458" s="372"/>
      <c r="BO458" s="372"/>
      <c r="BP458" s="372"/>
      <c r="BQ458" s="372"/>
      <c r="BR458" s="372"/>
      <c r="BS458" s="372"/>
      <c r="BT458" s="372"/>
      <c r="BU458" s="372"/>
      <c r="BV458" s="372"/>
      <c r="BW458" s="372"/>
      <c r="BX458" s="372"/>
    </row>
    <row r="459" spans="2:76" s="28" customFormat="1">
      <c r="B459" s="136"/>
      <c r="D459" s="221"/>
      <c r="E459" s="29"/>
      <c r="G459" s="338"/>
      <c r="H459" s="339"/>
      <c r="I459" s="339"/>
      <c r="J459" s="339"/>
      <c r="K459" s="339"/>
      <c r="L459" s="339"/>
      <c r="O459" s="380"/>
      <c r="AI459" s="31"/>
      <c r="AJ459" s="31"/>
      <c r="AK459" s="32"/>
      <c r="AL459" s="33"/>
      <c r="AM459" s="32"/>
      <c r="AN459" s="33"/>
      <c r="AO459" s="32"/>
      <c r="AP459" s="32"/>
      <c r="AQ459" s="136"/>
      <c r="AR459" s="136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372"/>
      <c r="BD459" s="372"/>
      <c r="BE459" s="372"/>
      <c r="BF459" s="372"/>
      <c r="BG459" s="372"/>
      <c r="BH459" s="372"/>
      <c r="BI459" s="372"/>
      <c r="BJ459" s="372"/>
      <c r="BK459" s="372"/>
      <c r="BL459" s="372"/>
      <c r="BM459" s="372"/>
      <c r="BN459" s="372"/>
      <c r="BO459" s="372"/>
      <c r="BP459" s="372"/>
      <c r="BQ459" s="372"/>
      <c r="BR459" s="372"/>
      <c r="BS459" s="372"/>
      <c r="BT459" s="372"/>
      <c r="BU459" s="372"/>
      <c r="BV459" s="372"/>
      <c r="BW459" s="372"/>
      <c r="BX459" s="372"/>
    </row>
    <row r="460" spans="2:76" s="28" customFormat="1">
      <c r="B460" s="136"/>
      <c r="D460" s="221"/>
      <c r="E460" s="29"/>
      <c r="G460" s="338"/>
      <c r="H460" s="339"/>
      <c r="I460" s="339"/>
      <c r="J460" s="339"/>
      <c r="K460" s="339"/>
      <c r="L460" s="339"/>
      <c r="O460" s="377"/>
      <c r="AI460" s="31"/>
      <c r="AJ460" s="31"/>
      <c r="AK460" s="32"/>
      <c r="AL460" s="33"/>
      <c r="AM460" s="32"/>
      <c r="AN460" s="33"/>
      <c r="AO460" s="32"/>
      <c r="AP460" s="32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372"/>
      <c r="BD460" s="372"/>
      <c r="BE460" s="372"/>
      <c r="BF460" s="372"/>
      <c r="BG460" s="372"/>
      <c r="BH460" s="372"/>
      <c r="BI460" s="372"/>
      <c r="BJ460" s="372"/>
      <c r="BK460" s="372"/>
      <c r="BL460" s="372"/>
      <c r="BM460" s="372"/>
      <c r="BN460" s="372"/>
      <c r="BO460" s="372"/>
      <c r="BP460" s="372"/>
      <c r="BQ460" s="372"/>
      <c r="BR460" s="372"/>
      <c r="BS460" s="372"/>
      <c r="BT460" s="372"/>
      <c r="BU460" s="372"/>
      <c r="BV460" s="372"/>
      <c r="BW460" s="372"/>
      <c r="BX460" s="372"/>
    </row>
    <row r="461" spans="2:76" s="28" customFormat="1">
      <c r="B461" s="136"/>
      <c r="D461" s="221"/>
      <c r="E461" s="29"/>
      <c r="G461" s="338"/>
      <c r="H461" s="339"/>
      <c r="I461" s="339"/>
      <c r="J461" s="339"/>
      <c r="K461" s="339"/>
      <c r="L461" s="339"/>
      <c r="O461" s="377"/>
      <c r="AI461" s="31"/>
      <c r="AJ461" s="31"/>
      <c r="AK461" s="32"/>
      <c r="AL461" s="33"/>
      <c r="AM461" s="32"/>
      <c r="AN461" s="33"/>
      <c r="AO461" s="32"/>
      <c r="AP461" s="32"/>
      <c r="AQ461" s="136"/>
      <c r="AR461" s="136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372"/>
      <c r="BD461" s="372"/>
      <c r="BE461" s="372"/>
      <c r="BF461" s="372"/>
      <c r="BG461" s="372"/>
      <c r="BH461" s="372"/>
      <c r="BI461" s="372"/>
      <c r="BJ461" s="372"/>
      <c r="BK461" s="372"/>
      <c r="BL461" s="372"/>
      <c r="BM461" s="372"/>
      <c r="BN461" s="372"/>
      <c r="BO461" s="372"/>
      <c r="BP461" s="372"/>
      <c r="BQ461" s="372"/>
      <c r="BR461" s="372"/>
      <c r="BS461" s="372"/>
      <c r="BT461" s="372"/>
      <c r="BU461" s="372"/>
      <c r="BV461" s="372"/>
      <c r="BW461" s="372"/>
      <c r="BX461" s="372"/>
    </row>
    <row r="462" spans="2:76" s="28" customFormat="1">
      <c r="B462" s="136"/>
      <c r="D462" s="221"/>
      <c r="E462" s="29"/>
      <c r="G462" s="338"/>
      <c r="H462" s="339"/>
      <c r="I462" s="339"/>
      <c r="J462" s="339"/>
      <c r="K462" s="339"/>
      <c r="L462" s="339"/>
      <c r="O462" s="382"/>
      <c r="AI462" s="31"/>
      <c r="AJ462" s="31"/>
      <c r="AK462" s="32"/>
      <c r="AL462" s="33"/>
      <c r="AM462" s="32"/>
      <c r="AN462" s="33"/>
      <c r="AO462" s="32"/>
      <c r="AP462" s="32"/>
      <c r="AQ462" s="136"/>
      <c r="AR462" s="136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372"/>
      <c r="BD462" s="372"/>
      <c r="BE462" s="372"/>
      <c r="BF462" s="372"/>
      <c r="BG462" s="372"/>
      <c r="BH462" s="372"/>
      <c r="BI462" s="372"/>
      <c r="BJ462" s="372"/>
      <c r="BK462" s="372"/>
      <c r="BL462" s="372"/>
      <c r="BM462" s="372"/>
      <c r="BN462" s="372"/>
      <c r="BO462" s="372"/>
      <c r="BP462" s="372"/>
      <c r="BQ462" s="372"/>
      <c r="BR462" s="372"/>
      <c r="BS462" s="372"/>
      <c r="BT462" s="372"/>
      <c r="BU462" s="372"/>
      <c r="BV462" s="372"/>
      <c r="BW462" s="372"/>
      <c r="BX462" s="372"/>
    </row>
    <row r="463" spans="2:76" s="28" customFormat="1">
      <c r="B463" s="136"/>
      <c r="D463" s="221"/>
      <c r="E463" s="29"/>
      <c r="G463" s="338"/>
      <c r="H463" s="339"/>
      <c r="I463" s="339"/>
      <c r="J463" s="339"/>
      <c r="K463" s="339"/>
      <c r="L463" s="339"/>
      <c r="O463" s="385"/>
      <c r="AI463" s="31"/>
      <c r="AJ463" s="31"/>
      <c r="AK463" s="32"/>
      <c r="AL463" s="33"/>
      <c r="AM463" s="32"/>
      <c r="AN463" s="33"/>
      <c r="AO463" s="32"/>
      <c r="AP463" s="32"/>
      <c r="AQ463" s="136"/>
      <c r="AR463" s="136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372"/>
      <c r="BD463" s="372"/>
      <c r="BE463" s="372"/>
      <c r="BF463" s="372"/>
      <c r="BG463" s="372"/>
      <c r="BH463" s="372"/>
      <c r="BI463" s="372"/>
      <c r="BJ463" s="372"/>
      <c r="BK463" s="372"/>
      <c r="BL463" s="372"/>
      <c r="BM463" s="372"/>
      <c r="BN463" s="372"/>
      <c r="BO463" s="372"/>
      <c r="BP463" s="372"/>
      <c r="BQ463" s="372"/>
      <c r="BR463" s="372"/>
      <c r="BS463" s="372"/>
      <c r="BT463" s="372"/>
      <c r="BU463" s="372"/>
      <c r="BV463" s="372"/>
      <c r="BW463" s="372"/>
      <c r="BX463" s="372"/>
    </row>
    <row r="464" spans="2:76" s="28" customFormat="1">
      <c r="B464" s="136"/>
      <c r="D464" s="221"/>
      <c r="E464" s="29"/>
      <c r="G464" s="338"/>
      <c r="H464" s="339"/>
      <c r="I464" s="339"/>
      <c r="J464" s="339"/>
      <c r="K464" s="339"/>
      <c r="L464" s="339"/>
      <c r="O464" s="377"/>
      <c r="AI464" s="31"/>
      <c r="AJ464" s="31"/>
      <c r="AK464" s="32"/>
      <c r="AL464" s="33"/>
      <c r="AM464" s="32"/>
      <c r="AN464" s="33"/>
      <c r="AO464" s="32"/>
      <c r="AP464" s="32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372"/>
      <c r="BD464" s="372"/>
      <c r="BE464" s="372"/>
      <c r="BF464" s="372"/>
      <c r="BG464" s="372"/>
      <c r="BH464" s="372"/>
      <c r="BI464" s="372"/>
      <c r="BJ464" s="372"/>
      <c r="BK464" s="372"/>
      <c r="BL464" s="372"/>
      <c r="BM464" s="372"/>
      <c r="BN464" s="372"/>
      <c r="BO464" s="372"/>
      <c r="BP464" s="372"/>
      <c r="BQ464" s="372"/>
      <c r="BR464" s="372"/>
      <c r="BS464" s="372"/>
      <c r="BT464" s="372"/>
      <c r="BU464" s="372"/>
      <c r="BV464" s="372"/>
      <c r="BW464" s="372"/>
      <c r="BX464" s="372"/>
    </row>
    <row r="465" spans="2:76" s="28" customFormat="1">
      <c r="B465" s="136"/>
      <c r="D465" s="221"/>
      <c r="E465" s="29"/>
      <c r="G465" s="338"/>
      <c r="H465" s="339"/>
      <c r="I465" s="339"/>
      <c r="J465" s="339"/>
      <c r="K465" s="339"/>
      <c r="L465" s="339"/>
      <c r="O465" s="380"/>
      <c r="AI465" s="31"/>
      <c r="AJ465" s="31"/>
      <c r="AK465" s="32"/>
      <c r="AL465" s="33"/>
      <c r="AM465" s="32"/>
      <c r="AN465" s="33"/>
      <c r="AO465" s="32"/>
      <c r="AP465" s="32"/>
      <c r="AQ465" s="136"/>
      <c r="AR465" s="136"/>
      <c r="AS465" s="136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372"/>
      <c r="BD465" s="372"/>
      <c r="BE465" s="372"/>
      <c r="BF465" s="372"/>
      <c r="BG465" s="372"/>
      <c r="BH465" s="372"/>
      <c r="BI465" s="372"/>
      <c r="BJ465" s="372"/>
      <c r="BK465" s="372"/>
      <c r="BL465" s="372"/>
      <c r="BM465" s="372"/>
      <c r="BN465" s="372"/>
      <c r="BO465" s="372"/>
      <c r="BP465" s="372"/>
      <c r="BQ465" s="372"/>
      <c r="BR465" s="372"/>
      <c r="BS465" s="372"/>
      <c r="BT465" s="372"/>
      <c r="BU465" s="372"/>
      <c r="BV465" s="372"/>
      <c r="BW465" s="372"/>
      <c r="BX465" s="372"/>
    </row>
    <row r="466" spans="2:76" s="28" customFormat="1">
      <c r="B466" s="136"/>
      <c r="D466" s="221"/>
      <c r="E466" s="29"/>
      <c r="G466" s="338"/>
      <c r="H466" s="339"/>
      <c r="I466" s="339"/>
      <c r="J466" s="339"/>
      <c r="K466" s="339"/>
      <c r="L466" s="339"/>
      <c r="O466" s="377"/>
      <c r="AI466" s="31"/>
      <c r="AJ466" s="31"/>
      <c r="AK466" s="32"/>
      <c r="AL466" s="33"/>
      <c r="AM466" s="32"/>
      <c r="AN466" s="33"/>
      <c r="AO466" s="32"/>
      <c r="AP466" s="32"/>
      <c r="AQ466" s="136"/>
      <c r="AR466" s="136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372"/>
      <c r="BD466" s="372"/>
      <c r="BE466" s="372"/>
      <c r="BF466" s="372"/>
      <c r="BG466" s="372"/>
      <c r="BH466" s="372"/>
      <c r="BI466" s="372"/>
      <c r="BJ466" s="372"/>
      <c r="BK466" s="372"/>
      <c r="BL466" s="372"/>
      <c r="BM466" s="372"/>
      <c r="BN466" s="372"/>
      <c r="BO466" s="372"/>
      <c r="BP466" s="372"/>
      <c r="BQ466" s="372"/>
      <c r="BR466" s="372"/>
      <c r="BS466" s="372"/>
      <c r="BT466" s="372"/>
      <c r="BU466" s="372"/>
      <c r="BV466" s="372"/>
      <c r="BW466" s="372"/>
      <c r="BX466" s="372"/>
    </row>
    <row r="467" spans="2:76" s="28" customFormat="1">
      <c r="B467" s="136"/>
      <c r="D467" s="221"/>
      <c r="E467" s="29"/>
      <c r="G467" s="338"/>
      <c r="H467" s="339"/>
      <c r="I467" s="339"/>
      <c r="J467" s="339"/>
      <c r="K467" s="339"/>
      <c r="L467" s="339"/>
      <c r="O467" s="376"/>
      <c r="AI467" s="31"/>
      <c r="AJ467" s="31"/>
      <c r="AK467" s="32"/>
      <c r="AL467" s="33"/>
      <c r="AM467" s="32"/>
      <c r="AN467" s="33"/>
      <c r="AO467" s="32"/>
      <c r="AP467" s="32"/>
      <c r="AQ467" s="136"/>
      <c r="AR467" s="136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372"/>
      <c r="BD467" s="372"/>
      <c r="BE467" s="372"/>
      <c r="BF467" s="372"/>
      <c r="BG467" s="372"/>
      <c r="BH467" s="372"/>
      <c r="BI467" s="372"/>
      <c r="BJ467" s="372"/>
      <c r="BK467" s="372"/>
      <c r="BL467" s="372"/>
      <c r="BM467" s="372"/>
      <c r="BN467" s="372"/>
      <c r="BO467" s="372"/>
      <c r="BP467" s="372"/>
      <c r="BQ467" s="372"/>
      <c r="BR467" s="372"/>
      <c r="BS467" s="372"/>
      <c r="BT467" s="372"/>
      <c r="BU467" s="372"/>
      <c r="BV467" s="372"/>
      <c r="BW467" s="372"/>
      <c r="BX467" s="372"/>
    </row>
    <row r="468" spans="2:76" s="28" customFormat="1">
      <c r="B468" s="136"/>
      <c r="D468" s="221"/>
      <c r="E468" s="29"/>
      <c r="G468" s="338"/>
      <c r="H468" s="339"/>
      <c r="I468" s="339"/>
      <c r="J468" s="339"/>
      <c r="K468" s="339"/>
      <c r="L468" s="339"/>
      <c r="O468" s="380"/>
      <c r="AI468" s="31"/>
      <c r="AJ468" s="31"/>
      <c r="AK468" s="32"/>
      <c r="AL468" s="33"/>
      <c r="AM468" s="32"/>
      <c r="AN468" s="33"/>
      <c r="AO468" s="32"/>
      <c r="AP468" s="32"/>
      <c r="AQ468" s="136"/>
      <c r="AR468" s="136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372"/>
      <c r="BD468" s="372"/>
      <c r="BE468" s="372"/>
      <c r="BF468" s="372"/>
      <c r="BG468" s="372"/>
      <c r="BH468" s="372"/>
      <c r="BI468" s="372"/>
      <c r="BJ468" s="372"/>
      <c r="BK468" s="372"/>
      <c r="BL468" s="372"/>
      <c r="BM468" s="372"/>
      <c r="BN468" s="372"/>
      <c r="BO468" s="372"/>
      <c r="BP468" s="372"/>
      <c r="BQ468" s="372"/>
      <c r="BR468" s="372"/>
      <c r="BS468" s="372"/>
      <c r="BT468" s="372"/>
      <c r="BU468" s="372"/>
      <c r="BV468" s="372"/>
      <c r="BW468" s="372"/>
      <c r="BX468" s="372"/>
    </row>
    <row r="469" spans="2:76" s="28" customFormat="1">
      <c r="B469" s="136"/>
      <c r="D469" s="221"/>
      <c r="E469" s="29"/>
      <c r="G469" s="338"/>
      <c r="H469" s="339"/>
      <c r="I469" s="339"/>
      <c r="J469" s="339"/>
      <c r="K469" s="339"/>
      <c r="L469" s="339"/>
      <c r="O469" s="383"/>
      <c r="AI469" s="31"/>
      <c r="AJ469" s="31"/>
      <c r="AK469" s="32"/>
      <c r="AL469" s="33"/>
      <c r="AM469" s="32"/>
      <c r="AN469" s="33"/>
      <c r="AO469" s="32"/>
      <c r="AP469" s="32"/>
      <c r="AQ469" s="136"/>
      <c r="AR469" s="136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372"/>
      <c r="BD469" s="372"/>
      <c r="BE469" s="372"/>
      <c r="BF469" s="372"/>
      <c r="BG469" s="372"/>
      <c r="BH469" s="372"/>
      <c r="BI469" s="372"/>
      <c r="BJ469" s="372"/>
      <c r="BK469" s="372"/>
      <c r="BL469" s="372"/>
      <c r="BM469" s="372"/>
      <c r="BN469" s="372"/>
      <c r="BO469" s="372"/>
      <c r="BP469" s="372"/>
      <c r="BQ469" s="372"/>
      <c r="BR469" s="372"/>
      <c r="BS469" s="372"/>
      <c r="BT469" s="372"/>
      <c r="BU469" s="372"/>
      <c r="BV469" s="372"/>
      <c r="BW469" s="372"/>
      <c r="BX469" s="372"/>
    </row>
    <row r="470" spans="2:76" s="28" customFormat="1">
      <c r="B470" s="136"/>
      <c r="D470" s="221"/>
      <c r="E470" s="29"/>
      <c r="G470" s="338"/>
      <c r="H470" s="339"/>
      <c r="I470" s="339"/>
      <c r="J470" s="339"/>
      <c r="K470" s="339"/>
      <c r="L470" s="339"/>
      <c r="O470" s="380"/>
      <c r="AI470" s="31"/>
      <c r="AJ470" s="31"/>
      <c r="AK470" s="32"/>
      <c r="AL470" s="33"/>
      <c r="AM470" s="32"/>
      <c r="AN470" s="33"/>
      <c r="AO470" s="32"/>
      <c r="AP470" s="32"/>
      <c r="AQ470" s="136"/>
      <c r="AR470" s="136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372"/>
      <c r="BD470" s="372"/>
      <c r="BE470" s="372"/>
      <c r="BF470" s="372"/>
      <c r="BG470" s="372"/>
      <c r="BH470" s="372"/>
      <c r="BI470" s="372"/>
      <c r="BJ470" s="372"/>
      <c r="BK470" s="372"/>
      <c r="BL470" s="372"/>
      <c r="BM470" s="372"/>
      <c r="BN470" s="372"/>
      <c r="BO470" s="372"/>
      <c r="BP470" s="372"/>
      <c r="BQ470" s="372"/>
      <c r="BR470" s="372"/>
      <c r="BS470" s="372"/>
      <c r="BT470" s="372"/>
      <c r="BU470" s="372"/>
      <c r="BV470" s="372"/>
      <c r="BW470" s="372"/>
      <c r="BX470" s="372"/>
    </row>
    <row r="471" spans="2:76" s="28" customFormat="1">
      <c r="B471" s="136"/>
      <c r="D471" s="221"/>
      <c r="E471" s="29"/>
      <c r="G471" s="338"/>
      <c r="H471" s="339"/>
      <c r="I471" s="339"/>
      <c r="J471" s="339"/>
      <c r="K471" s="339"/>
      <c r="L471" s="339"/>
      <c r="O471" s="376"/>
      <c r="AI471" s="31"/>
      <c r="AJ471" s="31"/>
      <c r="AK471" s="32"/>
      <c r="AL471" s="33"/>
      <c r="AM471" s="32"/>
      <c r="AN471" s="33"/>
      <c r="AO471" s="32"/>
      <c r="AP471" s="32"/>
      <c r="AQ471" s="136"/>
      <c r="AR471" s="136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372"/>
      <c r="BD471" s="372"/>
      <c r="BE471" s="372"/>
      <c r="BF471" s="372"/>
      <c r="BG471" s="372"/>
      <c r="BH471" s="372"/>
      <c r="BI471" s="372"/>
      <c r="BJ471" s="372"/>
      <c r="BK471" s="372"/>
      <c r="BL471" s="372"/>
      <c r="BM471" s="372"/>
      <c r="BN471" s="372"/>
      <c r="BO471" s="372"/>
      <c r="BP471" s="372"/>
      <c r="BQ471" s="372"/>
      <c r="BR471" s="372"/>
      <c r="BS471" s="372"/>
      <c r="BT471" s="372"/>
      <c r="BU471" s="372"/>
      <c r="BV471" s="372"/>
      <c r="BW471" s="372"/>
      <c r="BX471" s="372"/>
    </row>
    <row r="472" spans="2:76" s="28" customFormat="1">
      <c r="B472" s="136"/>
      <c r="D472" s="221"/>
      <c r="E472" s="29"/>
      <c r="G472" s="338"/>
      <c r="H472" s="339"/>
      <c r="I472" s="339"/>
      <c r="J472" s="339"/>
      <c r="K472" s="339"/>
      <c r="L472" s="339"/>
      <c r="O472" s="384"/>
      <c r="AI472" s="31"/>
      <c r="AJ472" s="31"/>
      <c r="AK472" s="32"/>
      <c r="AL472" s="33"/>
      <c r="AM472" s="32"/>
      <c r="AN472" s="33"/>
      <c r="AO472" s="32"/>
      <c r="AP472" s="32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372"/>
      <c r="BD472" s="372"/>
      <c r="BE472" s="372"/>
      <c r="BF472" s="372"/>
      <c r="BG472" s="372"/>
      <c r="BH472" s="372"/>
      <c r="BI472" s="372"/>
      <c r="BJ472" s="372"/>
      <c r="BK472" s="372"/>
      <c r="BL472" s="372"/>
      <c r="BM472" s="372"/>
      <c r="BN472" s="372"/>
      <c r="BO472" s="372"/>
      <c r="BP472" s="372"/>
      <c r="BQ472" s="372"/>
      <c r="BR472" s="372"/>
      <c r="BS472" s="372"/>
      <c r="BT472" s="372"/>
      <c r="BU472" s="372"/>
      <c r="BV472" s="372"/>
      <c r="BW472" s="372"/>
      <c r="BX472" s="372"/>
    </row>
    <row r="473" spans="2:76" s="28" customFormat="1">
      <c r="B473" s="136"/>
      <c r="D473" s="221"/>
      <c r="E473" s="29"/>
      <c r="G473" s="338"/>
      <c r="H473" s="339"/>
      <c r="I473" s="339"/>
      <c r="J473" s="339"/>
      <c r="K473" s="339"/>
      <c r="L473" s="339"/>
      <c r="O473" s="377"/>
      <c r="AI473" s="31"/>
      <c r="AJ473" s="31"/>
      <c r="AK473" s="32"/>
      <c r="AL473" s="33"/>
      <c r="AM473" s="32"/>
      <c r="AN473" s="33"/>
      <c r="AO473" s="32"/>
      <c r="AP473" s="32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372"/>
      <c r="BD473" s="372"/>
      <c r="BE473" s="372"/>
      <c r="BF473" s="372"/>
      <c r="BG473" s="372"/>
      <c r="BH473" s="372"/>
      <c r="BI473" s="372"/>
      <c r="BJ473" s="372"/>
      <c r="BK473" s="372"/>
      <c r="BL473" s="372"/>
      <c r="BM473" s="372"/>
      <c r="BN473" s="372"/>
      <c r="BO473" s="372"/>
      <c r="BP473" s="372"/>
      <c r="BQ473" s="372"/>
      <c r="BR473" s="372"/>
      <c r="BS473" s="372"/>
      <c r="BT473" s="372"/>
      <c r="BU473" s="372"/>
      <c r="BV473" s="372"/>
      <c r="BW473" s="372"/>
      <c r="BX473" s="372"/>
    </row>
    <row r="474" spans="2:76" s="28" customFormat="1">
      <c r="B474" s="136"/>
      <c r="D474" s="221"/>
      <c r="E474" s="29"/>
      <c r="G474" s="338"/>
      <c r="H474" s="339"/>
      <c r="I474" s="339"/>
      <c r="J474" s="339"/>
      <c r="K474" s="339"/>
      <c r="L474" s="339"/>
      <c r="O474" s="376"/>
      <c r="AI474" s="31"/>
      <c r="AJ474" s="31"/>
      <c r="AK474" s="32"/>
      <c r="AL474" s="33"/>
      <c r="AM474" s="32"/>
      <c r="AN474" s="33"/>
      <c r="AO474" s="32"/>
      <c r="AP474" s="32"/>
      <c r="AQ474" s="136"/>
      <c r="AR474" s="136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372"/>
      <c r="BD474" s="372"/>
      <c r="BE474" s="372"/>
      <c r="BF474" s="372"/>
      <c r="BG474" s="372"/>
      <c r="BH474" s="372"/>
      <c r="BI474" s="372"/>
      <c r="BJ474" s="372"/>
      <c r="BK474" s="372"/>
      <c r="BL474" s="372"/>
      <c r="BM474" s="372"/>
      <c r="BN474" s="372"/>
      <c r="BO474" s="372"/>
      <c r="BP474" s="372"/>
      <c r="BQ474" s="372"/>
      <c r="BR474" s="372"/>
      <c r="BS474" s="372"/>
      <c r="BT474" s="372"/>
      <c r="BU474" s="372"/>
      <c r="BV474" s="372"/>
      <c r="BW474" s="372"/>
      <c r="BX474" s="372"/>
    </row>
    <row r="475" spans="2:76" s="28" customFormat="1">
      <c r="B475" s="136"/>
      <c r="D475" s="221"/>
      <c r="E475" s="29"/>
      <c r="G475" s="338"/>
      <c r="H475" s="339"/>
      <c r="I475" s="339"/>
      <c r="J475" s="339"/>
      <c r="K475" s="339"/>
      <c r="L475" s="339"/>
      <c r="O475" s="388"/>
      <c r="AI475" s="31"/>
      <c r="AJ475" s="31"/>
      <c r="AK475" s="32"/>
      <c r="AL475" s="33"/>
      <c r="AM475" s="32"/>
      <c r="AN475" s="33"/>
      <c r="AO475" s="32"/>
      <c r="AP475" s="32"/>
      <c r="AQ475" s="136"/>
      <c r="AR475" s="136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372"/>
      <c r="BD475" s="372"/>
      <c r="BE475" s="372"/>
      <c r="BF475" s="372"/>
      <c r="BG475" s="372"/>
      <c r="BH475" s="372"/>
      <c r="BI475" s="372"/>
      <c r="BJ475" s="372"/>
      <c r="BK475" s="372"/>
      <c r="BL475" s="372"/>
      <c r="BM475" s="372"/>
      <c r="BN475" s="372"/>
      <c r="BO475" s="372"/>
      <c r="BP475" s="372"/>
      <c r="BQ475" s="372"/>
      <c r="BR475" s="372"/>
      <c r="BS475" s="372"/>
      <c r="BT475" s="372"/>
      <c r="BU475" s="372"/>
      <c r="BV475" s="372"/>
      <c r="BW475" s="372"/>
      <c r="BX475" s="372"/>
    </row>
    <row r="476" spans="2:76" s="28" customFormat="1">
      <c r="B476" s="136"/>
      <c r="D476" s="221"/>
      <c r="E476" s="29"/>
      <c r="G476" s="338"/>
      <c r="H476" s="339"/>
      <c r="I476" s="339"/>
      <c r="J476" s="339"/>
      <c r="K476" s="339"/>
      <c r="L476" s="339"/>
      <c r="O476" s="381"/>
      <c r="AI476" s="31"/>
      <c r="AJ476" s="31"/>
      <c r="AK476" s="32"/>
      <c r="AL476" s="33"/>
      <c r="AM476" s="32"/>
      <c r="AN476" s="33"/>
      <c r="AO476" s="32"/>
      <c r="AP476" s="32"/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372"/>
      <c r="BD476" s="372"/>
      <c r="BE476" s="372"/>
      <c r="BF476" s="372"/>
      <c r="BG476" s="372"/>
      <c r="BH476" s="372"/>
      <c r="BI476" s="372"/>
      <c r="BJ476" s="372"/>
      <c r="BK476" s="372"/>
      <c r="BL476" s="372"/>
      <c r="BM476" s="372"/>
      <c r="BN476" s="372"/>
      <c r="BO476" s="372"/>
      <c r="BP476" s="372"/>
      <c r="BQ476" s="372"/>
      <c r="BR476" s="372"/>
      <c r="BS476" s="372"/>
      <c r="BT476" s="372"/>
      <c r="BU476" s="372"/>
      <c r="BV476" s="372"/>
      <c r="BW476" s="372"/>
      <c r="BX476" s="372"/>
    </row>
    <row r="477" spans="2:76" s="28" customFormat="1">
      <c r="B477" s="136"/>
      <c r="D477" s="221"/>
      <c r="E477" s="29"/>
      <c r="G477" s="338"/>
      <c r="H477" s="339"/>
      <c r="I477" s="339"/>
      <c r="J477" s="339"/>
      <c r="K477" s="339"/>
      <c r="L477" s="339"/>
      <c r="O477" s="379"/>
      <c r="AI477" s="31"/>
      <c r="AJ477" s="31"/>
      <c r="AK477" s="32"/>
      <c r="AL477" s="33"/>
      <c r="AM477" s="32"/>
      <c r="AN477" s="33"/>
      <c r="AO477" s="32"/>
      <c r="AP477" s="32"/>
      <c r="AQ477" s="136"/>
      <c r="AR477" s="136"/>
      <c r="AS477" s="136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372"/>
      <c r="BD477" s="372"/>
      <c r="BE477" s="372"/>
      <c r="BF477" s="372"/>
      <c r="BG477" s="372"/>
      <c r="BH477" s="372"/>
      <c r="BI477" s="372"/>
      <c r="BJ477" s="372"/>
      <c r="BK477" s="372"/>
      <c r="BL477" s="372"/>
      <c r="BM477" s="372"/>
      <c r="BN477" s="372"/>
      <c r="BO477" s="372"/>
      <c r="BP477" s="372"/>
      <c r="BQ477" s="372"/>
      <c r="BR477" s="372"/>
      <c r="BS477" s="372"/>
      <c r="BT477" s="372"/>
      <c r="BU477" s="372"/>
      <c r="BV477" s="372"/>
      <c r="BW477" s="372"/>
      <c r="BX477" s="372"/>
    </row>
    <row r="478" spans="2:76" s="28" customFormat="1">
      <c r="B478" s="136"/>
      <c r="D478" s="221"/>
      <c r="E478" s="29"/>
      <c r="G478" s="338"/>
      <c r="H478" s="339"/>
      <c r="I478" s="339"/>
      <c r="J478" s="339"/>
      <c r="K478" s="339"/>
      <c r="L478" s="339"/>
      <c r="O478" s="384"/>
      <c r="AI478" s="31"/>
      <c r="AJ478" s="31"/>
      <c r="AK478" s="32"/>
      <c r="AL478" s="33"/>
      <c r="AM478" s="32"/>
      <c r="AN478" s="33"/>
      <c r="AO478" s="32"/>
      <c r="AP478" s="32"/>
      <c r="AQ478" s="136"/>
      <c r="AR478" s="136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372"/>
      <c r="BD478" s="372"/>
      <c r="BE478" s="372"/>
      <c r="BF478" s="372"/>
      <c r="BG478" s="372"/>
      <c r="BH478" s="372"/>
      <c r="BI478" s="372"/>
      <c r="BJ478" s="372"/>
      <c r="BK478" s="372"/>
      <c r="BL478" s="372"/>
      <c r="BM478" s="372"/>
      <c r="BN478" s="372"/>
      <c r="BO478" s="372"/>
      <c r="BP478" s="372"/>
      <c r="BQ478" s="372"/>
      <c r="BR478" s="372"/>
      <c r="BS478" s="372"/>
      <c r="BT478" s="372"/>
      <c r="BU478" s="372"/>
      <c r="BV478" s="372"/>
      <c r="BW478" s="372"/>
      <c r="BX478" s="372"/>
    </row>
    <row r="479" spans="2:76" s="28" customFormat="1">
      <c r="B479" s="136"/>
      <c r="D479" s="221"/>
      <c r="E479" s="29"/>
      <c r="G479" s="338"/>
      <c r="H479" s="339"/>
      <c r="I479" s="339"/>
      <c r="J479" s="339"/>
      <c r="K479" s="339"/>
      <c r="L479" s="339"/>
      <c r="O479" s="388"/>
      <c r="AI479" s="31"/>
      <c r="AJ479" s="31"/>
      <c r="AK479" s="32"/>
      <c r="AL479" s="33"/>
      <c r="AM479" s="32"/>
      <c r="AN479" s="33"/>
      <c r="AO479" s="32"/>
      <c r="AP479" s="32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372"/>
      <c r="BD479" s="372"/>
      <c r="BE479" s="372"/>
      <c r="BF479" s="372"/>
      <c r="BG479" s="372"/>
      <c r="BH479" s="372"/>
      <c r="BI479" s="372"/>
      <c r="BJ479" s="372"/>
      <c r="BK479" s="372"/>
      <c r="BL479" s="372"/>
      <c r="BM479" s="372"/>
      <c r="BN479" s="372"/>
      <c r="BO479" s="372"/>
      <c r="BP479" s="372"/>
      <c r="BQ479" s="372"/>
      <c r="BR479" s="372"/>
      <c r="BS479" s="372"/>
      <c r="BT479" s="372"/>
      <c r="BU479" s="372"/>
      <c r="BV479" s="372"/>
      <c r="BW479" s="372"/>
      <c r="BX479" s="372"/>
    </row>
    <row r="480" spans="2:76" s="28" customFormat="1">
      <c r="B480" s="136"/>
      <c r="D480" s="221"/>
      <c r="E480" s="29"/>
      <c r="G480" s="338"/>
      <c r="H480" s="339"/>
      <c r="I480" s="339"/>
      <c r="J480" s="339"/>
      <c r="K480" s="339"/>
      <c r="L480" s="339"/>
      <c r="O480" s="388"/>
      <c r="AI480" s="31"/>
      <c r="AJ480" s="31"/>
      <c r="AK480" s="32"/>
      <c r="AL480" s="33"/>
      <c r="AM480" s="32"/>
      <c r="AN480" s="33"/>
      <c r="AO480" s="32"/>
      <c r="AP480" s="32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372"/>
      <c r="BD480" s="372"/>
      <c r="BE480" s="372"/>
      <c r="BF480" s="372"/>
      <c r="BG480" s="372"/>
      <c r="BH480" s="372"/>
      <c r="BI480" s="372"/>
      <c r="BJ480" s="372"/>
      <c r="BK480" s="372"/>
      <c r="BL480" s="372"/>
      <c r="BM480" s="372"/>
      <c r="BN480" s="372"/>
      <c r="BO480" s="372"/>
      <c r="BP480" s="372"/>
      <c r="BQ480" s="372"/>
      <c r="BR480" s="372"/>
      <c r="BS480" s="372"/>
      <c r="BT480" s="372"/>
      <c r="BU480" s="372"/>
      <c r="BV480" s="372"/>
      <c r="BW480" s="372"/>
      <c r="BX480" s="372"/>
    </row>
    <row r="481" spans="2:76" s="28" customFormat="1">
      <c r="B481" s="136"/>
      <c r="D481" s="221"/>
      <c r="E481" s="29"/>
      <c r="G481" s="338"/>
      <c r="H481" s="339"/>
      <c r="I481" s="339"/>
      <c r="J481" s="339"/>
      <c r="K481" s="339"/>
      <c r="L481" s="339"/>
      <c r="O481" s="383"/>
      <c r="AI481" s="31"/>
      <c r="AJ481" s="31"/>
      <c r="AK481" s="32"/>
      <c r="AL481" s="33"/>
      <c r="AM481" s="32"/>
      <c r="AN481" s="33"/>
      <c r="AO481" s="32"/>
      <c r="AP481" s="32"/>
      <c r="AQ481" s="136"/>
      <c r="AR481" s="136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372"/>
      <c r="BD481" s="372"/>
      <c r="BE481" s="372"/>
      <c r="BF481" s="372"/>
      <c r="BG481" s="372"/>
      <c r="BH481" s="372"/>
      <c r="BI481" s="372"/>
      <c r="BJ481" s="372"/>
      <c r="BK481" s="372"/>
      <c r="BL481" s="372"/>
      <c r="BM481" s="372"/>
      <c r="BN481" s="372"/>
      <c r="BO481" s="372"/>
      <c r="BP481" s="372"/>
      <c r="BQ481" s="372"/>
      <c r="BR481" s="372"/>
      <c r="BS481" s="372"/>
      <c r="BT481" s="372"/>
      <c r="BU481" s="372"/>
      <c r="BV481" s="372"/>
      <c r="BW481" s="372"/>
      <c r="BX481" s="372"/>
    </row>
    <row r="482" spans="2:76" s="28" customFormat="1">
      <c r="B482" s="136"/>
      <c r="D482" s="221"/>
      <c r="E482" s="29"/>
      <c r="G482" s="338"/>
      <c r="H482" s="339"/>
      <c r="I482" s="339"/>
      <c r="J482" s="339"/>
      <c r="K482" s="339"/>
      <c r="L482" s="339"/>
      <c r="O482" s="376"/>
      <c r="AI482" s="31"/>
      <c r="AJ482" s="31"/>
      <c r="AK482" s="32"/>
      <c r="AL482" s="33"/>
      <c r="AM482" s="32"/>
      <c r="AN482" s="33"/>
      <c r="AO482" s="32"/>
      <c r="AP482" s="32"/>
      <c r="AQ482" s="136"/>
      <c r="AR482" s="136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372"/>
      <c r="BD482" s="372"/>
      <c r="BE482" s="372"/>
      <c r="BF482" s="372"/>
      <c r="BG482" s="372"/>
      <c r="BH482" s="372"/>
      <c r="BI482" s="372"/>
      <c r="BJ482" s="372"/>
      <c r="BK482" s="372"/>
      <c r="BL482" s="372"/>
      <c r="BM482" s="372"/>
      <c r="BN482" s="372"/>
      <c r="BO482" s="372"/>
      <c r="BP482" s="372"/>
      <c r="BQ482" s="372"/>
      <c r="BR482" s="372"/>
      <c r="BS482" s="372"/>
      <c r="BT482" s="372"/>
      <c r="BU482" s="372"/>
      <c r="BV482" s="372"/>
      <c r="BW482" s="372"/>
      <c r="BX482" s="372"/>
    </row>
    <row r="483" spans="2:76" s="28" customFormat="1">
      <c r="B483" s="136"/>
      <c r="D483" s="221"/>
      <c r="E483" s="29"/>
      <c r="G483" s="338"/>
      <c r="H483" s="339"/>
      <c r="I483" s="339"/>
      <c r="J483" s="339"/>
      <c r="K483" s="339"/>
      <c r="L483" s="339"/>
      <c r="O483" s="380"/>
      <c r="AI483" s="31"/>
      <c r="AJ483" s="31"/>
      <c r="AK483" s="32"/>
      <c r="AL483" s="33"/>
      <c r="AM483" s="32"/>
      <c r="AN483" s="33"/>
      <c r="AO483" s="32"/>
      <c r="AP483" s="32"/>
      <c r="AQ483" s="136"/>
      <c r="AR483" s="136"/>
      <c r="AS483" s="136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372"/>
      <c r="BD483" s="372"/>
      <c r="BE483" s="372"/>
      <c r="BF483" s="372"/>
      <c r="BG483" s="372"/>
      <c r="BH483" s="372"/>
      <c r="BI483" s="372"/>
      <c r="BJ483" s="372"/>
      <c r="BK483" s="372"/>
      <c r="BL483" s="372"/>
      <c r="BM483" s="372"/>
      <c r="BN483" s="372"/>
      <c r="BO483" s="372"/>
      <c r="BP483" s="372"/>
      <c r="BQ483" s="372"/>
      <c r="BR483" s="372"/>
      <c r="BS483" s="372"/>
      <c r="BT483" s="372"/>
      <c r="BU483" s="372"/>
      <c r="BV483" s="372"/>
      <c r="BW483" s="372"/>
      <c r="BX483" s="372"/>
    </row>
    <row r="484" spans="2:76" s="28" customFormat="1">
      <c r="B484" s="136"/>
      <c r="D484" s="221"/>
      <c r="E484" s="29"/>
      <c r="G484" s="338"/>
      <c r="H484" s="339"/>
      <c r="I484" s="339"/>
      <c r="J484" s="339"/>
      <c r="K484" s="339"/>
      <c r="L484" s="339"/>
      <c r="O484" s="380"/>
      <c r="AI484" s="31"/>
      <c r="AJ484" s="31"/>
      <c r="AK484" s="32"/>
      <c r="AL484" s="33"/>
      <c r="AM484" s="32"/>
      <c r="AN484" s="33"/>
      <c r="AO484" s="32"/>
      <c r="AP484" s="32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372"/>
      <c r="BD484" s="372"/>
      <c r="BE484" s="372"/>
      <c r="BF484" s="372"/>
      <c r="BG484" s="372"/>
      <c r="BH484" s="372"/>
      <c r="BI484" s="372"/>
      <c r="BJ484" s="372"/>
      <c r="BK484" s="372"/>
      <c r="BL484" s="372"/>
      <c r="BM484" s="372"/>
      <c r="BN484" s="372"/>
      <c r="BO484" s="372"/>
      <c r="BP484" s="372"/>
      <c r="BQ484" s="372"/>
      <c r="BR484" s="372"/>
      <c r="BS484" s="372"/>
      <c r="BT484" s="372"/>
      <c r="BU484" s="372"/>
      <c r="BV484" s="372"/>
      <c r="BW484" s="372"/>
      <c r="BX484" s="372"/>
    </row>
    <row r="485" spans="2:76" s="28" customFormat="1">
      <c r="B485" s="136"/>
      <c r="D485" s="221"/>
      <c r="E485" s="29"/>
      <c r="G485" s="338"/>
      <c r="H485" s="339"/>
      <c r="I485" s="339"/>
      <c r="J485" s="339"/>
      <c r="K485" s="339"/>
      <c r="L485" s="339"/>
      <c r="O485" s="380"/>
      <c r="AI485" s="31"/>
      <c r="AJ485" s="31"/>
      <c r="AK485" s="32"/>
      <c r="AL485" s="33"/>
      <c r="AM485" s="32"/>
      <c r="AN485" s="33"/>
      <c r="AO485" s="32"/>
      <c r="AP485" s="32"/>
      <c r="AQ485" s="136"/>
      <c r="AR485" s="136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372"/>
      <c r="BD485" s="372"/>
      <c r="BE485" s="372"/>
      <c r="BF485" s="372"/>
      <c r="BG485" s="372"/>
      <c r="BH485" s="372"/>
      <c r="BI485" s="372"/>
      <c r="BJ485" s="372"/>
      <c r="BK485" s="372"/>
      <c r="BL485" s="372"/>
      <c r="BM485" s="372"/>
      <c r="BN485" s="372"/>
      <c r="BO485" s="372"/>
      <c r="BP485" s="372"/>
      <c r="BQ485" s="372"/>
      <c r="BR485" s="372"/>
      <c r="BS485" s="372"/>
      <c r="BT485" s="372"/>
      <c r="BU485" s="372"/>
      <c r="BV485" s="372"/>
      <c r="BW485" s="372"/>
      <c r="BX485" s="372"/>
    </row>
    <row r="486" spans="2:76" s="28" customFormat="1">
      <c r="B486" s="136"/>
      <c r="D486" s="221"/>
      <c r="E486" s="29"/>
      <c r="G486" s="338"/>
      <c r="H486" s="339"/>
      <c r="I486" s="339"/>
      <c r="J486" s="339"/>
      <c r="K486" s="339"/>
      <c r="L486" s="339"/>
      <c r="O486" s="380"/>
      <c r="AI486" s="31"/>
      <c r="AJ486" s="31"/>
      <c r="AK486" s="32"/>
      <c r="AL486" s="33"/>
      <c r="AM486" s="32"/>
      <c r="AN486" s="33"/>
      <c r="AO486" s="32"/>
      <c r="AP486" s="32"/>
      <c r="AQ486" s="136"/>
      <c r="AR486" s="136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372"/>
      <c r="BD486" s="372"/>
      <c r="BE486" s="372"/>
      <c r="BF486" s="372"/>
      <c r="BG486" s="372"/>
      <c r="BH486" s="372"/>
      <c r="BI486" s="372"/>
      <c r="BJ486" s="372"/>
      <c r="BK486" s="372"/>
      <c r="BL486" s="372"/>
      <c r="BM486" s="372"/>
      <c r="BN486" s="372"/>
      <c r="BO486" s="372"/>
      <c r="BP486" s="372"/>
      <c r="BQ486" s="372"/>
      <c r="BR486" s="372"/>
      <c r="BS486" s="372"/>
      <c r="BT486" s="372"/>
      <c r="BU486" s="372"/>
      <c r="BV486" s="372"/>
      <c r="BW486" s="372"/>
      <c r="BX486" s="372"/>
    </row>
    <row r="487" spans="2:76" s="28" customFormat="1">
      <c r="B487" s="136"/>
      <c r="D487" s="221"/>
      <c r="E487" s="29"/>
      <c r="G487" s="338"/>
      <c r="H487" s="339"/>
      <c r="I487" s="339"/>
      <c r="J487" s="339"/>
      <c r="K487" s="339"/>
      <c r="L487" s="339"/>
      <c r="O487" s="377"/>
      <c r="AI487" s="31"/>
      <c r="AJ487" s="31"/>
      <c r="AK487" s="32"/>
      <c r="AL487" s="33"/>
      <c r="AM487" s="32"/>
      <c r="AN487" s="33"/>
      <c r="AO487" s="32"/>
      <c r="AP487" s="32"/>
      <c r="AQ487" s="136"/>
      <c r="AR487" s="136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372"/>
      <c r="BD487" s="372"/>
      <c r="BE487" s="372"/>
      <c r="BF487" s="372"/>
      <c r="BG487" s="372"/>
      <c r="BH487" s="372"/>
      <c r="BI487" s="372"/>
      <c r="BJ487" s="372"/>
      <c r="BK487" s="372"/>
      <c r="BL487" s="372"/>
      <c r="BM487" s="372"/>
      <c r="BN487" s="372"/>
      <c r="BO487" s="372"/>
      <c r="BP487" s="372"/>
      <c r="BQ487" s="372"/>
      <c r="BR487" s="372"/>
      <c r="BS487" s="372"/>
      <c r="BT487" s="372"/>
      <c r="BU487" s="372"/>
      <c r="BV487" s="372"/>
      <c r="BW487" s="372"/>
      <c r="BX487" s="372"/>
    </row>
    <row r="488" spans="2:76" s="28" customFormat="1">
      <c r="B488" s="136"/>
      <c r="D488" s="221"/>
      <c r="E488" s="29"/>
      <c r="G488" s="338"/>
      <c r="H488" s="339"/>
      <c r="I488" s="339"/>
      <c r="J488" s="339"/>
      <c r="K488" s="339"/>
      <c r="L488" s="339"/>
      <c r="O488" s="377"/>
      <c r="AI488" s="31"/>
      <c r="AJ488" s="31"/>
      <c r="AK488" s="32"/>
      <c r="AL488" s="33"/>
      <c r="AM488" s="32"/>
      <c r="AN488" s="33"/>
      <c r="AO488" s="32"/>
      <c r="AP488" s="32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372"/>
      <c r="BD488" s="372"/>
      <c r="BE488" s="372"/>
      <c r="BF488" s="372"/>
      <c r="BG488" s="372"/>
      <c r="BH488" s="372"/>
      <c r="BI488" s="372"/>
      <c r="BJ488" s="372"/>
      <c r="BK488" s="372"/>
      <c r="BL488" s="372"/>
      <c r="BM488" s="372"/>
      <c r="BN488" s="372"/>
      <c r="BO488" s="372"/>
      <c r="BP488" s="372"/>
      <c r="BQ488" s="372"/>
      <c r="BR488" s="372"/>
      <c r="BS488" s="372"/>
      <c r="BT488" s="372"/>
      <c r="BU488" s="372"/>
      <c r="BV488" s="372"/>
      <c r="BW488" s="372"/>
      <c r="BX488" s="372"/>
    </row>
    <row r="489" spans="2:76" s="28" customFormat="1">
      <c r="B489" s="136"/>
      <c r="D489" s="221"/>
      <c r="E489" s="29"/>
      <c r="G489" s="338"/>
      <c r="H489" s="339"/>
      <c r="I489" s="339"/>
      <c r="J489" s="339"/>
      <c r="K489" s="339"/>
      <c r="L489" s="339"/>
      <c r="O489" s="377"/>
      <c r="AI489" s="31"/>
      <c r="AJ489" s="31"/>
      <c r="AK489" s="32"/>
      <c r="AL489" s="33"/>
      <c r="AM489" s="32"/>
      <c r="AN489" s="33"/>
      <c r="AO489" s="32"/>
      <c r="AP489" s="32"/>
      <c r="AQ489" s="136"/>
      <c r="AR489" s="136"/>
      <c r="AS489" s="136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372"/>
      <c r="BD489" s="372"/>
      <c r="BE489" s="372"/>
      <c r="BF489" s="372"/>
      <c r="BG489" s="372"/>
      <c r="BH489" s="372"/>
      <c r="BI489" s="372"/>
      <c r="BJ489" s="372"/>
      <c r="BK489" s="372"/>
      <c r="BL489" s="372"/>
      <c r="BM489" s="372"/>
      <c r="BN489" s="372"/>
      <c r="BO489" s="372"/>
      <c r="BP489" s="372"/>
      <c r="BQ489" s="372"/>
      <c r="BR489" s="372"/>
      <c r="BS489" s="372"/>
      <c r="BT489" s="372"/>
      <c r="BU489" s="372"/>
      <c r="BV489" s="372"/>
      <c r="BW489" s="372"/>
      <c r="BX489" s="372"/>
    </row>
    <row r="490" spans="2:76" s="28" customFormat="1">
      <c r="B490" s="136"/>
      <c r="D490" s="221"/>
      <c r="E490" s="29"/>
      <c r="G490" s="338"/>
      <c r="H490" s="339"/>
      <c r="I490" s="339"/>
      <c r="J490" s="339"/>
      <c r="K490" s="339"/>
      <c r="L490" s="339"/>
      <c r="O490" s="377"/>
      <c r="AI490" s="31"/>
      <c r="AJ490" s="31"/>
      <c r="AK490" s="32"/>
      <c r="AL490" s="33"/>
      <c r="AM490" s="32"/>
      <c r="AN490" s="33"/>
      <c r="AO490" s="32"/>
      <c r="AP490" s="32"/>
      <c r="AQ490" s="136"/>
      <c r="AR490" s="136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/>
      <c r="BC490" s="372"/>
      <c r="BD490" s="372"/>
      <c r="BE490" s="372"/>
      <c r="BF490" s="372"/>
      <c r="BG490" s="372"/>
      <c r="BH490" s="372"/>
      <c r="BI490" s="372"/>
      <c r="BJ490" s="372"/>
      <c r="BK490" s="372"/>
      <c r="BL490" s="372"/>
      <c r="BM490" s="372"/>
      <c r="BN490" s="372"/>
      <c r="BO490" s="372"/>
      <c r="BP490" s="372"/>
      <c r="BQ490" s="372"/>
      <c r="BR490" s="372"/>
      <c r="BS490" s="372"/>
      <c r="BT490" s="372"/>
      <c r="BU490" s="372"/>
      <c r="BV490" s="372"/>
      <c r="BW490" s="372"/>
      <c r="BX490" s="372"/>
    </row>
    <row r="491" spans="2:76" s="28" customFormat="1">
      <c r="B491" s="136"/>
      <c r="D491" s="221"/>
      <c r="E491" s="29"/>
      <c r="G491" s="338"/>
      <c r="H491" s="339"/>
      <c r="I491" s="339"/>
      <c r="J491" s="339"/>
      <c r="K491" s="339"/>
      <c r="L491" s="339"/>
      <c r="O491" s="381"/>
      <c r="AI491" s="31"/>
      <c r="AJ491" s="31"/>
      <c r="AK491" s="32"/>
      <c r="AL491" s="33"/>
      <c r="AM491" s="32"/>
      <c r="AN491" s="33"/>
      <c r="AO491" s="32"/>
      <c r="AP491" s="32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372"/>
      <c r="BD491" s="372"/>
      <c r="BE491" s="372"/>
      <c r="BF491" s="372"/>
      <c r="BG491" s="372"/>
      <c r="BH491" s="372"/>
      <c r="BI491" s="372"/>
      <c r="BJ491" s="372"/>
      <c r="BK491" s="372"/>
      <c r="BL491" s="372"/>
      <c r="BM491" s="372"/>
      <c r="BN491" s="372"/>
      <c r="BO491" s="372"/>
      <c r="BP491" s="372"/>
      <c r="BQ491" s="372"/>
      <c r="BR491" s="372"/>
      <c r="BS491" s="372"/>
      <c r="BT491" s="372"/>
      <c r="BU491" s="372"/>
      <c r="BV491" s="372"/>
      <c r="BW491" s="372"/>
      <c r="BX491" s="372"/>
    </row>
    <row r="492" spans="2:76" s="28" customFormat="1">
      <c r="B492" s="136"/>
      <c r="D492" s="221"/>
      <c r="E492" s="29"/>
      <c r="G492" s="338"/>
      <c r="H492" s="339"/>
      <c r="I492" s="339"/>
      <c r="J492" s="339"/>
      <c r="K492" s="339"/>
      <c r="L492" s="339"/>
      <c r="O492" s="377"/>
      <c r="AI492" s="31"/>
      <c r="AJ492" s="31"/>
      <c r="AK492" s="32"/>
      <c r="AL492" s="33"/>
      <c r="AM492" s="32"/>
      <c r="AN492" s="33"/>
      <c r="AO492" s="32"/>
      <c r="AP492" s="32"/>
      <c r="AQ492" s="136"/>
      <c r="AR492" s="136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372"/>
      <c r="BD492" s="372"/>
      <c r="BE492" s="372"/>
      <c r="BF492" s="372"/>
      <c r="BG492" s="372"/>
      <c r="BH492" s="372"/>
      <c r="BI492" s="372"/>
      <c r="BJ492" s="372"/>
      <c r="BK492" s="372"/>
      <c r="BL492" s="372"/>
      <c r="BM492" s="372"/>
      <c r="BN492" s="372"/>
      <c r="BO492" s="372"/>
      <c r="BP492" s="372"/>
      <c r="BQ492" s="372"/>
      <c r="BR492" s="372"/>
      <c r="BS492" s="372"/>
      <c r="BT492" s="372"/>
      <c r="BU492" s="372"/>
      <c r="BV492" s="372"/>
      <c r="BW492" s="372"/>
      <c r="BX492" s="372"/>
    </row>
    <row r="493" spans="2:76" s="28" customFormat="1">
      <c r="B493" s="136"/>
      <c r="D493" s="221"/>
      <c r="E493" s="29"/>
      <c r="G493" s="338"/>
      <c r="H493" s="339"/>
      <c r="I493" s="339"/>
      <c r="J493" s="339"/>
      <c r="K493" s="339"/>
      <c r="L493" s="339"/>
      <c r="O493" s="380"/>
      <c r="AI493" s="31"/>
      <c r="AJ493" s="31"/>
      <c r="AK493" s="32"/>
      <c r="AL493" s="33"/>
      <c r="AM493" s="32"/>
      <c r="AN493" s="33"/>
      <c r="AO493" s="32"/>
      <c r="AP493" s="32"/>
      <c r="AQ493" s="136"/>
      <c r="AR493" s="136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372"/>
      <c r="BD493" s="372"/>
      <c r="BE493" s="372"/>
      <c r="BF493" s="372"/>
      <c r="BG493" s="372"/>
      <c r="BH493" s="372"/>
      <c r="BI493" s="372"/>
      <c r="BJ493" s="372"/>
      <c r="BK493" s="372"/>
      <c r="BL493" s="372"/>
      <c r="BM493" s="372"/>
      <c r="BN493" s="372"/>
      <c r="BO493" s="372"/>
      <c r="BP493" s="372"/>
      <c r="BQ493" s="372"/>
      <c r="BR493" s="372"/>
      <c r="BS493" s="372"/>
      <c r="BT493" s="372"/>
      <c r="BU493" s="372"/>
      <c r="BV493" s="372"/>
      <c r="BW493" s="372"/>
      <c r="BX493" s="372"/>
    </row>
    <row r="494" spans="2:76" s="28" customFormat="1">
      <c r="B494" s="136"/>
      <c r="D494" s="221"/>
      <c r="E494" s="29"/>
      <c r="G494" s="338"/>
      <c r="H494" s="339"/>
      <c r="I494" s="339"/>
      <c r="J494" s="339"/>
      <c r="K494" s="339"/>
      <c r="L494" s="339"/>
      <c r="O494" s="380"/>
      <c r="AI494" s="31"/>
      <c r="AJ494" s="31"/>
      <c r="AK494" s="32"/>
      <c r="AL494" s="33"/>
      <c r="AM494" s="32"/>
      <c r="AN494" s="33"/>
      <c r="AO494" s="32"/>
      <c r="AP494" s="32"/>
      <c r="AQ494" s="136"/>
      <c r="AR494" s="136"/>
      <c r="AS494" s="136"/>
      <c r="AT494" s="136"/>
      <c r="AU494" s="136"/>
      <c r="AV494" s="136"/>
      <c r="AW494" s="136"/>
      <c r="AX494" s="136"/>
      <c r="AY494" s="136"/>
      <c r="AZ494" s="136"/>
      <c r="BA494" s="136"/>
      <c r="BB494" s="136"/>
      <c r="BC494" s="372"/>
      <c r="BD494" s="372"/>
      <c r="BE494" s="372"/>
      <c r="BF494" s="372"/>
      <c r="BG494" s="372"/>
      <c r="BH494" s="372"/>
      <c r="BI494" s="372"/>
      <c r="BJ494" s="372"/>
      <c r="BK494" s="372"/>
      <c r="BL494" s="372"/>
      <c r="BM494" s="372"/>
      <c r="BN494" s="372"/>
      <c r="BO494" s="372"/>
      <c r="BP494" s="372"/>
      <c r="BQ494" s="372"/>
      <c r="BR494" s="372"/>
      <c r="BS494" s="372"/>
      <c r="BT494" s="372"/>
      <c r="BU494" s="372"/>
      <c r="BV494" s="372"/>
      <c r="BW494" s="372"/>
      <c r="BX494" s="372"/>
    </row>
    <row r="495" spans="2:76" s="28" customFormat="1">
      <c r="B495" s="136"/>
      <c r="D495" s="221"/>
      <c r="E495" s="29"/>
      <c r="G495" s="338"/>
      <c r="H495" s="339"/>
      <c r="I495" s="339"/>
      <c r="J495" s="339"/>
      <c r="K495" s="339"/>
      <c r="L495" s="339"/>
      <c r="O495" s="380"/>
      <c r="AI495" s="31"/>
      <c r="AJ495" s="31"/>
      <c r="AK495" s="32"/>
      <c r="AL495" s="33"/>
      <c r="AM495" s="32"/>
      <c r="AN495" s="33"/>
      <c r="AO495" s="32"/>
      <c r="AP495" s="32"/>
      <c r="AQ495" s="136"/>
      <c r="AR495" s="136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372"/>
      <c r="BD495" s="372"/>
      <c r="BE495" s="372"/>
      <c r="BF495" s="372"/>
      <c r="BG495" s="372"/>
      <c r="BH495" s="372"/>
      <c r="BI495" s="372"/>
      <c r="BJ495" s="372"/>
      <c r="BK495" s="372"/>
      <c r="BL495" s="372"/>
      <c r="BM495" s="372"/>
      <c r="BN495" s="372"/>
      <c r="BO495" s="372"/>
      <c r="BP495" s="372"/>
      <c r="BQ495" s="372"/>
      <c r="BR495" s="372"/>
      <c r="BS495" s="372"/>
      <c r="BT495" s="372"/>
      <c r="BU495" s="372"/>
      <c r="BV495" s="372"/>
      <c r="BW495" s="372"/>
      <c r="BX495" s="372"/>
    </row>
    <row r="496" spans="2:76" s="28" customFormat="1">
      <c r="B496" s="136"/>
      <c r="D496" s="221"/>
      <c r="E496" s="29"/>
      <c r="G496" s="338"/>
      <c r="H496" s="339"/>
      <c r="I496" s="339"/>
      <c r="J496" s="339"/>
      <c r="K496" s="339"/>
      <c r="L496" s="339"/>
      <c r="O496" s="377"/>
      <c r="AI496" s="31"/>
      <c r="AJ496" s="31"/>
      <c r="AK496" s="32"/>
      <c r="AL496" s="33"/>
      <c r="AM496" s="32"/>
      <c r="AN496" s="33"/>
      <c r="AO496" s="32"/>
      <c r="AP496" s="32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372"/>
      <c r="BD496" s="372"/>
      <c r="BE496" s="372"/>
      <c r="BF496" s="372"/>
      <c r="BG496" s="372"/>
      <c r="BH496" s="372"/>
      <c r="BI496" s="372"/>
      <c r="BJ496" s="372"/>
      <c r="BK496" s="372"/>
      <c r="BL496" s="372"/>
      <c r="BM496" s="372"/>
      <c r="BN496" s="372"/>
      <c r="BO496" s="372"/>
      <c r="BP496" s="372"/>
      <c r="BQ496" s="372"/>
      <c r="BR496" s="372"/>
      <c r="BS496" s="372"/>
      <c r="BT496" s="372"/>
      <c r="BU496" s="372"/>
      <c r="BV496" s="372"/>
      <c r="BW496" s="372"/>
      <c r="BX496" s="372"/>
    </row>
    <row r="497" spans="2:76" s="28" customFormat="1">
      <c r="B497" s="136"/>
      <c r="D497" s="221"/>
      <c r="E497" s="29"/>
      <c r="G497" s="338"/>
      <c r="H497" s="339"/>
      <c r="I497" s="339"/>
      <c r="J497" s="339"/>
      <c r="K497" s="339"/>
      <c r="L497" s="339"/>
      <c r="O497" s="380"/>
      <c r="AI497" s="31"/>
      <c r="AJ497" s="31"/>
      <c r="AK497" s="32"/>
      <c r="AL497" s="33"/>
      <c r="AM497" s="32"/>
      <c r="AN497" s="33"/>
      <c r="AO497" s="32"/>
      <c r="AP497" s="32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372"/>
      <c r="BD497" s="372"/>
      <c r="BE497" s="372"/>
      <c r="BF497" s="372"/>
      <c r="BG497" s="372"/>
      <c r="BH497" s="372"/>
      <c r="BI497" s="372"/>
      <c r="BJ497" s="372"/>
      <c r="BK497" s="372"/>
      <c r="BL497" s="372"/>
      <c r="BM497" s="372"/>
      <c r="BN497" s="372"/>
      <c r="BO497" s="372"/>
      <c r="BP497" s="372"/>
      <c r="BQ497" s="372"/>
      <c r="BR497" s="372"/>
      <c r="BS497" s="372"/>
      <c r="BT497" s="372"/>
      <c r="BU497" s="372"/>
      <c r="BV497" s="372"/>
      <c r="BW497" s="372"/>
      <c r="BX497" s="372"/>
    </row>
    <row r="498" spans="2:76" s="28" customFormat="1">
      <c r="B498" s="136"/>
      <c r="D498" s="221"/>
      <c r="E498" s="29"/>
      <c r="G498" s="338"/>
      <c r="H498" s="339"/>
      <c r="I498" s="339"/>
      <c r="J498" s="339"/>
      <c r="K498" s="339"/>
      <c r="L498" s="339"/>
      <c r="O498" s="377"/>
      <c r="AI498" s="31"/>
      <c r="AJ498" s="31"/>
      <c r="AK498" s="32"/>
      <c r="AL498" s="33"/>
      <c r="AM498" s="32"/>
      <c r="AN498" s="33"/>
      <c r="AO498" s="32"/>
      <c r="AP498" s="32"/>
      <c r="AQ498" s="136"/>
      <c r="AR498" s="136"/>
      <c r="AS498" s="136"/>
      <c r="AT498" s="136"/>
      <c r="AU498" s="136"/>
      <c r="AV498" s="136"/>
      <c r="AW498" s="136"/>
      <c r="AX498" s="136"/>
      <c r="AY498" s="136"/>
      <c r="AZ498" s="136"/>
      <c r="BA498" s="136"/>
      <c r="BB498" s="136"/>
      <c r="BC498" s="372"/>
      <c r="BD498" s="372"/>
      <c r="BE498" s="372"/>
      <c r="BF498" s="372"/>
      <c r="BG498" s="372"/>
      <c r="BH498" s="372"/>
      <c r="BI498" s="372"/>
      <c r="BJ498" s="372"/>
      <c r="BK498" s="372"/>
      <c r="BL498" s="372"/>
      <c r="BM498" s="372"/>
      <c r="BN498" s="372"/>
      <c r="BO498" s="372"/>
      <c r="BP498" s="372"/>
      <c r="BQ498" s="372"/>
      <c r="BR498" s="372"/>
      <c r="BS498" s="372"/>
      <c r="BT498" s="372"/>
      <c r="BU498" s="372"/>
      <c r="BV498" s="372"/>
      <c r="BW498" s="372"/>
      <c r="BX498" s="372"/>
    </row>
    <row r="499" spans="2:76" s="28" customFormat="1">
      <c r="B499" s="136"/>
      <c r="D499" s="221"/>
      <c r="E499" s="29"/>
      <c r="G499" s="338"/>
      <c r="H499" s="339"/>
      <c r="I499" s="339"/>
      <c r="J499" s="339"/>
      <c r="K499" s="339"/>
      <c r="L499" s="339"/>
      <c r="O499" s="377"/>
      <c r="AI499" s="31"/>
      <c r="AJ499" s="31"/>
      <c r="AK499" s="32"/>
      <c r="AL499" s="33"/>
      <c r="AM499" s="32"/>
      <c r="AN499" s="33"/>
      <c r="AO499" s="32"/>
      <c r="AP499" s="32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372"/>
      <c r="BD499" s="372"/>
      <c r="BE499" s="372"/>
      <c r="BF499" s="372"/>
      <c r="BG499" s="372"/>
      <c r="BH499" s="372"/>
      <c r="BI499" s="372"/>
      <c r="BJ499" s="372"/>
      <c r="BK499" s="372"/>
      <c r="BL499" s="372"/>
      <c r="BM499" s="372"/>
      <c r="BN499" s="372"/>
      <c r="BO499" s="372"/>
      <c r="BP499" s="372"/>
      <c r="BQ499" s="372"/>
      <c r="BR499" s="372"/>
      <c r="BS499" s="372"/>
      <c r="BT499" s="372"/>
      <c r="BU499" s="372"/>
      <c r="BV499" s="372"/>
      <c r="BW499" s="372"/>
      <c r="BX499" s="372"/>
    </row>
    <row r="500" spans="2:76" s="28" customFormat="1">
      <c r="B500" s="136"/>
      <c r="D500" s="221"/>
      <c r="E500" s="29"/>
      <c r="G500" s="338"/>
      <c r="H500" s="339"/>
      <c r="I500" s="339"/>
      <c r="J500" s="339"/>
      <c r="K500" s="339"/>
      <c r="L500" s="339"/>
      <c r="O500" s="380"/>
      <c r="AI500" s="31"/>
      <c r="AJ500" s="31"/>
      <c r="AK500" s="32"/>
      <c r="AL500" s="33"/>
      <c r="AM500" s="32"/>
      <c r="AN500" s="33"/>
      <c r="AO500" s="32"/>
      <c r="AP500" s="32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372"/>
      <c r="BD500" s="372"/>
      <c r="BE500" s="372"/>
      <c r="BF500" s="372"/>
      <c r="BG500" s="372"/>
      <c r="BH500" s="372"/>
      <c r="BI500" s="372"/>
      <c r="BJ500" s="372"/>
      <c r="BK500" s="372"/>
      <c r="BL500" s="372"/>
      <c r="BM500" s="372"/>
      <c r="BN500" s="372"/>
      <c r="BO500" s="372"/>
      <c r="BP500" s="372"/>
      <c r="BQ500" s="372"/>
      <c r="BR500" s="372"/>
      <c r="BS500" s="372"/>
      <c r="BT500" s="372"/>
      <c r="BU500" s="372"/>
      <c r="BV500" s="372"/>
      <c r="BW500" s="372"/>
      <c r="BX500" s="372"/>
    </row>
    <row r="501" spans="2:76" s="28" customFormat="1">
      <c r="B501" s="136"/>
      <c r="D501" s="221"/>
      <c r="E501" s="29"/>
      <c r="G501" s="338"/>
      <c r="H501" s="339"/>
      <c r="I501" s="339"/>
      <c r="J501" s="339"/>
      <c r="K501" s="339"/>
      <c r="L501" s="339"/>
      <c r="O501" s="381"/>
      <c r="AI501" s="31"/>
      <c r="AJ501" s="31"/>
      <c r="AK501" s="32"/>
      <c r="AL501" s="33"/>
      <c r="AM501" s="32"/>
      <c r="AN501" s="33"/>
      <c r="AO501" s="32"/>
      <c r="AP501" s="32"/>
      <c r="AQ501" s="136"/>
      <c r="AR501" s="136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372"/>
      <c r="BD501" s="372"/>
      <c r="BE501" s="372"/>
      <c r="BF501" s="372"/>
      <c r="BG501" s="372"/>
      <c r="BH501" s="372"/>
      <c r="BI501" s="372"/>
      <c r="BJ501" s="372"/>
      <c r="BK501" s="372"/>
      <c r="BL501" s="372"/>
      <c r="BM501" s="372"/>
      <c r="BN501" s="372"/>
      <c r="BO501" s="372"/>
      <c r="BP501" s="372"/>
      <c r="BQ501" s="372"/>
      <c r="BR501" s="372"/>
      <c r="BS501" s="372"/>
      <c r="BT501" s="372"/>
      <c r="BU501" s="372"/>
      <c r="BV501" s="372"/>
      <c r="BW501" s="372"/>
      <c r="BX501" s="372"/>
    </row>
    <row r="502" spans="2:76" s="28" customFormat="1">
      <c r="B502" s="136"/>
      <c r="D502" s="221"/>
      <c r="E502" s="29"/>
      <c r="G502" s="338"/>
      <c r="H502" s="339"/>
      <c r="I502" s="339"/>
      <c r="J502" s="339"/>
      <c r="K502" s="339"/>
      <c r="L502" s="339"/>
      <c r="O502" s="376"/>
      <c r="AI502" s="31"/>
      <c r="AJ502" s="31"/>
      <c r="AK502" s="32"/>
      <c r="AL502" s="33"/>
      <c r="AM502" s="32"/>
      <c r="AN502" s="33"/>
      <c r="AO502" s="32"/>
      <c r="AP502" s="32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372"/>
      <c r="BD502" s="372"/>
      <c r="BE502" s="372"/>
      <c r="BF502" s="372"/>
      <c r="BG502" s="372"/>
      <c r="BH502" s="372"/>
      <c r="BI502" s="372"/>
      <c r="BJ502" s="372"/>
      <c r="BK502" s="372"/>
      <c r="BL502" s="372"/>
      <c r="BM502" s="372"/>
      <c r="BN502" s="372"/>
      <c r="BO502" s="372"/>
      <c r="BP502" s="372"/>
      <c r="BQ502" s="372"/>
      <c r="BR502" s="372"/>
      <c r="BS502" s="372"/>
      <c r="BT502" s="372"/>
      <c r="BU502" s="372"/>
      <c r="BV502" s="372"/>
      <c r="BW502" s="372"/>
      <c r="BX502" s="372"/>
    </row>
    <row r="503" spans="2:76" s="28" customFormat="1">
      <c r="B503" s="136"/>
      <c r="D503" s="221"/>
      <c r="E503" s="29"/>
      <c r="G503" s="338"/>
      <c r="H503" s="339"/>
      <c r="I503" s="339"/>
      <c r="J503" s="339"/>
      <c r="K503" s="339"/>
      <c r="L503" s="339"/>
      <c r="O503" s="377"/>
      <c r="AI503" s="31"/>
      <c r="AJ503" s="31"/>
      <c r="AK503" s="32"/>
      <c r="AL503" s="33"/>
      <c r="AM503" s="32"/>
      <c r="AN503" s="33"/>
      <c r="AO503" s="32"/>
      <c r="AP503" s="32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372"/>
      <c r="BD503" s="372"/>
      <c r="BE503" s="372"/>
      <c r="BF503" s="372"/>
      <c r="BG503" s="372"/>
      <c r="BH503" s="372"/>
      <c r="BI503" s="372"/>
      <c r="BJ503" s="372"/>
      <c r="BK503" s="372"/>
      <c r="BL503" s="372"/>
      <c r="BM503" s="372"/>
      <c r="BN503" s="372"/>
      <c r="BO503" s="372"/>
      <c r="BP503" s="372"/>
      <c r="BQ503" s="372"/>
      <c r="BR503" s="372"/>
      <c r="BS503" s="372"/>
      <c r="BT503" s="372"/>
      <c r="BU503" s="372"/>
      <c r="BV503" s="372"/>
      <c r="BW503" s="372"/>
      <c r="BX503" s="372"/>
    </row>
    <row r="504" spans="2:76" s="28" customFormat="1">
      <c r="B504" s="136"/>
      <c r="D504" s="221"/>
      <c r="E504" s="29"/>
      <c r="G504" s="338"/>
      <c r="H504" s="339"/>
      <c r="I504" s="339"/>
      <c r="J504" s="339"/>
      <c r="K504" s="339"/>
      <c r="L504" s="339"/>
      <c r="O504" s="377"/>
      <c r="AI504" s="31"/>
      <c r="AJ504" s="31"/>
      <c r="AK504" s="32"/>
      <c r="AL504" s="33"/>
      <c r="AM504" s="32"/>
      <c r="AN504" s="33"/>
      <c r="AO504" s="32"/>
      <c r="AP504" s="32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372"/>
      <c r="BD504" s="372"/>
      <c r="BE504" s="372"/>
      <c r="BF504" s="372"/>
      <c r="BG504" s="372"/>
      <c r="BH504" s="372"/>
      <c r="BI504" s="372"/>
      <c r="BJ504" s="372"/>
      <c r="BK504" s="372"/>
      <c r="BL504" s="372"/>
      <c r="BM504" s="372"/>
      <c r="BN504" s="372"/>
      <c r="BO504" s="372"/>
      <c r="BP504" s="372"/>
      <c r="BQ504" s="372"/>
      <c r="BR504" s="372"/>
      <c r="BS504" s="372"/>
      <c r="BT504" s="372"/>
      <c r="BU504" s="372"/>
      <c r="BV504" s="372"/>
      <c r="BW504" s="372"/>
      <c r="BX504" s="372"/>
    </row>
    <row r="505" spans="2:76" s="28" customFormat="1">
      <c r="B505" s="136"/>
      <c r="D505" s="221"/>
      <c r="E505" s="29"/>
      <c r="G505" s="338"/>
      <c r="H505" s="339"/>
      <c r="I505" s="339"/>
      <c r="J505" s="339"/>
      <c r="K505" s="339"/>
      <c r="L505" s="339"/>
      <c r="O505" s="380"/>
      <c r="AI505" s="31"/>
      <c r="AJ505" s="31"/>
      <c r="AK505" s="32"/>
      <c r="AL505" s="33"/>
      <c r="AM505" s="32"/>
      <c r="AN505" s="33"/>
      <c r="AO505" s="32"/>
      <c r="AP505" s="32"/>
      <c r="AQ505" s="136"/>
      <c r="AR505" s="136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372"/>
      <c r="BD505" s="372"/>
      <c r="BE505" s="372"/>
      <c r="BF505" s="372"/>
      <c r="BG505" s="372"/>
      <c r="BH505" s="372"/>
      <c r="BI505" s="372"/>
      <c r="BJ505" s="372"/>
      <c r="BK505" s="372"/>
      <c r="BL505" s="372"/>
      <c r="BM505" s="372"/>
      <c r="BN505" s="372"/>
      <c r="BO505" s="372"/>
      <c r="BP505" s="372"/>
      <c r="BQ505" s="372"/>
      <c r="BR505" s="372"/>
      <c r="BS505" s="372"/>
      <c r="BT505" s="372"/>
      <c r="BU505" s="372"/>
      <c r="BV505" s="372"/>
      <c r="BW505" s="372"/>
      <c r="BX505" s="372"/>
    </row>
    <row r="506" spans="2:76" s="28" customFormat="1">
      <c r="B506" s="136"/>
      <c r="D506" s="221"/>
      <c r="E506" s="29"/>
      <c r="G506" s="338"/>
      <c r="H506" s="339"/>
      <c r="I506" s="339"/>
      <c r="J506" s="339"/>
      <c r="K506" s="339"/>
      <c r="L506" s="339"/>
      <c r="O506" s="380"/>
      <c r="AI506" s="31"/>
      <c r="AJ506" s="31"/>
      <c r="AK506" s="32"/>
      <c r="AL506" s="33"/>
      <c r="AM506" s="32"/>
      <c r="AN506" s="33"/>
      <c r="AO506" s="32"/>
      <c r="AP506" s="32"/>
      <c r="AQ506" s="136"/>
      <c r="AR506" s="136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372"/>
      <c r="BD506" s="372"/>
      <c r="BE506" s="372"/>
      <c r="BF506" s="372"/>
      <c r="BG506" s="372"/>
      <c r="BH506" s="372"/>
      <c r="BI506" s="372"/>
      <c r="BJ506" s="372"/>
      <c r="BK506" s="372"/>
      <c r="BL506" s="372"/>
      <c r="BM506" s="372"/>
      <c r="BN506" s="372"/>
      <c r="BO506" s="372"/>
      <c r="BP506" s="372"/>
      <c r="BQ506" s="372"/>
      <c r="BR506" s="372"/>
      <c r="BS506" s="372"/>
      <c r="BT506" s="372"/>
      <c r="BU506" s="372"/>
      <c r="BV506" s="372"/>
      <c r="BW506" s="372"/>
      <c r="BX506" s="372"/>
    </row>
    <row r="507" spans="2:76" s="28" customFormat="1">
      <c r="B507" s="136"/>
      <c r="D507" s="221"/>
      <c r="E507" s="29"/>
      <c r="G507" s="338"/>
      <c r="H507" s="339"/>
      <c r="I507" s="339"/>
      <c r="J507" s="339"/>
      <c r="K507" s="339"/>
      <c r="L507" s="339"/>
      <c r="O507" s="381"/>
      <c r="AI507" s="31"/>
      <c r="AJ507" s="31"/>
      <c r="AK507" s="32"/>
      <c r="AL507" s="33"/>
      <c r="AM507" s="32"/>
      <c r="AN507" s="33"/>
      <c r="AO507" s="32"/>
      <c r="AP507" s="32"/>
      <c r="AQ507" s="136"/>
      <c r="AR507" s="136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372"/>
      <c r="BD507" s="372"/>
      <c r="BE507" s="372"/>
      <c r="BF507" s="372"/>
      <c r="BG507" s="372"/>
      <c r="BH507" s="372"/>
      <c r="BI507" s="372"/>
      <c r="BJ507" s="372"/>
      <c r="BK507" s="372"/>
      <c r="BL507" s="372"/>
      <c r="BM507" s="372"/>
      <c r="BN507" s="372"/>
      <c r="BO507" s="372"/>
      <c r="BP507" s="372"/>
      <c r="BQ507" s="372"/>
      <c r="BR507" s="372"/>
      <c r="BS507" s="372"/>
      <c r="BT507" s="372"/>
      <c r="BU507" s="372"/>
      <c r="BV507" s="372"/>
      <c r="BW507" s="372"/>
      <c r="BX507" s="372"/>
    </row>
    <row r="508" spans="2:76" s="28" customFormat="1">
      <c r="B508" s="136"/>
      <c r="D508" s="221"/>
      <c r="E508" s="29"/>
      <c r="G508" s="338"/>
      <c r="H508" s="339"/>
      <c r="I508" s="339"/>
      <c r="J508" s="339"/>
      <c r="K508" s="339"/>
      <c r="L508" s="339"/>
      <c r="O508" s="378"/>
      <c r="AI508" s="31"/>
      <c r="AJ508" s="31"/>
      <c r="AK508" s="32"/>
      <c r="AL508" s="33"/>
      <c r="AM508" s="32"/>
      <c r="AN508" s="33"/>
      <c r="AO508" s="32"/>
      <c r="AP508" s="32"/>
      <c r="AQ508" s="136"/>
      <c r="AR508" s="136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372"/>
      <c r="BD508" s="372"/>
      <c r="BE508" s="372"/>
      <c r="BF508" s="372"/>
      <c r="BG508" s="372"/>
      <c r="BH508" s="372"/>
      <c r="BI508" s="372"/>
      <c r="BJ508" s="372"/>
      <c r="BK508" s="372"/>
      <c r="BL508" s="372"/>
      <c r="BM508" s="372"/>
      <c r="BN508" s="372"/>
      <c r="BO508" s="372"/>
      <c r="BP508" s="372"/>
      <c r="BQ508" s="372"/>
      <c r="BR508" s="372"/>
      <c r="BS508" s="372"/>
      <c r="BT508" s="372"/>
      <c r="BU508" s="372"/>
      <c r="BV508" s="372"/>
      <c r="BW508" s="372"/>
      <c r="BX508" s="372"/>
    </row>
    <row r="509" spans="2:76" s="28" customFormat="1">
      <c r="B509" s="136"/>
      <c r="D509" s="221"/>
      <c r="E509" s="29"/>
      <c r="G509" s="338"/>
      <c r="H509" s="339"/>
      <c r="I509" s="339"/>
      <c r="J509" s="339"/>
      <c r="K509" s="339"/>
      <c r="L509" s="339"/>
      <c r="O509" s="377"/>
      <c r="AI509" s="31"/>
      <c r="AJ509" s="31"/>
      <c r="AK509" s="32"/>
      <c r="AL509" s="33"/>
      <c r="AM509" s="32"/>
      <c r="AN509" s="33"/>
      <c r="AO509" s="32"/>
      <c r="AP509" s="32"/>
      <c r="AQ509" s="136"/>
      <c r="AR509" s="136"/>
      <c r="AS509" s="136"/>
      <c r="AT509" s="136"/>
      <c r="AU509" s="136"/>
      <c r="AV509" s="136"/>
      <c r="AW509" s="136"/>
      <c r="AX509" s="136"/>
      <c r="AY509" s="136"/>
      <c r="AZ509" s="136"/>
      <c r="BA509" s="136"/>
      <c r="BB509" s="136"/>
      <c r="BC509" s="372"/>
      <c r="BD509" s="372"/>
      <c r="BE509" s="372"/>
      <c r="BF509" s="372"/>
      <c r="BG509" s="372"/>
      <c r="BH509" s="372"/>
      <c r="BI509" s="372"/>
      <c r="BJ509" s="372"/>
      <c r="BK509" s="372"/>
      <c r="BL509" s="372"/>
      <c r="BM509" s="372"/>
      <c r="BN509" s="372"/>
      <c r="BO509" s="372"/>
      <c r="BP509" s="372"/>
      <c r="BQ509" s="372"/>
      <c r="BR509" s="372"/>
      <c r="BS509" s="372"/>
      <c r="BT509" s="372"/>
      <c r="BU509" s="372"/>
      <c r="BV509" s="372"/>
      <c r="BW509" s="372"/>
      <c r="BX509" s="372"/>
    </row>
    <row r="510" spans="2:76" s="28" customFormat="1">
      <c r="B510" s="136"/>
      <c r="D510" s="221"/>
      <c r="E510" s="29"/>
      <c r="G510" s="338"/>
      <c r="H510" s="339"/>
      <c r="I510" s="339"/>
      <c r="J510" s="339"/>
      <c r="K510" s="339"/>
      <c r="L510" s="339"/>
      <c r="O510" s="379"/>
      <c r="AI510" s="31"/>
      <c r="AJ510" s="31"/>
      <c r="AK510" s="32"/>
      <c r="AL510" s="33"/>
      <c r="AM510" s="32"/>
      <c r="AN510" s="33"/>
      <c r="AO510" s="32"/>
      <c r="AP510" s="32"/>
      <c r="AQ510" s="136"/>
      <c r="AR510" s="136"/>
      <c r="AS510" s="136"/>
      <c r="AT510" s="136"/>
      <c r="AU510" s="136"/>
      <c r="AV510" s="136"/>
      <c r="AW510" s="136"/>
      <c r="AX510" s="136"/>
      <c r="AY510" s="136"/>
      <c r="AZ510" s="136"/>
      <c r="BA510" s="136"/>
      <c r="BB510" s="136"/>
      <c r="BC510" s="372"/>
      <c r="BD510" s="372"/>
      <c r="BE510" s="372"/>
      <c r="BF510" s="372"/>
      <c r="BG510" s="372"/>
      <c r="BH510" s="372"/>
      <c r="BI510" s="372"/>
      <c r="BJ510" s="372"/>
      <c r="BK510" s="372"/>
      <c r="BL510" s="372"/>
      <c r="BM510" s="372"/>
      <c r="BN510" s="372"/>
      <c r="BO510" s="372"/>
      <c r="BP510" s="372"/>
      <c r="BQ510" s="372"/>
      <c r="BR510" s="372"/>
      <c r="BS510" s="372"/>
      <c r="BT510" s="372"/>
      <c r="BU510" s="372"/>
      <c r="BV510" s="372"/>
      <c r="BW510" s="372"/>
      <c r="BX510" s="372"/>
    </row>
    <row r="511" spans="2:76" s="28" customFormat="1">
      <c r="B511" s="136"/>
      <c r="D511" s="221"/>
      <c r="E511" s="29"/>
      <c r="G511" s="338"/>
      <c r="H511" s="339"/>
      <c r="I511" s="339"/>
      <c r="J511" s="339"/>
      <c r="K511" s="339"/>
      <c r="L511" s="339"/>
      <c r="O511" s="380"/>
      <c r="AI511" s="31"/>
      <c r="AJ511" s="31"/>
      <c r="AK511" s="32"/>
      <c r="AL511" s="33"/>
      <c r="AM511" s="32"/>
      <c r="AN511" s="33"/>
      <c r="AO511" s="32"/>
      <c r="AP511" s="32"/>
      <c r="AQ511" s="136"/>
      <c r="AR511" s="136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  <c r="BC511" s="372"/>
      <c r="BD511" s="372"/>
      <c r="BE511" s="372"/>
      <c r="BF511" s="372"/>
      <c r="BG511" s="372"/>
      <c r="BH511" s="372"/>
      <c r="BI511" s="372"/>
      <c r="BJ511" s="372"/>
      <c r="BK511" s="372"/>
      <c r="BL511" s="372"/>
      <c r="BM511" s="372"/>
      <c r="BN511" s="372"/>
      <c r="BO511" s="372"/>
      <c r="BP511" s="372"/>
      <c r="BQ511" s="372"/>
      <c r="BR511" s="372"/>
      <c r="BS511" s="372"/>
      <c r="BT511" s="372"/>
      <c r="BU511" s="372"/>
      <c r="BV511" s="372"/>
      <c r="BW511" s="372"/>
      <c r="BX511" s="372"/>
    </row>
    <row r="512" spans="2:76" s="28" customFormat="1">
      <c r="B512" s="136"/>
      <c r="D512" s="221"/>
      <c r="E512" s="29"/>
      <c r="G512" s="338"/>
      <c r="H512" s="339"/>
      <c r="I512" s="339"/>
      <c r="J512" s="339"/>
      <c r="K512" s="339"/>
      <c r="L512" s="339"/>
      <c r="O512" s="380"/>
      <c r="AI512" s="31"/>
      <c r="AJ512" s="31"/>
      <c r="AK512" s="32"/>
      <c r="AL512" s="33"/>
      <c r="AM512" s="32"/>
      <c r="AN512" s="33"/>
      <c r="AO512" s="32"/>
      <c r="AP512" s="32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372"/>
      <c r="BD512" s="372"/>
      <c r="BE512" s="372"/>
      <c r="BF512" s="372"/>
      <c r="BG512" s="372"/>
      <c r="BH512" s="372"/>
      <c r="BI512" s="372"/>
      <c r="BJ512" s="372"/>
      <c r="BK512" s="372"/>
      <c r="BL512" s="372"/>
      <c r="BM512" s="372"/>
      <c r="BN512" s="372"/>
      <c r="BO512" s="372"/>
      <c r="BP512" s="372"/>
      <c r="BQ512" s="372"/>
      <c r="BR512" s="372"/>
      <c r="BS512" s="372"/>
      <c r="BT512" s="372"/>
      <c r="BU512" s="372"/>
      <c r="BV512" s="372"/>
      <c r="BW512" s="372"/>
      <c r="BX512" s="372"/>
    </row>
    <row r="513" spans="2:76" s="28" customFormat="1">
      <c r="B513" s="136"/>
      <c r="D513" s="221"/>
      <c r="E513" s="29"/>
      <c r="G513" s="338"/>
      <c r="H513" s="339"/>
      <c r="I513" s="339"/>
      <c r="J513" s="339"/>
      <c r="K513" s="339"/>
      <c r="L513" s="339"/>
      <c r="O513" s="380"/>
      <c r="AI513" s="31"/>
      <c r="AJ513" s="31"/>
      <c r="AK513" s="32"/>
      <c r="AL513" s="33"/>
      <c r="AM513" s="32"/>
      <c r="AN513" s="33"/>
      <c r="AO513" s="32"/>
      <c r="AP513" s="32"/>
      <c r="AQ513" s="136"/>
      <c r="AR513" s="136"/>
      <c r="AS513" s="136"/>
      <c r="AT513" s="136"/>
      <c r="AU513" s="136"/>
      <c r="AV513" s="136"/>
      <c r="AW513" s="136"/>
      <c r="AX513" s="136"/>
      <c r="AY513" s="136"/>
      <c r="AZ513" s="136"/>
      <c r="BA513" s="136"/>
      <c r="BB513" s="136"/>
      <c r="BC513" s="372"/>
      <c r="BD513" s="372"/>
      <c r="BE513" s="372"/>
      <c r="BF513" s="372"/>
      <c r="BG513" s="372"/>
      <c r="BH513" s="372"/>
      <c r="BI513" s="372"/>
      <c r="BJ513" s="372"/>
      <c r="BK513" s="372"/>
      <c r="BL513" s="372"/>
      <c r="BM513" s="372"/>
      <c r="BN513" s="372"/>
      <c r="BO513" s="372"/>
      <c r="BP513" s="372"/>
      <c r="BQ513" s="372"/>
      <c r="BR513" s="372"/>
      <c r="BS513" s="372"/>
      <c r="BT513" s="372"/>
      <c r="BU513" s="372"/>
      <c r="BV513" s="372"/>
      <c r="BW513" s="372"/>
      <c r="BX513" s="372"/>
    </row>
    <row r="514" spans="2:76" s="28" customFormat="1">
      <c r="B514" s="136"/>
      <c r="D514" s="221"/>
      <c r="E514" s="29"/>
      <c r="G514" s="338"/>
      <c r="H514" s="339"/>
      <c r="I514" s="339"/>
      <c r="J514" s="339"/>
      <c r="K514" s="339"/>
      <c r="L514" s="339"/>
      <c r="O514" s="377"/>
      <c r="AI514" s="31"/>
      <c r="AJ514" s="31"/>
      <c r="AK514" s="32"/>
      <c r="AL514" s="33"/>
      <c r="AM514" s="32"/>
      <c r="AN514" s="33"/>
      <c r="AO514" s="32"/>
      <c r="AP514" s="32"/>
      <c r="AQ514" s="136"/>
      <c r="AR514" s="136"/>
      <c r="AS514" s="136"/>
      <c r="AT514" s="136"/>
      <c r="AU514" s="136"/>
      <c r="AV514" s="136"/>
      <c r="AW514" s="136"/>
      <c r="AX514" s="136"/>
      <c r="AY514" s="136"/>
      <c r="AZ514" s="136"/>
      <c r="BA514" s="136"/>
      <c r="BB514" s="136"/>
      <c r="BC514" s="372"/>
      <c r="BD514" s="372"/>
      <c r="BE514" s="372"/>
      <c r="BF514" s="372"/>
      <c r="BG514" s="372"/>
      <c r="BH514" s="372"/>
      <c r="BI514" s="372"/>
      <c r="BJ514" s="372"/>
      <c r="BK514" s="372"/>
      <c r="BL514" s="372"/>
      <c r="BM514" s="372"/>
      <c r="BN514" s="372"/>
      <c r="BO514" s="372"/>
      <c r="BP514" s="372"/>
      <c r="BQ514" s="372"/>
      <c r="BR514" s="372"/>
      <c r="BS514" s="372"/>
      <c r="BT514" s="372"/>
      <c r="BU514" s="372"/>
      <c r="BV514" s="372"/>
      <c r="BW514" s="372"/>
      <c r="BX514" s="372"/>
    </row>
    <row r="515" spans="2:76" s="28" customFormat="1">
      <c r="B515" s="136"/>
      <c r="D515" s="221"/>
      <c r="E515" s="29"/>
      <c r="G515" s="338"/>
      <c r="H515" s="339"/>
      <c r="I515" s="339"/>
      <c r="J515" s="339"/>
      <c r="K515" s="339"/>
      <c r="L515" s="339"/>
      <c r="O515" s="384"/>
      <c r="AI515" s="31"/>
      <c r="AJ515" s="31"/>
      <c r="AK515" s="32"/>
      <c r="AL515" s="33"/>
      <c r="AM515" s="32"/>
      <c r="AN515" s="33"/>
      <c r="AO515" s="32"/>
      <c r="AP515" s="32"/>
      <c r="AQ515" s="136"/>
      <c r="AR515" s="136"/>
      <c r="AS515" s="136"/>
      <c r="AT515" s="136"/>
      <c r="AU515" s="136"/>
      <c r="AV515" s="136"/>
      <c r="AW515" s="136"/>
      <c r="AX515" s="136"/>
      <c r="AY515" s="136"/>
      <c r="AZ515" s="136"/>
      <c r="BA515" s="136"/>
      <c r="BB515" s="136"/>
      <c r="BC515" s="372"/>
      <c r="BD515" s="372"/>
      <c r="BE515" s="372"/>
      <c r="BF515" s="372"/>
      <c r="BG515" s="372"/>
      <c r="BH515" s="372"/>
      <c r="BI515" s="372"/>
      <c r="BJ515" s="372"/>
      <c r="BK515" s="372"/>
      <c r="BL515" s="372"/>
      <c r="BM515" s="372"/>
      <c r="BN515" s="372"/>
      <c r="BO515" s="372"/>
      <c r="BP515" s="372"/>
      <c r="BQ515" s="372"/>
      <c r="BR515" s="372"/>
      <c r="BS515" s="372"/>
      <c r="BT515" s="372"/>
      <c r="BU515" s="372"/>
      <c r="BV515" s="372"/>
      <c r="BW515" s="372"/>
      <c r="BX515" s="372"/>
    </row>
    <row r="516" spans="2:76" s="28" customFormat="1">
      <c r="B516" s="136"/>
      <c r="D516" s="221"/>
      <c r="E516" s="29"/>
      <c r="G516" s="338"/>
      <c r="H516" s="339"/>
      <c r="I516" s="339"/>
      <c r="J516" s="339"/>
      <c r="K516" s="339"/>
      <c r="L516" s="339"/>
      <c r="O516" s="392"/>
      <c r="AI516" s="31"/>
      <c r="AJ516" s="31"/>
      <c r="AK516" s="32"/>
      <c r="AL516" s="33"/>
      <c r="AM516" s="32"/>
      <c r="AN516" s="33"/>
      <c r="AO516" s="32"/>
      <c r="AP516" s="32"/>
      <c r="AQ516" s="136"/>
      <c r="AR516" s="136"/>
      <c r="AS516" s="136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372"/>
      <c r="BD516" s="372"/>
      <c r="BE516" s="372"/>
      <c r="BF516" s="372"/>
      <c r="BG516" s="372"/>
      <c r="BH516" s="372"/>
      <c r="BI516" s="372"/>
      <c r="BJ516" s="372"/>
      <c r="BK516" s="372"/>
      <c r="BL516" s="372"/>
      <c r="BM516" s="372"/>
      <c r="BN516" s="372"/>
      <c r="BO516" s="372"/>
      <c r="BP516" s="372"/>
      <c r="BQ516" s="372"/>
      <c r="BR516" s="372"/>
      <c r="BS516" s="372"/>
      <c r="BT516" s="372"/>
      <c r="BU516" s="372"/>
      <c r="BV516" s="372"/>
      <c r="BW516" s="372"/>
      <c r="BX516" s="372"/>
    </row>
    <row r="517" spans="2:76" s="28" customFormat="1">
      <c r="B517" s="136"/>
      <c r="D517" s="221"/>
      <c r="E517" s="29"/>
      <c r="G517" s="338"/>
      <c r="H517" s="339"/>
      <c r="I517" s="339"/>
      <c r="J517" s="339"/>
      <c r="K517" s="339"/>
      <c r="L517" s="339"/>
      <c r="O517" s="384"/>
      <c r="AI517" s="31"/>
      <c r="AJ517" s="31"/>
      <c r="AK517" s="32"/>
      <c r="AL517" s="33"/>
      <c r="AM517" s="32"/>
      <c r="AN517" s="33"/>
      <c r="AO517" s="32"/>
      <c r="AP517" s="32"/>
      <c r="AQ517" s="136"/>
      <c r="AR517" s="136"/>
      <c r="AS517" s="136"/>
      <c r="AT517" s="136"/>
      <c r="AU517" s="136"/>
      <c r="AV517" s="136"/>
      <c r="AW517" s="136"/>
      <c r="AX517" s="136"/>
      <c r="AY517" s="136"/>
      <c r="AZ517" s="136"/>
      <c r="BA517" s="136"/>
      <c r="BB517" s="136"/>
      <c r="BC517" s="372"/>
      <c r="BD517" s="372"/>
      <c r="BE517" s="372"/>
      <c r="BF517" s="372"/>
      <c r="BG517" s="372"/>
      <c r="BH517" s="372"/>
      <c r="BI517" s="372"/>
      <c r="BJ517" s="372"/>
      <c r="BK517" s="372"/>
      <c r="BL517" s="372"/>
      <c r="BM517" s="372"/>
      <c r="BN517" s="372"/>
      <c r="BO517" s="372"/>
      <c r="BP517" s="372"/>
      <c r="BQ517" s="372"/>
      <c r="BR517" s="372"/>
      <c r="BS517" s="372"/>
      <c r="BT517" s="372"/>
      <c r="BU517" s="372"/>
      <c r="BV517" s="372"/>
      <c r="BW517" s="372"/>
      <c r="BX517" s="372"/>
    </row>
    <row r="518" spans="2:76" s="28" customFormat="1">
      <c r="B518" s="136"/>
      <c r="D518" s="221"/>
      <c r="E518" s="29"/>
      <c r="G518" s="338"/>
      <c r="H518" s="339"/>
      <c r="I518" s="339"/>
      <c r="J518" s="339"/>
      <c r="K518" s="339"/>
      <c r="L518" s="339"/>
      <c r="O518" s="377"/>
      <c r="AI518" s="31"/>
      <c r="AJ518" s="31"/>
      <c r="AK518" s="32"/>
      <c r="AL518" s="33"/>
      <c r="AM518" s="32"/>
      <c r="AN518" s="33"/>
      <c r="AO518" s="32"/>
      <c r="AP518" s="32"/>
      <c r="AQ518" s="136"/>
      <c r="AR518" s="136"/>
      <c r="AS518" s="136"/>
      <c r="AT518" s="136"/>
      <c r="AU518" s="136"/>
      <c r="AV518" s="136"/>
      <c r="AW518" s="136"/>
      <c r="AX518" s="136"/>
      <c r="AY518" s="136"/>
      <c r="AZ518" s="136"/>
      <c r="BA518" s="136"/>
      <c r="BB518" s="136"/>
      <c r="BC518" s="372"/>
      <c r="BD518" s="372"/>
      <c r="BE518" s="372"/>
      <c r="BF518" s="372"/>
      <c r="BG518" s="372"/>
      <c r="BH518" s="372"/>
      <c r="BI518" s="372"/>
      <c r="BJ518" s="372"/>
      <c r="BK518" s="372"/>
      <c r="BL518" s="372"/>
      <c r="BM518" s="372"/>
      <c r="BN518" s="372"/>
      <c r="BO518" s="372"/>
      <c r="BP518" s="372"/>
      <c r="BQ518" s="372"/>
      <c r="BR518" s="372"/>
      <c r="BS518" s="372"/>
      <c r="BT518" s="372"/>
      <c r="BU518" s="372"/>
      <c r="BV518" s="372"/>
      <c r="BW518" s="372"/>
      <c r="BX518" s="372"/>
    </row>
    <row r="519" spans="2:76" s="28" customFormat="1">
      <c r="B519" s="136"/>
      <c r="D519" s="221"/>
      <c r="E519" s="29"/>
      <c r="G519" s="338"/>
      <c r="H519" s="339"/>
      <c r="I519" s="339"/>
      <c r="J519" s="339"/>
      <c r="K519" s="339"/>
      <c r="L519" s="339"/>
      <c r="O519" s="377"/>
      <c r="AI519" s="31"/>
      <c r="AJ519" s="31"/>
      <c r="AK519" s="32"/>
      <c r="AL519" s="33"/>
      <c r="AM519" s="32"/>
      <c r="AN519" s="33"/>
      <c r="AO519" s="32"/>
      <c r="AP519" s="32"/>
      <c r="AQ519" s="136"/>
      <c r="AR519" s="136"/>
      <c r="AS519" s="136"/>
      <c r="AT519" s="136"/>
      <c r="AU519" s="136"/>
      <c r="AV519" s="136"/>
      <c r="AW519" s="136"/>
      <c r="AX519" s="136"/>
      <c r="AY519" s="136"/>
      <c r="AZ519" s="136"/>
      <c r="BA519" s="136"/>
      <c r="BB519" s="136"/>
      <c r="BC519" s="372"/>
      <c r="BD519" s="372"/>
      <c r="BE519" s="372"/>
      <c r="BF519" s="372"/>
      <c r="BG519" s="372"/>
      <c r="BH519" s="372"/>
      <c r="BI519" s="372"/>
      <c r="BJ519" s="372"/>
      <c r="BK519" s="372"/>
      <c r="BL519" s="372"/>
      <c r="BM519" s="372"/>
      <c r="BN519" s="372"/>
      <c r="BO519" s="372"/>
      <c r="BP519" s="372"/>
      <c r="BQ519" s="372"/>
      <c r="BR519" s="372"/>
      <c r="BS519" s="372"/>
      <c r="BT519" s="372"/>
      <c r="BU519" s="372"/>
      <c r="BV519" s="372"/>
      <c r="BW519" s="372"/>
      <c r="BX519" s="372"/>
    </row>
    <row r="520" spans="2:76" s="28" customFormat="1">
      <c r="B520" s="136"/>
      <c r="D520" s="221"/>
      <c r="E520" s="29"/>
      <c r="G520" s="338"/>
      <c r="H520" s="339"/>
      <c r="I520" s="339"/>
      <c r="J520" s="339"/>
      <c r="K520" s="339"/>
      <c r="L520" s="339"/>
      <c r="O520" s="381"/>
      <c r="AI520" s="31"/>
      <c r="AJ520" s="31"/>
      <c r="AK520" s="32"/>
      <c r="AL520" s="33"/>
      <c r="AM520" s="32"/>
      <c r="AN520" s="33"/>
      <c r="AO520" s="32"/>
      <c r="AP520" s="32"/>
      <c r="AQ520" s="136"/>
      <c r="AR520" s="136"/>
      <c r="AS520" s="136"/>
      <c r="AT520" s="136"/>
      <c r="AU520" s="136"/>
      <c r="AV520" s="136"/>
      <c r="AW520" s="136"/>
      <c r="AX520" s="136"/>
      <c r="AY520" s="136"/>
      <c r="AZ520" s="136"/>
      <c r="BA520" s="136"/>
      <c r="BB520" s="136"/>
      <c r="BC520" s="372"/>
      <c r="BD520" s="372"/>
      <c r="BE520" s="372"/>
      <c r="BF520" s="372"/>
      <c r="BG520" s="372"/>
      <c r="BH520" s="372"/>
      <c r="BI520" s="372"/>
      <c r="BJ520" s="372"/>
      <c r="BK520" s="372"/>
      <c r="BL520" s="372"/>
      <c r="BM520" s="372"/>
      <c r="BN520" s="372"/>
      <c r="BO520" s="372"/>
      <c r="BP520" s="372"/>
      <c r="BQ520" s="372"/>
      <c r="BR520" s="372"/>
      <c r="BS520" s="372"/>
      <c r="BT520" s="372"/>
      <c r="BU520" s="372"/>
      <c r="BV520" s="372"/>
      <c r="BW520" s="372"/>
      <c r="BX520" s="372"/>
    </row>
    <row r="521" spans="2:76" s="28" customFormat="1">
      <c r="B521" s="136"/>
      <c r="D521" s="221"/>
      <c r="E521" s="29"/>
      <c r="G521" s="338"/>
      <c r="H521" s="339"/>
      <c r="I521" s="339"/>
      <c r="J521" s="339"/>
      <c r="K521" s="339"/>
      <c r="L521" s="339"/>
      <c r="O521" s="388"/>
      <c r="AI521" s="31"/>
      <c r="AJ521" s="31"/>
      <c r="AK521" s="32"/>
      <c r="AL521" s="33"/>
      <c r="AM521" s="32"/>
      <c r="AN521" s="33"/>
      <c r="AO521" s="32"/>
      <c r="AP521" s="32"/>
      <c r="AQ521" s="136"/>
      <c r="AR521" s="136"/>
      <c r="AS521" s="136"/>
      <c r="AT521" s="136"/>
      <c r="AU521" s="136"/>
      <c r="AV521" s="136"/>
      <c r="AW521" s="136"/>
      <c r="AX521" s="136"/>
      <c r="AY521" s="136"/>
      <c r="AZ521" s="136"/>
      <c r="BA521" s="136"/>
      <c r="BB521" s="136"/>
      <c r="BC521" s="372"/>
      <c r="BD521" s="372"/>
      <c r="BE521" s="372"/>
      <c r="BF521" s="372"/>
      <c r="BG521" s="372"/>
      <c r="BH521" s="372"/>
      <c r="BI521" s="372"/>
      <c r="BJ521" s="372"/>
      <c r="BK521" s="372"/>
      <c r="BL521" s="372"/>
      <c r="BM521" s="372"/>
      <c r="BN521" s="372"/>
      <c r="BO521" s="372"/>
      <c r="BP521" s="372"/>
      <c r="BQ521" s="372"/>
      <c r="BR521" s="372"/>
      <c r="BS521" s="372"/>
      <c r="BT521" s="372"/>
      <c r="BU521" s="372"/>
      <c r="BV521" s="372"/>
      <c r="BW521" s="372"/>
      <c r="BX521" s="372"/>
    </row>
    <row r="522" spans="2:76" s="28" customFormat="1">
      <c r="B522" s="136"/>
      <c r="D522" s="221"/>
      <c r="E522" s="29"/>
      <c r="G522" s="338"/>
      <c r="H522" s="339"/>
      <c r="I522" s="339"/>
      <c r="J522" s="339"/>
      <c r="K522" s="339"/>
      <c r="L522" s="339"/>
      <c r="O522" s="377"/>
      <c r="AI522" s="31"/>
      <c r="AJ522" s="31"/>
      <c r="AK522" s="32"/>
      <c r="AL522" s="33"/>
      <c r="AM522" s="32"/>
      <c r="AN522" s="33"/>
      <c r="AO522" s="32"/>
      <c r="AP522" s="32"/>
      <c r="AQ522" s="136"/>
      <c r="AR522" s="136"/>
      <c r="AS522" s="136"/>
      <c r="AT522" s="136"/>
      <c r="AU522" s="136"/>
      <c r="AV522" s="136"/>
      <c r="AW522" s="136"/>
      <c r="AX522" s="136"/>
      <c r="AY522" s="136"/>
      <c r="AZ522" s="136"/>
      <c r="BA522" s="136"/>
      <c r="BB522" s="136"/>
      <c r="BC522" s="372"/>
      <c r="BD522" s="372"/>
      <c r="BE522" s="372"/>
      <c r="BF522" s="372"/>
      <c r="BG522" s="372"/>
      <c r="BH522" s="372"/>
      <c r="BI522" s="372"/>
      <c r="BJ522" s="372"/>
      <c r="BK522" s="372"/>
      <c r="BL522" s="372"/>
      <c r="BM522" s="372"/>
      <c r="BN522" s="372"/>
      <c r="BO522" s="372"/>
      <c r="BP522" s="372"/>
      <c r="BQ522" s="372"/>
      <c r="BR522" s="372"/>
      <c r="BS522" s="372"/>
      <c r="BT522" s="372"/>
      <c r="BU522" s="372"/>
      <c r="BV522" s="372"/>
      <c r="BW522" s="372"/>
      <c r="BX522" s="372"/>
    </row>
    <row r="523" spans="2:76" s="28" customFormat="1">
      <c r="B523" s="136"/>
      <c r="D523" s="221"/>
      <c r="E523" s="29"/>
      <c r="G523" s="338"/>
      <c r="H523" s="339"/>
      <c r="I523" s="339"/>
      <c r="J523" s="339"/>
      <c r="K523" s="339"/>
      <c r="L523" s="339"/>
      <c r="O523" s="376"/>
      <c r="AI523" s="31"/>
      <c r="AJ523" s="31"/>
      <c r="AK523" s="32"/>
      <c r="AL523" s="33"/>
      <c r="AM523" s="32"/>
      <c r="AN523" s="33"/>
      <c r="AO523" s="32"/>
      <c r="AP523" s="32"/>
      <c r="AQ523" s="136"/>
      <c r="AR523" s="136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  <c r="BC523" s="372"/>
      <c r="BD523" s="372"/>
      <c r="BE523" s="372"/>
      <c r="BF523" s="372"/>
      <c r="BG523" s="372"/>
      <c r="BH523" s="372"/>
      <c r="BI523" s="372"/>
      <c r="BJ523" s="372"/>
      <c r="BK523" s="372"/>
      <c r="BL523" s="372"/>
      <c r="BM523" s="372"/>
      <c r="BN523" s="372"/>
      <c r="BO523" s="372"/>
      <c r="BP523" s="372"/>
      <c r="BQ523" s="372"/>
      <c r="BR523" s="372"/>
      <c r="BS523" s="372"/>
      <c r="BT523" s="372"/>
      <c r="BU523" s="372"/>
      <c r="BV523" s="372"/>
      <c r="BW523" s="372"/>
      <c r="BX523" s="372"/>
    </row>
  </sheetData>
  <mergeCells count="43">
    <mergeCell ref="C88:D88"/>
    <mergeCell ref="C92:D92"/>
    <mergeCell ref="C93:D93"/>
    <mergeCell ref="Z88:AA88"/>
    <mergeCell ref="Z92:AA92"/>
    <mergeCell ref="Z93:AA93"/>
    <mergeCell ref="Q88:S88"/>
    <mergeCell ref="Q92:S92"/>
    <mergeCell ref="Q93:S93"/>
    <mergeCell ref="I92:K92"/>
    <mergeCell ref="G92:H92"/>
    <mergeCell ref="AA2:AA4"/>
    <mergeCell ref="AB2:AC3"/>
    <mergeCell ref="AD2:AD4"/>
    <mergeCell ref="V2:V4"/>
    <mergeCell ref="W2:W4"/>
    <mergeCell ref="X2:X4"/>
    <mergeCell ref="Y2:Y4"/>
    <mergeCell ref="Z2:Z4"/>
    <mergeCell ref="R2:T2"/>
    <mergeCell ref="R3:R4"/>
    <mergeCell ref="S3:S4"/>
    <mergeCell ref="T3:T4"/>
    <mergeCell ref="U2:U4"/>
    <mergeCell ref="H2:L3"/>
    <mergeCell ref="M2:Q2"/>
    <mergeCell ref="M3:M4"/>
    <mergeCell ref="N3:N4"/>
    <mergeCell ref="O3:O4"/>
    <mergeCell ref="P3:P4"/>
    <mergeCell ref="Q3:Q4"/>
    <mergeCell ref="K4:L4"/>
    <mergeCell ref="AI2:AI4"/>
    <mergeCell ref="AJ2:AJ4"/>
    <mergeCell ref="AE2:AE4"/>
    <mergeCell ref="AF2:AF4"/>
    <mergeCell ref="AG2:AH3"/>
    <mergeCell ref="G2:G4"/>
    <mergeCell ref="B2:B4"/>
    <mergeCell ref="C2:C4"/>
    <mergeCell ref="D2:D4"/>
    <mergeCell ref="E2:E4"/>
    <mergeCell ref="F2:F4"/>
  </mergeCells>
  <dataValidations count="2">
    <dataValidation type="list" allowBlank="1" showInputMessage="1" showErrorMessage="1" sqref="I95:I105 I6:I75">
      <formula1>"TK/0,TK/1,TK/2,TK/3,K/0,K/1,K/2,K/3"</formula1>
    </dataValidation>
    <dataValidation type="list" allowBlank="1" showInputMessage="1" showErrorMessage="1" sqref="H95:H105 H6:H75">
      <formula1>"L,P"</formula1>
    </dataValidation>
  </dataValidations>
  <pageMargins left="0" right="0" top="0" bottom="0" header="0.511811023622047" footer="0.511811023622047"/>
  <pageSetup paperSize="10000" scale="35" orientation="landscape" r:id="rId1"/>
  <headerFooter alignWithMargins="0"/>
  <colBreaks count="1" manualBreakCount="1">
    <brk id="36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51"/>
  <sheetViews>
    <sheetView topLeftCell="G1" zoomScale="67" zoomScaleNormal="67" workbookViewId="0">
      <selection activeCell="O46" sqref="O46"/>
    </sheetView>
  </sheetViews>
  <sheetFormatPr defaultColWidth="9.28515625" defaultRowHeight="12.75" outlineLevelCol="1"/>
  <cols>
    <col min="1" max="1" width="1.5703125" style="46" customWidth="1"/>
    <col min="2" max="2" width="5.7109375" style="27" customWidth="1"/>
    <col min="3" max="3" width="19.140625" style="28" customWidth="1"/>
    <col min="4" max="4" width="22.85546875" style="120" customWidth="1" outlineLevel="1"/>
    <col min="5" max="5" width="22.85546875" style="29" customWidth="1" outlineLevel="1"/>
    <col min="6" max="6" width="26" style="28" customWidth="1" outlineLevel="1"/>
    <col min="7" max="7" width="26" style="30" customWidth="1" outlineLevel="1"/>
    <col min="8" max="8" width="5.5703125" style="121" customWidth="1" outlineLevel="1"/>
    <col min="9" max="9" width="8.5703125" style="121" customWidth="1" outlineLevel="1"/>
    <col min="10" max="10" width="10.85546875" style="121" customWidth="1" outlineLevel="1"/>
    <col min="11" max="11" width="14.140625" style="28" customWidth="1"/>
    <col min="12" max="12" width="11.7109375" style="28" customWidth="1"/>
    <col min="13" max="15" width="12.7109375" style="28" customWidth="1"/>
    <col min="16" max="16" width="13.140625" style="28" customWidth="1"/>
    <col min="17" max="19" width="12.7109375" style="28" customWidth="1"/>
    <col min="20" max="22" width="12.7109375" style="28" hidden="1" customWidth="1"/>
    <col min="23" max="23" width="15.5703125" style="28" customWidth="1"/>
    <col min="24" max="24" width="12.7109375" style="28" hidden="1" customWidth="1"/>
    <col min="25" max="25" width="12.7109375" style="28" customWidth="1"/>
    <col min="26" max="26" width="15.28515625" style="28" customWidth="1" collapsed="1"/>
    <col min="27" max="27" width="7.7109375" style="49" customWidth="1"/>
    <col min="28" max="30" width="13.140625" style="28" customWidth="1"/>
    <col min="31" max="31" width="18.7109375" style="27" customWidth="1"/>
    <col min="32" max="33" width="16.5703125" style="27" customWidth="1"/>
    <col min="34" max="34" width="13.5703125" style="46" customWidth="1"/>
    <col min="35" max="16384" width="9.28515625" style="46"/>
  </cols>
  <sheetData>
    <row r="1" spans="2:34" ht="35.1" customHeight="1">
      <c r="B1" s="27" t="s">
        <v>68</v>
      </c>
    </row>
    <row r="2" spans="2:34" ht="35.1" customHeight="1">
      <c r="B2" s="27" t="s">
        <v>168</v>
      </c>
    </row>
    <row r="3" spans="2:34" ht="35.1" customHeight="1">
      <c r="B3" s="27" t="s">
        <v>165</v>
      </c>
    </row>
    <row r="4" spans="2:34" s="27" customFormat="1" ht="35.1" customHeight="1" thickBot="1">
      <c r="C4" s="48" t="s">
        <v>40</v>
      </c>
      <c r="D4" s="120"/>
      <c r="E4" s="29"/>
      <c r="F4" s="28"/>
      <c r="G4" s="30"/>
      <c r="H4" s="121"/>
      <c r="I4" s="121"/>
      <c r="J4" s="121"/>
      <c r="K4" s="28"/>
      <c r="L4" s="28"/>
      <c r="M4" s="28"/>
      <c r="N4" s="28" t="s">
        <v>86</v>
      </c>
      <c r="O4" s="28" t="s">
        <v>85</v>
      </c>
      <c r="P4" s="28" t="s">
        <v>84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49"/>
      <c r="AB4" s="28"/>
      <c r="AC4" s="28"/>
      <c r="AD4" s="28"/>
    </row>
    <row r="5" spans="2:34" s="27" customFormat="1" ht="59.25" customHeight="1" thickBot="1">
      <c r="B5" s="117" t="s">
        <v>63</v>
      </c>
      <c r="C5" s="117" t="s">
        <v>25</v>
      </c>
      <c r="D5" s="118" t="s">
        <v>26</v>
      </c>
      <c r="E5" s="119" t="s">
        <v>27</v>
      </c>
      <c r="F5" s="117" t="s">
        <v>28</v>
      </c>
      <c r="G5" s="116" t="s">
        <v>29</v>
      </c>
      <c r="H5" s="62" t="s">
        <v>37</v>
      </c>
      <c r="I5" s="63" t="s">
        <v>6</v>
      </c>
      <c r="J5" s="63" t="s">
        <v>15</v>
      </c>
      <c r="K5" s="61" t="s">
        <v>36</v>
      </c>
      <c r="L5" s="115" t="s">
        <v>66</v>
      </c>
      <c r="M5" s="115" t="s">
        <v>67</v>
      </c>
      <c r="N5" s="115" t="s">
        <v>71</v>
      </c>
      <c r="O5" s="115" t="s">
        <v>72</v>
      </c>
      <c r="P5" s="115" t="s">
        <v>76</v>
      </c>
      <c r="Q5" s="115" t="s">
        <v>158</v>
      </c>
      <c r="R5" s="115" t="s">
        <v>159</v>
      </c>
      <c r="S5" s="72" t="s">
        <v>77</v>
      </c>
      <c r="T5" s="72" t="s">
        <v>78</v>
      </c>
      <c r="U5" s="72" t="s">
        <v>79</v>
      </c>
      <c r="V5" s="72" t="s">
        <v>80</v>
      </c>
      <c r="W5" s="72" t="s">
        <v>73</v>
      </c>
      <c r="X5" s="72" t="s">
        <v>74</v>
      </c>
      <c r="Y5" s="72" t="s">
        <v>75</v>
      </c>
      <c r="Z5" s="72" t="s">
        <v>41</v>
      </c>
      <c r="AA5" s="76" t="s">
        <v>42</v>
      </c>
      <c r="AB5" s="72" t="s">
        <v>170</v>
      </c>
      <c r="AC5" s="123" t="s">
        <v>172</v>
      </c>
      <c r="AD5" s="127" t="s">
        <v>171</v>
      </c>
      <c r="AE5" s="108" t="s">
        <v>166</v>
      </c>
      <c r="AF5" s="108" t="s">
        <v>169</v>
      </c>
      <c r="AG5" s="108" t="s">
        <v>167</v>
      </c>
    </row>
    <row r="6" spans="2:34" s="27" customFormat="1" ht="35.1" customHeight="1">
      <c r="B6" s="98">
        <v>1</v>
      </c>
      <c r="C6" s="93" t="s">
        <v>87</v>
      </c>
      <c r="D6" s="81" t="s">
        <v>109</v>
      </c>
      <c r="E6" s="82">
        <v>972282958305000</v>
      </c>
      <c r="F6" s="83" t="s">
        <v>133</v>
      </c>
      <c r="G6" s="80" t="s">
        <v>83</v>
      </c>
      <c r="H6" s="34" t="s">
        <v>39</v>
      </c>
      <c r="I6" s="35" t="s">
        <v>17</v>
      </c>
      <c r="J6" s="99" t="str">
        <f>IF(ISBLANK(I6),"",IF(OR(I6="TK/0",I6="TK/1",I6="K/0"),"TER A",IF(I6="K/3","TER C","TER B")))</f>
        <v>TER A</v>
      </c>
      <c r="K6" s="36">
        <f>30*121333.33</f>
        <v>3639999.9</v>
      </c>
      <c r="L6" s="36">
        <f>3640000*0.84%</f>
        <v>30575.999999999996</v>
      </c>
      <c r="M6" s="106">
        <f>(3640000+61000)*4%</f>
        <v>148040</v>
      </c>
      <c r="N6" s="36">
        <v>108000</v>
      </c>
      <c r="O6" s="36"/>
      <c r="P6" s="36"/>
      <c r="Q6" s="36"/>
      <c r="R6" s="36"/>
      <c r="S6" s="36">
        <v>61000</v>
      </c>
      <c r="T6" s="75"/>
      <c r="U6" s="75"/>
      <c r="V6" s="75"/>
      <c r="W6" s="36">
        <v>0</v>
      </c>
      <c r="X6" s="36"/>
      <c r="Y6" s="36">
        <v>280000</v>
      </c>
      <c r="Z6" s="77">
        <f>ROUNDDOWN(SUM(K6:Y6),0)</f>
        <v>4267615</v>
      </c>
      <c r="AA6" s="78">
        <f t="shared" ref="AA6:AA29" si="0">IF(J6="TER A",VLOOKUP(Z6,Ter_A,4,TRUE),IF(J6="TER B",VLOOKUP(Z6,Ter_B,4,TRUE),VLOOKUP(Z6,Ter_C,4,TRUE)))</f>
        <v>0</v>
      </c>
      <c r="AB6" s="79">
        <f t="shared" ref="AB6:AB29" si="1">ROUNDDOWN(IF(E6=0,Z6*AA6*120%,Z6*AA6),0)</f>
        <v>0</v>
      </c>
      <c r="AC6" s="124">
        <v>0</v>
      </c>
      <c r="AD6" s="128">
        <f>AB6-AC6</f>
        <v>0</v>
      </c>
      <c r="AE6" s="91">
        <v>3809000</v>
      </c>
      <c r="AF6" s="71">
        <f t="shared" ref="AF6:AF29" si="2">L6+M6</f>
        <v>178616</v>
      </c>
      <c r="AG6" s="71">
        <f>AE6+AF6</f>
        <v>3987616</v>
      </c>
      <c r="AH6" s="110">
        <f t="shared" ref="AH6:AH15" si="3">Z6-AG6</f>
        <v>279999</v>
      </c>
    </row>
    <row r="7" spans="2:34" s="27" customFormat="1" ht="35.1" customHeight="1">
      <c r="B7" s="100">
        <v>2</v>
      </c>
      <c r="C7" s="94" t="s">
        <v>88</v>
      </c>
      <c r="D7" s="84" t="s">
        <v>110</v>
      </c>
      <c r="E7" s="85">
        <v>972282982305000</v>
      </c>
      <c r="F7" s="86" t="s">
        <v>134</v>
      </c>
      <c r="G7" s="80" t="s">
        <v>83</v>
      </c>
      <c r="H7" s="73" t="s">
        <v>38</v>
      </c>
      <c r="I7" s="74" t="s">
        <v>7</v>
      </c>
      <c r="J7" s="101" t="str">
        <f t="shared" ref="J7:J29" si="4">IF(ISBLANK(I7),"",IF(OR(I7="TK/0",I7="TK/1",I7="K/0"),"TER A",IF(I7="K/3","TER C","TER B")))</f>
        <v>TER A</v>
      </c>
      <c r="K7" s="40">
        <f>30*121333.33</f>
        <v>3639999.9</v>
      </c>
      <c r="L7" s="40">
        <f t="shared" ref="L7:L21" si="5">3640000*0.84%</f>
        <v>30575.999999999996</v>
      </c>
      <c r="M7" s="107">
        <f>(3640000+61000)*4%</f>
        <v>148040</v>
      </c>
      <c r="N7" s="75">
        <v>67500</v>
      </c>
      <c r="O7" s="75"/>
      <c r="P7" s="75">
        <v>1693757.03</v>
      </c>
      <c r="Q7" s="75"/>
      <c r="R7" s="75"/>
      <c r="S7" s="75">
        <v>61000</v>
      </c>
      <c r="T7" s="75"/>
      <c r="U7" s="75"/>
      <c r="V7" s="75"/>
      <c r="W7" s="75">
        <v>0</v>
      </c>
      <c r="X7" s="75"/>
      <c r="Y7" s="75">
        <v>600000</v>
      </c>
      <c r="Z7" s="51">
        <f>ROUNDDOWN(SUM(K7:Y7),0)</f>
        <v>6240872</v>
      </c>
      <c r="AA7" s="52">
        <f t="shared" si="0"/>
        <v>7.4999999999999997E-3</v>
      </c>
      <c r="AB7" s="79">
        <f t="shared" si="1"/>
        <v>46806</v>
      </c>
      <c r="AC7" s="125">
        <v>14102</v>
      </c>
      <c r="AD7" s="129">
        <f t="shared" ref="AD7:AD29" si="6">AB7-AC7</f>
        <v>32704</v>
      </c>
      <c r="AE7" s="91">
        <v>5462257.0299999993</v>
      </c>
      <c r="AF7" s="71">
        <f t="shared" si="2"/>
        <v>178616</v>
      </c>
      <c r="AG7" s="71">
        <f t="shared" ref="AG7:AG29" si="7">AE7+AF7</f>
        <v>5640873.0299999993</v>
      </c>
      <c r="AH7" s="110">
        <f t="shared" si="3"/>
        <v>599998.97000000067</v>
      </c>
    </row>
    <row r="8" spans="2:34" s="27" customFormat="1" ht="35.1" customHeight="1">
      <c r="B8" s="100">
        <v>3</v>
      </c>
      <c r="C8" s="94" t="s">
        <v>89</v>
      </c>
      <c r="D8" s="84" t="s">
        <v>111</v>
      </c>
      <c r="E8" s="85">
        <v>972283055305000</v>
      </c>
      <c r="F8" s="86" t="s">
        <v>135</v>
      </c>
      <c r="G8" s="80" t="s">
        <v>83</v>
      </c>
      <c r="H8" s="73" t="s">
        <v>39</v>
      </c>
      <c r="I8" s="74" t="s">
        <v>9</v>
      </c>
      <c r="J8" s="101" t="str">
        <f t="shared" si="4"/>
        <v>TER B</v>
      </c>
      <c r="K8" s="40">
        <f t="shared" ref="K8:K15" si="8">30*121333.33</f>
        <v>3639999.9</v>
      </c>
      <c r="L8" s="40">
        <f t="shared" si="5"/>
        <v>30575.999999999996</v>
      </c>
      <c r="M8" s="105">
        <f>(3640000+43500)*4%</f>
        <v>147340</v>
      </c>
      <c r="N8" s="75">
        <v>135000</v>
      </c>
      <c r="O8" s="75"/>
      <c r="P8" s="75">
        <v>883699.32</v>
      </c>
      <c r="Q8" s="75"/>
      <c r="R8" s="75"/>
      <c r="S8" s="75">
        <v>43500</v>
      </c>
      <c r="T8" s="75"/>
      <c r="U8" s="75"/>
      <c r="V8" s="75"/>
      <c r="W8" s="75">
        <v>0</v>
      </c>
      <c r="X8" s="75"/>
      <c r="Y8" s="75">
        <v>490000</v>
      </c>
      <c r="Z8" s="51">
        <f t="shared" ref="Z8:Z29" si="9">ROUNDDOWN(SUM(K8:Y8),0)</f>
        <v>5370115</v>
      </c>
      <c r="AA8" s="52">
        <f t="shared" si="0"/>
        <v>0</v>
      </c>
      <c r="AB8" s="79">
        <f t="shared" si="1"/>
        <v>0</v>
      </c>
      <c r="AC8" s="125">
        <v>0</v>
      </c>
      <c r="AD8" s="129">
        <f t="shared" si="6"/>
        <v>0</v>
      </c>
      <c r="AE8" s="91">
        <v>4702199.32</v>
      </c>
      <c r="AF8" s="71">
        <f t="shared" si="2"/>
        <v>177916</v>
      </c>
      <c r="AG8" s="71">
        <f t="shared" si="7"/>
        <v>4880115.32</v>
      </c>
      <c r="AH8" s="110">
        <f t="shared" si="3"/>
        <v>489999.6799999997</v>
      </c>
    </row>
    <row r="9" spans="2:34" s="27" customFormat="1" ht="35.1" customHeight="1">
      <c r="B9" s="100">
        <v>4</v>
      </c>
      <c r="C9" s="94" t="s">
        <v>90</v>
      </c>
      <c r="D9" s="84" t="s">
        <v>112</v>
      </c>
      <c r="E9" s="85">
        <v>972282974305000</v>
      </c>
      <c r="F9" s="86" t="s">
        <v>70</v>
      </c>
      <c r="G9" s="80" t="s">
        <v>83</v>
      </c>
      <c r="H9" s="73" t="s">
        <v>39</v>
      </c>
      <c r="I9" s="74" t="s">
        <v>9</v>
      </c>
      <c r="J9" s="101" t="str">
        <f t="shared" si="4"/>
        <v>TER B</v>
      </c>
      <c r="K9" s="40">
        <f t="shared" si="8"/>
        <v>3639999.9</v>
      </c>
      <c r="L9" s="40">
        <f t="shared" si="5"/>
        <v>30575.999999999996</v>
      </c>
      <c r="M9" s="105">
        <f>(3640000+43500)*4%</f>
        <v>147340</v>
      </c>
      <c r="N9" s="75">
        <v>135000</v>
      </c>
      <c r="O9" s="75"/>
      <c r="P9" s="75">
        <v>147283.21999999997</v>
      </c>
      <c r="Q9" s="75">
        <v>480000</v>
      </c>
      <c r="R9" s="75"/>
      <c r="S9" s="75">
        <v>43500</v>
      </c>
      <c r="T9" s="75"/>
      <c r="U9" s="75"/>
      <c r="V9" s="75"/>
      <c r="W9" s="75">
        <v>0</v>
      </c>
      <c r="X9" s="75"/>
      <c r="Y9" s="75">
        <v>600000</v>
      </c>
      <c r="Z9" s="51">
        <f>ROUNDDOWN(SUM(K9:Y9),0)</f>
        <v>5223699</v>
      </c>
      <c r="AA9" s="52">
        <f t="shared" si="0"/>
        <v>0</v>
      </c>
      <c r="AB9" s="79">
        <f t="shared" si="1"/>
        <v>0</v>
      </c>
      <c r="AC9" s="125">
        <v>0</v>
      </c>
      <c r="AD9" s="129">
        <f t="shared" si="6"/>
        <v>0</v>
      </c>
      <c r="AE9" s="91">
        <v>4445783.22</v>
      </c>
      <c r="AF9" s="71">
        <f t="shared" si="2"/>
        <v>177916</v>
      </c>
      <c r="AG9" s="71">
        <f t="shared" si="7"/>
        <v>4623699.22</v>
      </c>
      <c r="AH9" s="110">
        <f t="shared" si="3"/>
        <v>599999.78000000026</v>
      </c>
    </row>
    <row r="10" spans="2:34" s="27" customFormat="1" ht="35.1" customHeight="1">
      <c r="B10" s="100">
        <v>5</v>
      </c>
      <c r="C10" s="95" t="s">
        <v>91</v>
      </c>
      <c r="D10" s="84" t="s">
        <v>113</v>
      </c>
      <c r="E10" s="85">
        <v>972280226305000</v>
      </c>
      <c r="F10" s="86" t="s">
        <v>136</v>
      </c>
      <c r="G10" s="80" t="s">
        <v>81</v>
      </c>
      <c r="H10" s="73" t="s">
        <v>38</v>
      </c>
      <c r="I10" s="74" t="s">
        <v>7</v>
      </c>
      <c r="J10" s="101" t="str">
        <f t="shared" si="4"/>
        <v>TER A</v>
      </c>
      <c r="K10" s="40">
        <f t="shared" si="8"/>
        <v>3639999.9</v>
      </c>
      <c r="L10" s="40">
        <f t="shared" si="5"/>
        <v>30575.999999999996</v>
      </c>
      <c r="M10" s="105">
        <f>(3640000+43500)*4%</f>
        <v>147340</v>
      </c>
      <c r="N10" s="75">
        <v>67500</v>
      </c>
      <c r="O10" s="75">
        <v>36000</v>
      </c>
      <c r="P10" s="75">
        <v>1125664.6100000001</v>
      </c>
      <c r="Q10" s="75"/>
      <c r="R10" s="75"/>
      <c r="S10" s="75">
        <v>43500</v>
      </c>
      <c r="T10" s="75"/>
      <c r="U10" s="75"/>
      <c r="V10" s="75"/>
      <c r="W10" s="75">
        <v>0</v>
      </c>
      <c r="X10" s="75"/>
      <c r="Y10" s="75">
        <v>540000</v>
      </c>
      <c r="Z10" s="51">
        <f t="shared" si="9"/>
        <v>5630580</v>
      </c>
      <c r="AA10" s="52">
        <f t="shared" si="0"/>
        <v>2.5000000000000001E-3</v>
      </c>
      <c r="AB10" s="79">
        <f t="shared" si="1"/>
        <v>14076</v>
      </c>
      <c r="AC10" s="125">
        <v>0</v>
      </c>
      <c r="AD10" s="129">
        <f t="shared" si="6"/>
        <v>14076</v>
      </c>
      <c r="AE10" s="91">
        <v>4912664.6100000003</v>
      </c>
      <c r="AF10" s="71">
        <f t="shared" si="2"/>
        <v>177916</v>
      </c>
      <c r="AG10" s="71">
        <f t="shared" si="7"/>
        <v>5090580.6100000003</v>
      </c>
      <c r="AH10" s="110">
        <f t="shared" si="3"/>
        <v>539999.38999999966</v>
      </c>
    </row>
    <row r="11" spans="2:34" s="27" customFormat="1" ht="35.1" customHeight="1">
      <c r="B11" s="100">
        <v>6</v>
      </c>
      <c r="C11" s="94" t="s">
        <v>92</v>
      </c>
      <c r="D11" s="84" t="s">
        <v>114</v>
      </c>
      <c r="E11" s="85">
        <v>972283014305000</v>
      </c>
      <c r="F11" s="86" t="s">
        <v>137</v>
      </c>
      <c r="G11" s="80" t="s">
        <v>83</v>
      </c>
      <c r="H11" s="73" t="s">
        <v>39</v>
      </c>
      <c r="I11" s="74" t="s">
        <v>11</v>
      </c>
      <c r="J11" s="101" t="str">
        <f t="shared" si="4"/>
        <v>TER B</v>
      </c>
      <c r="K11" s="40">
        <f t="shared" si="8"/>
        <v>3639999.9</v>
      </c>
      <c r="L11" s="40">
        <f t="shared" si="5"/>
        <v>30575.999999999996</v>
      </c>
      <c r="M11" s="105">
        <f>(3640000+47000)*4%</f>
        <v>147480</v>
      </c>
      <c r="N11" s="75">
        <v>156600</v>
      </c>
      <c r="O11" s="75"/>
      <c r="P11" s="75"/>
      <c r="Q11" s="75"/>
      <c r="R11" s="75"/>
      <c r="S11" s="75">
        <v>47000</v>
      </c>
      <c r="T11" s="75"/>
      <c r="U11" s="75"/>
      <c r="V11" s="75"/>
      <c r="W11" s="75">
        <v>-121333.33</v>
      </c>
      <c r="X11" s="75"/>
      <c r="Y11" s="75">
        <v>490000</v>
      </c>
      <c r="Z11" s="51">
        <f t="shared" si="9"/>
        <v>4390322</v>
      </c>
      <c r="AA11" s="52">
        <f t="shared" si="0"/>
        <v>0</v>
      </c>
      <c r="AB11" s="79">
        <f t="shared" si="1"/>
        <v>0</v>
      </c>
      <c r="AC11" s="125">
        <v>0</v>
      </c>
      <c r="AD11" s="129">
        <f t="shared" si="6"/>
        <v>0</v>
      </c>
      <c r="AE11" s="91">
        <v>3722266.6666666665</v>
      </c>
      <c r="AF11" s="71">
        <f t="shared" si="2"/>
        <v>178056</v>
      </c>
      <c r="AG11" s="71">
        <f t="shared" si="7"/>
        <v>3900322.6666666665</v>
      </c>
      <c r="AH11" s="110">
        <f t="shared" si="3"/>
        <v>489999.33333333349</v>
      </c>
    </row>
    <row r="12" spans="2:34" s="27" customFormat="1" ht="35.1" customHeight="1">
      <c r="B12" s="100">
        <v>7</v>
      </c>
      <c r="C12" s="94" t="s">
        <v>93</v>
      </c>
      <c r="D12" s="84" t="s">
        <v>115</v>
      </c>
      <c r="E12" s="85">
        <v>972283048305000</v>
      </c>
      <c r="F12" s="86" t="s">
        <v>138</v>
      </c>
      <c r="G12" s="80" t="s">
        <v>83</v>
      </c>
      <c r="H12" s="73" t="s">
        <v>38</v>
      </c>
      <c r="I12" s="74" t="s">
        <v>7</v>
      </c>
      <c r="J12" s="101" t="str">
        <f t="shared" si="4"/>
        <v>TER A</v>
      </c>
      <c r="K12" s="40">
        <f t="shared" si="8"/>
        <v>3639999.9</v>
      </c>
      <c r="L12" s="40">
        <f t="shared" si="5"/>
        <v>30575.999999999996</v>
      </c>
      <c r="M12" s="105">
        <f>(3640000+36500)*4%</f>
        <v>147060</v>
      </c>
      <c r="N12" s="75">
        <v>67500</v>
      </c>
      <c r="O12" s="75"/>
      <c r="P12" s="75">
        <v>2693178.92</v>
      </c>
      <c r="Q12" s="75"/>
      <c r="R12" s="75"/>
      <c r="S12" s="75">
        <v>36500</v>
      </c>
      <c r="T12" s="75"/>
      <c r="U12" s="75"/>
      <c r="V12" s="75"/>
      <c r="W12" s="75">
        <v>0</v>
      </c>
      <c r="X12" s="75"/>
      <c r="Y12" s="75">
        <v>600000</v>
      </c>
      <c r="Z12" s="51">
        <f t="shared" si="9"/>
        <v>7214814</v>
      </c>
      <c r="AA12" s="52">
        <f t="shared" si="0"/>
        <v>1.2500000000000001E-2</v>
      </c>
      <c r="AB12" s="79">
        <f t="shared" si="1"/>
        <v>90185</v>
      </c>
      <c r="AC12" s="125">
        <v>66148</v>
      </c>
      <c r="AD12" s="129">
        <f t="shared" si="6"/>
        <v>24037</v>
      </c>
      <c r="AE12" s="91">
        <v>6437178.9199999999</v>
      </c>
      <c r="AF12" s="71">
        <f t="shared" si="2"/>
        <v>177636</v>
      </c>
      <c r="AG12" s="114">
        <f t="shared" si="7"/>
        <v>6614814.9199999999</v>
      </c>
      <c r="AH12" s="110">
        <f t="shared" si="3"/>
        <v>599999.08000000007</v>
      </c>
    </row>
    <row r="13" spans="2:34" s="27" customFormat="1" ht="35.1" customHeight="1">
      <c r="B13" s="100">
        <v>8</v>
      </c>
      <c r="C13" s="94" t="s">
        <v>94</v>
      </c>
      <c r="D13" s="84" t="s">
        <v>116</v>
      </c>
      <c r="E13" s="85">
        <v>972280150305000</v>
      </c>
      <c r="F13" s="86" t="s">
        <v>139</v>
      </c>
      <c r="G13" s="80" t="s">
        <v>83</v>
      </c>
      <c r="H13" s="73" t="s">
        <v>39</v>
      </c>
      <c r="I13" s="74" t="s">
        <v>11</v>
      </c>
      <c r="J13" s="101" t="str">
        <f t="shared" si="4"/>
        <v>TER B</v>
      </c>
      <c r="K13" s="40">
        <f t="shared" si="8"/>
        <v>3639999.9</v>
      </c>
      <c r="L13" s="40">
        <f t="shared" si="5"/>
        <v>30575.999999999996</v>
      </c>
      <c r="M13" s="105">
        <f>(3640000+43500)*4%</f>
        <v>147340</v>
      </c>
      <c r="N13" s="75">
        <v>162000</v>
      </c>
      <c r="O13" s="75"/>
      <c r="P13" s="75">
        <v>631213.80000000005</v>
      </c>
      <c r="Q13" s="75"/>
      <c r="R13" s="75"/>
      <c r="S13" s="75">
        <v>43500</v>
      </c>
      <c r="T13" s="75"/>
      <c r="U13" s="75"/>
      <c r="V13" s="75"/>
      <c r="W13" s="75">
        <v>0</v>
      </c>
      <c r="X13" s="75"/>
      <c r="Y13" s="75">
        <v>600000</v>
      </c>
      <c r="Z13" s="51">
        <f t="shared" si="9"/>
        <v>5254629</v>
      </c>
      <c r="AA13" s="52">
        <f t="shared" si="0"/>
        <v>0</v>
      </c>
      <c r="AB13" s="79">
        <f t="shared" si="1"/>
        <v>0</v>
      </c>
      <c r="AC13" s="125">
        <v>0</v>
      </c>
      <c r="AD13" s="129">
        <f t="shared" si="6"/>
        <v>0</v>
      </c>
      <c r="AE13" s="91">
        <v>4476713.8</v>
      </c>
      <c r="AF13" s="71">
        <f t="shared" si="2"/>
        <v>177916</v>
      </c>
      <c r="AG13" s="71">
        <f t="shared" si="7"/>
        <v>4654629.8</v>
      </c>
      <c r="AH13" s="110">
        <f t="shared" si="3"/>
        <v>599999.20000000019</v>
      </c>
    </row>
    <row r="14" spans="2:34" s="27" customFormat="1" ht="35.1" customHeight="1">
      <c r="B14" s="100">
        <v>9</v>
      </c>
      <c r="C14" s="94" t="s">
        <v>97</v>
      </c>
      <c r="D14" s="84" t="s">
        <v>119</v>
      </c>
      <c r="E14" s="85">
        <v>972285720305000</v>
      </c>
      <c r="F14" s="86" t="s">
        <v>142</v>
      </c>
      <c r="G14" s="80" t="s">
        <v>83</v>
      </c>
      <c r="H14" s="73" t="s">
        <v>39</v>
      </c>
      <c r="I14" s="74" t="s">
        <v>17</v>
      </c>
      <c r="J14" s="101" t="str">
        <f t="shared" si="4"/>
        <v>TER A</v>
      </c>
      <c r="K14" s="40">
        <f t="shared" si="8"/>
        <v>3639999.9</v>
      </c>
      <c r="L14" s="40">
        <f t="shared" si="5"/>
        <v>30575.999999999996</v>
      </c>
      <c r="M14" s="105">
        <f>(3640000+61000)*4%</f>
        <v>148040</v>
      </c>
      <c r="N14" s="75">
        <v>108000</v>
      </c>
      <c r="O14" s="75"/>
      <c r="P14" s="75"/>
      <c r="Q14" s="75"/>
      <c r="R14" s="75"/>
      <c r="S14" s="75">
        <v>61000</v>
      </c>
      <c r="T14" s="75"/>
      <c r="U14" s="75"/>
      <c r="V14" s="75"/>
      <c r="W14" s="75">
        <v>0</v>
      </c>
      <c r="X14" s="75"/>
      <c r="Y14" s="75">
        <v>490000</v>
      </c>
      <c r="Z14" s="51">
        <f t="shared" si="9"/>
        <v>4477615</v>
      </c>
      <c r="AA14" s="52">
        <f t="shared" si="0"/>
        <v>0</v>
      </c>
      <c r="AB14" s="79">
        <f t="shared" si="1"/>
        <v>0</v>
      </c>
      <c r="AC14" s="125">
        <v>0</v>
      </c>
      <c r="AD14" s="129">
        <f t="shared" si="6"/>
        <v>0</v>
      </c>
      <c r="AE14" s="91">
        <v>3809000</v>
      </c>
      <c r="AF14" s="71">
        <f t="shared" si="2"/>
        <v>178616</v>
      </c>
      <c r="AG14" s="71">
        <f t="shared" si="7"/>
        <v>3987616</v>
      </c>
      <c r="AH14" s="110">
        <f t="shared" si="3"/>
        <v>489999</v>
      </c>
    </row>
    <row r="15" spans="2:34" s="27" customFormat="1" ht="35.1" customHeight="1">
      <c r="B15" s="100">
        <v>10</v>
      </c>
      <c r="C15" s="94" t="s">
        <v>98</v>
      </c>
      <c r="D15" s="84" t="s">
        <v>120</v>
      </c>
      <c r="E15" s="85">
        <v>743653768305000</v>
      </c>
      <c r="F15" s="86" t="s">
        <v>143</v>
      </c>
      <c r="G15" s="80" t="s">
        <v>83</v>
      </c>
      <c r="H15" s="73" t="s">
        <v>39</v>
      </c>
      <c r="I15" s="74" t="s">
        <v>9</v>
      </c>
      <c r="J15" s="101" t="str">
        <f t="shared" si="4"/>
        <v>TER B</v>
      </c>
      <c r="K15" s="40">
        <f t="shared" si="8"/>
        <v>3639999.9</v>
      </c>
      <c r="L15" s="40">
        <f t="shared" si="5"/>
        <v>30575.999999999996</v>
      </c>
      <c r="M15" s="105">
        <f>(3640000+30000)*4%</f>
        <v>146800</v>
      </c>
      <c r="N15" s="75">
        <v>130500</v>
      </c>
      <c r="O15" s="75"/>
      <c r="P15" s="75"/>
      <c r="Q15" s="75"/>
      <c r="R15" s="75"/>
      <c r="S15" s="75">
        <v>30000</v>
      </c>
      <c r="T15" s="75"/>
      <c r="U15" s="75"/>
      <c r="V15" s="75"/>
      <c r="W15" s="75">
        <v>-121333.33</v>
      </c>
      <c r="X15" s="75"/>
      <c r="Y15" s="75">
        <v>490000</v>
      </c>
      <c r="Z15" s="51">
        <f t="shared" si="9"/>
        <v>4346542</v>
      </c>
      <c r="AA15" s="52">
        <f t="shared" si="0"/>
        <v>0</v>
      </c>
      <c r="AB15" s="79">
        <f t="shared" si="1"/>
        <v>0</v>
      </c>
      <c r="AC15" s="125">
        <v>0</v>
      </c>
      <c r="AD15" s="129">
        <f t="shared" si="6"/>
        <v>0</v>
      </c>
      <c r="AE15" s="91">
        <v>3679166.6666666665</v>
      </c>
      <c r="AF15" s="71">
        <f t="shared" si="2"/>
        <v>177376</v>
      </c>
      <c r="AG15" s="71">
        <f t="shared" si="7"/>
        <v>3856542.6666666665</v>
      </c>
      <c r="AH15" s="110">
        <f t="shared" si="3"/>
        <v>489999.33333333349</v>
      </c>
    </row>
    <row r="16" spans="2:34" s="27" customFormat="1" ht="35.1" customHeight="1">
      <c r="B16" s="100"/>
      <c r="C16" s="94" t="s">
        <v>99</v>
      </c>
      <c r="D16" s="84" t="s">
        <v>121</v>
      </c>
      <c r="E16" s="85">
        <v>972283287305000</v>
      </c>
      <c r="F16" s="86" t="s">
        <v>144</v>
      </c>
      <c r="G16" s="80" t="s">
        <v>83</v>
      </c>
      <c r="H16" s="73" t="s">
        <v>39</v>
      </c>
      <c r="I16" s="74" t="s">
        <v>9</v>
      </c>
      <c r="J16" s="101" t="str">
        <f t="shared" si="4"/>
        <v>TER B</v>
      </c>
      <c r="K16" s="40"/>
      <c r="L16" s="40"/>
      <c r="M16" s="105">
        <v>0</v>
      </c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51">
        <f t="shared" si="9"/>
        <v>0</v>
      </c>
      <c r="AA16" s="52">
        <f t="shared" si="0"/>
        <v>0</v>
      </c>
      <c r="AB16" s="79">
        <f t="shared" si="1"/>
        <v>0</v>
      </c>
      <c r="AC16" s="125">
        <v>0</v>
      </c>
      <c r="AD16" s="129">
        <f t="shared" si="6"/>
        <v>0</v>
      </c>
      <c r="AE16" s="91"/>
      <c r="AF16" s="71">
        <f t="shared" si="2"/>
        <v>0</v>
      </c>
      <c r="AG16" s="71">
        <f t="shared" si="7"/>
        <v>0</v>
      </c>
    </row>
    <row r="17" spans="2:34" s="27" customFormat="1" ht="35.1" customHeight="1">
      <c r="B17" s="100">
        <v>11</v>
      </c>
      <c r="C17" s="94" t="s">
        <v>100</v>
      </c>
      <c r="D17" s="84" t="s">
        <v>122</v>
      </c>
      <c r="E17" s="87">
        <v>972282966305000</v>
      </c>
      <c r="F17" s="86" t="s">
        <v>145</v>
      </c>
      <c r="G17" s="80" t="s">
        <v>83</v>
      </c>
      <c r="H17" s="73" t="s">
        <v>39</v>
      </c>
      <c r="I17" s="74" t="s">
        <v>9</v>
      </c>
      <c r="J17" s="101" t="str">
        <f t="shared" si="4"/>
        <v>TER B</v>
      </c>
      <c r="K17" s="40">
        <f>30*121333.33</f>
        <v>3639999.9</v>
      </c>
      <c r="L17" s="40">
        <f t="shared" si="5"/>
        <v>30575.999999999996</v>
      </c>
      <c r="M17" s="105">
        <f>(3640000+61000)*4%</f>
        <v>148040</v>
      </c>
      <c r="N17" s="75">
        <v>135000</v>
      </c>
      <c r="O17" s="75"/>
      <c r="P17" s="75"/>
      <c r="Q17" s="75">
        <v>140000</v>
      </c>
      <c r="R17" s="75"/>
      <c r="S17" s="75">
        <v>61000</v>
      </c>
      <c r="T17" s="75"/>
      <c r="U17" s="75"/>
      <c r="V17" s="75"/>
      <c r="W17" s="75">
        <v>0</v>
      </c>
      <c r="X17" s="75"/>
      <c r="Y17" s="75">
        <v>490000</v>
      </c>
      <c r="Z17" s="51">
        <f>ROUNDDOWN(SUM(K17:Y17),0)</f>
        <v>4644615</v>
      </c>
      <c r="AA17" s="52">
        <f t="shared" si="0"/>
        <v>0</v>
      </c>
      <c r="AB17" s="79">
        <f t="shared" si="1"/>
        <v>0</v>
      </c>
      <c r="AC17" s="125">
        <v>0</v>
      </c>
      <c r="AD17" s="129">
        <f t="shared" si="6"/>
        <v>0</v>
      </c>
      <c r="AE17" s="91">
        <v>3976000</v>
      </c>
      <c r="AF17" s="71">
        <f t="shared" si="2"/>
        <v>178616</v>
      </c>
      <c r="AG17" s="71">
        <f t="shared" si="7"/>
        <v>4154616</v>
      </c>
      <c r="AH17" s="71">
        <f t="shared" ref="AH17:AH29" si="10">Z17-AG17</f>
        <v>489999</v>
      </c>
    </row>
    <row r="18" spans="2:34" s="27" customFormat="1" ht="35.1" customHeight="1">
      <c r="B18" s="100">
        <v>12</v>
      </c>
      <c r="C18" s="94" t="s">
        <v>95</v>
      </c>
      <c r="D18" s="88" t="s">
        <v>117</v>
      </c>
      <c r="E18" s="85">
        <v>972280218305000</v>
      </c>
      <c r="F18" s="86" t="s">
        <v>140</v>
      </c>
      <c r="G18" s="80" t="s">
        <v>83</v>
      </c>
      <c r="H18" s="73" t="s">
        <v>39</v>
      </c>
      <c r="I18" s="74" t="s">
        <v>17</v>
      </c>
      <c r="J18" s="101" t="str">
        <f t="shared" si="4"/>
        <v>TER A</v>
      </c>
      <c r="K18" s="40">
        <f>30*121333.33</f>
        <v>3639999.9</v>
      </c>
      <c r="L18" s="40">
        <f t="shared" si="5"/>
        <v>30575.999999999996</v>
      </c>
      <c r="M18" s="105">
        <f>(3640000+47000)*4%</f>
        <v>147480</v>
      </c>
      <c r="N18" s="75">
        <v>108000</v>
      </c>
      <c r="O18" s="75"/>
      <c r="P18" s="75">
        <v>31560.69</v>
      </c>
      <c r="Q18" s="75"/>
      <c r="R18" s="75"/>
      <c r="S18" s="75">
        <v>47000</v>
      </c>
      <c r="T18" s="75"/>
      <c r="U18" s="75"/>
      <c r="V18" s="75"/>
      <c r="W18" s="75">
        <v>0</v>
      </c>
      <c r="X18" s="75"/>
      <c r="Y18" s="75">
        <v>490000</v>
      </c>
      <c r="Z18" s="51">
        <f t="shared" si="9"/>
        <v>4494616</v>
      </c>
      <c r="AA18" s="52">
        <f t="shared" si="0"/>
        <v>0</v>
      </c>
      <c r="AB18" s="79">
        <f t="shared" si="1"/>
        <v>0</v>
      </c>
      <c r="AC18" s="125">
        <v>0</v>
      </c>
      <c r="AD18" s="129">
        <f t="shared" si="6"/>
        <v>0</v>
      </c>
      <c r="AE18" s="91">
        <v>3826560.69</v>
      </c>
      <c r="AF18" s="71">
        <f t="shared" si="2"/>
        <v>178056</v>
      </c>
      <c r="AG18" s="71">
        <f t="shared" si="7"/>
        <v>4004616.69</v>
      </c>
      <c r="AH18" s="71">
        <f t="shared" si="10"/>
        <v>489999.31000000006</v>
      </c>
    </row>
    <row r="19" spans="2:34" s="27" customFormat="1" ht="35.1" customHeight="1">
      <c r="B19" s="100">
        <v>13</v>
      </c>
      <c r="C19" s="94" t="s">
        <v>101</v>
      </c>
      <c r="D19" s="84" t="s">
        <v>123</v>
      </c>
      <c r="E19" s="87">
        <v>972285506305000</v>
      </c>
      <c r="F19" s="86" t="s">
        <v>146</v>
      </c>
      <c r="G19" s="80" t="s">
        <v>83</v>
      </c>
      <c r="H19" s="73" t="s">
        <v>39</v>
      </c>
      <c r="I19" s="74" t="s">
        <v>9</v>
      </c>
      <c r="J19" s="101" t="str">
        <f t="shared" si="4"/>
        <v>TER B</v>
      </c>
      <c r="K19" s="40">
        <f t="shared" ref="K19:K21" si="11">30*121333.33</f>
        <v>3639999.9</v>
      </c>
      <c r="L19" s="40">
        <f t="shared" si="5"/>
        <v>30575.999999999996</v>
      </c>
      <c r="M19" s="105">
        <f>(3640000+43500)*4%</f>
        <v>147340</v>
      </c>
      <c r="N19" s="75">
        <v>130500</v>
      </c>
      <c r="O19" s="75"/>
      <c r="P19" s="75">
        <v>31560.69</v>
      </c>
      <c r="Q19" s="75"/>
      <c r="R19" s="75"/>
      <c r="S19" s="75">
        <v>43500</v>
      </c>
      <c r="T19" s="75"/>
      <c r="U19" s="75"/>
      <c r="V19" s="75"/>
      <c r="W19" s="75">
        <v>-121333.33</v>
      </c>
      <c r="X19" s="75"/>
      <c r="Y19" s="75">
        <v>280000</v>
      </c>
      <c r="Z19" s="51">
        <f t="shared" si="9"/>
        <v>4182143</v>
      </c>
      <c r="AA19" s="52">
        <f t="shared" si="0"/>
        <v>0</v>
      </c>
      <c r="AB19" s="79">
        <f t="shared" si="1"/>
        <v>0</v>
      </c>
      <c r="AC19" s="125">
        <v>0</v>
      </c>
      <c r="AD19" s="129">
        <f t="shared" si="6"/>
        <v>0</v>
      </c>
      <c r="AE19" s="91">
        <v>3724227.3566666665</v>
      </c>
      <c r="AF19" s="71">
        <f t="shared" si="2"/>
        <v>177916</v>
      </c>
      <c r="AG19" s="71">
        <f t="shared" si="7"/>
        <v>3902143.3566666665</v>
      </c>
      <c r="AH19" s="71">
        <f t="shared" si="10"/>
        <v>279999.64333333354</v>
      </c>
    </row>
    <row r="20" spans="2:34" s="27" customFormat="1" ht="35.1" customHeight="1">
      <c r="B20" s="100">
        <v>14</v>
      </c>
      <c r="C20" s="94" t="s">
        <v>103</v>
      </c>
      <c r="D20" s="84" t="s">
        <v>125</v>
      </c>
      <c r="E20" s="87">
        <v>972374425305000</v>
      </c>
      <c r="F20" s="86" t="s">
        <v>148</v>
      </c>
      <c r="G20" s="80" t="s">
        <v>156</v>
      </c>
      <c r="H20" s="73" t="s">
        <v>39</v>
      </c>
      <c r="I20" s="74" t="s">
        <v>11</v>
      </c>
      <c r="J20" s="101" t="str">
        <f t="shared" si="4"/>
        <v>TER B</v>
      </c>
      <c r="K20" s="40">
        <f t="shared" si="11"/>
        <v>3639999.9</v>
      </c>
      <c r="L20" s="40">
        <f t="shared" si="5"/>
        <v>30575.999999999996</v>
      </c>
      <c r="M20" s="105">
        <f>(3640000+50500)*4%</f>
        <v>147620</v>
      </c>
      <c r="N20" s="75">
        <v>162000</v>
      </c>
      <c r="O20" s="75"/>
      <c r="P20" s="75">
        <v>2430173.13</v>
      </c>
      <c r="Q20" s="75"/>
      <c r="R20" s="75"/>
      <c r="S20" s="75">
        <v>50500</v>
      </c>
      <c r="T20" s="75"/>
      <c r="U20" s="75"/>
      <c r="V20" s="75"/>
      <c r="W20" s="75">
        <v>0</v>
      </c>
      <c r="X20" s="75"/>
      <c r="Y20" s="75">
        <v>600000</v>
      </c>
      <c r="Z20" s="51">
        <f t="shared" si="9"/>
        <v>7060869</v>
      </c>
      <c r="AA20" s="52">
        <f t="shared" si="0"/>
        <v>7.4999999999999997E-3</v>
      </c>
      <c r="AB20" s="79">
        <f t="shared" si="1"/>
        <v>52956</v>
      </c>
      <c r="AC20" s="125">
        <v>16152</v>
      </c>
      <c r="AD20" s="129">
        <f t="shared" si="6"/>
        <v>36804</v>
      </c>
      <c r="AE20" s="91">
        <v>6282673.1299999999</v>
      </c>
      <c r="AF20" s="71">
        <f t="shared" si="2"/>
        <v>178196</v>
      </c>
      <c r="AG20" s="71">
        <f t="shared" si="7"/>
        <v>6460869.1299999999</v>
      </c>
      <c r="AH20" s="71">
        <f t="shared" si="10"/>
        <v>599999.87000000011</v>
      </c>
    </row>
    <row r="21" spans="2:34" s="27" customFormat="1" ht="35.1" customHeight="1">
      <c r="B21" s="100">
        <v>15</v>
      </c>
      <c r="C21" s="94" t="s">
        <v>106</v>
      </c>
      <c r="D21" s="84" t="s">
        <v>128</v>
      </c>
      <c r="E21" s="87">
        <v>972285704305000</v>
      </c>
      <c r="F21" s="86" t="s">
        <v>150</v>
      </c>
      <c r="G21" s="80" t="s">
        <v>83</v>
      </c>
      <c r="H21" s="38" t="s">
        <v>39</v>
      </c>
      <c r="I21" s="39" t="s">
        <v>9</v>
      </c>
      <c r="J21" s="101" t="str">
        <f t="shared" si="4"/>
        <v>TER B</v>
      </c>
      <c r="K21" s="40">
        <f t="shared" si="11"/>
        <v>3639999.9</v>
      </c>
      <c r="L21" s="40">
        <f t="shared" si="5"/>
        <v>30575.999999999996</v>
      </c>
      <c r="M21" s="105">
        <f>(3640000+61000)*4%</f>
        <v>148040</v>
      </c>
      <c r="N21" s="75">
        <v>130500</v>
      </c>
      <c r="O21" s="75"/>
      <c r="P21" s="75">
        <v>189364.14</v>
      </c>
      <c r="Q21" s="75"/>
      <c r="R21" s="75"/>
      <c r="S21" s="75">
        <v>61000</v>
      </c>
      <c r="T21" s="75"/>
      <c r="U21" s="75"/>
      <c r="V21" s="75"/>
      <c r="W21" s="75">
        <v>-121333.33</v>
      </c>
      <c r="X21" s="75"/>
      <c r="Y21" s="75">
        <v>280000</v>
      </c>
      <c r="Z21" s="51">
        <f t="shared" si="9"/>
        <v>4358146</v>
      </c>
      <c r="AA21" s="52">
        <f t="shared" si="0"/>
        <v>0</v>
      </c>
      <c r="AB21" s="79">
        <f t="shared" si="1"/>
        <v>0</v>
      </c>
      <c r="AC21" s="125">
        <v>0</v>
      </c>
      <c r="AD21" s="129">
        <f t="shared" si="6"/>
        <v>0</v>
      </c>
      <c r="AE21" s="91">
        <v>3899530.8066666671</v>
      </c>
      <c r="AF21" s="71">
        <f t="shared" si="2"/>
        <v>178616</v>
      </c>
      <c r="AG21" s="71">
        <f t="shared" si="7"/>
        <v>4078146.8066666671</v>
      </c>
      <c r="AH21" s="71">
        <f t="shared" si="10"/>
        <v>279999.19333333289</v>
      </c>
    </row>
    <row r="22" spans="2:34" s="27" customFormat="1" ht="35.1" customHeight="1">
      <c r="B22" s="100">
        <v>16</v>
      </c>
      <c r="C22" s="95" t="s">
        <v>157</v>
      </c>
      <c r="D22" s="84" t="s">
        <v>129</v>
      </c>
      <c r="E22" s="92" t="s">
        <v>69</v>
      </c>
      <c r="F22" s="86" t="s">
        <v>151</v>
      </c>
      <c r="G22" s="80" t="s">
        <v>155</v>
      </c>
      <c r="H22" s="38" t="s">
        <v>39</v>
      </c>
      <c r="I22" s="39" t="s">
        <v>7</v>
      </c>
      <c r="J22" s="101" t="str">
        <f t="shared" si="4"/>
        <v>TER A</v>
      </c>
      <c r="K22" s="102">
        <f>29*123833.33</f>
        <v>3591166.57</v>
      </c>
      <c r="L22" s="103">
        <f>3715000*0.84%</f>
        <v>31205.999999999996</v>
      </c>
      <c r="M22" s="107">
        <f>(3715000+5000)*4%</f>
        <v>148800</v>
      </c>
      <c r="N22" s="75">
        <v>47250</v>
      </c>
      <c r="O22" s="75"/>
      <c r="P22" s="75">
        <v>955593.36</v>
      </c>
      <c r="Q22" s="75"/>
      <c r="R22" s="75"/>
      <c r="S22" s="113">
        <v>5000</v>
      </c>
      <c r="T22" s="75"/>
      <c r="U22" s="75"/>
      <c r="V22" s="75"/>
      <c r="W22" s="75">
        <v>-990666.64</v>
      </c>
      <c r="X22" s="75"/>
      <c r="Y22" s="75">
        <v>600000</v>
      </c>
      <c r="Z22" s="51">
        <f t="shared" si="9"/>
        <v>4388349</v>
      </c>
      <c r="AA22" s="52">
        <f t="shared" si="0"/>
        <v>0</v>
      </c>
      <c r="AB22" s="79">
        <f t="shared" si="1"/>
        <v>0</v>
      </c>
      <c r="AC22" s="125">
        <v>0</v>
      </c>
      <c r="AD22" s="129">
        <f t="shared" si="6"/>
        <v>0</v>
      </c>
      <c r="AE22" s="91">
        <v>3608343.3599999994</v>
      </c>
      <c r="AF22" s="71">
        <f t="shared" si="2"/>
        <v>180006</v>
      </c>
      <c r="AG22" s="114">
        <f t="shared" si="7"/>
        <v>3788349.3599999994</v>
      </c>
      <c r="AH22" s="71">
        <f t="shared" si="10"/>
        <v>599999.6400000006</v>
      </c>
    </row>
    <row r="23" spans="2:34" s="27" customFormat="1" ht="35.1" customHeight="1">
      <c r="B23" s="100">
        <v>17</v>
      </c>
      <c r="C23" s="96" t="s">
        <v>108</v>
      </c>
      <c r="D23" s="89" t="s">
        <v>132</v>
      </c>
      <c r="E23" s="90">
        <v>972285225305000</v>
      </c>
      <c r="F23" s="86" t="s">
        <v>154</v>
      </c>
      <c r="G23" s="80" t="s">
        <v>83</v>
      </c>
      <c r="H23" s="38" t="s">
        <v>39</v>
      </c>
      <c r="I23" s="39" t="s">
        <v>17</v>
      </c>
      <c r="J23" s="101" t="str">
        <f t="shared" si="4"/>
        <v>TER A</v>
      </c>
      <c r="K23" s="50">
        <f>30*121333.33</f>
        <v>3639999.9</v>
      </c>
      <c r="L23" s="40">
        <f>3640000*0.84%</f>
        <v>30575.999999999996</v>
      </c>
      <c r="M23" s="105">
        <f>(3640000+43500)*4%</f>
        <v>147340</v>
      </c>
      <c r="N23" s="40">
        <v>108000</v>
      </c>
      <c r="O23" s="40"/>
      <c r="P23" s="40">
        <v>336647.36</v>
      </c>
      <c r="Q23" s="40">
        <v>100000</v>
      </c>
      <c r="R23" s="40"/>
      <c r="S23" s="40">
        <v>43500</v>
      </c>
      <c r="T23" s="40"/>
      <c r="U23" s="40"/>
      <c r="V23" s="40"/>
      <c r="W23" s="40">
        <v>0</v>
      </c>
      <c r="X23" s="40"/>
      <c r="Y23" s="40">
        <v>600000</v>
      </c>
      <c r="Z23" s="51">
        <f t="shared" si="9"/>
        <v>5006063</v>
      </c>
      <c r="AA23" s="52">
        <f t="shared" si="0"/>
        <v>0</v>
      </c>
      <c r="AB23" s="79">
        <f t="shared" si="1"/>
        <v>0</v>
      </c>
      <c r="AC23" s="125">
        <v>0</v>
      </c>
      <c r="AD23" s="129">
        <f t="shared" si="6"/>
        <v>0</v>
      </c>
      <c r="AE23" s="91">
        <v>4228147.3599999994</v>
      </c>
      <c r="AF23" s="71">
        <f t="shared" si="2"/>
        <v>177916</v>
      </c>
      <c r="AG23" s="71">
        <f t="shared" si="7"/>
        <v>4406063.3599999994</v>
      </c>
      <c r="AH23" s="71">
        <f t="shared" si="10"/>
        <v>599999.6400000006</v>
      </c>
    </row>
    <row r="24" spans="2:34" s="27" customFormat="1" ht="35.1" customHeight="1">
      <c r="B24" s="100">
        <v>18</v>
      </c>
      <c r="C24" s="94" t="s">
        <v>96</v>
      </c>
      <c r="D24" s="88" t="s">
        <v>118</v>
      </c>
      <c r="E24" s="85">
        <v>972280259305000</v>
      </c>
      <c r="F24" s="86" t="s">
        <v>141</v>
      </c>
      <c r="G24" s="80" t="s">
        <v>82</v>
      </c>
      <c r="H24" s="73" t="s">
        <v>39</v>
      </c>
      <c r="I24" s="74" t="s">
        <v>11</v>
      </c>
      <c r="J24" s="101" t="str">
        <f t="shared" si="4"/>
        <v>TER B</v>
      </c>
      <c r="K24" s="50">
        <f>30*121333.33</f>
        <v>3639999.9</v>
      </c>
      <c r="L24" s="40">
        <f t="shared" ref="L24:L29" si="12">3640000*0.84%</f>
        <v>30575.999999999996</v>
      </c>
      <c r="M24" s="105">
        <f>(3640000+47000)*4%</f>
        <v>147480</v>
      </c>
      <c r="N24" s="40">
        <v>162000</v>
      </c>
      <c r="O24" s="40">
        <v>60000</v>
      </c>
      <c r="P24" s="40">
        <v>3282311.76</v>
      </c>
      <c r="Q24" s="40"/>
      <c r="R24" s="40"/>
      <c r="S24" s="40">
        <v>47000</v>
      </c>
      <c r="T24" s="40"/>
      <c r="U24" s="40"/>
      <c r="V24" s="40"/>
      <c r="W24" s="40">
        <v>0</v>
      </c>
      <c r="X24" s="40"/>
      <c r="Y24" s="40">
        <v>650000</v>
      </c>
      <c r="Z24" s="51">
        <f t="shared" si="9"/>
        <v>8019367</v>
      </c>
      <c r="AA24" s="52">
        <f t="shared" si="0"/>
        <v>0.01</v>
      </c>
      <c r="AB24" s="79">
        <f t="shared" si="1"/>
        <v>80193</v>
      </c>
      <c r="AC24" s="125">
        <v>73693</v>
      </c>
      <c r="AD24" s="129">
        <f t="shared" si="6"/>
        <v>6500</v>
      </c>
      <c r="AE24" s="91">
        <v>7191311.7599999998</v>
      </c>
      <c r="AF24" s="71">
        <f t="shared" si="2"/>
        <v>178056</v>
      </c>
      <c r="AG24" s="71">
        <f t="shared" si="7"/>
        <v>7369367.7599999998</v>
      </c>
      <c r="AH24" s="71">
        <f t="shared" si="10"/>
        <v>649999.24000000022</v>
      </c>
    </row>
    <row r="25" spans="2:34" s="27" customFormat="1" ht="35.1" customHeight="1">
      <c r="B25" s="100">
        <v>19</v>
      </c>
      <c r="C25" s="94" t="s">
        <v>102</v>
      </c>
      <c r="D25" s="84" t="s">
        <v>124</v>
      </c>
      <c r="E25" s="87">
        <v>972286066305000</v>
      </c>
      <c r="F25" s="86" t="s">
        <v>147</v>
      </c>
      <c r="G25" s="80" t="s">
        <v>82</v>
      </c>
      <c r="H25" s="73" t="s">
        <v>39</v>
      </c>
      <c r="I25" s="74" t="s">
        <v>11</v>
      </c>
      <c r="J25" s="101" t="str">
        <f t="shared" si="4"/>
        <v>TER B</v>
      </c>
      <c r="K25" s="50">
        <f t="shared" ref="K25:K29" si="13">30*121333.33</f>
        <v>3639999.9</v>
      </c>
      <c r="L25" s="40">
        <f t="shared" si="12"/>
        <v>30575.999999999996</v>
      </c>
      <c r="M25" s="105">
        <f>(3640000+61000)*4%</f>
        <v>148040</v>
      </c>
      <c r="N25" s="40">
        <v>162000</v>
      </c>
      <c r="O25" s="40">
        <v>40000</v>
      </c>
      <c r="P25" s="40">
        <v>3282311.76</v>
      </c>
      <c r="Q25" s="40"/>
      <c r="R25" s="40"/>
      <c r="S25" s="40">
        <v>61000</v>
      </c>
      <c r="T25" s="40"/>
      <c r="U25" s="40"/>
      <c r="V25" s="40"/>
      <c r="W25" s="40">
        <v>0</v>
      </c>
      <c r="X25" s="40"/>
      <c r="Y25" s="40">
        <v>540000</v>
      </c>
      <c r="Z25" s="51">
        <f t="shared" si="9"/>
        <v>7903927</v>
      </c>
      <c r="AA25" s="52">
        <f t="shared" si="0"/>
        <v>0.01</v>
      </c>
      <c r="AB25" s="79">
        <f t="shared" si="1"/>
        <v>79039</v>
      </c>
      <c r="AC25" s="125">
        <v>73639</v>
      </c>
      <c r="AD25" s="129">
        <f t="shared" si="6"/>
        <v>5400</v>
      </c>
      <c r="AE25" s="91">
        <v>7185311.7599999998</v>
      </c>
      <c r="AF25" s="71">
        <f t="shared" si="2"/>
        <v>178616</v>
      </c>
      <c r="AG25" s="71">
        <f t="shared" si="7"/>
        <v>7363927.7599999998</v>
      </c>
      <c r="AH25" s="71">
        <f t="shared" si="10"/>
        <v>539999.24000000022</v>
      </c>
    </row>
    <row r="26" spans="2:34" s="27" customFormat="1" ht="35.1" customHeight="1">
      <c r="B26" s="100">
        <v>20</v>
      </c>
      <c r="C26" s="94" t="s">
        <v>104</v>
      </c>
      <c r="D26" s="84" t="s">
        <v>126</v>
      </c>
      <c r="E26" s="87">
        <v>743653420305000</v>
      </c>
      <c r="F26" s="86" t="s">
        <v>149</v>
      </c>
      <c r="G26" s="80" t="s">
        <v>82</v>
      </c>
      <c r="H26" s="38" t="s">
        <v>39</v>
      </c>
      <c r="I26" s="39" t="s">
        <v>17</v>
      </c>
      <c r="J26" s="101" t="str">
        <f t="shared" si="4"/>
        <v>TER A</v>
      </c>
      <c r="K26" s="50">
        <f t="shared" si="13"/>
        <v>3639999.9</v>
      </c>
      <c r="L26" s="40">
        <f t="shared" si="12"/>
        <v>30575.999999999996</v>
      </c>
      <c r="M26" s="105">
        <f>(3640000+24000)*4%</f>
        <v>146560</v>
      </c>
      <c r="N26" s="40">
        <v>108000</v>
      </c>
      <c r="O26" s="40">
        <v>57000</v>
      </c>
      <c r="P26" s="40">
        <v>2030404.3900000001</v>
      </c>
      <c r="Q26" s="40"/>
      <c r="R26" s="40">
        <v>461066.73</v>
      </c>
      <c r="S26" s="40">
        <v>24000</v>
      </c>
      <c r="T26" s="40"/>
      <c r="U26" s="40"/>
      <c r="V26" s="40"/>
      <c r="W26" s="40">
        <v>0</v>
      </c>
      <c r="X26" s="40"/>
      <c r="Y26" s="40">
        <v>540000</v>
      </c>
      <c r="Z26" s="51">
        <f t="shared" si="9"/>
        <v>7037607</v>
      </c>
      <c r="AA26" s="52">
        <f t="shared" si="0"/>
        <v>1.2500000000000001E-2</v>
      </c>
      <c r="AB26" s="79">
        <f t="shared" si="1"/>
        <v>87970</v>
      </c>
      <c r="AC26" s="125">
        <v>64976</v>
      </c>
      <c r="AD26" s="129">
        <f t="shared" si="6"/>
        <v>22994</v>
      </c>
      <c r="AE26" s="91">
        <v>6320471.120000001</v>
      </c>
      <c r="AF26" s="71">
        <f t="shared" si="2"/>
        <v>177136</v>
      </c>
      <c r="AG26" s="71">
        <f t="shared" si="7"/>
        <v>6497607.120000001</v>
      </c>
      <c r="AH26" s="71">
        <f t="shared" si="10"/>
        <v>539999.87999999896</v>
      </c>
    </row>
    <row r="27" spans="2:34" s="27" customFormat="1" ht="35.1" customHeight="1">
      <c r="B27" s="100">
        <v>21</v>
      </c>
      <c r="C27" s="97" t="s">
        <v>105</v>
      </c>
      <c r="D27" s="84" t="s">
        <v>127</v>
      </c>
      <c r="E27" s="87">
        <v>972285597305000</v>
      </c>
      <c r="F27" s="86" t="s">
        <v>142</v>
      </c>
      <c r="G27" s="80" t="s">
        <v>82</v>
      </c>
      <c r="H27" s="38" t="s">
        <v>39</v>
      </c>
      <c r="I27" s="39" t="s">
        <v>9</v>
      </c>
      <c r="J27" s="101" t="str">
        <f t="shared" si="4"/>
        <v>TER B</v>
      </c>
      <c r="K27" s="50">
        <f t="shared" si="13"/>
        <v>3639999.9</v>
      </c>
      <c r="L27" s="40">
        <f t="shared" si="12"/>
        <v>30575.999999999996</v>
      </c>
      <c r="M27" s="105">
        <f>(3640000+43500)*4%</f>
        <v>147340</v>
      </c>
      <c r="N27" s="40">
        <v>135000</v>
      </c>
      <c r="O27" s="40">
        <v>60000</v>
      </c>
      <c r="P27" s="40">
        <v>73641.61</v>
      </c>
      <c r="Q27" s="40"/>
      <c r="R27" s="40"/>
      <c r="S27" s="40">
        <v>43500</v>
      </c>
      <c r="T27" s="40"/>
      <c r="U27" s="40"/>
      <c r="V27" s="40"/>
      <c r="W27" s="40">
        <v>0</v>
      </c>
      <c r="X27" s="40"/>
      <c r="Y27" s="40">
        <v>540000</v>
      </c>
      <c r="Z27" s="51">
        <f t="shared" si="9"/>
        <v>4670057</v>
      </c>
      <c r="AA27" s="52">
        <f t="shared" si="0"/>
        <v>0</v>
      </c>
      <c r="AB27" s="79">
        <f t="shared" si="1"/>
        <v>0</v>
      </c>
      <c r="AC27" s="125">
        <v>0</v>
      </c>
      <c r="AD27" s="129">
        <f t="shared" si="6"/>
        <v>0</v>
      </c>
      <c r="AE27" s="91">
        <v>3952141.61</v>
      </c>
      <c r="AF27" s="71">
        <f t="shared" si="2"/>
        <v>177916</v>
      </c>
      <c r="AG27" s="71">
        <f t="shared" si="7"/>
        <v>4130057.61</v>
      </c>
      <c r="AH27" s="71">
        <f t="shared" si="10"/>
        <v>539999.39000000013</v>
      </c>
    </row>
    <row r="28" spans="2:34" s="27" customFormat="1" ht="35.1" customHeight="1">
      <c r="B28" s="100">
        <v>22</v>
      </c>
      <c r="C28" s="97" t="s">
        <v>107</v>
      </c>
      <c r="D28" s="84" t="s">
        <v>130</v>
      </c>
      <c r="E28" s="85">
        <v>972280192305000</v>
      </c>
      <c r="F28" s="86" t="s">
        <v>152</v>
      </c>
      <c r="G28" s="80" t="s">
        <v>82</v>
      </c>
      <c r="H28" s="38" t="s">
        <v>39</v>
      </c>
      <c r="I28" s="39" t="s">
        <v>9</v>
      </c>
      <c r="J28" s="101" t="str">
        <f t="shared" si="4"/>
        <v>TER B</v>
      </c>
      <c r="K28" s="50">
        <f t="shared" si="13"/>
        <v>3639999.9</v>
      </c>
      <c r="L28" s="40">
        <f t="shared" si="12"/>
        <v>30575.999999999996</v>
      </c>
      <c r="M28" s="105">
        <f>(3640000+43500)*4%</f>
        <v>147340</v>
      </c>
      <c r="N28" s="40">
        <v>130500</v>
      </c>
      <c r="O28" s="40">
        <v>57000</v>
      </c>
      <c r="P28" s="40">
        <v>3082427.39</v>
      </c>
      <c r="Q28" s="40"/>
      <c r="R28" s="40">
        <v>461066.73</v>
      </c>
      <c r="S28" s="40">
        <v>43500</v>
      </c>
      <c r="T28" s="40"/>
      <c r="U28" s="40"/>
      <c r="V28" s="40"/>
      <c r="W28" s="40">
        <v>-121333.33</v>
      </c>
      <c r="X28" s="40"/>
      <c r="Y28" s="40">
        <v>540000</v>
      </c>
      <c r="Z28" s="51">
        <f t="shared" si="9"/>
        <v>8011076</v>
      </c>
      <c r="AA28" s="52">
        <f t="shared" si="0"/>
        <v>0.01</v>
      </c>
      <c r="AB28" s="79">
        <f t="shared" si="1"/>
        <v>80110</v>
      </c>
      <c r="AC28" s="125">
        <v>74710</v>
      </c>
      <c r="AD28" s="129">
        <f t="shared" si="6"/>
        <v>5400</v>
      </c>
      <c r="AE28" s="91">
        <v>7293160.7866666671</v>
      </c>
      <c r="AF28" s="71">
        <f t="shared" si="2"/>
        <v>177916</v>
      </c>
      <c r="AG28" s="71">
        <f t="shared" si="7"/>
        <v>7471076.7866666671</v>
      </c>
      <c r="AH28" s="71">
        <f t="shared" si="10"/>
        <v>539999.21333333291</v>
      </c>
    </row>
    <row r="29" spans="2:34" s="27" customFormat="1" ht="35.1" customHeight="1" thickBot="1">
      <c r="B29" s="100">
        <v>23</v>
      </c>
      <c r="C29" s="97" t="s">
        <v>101</v>
      </c>
      <c r="D29" s="84" t="s">
        <v>131</v>
      </c>
      <c r="E29" s="87">
        <v>972283733305000</v>
      </c>
      <c r="F29" s="86" t="s">
        <v>153</v>
      </c>
      <c r="G29" s="80" t="s">
        <v>82</v>
      </c>
      <c r="H29" s="38" t="s">
        <v>39</v>
      </c>
      <c r="I29" s="39" t="s">
        <v>9</v>
      </c>
      <c r="J29" s="101" t="str">
        <f t="shared" si="4"/>
        <v>TER B</v>
      </c>
      <c r="K29" s="50">
        <f t="shared" si="13"/>
        <v>3639999.9</v>
      </c>
      <c r="L29" s="40">
        <f t="shared" si="12"/>
        <v>30575.999999999996</v>
      </c>
      <c r="M29" s="107">
        <f>(3640000+47000)*4%</f>
        <v>147480</v>
      </c>
      <c r="N29" s="40">
        <v>130500</v>
      </c>
      <c r="O29" s="40">
        <v>60000</v>
      </c>
      <c r="P29" s="40">
        <v>2745780.03</v>
      </c>
      <c r="Q29" s="40"/>
      <c r="R29" s="40">
        <v>461066.73</v>
      </c>
      <c r="S29" s="112">
        <v>47000</v>
      </c>
      <c r="T29" s="40"/>
      <c r="U29" s="40"/>
      <c r="V29" s="40"/>
      <c r="W29" s="40">
        <v>-121333.33</v>
      </c>
      <c r="X29" s="40"/>
      <c r="Y29" s="40">
        <v>540000</v>
      </c>
      <c r="Z29" s="51">
        <f t="shared" si="9"/>
        <v>7681069</v>
      </c>
      <c r="AA29" s="52">
        <f t="shared" si="0"/>
        <v>0.01</v>
      </c>
      <c r="AB29" s="79">
        <f t="shared" si="1"/>
        <v>76810</v>
      </c>
      <c r="AC29" s="126">
        <v>53558</v>
      </c>
      <c r="AD29" s="130">
        <f t="shared" si="6"/>
        <v>23252</v>
      </c>
      <c r="AE29" s="91">
        <v>6963013.4266666658</v>
      </c>
      <c r="AF29" s="71">
        <f t="shared" si="2"/>
        <v>178056</v>
      </c>
      <c r="AG29" s="71">
        <f t="shared" si="7"/>
        <v>7141069.4266666658</v>
      </c>
      <c r="AH29" s="71">
        <f t="shared" si="10"/>
        <v>539999.57333333418</v>
      </c>
    </row>
    <row r="30" spans="2:34" s="45" customFormat="1" ht="35.1" customHeight="1" thickBot="1">
      <c r="B30" s="64"/>
      <c r="C30" s="65"/>
      <c r="D30" s="65"/>
      <c r="E30" s="65"/>
      <c r="F30" s="65"/>
      <c r="G30" s="65"/>
      <c r="H30" s="65"/>
      <c r="I30" s="65"/>
      <c r="J30" s="65"/>
      <c r="K30" s="66">
        <f t="shared" ref="K30:S30" si="14">SUM(K6:K29)</f>
        <v>83671164.370000005</v>
      </c>
      <c r="L30" s="66">
        <f t="shared" si="14"/>
        <v>703877.99999999988</v>
      </c>
      <c r="M30" s="66">
        <f t="shared" si="14"/>
        <v>3393720</v>
      </c>
      <c r="N30" s="66">
        <f t="shared" si="14"/>
        <v>2786850</v>
      </c>
      <c r="O30" s="66">
        <f t="shared" si="14"/>
        <v>370000</v>
      </c>
      <c r="P30" s="66">
        <f>SUM(P6:P29)</f>
        <v>25646573.210000001</v>
      </c>
      <c r="Q30" s="66">
        <f t="shared" si="14"/>
        <v>720000</v>
      </c>
      <c r="R30" s="66">
        <f t="shared" si="14"/>
        <v>1383200.19</v>
      </c>
      <c r="S30" s="66">
        <f t="shared" si="14"/>
        <v>1048000</v>
      </c>
      <c r="T30" s="66"/>
      <c r="U30" s="66"/>
      <c r="V30" s="66"/>
      <c r="W30" s="66">
        <f>SUM(W6:W29)</f>
        <v>-1718666.62</v>
      </c>
      <c r="X30" s="66"/>
      <c r="Y30" s="66">
        <f>SUM(Y6:Y29)</f>
        <v>11870000</v>
      </c>
      <c r="Z30" s="66">
        <f t="shared" ref="Z30:AG30" si="15">SUM(Z6:Z29)</f>
        <v>129874707</v>
      </c>
      <c r="AA30" s="66">
        <f t="shared" si="15"/>
        <v>8.249999999999999E-2</v>
      </c>
      <c r="AB30" s="66">
        <f>SUM(AB6:AB29)</f>
        <v>608145</v>
      </c>
      <c r="AC30" s="66">
        <f>SUM(AC6:AC29)</f>
        <v>436978</v>
      </c>
      <c r="AD30" s="66">
        <f>SUM(AD6:AD29)</f>
        <v>171167</v>
      </c>
      <c r="AE30" s="111">
        <f>SUM(AE6:AE29)</f>
        <v>113907123.40000001</v>
      </c>
      <c r="AF30" s="109">
        <f>SUM(AF6:AF29)</f>
        <v>4097598</v>
      </c>
      <c r="AG30" s="109">
        <f t="shared" si="15"/>
        <v>118004721.40000001</v>
      </c>
      <c r="AH30" s="122">
        <f>SUM(AH6:AH29)</f>
        <v>11869985.600000003</v>
      </c>
    </row>
    <row r="31" spans="2:34" ht="15" customHeight="1"/>
    <row r="32" spans="2:34" ht="15" hidden="1" customHeight="1">
      <c r="B32" s="44" t="s">
        <v>47</v>
      </c>
      <c r="M32" s="47"/>
      <c r="N32" s="47"/>
      <c r="O32" s="47"/>
      <c r="P32" s="47"/>
      <c r="Q32" s="47"/>
    </row>
    <row r="33" spans="2:55" ht="15" hidden="1" customHeight="1">
      <c r="B33" s="27" t="s">
        <v>48</v>
      </c>
      <c r="M33" s="47"/>
      <c r="N33" s="47"/>
      <c r="O33" s="47"/>
      <c r="P33" s="47"/>
      <c r="Q33" s="47"/>
    </row>
    <row r="34" spans="2:55" ht="15" hidden="1" customHeight="1">
      <c r="B34" s="27" t="s">
        <v>56</v>
      </c>
      <c r="M34" s="47"/>
      <c r="N34" s="47"/>
      <c r="O34" s="47"/>
      <c r="P34" s="47"/>
      <c r="Q34" s="47"/>
    </row>
    <row r="35" spans="2:55" ht="15" hidden="1" customHeight="1">
      <c r="B35" s="27" t="s">
        <v>49</v>
      </c>
      <c r="M35" s="47"/>
      <c r="N35" s="47"/>
      <c r="O35" s="47"/>
      <c r="P35" s="47"/>
      <c r="Q35" s="47"/>
    </row>
    <row r="36" spans="2:55" s="31" customFormat="1" ht="15" hidden="1" customHeight="1">
      <c r="B36" s="27" t="s">
        <v>57</v>
      </c>
      <c r="C36" s="28"/>
      <c r="D36" s="120"/>
      <c r="E36" s="29"/>
      <c r="F36" s="28"/>
      <c r="G36" s="30"/>
      <c r="H36" s="121"/>
      <c r="I36" s="121"/>
      <c r="J36" s="121"/>
      <c r="K36" s="28"/>
      <c r="L36" s="28"/>
      <c r="M36" s="47"/>
      <c r="N36" s="47"/>
      <c r="O36" s="47"/>
      <c r="P36" s="47"/>
      <c r="Q36" s="47"/>
      <c r="R36" s="28"/>
      <c r="S36" s="28"/>
      <c r="T36" s="28"/>
      <c r="U36" s="28"/>
      <c r="V36" s="28"/>
      <c r="W36" s="28"/>
      <c r="X36" s="28"/>
      <c r="Y36" s="28"/>
      <c r="Z36" s="28"/>
      <c r="AA36" s="49"/>
      <c r="AB36" s="28"/>
      <c r="AC36" s="28"/>
      <c r="AD36" s="28"/>
      <c r="AE36" s="27"/>
      <c r="AF36" s="27"/>
      <c r="AG36" s="27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</row>
    <row r="37" spans="2:55" s="31" customFormat="1" ht="15" hidden="1" customHeight="1">
      <c r="B37" s="27" t="s">
        <v>50</v>
      </c>
      <c r="C37" s="28"/>
      <c r="D37" s="120"/>
      <c r="E37" s="29"/>
      <c r="F37" s="28"/>
      <c r="G37" s="30"/>
      <c r="H37" s="121"/>
      <c r="I37" s="121"/>
      <c r="J37" s="121"/>
      <c r="K37" s="28"/>
      <c r="L37" s="28"/>
      <c r="M37" s="47"/>
      <c r="N37" s="47"/>
      <c r="O37" s="47"/>
      <c r="P37" s="47"/>
      <c r="Q37" s="47"/>
      <c r="R37" s="28"/>
      <c r="S37" s="28"/>
      <c r="T37" s="28"/>
      <c r="U37" s="28"/>
      <c r="V37" s="28"/>
      <c r="W37" s="28"/>
      <c r="X37" s="28"/>
      <c r="Y37" s="28"/>
      <c r="Z37" s="28"/>
      <c r="AA37" s="49"/>
      <c r="AB37" s="28"/>
      <c r="AC37" s="28"/>
      <c r="AD37" s="28"/>
      <c r="AE37" s="27"/>
      <c r="AF37" s="27"/>
      <c r="AG37" s="27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</row>
    <row r="38" spans="2:55" s="31" customFormat="1" ht="15" hidden="1" customHeight="1">
      <c r="B38" s="27" t="s">
        <v>51</v>
      </c>
      <c r="C38" s="28"/>
      <c r="D38" s="120"/>
      <c r="E38" s="29"/>
      <c r="F38" s="28"/>
      <c r="G38" s="30"/>
      <c r="H38" s="121"/>
      <c r="I38" s="121"/>
      <c r="J38" s="121"/>
      <c r="K38" s="28"/>
      <c r="L38" s="28"/>
      <c r="M38" s="47"/>
      <c r="N38" s="47"/>
      <c r="O38" s="47"/>
      <c r="P38" s="47"/>
      <c r="Q38" s="47"/>
      <c r="R38" s="28"/>
      <c r="S38" s="28"/>
      <c r="T38" s="28"/>
      <c r="U38" s="28"/>
      <c r="V38" s="28"/>
      <c r="W38" s="28"/>
      <c r="X38" s="28"/>
      <c r="Y38" s="28"/>
      <c r="Z38" s="28"/>
      <c r="AA38" s="49"/>
      <c r="AB38" s="28"/>
      <c r="AC38" s="28"/>
      <c r="AD38" s="28"/>
      <c r="AE38" s="27"/>
      <c r="AF38" s="27"/>
      <c r="AG38" s="27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</row>
    <row r="39" spans="2:55" s="31" customFormat="1" ht="15" hidden="1" customHeight="1">
      <c r="B39" s="27" t="s">
        <v>52</v>
      </c>
      <c r="C39" s="28"/>
      <c r="D39" s="120"/>
      <c r="E39" s="29"/>
      <c r="F39" s="28"/>
      <c r="G39" s="30"/>
      <c r="H39" s="121"/>
      <c r="I39" s="121"/>
      <c r="J39" s="121"/>
      <c r="K39" s="28"/>
      <c r="L39" s="28"/>
      <c r="M39" s="47"/>
      <c r="N39" s="47"/>
      <c r="O39" s="47"/>
      <c r="P39" s="47"/>
      <c r="Q39" s="47"/>
      <c r="R39" s="28"/>
      <c r="S39" s="28"/>
      <c r="T39" s="28"/>
      <c r="U39" s="28"/>
      <c r="V39" s="28"/>
      <c r="W39" s="28"/>
      <c r="X39" s="28"/>
      <c r="Y39" s="28"/>
      <c r="Z39" s="28"/>
      <c r="AA39" s="49"/>
      <c r="AB39" s="28"/>
      <c r="AC39" s="28"/>
      <c r="AD39" s="28"/>
      <c r="AE39" s="27"/>
      <c r="AF39" s="27"/>
      <c r="AG39" s="27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</row>
    <row r="40" spans="2:55" s="31" customFormat="1" ht="15" hidden="1" customHeight="1">
      <c r="B40" s="27" t="s">
        <v>58</v>
      </c>
      <c r="C40" s="28"/>
      <c r="D40" s="120"/>
      <c r="E40" s="29"/>
      <c r="F40" s="28"/>
      <c r="G40" s="30"/>
      <c r="H40" s="121"/>
      <c r="I40" s="121"/>
      <c r="J40" s="121"/>
      <c r="K40" s="28"/>
      <c r="L40" s="28"/>
      <c r="M40" s="47"/>
      <c r="N40" s="47"/>
      <c r="O40" s="47"/>
      <c r="P40" s="47"/>
      <c r="Q40" s="47"/>
      <c r="R40" s="28"/>
      <c r="S40" s="28"/>
      <c r="T40" s="28"/>
      <c r="U40" s="28"/>
      <c r="V40" s="28"/>
      <c r="W40" s="28"/>
      <c r="X40" s="28"/>
      <c r="Y40" s="28"/>
      <c r="Z40" s="28"/>
      <c r="AA40" s="49"/>
      <c r="AB40" s="28"/>
      <c r="AC40" s="28"/>
      <c r="AD40" s="28"/>
      <c r="AE40" s="27"/>
      <c r="AF40" s="27"/>
      <c r="AG40" s="27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</row>
    <row r="41" spans="2:55" s="31" customFormat="1" ht="15" hidden="1" customHeight="1">
      <c r="B41" s="27" t="s">
        <v>59</v>
      </c>
      <c r="C41" s="28"/>
      <c r="D41" s="120"/>
      <c r="E41" s="29"/>
      <c r="F41" s="28"/>
      <c r="G41" s="30"/>
      <c r="H41" s="121"/>
      <c r="I41" s="121"/>
      <c r="J41" s="121"/>
      <c r="K41" s="28"/>
      <c r="L41" s="28"/>
      <c r="M41" s="47"/>
      <c r="N41" s="47"/>
      <c r="O41" s="47"/>
      <c r="P41" s="47"/>
      <c r="Q41" s="47"/>
      <c r="R41" s="28"/>
      <c r="S41" s="28"/>
      <c r="T41" s="28"/>
      <c r="U41" s="28"/>
      <c r="V41" s="28"/>
      <c r="W41" s="28"/>
      <c r="X41" s="28"/>
      <c r="Y41" s="28"/>
      <c r="Z41" s="28"/>
      <c r="AA41" s="49"/>
      <c r="AB41" s="28"/>
      <c r="AC41" s="28"/>
      <c r="AD41" s="28"/>
      <c r="AE41" s="27"/>
      <c r="AF41" s="27"/>
      <c r="AG41" s="27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</row>
    <row r="42" spans="2:55" s="31" customFormat="1" ht="15" hidden="1" customHeight="1">
      <c r="B42" s="27" t="s">
        <v>64</v>
      </c>
      <c r="C42" s="28"/>
      <c r="D42" s="120"/>
      <c r="E42" s="29"/>
      <c r="F42" s="28"/>
      <c r="G42" s="30"/>
      <c r="H42" s="121"/>
      <c r="I42" s="121"/>
      <c r="J42" s="121"/>
      <c r="K42" s="28"/>
      <c r="L42" s="28"/>
      <c r="M42" s="47"/>
      <c r="N42" s="47"/>
      <c r="O42" s="47"/>
      <c r="P42" s="47"/>
      <c r="Q42" s="47"/>
      <c r="R42" s="28"/>
      <c r="S42" s="28"/>
      <c r="T42" s="28"/>
      <c r="U42" s="28"/>
      <c r="V42" s="28"/>
      <c r="W42" s="28"/>
      <c r="X42" s="28"/>
      <c r="Y42" s="28"/>
      <c r="Z42" s="28"/>
      <c r="AA42" s="49"/>
      <c r="AB42" s="28"/>
      <c r="AC42" s="28"/>
      <c r="AD42" s="28"/>
      <c r="AE42" s="27"/>
      <c r="AF42" s="27"/>
      <c r="AG42" s="27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</row>
    <row r="43" spans="2:55" s="31" customFormat="1" ht="15" hidden="1" customHeight="1">
      <c r="B43" s="27"/>
      <c r="C43" s="28"/>
      <c r="D43" s="120"/>
      <c r="E43" s="29"/>
      <c r="F43" s="28"/>
      <c r="G43" s="30"/>
      <c r="H43" s="121"/>
      <c r="I43" s="121"/>
      <c r="J43" s="121"/>
      <c r="K43" s="28"/>
      <c r="L43" s="28"/>
      <c r="M43" s="47"/>
      <c r="N43" s="47"/>
      <c r="O43" s="47"/>
      <c r="P43" s="47"/>
      <c r="Q43" s="47"/>
      <c r="R43" s="28"/>
      <c r="S43" s="28"/>
      <c r="T43" s="28"/>
      <c r="U43" s="28"/>
      <c r="V43" s="28"/>
      <c r="W43" s="28"/>
      <c r="X43" s="28"/>
      <c r="Y43" s="28"/>
      <c r="Z43" s="28"/>
      <c r="AA43" s="49"/>
      <c r="AB43" s="28"/>
      <c r="AC43" s="28"/>
      <c r="AD43" s="28"/>
      <c r="AE43" s="27"/>
      <c r="AF43" s="27"/>
      <c r="AG43" s="27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</row>
    <row r="44" spans="2:55" s="31" customFormat="1" ht="15" hidden="1" customHeight="1">
      <c r="B44" s="27"/>
      <c r="C44" s="28"/>
      <c r="D44" s="120"/>
      <c r="E44" s="29"/>
      <c r="F44" s="28"/>
      <c r="G44" s="30"/>
      <c r="H44" s="121"/>
      <c r="I44" s="121"/>
      <c r="J44" s="121"/>
      <c r="K44" s="28"/>
      <c r="L44" s="28"/>
      <c r="M44" s="47"/>
      <c r="N44" s="47"/>
      <c r="O44" s="47"/>
      <c r="P44" s="47"/>
      <c r="Q44" s="47"/>
      <c r="R44" s="28"/>
      <c r="S44" s="28"/>
      <c r="T44" s="28"/>
      <c r="U44" s="28"/>
      <c r="V44" s="28"/>
      <c r="W44" s="28"/>
      <c r="X44" s="28"/>
      <c r="Y44" s="28"/>
      <c r="Z44" s="28"/>
      <c r="AA44" s="49"/>
      <c r="AB44" s="28"/>
      <c r="AC44" s="28"/>
      <c r="AD44" s="28"/>
      <c r="AE44" s="27"/>
      <c r="AF44" s="27"/>
      <c r="AG44" s="27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</row>
    <row r="45" spans="2:55" s="31" customFormat="1" ht="24.95" customHeight="1">
      <c r="B45" s="27"/>
      <c r="C45" s="28"/>
      <c r="D45" s="120"/>
      <c r="E45" s="29"/>
      <c r="F45" s="28"/>
      <c r="G45" s="30"/>
      <c r="H45" s="121"/>
      <c r="I45" s="121"/>
      <c r="J45" s="121"/>
      <c r="K45" s="28"/>
      <c r="L45" s="28"/>
      <c r="M45" s="47"/>
      <c r="N45" s="47"/>
      <c r="O45" s="47"/>
      <c r="P45" s="47"/>
      <c r="Q45" s="47"/>
      <c r="R45" s="28"/>
      <c r="S45" s="28"/>
      <c r="T45" s="28"/>
      <c r="U45" s="28"/>
      <c r="V45" s="28"/>
      <c r="W45" s="28"/>
      <c r="X45" s="28"/>
      <c r="Y45" s="28"/>
      <c r="Z45" s="28"/>
      <c r="AA45" s="49"/>
      <c r="AB45" s="28"/>
      <c r="AC45" s="28"/>
      <c r="AD45" s="28"/>
      <c r="AE45" s="27"/>
      <c r="AF45" s="27"/>
      <c r="AG45" s="104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</row>
    <row r="46" spans="2:55" ht="35.1" customHeight="1">
      <c r="D46" s="535" t="s">
        <v>160</v>
      </c>
      <c r="E46" s="535"/>
      <c r="K46" s="535" t="s">
        <v>162</v>
      </c>
      <c r="L46" s="535"/>
      <c r="M46" s="535"/>
      <c r="N46" s="535"/>
      <c r="O46" s="47"/>
      <c r="P46" s="47"/>
      <c r="Q46" s="47"/>
    </row>
    <row r="47" spans="2:55" ht="35.1" customHeight="1"/>
    <row r="48" spans="2:55" ht="35.1" customHeight="1"/>
    <row r="49" spans="4:14" ht="35.1" customHeight="1">
      <c r="D49" s="535" t="s">
        <v>91</v>
      </c>
      <c r="E49" s="535"/>
      <c r="K49" s="535" t="s">
        <v>163</v>
      </c>
      <c r="L49" s="535"/>
      <c r="M49" s="535"/>
      <c r="N49" s="535"/>
    </row>
    <row r="50" spans="4:14" ht="35.1" customHeight="1">
      <c r="D50" s="535" t="s">
        <v>161</v>
      </c>
      <c r="E50" s="535"/>
      <c r="K50" s="535" t="s">
        <v>164</v>
      </c>
      <c r="L50" s="535"/>
      <c r="M50" s="535"/>
      <c r="N50" s="535"/>
    </row>
    <row r="51" spans="4:14" ht="24.95" customHeight="1"/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41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9"/>
  <sheetViews>
    <sheetView tabSelected="1" workbookViewId="0">
      <pane xSplit="5" topLeftCell="F1" activePane="topRight" state="frozen"/>
      <selection activeCell="O70" sqref="O70"/>
      <selection pane="topRight" activeCell="J18" sqref="J18"/>
    </sheetView>
  </sheetViews>
  <sheetFormatPr defaultRowHeight="15"/>
  <cols>
    <col min="1" max="1" width="4.5703125" style="197" customWidth="1"/>
    <col min="2" max="2" width="25.5703125" style="191" customWidth="1"/>
    <col min="3" max="3" width="3.5703125" style="191" customWidth="1"/>
    <col min="4" max="4" width="5.140625" style="191" customWidth="1"/>
    <col min="5" max="5" width="6.140625" style="191" customWidth="1"/>
    <col min="6" max="7" width="12.28515625" style="191" customWidth="1"/>
    <col min="8" max="8" width="12.140625" style="191" customWidth="1"/>
    <col min="9" max="10" width="12.5703125" style="191" customWidth="1"/>
    <col min="11" max="12" width="12.28515625" style="191" customWidth="1"/>
    <col min="13" max="13" width="12.42578125" style="191" customWidth="1"/>
    <col min="14" max="14" width="12.42578125" style="168" customWidth="1"/>
    <col min="15" max="15" width="12.85546875" style="320" customWidth="1"/>
    <col min="16" max="16" width="12.85546875" style="192" customWidth="1"/>
    <col min="17" max="17" width="12.85546875" style="191" customWidth="1"/>
    <col min="18" max="18" width="14.140625" style="191" customWidth="1"/>
    <col min="19" max="19" width="13" style="191" customWidth="1"/>
    <col min="20" max="20" width="13.28515625" style="168" customWidth="1"/>
    <col min="21" max="21" width="12.7109375" style="168" customWidth="1"/>
    <col min="22" max="22" width="14.7109375" style="168" customWidth="1"/>
    <col min="23" max="23" width="12.28515625" style="191" customWidth="1"/>
    <col min="24" max="24" width="13.7109375" style="168" customWidth="1"/>
    <col min="25" max="25" width="14" style="168" customWidth="1"/>
    <col min="26" max="26" width="9.140625" style="191"/>
    <col min="27" max="27" width="10.140625" style="191" bestFit="1" customWidth="1"/>
    <col min="28" max="16384" width="9.140625" style="191"/>
  </cols>
  <sheetData>
    <row r="1" spans="1:28" ht="15" customHeight="1">
      <c r="A1" s="197" t="s">
        <v>68</v>
      </c>
    </row>
    <row r="2" spans="1:28" ht="15" customHeight="1" thickBot="1">
      <c r="A2" s="197" t="s">
        <v>520</v>
      </c>
      <c r="H2" s="195"/>
      <c r="I2" s="195"/>
      <c r="J2" s="195"/>
      <c r="K2" s="195"/>
      <c r="L2" s="195"/>
      <c r="M2" s="195"/>
      <c r="N2" s="194"/>
      <c r="O2" s="321"/>
      <c r="P2" s="196"/>
      <c r="Q2" s="195"/>
      <c r="R2" s="195"/>
      <c r="S2" s="195"/>
      <c r="T2" s="194"/>
      <c r="U2" s="194"/>
    </row>
    <row r="3" spans="1:28" ht="15" customHeight="1">
      <c r="A3" s="539" t="s">
        <v>0</v>
      </c>
      <c r="B3" s="542" t="s">
        <v>366</v>
      </c>
      <c r="C3" s="542" t="s">
        <v>37</v>
      </c>
      <c r="D3" s="542" t="s">
        <v>367</v>
      </c>
      <c r="E3" s="542" t="s">
        <v>368</v>
      </c>
      <c r="F3" s="547" t="s">
        <v>369</v>
      </c>
      <c r="G3" s="548"/>
      <c r="H3" s="548"/>
      <c r="I3" s="548"/>
      <c r="J3" s="548"/>
      <c r="K3" s="548"/>
      <c r="L3" s="548"/>
      <c r="M3" s="548"/>
      <c r="N3" s="548"/>
      <c r="O3" s="548"/>
      <c r="P3" s="548"/>
      <c r="Q3" s="548"/>
      <c r="R3" s="322" t="s">
        <v>370</v>
      </c>
      <c r="S3" s="323"/>
      <c r="T3" s="323"/>
      <c r="U3" s="324"/>
      <c r="V3" s="322" t="s">
        <v>371</v>
      </c>
      <c r="W3" s="325" t="s">
        <v>372</v>
      </c>
      <c r="X3" s="545" t="s">
        <v>6</v>
      </c>
      <c r="Y3" s="326" t="s">
        <v>373</v>
      </c>
    </row>
    <row r="4" spans="1:28" ht="15" customHeight="1">
      <c r="A4" s="540"/>
      <c r="B4" s="543"/>
      <c r="C4" s="543"/>
      <c r="D4" s="543"/>
      <c r="E4" s="543"/>
      <c r="F4" s="546" t="s">
        <v>374</v>
      </c>
      <c r="G4" s="546" t="s">
        <v>375</v>
      </c>
      <c r="H4" s="546" t="s">
        <v>376</v>
      </c>
      <c r="I4" s="546" t="s">
        <v>377</v>
      </c>
      <c r="J4" s="546" t="s">
        <v>378</v>
      </c>
      <c r="K4" s="546" t="s">
        <v>379</v>
      </c>
      <c r="L4" s="546" t="s">
        <v>380</v>
      </c>
      <c r="M4" s="546" t="s">
        <v>381</v>
      </c>
      <c r="N4" s="546" t="s">
        <v>382</v>
      </c>
      <c r="O4" s="549" t="s">
        <v>383</v>
      </c>
      <c r="P4" s="549" t="s">
        <v>384</v>
      </c>
      <c r="Q4" s="551" t="s">
        <v>385</v>
      </c>
      <c r="R4" s="327" t="s">
        <v>386</v>
      </c>
      <c r="S4" s="553" t="s">
        <v>74</v>
      </c>
      <c r="T4" s="546" t="s">
        <v>387</v>
      </c>
      <c r="U4" s="328" t="s">
        <v>388</v>
      </c>
      <c r="V4" s="327" t="s">
        <v>372</v>
      </c>
      <c r="W4" s="536" t="s">
        <v>389</v>
      </c>
      <c r="X4" s="546"/>
      <c r="Y4" s="329" t="s">
        <v>390</v>
      </c>
      <c r="Z4" s="203"/>
      <c r="AA4" s="203"/>
      <c r="AB4" s="203"/>
    </row>
    <row r="5" spans="1:28" ht="15" customHeight="1" thickBot="1">
      <c r="A5" s="541"/>
      <c r="B5" s="544"/>
      <c r="C5" s="544"/>
      <c r="D5" s="544"/>
      <c r="E5" s="544"/>
      <c r="F5" s="537"/>
      <c r="G5" s="537"/>
      <c r="H5" s="537"/>
      <c r="I5" s="537"/>
      <c r="J5" s="537"/>
      <c r="K5" s="537"/>
      <c r="L5" s="537"/>
      <c r="M5" s="537"/>
      <c r="N5" s="537"/>
      <c r="O5" s="550"/>
      <c r="P5" s="550"/>
      <c r="Q5" s="552"/>
      <c r="R5" s="330" t="s">
        <v>391</v>
      </c>
      <c r="S5" s="554"/>
      <c r="T5" s="537"/>
      <c r="U5" s="330" t="s">
        <v>392</v>
      </c>
      <c r="V5" s="330" t="s">
        <v>393</v>
      </c>
      <c r="W5" s="537"/>
      <c r="X5" s="537"/>
      <c r="Y5" s="331" t="s">
        <v>394</v>
      </c>
      <c r="Z5" s="203"/>
      <c r="AA5" s="203"/>
      <c r="AB5" s="203"/>
    </row>
    <row r="6" spans="1:28" ht="15" customHeight="1" thickTop="1">
      <c r="A6" s="150">
        <v>1</v>
      </c>
      <c r="B6" s="149" t="s">
        <v>199</v>
      </c>
      <c r="C6" s="150" t="s">
        <v>39</v>
      </c>
      <c r="D6" s="150" t="s">
        <v>11</v>
      </c>
      <c r="E6" s="204">
        <f>COUNT(F6:Q6)-COUNT(#REF!)</f>
        <v>11</v>
      </c>
      <c r="F6" s="151">
        <v>7253903.5599999996</v>
      </c>
      <c r="G6" s="151">
        <v>6897356.5599999996</v>
      </c>
      <c r="H6" s="151">
        <v>7292962.5599999996</v>
      </c>
      <c r="I6" s="151">
        <v>6668918.5599999996</v>
      </c>
      <c r="J6" s="151">
        <v>7366390.5599999996</v>
      </c>
      <c r="K6" s="151">
        <v>7408385.5599999996</v>
      </c>
      <c r="L6" s="151">
        <v>7981408.5599999996</v>
      </c>
      <c r="M6" s="151">
        <v>8054837.5599999996</v>
      </c>
      <c r="N6" s="152">
        <v>7508517.3600000003</v>
      </c>
      <c r="O6" s="153">
        <v>6962341.3600000003</v>
      </c>
      <c r="P6" s="154">
        <v>7461201.3600000003</v>
      </c>
      <c r="Q6" s="155"/>
      <c r="R6" s="151">
        <f>SUM(F6:Q6)</f>
        <v>80856223.560000002</v>
      </c>
      <c r="S6" s="151">
        <v>4073100</v>
      </c>
      <c r="T6" s="152">
        <v>900000</v>
      </c>
      <c r="U6" s="152"/>
      <c r="V6" s="152">
        <f t="shared" ref="V6:V53" si="0">R6+S6+T6</f>
        <v>85829323.560000002</v>
      </c>
      <c r="W6" s="151"/>
      <c r="X6" s="156">
        <f>IF(D6="TK/0",54000000,IF(D6="K/0",58500000,IF(D6="K/1",63000000,IF(D6="K/2",67500000,IF(D6="K/3",72000000)))))</f>
        <v>67500000</v>
      </c>
      <c r="Y6" s="157">
        <f>IF(W6&lt;=X6,0,IF(W6&gt;X6,W6-X6))</f>
        <v>0</v>
      </c>
      <c r="Z6" s="191">
        <f t="shared" ref="Z6:Z30" si="1">COUNT(F6:Q6)</f>
        <v>11</v>
      </c>
    </row>
    <row r="7" spans="1:28" ht="15" customHeight="1">
      <c r="A7" s="150">
        <v>2</v>
      </c>
      <c r="B7" s="158" t="s">
        <v>200</v>
      </c>
      <c r="C7" s="150" t="s">
        <v>39</v>
      </c>
      <c r="D7" s="150" t="s">
        <v>17</v>
      </c>
      <c r="E7" s="204">
        <f>COUNT(F7:Q7)-COUNT(#REF!)</f>
        <v>11</v>
      </c>
      <c r="F7" s="159">
        <v>4236469.5599999996</v>
      </c>
      <c r="G7" s="159">
        <v>3878659.56</v>
      </c>
      <c r="H7" s="159">
        <v>4279569.5599999996</v>
      </c>
      <c r="I7" s="159">
        <v>4129599.5599999996</v>
      </c>
      <c r="J7" s="159">
        <v>4279569.5599999996</v>
      </c>
      <c r="K7" s="159">
        <v>4140099.5599999996</v>
      </c>
      <c r="L7" s="159">
        <v>4286569.96</v>
      </c>
      <c r="M7" s="159">
        <v>4279569.96</v>
      </c>
      <c r="N7" s="160">
        <v>4147099.96</v>
      </c>
      <c r="O7" s="161">
        <v>4290069.96</v>
      </c>
      <c r="P7" s="162">
        <v>4150599.96</v>
      </c>
      <c r="Q7" s="159"/>
      <c r="R7" s="151">
        <f>SUM(F7:Q7)</f>
        <v>46097877.159999996</v>
      </c>
      <c r="S7" s="159">
        <v>4063100</v>
      </c>
      <c r="T7" s="160">
        <v>600000</v>
      </c>
      <c r="U7" s="160"/>
      <c r="V7" s="152">
        <f t="shared" si="0"/>
        <v>50760977.159999996</v>
      </c>
      <c r="W7" s="159"/>
      <c r="X7" s="163">
        <f>IF(D7="TK/0",54000000,IF(D7="K/0",58500000,IF(D7="K/1",63000000,IF(D7="K/2",67500000,IF(D7="K/3",72000000)))))</f>
        <v>58500000</v>
      </c>
      <c r="Y7" s="157">
        <f t="shared" ref="Y7:Y44" si="2">IF(W7&lt;=X7,0,IF(W7&gt;X7,W7-X7))</f>
        <v>0</v>
      </c>
      <c r="Z7" s="191">
        <f t="shared" si="1"/>
        <v>11</v>
      </c>
    </row>
    <row r="8" spans="1:28" ht="15" customHeight="1">
      <c r="A8" s="150">
        <v>3</v>
      </c>
      <c r="B8" s="149" t="s">
        <v>201</v>
      </c>
      <c r="C8" s="150" t="s">
        <v>39</v>
      </c>
      <c r="D8" s="150" t="s">
        <v>17</v>
      </c>
      <c r="E8" s="204">
        <f>COUNT(F8:Q8)-COUNT(#REF!)</f>
        <v>11</v>
      </c>
      <c r="F8" s="159">
        <v>4242897.5599999996</v>
      </c>
      <c r="G8" s="159">
        <v>3801659.56</v>
      </c>
      <c r="H8" s="159">
        <v>4199069.5599999996</v>
      </c>
      <c r="I8" s="159">
        <v>4066599.5599999996</v>
      </c>
      <c r="J8" s="159">
        <v>4199069.5599999996</v>
      </c>
      <c r="K8" s="159">
        <v>4066599.5599999996</v>
      </c>
      <c r="L8" s="159">
        <v>4568803.5599999996</v>
      </c>
      <c r="M8" s="159">
        <v>4972149.5599999996</v>
      </c>
      <c r="N8" s="160">
        <v>3669189.56</v>
      </c>
      <c r="O8" s="161">
        <v>4199069.5599999996</v>
      </c>
      <c r="P8" s="162">
        <v>4066599.5599999996</v>
      </c>
      <c r="Q8" s="159"/>
      <c r="R8" s="151">
        <f t="shared" ref="R8:R60" si="3">SUM(F8:Q8)</f>
        <v>46051707.160000004</v>
      </c>
      <c r="S8" s="159">
        <v>4066600</v>
      </c>
      <c r="T8" s="160">
        <v>900000</v>
      </c>
      <c r="U8" s="160"/>
      <c r="V8" s="152">
        <f t="shared" si="0"/>
        <v>51018307.160000004</v>
      </c>
      <c r="W8" s="159"/>
      <c r="X8" s="163">
        <f t="shared" ref="X8:X71" si="4">IF(D8="TK/0",54000000,IF(D8="K/0",58500000,IF(D8="K/1",63000000,IF(D8="K/2",67500000,IF(D8="K/3",72000000)))))</f>
        <v>58500000</v>
      </c>
      <c r="Y8" s="157">
        <f t="shared" si="2"/>
        <v>0</v>
      </c>
      <c r="Z8" s="191">
        <f t="shared" si="1"/>
        <v>11</v>
      </c>
    </row>
    <row r="9" spans="1:28" ht="15" customHeight="1">
      <c r="A9" s="150">
        <v>4</v>
      </c>
      <c r="B9" s="158" t="s">
        <v>202</v>
      </c>
      <c r="C9" s="150" t="s">
        <v>38</v>
      </c>
      <c r="D9" s="150" t="s">
        <v>7</v>
      </c>
      <c r="E9" s="204">
        <f>COUNT(F9:Q9)-COUNT(#REF!)</f>
        <v>4</v>
      </c>
      <c r="F9" s="159">
        <v>4136569.5599999996</v>
      </c>
      <c r="G9" s="159">
        <v>3773659.56</v>
      </c>
      <c r="H9" s="159">
        <v>4168069.5599999996</v>
      </c>
      <c r="I9" s="159">
        <v>2590429.56</v>
      </c>
      <c r="J9" s="405"/>
      <c r="K9" s="405"/>
      <c r="L9" s="405"/>
      <c r="M9" s="405"/>
      <c r="N9" s="406"/>
      <c r="O9" s="407"/>
      <c r="P9" s="408"/>
      <c r="Q9" s="405"/>
      <c r="R9" s="151">
        <f t="shared" si="3"/>
        <v>14668728.24</v>
      </c>
      <c r="S9" s="159">
        <v>4036600</v>
      </c>
      <c r="T9" s="160"/>
      <c r="U9" s="160"/>
      <c r="V9" s="152">
        <f t="shared" si="0"/>
        <v>18705328.240000002</v>
      </c>
      <c r="W9" s="159"/>
      <c r="X9" s="163">
        <f t="shared" si="4"/>
        <v>54000000</v>
      </c>
      <c r="Y9" s="157">
        <f t="shared" si="2"/>
        <v>0</v>
      </c>
      <c r="Z9" s="191">
        <f t="shared" si="1"/>
        <v>4</v>
      </c>
    </row>
    <row r="10" spans="1:28" ht="15" customHeight="1">
      <c r="A10" s="150">
        <v>5</v>
      </c>
      <c r="B10" s="158" t="s">
        <v>203</v>
      </c>
      <c r="C10" s="150" t="s">
        <v>38</v>
      </c>
      <c r="D10" s="150" t="s">
        <v>7</v>
      </c>
      <c r="E10" s="204">
        <f>COUNT(F10:Q10)-COUNT(#REF!)</f>
        <v>11</v>
      </c>
      <c r="F10" s="159">
        <v>4122569.5599999996</v>
      </c>
      <c r="G10" s="159">
        <v>3728159.56</v>
      </c>
      <c r="H10" s="159">
        <v>4122569.5599999996</v>
      </c>
      <c r="I10" s="159">
        <v>3991099.56</v>
      </c>
      <c r="J10" s="159">
        <v>4122569.5599999996</v>
      </c>
      <c r="K10" s="159">
        <v>3991099.56</v>
      </c>
      <c r="L10" s="159">
        <v>4122569.76</v>
      </c>
      <c r="M10" s="159">
        <v>3994600.36</v>
      </c>
      <c r="N10" s="160">
        <v>3994600.36</v>
      </c>
      <c r="O10" s="161">
        <v>4126070.3600000003</v>
      </c>
      <c r="P10" s="162">
        <v>3994600.36</v>
      </c>
      <c r="Q10" s="159"/>
      <c r="R10" s="151">
        <f t="shared" si="3"/>
        <v>44310508.559999995</v>
      </c>
      <c r="S10" s="159">
        <v>3991100</v>
      </c>
      <c r="T10" s="160">
        <v>200000</v>
      </c>
      <c r="U10" s="160"/>
      <c r="V10" s="152">
        <f t="shared" si="0"/>
        <v>48501608.559999995</v>
      </c>
      <c r="W10" s="159"/>
      <c r="X10" s="163">
        <f t="shared" si="4"/>
        <v>54000000</v>
      </c>
      <c r="Y10" s="157">
        <f t="shared" si="2"/>
        <v>0</v>
      </c>
      <c r="Z10" s="191">
        <f t="shared" si="1"/>
        <v>11</v>
      </c>
    </row>
    <row r="11" spans="1:28" ht="15" customHeight="1">
      <c r="A11" s="150">
        <v>6</v>
      </c>
      <c r="B11" s="164" t="s">
        <v>204</v>
      </c>
      <c r="C11" s="150" t="s">
        <v>39</v>
      </c>
      <c r="D11" s="150" t="s">
        <v>9</v>
      </c>
      <c r="E11" s="204">
        <f>COUNT(F11:Q11)-COUNT(#REF!)</f>
        <v>11</v>
      </c>
      <c r="F11" s="159">
        <v>4195819.5599999996</v>
      </c>
      <c r="G11" s="159">
        <v>3798859.56</v>
      </c>
      <c r="H11" s="159">
        <v>4200469.5599999996</v>
      </c>
      <c r="I11" s="159">
        <v>4066599.5599999996</v>
      </c>
      <c r="J11" s="159">
        <v>4200469.5599999996</v>
      </c>
      <c r="K11" s="159">
        <v>4066599.5599999996</v>
      </c>
      <c r="L11" s="159">
        <v>4203969.96</v>
      </c>
      <c r="M11" s="159">
        <v>4070099.96</v>
      </c>
      <c r="N11" s="160">
        <v>3936229.96</v>
      </c>
      <c r="O11" s="161">
        <v>4070099.96</v>
      </c>
      <c r="P11" s="162">
        <v>4070099.96</v>
      </c>
      <c r="Q11" s="159"/>
      <c r="R11" s="151">
        <f t="shared" si="3"/>
        <v>44879317.159999996</v>
      </c>
      <c r="S11" s="159">
        <v>4066600</v>
      </c>
      <c r="T11" s="160">
        <v>600000</v>
      </c>
      <c r="U11" s="160"/>
      <c r="V11" s="152">
        <f t="shared" si="0"/>
        <v>49545917.159999996</v>
      </c>
      <c r="W11" s="159"/>
      <c r="X11" s="163">
        <f t="shared" si="4"/>
        <v>63000000</v>
      </c>
      <c r="Y11" s="157">
        <f t="shared" si="2"/>
        <v>0</v>
      </c>
      <c r="Z11" s="191">
        <f t="shared" si="1"/>
        <v>11</v>
      </c>
    </row>
    <row r="12" spans="1:28" ht="15" customHeight="1">
      <c r="A12" s="150">
        <v>7</v>
      </c>
      <c r="B12" s="149" t="s">
        <v>205</v>
      </c>
      <c r="C12" s="150" t="s">
        <v>39</v>
      </c>
      <c r="D12" s="150" t="s">
        <v>9</v>
      </c>
      <c r="E12" s="204">
        <f>COUNT(F12:Q12)-COUNT(#REF!)</f>
        <v>11</v>
      </c>
      <c r="F12" s="159">
        <v>4195819.5599999996</v>
      </c>
      <c r="G12" s="159">
        <v>3798859.56</v>
      </c>
      <c r="H12" s="159">
        <v>4200469.5599999996</v>
      </c>
      <c r="I12" s="159">
        <v>4066599.5599999996</v>
      </c>
      <c r="J12" s="159">
        <v>4200469.5599999996</v>
      </c>
      <c r="K12" s="159">
        <v>4066599.5599999996</v>
      </c>
      <c r="L12" s="159">
        <v>4203969.96</v>
      </c>
      <c r="M12" s="159">
        <v>4203969.96</v>
      </c>
      <c r="N12" s="160">
        <v>4070099.96</v>
      </c>
      <c r="O12" s="161">
        <v>4203969.96</v>
      </c>
      <c r="P12" s="162">
        <v>4070099.96</v>
      </c>
      <c r="Q12" s="159"/>
      <c r="R12" s="151">
        <f t="shared" si="3"/>
        <v>45280927.159999996</v>
      </c>
      <c r="S12" s="159">
        <v>4066600</v>
      </c>
      <c r="T12" s="160">
        <v>200000</v>
      </c>
      <c r="U12" s="160"/>
      <c r="V12" s="152">
        <f t="shared" si="0"/>
        <v>49547527.159999996</v>
      </c>
      <c r="W12" s="159"/>
      <c r="X12" s="163">
        <f t="shared" si="4"/>
        <v>63000000</v>
      </c>
      <c r="Y12" s="157">
        <f t="shared" si="2"/>
        <v>0</v>
      </c>
      <c r="Z12" s="191">
        <f t="shared" si="1"/>
        <v>11</v>
      </c>
    </row>
    <row r="13" spans="1:28" ht="15" customHeight="1">
      <c r="A13" s="150">
        <v>8</v>
      </c>
      <c r="B13" s="149" t="s">
        <v>206</v>
      </c>
      <c r="C13" s="150" t="s">
        <v>39</v>
      </c>
      <c r="D13" s="150" t="s">
        <v>11</v>
      </c>
      <c r="E13" s="204">
        <f>COUNT(F13:Q13)-COUNT(#REF!)</f>
        <v>11</v>
      </c>
      <c r="F13" s="159">
        <v>4203219.5599999996</v>
      </c>
      <c r="G13" s="159">
        <v>3803559.56</v>
      </c>
      <c r="H13" s="159">
        <v>4207869.5599999996</v>
      </c>
      <c r="I13" s="159">
        <v>3938329.56</v>
      </c>
      <c r="J13" s="159">
        <v>4207869.5599999996</v>
      </c>
      <c r="K13" s="159">
        <v>4073099.5599999996</v>
      </c>
      <c r="L13" s="159">
        <v>4207869.5599999996</v>
      </c>
      <c r="M13" s="159">
        <v>4073099.5599999996</v>
      </c>
      <c r="N13" s="160">
        <v>3806560.36</v>
      </c>
      <c r="O13" s="161">
        <v>4076100.3600000003</v>
      </c>
      <c r="P13" s="162">
        <v>4076100.3600000003</v>
      </c>
      <c r="Q13" s="159"/>
      <c r="R13" s="151">
        <f t="shared" si="3"/>
        <v>44673677.559999995</v>
      </c>
      <c r="S13" s="159">
        <v>4073100</v>
      </c>
      <c r="T13" s="160">
        <v>200000</v>
      </c>
      <c r="U13" s="160"/>
      <c r="V13" s="152">
        <f t="shared" si="0"/>
        <v>48946777.559999995</v>
      </c>
      <c r="W13" s="159"/>
      <c r="X13" s="163">
        <f t="shared" si="4"/>
        <v>67500000</v>
      </c>
      <c r="Y13" s="157">
        <f t="shared" si="2"/>
        <v>0</v>
      </c>
      <c r="Z13" s="191">
        <f t="shared" si="1"/>
        <v>11</v>
      </c>
    </row>
    <row r="14" spans="1:28" ht="15" customHeight="1">
      <c r="A14" s="150">
        <v>9</v>
      </c>
      <c r="B14" s="149" t="s">
        <v>207</v>
      </c>
      <c r="C14" s="150" t="s">
        <v>39</v>
      </c>
      <c r="D14" s="150" t="s">
        <v>9</v>
      </c>
      <c r="E14" s="204">
        <f>COUNT(F14:Q14)-COUNT(#REF!)</f>
        <v>11</v>
      </c>
      <c r="F14" s="159">
        <v>4175319.5599999996</v>
      </c>
      <c r="G14" s="159">
        <v>3778359.56</v>
      </c>
      <c r="H14" s="159">
        <v>4179969.5599999996</v>
      </c>
      <c r="I14" s="159">
        <v>4046099.5599999996</v>
      </c>
      <c r="J14" s="159">
        <v>4179969.5599999996</v>
      </c>
      <c r="K14" s="159">
        <v>4046099.5599999996</v>
      </c>
      <c r="L14" s="159">
        <v>4046099.5599999996</v>
      </c>
      <c r="M14" s="159">
        <v>4046099.5599999996</v>
      </c>
      <c r="N14" s="160">
        <v>3781360.36</v>
      </c>
      <c r="O14" s="161">
        <v>4182970.3600000003</v>
      </c>
      <c r="P14" s="162">
        <v>3915230.36</v>
      </c>
      <c r="Q14" s="159"/>
      <c r="R14" s="151">
        <f t="shared" si="3"/>
        <v>44377577.559999995</v>
      </c>
      <c r="S14" s="159">
        <v>4046100</v>
      </c>
      <c r="T14" s="160">
        <v>200000</v>
      </c>
      <c r="U14" s="160"/>
      <c r="V14" s="152">
        <f t="shared" si="0"/>
        <v>48623677.559999995</v>
      </c>
      <c r="W14" s="159"/>
      <c r="X14" s="163">
        <f t="shared" si="4"/>
        <v>63000000</v>
      </c>
      <c r="Y14" s="157">
        <f t="shared" si="2"/>
        <v>0</v>
      </c>
      <c r="Z14" s="191">
        <f t="shared" si="1"/>
        <v>11</v>
      </c>
    </row>
    <row r="15" spans="1:28" ht="15" customHeight="1">
      <c r="A15" s="150">
        <v>10</v>
      </c>
      <c r="B15" s="149" t="s">
        <v>208</v>
      </c>
      <c r="C15" s="150" t="s">
        <v>39</v>
      </c>
      <c r="D15" s="150" t="s">
        <v>9</v>
      </c>
      <c r="E15" s="204">
        <f>COUNT(F15:Q15)-COUNT(#REF!)</f>
        <v>11</v>
      </c>
      <c r="F15" s="159">
        <v>4195819.5599999996</v>
      </c>
      <c r="G15" s="159">
        <v>3664989.56</v>
      </c>
      <c r="H15" s="159">
        <v>4200469.5599999996</v>
      </c>
      <c r="I15" s="159">
        <v>4066599.5599999996</v>
      </c>
      <c r="J15" s="159">
        <v>4200469.5599999996</v>
      </c>
      <c r="K15" s="159">
        <v>4066599.5599999996</v>
      </c>
      <c r="L15" s="159">
        <v>4203969.96</v>
      </c>
      <c r="M15" s="159">
        <v>4203969.96</v>
      </c>
      <c r="N15" s="160">
        <v>3936229.96</v>
      </c>
      <c r="O15" s="161">
        <v>4203969.96</v>
      </c>
      <c r="P15" s="162">
        <v>4070099.96</v>
      </c>
      <c r="Q15" s="159"/>
      <c r="R15" s="151">
        <f t="shared" si="3"/>
        <v>45013187.159999996</v>
      </c>
      <c r="S15" s="159">
        <v>4066600</v>
      </c>
      <c r="T15" s="160">
        <v>200000</v>
      </c>
      <c r="U15" s="160"/>
      <c r="V15" s="152">
        <f t="shared" si="0"/>
        <v>49279787.159999996</v>
      </c>
      <c r="W15" s="159"/>
      <c r="X15" s="163">
        <f t="shared" si="4"/>
        <v>63000000</v>
      </c>
      <c r="Y15" s="157">
        <f t="shared" si="2"/>
        <v>0</v>
      </c>
      <c r="Z15" s="191">
        <f t="shared" si="1"/>
        <v>11</v>
      </c>
    </row>
    <row r="16" spans="1:28" ht="15" customHeight="1">
      <c r="A16" s="150">
        <v>11</v>
      </c>
      <c r="B16" s="149" t="s">
        <v>209</v>
      </c>
      <c r="C16" s="150" t="s">
        <v>38</v>
      </c>
      <c r="D16" s="150" t="s">
        <v>7</v>
      </c>
      <c r="E16" s="204">
        <f>COUNT(F16:Q16)-COUNT(#REF!)</f>
        <v>11</v>
      </c>
      <c r="F16" s="159">
        <v>4122569.5599999996</v>
      </c>
      <c r="G16" s="159">
        <v>3728159.56</v>
      </c>
      <c r="H16" s="159">
        <v>4122569.5599999996</v>
      </c>
      <c r="I16" s="159">
        <v>4049599.5599999996</v>
      </c>
      <c r="J16" s="159">
        <v>4183019.5599999996</v>
      </c>
      <c r="K16" s="159">
        <v>4049599.5599999996</v>
      </c>
      <c r="L16" s="159">
        <v>4186520.3600000003</v>
      </c>
      <c r="M16" s="159">
        <v>4053100.3600000003</v>
      </c>
      <c r="N16" s="160">
        <v>4053100.3600000003</v>
      </c>
      <c r="O16" s="161">
        <v>4186520.3600000003</v>
      </c>
      <c r="P16" s="162">
        <v>4053100.3600000003</v>
      </c>
      <c r="Q16" s="159"/>
      <c r="R16" s="151">
        <f t="shared" si="3"/>
        <v>44787859.159999996</v>
      </c>
      <c r="S16" s="159">
        <v>3991100</v>
      </c>
      <c r="T16" s="160">
        <v>600000</v>
      </c>
      <c r="U16" s="160"/>
      <c r="V16" s="152">
        <f t="shared" si="0"/>
        <v>49378959.159999996</v>
      </c>
      <c r="W16" s="159"/>
      <c r="X16" s="163">
        <f t="shared" si="4"/>
        <v>54000000</v>
      </c>
      <c r="Y16" s="157">
        <f t="shared" si="2"/>
        <v>0</v>
      </c>
      <c r="Z16" s="191">
        <f t="shared" si="1"/>
        <v>11</v>
      </c>
    </row>
    <row r="17" spans="1:26">
      <c r="A17" s="150">
        <v>12</v>
      </c>
      <c r="B17" s="164" t="s">
        <v>211</v>
      </c>
      <c r="C17" s="150" t="s">
        <v>38</v>
      </c>
      <c r="D17" s="150" t="s">
        <v>7</v>
      </c>
      <c r="E17" s="204">
        <f>COUNT(F17:Q17)-COUNT(#REF!)</f>
        <v>11</v>
      </c>
      <c r="F17" s="159">
        <v>4126069.5599999996</v>
      </c>
      <c r="G17" s="159">
        <v>3731659.56</v>
      </c>
      <c r="H17" s="159">
        <v>4126069.5599999996</v>
      </c>
      <c r="I17" s="159">
        <v>3994599.56</v>
      </c>
      <c r="J17" s="159">
        <v>4126069.5599999996</v>
      </c>
      <c r="K17" s="159">
        <v>3994599.56</v>
      </c>
      <c r="L17" s="159">
        <v>4129569.96</v>
      </c>
      <c r="M17" s="159">
        <v>4129569.96</v>
      </c>
      <c r="N17" s="160">
        <v>3998099.96</v>
      </c>
      <c r="O17" s="161">
        <v>4129569.96</v>
      </c>
      <c r="P17" s="162">
        <v>3998099.96</v>
      </c>
      <c r="Q17" s="159"/>
      <c r="R17" s="151">
        <f t="shared" si="3"/>
        <v>44483977.160000004</v>
      </c>
      <c r="S17" s="159">
        <v>3994600</v>
      </c>
      <c r="T17" s="160">
        <v>600000</v>
      </c>
      <c r="U17" s="160"/>
      <c r="V17" s="152">
        <f t="shared" si="0"/>
        <v>49078577.160000004</v>
      </c>
      <c r="W17" s="159"/>
      <c r="X17" s="163">
        <f t="shared" si="4"/>
        <v>54000000</v>
      </c>
      <c r="Y17" s="157">
        <f t="shared" si="2"/>
        <v>0</v>
      </c>
      <c r="Z17" s="191">
        <f t="shared" si="1"/>
        <v>11</v>
      </c>
    </row>
    <row r="18" spans="1:26">
      <c r="A18" s="150">
        <v>13</v>
      </c>
      <c r="B18" s="164" t="s">
        <v>212</v>
      </c>
      <c r="C18" s="150" t="s">
        <v>39</v>
      </c>
      <c r="D18" s="150" t="s">
        <v>11</v>
      </c>
      <c r="E18" s="204">
        <f>COUNT(F18:Q18)-COUNT(#REF!)</f>
        <v>11</v>
      </c>
      <c r="F18" s="159">
        <v>4598361.5599999996</v>
      </c>
      <c r="G18" s="159">
        <v>3884988.56</v>
      </c>
      <c r="H18" s="159">
        <v>4367726.5599999996</v>
      </c>
      <c r="I18" s="159">
        <v>4076099.5599999996</v>
      </c>
      <c r="J18" s="159">
        <v>4210869.5599999996</v>
      </c>
      <c r="K18" s="159">
        <v>4076099.5599999996</v>
      </c>
      <c r="L18" s="159">
        <v>4289298.3600000003</v>
      </c>
      <c r="M18" s="159">
        <v>4210870.3600000003</v>
      </c>
      <c r="N18" s="160">
        <v>4076100.3600000003</v>
      </c>
      <c r="O18" s="161">
        <v>4210870.3600000003</v>
      </c>
      <c r="P18" s="162">
        <v>4076100.3600000003</v>
      </c>
      <c r="Q18" s="159"/>
      <c r="R18" s="151">
        <f t="shared" si="3"/>
        <v>46077385.159999996</v>
      </c>
      <c r="S18" s="159">
        <v>4076100</v>
      </c>
      <c r="T18" s="160">
        <v>600000</v>
      </c>
      <c r="U18" s="160"/>
      <c r="V18" s="152">
        <f t="shared" si="0"/>
        <v>50753485.159999996</v>
      </c>
      <c r="W18" s="159"/>
      <c r="X18" s="163">
        <f t="shared" si="4"/>
        <v>67500000</v>
      </c>
      <c r="Y18" s="157">
        <f t="shared" si="2"/>
        <v>0</v>
      </c>
      <c r="Z18" s="191">
        <f t="shared" si="1"/>
        <v>11</v>
      </c>
    </row>
    <row r="19" spans="1:26">
      <c r="A19" s="150">
        <v>14</v>
      </c>
      <c r="B19" s="164" t="s">
        <v>213</v>
      </c>
      <c r="C19" s="150" t="s">
        <v>39</v>
      </c>
      <c r="D19" s="150" t="s">
        <v>9</v>
      </c>
      <c r="E19" s="204">
        <f>COUNT(F19:Q19)-COUNT(#REF!)</f>
        <v>4</v>
      </c>
      <c r="F19" s="159">
        <v>4206319.5599999996</v>
      </c>
      <c r="G19" s="159">
        <v>3833859.56</v>
      </c>
      <c r="H19" s="159">
        <v>4235469.5599999996</v>
      </c>
      <c r="I19" s="159">
        <v>1691939.56</v>
      </c>
      <c r="J19" s="405"/>
      <c r="K19" s="405"/>
      <c r="L19" s="405"/>
      <c r="M19" s="405"/>
      <c r="N19" s="406"/>
      <c r="O19" s="407"/>
      <c r="P19" s="408"/>
      <c r="Q19" s="405"/>
      <c r="R19" s="151">
        <f t="shared" si="3"/>
        <v>13967588.24</v>
      </c>
      <c r="S19" s="159">
        <v>4101600</v>
      </c>
      <c r="T19" s="160"/>
      <c r="U19" s="160"/>
      <c r="V19" s="152">
        <f t="shared" si="0"/>
        <v>18069188.240000002</v>
      </c>
      <c r="W19" s="159"/>
      <c r="X19" s="163">
        <f t="shared" si="4"/>
        <v>63000000</v>
      </c>
      <c r="Y19" s="157">
        <f t="shared" si="2"/>
        <v>0</v>
      </c>
      <c r="Z19" s="191">
        <f t="shared" si="1"/>
        <v>4</v>
      </c>
    </row>
    <row r="20" spans="1:26">
      <c r="A20" s="150">
        <v>15</v>
      </c>
      <c r="B20" s="149" t="s">
        <v>214</v>
      </c>
      <c r="C20" s="150" t="s">
        <v>39</v>
      </c>
      <c r="D20" s="150" t="s">
        <v>11</v>
      </c>
      <c r="E20" s="204">
        <f>COUNT(F20:Q20)-COUNT(#REF!)</f>
        <v>11</v>
      </c>
      <c r="F20" s="159">
        <v>4220219.5599999996</v>
      </c>
      <c r="G20" s="159">
        <v>3820559.56</v>
      </c>
      <c r="H20" s="159">
        <v>4224869.5599999996</v>
      </c>
      <c r="I20" s="159">
        <v>4090099.5599999996</v>
      </c>
      <c r="J20" s="159">
        <v>4224869.5599999996</v>
      </c>
      <c r="K20" s="159">
        <v>4093599.5599999996</v>
      </c>
      <c r="L20" s="159">
        <v>4228370.3600000003</v>
      </c>
      <c r="M20" s="159">
        <v>4228370.3600000003</v>
      </c>
      <c r="N20" s="160">
        <v>4093600.3600000003</v>
      </c>
      <c r="O20" s="161">
        <v>4228370.3600000003</v>
      </c>
      <c r="P20" s="162">
        <v>4093600.3600000003</v>
      </c>
      <c r="Q20" s="159"/>
      <c r="R20" s="151">
        <f t="shared" si="3"/>
        <v>45546529.159999996</v>
      </c>
      <c r="S20" s="159">
        <v>4090100</v>
      </c>
      <c r="T20" s="160">
        <v>600000</v>
      </c>
      <c r="U20" s="160"/>
      <c r="V20" s="152">
        <f t="shared" si="0"/>
        <v>50236629.159999996</v>
      </c>
      <c r="W20" s="159"/>
      <c r="X20" s="163">
        <f t="shared" si="4"/>
        <v>67500000</v>
      </c>
      <c r="Y20" s="157">
        <f t="shared" si="2"/>
        <v>0</v>
      </c>
      <c r="Z20" s="191">
        <f t="shared" si="1"/>
        <v>11</v>
      </c>
    </row>
    <row r="21" spans="1:26">
      <c r="A21" s="150">
        <v>16</v>
      </c>
      <c r="B21" s="149" t="s">
        <v>215</v>
      </c>
      <c r="C21" s="150" t="s">
        <v>39</v>
      </c>
      <c r="D21" s="150" t="s">
        <v>7</v>
      </c>
      <c r="E21" s="204">
        <f>COUNT(F21:Q21)-COUNT(#REF!)</f>
        <v>11</v>
      </c>
      <c r="F21" s="159">
        <v>6240134.5599999996</v>
      </c>
      <c r="G21" s="159">
        <v>5588031.5599999996</v>
      </c>
      <c r="H21" s="159">
        <v>5975217.5599999996</v>
      </c>
      <c r="I21" s="159">
        <v>6534868.5599999996</v>
      </c>
      <c r="J21" s="159">
        <v>6006329.5599999996</v>
      </c>
      <c r="K21" s="159">
        <v>6091236.5599999996</v>
      </c>
      <c r="L21" s="159">
        <v>6613368.3600000003</v>
      </c>
      <c r="M21" s="159">
        <v>5190454.3600000003</v>
      </c>
      <c r="N21" s="160">
        <v>4622026.3600000003</v>
      </c>
      <c r="O21" s="161">
        <v>4831925.3600000003</v>
      </c>
      <c r="P21" s="162">
        <v>5339085.3600000003</v>
      </c>
      <c r="Q21" s="159"/>
      <c r="R21" s="151">
        <f t="shared" si="3"/>
        <v>63032678.159999996</v>
      </c>
      <c r="S21" s="159">
        <v>3991100</v>
      </c>
      <c r="T21" s="160">
        <v>600000</v>
      </c>
      <c r="U21" s="160"/>
      <c r="V21" s="152">
        <f t="shared" si="0"/>
        <v>67623778.159999996</v>
      </c>
      <c r="W21" s="159"/>
      <c r="X21" s="163">
        <f t="shared" si="4"/>
        <v>54000000</v>
      </c>
      <c r="Y21" s="157">
        <f t="shared" si="2"/>
        <v>0</v>
      </c>
      <c r="Z21" s="191">
        <f t="shared" si="1"/>
        <v>11</v>
      </c>
    </row>
    <row r="22" spans="1:26">
      <c r="A22" s="150">
        <v>17</v>
      </c>
      <c r="B22" s="149" t="s">
        <v>521</v>
      </c>
      <c r="C22" s="150" t="s">
        <v>39</v>
      </c>
      <c r="D22" s="150" t="s">
        <v>9</v>
      </c>
      <c r="E22" s="204">
        <f>COUNT(F22:Q22)-COUNT(#REF!)</f>
        <v>11</v>
      </c>
      <c r="F22" s="159">
        <v>4163319.5599999996</v>
      </c>
      <c r="G22" s="159">
        <v>3766359.56</v>
      </c>
      <c r="H22" s="159">
        <v>4246398.5599999996</v>
      </c>
      <c r="I22" s="159">
        <v>3766359.56</v>
      </c>
      <c r="J22" s="159">
        <v>4201582.5599999996</v>
      </c>
      <c r="K22" s="159">
        <v>4034099.56</v>
      </c>
      <c r="L22" s="159">
        <v>4170970.16</v>
      </c>
      <c r="M22" s="159">
        <v>4170970.16</v>
      </c>
      <c r="N22" s="160">
        <v>4037100.16</v>
      </c>
      <c r="O22" s="161">
        <v>4170970.16</v>
      </c>
      <c r="P22" s="162">
        <v>4037100.16</v>
      </c>
      <c r="Q22" s="159"/>
      <c r="R22" s="151">
        <f t="shared" si="3"/>
        <v>44765230.159999996</v>
      </c>
      <c r="S22" s="159">
        <v>4034100</v>
      </c>
      <c r="T22" s="160">
        <v>200000</v>
      </c>
      <c r="U22" s="160"/>
      <c r="V22" s="152">
        <f t="shared" si="0"/>
        <v>48999330.159999996</v>
      </c>
      <c r="W22" s="159"/>
      <c r="X22" s="163">
        <f t="shared" si="4"/>
        <v>63000000</v>
      </c>
      <c r="Y22" s="157">
        <f t="shared" si="2"/>
        <v>0</v>
      </c>
      <c r="Z22" s="191">
        <f t="shared" si="1"/>
        <v>11</v>
      </c>
    </row>
    <row r="23" spans="1:26">
      <c r="A23" s="150">
        <v>18</v>
      </c>
      <c r="B23" s="158" t="s">
        <v>216</v>
      </c>
      <c r="C23" s="150" t="s">
        <v>39</v>
      </c>
      <c r="D23" s="150" t="s">
        <v>17</v>
      </c>
      <c r="E23" s="204">
        <f>COUNT(F23:Q23)-COUNT(#REF!)</f>
        <v>11</v>
      </c>
      <c r="F23" s="159">
        <v>4150419.5599999996</v>
      </c>
      <c r="G23" s="159">
        <v>3754759.56</v>
      </c>
      <c r="H23" s="159">
        <v>4153519.5599999996</v>
      </c>
      <c r="I23" s="159">
        <v>4020599.56</v>
      </c>
      <c r="J23" s="159">
        <v>4153519.5599999996</v>
      </c>
      <c r="K23" s="159">
        <v>4020599.56</v>
      </c>
      <c r="L23" s="159">
        <v>4153520.3600000003</v>
      </c>
      <c r="M23" s="159">
        <v>4153520.3600000003</v>
      </c>
      <c r="N23" s="160">
        <v>4020600.36</v>
      </c>
      <c r="O23" s="161">
        <v>4020600.36</v>
      </c>
      <c r="P23" s="162">
        <v>3887680.36</v>
      </c>
      <c r="Q23" s="159"/>
      <c r="R23" s="151">
        <f t="shared" si="3"/>
        <v>44489339.159999996</v>
      </c>
      <c r="S23" s="159">
        <v>4020600</v>
      </c>
      <c r="T23" s="160">
        <v>200000</v>
      </c>
      <c r="U23" s="160"/>
      <c r="V23" s="152">
        <f t="shared" si="0"/>
        <v>48709939.159999996</v>
      </c>
      <c r="W23" s="159"/>
      <c r="X23" s="163">
        <f t="shared" si="4"/>
        <v>58500000</v>
      </c>
      <c r="Y23" s="157">
        <f t="shared" si="2"/>
        <v>0</v>
      </c>
      <c r="Z23" s="191">
        <f t="shared" si="1"/>
        <v>11</v>
      </c>
    </row>
    <row r="24" spans="1:26">
      <c r="A24" s="150">
        <v>19</v>
      </c>
      <c r="B24" s="149" t="s">
        <v>217</v>
      </c>
      <c r="C24" s="150" t="s">
        <v>39</v>
      </c>
      <c r="D24" s="150" t="s">
        <v>9</v>
      </c>
      <c r="E24" s="204">
        <f>COUNT(F24:Q24)-COUNT(#REF!)</f>
        <v>11</v>
      </c>
      <c r="F24" s="159">
        <v>4175319.5599999996</v>
      </c>
      <c r="G24" s="159">
        <v>3778359.56</v>
      </c>
      <c r="H24" s="159">
        <v>5625291.5599999996</v>
      </c>
      <c r="I24" s="159">
        <v>6396899.5599999996</v>
      </c>
      <c r="J24" s="159">
        <v>6816900.5599999996</v>
      </c>
      <c r="K24" s="159">
        <v>5803599.5599999996</v>
      </c>
      <c r="L24" s="159">
        <v>6067469.5599999996</v>
      </c>
      <c r="M24" s="159">
        <v>5667854.5599999996</v>
      </c>
      <c r="N24" s="160">
        <v>5481600.3600000003</v>
      </c>
      <c r="O24" s="161">
        <v>5753526.3600000003</v>
      </c>
      <c r="P24" s="162">
        <v>6091100.3600000003</v>
      </c>
      <c r="Q24" s="159"/>
      <c r="R24" s="151">
        <f t="shared" si="3"/>
        <v>61657921.559999995</v>
      </c>
      <c r="S24" s="159">
        <v>4046100</v>
      </c>
      <c r="T24" s="160">
        <v>600000</v>
      </c>
      <c r="U24" s="160"/>
      <c r="V24" s="152">
        <f t="shared" si="0"/>
        <v>66304021.559999995</v>
      </c>
      <c r="W24" s="159"/>
      <c r="X24" s="163">
        <f t="shared" si="4"/>
        <v>63000000</v>
      </c>
      <c r="Y24" s="157">
        <f t="shared" si="2"/>
        <v>0</v>
      </c>
      <c r="Z24" s="191">
        <f t="shared" si="1"/>
        <v>11</v>
      </c>
    </row>
    <row r="25" spans="1:26">
      <c r="A25" s="150">
        <v>20</v>
      </c>
      <c r="B25" s="165" t="s">
        <v>218</v>
      </c>
      <c r="C25" s="150" t="s">
        <v>39</v>
      </c>
      <c r="D25" s="150" t="s">
        <v>9</v>
      </c>
      <c r="E25" s="204">
        <f>COUNT(F25:Q25)-COUNT(#REF!)</f>
        <v>11</v>
      </c>
      <c r="F25" s="159">
        <v>4175319.5599999996</v>
      </c>
      <c r="G25" s="159">
        <v>3778359.56</v>
      </c>
      <c r="H25" s="159">
        <v>4179969.5599999996</v>
      </c>
      <c r="I25" s="159">
        <v>4046099.5599999996</v>
      </c>
      <c r="J25" s="159">
        <v>4179969.5599999996</v>
      </c>
      <c r="K25" s="159">
        <v>4046099.5599999996</v>
      </c>
      <c r="L25" s="159">
        <v>4179969.5599999996</v>
      </c>
      <c r="M25" s="159">
        <v>4179969.5599999996</v>
      </c>
      <c r="N25" s="160">
        <v>4127528.3600000003</v>
      </c>
      <c r="O25" s="161">
        <v>4261398.3600000003</v>
      </c>
      <c r="P25" s="162">
        <v>4049100.3600000003</v>
      </c>
      <c r="Q25" s="159"/>
      <c r="R25" s="151">
        <f t="shared" si="3"/>
        <v>45203783.559999995</v>
      </c>
      <c r="S25" s="162">
        <v>4046100</v>
      </c>
      <c r="T25" s="160">
        <v>600000</v>
      </c>
      <c r="U25" s="160"/>
      <c r="V25" s="152">
        <f t="shared" si="0"/>
        <v>49849883.559999995</v>
      </c>
      <c r="W25" s="159"/>
      <c r="X25" s="163">
        <f t="shared" si="4"/>
        <v>63000000</v>
      </c>
      <c r="Y25" s="157">
        <f t="shared" si="2"/>
        <v>0</v>
      </c>
      <c r="Z25" s="191">
        <f t="shared" si="1"/>
        <v>11</v>
      </c>
    </row>
    <row r="26" spans="1:26">
      <c r="A26" s="150">
        <v>21</v>
      </c>
      <c r="B26" s="164" t="s">
        <v>219</v>
      </c>
      <c r="C26" s="150" t="s">
        <v>39</v>
      </c>
      <c r="D26" s="150" t="s">
        <v>9</v>
      </c>
      <c r="E26" s="204">
        <f>COUNT(F26:Q26)-COUNT(#REF!)</f>
        <v>11</v>
      </c>
      <c r="F26" s="159">
        <v>4195819.5599999996</v>
      </c>
      <c r="G26" s="159">
        <v>3798859.56</v>
      </c>
      <c r="H26" s="159">
        <v>4200469.5599999996</v>
      </c>
      <c r="I26" s="159">
        <v>4066599.5599999996</v>
      </c>
      <c r="J26" s="159">
        <v>4200469.5599999996</v>
      </c>
      <c r="K26" s="159">
        <v>4066599.5599999996</v>
      </c>
      <c r="L26" s="159">
        <v>4200470.3600000003</v>
      </c>
      <c r="M26" s="159">
        <v>4200470.3600000003</v>
      </c>
      <c r="N26" s="160">
        <v>4066600.3600000003</v>
      </c>
      <c r="O26" s="161">
        <v>4200470.3600000003</v>
      </c>
      <c r="P26" s="162">
        <v>3798860.36</v>
      </c>
      <c r="Q26" s="159"/>
      <c r="R26" s="151">
        <f t="shared" si="3"/>
        <v>44995689.159999996</v>
      </c>
      <c r="S26" s="162">
        <v>4066600</v>
      </c>
      <c r="T26" s="160">
        <v>600000</v>
      </c>
      <c r="U26" s="160"/>
      <c r="V26" s="152">
        <f t="shared" si="0"/>
        <v>49662289.159999996</v>
      </c>
      <c r="W26" s="159"/>
      <c r="X26" s="163">
        <f t="shared" si="4"/>
        <v>63000000</v>
      </c>
      <c r="Y26" s="157">
        <f t="shared" si="2"/>
        <v>0</v>
      </c>
      <c r="Z26" s="191">
        <f t="shared" si="1"/>
        <v>11</v>
      </c>
    </row>
    <row r="27" spans="1:26">
      <c r="A27" s="150">
        <v>22</v>
      </c>
      <c r="B27" s="149" t="s">
        <v>220</v>
      </c>
      <c r="C27" s="150" t="s">
        <v>39</v>
      </c>
      <c r="D27" s="150" t="s">
        <v>9</v>
      </c>
      <c r="E27" s="204">
        <f>COUNT(F27:Q27)-COUNT(#REF!)</f>
        <v>11</v>
      </c>
      <c r="F27" s="159">
        <v>9657428.5600000005</v>
      </c>
      <c r="G27" s="159">
        <v>8365525.5600000005</v>
      </c>
      <c r="H27" s="159">
        <v>7818907.5599999996</v>
      </c>
      <c r="I27" s="159">
        <v>9302925.5600000005</v>
      </c>
      <c r="J27" s="159">
        <v>8158337.5599999996</v>
      </c>
      <c r="K27" s="159">
        <v>8594568.5600000005</v>
      </c>
      <c r="L27" s="159">
        <v>6574819.5599999996</v>
      </c>
      <c r="M27" s="159">
        <v>7429168.5599999996</v>
      </c>
      <c r="N27" s="160">
        <v>6871487.5599999996</v>
      </c>
      <c r="O27" s="161">
        <v>7211791.5599999996</v>
      </c>
      <c r="P27" s="162">
        <v>6958338.5599999996</v>
      </c>
      <c r="Q27" s="159"/>
      <c r="R27" s="151">
        <f t="shared" si="3"/>
        <v>86943299.160000011</v>
      </c>
      <c r="S27" s="159">
        <v>4091600</v>
      </c>
      <c r="T27" s="160">
        <v>900000</v>
      </c>
      <c r="U27" s="160"/>
      <c r="V27" s="152">
        <f t="shared" si="0"/>
        <v>91934899.160000011</v>
      </c>
      <c r="W27" s="159"/>
      <c r="X27" s="163">
        <f t="shared" si="4"/>
        <v>63000000</v>
      </c>
      <c r="Y27" s="157">
        <f t="shared" si="2"/>
        <v>0</v>
      </c>
      <c r="Z27" s="191">
        <f t="shared" si="1"/>
        <v>11</v>
      </c>
    </row>
    <row r="28" spans="1:26">
      <c r="A28" s="150">
        <v>23</v>
      </c>
      <c r="B28" s="149" t="s">
        <v>221</v>
      </c>
      <c r="C28" s="150" t="s">
        <v>39</v>
      </c>
      <c r="D28" s="150" t="s">
        <v>9</v>
      </c>
      <c r="E28" s="204">
        <f>COUNT(F28:Q28)-COUNT(#REF!)</f>
        <v>11</v>
      </c>
      <c r="F28" s="159">
        <v>8934057.5600000005</v>
      </c>
      <c r="G28" s="159">
        <v>7704556.5599999996</v>
      </c>
      <c r="H28" s="159">
        <v>7629970.5599999996</v>
      </c>
      <c r="I28" s="159">
        <v>7444367.5599999996</v>
      </c>
      <c r="J28" s="159">
        <v>7666653.5599999996</v>
      </c>
      <c r="K28" s="159">
        <v>7385406.5599999996</v>
      </c>
      <c r="L28" s="159">
        <v>7662061.5599999996</v>
      </c>
      <c r="M28" s="159">
        <v>7085489.5599999996</v>
      </c>
      <c r="N28" s="160">
        <v>6735627.3600000003</v>
      </c>
      <c r="O28" s="161">
        <v>7199134.3600000003</v>
      </c>
      <c r="P28" s="162">
        <v>6868753.3600000003</v>
      </c>
      <c r="Q28" s="159"/>
      <c r="R28" s="151">
        <f t="shared" si="3"/>
        <v>82316078.560000002</v>
      </c>
      <c r="S28" s="159">
        <v>4032600</v>
      </c>
      <c r="T28" s="160">
        <v>600000</v>
      </c>
      <c r="U28" s="160"/>
      <c r="V28" s="152">
        <f t="shared" si="0"/>
        <v>86948678.560000002</v>
      </c>
      <c r="W28" s="159"/>
      <c r="X28" s="163">
        <f t="shared" si="4"/>
        <v>63000000</v>
      </c>
      <c r="Y28" s="157">
        <f t="shared" si="2"/>
        <v>0</v>
      </c>
      <c r="Z28" s="191">
        <f t="shared" si="1"/>
        <v>11</v>
      </c>
    </row>
    <row r="29" spans="1:26">
      <c r="A29" s="150">
        <v>24</v>
      </c>
      <c r="B29" s="149" t="s">
        <v>222</v>
      </c>
      <c r="C29" s="150" t="s">
        <v>39</v>
      </c>
      <c r="D29" s="150" t="s">
        <v>9</v>
      </c>
      <c r="E29" s="204">
        <f>COUNT(F29:Q29)-COUNT(#REF!)</f>
        <v>11</v>
      </c>
      <c r="F29" s="159">
        <v>8405145.5600000005</v>
      </c>
      <c r="G29" s="159">
        <v>7423261.5599999996</v>
      </c>
      <c r="H29" s="159">
        <v>7947008.5599999996</v>
      </c>
      <c r="I29" s="159">
        <v>6509736.5599999996</v>
      </c>
      <c r="J29" s="159">
        <v>7945130.5599999996</v>
      </c>
      <c r="K29" s="159">
        <v>7037781.5599999996</v>
      </c>
      <c r="L29" s="159">
        <v>7272462.96</v>
      </c>
      <c r="M29" s="159">
        <v>7153786.96</v>
      </c>
      <c r="N29" s="160">
        <v>6468490.96</v>
      </c>
      <c r="O29" s="161">
        <v>6810363.96</v>
      </c>
      <c r="P29" s="162">
        <v>6636015.96</v>
      </c>
      <c r="Q29" s="159"/>
      <c r="R29" s="151">
        <f t="shared" si="3"/>
        <v>79609185.159999996</v>
      </c>
      <c r="S29" s="159">
        <v>4101600</v>
      </c>
      <c r="T29" s="160">
        <v>900000</v>
      </c>
      <c r="U29" s="160"/>
      <c r="V29" s="152">
        <f t="shared" si="0"/>
        <v>84610785.159999996</v>
      </c>
      <c r="W29" s="159"/>
      <c r="X29" s="163">
        <f t="shared" si="4"/>
        <v>63000000</v>
      </c>
      <c r="Y29" s="157">
        <f t="shared" si="2"/>
        <v>0</v>
      </c>
      <c r="Z29" s="191">
        <f t="shared" si="1"/>
        <v>11</v>
      </c>
    </row>
    <row r="30" spans="1:26">
      <c r="A30" s="150">
        <v>25</v>
      </c>
      <c r="B30" s="164" t="s">
        <v>223</v>
      </c>
      <c r="C30" s="150" t="s">
        <v>39</v>
      </c>
      <c r="D30" s="150" t="s">
        <v>11</v>
      </c>
      <c r="E30" s="204">
        <f>COUNT(F30:Q30)-COUNT(#REF!)</f>
        <v>11</v>
      </c>
      <c r="F30" s="159">
        <v>9138248.5600000005</v>
      </c>
      <c r="G30" s="159">
        <v>7764969.5599999996</v>
      </c>
      <c r="H30" s="159">
        <v>7514514.5599999996</v>
      </c>
      <c r="I30" s="159">
        <v>6974015.5599999996</v>
      </c>
      <c r="J30" s="159">
        <v>7667824.5599999996</v>
      </c>
      <c r="K30" s="159">
        <v>7045541.5599999996</v>
      </c>
      <c r="L30" s="159">
        <v>7415711.5599999996</v>
      </c>
      <c r="M30" s="159">
        <v>7237705.5599999996</v>
      </c>
      <c r="N30" s="160">
        <v>6473991.5599999996</v>
      </c>
      <c r="O30" s="161">
        <v>6887730.5599999996</v>
      </c>
      <c r="P30" s="162">
        <v>6796373.5599999996</v>
      </c>
      <c r="Q30" s="159"/>
      <c r="R30" s="151">
        <f t="shared" si="3"/>
        <v>80916627.160000011</v>
      </c>
      <c r="S30" s="159">
        <v>4135600</v>
      </c>
      <c r="T30" s="163">
        <v>900000</v>
      </c>
      <c r="U30" s="160"/>
      <c r="V30" s="152">
        <f t="shared" si="0"/>
        <v>85952227.160000011</v>
      </c>
      <c r="W30" s="159"/>
      <c r="X30" s="163">
        <f t="shared" si="4"/>
        <v>67500000</v>
      </c>
      <c r="Y30" s="157">
        <f t="shared" si="2"/>
        <v>0</v>
      </c>
      <c r="Z30" s="191">
        <f t="shared" si="1"/>
        <v>11</v>
      </c>
    </row>
    <row r="31" spans="1:26">
      <c r="A31" s="150">
        <v>26</v>
      </c>
      <c r="B31" s="149" t="s">
        <v>225</v>
      </c>
      <c r="C31" s="150" t="s">
        <v>39</v>
      </c>
      <c r="D31" s="150" t="s">
        <v>17</v>
      </c>
      <c r="E31" s="204">
        <f>COUNT(F31:Q31)-COUNT(#REF!)</f>
        <v>11</v>
      </c>
      <c r="F31" s="159">
        <v>5741953.5599999996</v>
      </c>
      <c r="G31" s="162">
        <v>5551999.5599999996</v>
      </c>
      <c r="H31" s="162">
        <v>5921238.5599999996</v>
      </c>
      <c r="I31" s="159">
        <v>5433697.5599999996</v>
      </c>
      <c r="J31" s="159">
        <v>6943307.5599999996</v>
      </c>
      <c r="K31" s="159">
        <v>5923099.5599999996</v>
      </c>
      <c r="L31" s="159">
        <v>6103019.5599999996</v>
      </c>
      <c r="M31" s="159">
        <v>5376865.5599999996</v>
      </c>
      <c r="N31" s="160">
        <v>5178599.5599999996</v>
      </c>
      <c r="O31" s="161">
        <v>5424130.5599999996</v>
      </c>
      <c r="P31" s="162">
        <v>5547099.5599999996</v>
      </c>
      <c r="Q31" s="159"/>
      <c r="R31" s="151">
        <f t="shared" si="3"/>
        <v>63145011.160000011</v>
      </c>
      <c r="S31" s="159">
        <v>3990100</v>
      </c>
      <c r="T31" s="160">
        <v>200000</v>
      </c>
      <c r="U31" s="160"/>
      <c r="V31" s="152">
        <f t="shared" si="0"/>
        <v>67335111.160000011</v>
      </c>
      <c r="W31" s="159"/>
      <c r="X31" s="163">
        <f t="shared" si="4"/>
        <v>58500000</v>
      </c>
      <c r="Y31" s="157">
        <f t="shared" si="2"/>
        <v>0</v>
      </c>
    </row>
    <row r="32" spans="1:26">
      <c r="A32" s="150">
        <v>27</v>
      </c>
      <c r="B32" s="149" t="s">
        <v>226</v>
      </c>
      <c r="C32" s="150" t="s">
        <v>39</v>
      </c>
      <c r="D32" s="150" t="s">
        <v>9</v>
      </c>
      <c r="E32" s="204">
        <f>COUNT(F32:Q32)-COUNT(#REF!)</f>
        <v>11</v>
      </c>
      <c r="F32" s="159">
        <v>4613325.5599999996</v>
      </c>
      <c r="G32" s="162">
        <v>4491759.5599999996</v>
      </c>
      <c r="H32" s="162">
        <v>4809269.5599999996</v>
      </c>
      <c r="I32" s="159">
        <v>4455349.5599999996</v>
      </c>
      <c r="J32" s="159">
        <v>5862367.5599999996</v>
      </c>
      <c r="K32" s="159">
        <v>4833034.5599999996</v>
      </c>
      <c r="L32" s="159">
        <v>4309220.16</v>
      </c>
      <c r="M32" s="159">
        <v>5066024.16</v>
      </c>
      <c r="N32" s="160">
        <v>4881169.16</v>
      </c>
      <c r="O32" s="161">
        <v>4792970.16</v>
      </c>
      <c r="P32" s="161">
        <v>4789218.96</v>
      </c>
      <c r="Q32" s="159"/>
      <c r="R32" s="151">
        <f t="shared" si="3"/>
        <v>52903708.959999986</v>
      </c>
      <c r="S32" s="159">
        <v>4037100</v>
      </c>
      <c r="T32" s="160">
        <v>900000</v>
      </c>
      <c r="U32" s="160"/>
      <c r="V32" s="152">
        <f t="shared" si="0"/>
        <v>57840808.959999986</v>
      </c>
      <c r="W32" s="159"/>
      <c r="X32" s="163">
        <f t="shared" si="4"/>
        <v>63000000</v>
      </c>
      <c r="Y32" s="157">
        <f t="shared" si="2"/>
        <v>0</v>
      </c>
    </row>
    <row r="33" spans="1:26">
      <c r="A33" s="150">
        <v>28</v>
      </c>
      <c r="B33" s="149" t="s">
        <v>227</v>
      </c>
      <c r="C33" s="150" t="s">
        <v>39</v>
      </c>
      <c r="D33" s="150" t="s">
        <v>11</v>
      </c>
      <c r="E33" s="204">
        <f>COUNT(F33:Q33)-COUNT(#REF!)</f>
        <v>11</v>
      </c>
      <c r="F33" s="159">
        <v>4706978.5599999996</v>
      </c>
      <c r="G33" s="162">
        <v>4655354.5599999996</v>
      </c>
      <c r="H33" s="162">
        <v>4669619.5599999996</v>
      </c>
      <c r="I33" s="159">
        <v>4627287.5599999996</v>
      </c>
      <c r="J33" s="159">
        <v>7819313.5599999996</v>
      </c>
      <c r="K33" s="159">
        <v>5058852.5599999996</v>
      </c>
      <c r="L33" s="159">
        <v>4324870.16</v>
      </c>
      <c r="M33" s="159">
        <v>5049696.16</v>
      </c>
      <c r="N33" s="160">
        <v>5042077.16</v>
      </c>
      <c r="O33" s="161">
        <v>4906004.16</v>
      </c>
      <c r="P33" s="162">
        <v>4862896.96</v>
      </c>
      <c r="Q33" s="159"/>
      <c r="R33" s="151">
        <f t="shared" si="3"/>
        <v>55722950.959999986</v>
      </c>
      <c r="S33" s="159">
        <v>4064100</v>
      </c>
      <c r="T33" s="160">
        <v>900000</v>
      </c>
      <c r="U33" s="160"/>
      <c r="V33" s="152">
        <f t="shared" si="0"/>
        <v>60687050.959999986</v>
      </c>
      <c r="W33" s="159"/>
      <c r="X33" s="163">
        <f t="shared" si="4"/>
        <v>67500000</v>
      </c>
      <c r="Y33" s="157">
        <f t="shared" si="2"/>
        <v>0</v>
      </c>
    </row>
    <row r="34" spans="1:26">
      <c r="A34" s="150">
        <v>29</v>
      </c>
      <c r="B34" s="149" t="s">
        <v>192</v>
      </c>
      <c r="C34" s="150" t="s">
        <v>39</v>
      </c>
      <c r="D34" s="150" t="s">
        <v>11</v>
      </c>
      <c r="E34" s="204">
        <f>COUNT(F34:Q34)-COUNT(#REF!)</f>
        <v>11</v>
      </c>
      <c r="F34" s="159">
        <v>5052935.5599999996</v>
      </c>
      <c r="G34" s="162">
        <v>4791009.5599999996</v>
      </c>
      <c r="H34" s="162">
        <v>5200919.5599999996</v>
      </c>
      <c r="I34" s="159">
        <v>5782006.5599999996</v>
      </c>
      <c r="J34" s="159">
        <v>5367201.5599999996</v>
      </c>
      <c r="K34" s="159">
        <v>4853309.5599999996</v>
      </c>
      <c r="L34" s="159">
        <v>4445620.16</v>
      </c>
      <c r="M34" s="159">
        <v>5095795.16</v>
      </c>
      <c r="N34" s="160">
        <v>5169778.16</v>
      </c>
      <c r="O34" s="161">
        <v>5262617.16</v>
      </c>
      <c r="P34" s="162">
        <v>5304429.16</v>
      </c>
      <c r="Q34" s="159"/>
      <c r="R34" s="151">
        <f t="shared" si="3"/>
        <v>56325622.159999982</v>
      </c>
      <c r="S34" s="159">
        <v>4061100</v>
      </c>
      <c r="T34" s="160">
        <v>200000</v>
      </c>
      <c r="U34" s="160"/>
      <c r="V34" s="152">
        <f t="shared" si="0"/>
        <v>60586722.159999982</v>
      </c>
      <c r="W34" s="159"/>
      <c r="X34" s="163">
        <f t="shared" si="4"/>
        <v>67500000</v>
      </c>
      <c r="Y34" s="157">
        <f t="shared" si="2"/>
        <v>0</v>
      </c>
    </row>
    <row r="35" spans="1:26">
      <c r="A35" s="150">
        <v>30</v>
      </c>
      <c r="B35" s="164" t="s">
        <v>231</v>
      </c>
      <c r="C35" s="150" t="s">
        <v>39</v>
      </c>
      <c r="D35" s="150" t="s">
        <v>11</v>
      </c>
      <c r="E35" s="204">
        <f>COUNT(F35:Q35)-COUNT(#REF!)</f>
        <v>11</v>
      </c>
      <c r="F35" s="159">
        <v>4835169.5599999996</v>
      </c>
      <c r="G35" s="159">
        <v>4850044.5599999996</v>
      </c>
      <c r="H35" s="159">
        <v>4704669.5599999996</v>
      </c>
      <c r="I35" s="159">
        <v>4697211.5599999996</v>
      </c>
      <c r="J35" s="159">
        <v>4652439.5599999996</v>
      </c>
      <c r="K35" s="159">
        <v>4214427.5599999996</v>
      </c>
      <c r="L35" s="159">
        <v>4616220.3600000003</v>
      </c>
      <c r="M35" s="159">
        <v>4170970.16</v>
      </c>
      <c r="N35" s="160">
        <v>4037100.16</v>
      </c>
      <c r="O35" s="166">
        <v>4406255.16</v>
      </c>
      <c r="P35" s="162">
        <v>4037100.16</v>
      </c>
      <c r="Q35" s="159"/>
      <c r="R35" s="151">
        <f t="shared" si="3"/>
        <v>49221608.359999985</v>
      </c>
      <c r="S35" s="159">
        <v>4061100</v>
      </c>
      <c r="T35" s="160">
        <v>200000</v>
      </c>
      <c r="U35" s="160"/>
      <c r="V35" s="152">
        <f t="shared" si="0"/>
        <v>53482708.359999985</v>
      </c>
      <c r="W35" s="159"/>
      <c r="X35" s="163">
        <f t="shared" si="4"/>
        <v>67500000</v>
      </c>
      <c r="Y35" s="157">
        <f t="shared" si="2"/>
        <v>0</v>
      </c>
      <c r="Z35" s="191">
        <f>COUNT(F35:Q35)</f>
        <v>11</v>
      </c>
    </row>
    <row r="36" spans="1:26">
      <c r="A36" s="150">
        <v>31</v>
      </c>
      <c r="B36" s="167" t="s">
        <v>232</v>
      </c>
      <c r="C36" s="150" t="s">
        <v>39</v>
      </c>
      <c r="D36" s="150" t="s">
        <v>9</v>
      </c>
      <c r="E36" s="204">
        <f>COUNT(F36:Q36)-COUNT(#REF!)</f>
        <v>11</v>
      </c>
      <c r="F36" s="159">
        <v>4975192.5599999996</v>
      </c>
      <c r="G36" s="159">
        <v>5401917.5599999996</v>
      </c>
      <c r="H36" s="159">
        <v>5159508.5599999996</v>
      </c>
      <c r="I36" s="159">
        <v>6549421.5599999996</v>
      </c>
      <c r="J36" s="159">
        <v>5376926.5599999996</v>
      </c>
      <c r="K36" s="159">
        <v>4498530.5599999996</v>
      </c>
      <c r="L36" s="159">
        <v>4533219.5599999996</v>
      </c>
      <c r="M36" s="159">
        <v>4412469.5599999996</v>
      </c>
      <c r="N36" s="160">
        <v>4357028.5599999996</v>
      </c>
      <c r="O36" s="166">
        <v>4412469.5599999996</v>
      </c>
      <c r="P36" s="162">
        <v>4278599.5599999996</v>
      </c>
      <c r="Q36" s="162"/>
      <c r="R36" s="151">
        <f t="shared" si="3"/>
        <v>53955284.160000004</v>
      </c>
      <c r="S36" s="162">
        <v>4028600</v>
      </c>
      <c r="T36" s="161">
        <v>900000</v>
      </c>
      <c r="V36" s="152">
        <f t="shared" si="0"/>
        <v>58883884.160000004</v>
      </c>
      <c r="W36" s="159"/>
      <c r="X36" s="163">
        <f t="shared" si="4"/>
        <v>63000000</v>
      </c>
      <c r="Y36" s="157">
        <f t="shared" si="2"/>
        <v>0</v>
      </c>
      <c r="Z36" s="191">
        <f>COUNT(F36:Q36)</f>
        <v>11</v>
      </c>
    </row>
    <row r="37" spans="1:26">
      <c r="A37" s="150">
        <v>32</v>
      </c>
      <c r="B37" s="171" t="s">
        <v>234</v>
      </c>
      <c r="C37" s="150" t="s">
        <v>39</v>
      </c>
      <c r="D37" s="150" t="s">
        <v>9</v>
      </c>
      <c r="E37" s="204">
        <f>COUNT(F37:Q37)-COUNT(#REF!)</f>
        <v>11</v>
      </c>
      <c r="F37" s="159">
        <v>4675426.5599999996</v>
      </c>
      <c r="G37" s="159">
        <v>4419409.5599999996</v>
      </c>
      <c r="H37" s="159">
        <v>4927569.5599999996</v>
      </c>
      <c r="I37" s="159">
        <v>4413599.5599999996</v>
      </c>
      <c r="J37" s="159">
        <v>4785916.5599999996</v>
      </c>
      <c r="K37" s="159">
        <v>4158099.5599999996</v>
      </c>
      <c r="L37" s="159">
        <v>4292869.5599999996</v>
      </c>
      <c r="M37" s="159">
        <v>4190369.5599999996</v>
      </c>
      <c r="N37" s="160">
        <v>4499859.5599999996</v>
      </c>
      <c r="O37" s="161">
        <v>4734119.5599999996</v>
      </c>
      <c r="P37" s="162">
        <v>4865291.5599999996</v>
      </c>
      <c r="Q37" s="162"/>
      <c r="R37" s="151">
        <f t="shared" si="3"/>
        <v>49962531.160000004</v>
      </c>
      <c r="S37" s="172">
        <v>4026100</v>
      </c>
      <c r="T37" s="160">
        <v>900000</v>
      </c>
      <c r="U37" s="160"/>
      <c r="V37" s="152">
        <f t="shared" si="0"/>
        <v>54888631.160000004</v>
      </c>
      <c r="W37" s="159"/>
      <c r="X37" s="163">
        <f t="shared" si="4"/>
        <v>63000000</v>
      </c>
      <c r="Y37" s="157">
        <f t="shared" si="2"/>
        <v>0</v>
      </c>
    </row>
    <row r="38" spans="1:26">
      <c r="A38" s="150">
        <v>33</v>
      </c>
      <c r="B38" s="173" t="s">
        <v>236</v>
      </c>
      <c r="C38" s="150" t="s">
        <v>39</v>
      </c>
      <c r="D38" s="150" t="s">
        <v>9</v>
      </c>
      <c r="E38" s="204">
        <f>COUNT(F38:Q38)-COUNT(#REF!)</f>
        <v>11</v>
      </c>
      <c r="F38" s="159">
        <v>7485308.5599999996</v>
      </c>
      <c r="G38" s="159">
        <v>5484459.5599999996</v>
      </c>
      <c r="H38" s="159">
        <v>4839919.5599999996</v>
      </c>
      <c r="I38" s="159">
        <v>5637851.5599999996</v>
      </c>
      <c r="J38" s="159">
        <v>7234351.5599999996</v>
      </c>
      <c r="K38" s="159">
        <v>4575157.5599999996</v>
      </c>
      <c r="L38" s="159">
        <v>4277219.5599999996</v>
      </c>
      <c r="M38" s="159">
        <v>4974091.5599999996</v>
      </c>
      <c r="N38" s="160">
        <v>4945269.5599999996</v>
      </c>
      <c r="O38" s="161">
        <v>4935219.5599999996</v>
      </c>
      <c r="P38" s="162">
        <v>4742907.5599999996</v>
      </c>
      <c r="Q38" s="162"/>
      <c r="R38" s="151">
        <f t="shared" si="3"/>
        <v>59131756.160000011</v>
      </c>
      <c r="S38" s="172">
        <v>4023600</v>
      </c>
      <c r="T38" s="160">
        <v>900000</v>
      </c>
      <c r="U38" s="160"/>
      <c r="V38" s="152">
        <f t="shared" si="0"/>
        <v>64055356.160000011</v>
      </c>
      <c r="W38" s="159"/>
      <c r="X38" s="163">
        <f t="shared" si="4"/>
        <v>63000000</v>
      </c>
      <c r="Y38" s="157">
        <f t="shared" si="2"/>
        <v>0</v>
      </c>
    </row>
    <row r="39" spans="1:26">
      <c r="A39" s="150">
        <v>34</v>
      </c>
      <c r="B39" s="171" t="s">
        <v>237</v>
      </c>
      <c r="C39" s="150" t="s">
        <v>39</v>
      </c>
      <c r="D39" s="150" t="s">
        <v>7</v>
      </c>
      <c r="E39" s="204">
        <f>COUNT(F39:Q39)-COUNT(#REF!)</f>
        <v>3</v>
      </c>
      <c r="F39" s="159">
        <v>4376466.5599999996</v>
      </c>
      <c r="G39" s="159">
        <v>4114961.5599999996</v>
      </c>
      <c r="H39" s="159">
        <v>664849.56000000006</v>
      </c>
      <c r="I39" s="405"/>
      <c r="J39" s="405"/>
      <c r="K39" s="405"/>
      <c r="L39" s="405"/>
      <c r="M39" s="405"/>
      <c r="N39" s="406"/>
      <c r="O39" s="407"/>
      <c r="P39" s="408"/>
      <c r="Q39" s="408"/>
      <c r="R39" s="151">
        <f t="shared" si="3"/>
        <v>9156277.6799999997</v>
      </c>
      <c r="S39" s="172">
        <v>3951600</v>
      </c>
      <c r="T39" s="160"/>
      <c r="U39" s="160"/>
      <c r="V39" s="152">
        <f t="shared" si="0"/>
        <v>13107877.68</v>
      </c>
      <c r="W39" s="159"/>
      <c r="X39" s="163">
        <f t="shared" si="4"/>
        <v>54000000</v>
      </c>
      <c r="Y39" s="157">
        <f t="shared" si="2"/>
        <v>0</v>
      </c>
    </row>
    <row r="40" spans="1:26">
      <c r="A40" s="150">
        <v>35</v>
      </c>
      <c r="B40" s="174" t="s">
        <v>238</v>
      </c>
      <c r="C40" s="150" t="s">
        <v>39</v>
      </c>
      <c r="D40" s="150" t="s">
        <v>9</v>
      </c>
      <c r="E40" s="204">
        <f>COUNT(F40:Q40)-COUNT(#REF!)</f>
        <v>3</v>
      </c>
      <c r="F40" s="159">
        <v>5018636.5599999996</v>
      </c>
      <c r="G40" s="159">
        <v>4604309.5599999996</v>
      </c>
      <c r="H40" s="159">
        <v>2778639.56</v>
      </c>
      <c r="I40" s="405"/>
      <c r="J40" s="405"/>
      <c r="K40" s="405"/>
      <c r="L40" s="405"/>
      <c r="M40" s="405"/>
      <c r="N40" s="406"/>
      <c r="O40" s="407"/>
      <c r="P40" s="408"/>
      <c r="Q40" s="408"/>
      <c r="R40" s="151">
        <f t="shared" si="3"/>
        <v>12401585.68</v>
      </c>
      <c r="S40" s="172">
        <v>4021100</v>
      </c>
      <c r="T40" s="160">
        <v>600000</v>
      </c>
      <c r="U40" s="160"/>
      <c r="V40" s="152">
        <f t="shared" si="0"/>
        <v>17022685.68</v>
      </c>
      <c r="W40" s="159"/>
      <c r="X40" s="163">
        <f t="shared" si="4"/>
        <v>63000000</v>
      </c>
      <c r="Y40" s="157">
        <f t="shared" si="2"/>
        <v>0</v>
      </c>
    </row>
    <row r="41" spans="1:26">
      <c r="A41" s="150">
        <v>36</v>
      </c>
      <c r="B41" s="171" t="s">
        <v>239</v>
      </c>
      <c r="C41" s="150" t="s">
        <v>39</v>
      </c>
      <c r="D41" s="150" t="s">
        <v>9</v>
      </c>
      <c r="E41" s="204">
        <f>COUNT(F41:Q41)-COUNT(#REF!)</f>
        <v>11</v>
      </c>
      <c r="F41" s="159">
        <v>5360800.5599999996</v>
      </c>
      <c r="G41" s="159">
        <v>4758859.5599999996</v>
      </c>
      <c r="H41" s="159">
        <v>5142470.5599999996</v>
      </c>
      <c r="I41" s="159">
        <v>5884695.5599999996</v>
      </c>
      <c r="J41" s="159">
        <v>7391858.5599999996</v>
      </c>
      <c r="K41" s="159">
        <v>5399193.5599999996</v>
      </c>
      <c r="L41" s="159">
        <v>4363219.5599999996</v>
      </c>
      <c r="M41" s="159">
        <v>5359243.5599999996</v>
      </c>
      <c r="N41" s="159">
        <v>5328060.5599999996</v>
      </c>
      <c r="O41" s="159">
        <v>5510007.5599999996</v>
      </c>
      <c r="P41" s="159">
        <v>5191602.5599999996</v>
      </c>
      <c r="Q41" s="159"/>
      <c r="R41" s="151">
        <f t="shared" si="3"/>
        <v>59690012.160000011</v>
      </c>
      <c r="S41" s="175">
        <v>4021100</v>
      </c>
      <c r="T41" s="160">
        <v>900000</v>
      </c>
      <c r="U41" s="160"/>
      <c r="V41" s="152">
        <f t="shared" si="0"/>
        <v>64611112.160000011</v>
      </c>
      <c r="W41" s="159"/>
      <c r="X41" s="163">
        <f t="shared" si="4"/>
        <v>63000000</v>
      </c>
      <c r="Y41" s="157">
        <f t="shared" si="2"/>
        <v>0</v>
      </c>
    </row>
    <row r="42" spans="1:26">
      <c r="A42" s="150">
        <v>37</v>
      </c>
      <c r="B42" s="171" t="s">
        <v>241</v>
      </c>
      <c r="C42" s="150" t="s">
        <v>39</v>
      </c>
      <c r="D42" s="150" t="s">
        <v>7</v>
      </c>
      <c r="E42" s="204">
        <f>COUNT(F42:Q42)-COUNT(#REF!)</f>
        <v>11</v>
      </c>
      <c r="F42" s="162">
        <v>3979729.56</v>
      </c>
      <c r="G42" s="159">
        <v>4252283.5599999996</v>
      </c>
      <c r="H42" s="159">
        <v>4504501.5599999996</v>
      </c>
      <c r="I42" s="159">
        <v>5857556.5599999996</v>
      </c>
      <c r="J42" s="159">
        <v>6443934.5599999996</v>
      </c>
      <c r="K42" s="159">
        <v>4605026.5599999996</v>
      </c>
      <c r="L42" s="159">
        <v>5603916.5599999996</v>
      </c>
      <c r="M42" s="159">
        <v>4847591.5599999996</v>
      </c>
      <c r="N42" s="160">
        <v>5469889.5599999996</v>
      </c>
      <c r="O42" s="161">
        <v>4543959.5599999996</v>
      </c>
      <c r="P42" s="162">
        <v>5130072.5599999996</v>
      </c>
      <c r="Q42" s="162"/>
      <c r="R42" s="151">
        <f t="shared" si="3"/>
        <v>55238462.160000004</v>
      </c>
      <c r="S42" s="162">
        <v>3946600</v>
      </c>
      <c r="T42" s="160"/>
      <c r="U42" s="160"/>
      <c r="V42" s="152">
        <f t="shared" si="0"/>
        <v>59185062.160000004</v>
      </c>
      <c r="W42" s="159"/>
      <c r="X42" s="163">
        <f t="shared" si="4"/>
        <v>54000000</v>
      </c>
      <c r="Y42" s="157">
        <f t="shared" si="2"/>
        <v>0</v>
      </c>
    </row>
    <row r="43" spans="1:26">
      <c r="A43" s="150">
        <v>38</v>
      </c>
      <c r="B43" s="177" t="s">
        <v>242</v>
      </c>
      <c r="C43" s="150" t="s">
        <v>39</v>
      </c>
      <c r="D43" s="150" t="s">
        <v>7</v>
      </c>
      <c r="E43" s="204">
        <f>COUNT(F43:Q43)-COUNT(#REF!)</f>
        <v>3</v>
      </c>
      <c r="F43" s="162">
        <v>4184278.5599999996</v>
      </c>
      <c r="G43" s="159">
        <v>4147016.5599999996</v>
      </c>
      <c r="H43" s="159">
        <v>2381576.56</v>
      </c>
      <c r="I43" s="405"/>
      <c r="J43" s="405"/>
      <c r="K43" s="405"/>
      <c r="L43" s="405"/>
      <c r="M43" s="405"/>
      <c r="N43" s="406"/>
      <c r="O43" s="407"/>
      <c r="P43" s="408"/>
      <c r="Q43" s="408"/>
      <c r="R43" s="151">
        <f t="shared" si="3"/>
        <v>10712871.68</v>
      </c>
      <c r="S43" s="162">
        <v>3946600</v>
      </c>
      <c r="T43" s="160"/>
      <c r="U43" s="160"/>
      <c r="V43" s="152">
        <f t="shared" si="0"/>
        <v>14659471.68</v>
      </c>
      <c r="W43" s="159"/>
      <c r="X43" s="163">
        <f t="shared" si="4"/>
        <v>54000000</v>
      </c>
      <c r="Y43" s="157">
        <f t="shared" si="2"/>
        <v>0</v>
      </c>
    </row>
    <row r="44" spans="1:26">
      <c r="A44" s="150">
        <v>39</v>
      </c>
      <c r="B44" s="171" t="s">
        <v>243</v>
      </c>
      <c r="C44" s="150" t="s">
        <v>39</v>
      </c>
      <c r="D44" s="150" t="s">
        <v>11</v>
      </c>
      <c r="E44" s="204">
        <f>COUNT(F44:Q44)-COUNT(#REF!)</f>
        <v>3</v>
      </c>
      <c r="F44" s="162">
        <v>4228129.5599999996</v>
      </c>
      <c r="G44" s="159">
        <v>3850376.56</v>
      </c>
      <c r="H44" s="159">
        <v>2314222.56</v>
      </c>
      <c r="I44" s="405"/>
      <c r="J44" s="405"/>
      <c r="K44" s="405"/>
      <c r="L44" s="405"/>
      <c r="M44" s="405"/>
      <c r="N44" s="406"/>
      <c r="O44" s="407"/>
      <c r="P44" s="408"/>
      <c r="Q44" s="408"/>
      <c r="R44" s="151">
        <f t="shared" si="3"/>
        <v>10392728.68</v>
      </c>
      <c r="S44" s="162">
        <v>4045600</v>
      </c>
      <c r="T44" s="160"/>
      <c r="U44" s="160"/>
      <c r="V44" s="152">
        <f t="shared" si="0"/>
        <v>14438328.68</v>
      </c>
      <c r="W44" s="159"/>
      <c r="X44" s="163">
        <f t="shared" si="4"/>
        <v>67500000</v>
      </c>
      <c r="Y44" s="157">
        <f t="shared" si="2"/>
        <v>0</v>
      </c>
    </row>
    <row r="45" spans="1:26">
      <c r="A45" s="150">
        <v>40</v>
      </c>
      <c r="B45" s="169" t="s">
        <v>244</v>
      </c>
      <c r="C45" s="150" t="s">
        <v>39</v>
      </c>
      <c r="D45" s="150" t="s">
        <v>7</v>
      </c>
      <c r="E45" s="204">
        <f>COUNT(F45:Q45)-COUNT(#REF!)</f>
        <v>3</v>
      </c>
      <c r="F45" s="162">
        <v>4981482.5599999996</v>
      </c>
      <c r="G45" s="159">
        <v>4212989.5599999996</v>
      </c>
      <c r="H45" s="159">
        <v>2784988.56</v>
      </c>
      <c r="I45" s="405"/>
      <c r="J45" s="405"/>
      <c r="K45" s="405"/>
      <c r="L45" s="405"/>
      <c r="M45" s="405"/>
      <c r="N45" s="406"/>
      <c r="O45" s="407"/>
      <c r="P45" s="408"/>
      <c r="Q45" s="408"/>
      <c r="R45" s="151">
        <f t="shared" si="3"/>
        <v>11979460.68</v>
      </c>
      <c r="S45" s="162">
        <v>3946600</v>
      </c>
      <c r="T45" s="160"/>
      <c r="U45" s="160"/>
      <c r="V45" s="152">
        <f t="shared" si="0"/>
        <v>15926060.68</v>
      </c>
      <c r="W45" s="159"/>
      <c r="X45" s="163">
        <f t="shared" si="4"/>
        <v>54000000</v>
      </c>
      <c r="Y45" s="157">
        <f>IF(W45&lt;=X45,0,IF(W45&gt;X45,W45-X45))</f>
        <v>0</v>
      </c>
    </row>
    <row r="46" spans="1:26">
      <c r="A46" s="150">
        <v>41</v>
      </c>
      <c r="B46" s="171" t="s">
        <v>245</v>
      </c>
      <c r="C46" s="150" t="s">
        <v>39</v>
      </c>
      <c r="D46" s="150" t="s">
        <v>12</v>
      </c>
      <c r="E46" s="204">
        <f>COUNT(F46:Q46)-COUNT(#REF!)</f>
        <v>11</v>
      </c>
      <c r="F46" s="162">
        <v>7540816.5599999996</v>
      </c>
      <c r="G46" s="159">
        <v>8526389.5600000005</v>
      </c>
      <c r="H46" s="159">
        <v>6733143.5599999996</v>
      </c>
      <c r="I46" s="159">
        <v>5602386.5599999996</v>
      </c>
      <c r="J46" s="159">
        <v>13550778.560000001</v>
      </c>
      <c r="K46" s="159">
        <v>9986190.5600000005</v>
      </c>
      <c r="L46" s="159">
        <v>5652044.5599999996</v>
      </c>
      <c r="M46" s="159">
        <v>9653221.5600000005</v>
      </c>
      <c r="N46" s="160">
        <v>7403711.5599999996</v>
      </c>
      <c r="O46" s="161">
        <v>6403383.5599999996</v>
      </c>
      <c r="P46" s="162">
        <v>8014124.5599999996</v>
      </c>
      <c r="Q46" s="162"/>
      <c r="R46" s="151">
        <f t="shared" si="3"/>
        <v>89066191.160000011</v>
      </c>
      <c r="S46" s="162">
        <v>4045600</v>
      </c>
      <c r="T46" s="160">
        <v>750000</v>
      </c>
      <c r="U46" s="160"/>
      <c r="V46" s="152">
        <f>R46+S46+T46</f>
        <v>93861791.160000011</v>
      </c>
      <c r="W46" s="159"/>
      <c r="X46" s="163">
        <f t="shared" si="4"/>
        <v>72000000</v>
      </c>
      <c r="Y46" s="157">
        <f>IF(W46&lt;=X46,0,IF(W46&gt;X46,W46-X46))</f>
        <v>0</v>
      </c>
    </row>
    <row r="47" spans="1:26">
      <c r="A47" s="150">
        <v>42</v>
      </c>
      <c r="B47" s="171" t="s">
        <v>246</v>
      </c>
      <c r="C47" s="150" t="s">
        <v>39</v>
      </c>
      <c r="D47" s="150" t="s">
        <v>11</v>
      </c>
      <c r="E47" s="204">
        <f>COUNT(F47:Q47)-COUNT(#REF!)</f>
        <v>11</v>
      </c>
      <c r="F47" s="162">
        <v>3013205.56</v>
      </c>
      <c r="G47" s="159">
        <v>4777572.5599999996</v>
      </c>
      <c r="H47" s="159">
        <v>5169594.5599999996</v>
      </c>
      <c r="I47" s="159">
        <v>6999352.5599999996</v>
      </c>
      <c r="J47" s="159">
        <v>9153579.5600000005</v>
      </c>
      <c r="K47" s="159">
        <v>7080171.5599999996</v>
      </c>
      <c r="L47" s="159">
        <v>4343119.5599999996</v>
      </c>
      <c r="M47" s="159">
        <v>5276305.5599999996</v>
      </c>
      <c r="N47" s="160">
        <v>4924082.5599999996</v>
      </c>
      <c r="O47" s="161">
        <v>5471524.5599999996</v>
      </c>
      <c r="P47" s="332">
        <v>5029279.5599999996</v>
      </c>
      <c r="Q47" s="162"/>
      <c r="R47" s="151">
        <f t="shared" si="3"/>
        <v>61237788.160000011</v>
      </c>
      <c r="S47" s="162">
        <v>4045600</v>
      </c>
      <c r="T47" s="160">
        <v>450000</v>
      </c>
      <c r="U47" s="160"/>
      <c r="V47" s="152">
        <f>R47+S47+T47</f>
        <v>65733388.160000011</v>
      </c>
      <c r="W47" s="159"/>
      <c r="X47" s="163">
        <f t="shared" si="4"/>
        <v>67500000</v>
      </c>
      <c r="Y47" s="157">
        <f>IF(W47&lt;=X47,0,IF(W47&gt;X47,W47-X47))</f>
        <v>0</v>
      </c>
    </row>
    <row r="48" spans="1:26">
      <c r="A48" s="150">
        <v>43</v>
      </c>
      <c r="B48" s="169" t="s">
        <v>247</v>
      </c>
      <c r="C48" s="150" t="s">
        <v>39</v>
      </c>
      <c r="D48" s="150" t="s">
        <v>12</v>
      </c>
      <c r="E48" s="204">
        <f>COUNT(F48:Q48)-COUNT(#REF!)</f>
        <v>11</v>
      </c>
      <c r="F48" s="159">
        <v>4776095.5599999996</v>
      </c>
      <c r="G48" s="159">
        <v>4782197.5599999996</v>
      </c>
      <c r="H48" s="159">
        <v>4913825.5599999996</v>
      </c>
      <c r="I48" s="159">
        <v>6258039.5599999996</v>
      </c>
      <c r="J48" s="159">
        <v>6479196.5599999996</v>
      </c>
      <c r="K48" s="159">
        <v>5302507.5599999996</v>
      </c>
      <c r="L48" s="159">
        <v>4294119.5599999996</v>
      </c>
      <c r="M48" s="159">
        <v>5102255.5599999996</v>
      </c>
      <c r="N48" s="160">
        <v>5525480.5599999996</v>
      </c>
      <c r="O48" s="166">
        <v>4858369.5599999996</v>
      </c>
      <c r="P48" s="162">
        <v>4701243.5599999996</v>
      </c>
      <c r="Q48" s="162"/>
      <c r="R48" s="151">
        <f t="shared" si="3"/>
        <v>56993331.160000004</v>
      </c>
      <c r="S48" s="162">
        <v>3369250</v>
      </c>
      <c r="T48" s="160">
        <v>525000</v>
      </c>
      <c r="U48" s="160"/>
      <c r="V48" s="152">
        <f t="shared" si="0"/>
        <v>60887581.160000004</v>
      </c>
      <c r="W48" s="159"/>
      <c r="X48" s="163">
        <f t="shared" si="4"/>
        <v>72000000</v>
      </c>
      <c r="Y48" s="157">
        <f t="shared" ref="Y48:Y75" si="5">IF(W48&lt;=X48,0,IF(W48&gt;X48,W48-X48))</f>
        <v>0</v>
      </c>
      <c r="Z48" s="191">
        <f>COUNT(F48:Q48)</f>
        <v>11</v>
      </c>
    </row>
    <row r="49" spans="1:26">
      <c r="A49" s="150">
        <v>44</v>
      </c>
      <c r="B49" s="158" t="s">
        <v>506</v>
      </c>
      <c r="C49" s="150" t="s">
        <v>39</v>
      </c>
      <c r="D49" s="150" t="s">
        <v>11</v>
      </c>
      <c r="E49" s="204">
        <f>COUNT(F49:Q49)-COUNT(#REF!)</f>
        <v>11</v>
      </c>
      <c r="F49" s="159">
        <v>7186023.5599999996</v>
      </c>
      <c r="G49" s="159">
        <v>6255127.5599999996</v>
      </c>
      <c r="H49" s="159">
        <v>7303060.5599999996</v>
      </c>
      <c r="I49" s="159">
        <v>9188295.5600000005</v>
      </c>
      <c r="J49" s="159">
        <v>14020921.560000001</v>
      </c>
      <c r="K49" s="159">
        <v>10533398.560000001</v>
      </c>
      <c r="L49" s="159">
        <v>7795190.5599999996</v>
      </c>
      <c r="M49" s="159">
        <v>7204001.5599999996</v>
      </c>
      <c r="N49" s="160">
        <v>6968140.5599999996</v>
      </c>
      <c r="O49" s="166">
        <v>6846909.5599999996</v>
      </c>
      <c r="P49" s="162">
        <v>6290727.5599999996</v>
      </c>
      <c r="Q49" s="159"/>
      <c r="R49" s="151">
        <f t="shared" si="3"/>
        <v>89591797.160000011</v>
      </c>
      <c r="S49" s="159">
        <v>1347700</v>
      </c>
      <c r="T49" s="160">
        <v>150000</v>
      </c>
      <c r="U49" s="160"/>
      <c r="V49" s="152">
        <f t="shared" si="0"/>
        <v>91089497.160000011</v>
      </c>
      <c r="W49" s="159"/>
      <c r="X49" s="163">
        <f t="shared" si="4"/>
        <v>67500000</v>
      </c>
      <c r="Y49" s="157">
        <f t="shared" si="5"/>
        <v>0</v>
      </c>
      <c r="Z49" s="191">
        <f>COUNT(F49:Q49)</f>
        <v>11</v>
      </c>
    </row>
    <row r="50" spans="1:26">
      <c r="A50" s="150">
        <v>45</v>
      </c>
      <c r="B50" s="171" t="s">
        <v>192</v>
      </c>
      <c r="C50" s="150" t="s">
        <v>39</v>
      </c>
      <c r="D50" s="150" t="s">
        <v>12</v>
      </c>
      <c r="E50" s="204">
        <f>COUNT(F50:Q50)-COUNT(#REF!)</f>
        <v>11</v>
      </c>
      <c r="F50" s="159">
        <v>4739521.5599999996</v>
      </c>
      <c r="G50" s="159">
        <v>4681473.5599999996</v>
      </c>
      <c r="H50" s="159">
        <v>5281887.5599999996</v>
      </c>
      <c r="I50" s="159">
        <v>6972351.5599999996</v>
      </c>
      <c r="J50" s="159">
        <v>6141106.5599999996</v>
      </c>
      <c r="K50" s="159">
        <v>5071514.5599999996</v>
      </c>
      <c r="L50" s="159">
        <v>4401869.5599999996</v>
      </c>
      <c r="M50" s="159">
        <v>5338476.5599999996</v>
      </c>
      <c r="N50" s="160">
        <v>5850939.5599999996</v>
      </c>
      <c r="O50" s="161">
        <v>5280943.5599999996</v>
      </c>
      <c r="P50" s="162">
        <v>5159251.5599999996</v>
      </c>
      <c r="Q50" s="162"/>
      <c r="R50" s="151">
        <f t="shared" si="3"/>
        <v>58919336.160000004</v>
      </c>
      <c r="S50" s="413">
        <v>1347700</v>
      </c>
      <c r="T50" s="160">
        <v>150000</v>
      </c>
      <c r="U50" s="160"/>
      <c r="V50" s="152">
        <f t="shared" si="0"/>
        <v>60417036.160000004</v>
      </c>
      <c r="W50" s="159"/>
      <c r="X50" s="163">
        <f t="shared" si="4"/>
        <v>72000000</v>
      </c>
      <c r="Y50" s="157">
        <f t="shared" si="5"/>
        <v>0</v>
      </c>
    </row>
    <row r="51" spans="1:26">
      <c r="A51" s="150">
        <v>46</v>
      </c>
      <c r="B51" s="178" t="s">
        <v>508</v>
      </c>
      <c r="C51" s="150" t="s">
        <v>39</v>
      </c>
      <c r="D51" s="150" t="s">
        <v>7</v>
      </c>
      <c r="E51" s="204">
        <f>COUNT(F51:Q51)-COUNT(#REF!)</f>
        <v>3</v>
      </c>
      <c r="F51" s="162">
        <v>4603108.5599999996</v>
      </c>
      <c r="G51" s="159">
        <v>3973879.56</v>
      </c>
      <c r="H51" s="159">
        <v>745445.56</v>
      </c>
      <c r="I51" s="405"/>
      <c r="J51" s="405"/>
      <c r="K51" s="405"/>
      <c r="L51" s="405"/>
      <c r="M51" s="405"/>
      <c r="N51" s="406"/>
      <c r="O51" s="407"/>
      <c r="P51" s="408"/>
      <c r="Q51" s="408"/>
      <c r="R51" s="151">
        <f t="shared" si="3"/>
        <v>9322433.6799999997</v>
      </c>
      <c r="S51" s="162">
        <v>1314700</v>
      </c>
      <c r="T51" s="160"/>
      <c r="U51" s="160"/>
      <c r="V51" s="152">
        <f t="shared" si="0"/>
        <v>10637133.68</v>
      </c>
      <c r="W51" s="159"/>
      <c r="X51" s="163">
        <f t="shared" si="4"/>
        <v>54000000</v>
      </c>
      <c r="Y51" s="157">
        <f t="shared" si="5"/>
        <v>0</v>
      </c>
    </row>
    <row r="52" spans="1:26">
      <c r="A52" s="150">
        <v>47</v>
      </c>
      <c r="B52" s="171" t="s">
        <v>509</v>
      </c>
      <c r="C52" s="150" t="s">
        <v>39</v>
      </c>
      <c r="D52" s="150" t="s">
        <v>9</v>
      </c>
      <c r="E52" s="204">
        <f>COUNT(F52:Q52)-COUNT(#REF!)</f>
        <v>3</v>
      </c>
      <c r="F52" s="162">
        <v>4469930.5599999996</v>
      </c>
      <c r="G52" s="159">
        <v>4460016.5599999996</v>
      </c>
      <c r="H52" s="159">
        <v>1182918.56</v>
      </c>
      <c r="I52" s="405"/>
      <c r="J52" s="405"/>
      <c r="K52" s="405"/>
      <c r="L52" s="405"/>
      <c r="M52" s="405"/>
      <c r="N52" s="406"/>
      <c r="O52" s="407"/>
      <c r="P52" s="408"/>
      <c r="Q52" s="408"/>
      <c r="R52" s="151">
        <f t="shared" si="3"/>
        <v>10112865.68</v>
      </c>
      <c r="S52" s="162">
        <v>1338700</v>
      </c>
      <c r="T52" s="160"/>
      <c r="U52" s="160"/>
      <c r="V52" s="152">
        <f t="shared" si="0"/>
        <v>11451565.68</v>
      </c>
      <c r="W52" s="159"/>
      <c r="X52" s="163">
        <f t="shared" si="4"/>
        <v>63000000</v>
      </c>
      <c r="Y52" s="157">
        <f t="shared" si="5"/>
        <v>0</v>
      </c>
    </row>
    <row r="53" spans="1:26">
      <c r="A53" s="150">
        <v>48</v>
      </c>
      <c r="B53" s="169" t="s">
        <v>523</v>
      </c>
      <c r="C53" s="150" t="s">
        <v>39</v>
      </c>
      <c r="D53" s="150" t="s">
        <v>7</v>
      </c>
      <c r="E53" s="204">
        <f>COUNT(F53:Q53)-COUNT(#REF!)</f>
        <v>9</v>
      </c>
      <c r="F53" s="162">
        <v>5251299.5599999996</v>
      </c>
      <c r="G53" s="159">
        <v>4889690.5599999996</v>
      </c>
      <c r="H53" s="159">
        <v>4638039.5599999996</v>
      </c>
      <c r="I53" s="159">
        <v>6593756.5599999996</v>
      </c>
      <c r="J53" s="159">
        <v>6101037.5599999996</v>
      </c>
      <c r="K53" s="159">
        <v>4344508.5599999996</v>
      </c>
      <c r="L53" s="159">
        <v>4157819.5599999996</v>
      </c>
      <c r="M53" s="159">
        <v>4566173.5599999996</v>
      </c>
      <c r="N53" s="160">
        <v>2014333.56</v>
      </c>
      <c r="O53" s="407"/>
      <c r="P53" s="408"/>
      <c r="Q53" s="408"/>
      <c r="R53" s="151">
        <f t="shared" si="3"/>
        <v>42556659.039999999</v>
      </c>
      <c r="S53" s="162">
        <v>986025</v>
      </c>
      <c r="T53" s="160">
        <v>75000</v>
      </c>
      <c r="U53" s="160"/>
      <c r="V53" s="152">
        <f t="shared" si="0"/>
        <v>43617684.039999999</v>
      </c>
      <c r="W53" s="159"/>
      <c r="X53" s="163">
        <f t="shared" si="4"/>
        <v>54000000</v>
      </c>
      <c r="Y53" s="157">
        <f t="shared" si="5"/>
        <v>0</v>
      </c>
    </row>
    <row r="54" spans="1:26">
      <c r="A54" s="150">
        <v>49</v>
      </c>
      <c r="B54" s="169" t="s">
        <v>531</v>
      </c>
      <c r="C54" s="150" t="s">
        <v>39</v>
      </c>
      <c r="D54" s="150" t="s">
        <v>11</v>
      </c>
      <c r="E54" s="204">
        <f>COUNT(F54:Q54)-COUNT(#REF!)</f>
        <v>1</v>
      </c>
      <c r="F54" s="162">
        <v>2006009.56</v>
      </c>
      <c r="G54" s="405"/>
      <c r="H54" s="405"/>
      <c r="I54" s="405"/>
      <c r="J54" s="405"/>
      <c r="K54" s="405"/>
      <c r="L54" s="405"/>
      <c r="M54" s="405"/>
      <c r="N54" s="406"/>
      <c r="O54" s="407"/>
      <c r="P54" s="408"/>
      <c r="Q54" s="408"/>
      <c r="R54" s="151">
        <f t="shared" si="3"/>
        <v>2006009.56</v>
      </c>
      <c r="S54" s="408"/>
      <c r="T54" s="406"/>
      <c r="U54" s="406"/>
      <c r="V54" s="152">
        <f>R54+S54+T54</f>
        <v>2006009.56</v>
      </c>
      <c r="W54" s="159"/>
      <c r="X54" s="163">
        <f t="shared" si="4"/>
        <v>67500000</v>
      </c>
      <c r="Y54" s="157">
        <f t="shared" si="5"/>
        <v>0</v>
      </c>
    </row>
    <row r="55" spans="1:26">
      <c r="A55" s="150">
        <v>50</v>
      </c>
      <c r="B55" s="169" t="s">
        <v>507</v>
      </c>
      <c r="C55" s="150" t="s">
        <v>39</v>
      </c>
      <c r="D55" s="150" t="s">
        <v>17</v>
      </c>
      <c r="E55" s="204">
        <f>COUNT(F55:Q55)-COUNT(#REF!)</f>
        <v>1</v>
      </c>
      <c r="F55" s="159">
        <v>1704881.56</v>
      </c>
      <c r="G55" s="405"/>
      <c r="H55" s="405"/>
      <c r="I55" s="405"/>
      <c r="J55" s="405"/>
      <c r="K55" s="405"/>
      <c r="L55" s="405"/>
      <c r="M55" s="405"/>
      <c r="N55" s="406"/>
      <c r="O55" s="407"/>
      <c r="P55" s="408"/>
      <c r="Q55" s="408"/>
      <c r="R55" s="151">
        <f t="shared" si="3"/>
        <v>1704881.56</v>
      </c>
      <c r="S55" s="408"/>
      <c r="T55" s="406"/>
      <c r="U55" s="406"/>
      <c r="V55" s="152">
        <f t="shared" ref="V55:V75" si="6">R55+S55+T55</f>
        <v>1704881.56</v>
      </c>
      <c r="W55" s="159"/>
      <c r="X55" s="163">
        <f t="shared" si="4"/>
        <v>58500000</v>
      </c>
      <c r="Y55" s="157">
        <f t="shared" si="5"/>
        <v>0</v>
      </c>
    </row>
    <row r="56" spans="1:26">
      <c r="A56" s="150">
        <v>51</v>
      </c>
      <c r="B56" s="169" t="s">
        <v>534</v>
      </c>
      <c r="C56" s="150" t="s">
        <v>39</v>
      </c>
      <c r="D56" s="150" t="s">
        <v>9</v>
      </c>
      <c r="E56" s="204">
        <f>COUNT(F56:Q56)-COUNT(#REF!)</f>
        <v>11</v>
      </c>
      <c r="F56" s="159">
        <v>4296027.9999999991</v>
      </c>
      <c r="G56" s="159">
        <v>3713739.56</v>
      </c>
      <c r="H56" s="159">
        <v>4187099.5599999996</v>
      </c>
      <c r="I56" s="159">
        <v>4141329.5599999996</v>
      </c>
      <c r="J56" s="159">
        <v>4380561.5599999996</v>
      </c>
      <c r="K56" s="159">
        <v>4391106.5599999996</v>
      </c>
      <c r="L56" s="159">
        <v>4109099.5599999996</v>
      </c>
      <c r="M56" s="159">
        <v>4187869.5599999996</v>
      </c>
      <c r="N56" s="160">
        <v>4077686.5599999996</v>
      </c>
      <c r="O56" s="161">
        <v>4190369.5599999996</v>
      </c>
      <c r="P56" s="162">
        <v>4055599.5599999996</v>
      </c>
      <c r="Q56" s="162"/>
      <c r="R56" s="151">
        <f t="shared" si="3"/>
        <v>45730489.599999994</v>
      </c>
      <c r="S56" s="162">
        <v>4026100</v>
      </c>
      <c r="T56" s="160">
        <v>200000</v>
      </c>
      <c r="U56" s="160"/>
      <c r="V56" s="152">
        <f t="shared" si="6"/>
        <v>49956589.599999994</v>
      </c>
      <c r="W56" s="159"/>
      <c r="X56" s="163">
        <f t="shared" si="4"/>
        <v>63000000</v>
      </c>
      <c r="Y56" s="157">
        <f t="shared" si="5"/>
        <v>0</v>
      </c>
    </row>
    <row r="57" spans="1:26">
      <c r="A57" s="150">
        <v>52</v>
      </c>
      <c r="B57" s="169" t="s">
        <v>536</v>
      </c>
      <c r="C57" s="150" t="s">
        <v>39</v>
      </c>
      <c r="D57" s="150" t="s">
        <v>7</v>
      </c>
      <c r="E57" s="204">
        <f>COUNT(F57:Q57)-COUNT(#REF!)</f>
        <v>9</v>
      </c>
      <c r="F57" s="405"/>
      <c r="G57" s="405"/>
      <c r="H57" s="159">
        <v>2953955.56</v>
      </c>
      <c r="I57" s="159">
        <v>6443134.5599999996</v>
      </c>
      <c r="J57" s="159">
        <v>7420201.5599999996</v>
      </c>
      <c r="K57" s="159">
        <v>4729519.5599999996</v>
      </c>
      <c r="L57" s="159">
        <v>4227819.5599999996</v>
      </c>
      <c r="M57" s="159">
        <v>5766455.5599999996</v>
      </c>
      <c r="N57" s="160">
        <v>5447751.5599999996</v>
      </c>
      <c r="O57" s="161">
        <v>5829369.5599999996</v>
      </c>
      <c r="P57" s="162">
        <v>5034493.5599999996</v>
      </c>
      <c r="Q57" s="162"/>
      <c r="R57" s="151">
        <f t="shared" si="3"/>
        <v>47852701.039999999</v>
      </c>
      <c r="S57" s="408"/>
      <c r="T57" s="406"/>
      <c r="U57" s="406"/>
      <c r="V57" s="152">
        <f t="shared" si="6"/>
        <v>47852701.039999999</v>
      </c>
      <c r="W57" s="159"/>
      <c r="X57" s="163">
        <f t="shared" si="4"/>
        <v>54000000</v>
      </c>
      <c r="Y57" s="157">
        <f t="shared" si="5"/>
        <v>0</v>
      </c>
    </row>
    <row r="58" spans="1:26">
      <c r="A58" s="150">
        <v>53</v>
      </c>
      <c r="B58" s="169" t="s">
        <v>543</v>
      </c>
      <c r="C58" s="433" t="s">
        <v>39</v>
      </c>
      <c r="D58" s="179" t="s">
        <v>7</v>
      </c>
      <c r="E58" s="204">
        <f>COUNT(F58:Q58)-COUNT(#REF!)</f>
        <v>7</v>
      </c>
      <c r="F58" s="405"/>
      <c r="G58" s="405"/>
      <c r="H58" s="405"/>
      <c r="I58" s="405"/>
      <c r="J58" s="159">
        <v>4796614.5599999996</v>
      </c>
      <c r="K58" s="159">
        <v>6038566.5599999996</v>
      </c>
      <c r="L58" s="159">
        <v>4654307.5599999996</v>
      </c>
      <c r="M58" s="159">
        <v>5334770.5599999996</v>
      </c>
      <c r="N58" s="160">
        <v>4799565.5599999996</v>
      </c>
      <c r="O58" s="161">
        <v>4773589.5599999996</v>
      </c>
      <c r="P58" s="162">
        <v>4711464.5599999996</v>
      </c>
      <c r="Q58" s="162"/>
      <c r="R58" s="151">
        <f t="shared" si="3"/>
        <v>35108878.919999994</v>
      </c>
      <c r="S58" s="162"/>
      <c r="T58" s="160"/>
      <c r="U58" s="160"/>
      <c r="V58" s="152">
        <f t="shared" si="6"/>
        <v>35108878.919999994</v>
      </c>
      <c r="W58" s="159"/>
      <c r="X58" s="163">
        <f t="shared" si="4"/>
        <v>54000000</v>
      </c>
      <c r="Y58" s="157">
        <f t="shared" si="5"/>
        <v>0</v>
      </c>
    </row>
    <row r="59" spans="1:26">
      <c r="A59" s="150">
        <v>54</v>
      </c>
      <c r="B59" s="169" t="s">
        <v>549</v>
      </c>
      <c r="C59" s="179" t="s">
        <v>39</v>
      </c>
      <c r="D59" s="179" t="s">
        <v>9</v>
      </c>
      <c r="E59" s="204">
        <f>COUNT(F59:Q59)-COUNT(#REF!)</f>
        <v>11</v>
      </c>
      <c r="F59" s="159">
        <v>4380919.9999999991</v>
      </c>
      <c r="G59" s="159">
        <v>3707989.56</v>
      </c>
      <c r="H59" s="159">
        <v>4465585.5599999996</v>
      </c>
      <c r="I59" s="159">
        <v>4153466.5599999996</v>
      </c>
      <c r="J59" s="159">
        <v>4348059.5599999996</v>
      </c>
      <c r="K59" s="159">
        <v>4285161.5599999996</v>
      </c>
      <c r="L59" s="159">
        <v>4203599.5599999996</v>
      </c>
      <c r="M59" s="159">
        <v>4046099.5599999996</v>
      </c>
      <c r="N59" s="159">
        <v>4046099.5599999996</v>
      </c>
      <c r="O59" s="161">
        <v>4049100.3600000003</v>
      </c>
      <c r="P59" s="162">
        <v>3781360.36</v>
      </c>
      <c r="Q59" s="162"/>
      <c r="R59" s="151">
        <f t="shared" si="3"/>
        <v>45467442.199999996</v>
      </c>
      <c r="S59" s="162">
        <v>4046100</v>
      </c>
      <c r="T59" s="160">
        <v>200000</v>
      </c>
      <c r="U59" s="160"/>
      <c r="V59" s="152">
        <f t="shared" si="6"/>
        <v>49713542.199999996</v>
      </c>
      <c r="W59" s="159"/>
      <c r="X59" s="163">
        <f t="shared" si="4"/>
        <v>63000000</v>
      </c>
      <c r="Y59" s="157">
        <f t="shared" si="5"/>
        <v>0</v>
      </c>
    </row>
    <row r="60" spans="1:26">
      <c r="A60" s="150">
        <v>55</v>
      </c>
      <c r="B60" s="169" t="s">
        <v>550</v>
      </c>
      <c r="C60" s="179" t="s">
        <v>39</v>
      </c>
      <c r="D60" s="179" t="s">
        <v>7</v>
      </c>
      <c r="E60" s="204">
        <f>COUNT(F60:Q60)-COUNT(#REF!)</f>
        <v>11</v>
      </c>
      <c r="F60" s="159">
        <v>4410490.5599999996</v>
      </c>
      <c r="G60" s="159">
        <v>4132384.5599999996</v>
      </c>
      <c r="H60" s="159">
        <v>4074771.5599999996</v>
      </c>
      <c r="I60" s="159">
        <v>4006877.56</v>
      </c>
      <c r="J60" s="159">
        <v>3648957.56</v>
      </c>
      <c r="K60" s="159">
        <v>3605058.56</v>
      </c>
      <c r="L60" s="159">
        <v>3563685.56</v>
      </c>
      <c r="M60" s="159">
        <v>4078069.5599999996</v>
      </c>
      <c r="N60" s="159">
        <v>3823713.56</v>
      </c>
      <c r="O60" s="161">
        <v>4296379.5599999996</v>
      </c>
      <c r="P60" s="162">
        <v>4481344.5599999996</v>
      </c>
      <c r="Q60" s="162"/>
      <c r="R60" s="151">
        <f t="shared" si="3"/>
        <v>44121733.160000004</v>
      </c>
      <c r="S60" s="162">
        <v>3286750</v>
      </c>
      <c r="T60" s="160">
        <v>116667</v>
      </c>
      <c r="U60" s="160"/>
      <c r="V60" s="152">
        <f t="shared" si="6"/>
        <v>47525150.160000004</v>
      </c>
      <c r="W60" s="159"/>
      <c r="X60" s="163">
        <f t="shared" si="4"/>
        <v>54000000</v>
      </c>
      <c r="Y60" s="157">
        <f t="shared" si="5"/>
        <v>0</v>
      </c>
    </row>
    <row r="61" spans="1:26">
      <c r="A61" s="150">
        <v>56</v>
      </c>
      <c r="B61" s="169" t="s">
        <v>214</v>
      </c>
      <c r="C61" s="179" t="s">
        <v>39</v>
      </c>
      <c r="D61" s="179" t="s">
        <v>9</v>
      </c>
      <c r="E61" s="204">
        <f>COUNT(F61:Q61)-COUNT(#REF!)</f>
        <v>11</v>
      </c>
      <c r="F61" s="159">
        <v>4260871.9999999991</v>
      </c>
      <c r="G61" s="159">
        <v>3808759.56</v>
      </c>
      <c r="H61" s="159">
        <v>4474585.5599999996</v>
      </c>
      <c r="I61" s="159">
        <v>4219338.5599999996</v>
      </c>
      <c r="J61" s="159">
        <v>4206939.5599999996</v>
      </c>
      <c r="K61" s="159">
        <v>4139741.5599999996</v>
      </c>
      <c r="L61" s="159">
        <v>3895479.96</v>
      </c>
      <c r="M61" s="159">
        <v>4163019.76</v>
      </c>
      <c r="N61" s="159">
        <v>3896179.76</v>
      </c>
      <c r="O61" s="161">
        <v>4163019.76</v>
      </c>
      <c r="P61" s="162">
        <v>4029599.76</v>
      </c>
      <c r="Q61" s="162"/>
      <c r="R61" s="151">
        <f t="shared" ref="R61:R75" si="7">SUM(F61:Q61)</f>
        <v>45257535.79999999</v>
      </c>
      <c r="S61" s="162">
        <v>4026600</v>
      </c>
      <c r="T61" s="160">
        <v>200000</v>
      </c>
      <c r="U61" s="160"/>
      <c r="V61" s="152">
        <f t="shared" si="6"/>
        <v>49484135.79999999</v>
      </c>
      <c r="W61" s="159"/>
      <c r="X61" s="163">
        <f t="shared" si="4"/>
        <v>63000000</v>
      </c>
      <c r="Y61" s="157">
        <f t="shared" si="5"/>
        <v>0</v>
      </c>
    </row>
    <row r="62" spans="1:26">
      <c r="A62" s="150">
        <v>57</v>
      </c>
      <c r="B62" s="169" t="s">
        <v>551</v>
      </c>
      <c r="C62" s="179" t="s">
        <v>39</v>
      </c>
      <c r="D62" s="179" t="s">
        <v>17</v>
      </c>
      <c r="E62" s="204">
        <f>COUNT(F62:Q62)-COUNT(#REF!)</f>
        <v>11</v>
      </c>
      <c r="F62" s="159">
        <v>4778826.5599999996</v>
      </c>
      <c r="G62" s="159">
        <v>4259305.5599999996</v>
      </c>
      <c r="H62" s="159">
        <v>4570056.5599999996</v>
      </c>
      <c r="I62" s="159">
        <v>4593659.5599999996</v>
      </c>
      <c r="J62" s="159">
        <v>4018761.56</v>
      </c>
      <c r="K62" s="159">
        <v>4357243.5599999996</v>
      </c>
      <c r="L62" s="159">
        <v>3779950.56</v>
      </c>
      <c r="M62" s="159">
        <v>4123019.5599999996</v>
      </c>
      <c r="N62" s="159">
        <v>3857179.56</v>
      </c>
      <c r="O62" s="159">
        <v>3990099.56</v>
      </c>
      <c r="P62" s="162">
        <v>3724259.56</v>
      </c>
      <c r="Q62" s="162"/>
      <c r="R62" s="151">
        <f t="shared" si="7"/>
        <v>46052362.160000004</v>
      </c>
      <c r="S62" s="162">
        <v>3655300</v>
      </c>
      <c r="T62" s="160">
        <v>133333</v>
      </c>
      <c r="U62" s="160"/>
      <c r="V62" s="152">
        <f t="shared" si="6"/>
        <v>49840995.160000004</v>
      </c>
      <c r="W62" s="159"/>
      <c r="X62" s="163">
        <f t="shared" si="4"/>
        <v>58500000</v>
      </c>
      <c r="Y62" s="157">
        <f t="shared" si="5"/>
        <v>0</v>
      </c>
    </row>
    <row r="63" spans="1:26">
      <c r="A63" s="150">
        <v>58</v>
      </c>
      <c r="B63" s="169" t="s">
        <v>210</v>
      </c>
      <c r="C63" s="179" t="s">
        <v>38</v>
      </c>
      <c r="D63" s="179" t="s">
        <v>7</v>
      </c>
      <c r="E63" s="204">
        <f>COUNT(F63:Q63)-COUNT(#REF!)</f>
        <v>11</v>
      </c>
      <c r="F63" s="159">
        <v>4122569.5599999996</v>
      </c>
      <c r="G63" s="159">
        <v>3728159.56</v>
      </c>
      <c r="H63" s="159">
        <v>4122569.5599999996</v>
      </c>
      <c r="I63" s="159">
        <v>4114344.5599999996</v>
      </c>
      <c r="J63" s="159">
        <v>4122569.5599999996</v>
      </c>
      <c r="K63" s="159">
        <v>3991099.56</v>
      </c>
      <c r="L63" s="159">
        <v>4122569.76</v>
      </c>
      <c r="M63" s="159">
        <v>3991099.76</v>
      </c>
      <c r="N63" s="159">
        <v>3991099.76</v>
      </c>
      <c r="O63" s="159">
        <v>3859629.76</v>
      </c>
      <c r="P63" s="162">
        <v>3728159.76</v>
      </c>
      <c r="Q63" s="162"/>
      <c r="R63" s="151">
        <f t="shared" si="7"/>
        <v>43893871.159999989</v>
      </c>
      <c r="S63" s="162">
        <v>3991100</v>
      </c>
      <c r="T63" s="160">
        <v>200000</v>
      </c>
      <c r="U63" s="160"/>
      <c r="V63" s="152">
        <f t="shared" si="6"/>
        <v>48084971.159999989</v>
      </c>
      <c r="W63" s="159"/>
      <c r="X63" s="163">
        <f t="shared" si="4"/>
        <v>54000000</v>
      </c>
      <c r="Y63" s="157">
        <f t="shared" si="5"/>
        <v>0</v>
      </c>
    </row>
    <row r="64" spans="1:26">
      <c r="A64" s="150">
        <v>59</v>
      </c>
      <c r="B64" s="169" t="s">
        <v>562</v>
      </c>
      <c r="C64" s="179" t="s">
        <v>39</v>
      </c>
      <c r="D64" s="179" t="s">
        <v>9</v>
      </c>
      <c r="E64" s="204">
        <f>COUNT(F64:Q64)-COUNT(#REF!)</f>
        <v>11</v>
      </c>
      <c r="F64" s="159">
        <v>4290021.9999999991</v>
      </c>
      <c r="G64" s="159">
        <v>3719239.56</v>
      </c>
      <c r="H64" s="159">
        <v>4265509.5599999996</v>
      </c>
      <c r="I64" s="159">
        <v>4292307.5599999996</v>
      </c>
      <c r="J64" s="159">
        <v>4621271.5599999996</v>
      </c>
      <c r="K64" s="159">
        <v>4157886.5599999996</v>
      </c>
      <c r="L64" s="159">
        <v>4683319.96</v>
      </c>
      <c r="M64" s="159">
        <v>4052599.96</v>
      </c>
      <c r="N64" s="159">
        <v>4277974.96</v>
      </c>
      <c r="O64" s="159">
        <v>4592219.96</v>
      </c>
      <c r="P64" s="162">
        <v>4018809.96</v>
      </c>
      <c r="Q64" s="162"/>
      <c r="R64" s="151">
        <f t="shared" si="7"/>
        <v>46971161.599999994</v>
      </c>
      <c r="S64" s="162">
        <v>4052600</v>
      </c>
      <c r="T64" s="160">
        <v>200000</v>
      </c>
      <c r="U64" s="160"/>
      <c r="V64" s="152">
        <f t="shared" si="6"/>
        <v>51223761.599999994</v>
      </c>
      <c r="W64" s="159"/>
      <c r="X64" s="163">
        <f t="shared" si="4"/>
        <v>63000000</v>
      </c>
      <c r="Y64" s="157">
        <f t="shared" si="5"/>
        <v>0</v>
      </c>
    </row>
    <row r="65" spans="1:26">
      <c r="A65" s="150">
        <v>60</v>
      </c>
      <c r="B65" s="169" t="s">
        <v>563</v>
      </c>
      <c r="C65" s="179" t="s">
        <v>39</v>
      </c>
      <c r="D65" s="179" t="s">
        <v>11</v>
      </c>
      <c r="E65" s="204">
        <f>COUNT(F65:Q65)-COUNT(#REF!)</f>
        <v>11</v>
      </c>
      <c r="F65" s="159">
        <v>4779809.5599999996</v>
      </c>
      <c r="G65" s="159">
        <v>4183089.5599999996</v>
      </c>
      <c r="H65" s="159">
        <v>4332537.5599999996</v>
      </c>
      <c r="I65" s="159">
        <v>4299497.5599999996</v>
      </c>
      <c r="J65" s="159">
        <v>4588273.5599999996</v>
      </c>
      <c r="K65" s="159">
        <v>4618461.5599999996</v>
      </c>
      <c r="L65" s="159">
        <v>4742109.96</v>
      </c>
      <c r="M65" s="159">
        <v>4067099.96</v>
      </c>
      <c r="N65" s="159">
        <v>4070099.76</v>
      </c>
      <c r="O65" s="159">
        <v>4204869.76</v>
      </c>
      <c r="P65" s="162">
        <v>3800559.76</v>
      </c>
      <c r="Q65" s="162"/>
      <c r="R65" s="151">
        <f t="shared" si="7"/>
        <v>47686408.559999987</v>
      </c>
      <c r="S65" s="162">
        <v>4067100</v>
      </c>
      <c r="T65" s="160">
        <v>200000</v>
      </c>
      <c r="U65" s="160"/>
      <c r="V65" s="152">
        <f t="shared" si="6"/>
        <v>51953508.559999987</v>
      </c>
      <c r="W65" s="159"/>
      <c r="X65" s="163">
        <f t="shared" si="4"/>
        <v>67500000</v>
      </c>
      <c r="Y65" s="157">
        <f t="shared" si="5"/>
        <v>0</v>
      </c>
    </row>
    <row r="66" spans="1:26">
      <c r="A66" s="150">
        <v>61</v>
      </c>
      <c r="B66" s="169" t="s">
        <v>564</v>
      </c>
      <c r="C66" s="179" t="s">
        <v>39</v>
      </c>
      <c r="D66" s="179" t="s">
        <v>7</v>
      </c>
      <c r="E66" s="204">
        <f>COUNT(F66:Q66)-COUNT(#REF!)</f>
        <v>11</v>
      </c>
      <c r="F66" s="159">
        <v>4443722.5599999996</v>
      </c>
      <c r="G66" s="159">
        <v>3657690.56</v>
      </c>
      <c r="H66" s="159">
        <v>5300168.5599999996</v>
      </c>
      <c r="I66" s="159">
        <v>4016037.56</v>
      </c>
      <c r="J66" s="159">
        <v>4273584.5599999996</v>
      </c>
      <c r="K66" s="159">
        <v>5464451.5599999996</v>
      </c>
      <c r="L66" s="159">
        <v>3662804.56</v>
      </c>
      <c r="M66" s="159">
        <v>3949099.56</v>
      </c>
      <c r="N66" s="159">
        <v>4207864.5599999996</v>
      </c>
      <c r="O66" s="159">
        <v>4103371.5599999996</v>
      </c>
      <c r="P66" s="162">
        <v>4259601.5599999996</v>
      </c>
      <c r="Q66" s="162"/>
      <c r="R66" s="151">
        <f t="shared" si="7"/>
        <v>47338397.160000004</v>
      </c>
      <c r="S66" s="162">
        <v>3946600</v>
      </c>
      <c r="T66" s="160">
        <v>200000</v>
      </c>
      <c r="U66" s="160"/>
      <c r="V66" s="152">
        <f t="shared" si="6"/>
        <v>51484997.160000004</v>
      </c>
      <c r="W66" s="159"/>
      <c r="X66" s="163">
        <f t="shared" si="4"/>
        <v>54000000</v>
      </c>
      <c r="Y66" s="157">
        <f t="shared" si="5"/>
        <v>0</v>
      </c>
    </row>
    <row r="67" spans="1:26">
      <c r="A67" s="150">
        <v>62</v>
      </c>
      <c r="B67" s="169" t="s">
        <v>573</v>
      </c>
      <c r="C67" s="179" t="s">
        <v>38</v>
      </c>
      <c r="D67" s="179" t="s">
        <v>7</v>
      </c>
      <c r="E67" s="204">
        <f>COUNT(F67:Q67)-COUNT(#REF!)</f>
        <v>3</v>
      </c>
      <c r="F67" s="405"/>
      <c r="G67" s="405"/>
      <c r="H67" s="405"/>
      <c r="I67" s="405"/>
      <c r="J67" s="405"/>
      <c r="K67" s="405"/>
      <c r="L67" s="405"/>
      <c r="M67" s="405"/>
      <c r="N67" s="159">
        <v>3876599.56</v>
      </c>
      <c r="O67" s="159">
        <v>4005819.56</v>
      </c>
      <c r="P67" s="162">
        <v>3876599.56</v>
      </c>
      <c r="Q67" s="162"/>
      <c r="R67" s="151">
        <f t="shared" si="7"/>
        <v>11759018.68</v>
      </c>
      <c r="S67" s="162"/>
      <c r="T67" s="160"/>
      <c r="U67" s="160"/>
      <c r="V67" s="152">
        <f t="shared" si="6"/>
        <v>11759018.68</v>
      </c>
      <c r="W67" s="159"/>
      <c r="X67" s="163">
        <f t="shared" si="4"/>
        <v>54000000</v>
      </c>
      <c r="Y67" s="157">
        <f t="shared" si="5"/>
        <v>0</v>
      </c>
    </row>
    <row r="68" spans="1:26">
      <c r="A68" s="150">
        <v>63</v>
      </c>
      <c r="B68" s="169" t="s">
        <v>574</v>
      </c>
      <c r="C68" s="179" t="s">
        <v>39</v>
      </c>
      <c r="D68" s="179" t="s">
        <v>7</v>
      </c>
      <c r="E68" s="204">
        <f>COUNT(F68:Q68)-COUNT(#REF!)</f>
        <v>3</v>
      </c>
      <c r="F68" s="405"/>
      <c r="G68" s="405"/>
      <c r="H68" s="405"/>
      <c r="I68" s="405"/>
      <c r="J68" s="405"/>
      <c r="K68" s="405"/>
      <c r="L68" s="405"/>
      <c r="M68" s="405"/>
      <c r="N68" s="159">
        <v>3876599.56</v>
      </c>
      <c r="O68" s="159">
        <v>4005819.56</v>
      </c>
      <c r="P68" s="162">
        <v>3876599.56</v>
      </c>
      <c r="Q68" s="162"/>
      <c r="R68" s="151">
        <f t="shared" si="7"/>
        <v>11759018.68</v>
      </c>
      <c r="S68" s="162"/>
      <c r="T68" s="160"/>
      <c r="U68" s="160"/>
      <c r="V68" s="152">
        <f t="shared" si="6"/>
        <v>11759018.68</v>
      </c>
      <c r="W68" s="180"/>
      <c r="X68" s="163">
        <f t="shared" si="4"/>
        <v>54000000</v>
      </c>
      <c r="Y68" s="157">
        <f t="shared" si="5"/>
        <v>0</v>
      </c>
    </row>
    <row r="69" spans="1:26">
      <c r="A69" s="150">
        <v>64</v>
      </c>
      <c r="B69" s="169" t="s">
        <v>575</v>
      </c>
      <c r="C69" s="179" t="s">
        <v>38</v>
      </c>
      <c r="D69" s="179" t="s">
        <v>7</v>
      </c>
      <c r="E69" s="204">
        <f>COUNT(F69:Q69)-COUNT(#REF!)</f>
        <v>3</v>
      </c>
      <c r="F69" s="405"/>
      <c r="G69" s="405"/>
      <c r="H69" s="405"/>
      <c r="I69" s="405"/>
      <c r="J69" s="405"/>
      <c r="K69" s="405"/>
      <c r="L69" s="405"/>
      <c r="M69" s="405"/>
      <c r="N69" s="159">
        <v>3876599.56</v>
      </c>
      <c r="O69" s="159">
        <v>4005819.56</v>
      </c>
      <c r="P69" s="162">
        <v>3747379.56</v>
      </c>
      <c r="Q69" s="162"/>
      <c r="R69" s="151">
        <f t="shared" si="7"/>
        <v>11629798.68</v>
      </c>
      <c r="S69" s="162"/>
      <c r="T69" s="160"/>
      <c r="U69" s="160"/>
      <c r="V69" s="152">
        <f t="shared" si="6"/>
        <v>11629798.68</v>
      </c>
      <c r="W69" s="180"/>
      <c r="X69" s="163">
        <f t="shared" si="4"/>
        <v>54000000</v>
      </c>
      <c r="Y69" s="157">
        <f t="shared" si="5"/>
        <v>0</v>
      </c>
    </row>
    <row r="70" spans="1:26">
      <c r="A70" s="150">
        <v>65</v>
      </c>
      <c r="B70" s="169" t="s">
        <v>582</v>
      </c>
      <c r="C70" s="179" t="s">
        <v>39</v>
      </c>
      <c r="D70" s="179" t="s">
        <v>7</v>
      </c>
      <c r="E70" s="204">
        <f>COUNT(F70:Q70)-COUNT(#REF!)</f>
        <v>2</v>
      </c>
      <c r="F70" s="405"/>
      <c r="G70" s="405"/>
      <c r="H70" s="405"/>
      <c r="I70" s="405"/>
      <c r="J70" s="405"/>
      <c r="K70" s="405"/>
      <c r="L70" s="405"/>
      <c r="M70" s="405"/>
      <c r="N70" s="405"/>
      <c r="O70" s="159">
        <v>4864819.5599999996</v>
      </c>
      <c r="P70" s="159">
        <v>5140959.5599999996</v>
      </c>
      <c r="Q70" s="162"/>
      <c r="R70" s="151">
        <f t="shared" si="7"/>
        <v>10005779.119999999</v>
      </c>
      <c r="S70" s="162"/>
      <c r="T70" s="160"/>
      <c r="U70" s="160"/>
      <c r="V70" s="152">
        <f t="shared" si="6"/>
        <v>10005779.119999999</v>
      </c>
      <c r="W70" s="180"/>
      <c r="X70" s="163">
        <f t="shared" si="4"/>
        <v>54000000</v>
      </c>
      <c r="Y70" s="157">
        <f t="shared" si="5"/>
        <v>0</v>
      </c>
    </row>
    <row r="71" spans="1:26">
      <c r="A71" s="150">
        <v>66</v>
      </c>
      <c r="B71" s="460" t="s">
        <v>585</v>
      </c>
      <c r="C71" s="457" t="s">
        <v>39</v>
      </c>
      <c r="D71" s="458" t="s">
        <v>17</v>
      </c>
      <c r="E71" s="459">
        <f>COUNT(F71:Q71)-COUNT(#REF!)</f>
        <v>11</v>
      </c>
      <c r="F71" s="159">
        <v>4014599.56</v>
      </c>
      <c r="G71" s="159">
        <v>3751759.56</v>
      </c>
      <c r="H71" s="159">
        <v>4017599.56</v>
      </c>
      <c r="I71" s="159">
        <v>3884679.56</v>
      </c>
      <c r="J71" s="159">
        <v>4150519.5599999996</v>
      </c>
      <c r="K71" s="159">
        <v>4017599.56</v>
      </c>
      <c r="L71" s="159">
        <v>4017599.56</v>
      </c>
      <c r="M71" s="159">
        <v>3884679.56</v>
      </c>
      <c r="N71" s="159">
        <v>4017599.56</v>
      </c>
      <c r="O71" s="162">
        <v>4153520.3600000003</v>
      </c>
      <c r="P71" s="162">
        <v>4020600.36</v>
      </c>
      <c r="Q71" s="162"/>
      <c r="R71" s="151">
        <f t="shared" si="7"/>
        <v>43930756.759999998</v>
      </c>
      <c r="S71" s="162">
        <v>4017600</v>
      </c>
      <c r="T71" s="160">
        <v>200000</v>
      </c>
      <c r="U71" s="160"/>
      <c r="V71" s="152">
        <f t="shared" si="6"/>
        <v>48148356.759999998</v>
      </c>
      <c r="W71" s="180"/>
      <c r="X71" s="163">
        <f t="shared" si="4"/>
        <v>58500000</v>
      </c>
      <c r="Y71" s="157">
        <f t="shared" si="5"/>
        <v>0</v>
      </c>
    </row>
    <row r="72" spans="1:26">
      <c r="A72" s="150">
        <v>67</v>
      </c>
      <c r="B72" s="169"/>
      <c r="C72" s="179"/>
      <c r="D72" s="179"/>
      <c r="E72" s="204">
        <f>COUNT(F72:Q72)-COUNT(#REF!)</f>
        <v>0</v>
      </c>
      <c r="F72" s="405"/>
      <c r="G72" s="405"/>
      <c r="H72" s="405"/>
      <c r="I72" s="405"/>
      <c r="J72" s="405"/>
      <c r="K72" s="405"/>
      <c r="L72" s="405"/>
      <c r="M72" s="405"/>
      <c r="N72" s="405"/>
      <c r="O72" s="159"/>
      <c r="P72" s="159"/>
      <c r="Q72" s="162"/>
      <c r="R72" s="151">
        <f t="shared" si="7"/>
        <v>0</v>
      </c>
      <c r="S72" s="162"/>
      <c r="T72" s="160"/>
      <c r="U72" s="160"/>
      <c r="V72" s="152">
        <f t="shared" si="6"/>
        <v>0</v>
      </c>
      <c r="W72" s="180"/>
      <c r="X72" s="163" t="b">
        <f t="shared" ref="X72:X75" si="8">IF(D72="TK/0",54000000,IF(D72="K/0",58500000,IF(D72="K/1",63000000,IF(D72="K/2",67500000,IF(D72="K/3",72000000)))))</f>
        <v>0</v>
      </c>
      <c r="Y72" s="157">
        <f t="shared" si="5"/>
        <v>0</v>
      </c>
    </row>
    <row r="73" spans="1:26">
      <c r="A73" s="150">
        <v>68</v>
      </c>
      <c r="B73" s="169"/>
      <c r="C73" s="179"/>
      <c r="D73" s="179"/>
      <c r="E73" s="204">
        <f>COUNT(F73:Q73)-COUNT(#REF!)</f>
        <v>0</v>
      </c>
      <c r="F73" s="405"/>
      <c r="G73" s="405"/>
      <c r="H73" s="405"/>
      <c r="I73" s="405"/>
      <c r="J73" s="405"/>
      <c r="K73" s="405"/>
      <c r="L73" s="405"/>
      <c r="M73" s="405"/>
      <c r="N73" s="405"/>
      <c r="O73" s="159"/>
      <c r="P73" s="159"/>
      <c r="Q73" s="162"/>
      <c r="R73" s="151">
        <f t="shared" si="7"/>
        <v>0</v>
      </c>
      <c r="S73" s="162"/>
      <c r="T73" s="160"/>
      <c r="U73" s="160"/>
      <c r="V73" s="152">
        <f t="shared" si="6"/>
        <v>0</v>
      </c>
      <c r="W73" s="180"/>
      <c r="X73" s="163" t="b">
        <f t="shared" si="8"/>
        <v>0</v>
      </c>
      <c r="Y73" s="157">
        <f t="shared" si="5"/>
        <v>0</v>
      </c>
    </row>
    <row r="74" spans="1:26">
      <c r="A74" s="150">
        <v>69</v>
      </c>
      <c r="B74" s="169"/>
      <c r="C74" s="179"/>
      <c r="D74" s="179"/>
      <c r="E74" s="204">
        <f>COUNT(F74:Q74)-COUNT(#REF!)</f>
        <v>0</v>
      </c>
      <c r="F74" s="405"/>
      <c r="G74" s="405"/>
      <c r="H74" s="405"/>
      <c r="I74" s="405"/>
      <c r="J74" s="405"/>
      <c r="K74" s="405"/>
      <c r="L74" s="405"/>
      <c r="M74" s="405"/>
      <c r="N74" s="405"/>
      <c r="O74" s="159"/>
      <c r="P74" s="159"/>
      <c r="Q74" s="162"/>
      <c r="R74" s="151">
        <f t="shared" si="7"/>
        <v>0</v>
      </c>
      <c r="S74" s="162"/>
      <c r="T74" s="160"/>
      <c r="U74" s="160"/>
      <c r="V74" s="152">
        <f t="shared" si="6"/>
        <v>0</v>
      </c>
      <c r="W74" s="180"/>
      <c r="X74" s="163" t="b">
        <f t="shared" si="8"/>
        <v>0</v>
      </c>
      <c r="Y74" s="157">
        <f t="shared" si="5"/>
        <v>0</v>
      </c>
    </row>
    <row r="75" spans="1:26">
      <c r="A75" s="150">
        <v>70</v>
      </c>
      <c r="B75" s="169"/>
      <c r="C75" s="179"/>
      <c r="D75" s="179"/>
      <c r="E75" s="204">
        <f>COUNT(F75:Q75)-COUNT(#REF!)</f>
        <v>0</v>
      </c>
      <c r="F75" s="405"/>
      <c r="G75" s="405"/>
      <c r="H75" s="405"/>
      <c r="I75" s="405"/>
      <c r="J75" s="405"/>
      <c r="K75" s="405"/>
      <c r="L75" s="405"/>
      <c r="M75" s="405"/>
      <c r="N75" s="405"/>
      <c r="O75" s="159"/>
      <c r="P75" s="159"/>
      <c r="Q75" s="162"/>
      <c r="R75" s="151">
        <f t="shared" si="7"/>
        <v>0</v>
      </c>
      <c r="S75" s="162"/>
      <c r="T75" s="160"/>
      <c r="U75" s="160"/>
      <c r="V75" s="152">
        <f t="shared" si="6"/>
        <v>0</v>
      </c>
      <c r="W75" s="180"/>
      <c r="X75" s="163" t="b">
        <f t="shared" si="8"/>
        <v>0</v>
      </c>
      <c r="Y75" s="157">
        <f t="shared" si="5"/>
        <v>0</v>
      </c>
    </row>
    <row r="76" spans="1:26" s="334" customFormat="1">
      <c r="A76" s="538" t="s">
        <v>370</v>
      </c>
      <c r="B76" s="538"/>
      <c r="C76" s="538"/>
      <c r="D76" s="538"/>
      <c r="E76" s="333">
        <f>SUM(E6:E75)</f>
        <v>595</v>
      </c>
      <c r="F76" s="333">
        <f t="shared" ref="F76:Y76" si="9">SUM(F6:F75)</f>
        <v>292751727.36000007</v>
      </c>
      <c r="G76" s="333">
        <f t="shared" si="9"/>
        <v>266241608.48000011</v>
      </c>
      <c r="H76" s="333">
        <f t="shared" si="9"/>
        <v>268955779.04000008</v>
      </c>
      <c r="I76" s="333">
        <f t="shared" si="9"/>
        <v>261713217.12000009</v>
      </c>
      <c r="J76" s="333">
        <f t="shared" si="9"/>
        <v>290598945.56000006</v>
      </c>
      <c r="K76" s="333">
        <f t="shared" si="9"/>
        <v>258497532.56000009</v>
      </c>
      <c r="L76" s="333">
        <f t="shared" si="9"/>
        <v>244145718.56000009</v>
      </c>
      <c r="M76" s="333">
        <f t="shared" si="9"/>
        <v>252317131.76000005</v>
      </c>
      <c r="N76" s="333">
        <f t="shared" si="9"/>
        <v>251713976.04000002</v>
      </c>
      <c r="O76" s="333">
        <f t="shared" si="9"/>
        <v>259294605.64000005</v>
      </c>
      <c r="P76" s="333">
        <f t="shared" si="9"/>
        <v>254789178.24000004</v>
      </c>
      <c r="Q76" s="333">
        <f t="shared" si="9"/>
        <v>0</v>
      </c>
      <c r="R76" s="333">
        <f t="shared" si="9"/>
        <v>2901019420.3599992</v>
      </c>
      <c r="S76" s="333">
        <f t="shared" si="9"/>
        <v>218451125</v>
      </c>
      <c r="T76" s="333">
        <f t="shared" si="9"/>
        <v>23050000</v>
      </c>
      <c r="U76" s="333">
        <f t="shared" si="9"/>
        <v>0</v>
      </c>
      <c r="V76" s="333">
        <f t="shared" si="9"/>
        <v>3142520545.3599982</v>
      </c>
      <c r="W76" s="333">
        <f t="shared" si="9"/>
        <v>0</v>
      </c>
      <c r="X76" s="333">
        <f t="shared" si="9"/>
        <v>4032000000</v>
      </c>
      <c r="Y76" s="333">
        <f t="shared" si="9"/>
        <v>0</v>
      </c>
    </row>
    <row r="77" spans="1:26" s="312" customFormat="1">
      <c r="A77" s="335"/>
      <c r="B77" s="335"/>
      <c r="C77" s="335"/>
      <c r="D77" s="335"/>
      <c r="E77" s="336"/>
      <c r="F77" s="336"/>
      <c r="G77" s="336"/>
      <c r="H77" s="336"/>
      <c r="I77" s="336"/>
      <c r="J77" s="336"/>
      <c r="K77" s="336"/>
      <c r="L77" s="336"/>
      <c r="M77" s="336"/>
      <c r="N77" s="336"/>
      <c r="O77" s="336"/>
      <c r="P77" s="336"/>
      <c r="Q77" s="336"/>
      <c r="R77" s="336"/>
      <c r="S77" s="336"/>
      <c r="T77" s="336"/>
      <c r="U77" s="336"/>
      <c r="V77" s="336"/>
      <c r="W77" s="336"/>
      <c r="X77" s="336"/>
      <c r="Y77" s="336"/>
    </row>
    <row r="78" spans="1:26" s="312" customFormat="1">
      <c r="A78" s="335"/>
      <c r="B78" s="335"/>
      <c r="C78" s="335"/>
      <c r="D78" s="335"/>
      <c r="E78" s="336"/>
      <c r="F78" s="336"/>
      <c r="G78" s="336"/>
      <c r="H78" s="336"/>
      <c r="I78" s="336"/>
      <c r="J78" s="336"/>
      <c r="K78" s="336"/>
      <c r="L78" s="336"/>
      <c r="M78" s="336"/>
      <c r="N78" s="336"/>
      <c r="O78" s="336"/>
      <c r="P78" s="336"/>
      <c r="Q78" s="336"/>
      <c r="R78" s="336"/>
      <c r="S78" s="336"/>
      <c r="T78" s="336"/>
      <c r="U78" s="336"/>
      <c r="V78" s="336"/>
      <c r="W78" s="336"/>
      <c r="X78" s="336"/>
      <c r="Y78" s="336"/>
    </row>
    <row r="79" spans="1:26">
      <c r="A79" s="150">
        <v>27</v>
      </c>
      <c r="B79" s="149" t="s">
        <v>224</v>
      </c>
      <c r="C79" s="150" t="s">
        <v>39</v>
      </c>
      <c r="D79" s="150" t="s">
        <v>9</v>
      </c>
      <c r="E79" s="204">
        <f>COUNT(F79:Q79)-COUNT(#REF!)</f>
        <v>2</v>
      </c>
      <c r="F79" s="159">
        <v>5521808.5599999996</v>
      </c>
      <c r="G79" s="159">
        <v>4469686.5599999996</v>
      </c>
      <c r="H79" s="159"/>
      <c r="I79" s="159"/>
      <c r="J79" s="159"/>
      <c r="K79" s="159"/>
      <c r="L79" s="159"/>
      <c r="M79" s="159"/>
      <c r="N79" s="160"/>
      <c r="O79" s="161"/>
      <c r="P79" s="162"/>
      <c r="Q79" s="159"/>
      <c r="R79" s="151">
        <f t="shared" ref="R79:R89" si="10">SUM(F79:Q79)</f>
        <v>9991495.1199999992</v>
      </c>
      <c r="S79" s="159">
        <v>4035600</v>
      </c>
      <c r="T79" s="160"/>
      <c r="U79" s="160"/>
      <c r="V79" s="152">
        <f t="shared" ref="V79:V89" si="11">R79+S79+T79</f>
        <v>14027095.119999999</v>
      </c>
      <c r="W79" s="159"/>
      <c r="X79" s="163" t="b">
        <f t="shared" ref="X79:X89" si="12">IF(D79="TK",54000000,IF(D79="K0",58500000,IF(D79="K1",63000000,IF(D79="K2",67500000,IF(D79="K3",72000000)))))</f>
        <v>0</v>
      </c>
      <c r="Y79" s="157">
        <f t="shared" ref="Y79:Y89" si="13">IF(W79&lt;=X79,0,IF(W79&gt;X79,W79-X79))</f>
        <v>0</v>
      </c>
    </row>
    <row r="80" spans="1:26">
      <c r="A80" s="150">
        <v>12</v>
      </c>
      <c r="B80" s="164" t="s">
        <v>210</v>
      </c>
      <c r="C80" s="150" t="s">
        <v>38</v>
      </c>
      <c r="D80" s="150" t="s">
        <v>7</v>
      </c>
      <c r="E80" s="204">
        <f>COUNT(F80:Q80)-COUNT(#REF!)</f>
        <v>3</v>
      </c>
      <c r="F80" s="159">
        <v>4122569.5599999996</v>
      </c>
      <c r="G80" s="159">
        <v>3728159.56</v>
      </c>
      <c r="H80" s="159">
        <v>4122569.5599999996</v>
      </c>
      <c r="I80" s="159"/>
      <c r="J80" s="159"/>
      <c r="K80" s="159"/>
      <c r="L80" s="159"/>
      <c r="M80" s="159"/>
      <c r="N80" s="160"/>
      <c r="O80" s="161"/>
      <c r="P80" s="162"/>
      <c r="Q80" s="159"/>
      <c r="R80" s="151">
        <f t="shared" si="10"/>
        <v>11973298.68</v>
      </c>
      <c r="S80" s="159">
        <v>3991100</v>
      </c>
      <c r="T80" s="160"/>
      <c r="U80" s="160"/>
      <c r="V80" s="152">
        <f t="shared" si="11"/>
        <v>15964398.68</v>
      </c>
      <c r="W80" s="159"/>
      <c r="X80" s="163" t="b">
        <f t="shared" si="12"/>
        <v>0</v>
      </c>
      <c r="Y80" s="157">
        <f t="shared" si="13"/>
        <v>0</v>
      </c>
      <c r="Z80" s="191">
        <f>COUNT(F80:Q80)</f>
        <v>3</v>
      </c>
    </row>
    <row r="81" spans="1:26">
      <c r="A81" s="150">
        <v>60</v>
      </c>
      <c r="B81" s="169" t="s">
        <v>535</v>
      </c>
      <c r="C81" s="150" t="s">
        <v>39</v>
      </c>
      <c r="D81" s="150" t="s">
        <v>9</v>
      </c>
      <c r="E81" s="204">
        <f>COUNT(F81:Q81)-COUNT(#REF!)</f>
        <v>6</v>
      </c>
      <c r="F81" s="159">
        <v>4266025.9999999991</v>
      </c>
      <c r="G81" s="159">
        <v>3695234.56</v>
      </c>
      <c r="H81" s="159">
        <v>4333569.5599999996</v>
      </c>
      <c r="I81" s="159">
        <v>4350220.5599999996</v>
      </c>
      <c r="J81" s="159">
        <v>4609475.5599999996</v>
      </c>
      <c r="K81" s="159">
        <v>4132794.5599999996</v>
      </c>
      <c r="L81" s="159"/>
      <c r="M81" s="159"/>
      <c r="N81" s="160"/>
      <c r="O81" s="161"/>
      <c r="P81" s="162"/>
      <c r="Q81" s="162"/>
      <c r="R81" s="151">
        <f t="shared" si="10"/>
        <v>25387320.799999993</v>
      </c>
      <c r="S81" s="162">
        <v>3998100</v>
      </c>
      <c r="T81" s="160">
        <v>600000</v>
      </c>
      <c r="U81" s="160"/>
      <c r="V81" s="152">
        <f t="shared" si="11"/>
        <v>29985420.799999993</v>
      </c>
      <c r="W81" s="159"/>
      <c r="X81" s="163" t="b">
        <f t="shared" si="12"/>
        <v>0</v>
      </c>
      <c r="Y81" s="157">
        <f t="shared" si="13"/>
        <v>0</v>
      </c>
    </row>
    <row r="82" spans="1:26">
      <c r="A82" s="150">
        <v>37</v>
      </c>
      <c r="B82" s="171" t="s">
        <v>235</v>
      </c>
      <c r="C82" s="150" t="s">
        <v>39</v>
      </c>
      <c r="D82" s="150" t="s">
        <v>11</v>
      </c>
      <c r="E82" s="204">
        <f>COUNT(F82:Q82)-COUNT(#REF!)</f>
        <v>6</v>
      </c>
      <c r="F82" s="159">
        <v>4512774.5599999996</v>
      </c>
      <c r="G82" s="159">
        <v>4458409.5599999996</v>
      </c>
      <c r="H82" s="159">
        <v>4468436.5599999996</v>
      </c>
      <c r="I82" s="159">
        <v>4695349.5599999996</v>
      </c>
      <c r="J82" s="159">
        <v>4739229.5599999996</v>
      </c>
      <c r="K82" s="159">
        <v>4189009.5599999996</v>
      </c>
      <c r="L82" s="159"/>
      <c r="M82" s="159"/>
      <c r="N82" s="160"/>
      <c r="O82" s="161"/>
      <c r="P82" s="162"/>
      <c r="Q82" s="162"/>
      <c r="R82" s="151">
        <f t="shared" si="10"/>
        <v>27063209.359999996</v>
      </c>
      <c r="S82" s="172">
        <v>4053100</v>
      </c>
      <c r="T82" s="160">
        <v>200000</v>
      </c>
      <c r="U82" s="160"/>
      <c r="V82" s="152">
        <f t="shared" si="11"/>
        <v>31316309.359999996</v>
      </c>
      <c r="W82" s="159"/>
      <c r="X82" s="163" t="b">
        <f t="shared" si="12"/>
        <v>0</v>
      </c>
      <c r="Y82" s="157">
        <f t="shared" si="13"/>
        <v>0</v>
      </c>
    </row>
    <row r="83" spans="1:26">
      <c r="A83" s="150">
        <v>29</v>
      </c>
      <c r="B83" s="149" t="s">
        <v>228</v>
      </c>
      <c r="C83" s="150" t="s">
        <v>39</v>
      </c>
      <c r="D83" s="150" t="s">
        <v>17</v>
      </c>
      <c r="E83" s="204">
        <f>COUNT(F83:Q83)-COUNT(#REF!)</f>
        <v>7</v>
      </c>
      <c r="F83" s="159">
        <v>4582912.5599999996</v>
      </c>
      <c r="G83" s="162">
        <v>4656909.5599999996</v>
      </c>
      <c r="H83" s="162">
        <v>4736169.5599999996</v>
      </c>
      <c r="I83" s="159">
        <v>4672955.5599999996</v>
      </c>
      <c r="J83" s="159">
        <v>5300465.5599999996</v>
      </c>
      <c r="K83" s="159">
        <v>4614380.5599999996</v>
      </c>
      <c r="L83" s="159">
        <v>4454770.16</v>
      </c>
      <c r="M83" s="159"/>
      <c r="N83" s="160"/>
      <c r="O83" s="161"/>
      <c r="P83" s="162"/>
      <c r="Q83" s="159"/>
      <c r="R83" s="151">
        <f t="shared" si="10"/>
        <v>33018563.519999996</v>
      </c>
      <c r="S83" s="159">
        <v>4008600</v>
      </c>
      <c r="T83" s="160">
        <v>900000</v>
      </c>
      <c r="U83" s="160"/>
      <c r="V83" s="152">
        <f t="shared" si="11"/>
        <v>37927163.519999996</v>
      </c>
      <c r="W83" s="159"/>
      <c r="X83" s="163" t="b">
        <f t="shared" si="12"/>
        <v>0</v>
      </c>
      <c r="Y83" s="157">
        <f t="shared" si="13"/>
        <v>0</v>
      </c>
      <c r="Z83" s="191">
        <f>COUNT(F83:Q83)</f>
        <v>7</v>
      </c>
    </row>
    <row r="84" spans="1:26">
      <c r="A84" s="150">
        <v>31</v>
      </c>
      <c r="B84" s="169" t="s">
        <v>229</v>
      </c>
      <c r="C84" s="150" t="s">
        <v>39</v>
      </c>
      <c r="D84" s="150" t="s">
        <v>9</v>
      </c>
      <c r="E84" s="204">
        <f>COUNT(F84:Q84)-COUNT(#REF!)</f>
        <v>7</v>
      </c>
      <c r="F84" s="162">
        <v>4886856.5599999996</v>
      </c>
      <c r="G84" s="162">
        <v>4769759.5599999996</v>
      </c>
      <c r="H84" s="162">
        <v>5067741.5599999996</v>
      </c>
      <c r="I84" s="159">
        <v>4843903.5599999996</v>
      </c>
      <c r="J84" s="159">
        <v>5385436.5599999996</v>
      </c>
      <c r="K84" s="159">
        <v>4260705.5599999996</v>
      </c>
      <c r="L84" s="159">
        <v>4649370.16</v>
      </c>
      <c r="M84" s="159"/>
      <c r="N84" s="160"/>
      <c r="O84" s="161"/>
      <c r="P84" s="162"/>
      <c r="Q84" s="159"/>
      <c r="R84" s="151">
        <f t="shared" si="10"/>
        <v>33863773.519999996</v>
      </c>
      <c r="S84" s="159">
        <v>4034100</v>
      </c>
      <c r="T84" s="160">
        <v>200000</v>
      </c>
      <c r="U84" s="160"/>
      <c r="V84" s="152">
        <f t="shared" si="11"/>
        <v>38097873.519999996</v>
      </c>
      <c r="W84" s="159"/>
      <c r="X84" s="163" t="b">
        <f t="shared" si="12"/>
        <v>0</v>
      </c>
      <c r="Y84" s="157">
        <f t="shared" si="13"/>
        <v>0</v>
      </c>
    </row>
    <row r="85" spans="1:26">
      <c r="A85" s="150">
        <v>32</v>
      </c>
      <c r="B85" s="158" t="s">
        <v>230</v>
      </c>
      <c r="C85" s="150" t="s">
        <v>39</v>
      </c>
      <c r="D85" s="150" t="s">
        <v>9</v>
      </c>
      <c r="E85" s="204">
        <f>COUNT(F85:Q85)-COUNT(#REF!)</f>
        <v>7</v>
      </c>
      <c r="F85" s="159">
        <v>4867169.5599999996</v>
      </c>
      <c r="G85" s="162">
        <v>4564740.5599999996</v>
      </c>
      <c r="H85" s="159">
        <v>4649969.5599999996</v>
      </c>
      <c r="I85" s="159">
        <v>4757744.5599999996</v>
      </c>
      <c r="J85" s="159">
        <v>5362785.5599999996</v>
      </c>
      <c r="K85" s="159">
        <v>4204932.5599999996</v>
      </c>
      <c r="L85" s="159">
        <v>4488469.76</v>
      </c>
      <c r="M85" s="159"/>
      <c r="N85" s="160"/>
      <c r="O85" s="166"/>
      <c r="P85" s="162"/>
      <c r="Q85" s="162"/>
      <c r="R85" s="151">
        <f t="shared" si="10"/>
        <v>32895812.119999997</v>
      </c>
      <c r="S85" s="162">
        <v>4040100</v>
      </c>
      <c r="T85" s="160">
        <v>200000</v>
      </c>
      <c r="U85" s="160"/>
      <c r="V85" s="152">
        <f t="shared" si="11"/>
        <v>37135912.119999997</v>
      </c>
      <c r="W85" s="159"/>
      <c r="X85" s="163" t="b">
        <f t="shared" si="12"/>
        <v>0</v>
      </c>
      <c r="Y85" s="157">
        <f t="shared" si="13"/>
        <v>0</v>
      </c>
      <c r="Z85" s="191">
        <f>COUNT(F85:Q85)</f>
        <v>7</v>
      </c>
    </row>
    <row r="86" spans="1:26">
      <c r="A86" s="150">
        <v>35</v>
      </c>
      <c r="B86" s="169" t="s">
        <v>233</v>
      </c>
      <c r="C86" s="150" t="s">
        <v>39</v>
      </c>
      <c r="D86" s="150" t="s">
        <v>11</v>
      </c>
      <c r="E86" s="204">
        <f>COUNT(F86:Q86)-COUNT(#REF!)</f>
        <v>7</v>
      </c>
      <c r="F86" s="159">
        <v>4563575.5599999996</v>
      </c>
      <c r="G86" s="159">
        <v>4691559.5599999996</v>
      </c>
      <c r="H86" s="159">
        <v>4651869.5599999996</v>
      </c>
      <c r="I86" s="159">
        <v>4919431.5599999996</v>
      </c>
      <c r="J86" s="159">
        <v>5099612.5599999996</v>
      </c>
      <c r="K86" s="159">
        <v>4690014.5599999996</v>
      </c>
      <c r="L86" s="159">
        <v>4486119.5599999996</v>
      </c>
      <c r="M86" s="159"/>
      <c r="N86" s="160"/>
      <c r="O86" s="161"/>
      <c r="P86" s="162"/>
      <c r="Q86" s="162"/>
      <c r="R86" s="151">
        <f t="shared" si="10"/>
        <v>33102182.919999994</v>
      </c>
      <c r="S86" s="162">
        <v>4053100</v>
      </c>
      <c r="T86" s="170">
        <v>600000</v>
      </c>
      <c r="U86" s="160"/>
      <c r="V86" s="152">
        <f t="shared" si="11"/>
        <v>37755282.919999994</v>
      </c>
      <c r="W86" s="159"/>
      <c r="X86" s="163" t="b">
        <f t="shared" si="12"/>
        <v>0</v>
      </c>
      <c r="Y86" s="157">
        <f t="shared" si="13"/>
        <v>0</v>
      </c>
      <c r="Z86" s="191">
        <f>COUNT(F86:Q86)</f>
        <v>7</v>
      </c>
    </row>
    <row r="87" spans="1:26">
      <c r="A87" s="150">
        <v>41</v>
      </c>
      <c r="B87" s="176" t="s">
        <v>240</v>
      </c>
      <c r="C87" s="150" t="s">
        <v>39</v>
      </c>
      <c r="D87" s="150" t="s">
        <v>17</v>
      </c>
      <c r="E87" s="204">
        <f>COUNT(F87:Q87)-COUNT(#REF!)</f>
        <v>7</v>
      </c>
      <c r="F87" s="162">
        <v>4385947.5599999996</v>
      </c>
      <c r="G87" s="159">
        <v>4638905.5599999996</v>
      </c>
      <c r="H87" s="159">
        <v>4600522.5599999996</v>
      </c>
      <c r="I87" s="159">
        <v>5736784.5599999996</v>
      </c>
      <c r="J87" s="159">
        <v>5221038.5599999996</v>
      </c>
      <c r="K87" s="159">
        <v>4322446.5599999996</v>
      </c>
      <c r="L87" s="159">
        <v>4619419.5599999996</v>
      </c>
      <c r="M87" s="159"/>
      <c r="N87" s="160"/>
      <c r="O87" s="161"/>
      <c r="P87" s="162"/>
      <c r="Q87" s="162"/>
      <c r="R87" s="151">
        <f t="shared" si="10"/>
        <v>33525064.919999994</v>
      </c>
      <c r="S87" s="162">
        <v>3990100</v>
      </c>
      <c r="T87" s="160">
        <v>200000</v>
      </c>
      <c r="U87" s="160"/>
      <c r="V87" s="152">
        <f t="shared" si="11"/>
        <v>37715164.919999994</v>
      </c>
      <c r="W87" s="159"/>
      <c r="X87" s="163" t="b">
        <f t="shared" si="12"/>
        <v>0</v>
      </c>
      <c r="Y87" s="157">
        <f t="shared" si="13"/>
        <v>0</v>
      </c>
    </row>
    <row r="88" spans="1:26">
      <c r="A88" s="150">
        <v>48</v>
      </c>
      <c r="B88" s="453" t="s">
        <v>522</v>
      </c>
      <c r="C88" s="150" t="s">
        <v>39</v>
      </c>
      <c r="D88" s="150" t="s">
        <v>11</v>
      </c>
      <c r="E88" s="204">
        <f>COUNT(F88:Q88)-COUNT(#REF!)</f>
        <v>7</v>
      </c>
      <c r="F88" s="159">
        <v>4536828.5599999996</v>
      </c>
      <c r="G88" s="159">
        <v>4277007.5599999996</v>
      </c>
      <c r="H88" s="159">
        <v>4357829.5599999996</v>
      </c>
      <c r="I88" s="159">
        <v>5387338.5599999996</v>
      </c>
      <c r="J88" s="159">
        <v>4948339.5599999996</v>
      </c>
      <c r="K88" s="159">
        <v>4068232.5599999996</v>
      </c>
      <c r="L88" s="159">
        <v>3997059.56</v>
      </c>
      <c r="M88" s="159"/>
      <c r="N88" s="159"/>
      <c r="O88" s="159"/>
      <c r="P88" s="159"/>
      <c r="Q88" s="159"/>
      <c r="R88" s="151">
        <f t="shared" si="10"/>
        <v>31572635.919999994</v>
      </c>
      <c r="S88" s="159">
        <v>4050600</v>
      </c>
      <c r="T88" s="160">
        <v>200000</v>
      </c>
      <c r="U88" s="160"/>
      <c r="V88" s="152">
        <f t="shared" si="11"/>
        <v>35823235.919999994</v>
      </c>
      <c r="W88" s="159"/>
      <c r="X88" s="163" t="b">
        <f t="shared" si="12"/>
        <v>0</v>
      </c>
      <c r="Y88" s="157">
        <f t="shared" si="13"/>
        <v>0</v>
      </c>
      <c r="Z88" s="191">
        <f>COUNT(F88:Q88)</f>
        <v>7</v>
      </c>
    </row>
    <row r="89" spans="1:26">
      <c r="A89" s="150">
        <v>50</v>
      </c>
      <c r="B89" s="454" t="s">
        <v>248</v>
      </c>
      <c r="C89" s="150" t="s">
        <v>39</v>
      </c>
      <c r="D89" s="150" t="s">
        <v>9</v>
      </c>
      <c r="E89" s="204">
        <f>COUNT(F89:Q89)-COUNT(#REF!)</f>
        <v>7</v>
      </c>
      <c r="F89" s="159">
        <v>4357379.5599999996</v>
      </c>
      <c r="G89" s="159">
        <v>4267861.5599999996</v>
      </c>
      <c r="H89" s="159">
        <v>4637769.5599999996</v>
      </c>
      <c r="I89" s="159">
        <v>5132389.5599999996</v>
      </c>
      <c r="J89" s="159">
        <v>5251455.5599999996</v>
      </c>
      <c r="K89" s="159">
        <v>4373098.5599999996</v>
      </c>
      <c r="L89" s="159">
        <v>4365219.5599999996</v>
      </c>
      <c r="M89" s="159"/>
      <c r="N89" s="160"/>
      <c r="O89" s="166"/>
      <c r="P89" s="162"/>
      <c r="Q89" s="162"/>
      <c r="R89" s="151">
        <f t="shared" si="10"/>
        <v>32385173.919999994</v>
      </c>
      <c r="S89" s="162">
        <v>2008050</v>
      </c>
      <c r="T89" s="160">
        <v>150000</v>
      </c>
      <c r="U89" s="160"/>
      <c r="V89" s="152">
        <f t="shared" si="11"/>
        <v>34543223.919999994</v>
      </c>
      <c r="W89" s="159"/>
      <c r="X89" s="163" t="b">
        <f t="shared" si="12"/>
        <v>0</v>
      </c>
      <c r="Y89" s="157">
        <f t="shared" si="13"/>
        <v>0</v>
      </c>
      <c r="Z89" s="191">
        <f>COUNT(F89:Q89)</f>
        <v>7</v>
      </c>
    </row>
  </sheetData>
  <mergeCells count="23">
    <mergeCell ref="X3:X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F3:Q3"/>
    <mergeCell ref="O4:O5"/>
    <mergeCell ref="P4:P5"/>
    <mergeCell ref="Q4:Q5"/>
    <mergeCell ref="S4:S5"/>
    <mergeCell ref="T4:T5"/>
    <mergeCell ref="W4:W5"/>
    <mergeCell ref="A76:D76"/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8"/>
  <sheetViews>
    <sheetView topLeftCell="M58" workbookViewId="0">
      <selection activeCell="O70" sqref="O70"/>
    </sheetView>
  </sheetViews>
  <sheetFormatPr defaultColWidth="9" defaultRowHeight="15"/>
  <cols>
    <col min="1" max="1" width="5.42578125" style="168" customWidth="1"/>
    <col min="2" max="2" width="23.7109375" style="267" customWidth="1"/>
    <col min="3" max="4" width="4.28515625" style="193" customWidth="1"/>
    <col min="5" max="5" width="6.85546875" style="193" customWidth="1"/>
    <col min="6" max="6" width="18.5703125" style="193" customWidth="1"/>
    <col min="7" max="7" width="14.85546875" style="193" customWidth="1"/>
    <col min="8" max="8" width="15.140625" style="193" customWidth="1"/>
    <col min="9" max="9" width="14.5703125" style="193" customWidth="1"/>
    <col min="10" max="10" width="13" style="193" customWidth="1"/>
    <col min="11" max="11" width="17.5703125" style="193" customWidth="1"/>
    <col min="12" max="13" width="23.140625" style="193" customWidth="1"/>
    <col min="14" max="14" width="19.85546875" style="313" customWidth="1"/>
    <col min="15" max="15" width="21.7109375" style="193" customWidth="1"/>
    <col min="16" max="16" width="15.28515625" style="193" customWidth="1"/>
    <col min="17" max="17" width="19" style="193" customWidth="1"/>
    <col min="18" max="18" width="15.5703125" style="168" customWidth="1"/>
    <col min="19" max="19" width="33.140625" style="193" customWidth="1"/>
    <col min="20" max="20" width="18.28515625" style="193" hidden="1" customWidth="1"/>
    <col min="21" max="21" width="18.5703125" style="193" customWidth="1"/>
    <col min="22" max="22" width="16.5703125" style="193" customWidth="1"/>
    <col min="23" max="23" width="13.28515625" style="193" customWidth="1"/>
    <col min="24" max="24" width="24.140625" style="193" hidden="1" customWidth="1"/>
    <col min="25" max="16384" width="9" style="193"/>
  </cols>
  <sheetData>
    <row r="1" spans="1:25" ht="15.75">
      <c r="A1" s="223" t="s">
        <v>397</v>
      </c>
      <c r="B1" s="224"/>
      <c r="C1" s="225"/>
      <c r="D1" s="225"/>
      <c r="E1" s="225"/>
      <c r="F1" s="226"/>
      <c r="G1" s="225"/>
      <c r="H1" s="226"/>
      <c r="I1" s="226"/>
      <c r="J1" s="225"/>
      <c r="K1" s="225"/>
      <c r="L1" s="227"/>
      <c r="M1" s="227"/>
      <c r="N1" s="228"/>
      <c r="O1" s="227"/>
      <c r="P1" s="227"/>
      <c r="Q1" s="226"/>
      <c r="R1" s="226"/>
      <c r="S1" s="226"/>
      <c r="T1" s="226"/>
      <c r="U1" s="226"/>
      <c r="V1" s="226"/>
      <c r="W1" s="226"/>
      <c r="X1" s="229"/>
    </row>
    <row r="2" spans="1:25" ht="15.75">
      <c r="A2" s="223" t="s">
        <v>519</v>
      </c>
      <c r="B2" s="224"/>
      <c r="C2" s="225"/>
      <c r="D2" s="225"/>
      <c r="E2" s="225"/>
      <c r="F2" s="226"/>
      <c r="G2" s="230"/>
      <c r="H2" s="226"/>
      <c r="I2" s="227"/>
      <c r="J2" s="225"/>
      <c r="K2" s="225"/>
      <c r="L2" s="227"/>
      <c r="M2" s="227"/>
      <c r="N2" s="228"/>
      <c r="O2" s="227"/>
      <c r="P2" s="227"/>
      <c r="Q2" s="226"/>
      <c r="R2" s="226"/>
      <c r="S2" s="226"/>
      <c r="T2" s="226"/>
      <c r="U2" s="226"/>
      <c r="V2" s="226"/>
      <c r="W2" s="226"/>
      <c r="X2" s="229"/>
    </row>
    <row r="3" spans="1:25" ht="15.75" thickBot="1">
      <c r="A3" s="592" t="s">
        <v>399</v>
      </c>
      <c r="B3" s="592"/>
      <c r="C3" s="225"/>
      <c r="D3" s="225"/>
      <c r="E3" s="225"/>
      <c r="F3" s="226"/>
      <c r="G3" s="225"/>
      <c r="H3" s="226"/>
      <c r="I3" s="226"/>
      <c r="J3" s="225"/>
      <c r="K3" s="225"/>
      <c r="L3" s="227"/>
      <c r="M3" s="227"/>
      <c r="N3" s="228"/>
      <c r="O3" s="227"/>
      <c r="P3" s="227"/>
      <c r="Q3" s="227"/>
      <c r="R3" s="227"/>
      <c r="S3" s="226"/>
      <c r="T3" s="226"/>
      <c r="U3" s="226"/>
      <c r="V3" s="226"/>
      <c r="W3" s="226"/>
      <c r="X3" s="229"/>
    </row>
    <row r="4" spans="1:25">
      <c r="A4" s="569" t="s">
        <v>0</v>
      </c>
      <c r="B4" s="575" t="s">
        <v>366</v>
      </c>
      <c r="C4" s="593" t="s">
        <v>37</v>
      </c>
      <c r="D4" s="575" t="s">
        <v>367</v>
      </c>
      <c r="E4" s="575" t="s">
        <v>368</v>
      </c>
      <c r="F4" s="584" t="s">
        <v>400</v>
      </c>
      <c r="G4" s="585"/>
      <c r="H4" s="585"/>
      <c r="I4" s="585"/>
      <c r="J4" s="585"/>
      <c r="K4" s="585"/>
      <c r="L4" s="231" t="s">
        <v>401</v>
      </c>
      <c r="M4" s="584" t="s">
        <v>402</v>
      </c>
      <c r="N4" s="585"/>
      <c r="O4" s="585"/>
      <c r="P4" s="585"/>
      <c r="Q4" s="232" t="s">
        <v>372</v>
      </c>
      <c r="R4" s="586" t="s">
        <v>6</v>
      </c>
      <c r="S4" s="233" t="s">
        <v>373</v>
      </c>
      <c r="T4" s="234"/>
      <c r="U4" s="235"/>
      <c r="V4" s="235"/>
      <c r="W4" s="235"/>
      <c r="X4" s="235"/>
      <c r="Y4" s="235"/>
    </row>
    <row r="5" spans="1:25">
      <c r="A5" s="570"/>
      <c r="B5" s="576"/>
      <c r="C5" s="594"/>
      <c r="D5" s="576"/>
      <c r="E5" s="576"/>
      <c r="F5" s="589" t="s">
        <v>403</v>
      </c>
      <c r="G5" s="236" t="s">
        <v>404</v>
      </c>
      <c r="H5" s="589" t="s">
        <v>174</v>
      </c>
      <c r="I5" s="237" t="s">
        <v>405</v>
      </c>
      <c r="J5" s="237" t="s">
        <v>406</v>
      </c>
      <c r="K5" s="237" t="s">
        <v>407</v>
      </c>
      <c r="L5" s="238" t="s">
        <v>373</v>
      </c>
      <c r="M5" s="239" t="s">
        <v>408</v>
      </c>
      <c r="N5" s="239" t="s">
        <v>409</v>
      </c>
      <c r="O5" s="239" t="s">
        <v>410</v>
      </c>
      <c r="P5" s="240" t="s">
        <v>371</v>
      </c>
      <c r="Q5" s="241" t="s">
        <v>411</v>
      </c>
      <c r="R5" s="587"/>
      <c r="S5" s="242" t="s">
        <v>390</v>
      </c>
      <c r="T5" s="243" t="s">
        <v>412</v>
      </c>
      <c r="U5" s="235"/>
      <c r="V5" s="235"/>
      <c r="W5" s="235"/>
      <c r="X5" s="235"/>
      <c r="Y5" s="235"/>
    </row>
    <row r="6" spans="1:25" ht="15.75" thickBot="1">
      <c r="A6" s="571"/>
      <c r="B6" s="577"/>
      <c r="C6" s="595"/>
      <c r="D6" s="577"/>
      <c r="E6" s="577"/>
      <c r="F6" s="577"/>
      <c r="G6" s="244">
        <v>8.3999999999999995E-3</v>
      </c>
      <c r="H6" s="577"/>
      <c r="I6" s="245" t="s">
        <v>413</v>
      </c>
      <c r="J6" s="245" t="s">
        <v>414</v>
      </c>
      <c r="K6" s="245"/>
      <c r="L6" s="246" t="s">
        <v>393</v>
      </c>
      <c r="M6" s="247" t="s">
        <v>415</v>
      </c>
      <c r="N6" s="247">
        <v>0.01</v>
      </c>
      <c r="O6" s="248" t="s">
        <v>416</v>
      </c>
      <c r="P6" s="249" t="s">
        <v>417</v>
      </c>
      <c r="Q6" s="248" t="s">
        <v>418</v>
      </c>
      <c r="R6" s="588"/>
      <c r="S6" s="250" t="s">
        <v>394</v>
      </c>
      <c r="T6" s="251"/>
      <c r="U6" s="235"/>
      <c r="V6" s="235"/>
      <c r="W6" s="235"/>
      <c r="X6" s="235"/>
      <c r="Y6" s="235"/>
    </row>
    <row r="7" spans="1:25">
      <c r="A7" s="150">
        <v>1</v>
      </c>
      <c r="B7" s="181" t="str">
        <f>+PERBULAN!B6</f>
        <v>GUNAWAN</v>
      </c>
      <c r="C7" s="181" t="str">
        <f>+PERBULAN!C6</f>
        <v>L</v>
      </c>
      <c r="D7" s="181" t="str">
        <f>+PERBULAN!D6</f>
        <v>K/2</v>
      </c>
      <c r="E7" s="181">
        <f>+PERBULAN!E6</f>
        <v>11</v>
      </c>
      <c r="F7" s="252">
        <f>+PERBULAN!R6</f>
        <v>80856223.560000002</v>
      </c>
      <c r="G7" s="252">
        <f>+BPJS!O105</f>
        <v>359533.44</v>
      </c>
      <c r="H7" s="252">
        <f>+PERBULAN!S6</f>
        <v>4073100</v>
      </c>
      <c r="I7" s="252">
        <f>+BPJS!O10</f>
        <v>1719264</v>
      </c>
      <c r="J7" s="253">
        <v>0</v>
      </c>
      <c r="K7" s="252">
        <f>+PERBULAN!T6</f>
        <v>900000</v>
      </c>
      <c r="L7" s="252">
        <f>F7+G7+H7+I7+J7+K7</f>
        <v>87908121</v>
      </c>
      <c r="M7" s="254">
        <f>+'ASTEK+PENSIUN-DIISI SMPAI DES'!O9</f>
        <v>934224</v>
      </c>
      <c r="N7" s="254">
        <f>+'ASTEK+PENSIUN-DIISI SMPAI DES'!O95</f>
        <v>467112</v>
      </c>
      <c r="O7" s="252">
        <f>L7*0.05</f>
        <v>4395406.05</v>
      </c>
      <c r="P7" s="253">
        <f>M7+N7+O7</f>
        <v>5796742.0499999998</v>
      </c>
      <c r="Q7" s="253">
        <f>L7-P7</f>
        <v>82111378.950000003</v>
      </c>
      <c r="R7" s="184">
        <f>IF(D7="TK/0",54000000,IF(D7="K/0",58500000,IF(D7="K/1",63000000,IF(D7="K/2",67500000,IF(D7="K/3",72000000)))))</f>
        <v>67500000</v>
      </c>
      <c r="S7" s="253">
        <f>IF(Q7&lt;=R7,0,IF(Q7&gt;R7,Q7-R7))</f>
        <v>14611378.950000003</v>
      </c>
      <c r="T7" s="255"/>
      <c r="U7" s="256">
        <f>G7+I7</f>
        <v>2078797.44</v>
      </c>
      <c r="V7" s="257">
        <f>M7+N7</f>
        <v>1401336</v>
      </c>
      <c r="W7" s="235"/>
      <c r="X7" s="235"/>
      <c r="Y7" s="235"/>
    </row>
    <row r="8" spans="1:25">
      <c r="A8" s="150">
        <v>2</v>
      </c>
      <c r="B8" s="158" t="str">
        <f>+PERBULAN!B7</f>
        <v>RILYANI</v>
      </c>
      <c r="C8" s="158" t="str">
        <f>+PERBULAN!C7</f>
        <v>L</v>
      </c>
      <c r="D8" s="158" t="str">
        <f>+PERBULAN!D7</f>
        <v>K/0</v>
      </c>
      <c r="E8" s="158">
        <f>+PERBULAN!E7</f>
        <v>11</v>
      </c>
      <c r="F8" s="252">
        <f>+PERBULAN!R7</f>
        <v>46097877.159999996</v>
      </c>
      <c r="G8" s="252">
        <f>+BPJS!O106</f>
        <v>361935.83999999997</v>
      </c>
      <c r="H8" s="252">
        <f>+PERBULAN!S7</f>
        <v>4063100</v>
      </c>
      <c r="I8" s="252">
        <f>+BPJS!O11</f>
        <v>1743744</v>
      </c>
      <c r="J8" s="253">
        <v>0</v>
      </c>
      <c r="K8" s="252">
        <f>+PERBULAN!T7</f>
        <v>600000</v>
      </c>
      <c r="L8" s="252">
        <f>F8+G8+H8+I8+J8+K8</f>
        <v>52866657</v>
      </c>
      <c r="M8" s="254">
        <f>+'ASTEK+PENSIUN-DIISI SMPAI DES'!O10</f>
        <v>941064</v>
      </c>
      <c r="N8" s="254">
        <f>+'ASTEK+PENSIUN-DIISI SMPAI DES'!O96</f>
        <v>470532</v>
      </c>
      <c r="O8" s="252">
        <f t="shared" ref="O8:O60" si="0">L8*0.05</f>
        <v>2643332.85</v>
      </c>
      <c r="P8" s="253">
        <f t="shared" ref="P8:P60" si="1">M8+N8+O8</f>
        <v>4054928.85</v>
      </c>
      <c r="Q8" s="253">
        <f t="shared" ref="Q8:Q60" si="2">L8-P8</f>
        <v>48811728.149999999</v>
      </c>
      <c r="R8" s="184">
        <f>IF(D8="TK/0",54000000,IF(D8="K/0",58500000,IF(D8="K/1",63000000,IF(D8="K/2",67500000,IF(D8="K/3",72000000)))))</f>
        <v>58500000</v>
      </c>
      <c r="S8" s="253">
        <f>IF(Q8&lt;=R8,0,IF(Q8&gt;R8,Q8-R8))</f>
        <v>0</v>
      </c>
      <c r="T8" s="258"/>
      <c r="U8" s="256">
        <f t="shared" ref="U8:U60" si="3">G8+I8</f>
        <v>2105679.84</v>
      </c>
      <c r="V8" s="257">
        <f t="shared" ref="V8:V60" si="4">M8+N8</f>
        <v>1411596</v>
      </c>
      <c r="W8" s="259"/>
      <c r="X8" s="259"/>
      <c r="Y8" s="259"/>
    </row>
    <row r="9" spans="1:25">
      <c r="A9" s="150">
        <v>3</v>
      </c>
      <c r="B9" s="158" t="str">
        <f>+PERBULAN!B8</f>
        <v>JUNAIDI</v>
      </c>
      <c r="C9" s="158" t="str">
        <f>+PERBULAN!C8</f>
        <v>L</v>
      </c>
      <c r="D9" s="158" t="str">
        <f>+PERBULAN!D8</f>
        <v>K/0</v>
      </c>
      <c r="E9" s="158">
        <f>+PERBULAN!E8</f>
        <v>11</v>
      </c>
      <c r="F9" s="252">
        <f>+PERBULAN!R8</f>
        <v>46051707.160000004</v>
      </c>
      <c r="G9" s="252">
        <f>+BPJS!O107</f>
        <v>362082.83999999997</v>
      </c>
      <c r="H9" s="252">
        <f>+PERBULAN!S8</f>
        <v>4066600</v>
      </c>
      <c r="I9" s="252">
        <f>+BPJS!O12</f>
        <v>1745144</v>
      </c>
      <c r="J9" s="253">
        <v>0</v>
      </c>
      <c r="K9" s="252">
        <f>+PERBULAN!T8</f>
        <v>900000</v>
      </c>
      <c r="L9" s="252">
        <f t="shared" ref="L9:L61" si="5">F9+G9+H9+I9+J9+K9</f>
        <v>53125534.000000007</v>
      </c>
      <c r="M9" s="254">
        <f>+'ASTEK+PENSIUN-DIISI SMPAI DES'!O11</f>
        <v>941484</v>
      </c>
      <c r="N9" s="254">
        <f>+'ASTEK+PENSIUN-DIISI SMPAI DES'!O97</f>
        <v>470742</v>
      </c>
      <c r="O9" s="252">
        <f t="shared" si="0"/>
        <v>2656276.7000000007</v>
      </c>
      <c r="P9" s="253">
        <f t="shared" si="1"/>
        <v>4068502.7000000007</v>
      </c>
      <c r="Q9" s="253">
        <f t="shared" si="2"/>
        <v>49057031.300000004</v>
      </c>
      <c r="R9" s="184">
        <f>IF(D9="TK/0",54000000,IF(D9="K/0",58500000,IF(D9="K/1",63000000,IF(D9="K/2",67500000,IF(D9="K/3",72000000)))))</f>
        <v>58500000</v>
      </c>
      <c r="S9" s="253">
        <f t="shared" ref="S9:S61" si="6">IF(Q9&lt;=R9,0,IF(Q9&gt;R9,Q9-R9))</f>
        <v>0</v>
      </c>
      <c r="T9" s="258"/>
      <c r="U9" s="256">
        <f t="shared" si="3"/>
        <v>2107226.84</v>
      </c>
      <c r="V9" s="257">
        <f t="shared" si="4"/>
        <v>1412226</v>
      </c>
      <c r="W9" s="259"/>
      <c r="X9" s="259"/>
      <c r="Y9" s="259"/>
    </row>
    <row r="10" spans="1:25">
      <c r="A10" s="150">
        <v>4</v>
      </c>
      <c r="B10" s="158" t="str">
        <f>+PERBULAN!B9</f>
        <v>UMIYATI</v>
      </c>
      <c r="C10" s="158" t="str">
        <f>+PERBULAN!C9</f>
        <v>P</v>
      </c>
      <c r="D10" s="158" t="str">
        <f>+PERBULAN!D9</f>
        <v>TK/0</v>
      </c>
      <c r="E10" s="158">
        <f>+PERBULAN!E9</f>
        <v>4</v>
      </c>
      <c r="F10" s="252">
        <f>+PERBULAN!R9</f>
        <v>14668728.24</v>
      </c>
      <c r="G10" s="252">
        <f>+BPJS!O108</f>
        <v>130253.75999999999</v>
      </c>
      <c r="H10" s="252">
        <f>+PERBULAN!S9</f>
        <v>4036600</v>
      </c>
      <c r="I10" s="252">
        <f>+BPJS!O13</f>
        <v>633796</v>
      </c>
      <c r="J10" s="253">
        <v>0</v>
      </c>
      <c r="K10" s="252">
        <f>+PERBULAN!T9</f>
        <v>0</v>
      </c>
      <c r="L10" s="252">
        <f t="shared" si="5"/>
        <v>19469378</v>
      </c>
      <c r="M10" s="254">
        <f>+'ASTEK+PENSIUN-DIISI SMPAI DES'!O12</f>
        <v>310128</v>
      </c>
      <c r="N10" s="254">
        <f>+'ASTEK+PENSIUN-DIISI SMPAI DES'!O98</f>
        <v>155064</v>
      </c>
      <c r="O10" s="252">
        <f t="shared" si="0"/>
        <v>973468.9</v>
      </c>
      <c r="P10" s="253">
        <f t="shared" si="1"/>
        <v>1438660.9</v>
      </c>
      <c r="Q10" s="253">
        <f t="shared" si="2"/>
        <v>18030717.100000001</v>
      </c>
      <c r="R10" s="184">
        <f t="shared" ref="R10:R34" si="7">IF(D10="TK/0",54000000,IF(D10="K/0",58500000,IF(D10="K/1",63000000,IF(D10="K/2",67500000,IF(D10="K/3",72000000)))))</f>
        <v>54000000</v>
      </c>
      <c r="S10" s="253">
        <f t="shared" si="6"/>
        <v>0</v>
      </c>
      <c r="T10" s="258"/>
      <c r="U10" s="256">
        <f t="shared" si="3"/>
        <v>764049.76</v>
      </c>
      <c r="V10" s="257">
        <f t="shared" si="4"/>
        <v>465192</v>
      </c>
      <c r="W10" s="259"/>
      <c r="X10" s="259"/>
      <c r="Y10" s="259"/>
    </row>
    <row r="11" spans="1:25">
      <c r="A11" s="150">
        <v>5</v>
      </c>
      <c r="B11" s="158" t="str">
        <f>+PERBULAN!B10</f>
        <v>ASUNTI</v>
      </c>
      <c r="C11" s="158" t="str">
        <f>+PERBULAN!C10</f>
        <v>P</v>
      </c>
      <c r="D11" s="158" t="str">
        <f>+PERBULAN!D10</f>
        <v>TK/0</v>
      </c>
      <c r="E11" s="158">
        <f>+PERBULAN!E10</f>
        <v>11</v>
      </c>
      <c r="F11" s="252">
        <f>+PERBULAN!R10</f>
        <v>44310508.559999995</v>
      </c>
      <c r="G11" s="252">
        <f>+BPJS!O109</f>
        <v>360289.44</v>
      </c>
      <c r="H11" s="252">
        <f>+PERBULAN!S10</f>
        <v>3991100</v>
      </c>
      <c r="I11" s="252">
        <f>+BPJS!O14</f>
        <v>1726944</v>
      </c>
      <c r="J11" s="253">
        <v>0</v>
      </c>
      <c r="K11" s="252">
        <f>+PERBULAN!T10</f>
        <v>200000</v>
      </c>
      <c r="L11" s="252">
        <f t="shared" si="5"/>
        <v>50588841.999999993</v>
      </c>
      <c r="M11" s="254">
        <f>+'ASTEK+PENSIUN-DIISI SMPAI DES'!O13</f>
        <v>936374</v>
      </c>
      <c r="N11" s="254">
        <f>+'ASTEK+PENSIUN-DIISI SMPAI DES'!O99</f>
        <v>468187</v>
      </c>
      <c r="O11" s="252">
        <f t="shared" si="0"/>
        <v>2529442.0999999996</v>
      </c>
      <c r="P11" s="253">
        <f t="shared" si="1"/>
        <v>3934003.0999999996</v>
      </c>
      <c r="Q11" s="253">
        <f t="shared" si="2"/>
        <v>46654838.899999991</v>
      </c>
      <c r="R11" s="184">
        <f t="shared" si="7"/>
        <v>54000000</v>
      </c>
      <c r="S11" s="253">
        <f t="shared" si="6"/>
        <v>0</v>
      </c>
      <c r="T11" s="258"/>
      <c r="U11" s="256">
        <f t="shared" si="3"/>
        <v>2087233.44</v>
      </c>
      <c r="V11" s="257">
        <f t="shared" si="4"/>
        <v>1404561</v>
      </c>
      <c r="W11" s="259"/>
      <c r="X11" s="259"/>
      <c r="Y11" s="259"/>
    </row>
    <row r="12" spans="1:25">
      <c r="A12" s="150">
        <v>6</v>
      </c>
      <c r="B12" s="158" t="str">
        <f>+PERBULAN!B11</f>
        <v>JONI</v>
      </c>
      <c r="C12" s="158" t="str">
        <f>+PERBULAN!C11</f>
        <v>L</v>
      </c>
      <c r="D12" s="158" t="str">
        <f>+PERBULAN!D11</f>
        <v>K/1</v>
      </c>
      <c r="E12" s="158">
        <f>+PERBULAN!E11</f>
        <v>11</v>
      </c>
      <c r="F12" s="252">
        <f>+PERBULAN!R11</f>
        <v>44879317.159999996</v>
      </c>
      <c r="G12" s="252">
        <f>+BPJS!O110</f>
        <v>360465.83999999997</v>
      </c>
      <c r="H12" s="252">
        <f>+PERBULAN!S11</f>
        <v>4066600</v>
      </c>
      <c r="I12" s="252">
        <f>+BPJS!O15</f>
        <v>1728624</v>
      </c>
      <c r="J12" s="253">
        <v>0</v>
      </c>
      <c r="K12" s="252">
        <f>+PERBULAN!T11</f>
        <v>600000</v>
      </c>
      <c r="L12" s="252">
        <f t="shared" si="5"/>
        <v>51635007</v>
      </c>
      <c r="M12" s="254">
        <f>+'ASTEK+PENSIUN-DIISI SMPAI DES'!O14</f>
        <v>936864</v>
      </c>
      <c r="N12" s="254">
        <f>+'ASTEK+PENSIUN-DIISI SMPAI DES'!O100</f>
        <v>468432</v>
      </c>
      <c r="O12" s="252">
        <f t="shared" si="0"/>
        <v>2581750.35</v>
      </c>
      <c r="P12" s="253">
        <f t="shared" si="1"/>
        <v>3987046.35</v>
      </c>
      <c r="Q12" s="253">
        <f t="shared" si="2"/>
        <v>47647960.649999999</v>
      </c>
      <c r="R12" s="184">
        <f t="shared" si="7"/>
        <v>63000000</v>
      </c>
      <c r="S12" s="253">
        <f t="shared" si="6"/>
        <v>0</v>
      </c>
      <c r="T12" s="258"/>
      <c r="U12" s="256">
        <f t="shared" si="3"/>
        <v>2089089.8399999999</v>
      </c>
      <c r="V12" s="257">
        <f t="shared" si="4"/>
        <v>1405296</v>
      </c>
      <c r="W12" s="259"/>
      <c r="X12" s="259"/>
      <c r="Y12" s="259"/>
    </row>
    <row r="13" spans="1:25">
      <c r="A13" s="150">
        <v>7</v>
      </c>
      <c r="B13" s="158" t="str">
        <f>+PERBULAN!B12</f>
        <v>THAHA.S</v>
      </c>
      <c r="C13" s="158" t="str">
        <f>+PERBULAN!C12</f>
        <v>L</v>
      </c>
      <c r="D13" s="158" t="str">
        <f>+PERBULAN!D12</f>
        <v>K/1</v>
      </c>
      <c r="E13" s="158">
        <f>+PERBULAN!E12</f>
        <v>11</v>
      </c>
      <c r="F13" s="252">
        <f>+PERBULAN!R12</f>
        <v>45280927.159999996</v>
      </c>
      <c r="G13" s="252">
        <f>+BPJS!O111</f>
        <v>360465.83999999997</v>
      </c>
      <c r="H13" s="252">
        <f>+PERBULAN!S12</f>
        <v>4066600</v>
      </c>
      <c r="I13" s="252">
        <f>+BPJS!O16</f>
        <v>1728624</v>
      </c>
      <c r="J13" s="253">
        <v>0</v>
      </c>
      <c r="K13" s="252">
        <f>+PERBULAN!T12</f>
        <v>200000</v>
      </c>
      <c r="L13" s="252">
        <f t="shared" si="5"/>
        <v>51636617</v>
      </c>
      <c r="M13" s="254">
        <f>+'ASTEK+PENSIUN-DIISI SMPAI DES'!O15</f>
        <v>936864</v>
      </c>
      <c r="N13" s="254">
        <f>+'ASTEK+PENSIUN-DIISI SMPAI DES'!O101</f>
        <v>468432</v>
      </c>
      <c r="O13" s="252">
        <f t="shared" si="0"/>
        <v>2581830.85</v>
      </c>
      <c r="P13" s="253">
        <f t="shared" si="1"/>
        <v>3987126.85</v>
      </c>
      <c r="Q13" s="253">
        <f t="shared" si="2"/>
        <v>47649490.149999999</v>
      </c>
      <c r="R13" s="184">
        <f t="shared" si="7"/>
        <v>63000000</v>
      </c>
      <c r="S13" s="253">
        <f t="shared" si="6"/>
        <v>0</v>
      </c>
      <c r="T13" s="258"/>
      <c r="U13" s="256">
        <f t="shared" si="3"/>
        <v>2089089.8399999999</v>
      </c>
      <c r="V13" s="257">
        <f t="shared" si="4"/>
        <v>1405296</v>
      </c>
      <c r="W13" s="259"/>
      <c r="X13" s="259"/>
      <c r="Y13" s="259"/>
    </row>
    <row r="14" spans="1:25">
      <c r="A14" s="150">
        <v>8</v>
      </c>
      <c r="B14" s="158" t="str">
        <f>+PERBULAN!B13</f>
        <v>ALEX</v>
      </c>
      <c r="C14" s="158" t="str">
        <f>+PERBULAN!C13</f>
        <v>L</v>
      </c>
      <c r="D14" s="158" t="str">
        <f>+PERBULAN!D13</f>
        <v>K/2</v>
      </c>
      <c r="E14" s="158">
        <f>+PERBULAN!E13</f>
        <v>11</v>
      </c>
      <c r="F14" s="252">
        <f>+PERBULAN!R13</f>
        <v>44673677.559999995</v>
      </c>
      <c r="G14" s="252">
        <f>+BPJS!O112</f>
        <v>359533.44</v>
      </c>
      <c r="H14" s="252">
        <f>+PERBULAN!S13</f>
        <v>4073100</v>
      </c>
      <c r="I14" s="252">
        <f>+BPJS!O17</f>
        <v>1719264</v>
      </c>
      <c r="J14" s="253">
        <v>0</v>
      </c>
      <c r="K14" s="252">
        <f>+PERBULAN!T13</f>
        <v>200000</v>
      </c>
      <c r="L14" s="252">
        <f t="shared" si="5"/>
        <v>51025574.999999993</v>
      </c>
      <c r="M14" s="254">
        <f>+'ASTEK+PENSIUN-DIISI SMPAI DES'!O16</f>
        <v>934224</v>
      </c>
      <c r="N14" s="254">
        <f>+'ASTEK+PENSIUN-DIISI SMPAI DES'!O102</f>
        <v>467112</v>
      </c>
      <c r="O14" s="252">
        <f t="shared" si="0"/>
        <v>2551278.75</v>
      </c>
      <c r="P14" s="253">
        <f t="shared" si="1"/>
        <v>3952614.75</v>
      </c>
      <c r="Q14" s="253">
        <f t="shared" si="2"/>
        <v>47072960.249999993</v>
      </c>
      <c r="R14" s="184">
        <f t="shared" si="7"/>
        <v>67500000</v>
      </c>
      <c r="S14" s="253">
        <f t="shared" si="6"/>
        <v>0</v>
      </c>
      <c r="T14" s="258"/>
      <c r="U14" s="256">
        <f t="shared" si="3"/>
        <v>2078797.44</v>
      </c>
      <c r="V14" s="257">
        <f t="shared" si="4"/>
        <v>1401336</v>
      </c>
      <c r="W14" s="259"/>
      <c r="X14" s="259"/>
      <c r="Y14" s="259"/>
    </row>
    <row r="15" spans="1:25">
      <c r="A15" s="150">
        <v>9</v>
      </c>
      <c r="B15" s="158" t="str">
        <f>+PERBULAN!B14</f>
        <v>SANDY</v>
      </c>
      <c r="C15" s="158" t="str">
        <f>+PERBULAN!C14</f>
        <v>L</v>
      </c>
      <c r="D15" s="158" t="str">
        <f>+PERBULAN!D14</f>
        <v>K/1</v>
      </c>
      <c r="E15" s="158">
        <f>+PERBULAN!E14</f>
        <v>11</v>
      </c>
      <c r="F15" s="252">
        <f>+PERBULAN!R14</f>
        <v>44377577.559999995</v>
      </c>
      <c r="G15" s="252">
        <f>+BPJS!O113</f>
        <v>359533.44</v>
      </c>
      <c r="H15" s="252">
        <f>+PERBULAN!S14</f>
        <v>4046100</v>
      </c>
      <c r="I15" s="252">
        <f>+BPJS!O18</f>
        <v>1719264</v>
      </c>
      <c r="J15" s="253">
        <v>0</v>
      </c>
      <c r="K15" s="252">
        <f>+PERBULAN!T14</f>
        <v>200000</v>
      </c>
      <c r="L15" s="252">
        <f t="shared" si="5"/>
        <v>50702474.999999993</v>
      </c>
      <c r="M15" s="254">
        <f>+'ASTEK+PENSIUN-DIISI SMPAI DES'!O17</f>
        <v>934224</v>
      </c>
      <c r="N15" s="254">
        <f>+'ASTEK+PENSIUN-DIISI SMPAI DES'!O103</f>
        <v>467112</v>
      </c>
      <c r="O15" s="252">
        <f t="shared" si="0"/>
        <v>2535123.75</v>
      </c>
      <c r="P15" s="253">
        <f t="shared" si="1"/>
        <v>3936459.75</v>
      </c>
      <c r="Q15" s="253">
        <f t="shared" si="2"/>
        <v>46766015.249999993</v>
      </c>
      <c r="R15" s="184">
        <f t="shared" si="7"/>
        <v>63000000</v>
      </c>
      <c r="S15" s="253">
        <f t="shared" si="6"/>
        <v>0</v>
      </c>
      <c r="T15" s="258"/>
      <c r="U15" s="256">
        <f t="shared" si="3"/>
        <v>2078797.44</v>
      </c>
      <c r="V15" s="257">
        <f t="shared" si="4"/>
        <v>1401336</v>
      </c>
      <c r="W15" s="259"/>
      <c r="X15" s="259"/>
      <c r="Y15" s="259"/>
    </row>
    <row r="16" spans="1:25">
      <c r="A16" s="150">
        <v>10</v>
      </c>
      <c r="B16" s="158" t="str">
        <f>+PERBULAN!B15</f>
        <v>ANTON</v>
      </c>
      <c r="C16" s="158" t="str">
        <f>+PERBULAN!C15</f>
        <v>L</v>
      </c>
      <c r="D16" s="158" t="str">
        <f>+PERBULAN!D15</f>
        <v>K/1</v>
      </c>
      <c r="E16" s="158">
        <f>+PERBULAN!E15</f>
        <v>11</v>
      </c>
      <c r="F16" s="252">
        <f>+PERBULAN!R15</f>
        <v>45013187.159999996</v>
      </c>
      <c r="G16" s="252">
        <f>+BPJS!O114</f>
        <v>360465.83999999997</v>
      </c>
      <c r="H16" s="252">
        <f>+PERBULAN!S15</f>
        <v>4066600</v>
      </c>
      <c r="I16" s="252">
        <f>+BPJS!O19</f>
        <v>1728624</v>
      </c>
      <c r="J16" s="253">
        <v>0</v>
      </c>
      <c r="K16" s="252">
        <f>+PERBULAN!T15</f>
        <v>200000</v>
      </c>
      <c r="L16" s="252">
        <f t="shared" si="5"/>
        <v>51368877</v>
      </c>
      <c r="M16" s="254">
        <f>+'ASTEK+PENSIUN-DIISI SMPAI DES'!O18</f>
        <v>936864</v>
      </c>
      <c r="N16" s="254">
        <f>+'ASTEK+PENSIUN-DIISI SMPAI DES'!O104</f>
        <v>468432</v>
      </c>
      <c r="O16" s="252">
        <f t="shared" si="0"/>
        <v>2568443.85</v>
      </c>
      <c r="P16" s="253">
        <f t="shared" si="1"/>
        <v>3973739.85</v>
      </c>
      <c r="Q16" s="253">
        <f t="shared" si="2"/>
        <v>47395137.149999999</v>
      </c>
      <c r="R16" s="184">
        <f t="shared" si="7"/>
        <v>63000000</v>
      </c>
      <c r="S16" s="253">
        <f t="shared" si="6"/>
        <v>0</v>
      </c>
      <c r="T16" s="258"/>
      <c r="U16" s="256">
        <f t="shared" si="3"/>
        <v>2089089.8399999999</v>
      </c>
      <c r="V16" s="257">
        <f t="shared" si="4"/>
        <v>1405296</v>
      </c>
      <c r="W16" s="259"/>
      <c r="X16" s="259"/>
      <c r="Y16" s="259"/>
    </row>
    <row r="17" spans="1:25">
      <c r="A17" s="150">
        <v>11</v>
      </c>
      <c r="B17" s="158" t="str">
        <f>+PERBULAN!B16</f>
        <v>EKA NOPIYANTI</v>
      </c>
      <c r="C17" s="158" t="str">
        <f>+PERBULAN!C16</f>
        <v>P</v>
      </c>
      <c r="D17" s="158" t="str">
        <f>+PERBULAN!D16</f>
        <v>TK/0</v>
      </c>
      <c r="E17" s="158">
        <f>+PERBULAN!E16</f>
        <v>11</v>
      </c>
      <c r="F17" s="252">
        <f>+PERBULAN!R16</f>
        <v>44787859.159999996</v>
      </c>
      <c r="G17" s="252">
        <f>+BPJS!O115</f>
        <v>360318.84</v>
      </c>
      <c r="H17" s="252">
        <f>+PERBULAN!S16</f>
        <v>3991100</v>
      </c>
      <c r="I17" s="252">
        <f>+BPJS!O20</f>
        <v>1727084</v>
      </c>
      <c r="J17" s="253">
        <v>0</v>
      </c>
      <c r="K17" s="252">
        <f>+PERBULAN!T16</f>
        <v>600000</v>
      </c>
      <c r="L17" s="252">
        <f t="shared" si="5"/>
        <v>51466362</v>
      </c>
      <c r="M17" s="254">
        <f>+'ASTEK+PENSIUN-DIISI SMPAI DES'!O19</f>
        <v>936444</v>
      </c>
      <c r="N17" s="254">
        <f>+'ASTEK+PENSIUN-DIISI SMPAI DES'!O105</f>
        <v>468222</v>
      </c>
      <c r="O17" s="252">
        <f t="shared" si="0"/>
        <v>2573318.1</v>
      </c>
      <c r="P17" s="253">
        <f t="shared" si="1"/>
        <v>3977984.1</v>
      </c>
      <c r="Q17" s="253">
        <f t="shared" si="2"/>
        <v>47488377.899999999</v>
      </c>
      <c r="R17" s="184">
        <f t="shared" si="7"/>
        <v>54000000</v>
      </c>
      <c r="S17" s="253">
        <f t="shared" si="6"/>
        <v>0</v>
      </c>
      <c r="T17" s="258"/>
      <c r="U17" s="256">
        <f t="shared" si="3"/>
        <v>2087402.84</v>
      </c>
      <c r="V17" s="257">
        <f t="shared" si="4"/>
        <v>1404666</v>
      </c>
      <c r="W17" s="259"/>
      <c r="X17" s="259"/>
      <c r="Y17" s="259"/>
    </row>
    <row r="18" spans="1:25">
      <c r="A18" s="150">
        <v>12</v>
      </c>
      <c r="B18" s="158" t="str">
        <f>+PERBULAN!B17</f>
        <v>JUMIATI</v>
      </c>
      <c r="C18" s="158" t="str">
        <f>+PERBULAN!C17</f>
        <v>P</v>
      </c>
      <c r="D18" s="158" t="str">
        <f>+PERBULAN!D17</f>
        <v>TK/0</v>
      </c>
      <c r="E18" s="158">
        <f>+PERBULAN!E17</f>
        <v>11</v>
      </c>
      <c r="F18" s="252">
        <f>+PERBULAN!R17</f>
        <v>44483977.160000004</v>
      </c>
      <c r="G18" s="252">
        <f>+BPJS!O116</f>
        <v>360465.83999999997</v>
      </c>
      <c r="H18" s="252">
        <f>+PERBULAN!S17</f>
        <v>3994600</v>
      </c>
      <c r="I18" s="252">
        <f>+BPJS!O21</f>
        <v>1728624</v>
      </c>
      <c r="J18" s="253">
        <v>0</v>
      </c>
      <c r="K18" s="252">
        <f>+PERBULAN!T17</f>
        <v>600000</v>
      </c>
      <c r="L18" s="252">
        <f t="shared" si="5"/>
        <v>51167667.000000007</v>
      </c>
      <c r="M18" s="254">
        <f>+'ASTEK+PENSIUN-DIISI SMPAI DES'!O20</f>
        <v>936864</v>
      </c>
      <c r="N18" s="254">
        <f>+'ASTEK+PENSIUN-DIISI SMPAI DES'!O106</f>
        <v>468432</v>
      </c>
      <c r="O18" s="252">
        <f t="shared" si="0"/>
        <v>2558383.3500000006</v>
      </c>
      <c r="P18" s="253">
        <f t="shared" si="1"/>
        <v>3963679.3500000006</v>
      </c>
      <c r="Q18" s="253">
        <f t="shared" si="2"/>
        <v>47203987.650000006</v>
      </c>
      <c r="R18" s="184">
        <f t="shared" si="7"/>
        <v>54000000</v>
      </c>
      <c r="S18" s="253">
        <f t="shared" si="6"/>
        <v>0</v>
      </c>
      <c r="T18" s="258"/>
      <c r="U18" s="256">
        <f t="shared" si="3"/>
        <v>2089089.8399999999</v>
      </c>
      <c r="V18" s="257">
        <f t="shared" si="4"/>
        <v>1405296</v>
      </c>
      <c r="W18" s="259"/>
      <c r="X18" s="259"/>
      <c r="Y18" s="259"/>
    </row>
    <row r="19" spans="1:25">
      <c r="A19" s="150">
        <v>13</v>
      </c>
      <c r="B19" s="158" t="str">
        <f>+PERBULAN!B18</f>
        <v>SUPARDI</v>
      </c>
      <c r="C19" s="158" t="str">
        <f>+PERBULAN!C18</f>
        <v>L</v>
      </c>
      <c r="D19" s="158" t="str">
        <f>+PERBULAN!D18</f>
        <v>K/2</v>
      </c>
      <c r="E19" s="158">
        <f>+PERBULAN!E18</f>
        <v>11</v>
      </c>
      <c r="F19" s="252">
        <f>+PERBULAN!R18</f>
        <v>46077385.159999996</v>
      </c>
      <c r="G19" s="252">
        <f>+BPJS!O117</f>
        <v>359583.84</v>
      </c>
      <c r="H19" s="252">
        <f>+PERBULAN!S18</f>
        <v>4076100</v>
      </c>
      <c r="I19" s="252">
        <f>+BPJS!O22</f>
        <v>1720224</v>
      </c>
      <c r="J19" s="253">
        <v>0</v>
      </c>
      <c r="K19" s="252">
        <f>+PERBULAN!T18</f>
        <v>600000</v>
      </c>
      <c r="L19" s="252">
        <f t="shared" si="5"/>
        <v>52833293</v>
      </c>
      <c r="M19" s="254">
        <f>+'ASTEK+PENSIUN-DIISI SMPAI DES'!O21</f>
        <v>934344</v>
      </c>
      <c r="N19" s="254">
        <f>+'ASTEK+PENSIUN-DIISI SMPAI DES'!O107</f>
        <v>467172</v>
      </c>
      <c r="O19" s="252">
        <f t="shared" si="0"/>
        <v>2641664.6500000004</v>
      </c>
      <c r="P19" s="253">
        <f t="shared" si="1"/>
        <v>4043180.6500000004</v>
      </c>
      <c r="Q19" s="253">
        <f t="shared" si="2"/>
        <v>48790112.350000001</v>
      </c>
      <c r="R19" s="184">
        <f t="shared" si="7"/>
        <v>67500000</v>
      </c>
      <c r="S19" s="253">
        <f t="shared" si="6"/>
        <v>0</v>
      </c>
      <c r="T19" s="258"/>
      <c r="U19" s="256">
        <f t="shared" si="3"/>
        <v>2079807.84</v>
      </c>
      <c r="V19" s="257">
        <f t="shared" si="4"/>
        <v>1401516</v>
      </c>
      <c r="W19" s="259"/>
      <c r="X19" s="259"/>
      <c r="Y19" s="259"/>
    </row>
    <row r="20" spans="1:25">
      <c r="A20" s="150">
        <v>14</v>
      </c>
      <c r="B20" s="158" t="str">
        <f>+PERBULAN!B19</f>
        <v>PARDI</v>
      </c>
      <c r="C20" s="158" t="str">
        <f>+PERBULAN!C19</f>
        <v>L</v>
      </c>
      <c r="D20" s="158" t="str">
        <f>+PERBULAN!D19</f>
        <v>K/1</v>
      </c>
      <c r="E20" s="158">
        <f>+PERBULAN!E19</f>
        <v>4</v>
      </c>
      <c r="F20" s="252">
        <f>+PERBULAN!R19</f>
        <v>13967588.24</v>
      </c>
      <c r="G20" s="252">
        <f>+BPJS!O118</f>
        <v>130253.75999999999</v>
      </c>
      <c r="H20" s="252">
        <f>+PERBULAN!S19</f>
        <v>4101600</v>
      </c>
      <c r="I20" s="252">
        <f>+BPJS!O23</f>
        <v>632956</v>
      </c>
      <c r="J20" s="253">
        <v>0</v>
      </c>
      <c r="K20" s="252">
        <f>+PERBULAN!T19</f>
        <v>0</v>
      </c>
      <c r="L20" s="252">
        <f t="shared" si="5"/>
        <v>18832398</v>
      </c>
      <c r="M20" s="254">
        <f>+'ASTEK+PENSIUN-DIISI SMPAI DES'!O22</f>
        <v>310128</v>
      </c>
      <c r="N20" s="254">
        <f>+'ASTEK+PENSIUN-DIISI SMPAI DES'!O108</f>
        <v>155064</v>
      </c>
      <c r="O20" s="252">
        <f t="shared" si="0"/>
        <v>941619.9</v>
      </c>
      <c r="P20" s="253">
        <f t="shared" si="1"/>
        <v>1406811.9</v>
      </c>
      <c r="Q20" s="253">
        <f t="shared" si="2"/>
        <v>17425586.100000001</v>
      </c>
      <c r="R20" s="184">
        <f t="shared" si="7"/>
        <v>63000000</v>
      </c>
      <c r="S20" s="253">
        <f t="shared" si="6"/>
        <v>0</v>
      </c>
      <c r="T20" s="258"/>
      <c r="U20" s="256">
        <f t="shared" si="3"/>
        <v>763209.76</v>
      </c>
      <c r="V20" s="257">
        <f t="shared" si="4"/>
        <v>465192</v>
      </c>
      <c r="W20" s="259"/>
      <c r="X20" s="259"/>
      <c r="Y20" s="259"/>
    </row>
    <row r="21" spans="1:25">
      <c r="A21" s="150">
        <v>15</v>
      </c>
      <c r="B21" s="158" t="str">
        <f>+PERBULAN!B20</f>
        <v>SUMARDI</v>
      </c>
      <c r="C21" s="158" t="str">
        <f>+PERBULAN!C20</f>
        <v>L</v>
      </c>
      <c r="D21" s="158" t="str">
        <f>+PERBULAN!D20</f>
        <v>K/2</v>
      </c>
      <c r="E21" s="158">
        <f>+PERBULAN!E20</f>
        <v>11</v>
      </c>
      <c r="F21" s="252">
        <f>+PERBULAN!R20</f>
        <v>45546529.159999996</v>
      </c>
      <c r="G21" s="252">
        <f>+BPJS!O119</f>
        <v>360318.84</v>
      </c>
      <c r="H21" s="252">
        <f>+PERBULAN!S20</f>
        <v>4090100</v>
      </c>
      <c r="I21" s="252">
        <f>+BPJS!O24</f>
        <v>1727224</v>
      </c>
      <c r="J21" s="253">
        <v>0</v>
      </c>
      <c r="K21" s="252">
        <f>+PERBULAN!T20</f>
        <v>600000</v>
      </c>
      <c r="L21" s="252">
        <f t="shared" si="5"/>
        <v>52324172</v>
      </c>
      <c r="M21" s="254">
        <f>+'ASTEK+PENSIUN-DIISI SMPAI DES'!O23</f>
        <v>936444</v>
      </c>
      <c r="N21" s="254">
        <f>+'ASTEK+PENSIUN-DIISI SMPAI DES'!O109</f>
        <v>468222</v>
      </c>
      <c r="O21" s="252">
        <f t="shared" si="0"/>
        <v>2616208.6</v>
      </c>
      <c r="P21" s="253">
        <f t="shared" si="1"/>
        <v>4020874.6</v>
      </c>
      <c r="Q21" s="253">
        <f t="shared" si="2"/>
        <v>48303297.399999999</v>
      </c>
      <c r="R21" s="184">
        <f t="shared" si="7"/>
        <v>67500000</v>
      </c>
      <c r="S21" s="253">
        <f t="shared" si="6"/>
        <v>0</v>
      </c>
      <c r="T21" s="258"/>
      <c r="U21" s="256">
        <f t="shared" si="3"/>
        <v>2087542.84</v>
      </c>
      <c r="V21" s="257">
        <f t="shared" si="4"/>
        <v>1404666</v>
      </c>
      <c r="W21" s="259"/>
      <c r="X21" s="259"/>
      <c r="Y21" s="259"/>
    </row>
    <row r="22" spans="1:25">
      <c r="A22" s="150">
        <v>16</v>
      </c>
      <c r="B22" s="158" t="str">
        <f>+PERBULAN!B21</f>
        <v>WIDODO JP</v>
      </c>
      <c r="C22" s="158" t="str">
        <f>+PERBULAN!C21</f>
        <v>L</v>
      </c>
      <c r="D22" s="158" t="str">
        <f>+PERBULAN!D21</f>
        <v>TK/0</v>
      </c>
      <c r="E22" s="158">
        <f>+PERBULAN!E21</f>
        <v>11</v>
      </c>
      <c r="F22" s="252">
        <f>+PERBULAN!R21</f>
        <v>63032678.159999996</v>
      </c>
      <c r="G22" s="252">
        <f>+BPJS!O120</f>
        <v>360318.84</v>
      </c>
      <c r="H22" s="252">
        <f>+PERBULAN!S21</f>
        <v>3991100</v>
      </c>
      <c r="I22" s="252">
        <f>+BPJS!O25</f>
        <v>1727224</v>
      </c>
      <c r="J22" s="253">
        <v>0</v>
      </c>
      <c r="K22" s="252">
        <f>+PERBULAN!T21</f>
        <v>600000</v>
      </c>
      <c r="L22" s="252">
        <f t="shared" si="5"/>
        <v>69711321</v>
      </c>
      <c r="M22" s="254">
        <f>+'ASTEK+PENSIUN-DIISI SMPAI DES'!O24</f>
        <v>936444</v>
      </c>
      <c r="N22" s="254">
        <f>+'ASTEK+PENSIUN-DIISI SMPAI DES'!O110</f>
        <v>468222</v>
      </c>
      <c r="O22" s="252">
        <f t="shared" si="0"/>
        <v>3485566.0500000003</v>
      </c>
      <c r="P22" s="253">
        <f t="shared" si="1"/>
        <v>4890232.0500000007</v>
      </c>
      <c r="Q22" s="253">
        <f t="shared" si="2"/>
        <v>64821088.950000003</v>
      </c>
      <c r="R22" s="184">
        <f t="shared" si="7"/>
        <v>54000000</v>
      </c>
      <c r="S22" s="253">
        <f t="shared" si="6"/>
        <v>10821088.950000003</v>
      </c>
      <c r="T22" s="258"/>
      <c r="U22" s="256">
        <f t="shared" si="3"/>
        <v>2087542.84</v>
      </c>
      <c r="V22" s="257">
        <f t="shared" si="4"/>
        <v>1404666</v>
      </c>
      <c r="W22" s="259"/>
      <c r="X22" s="259"/>
      <c r="Y22" s="259"/>
    </row>
    <row r="23" spans="1:25">
      <c r="A23" s="150">
        <v>17</v>
      </c>
      <c r="B23" s="158" t="str">
        <f>+PERBULAN!B22</f>
        <v>ASBI ALGIFARI</v>
      </c>
      <c r="C23" s="158" t="str">
        <f>+PERBULAN!C22</f>
        <v>L</v>
      </c>
      <c r="D23" s="158" t="str">
        <f>+PERBULAN!D22</f>
        <v>K/1</v>
      </c>
      <c r="E23" s="158">
        <f>+PERBULAN!E22</f>
        <v>11</v>
      </c>
      <c r="F23" s="252">
        <f>+PERBULAN!R22</f>
        <v>44765230.159999996</v>
      </c>
      <c r="G23" s="252">
        <f>+BPJS!O121</f>
        <v>359079.83999999997</v>
      </c>
      <c r="H23" s="252">
        <f>+PERBULAN!S22</f>
        <v>4034100</v>
      </c>
      <c r="I23" s="252">
        <f>+BPJS!O26</f>
        <v>1714224</v>
      </c>
      <c r="J23" s="253">
        <v>0</v>
      </c>
      <c r="K23" s="252">
        <f>+PERBULAN!T22</f>
        <v>200000</v>
      </c>
      <c r="L23" s="252">
        <f t="shared" si="5"/>
        <v>51072634</v>
      </c>
      <c r="M23" s="254">
        <f>+'ASTEK+PENSIUN-DIISI SMPAI DES'!O25</f>
        <v>932904</v>
      </c>
      <c r="N23" s="254">
        <f>+'ASTEK+PENSIUN-DIISI SMPAI DES'!O111</f>
        <v>466452</v>
      </c>
      <c r="O23" s="252">
        <f t="shared" si="0"/>
        <v>2553631.7000000002</v>
      </c>
      <c r="P23" s="253">
        <f t="shared" si="1"/>
        <v>3952987.7</v>
      </c>
      <c r="Q23" s="253">
        <f t="shared" si="2"/>
        <v>47119646.299999997</v>
      </c>
      <c r="R23" s="184">
        <f t="shared" si="7"/>
        <v>63000000</v>
      </c>
      <c r="S23" s="253">
        <f t="shared" si="6"/>
        <v>0</v>
      </c>
      <c r="T23" s="258"/>
      <c r="U23" s="256">
        <f t="shared" si="3"/>
        <v>2073303.8399999999</v>
      </c>
      <c r="V23" s="257">
        <f t="shared" si="4"/>
        <v>1399356</v>
      </c>
      <c r="W23" s="259"/>
      <c r="X23" s="259"/>
      <c r="Y23" s="259"/>
    </row>
    <row r="24" spans="1:25">
      <c r="A24" s="150">
        <v>18</v>
      </c>
      <c r="B24" s="158" t="str">
        <f>+PERBULAN!B23</f>
        <v>YANDI</v>
      </c>
      <c r="C24" s="158" t="str">
        <f>+PERBULAN!C23</f>
        <v>L</v>
      </c>
      <c r="D24" s="158" t="str">
        <f>+PERBULAN!D23</f>
        <v>K/0</v>
      </c>
      <c r="E24" s="158">
        <f>+PERBULAN!E23</f>
        <v>11</v>
      </c>
      <c r="F24" s="252">
        <f>+PERBULAN!R23</f>
        <v>44489339.159999996</v>
      </c>
      <c r="G24" s="252">
        <f>+BPJS!O122</f>
        <v>359583.84</v>
      </c>
      <c r="H24" s="252">
        <f>+PERBULAN!S23</f>
        <v>4020600</v>
      </c>
      <c r="I24" s="252">
        <f>+BPJS!O27</f>
        <v>1720224</v>
      </c>
      <c r="J24" s="253">
        <v>0</v>
      </c>
      <c r="K24" s="252">
        <f>+PERBULAN!T23</f>
        <v>200000</v>
      </c>
      <c r="L24" s="252">
        <f t="shared" si="5"/>
        <v>50789747</v>
      </c>
      <c r="M24" s="254">
        <f>+'ASTEK+PENSIUN-DIISI SMPAI DES'!O26</f>
        <v>934344</v>
      </c>
      <c r="N24" s="254">
        <f>+'ASTEK+PENSIUN-DIISI SMPAI DES'!O112</f>
        <v>467172</v>
      </c>
      <c r="O24" s="252">
        <f t="shared" si="0"/>
        <v>2539487.35</v>
      </c>
      <c r="P24" s="253">
        <f t="shared" si="1"/>
        <v>3941003.35</v>
      </c>
      <c r="Q24" s="253">
        <f t="shared" si="2"/>
        <v>46848743.649999999</v>
      </c>
      <c r="R24" s="184">
        <f t="shared" si="7"/>
        <v>58500000</v>
      </c>
      <c r="S24" s="253">
        <f t="shared" si="6"/>
        <v>0</v>
      </c>
      <c r="T24" s="258"/>
      <c r="U24" s="256">
        <f t="shared" si="3"/>
        <v>2079807.84</v>
      </c>
      <c r="V24" s="257">
        <f t="shared" si="4"/>
        <v>1401516</v>
      </c>
      <c r="W24" s="259"/>
      <c r="X24" s="259"/>
      <c r="Y24" s="259"/>
    </row>
    <row r="25" spans="1:25">
      <c r="A25" s="150">
        <v>19</v>
      </c>
      <c r="B25" s="158" t="str">
        <f>+PERBULAN!B24</f>
        <v>RIDHO AFRIZAL</v>
      </c>
      <c r="C25" s="158" t="str">
        <f>+PERBULAN!C24</f>
        <v>L</v>
      </c>
      <c r="D25" s="158" t="str">
        <f>+PERBULAN!D24</f>
        <v>K/1</v>
      </c>
      <c r="E25" s="158">
        <f>+PERBULAN!E24</f>
        <v>11</v>
      </c>
      <c r="F25" s="252">
        <f>+PERBULAN!R24</f>
        <v>61657921.559999995</v>
      </c>
      <c r="G25" s="252">
        <f>+BPJS!O123</f>
        <v>359533.44</v>
      </c>
      <c r="H25" s="252">
        <f>+PERBULAN!S24</f>
        <v>4046100</v>
      </c>
      <c r="I25" s="252">
        <f>+BPJS!O28</f>
        <v>1719264</v>
      </c>
      <c r="J25" s="253">
        <v>0</v>
      </c>
      <c r="K25" s="252">
        <f>+PERBULAN!T24</f>
        <v>600000</v>
      </c>
      <c r="L25" s="252">
        <f t="shared" si="5"/>
        <v>68382819</v>
      </c>
      <c r="M25" s="254">
        <f>+'ASTEK+PENSIUN-DIISI SMPAI DES'!O27</f>
        <v>934224</v>
      </c>
      <c r="N25" s="254">
        <f>+'ASTEK+PENSIUN-DIISI SMPAI DES'!O113</f>
        <v>467112</v>
      </c>
      <c r="O25" s="252">
        <f t="shared" si="0"/>
        <v>3419140.95</v>
      </c>
      <c r="P25" s="253">
        <f t="shared" si="1"/>
        <v>4820476.95</v>
      </c>
      <c r="Q25" s="253">
        <f t="shared" si="2"/>
        <v>63562342.049999997</v>
      </c>
      <c r="R25" s="184">
        <f t="shared" si="7"/>
        <v>63000000</v>
      </c>
      <c r="S25" s="253">
        <f t="shared" si="6"/>
        <v>562342.04999999702</v>
      </c>
      <c r="T25" s="258"/>
      <c r="U25" s="256">
        <f t="shared" si="3"/>
        <v>2078797.44</v>
      </c>
      <c r="V25" s="257">
        <f t="shared" si="4"/>
        <v>1401336</v>
      </c>
      <c r="W25" s="259"/>
      <c r="X25" s="259"/>
      <c r="Y25" s="259"/>
    </row>
    <row r="26" spans="1:25">
      <c r="A26" s="150">
        <v>20</v>
      </c>
      <c r="B26" s="158" t="str">
        <f>+PERBULAN!B25</f>
        <v>APRIZAL</v>
      </c>
      <c r="C26" s="158" t="str">
        <f>+PERBULAN!C25</f>
        <v>L</v>
      </c>
      <c r="D26" s="158" t="str">
        <f>+PERBULAN!D25</f>
        <v>K/1</v>
      </c>
      <c r="E26" s="158">
        <f>+PERBULAN!E25</f>
        <v>11</v>
      </c>
      <c r="F26" s="252">
        <f>+PERBULAN!R25</f>
        <v>45203783.559999995</v>
      </c>
      <c r="G26" s="252">
        <f>+BPJS!O124</f>
        <v>359533.44</v>
      </c>
      <c r="H26" s="252">
        <f>+PERBULAN!S25</f>
        <v>4046100</v>
      </c>
      <c r="I26" s="252">
        <f>+BPJS!O29</f>
        <v>1719264</v>
      </c>
      <c r="J26" s="253">
        <v>0</v>
      </c>
      <c r="K26" s="252">
        <f>+PERBULAN!T25</f>
        <v>600000</v>
      </c>
      <c r="L26" s="252">
        <f t="shared" si="5"/>
        <v>51928680.999999993</v>
      </c>
      <c r="M26" s="254">
        <f>+'ASTEK+PENSIUN-DIISI SMPAI DES'!O28</f>
        <v>934224</v>
      </c>
      <c r="N26" s="254">
        <f>+'ASTEK+PENSIUN-DIISI SMPAI DES'!O114</f>
        <v>467112</v>
      </c>
      <c r="O26" s="252">
        <f t="shared" si="0"/>
        <v>2596434.0499999998</v>
      </c>
      <c r="P26" s="253">
        <f t="shared" si="1"/>
        <v>3997770.05</v>
      </c>
      <c r="Q26" s="253">
        <f t="shared" si="2"/>
        <v>47930910.949999996</v>
      </c>
      <c r="R26" s="184">
        <f t="shared" si="7"/>
        <v>63000000</v>
      </c>
      <c r="S26" s="253">
        <f t="shared" si="6"/>
        <v>0</v>
      </c>
      <c r="T26" s="258"/>
      <c r="U26" s="256">
        <f t="shared" si="3"/>
        <v>2078797.44</v>
      </c>
      <c r="V26" s="257">
        <f t="shared" si="4"/>
        <v>1401336</v>
      </c>
      <c r="W26" s="259"/>
      <c r="X26" s="259"/>
      <c r="Y26" s="259"/>
    </row>
    <row r="27" spans="1:25">
      <c r="A27" s="150">
        <v>21</v>
      </c>
      <c r="B27" s="158" t="str">
        <f>+PERBULAN!B26</f>
        <v>ERRY SAPUTRA</v>
      </c>
      <c r="C27" s="158" t="str">
        <f>+PERBULAN!C26</f>
        <v>L</v>
      </c>
      <c r="D27" s="158" t="str">
        <f>+PERBULAN!D26</f>
        <v>K/1</v>
      </c>
      <c r="E27" s="158">
        <f>+PERBULAN!E26</f>
        <v>11</v>
      </c>
      <c r="F27" s="252">
        <f>+PERBULAN!R26</f>
        <v>44995689.159999996</v>
      </c>
      <c r="G27" s="252">
        <f>+BPJS!O125</f>
        <v>360318.84</v>
      </c>
      <c r="H27" s="252">
        <f>+PERBULAN!S26</f>
        <v>4066600</v>
      </c>
      <c r="I27" s="252">
        <f>+BPJS!O30</f>
        <v>1727924</v>
      </c>
      <c r="J27" s="253">
        <v>0</v>
      </c>
      <c r="K27" s="252">
        <f>+PERBULAN!T26</f>
        <v>600000</v>
      </c>
      <c r="L27" s="252">
        <f t="shared" si="5"/>
        <v>51750532</v>
      </c>
      <c r="M27" s="254">
        <f>+'ASTEK+PENSIUN-DIISI SMPAI DES'!O29</f>
        <v>936514</v>
      </c>
      <c r="N27" s="254">
        <f>+'ASTEK+PENSIUN-DIISI SMPAI DES'!O115</f>
        <v>468257</v>
      </c>
      <c r="O27" s="252">
        <f t="shared" si="0"/>
        <v>2587526.6</v>
      </c>
      <c r="P27" s="253">
        <f t="shared" si="1"/>
        <v>3992297.6</v>
      </c>
      <c r="Q27" s="253">
        <f t="shared" si="2"/>
        <v>47758234.399999999</v>
      </c>
      <c r="R27" s="184">
        <f t="shared" si="7"/>
        <v>63000000</v>
      </c>
      <c r="S27" s="253">
        <f t="shared" si="6"/>
        <v>0</v>
      </c>
      <c r="T27" s="258"/>
      <c r="U27" s="256">
        <f t="shared" si="3"/>
        <v>2088242.84</v>
      </c>
      <c r="V27" s="257">
        <f t="shared" si="4"/>
        <v>1404771</v>
      </c>
      <c r="W27" s="259"/>
      <c r="X27" s="259"/>
      <c r="Y27" s="259"/>
    </row>
    <row r="28" spans="1:25">
      <c r="A28" s="150">
        <v>22</v>
      </c>
      <c r="B28" s="158" t="str">
        <f>+PERBULAN!B27</f>
        <v>ARWANDI</v>
      </c>
      <c r="C28" s="158" t="str">
        <f>+PERBULAN!C27</f>
        <v>L</v>
      </c>
      <c r="D28" s="158" t="str">
        <f>+PERBULAN!D27</f>
        <v>K/1</v>
      </c>
      <c r="E28" s="158">
        <f>+PERBULAN!E27</f>
        <v>11</v>
      </c>
      <c r="F28" s="252">
        <f>+PERBULAN!R27</f>
        <v>86943299.160000011</v>
      </c>
      <c r="G28" s="252">
        <f>+BPJS!O126</f>
        <v>362082.83999999997</v>
      </c>
      <c r="H28" s="252">
        <f>+PERBULAN!S27</f>
        <v>4091600</v>
      </c>
      <c r="I28" s="252">
        <f>+BPJS!O31</f>
        <v>1744864</v>
      </c>
      <c r="J28" s="253">
        <v>0</v>
      </c>
      <c r="K28" s="252">
        <f>+PERBULAN!T27</f>
        <v>900000</v>
      </c>
      <c r="L28" s="252">
        <f t="shared" si="5"/>
        <v>94041846.000000015</v>
      </c>
      <c r="M28" s="254">
        <f>+'ASTEK+PENSIUN-DIISI SMPAI DES'!O30</f>
        <v>941484</v>
      </c>
      <c r="N28" s="254">
        <f>+'ASTEK+PENSIUN-DIISI SMPAI DES'!O116</f>
        <v>470742</v>
      </c>
      <c r="O28" s="252">
        <f t="shared" si="0"/>
        <v>4702092.3000000007</v>
      </c>
      <c r="P28" s="253">
        <f t="shared" si="1"/>
        <v>6114318.3000000007</v>
      </c>
      <c r="Q28" s="253">
        <f t="shared" si="2"/>
        <v>87927527.700000018</v>
      </c>
      <c r="R28" s="184">
        <f t="shared" si="7"/>
        <v>63000000</v>
      </c>
      <c r="S28" s="253">
        <f t="shared" si="6"/>
        <v>24927527.700000018</v>
      </c>
      <c r="T28" s="258"/>
      <c r="U28" s="256">
        <f t="shared" si="3"/>
        <v>2106946.84</v>
      </c>
      <c r="V28" s="257">
        <f t="shared" si="4"/>
        <v>1412226</v>
      </c>
      <c r="W28" s="259"/>
      <c r="X28" s="259"/>
      <c r="Y28" s="259"/>
    </row>
    <row r="29" spans="1:25">
      <c r="A29" s="150">
        <v>23</v>
      </c>
      <c r="B29" s="158" t="str">
        <f>+PERBULAN!B28</f>
        <v>RENDI PERJAYA</v>
      </c>
      <c r="C29" s="158" t="str">
        <f>+PERBULAN!C28</f>
        <v>L</v>
      </c>
      <c r="D29" s="158" t="str">
        <f>+PERBULAN!D28</f>
        <v>K/1</v>
      </c>
      <c r="E29" s="158">
        <f>+PERBULAN!E28</f>
        <v>11</v>
      </c>
      <c r="F29" s="252">
        <f>+PERBULAN!R28</f>
        <v>82316078.560000002</v>
      </c>
      <c r="G29" s="252">
        <f>+BPJS!O127</f>
        <v>359533.44</v>
      </c>
      <c r="H29" s="252">
        <f>+PERBULAN!S28</f>
        <v>4032600</v>
      </c>
      <c r="I29" s="252">
        <f>+BPJS!O32</f>
        <v>1719264</v>
      </c>
      <c r="J29" s="253">
        <v>0</v>
      </c>
      <c r="K29" s="252">
        <f>+PERBULAN!T28</f>
        <v>600000</v>
      </c>
      <c r="L29" s="252">
        <f t="shared" si="5"/>
        <v>89027476</v>
      </c>
      <c r="M29" s="254">
        <f>+'ASTEK+PENSIUN-DIISI SMPAI DES'!O31</f>
        <v>934224</v>
      </c>
      <c r="N29" s="254">
        <f>+'ASTEK+PENSIUN-DIISI SMPAI DES'!O117</f>
        <v>467112</v>
      </c>
      <c r="O29" s="252">
        <f t="shared" si="0"/>
        <v>4451373.8</v>
      </c>
      <c r="P29" s="253">
        <f t="shared" si="1"/>
        <v>5852709.7999999998</v>
      </c>
      <c r="Q29" s="253">
        <f t="shared" si="2"/>
        <v>83174766.200000003</v>
      </c>
      <c r="R29" s="184">
        <f t="shared" si="7"/>
        <v>63000000</v>
      </c>
      <c r="S29" s="253">
        <f t="shared" si="6"/>
        <v>20174766.200000003</v>
      </c>
      <c r="T29" s="258"/>
      <c r="U29" s="256">
        <f t="shared" si="3"/>
        <v>2078797.44</v>
      </c>
      <c r="V29" s="257">
        <f t="shared" si="4"/>
        <v>1401336</v>
      </c>
      <c r="W29" s="259"/>
      <c r="X29" s="259"/>
      <c r="Y29" s="259"/>
    </row>
    <row r="30" spans="1:25">
      <c r="A30" s="150">
        <v>24</v>
      </c>
      <c r="B30" s="158" t="str">
        <f>+PERBULAN!B29</f>
        <v>ANDI</v>
      </c>
      <c r="C30" s="158" t="str">
        <f>+PERBULAN!C29</f>
        <v>L</v>
      </c>
      <c r="D30" s="158" t="str">
        <f>+PERBULAN!D29</f>
        <v>K/1</v>
      </c>
      <c r="E30" s="158">
        <f>+PERBULAN!E29</f>
        <v>11</v>
      </c>
      <c r="F30" s="252">
        <f>+PERBULAN!R29</f>
        <v>79609185.159999996</v>
      </c>
      <c r="G30" s="252">
        <f>+BPJS!O128</f>
        <v>361935.83999999997</v>
      </c>
      <c r="H30" s="252">
        <f>+PERBULAN!S29</f>
        <v>4101600</v>
      </c>
      <c r="I30" s="252">
        <f>+BPJS!O33</f>
        <v>1743184</v>
      </c>
      <c r="J30" s="253">
        <v>0</v>
      </c>
      <c r="K30" s="252">
        <f>+PERBULAN!T29</f>
        <v>900000</v>
      </c>
      <c r="L30" s="252">
        <f t="shared" si="5"/>
        <v>86715905</v>
      </c>
      <c r="M30" s="254">
        <f>+'ASTEK+PENSIUN-DIISI SMPAI DES'!O32</f>
        <v>941064</v>
      </c>
      <c r="N30" s="254">
        <f>+'ASTEK+PENSIUN-DIISI SMPAI DES'!O118</f>
        <v>470532</v>
      </c>
      <c r="O30" s="252">
        <f t="shared" si="0"/>
        <v>4335795.25</v>
      </c>
      <c r="P30" s="253">
        <f t="shared" si="1"/>
        <v>5747391.25</v>
      </c>
      <c r="Q30" s="253">
        <f t="shared" si="2"/>
        <v>80968513.75</v>
      </c>
      <c r="R30" s="184">
        <f t="shared" si="7"/>
        <v>63000000</v>
      </c>
      <c r="S30" s="253">
        <f t="shared" si="6"/>
        <v>17968513.75</v>
      </c>
      <c r="T30" s="260"/>
      <c r="U30" s="256">
        <f t="shared" si="3"/>
        <v>2105119.84</v>
      </c>
      <c r="V30" s="257">
        <f t="shared" si="4"/>
        <v>1411596</v>
      </c>
      <c r="W30" s="259"/>
      <c r="X30" s="259"/>
      <c r="Y30" s="259"/>
    </row>
    <row r="31" spans="1:25">
      <c r="A31" s="150">
        <v>25</v>
      </c>
      <c r="B31" s="158" t="str">
        <f>+PERBULAN!B30</f>
        <v>JULI</v>
      </c>
      <c r="C31" s="158" t="str">
        <f>+PERBULAN!C30</f>
        <v>L</v>
      </c>
      <c r="D31" s="158" t="str">
        <f>+PERBULAN!D30</f>
        <v>K/2</v>
      </c>
      <c r="E31" s="158">
        <f>+PERBULAN!E30</f>
        <v>11</v>
      </c>
      <c r="F31" s="252">
        <f>+PERBULAN!R30</f>
        <v>80916627.160000011</v>
      </c>
      <c r="G31" s="252">
        <f>+BPJS!O129</f>
        <v>362082.83999999997</v>
      </c>
      <c r="H31" s="252">
        <f>+PERBULAN!S30</f>
        <v>4135600</v>
      </c>
      <c r="I31" s="252">
        <f>+BPJS!O34</f>
        <v>1745144</v>
      </c>
      <c r="J31" s="253">
        <v>0</v>
      </c>
      <c r="K31" s="252">
        <f>+PERBULAN!T30</f>
        <v>900000</v>
      </c>
      <c r="L31" s="252">
        <f t="shared" si="5"/>
        <v>88059454.000000015</v>
      </c>
      <c r="M31" s="254">
        <f>+'ASTEK+PENSIUN-DIISI SMPAI DES'!O33</f>
        <v>941484</v>
      </c>
      <c r="N31" s="254">
        <f>+'ASTEK+PENSIUN-DIISI SMPAI DES'!O119</f>
        <v>470742</v>
      </c>
      <c r="O31" s="252">
        <f t="shared" si="0"/>
        <v>4402972.7000000011</v>
      </c>
      <c r="P31" s="253">
        <f t="shared" si="1"/>
        <v>5815198.7000000011</v>
      </c>
      <c r="Q31" s="253">
        <f t="shared" si="2"/>
        <v>82244255.300000012</v>
      </c>
      <c r="R31" s="184">
        <f t="shared" si="7"/>
        <v>67500000</v>
      </c>
      <c r="S31" s="253">
        <f t="shared" si="6"/>
        <v>14744255.300000012</v>
      </c>
      <c r="T31" s="258"/>
      <c r="U31" s="256">
        <f t="shared" si="3"/>
        <v>2107226.84</v>
      </c>
      <c r="V31" s="257">
        <f t="shared" si="4"/>
        <v>1412226</v>
      </c>
      <c r="W31" s="259"/>
      <c r="X31" s="259"/>
      <c r="Y31" s="259"/>
    </row>
    <row r="32" spans="1:25">
      <c r="A32" s="150">
        <v>26</v>
      </c>
      <c r="B32" s="158" t="str">
        <f>+PERBULAN!B31</f>
        <v>DICKY PRATAMA</v>
      </c>
      <c r="C32" s="158" t="str">
        <f>+PERBULAN!C31</f>
        <v>L</v>
      </c>
      <c r="D32" s="158" t="str">
        <f>+PERBULAN!D31</f>
        <v>K/0</v>
      </c>
      <c r="E32" s="158">
        <f>+PERBULAN!E31</f>
        <v>11</v>
      </c>
      <c r="F32" s="252">
        <f>+PERBULAN!R31</f>
        <v>63145011.160000011</v>
      </c>
      <c r="G32" s="252">
        <f>+BPJS!O130</f>
        <v>358407.83999999997</v>
      </c>
      <c r="H32" s="252">
        <f>+PERBULAN!S31</f>
        <v>3990100</v>
      </c>
      <c r="I32" s="252">
        <f>+BPJS!O35</f>
        <v>1707604</v>
      </c>
      <c r="J32" s="253">
        <v>0</v>
      </c>
      <c r="K32" s="252">
        <f>+PERBULAN!T31</f>
        <v>200000</v>
      </c>
      <c r="L32" s="252">
        <f t="shared" si="5"/>
        <v>69401123.000000015</v>
      </c>
      <c r="M32" s="254">
        <f>+'ASTEK+PENSIUN-DIISI SMPAI DES'!O34</f>
        <v>930984</v>
      </c>
      <c r="N32" s="254">
        <f>+'ASTEK+PENSIUN-DIISI SMPAI DES'!O120</f>
        <v>465492</v>
      </c>
      <c r="O32" s="252">
        <f t="shared" si="0"/>
        <v>3470056.1500000008</v>
      </c>
      <c r="P32" s="253">
        <f t="shared" si="1"/>
        <v>4866532.1500000004</v>
      </c>
      <c r="Q32" s="253">
        <f t="shared" si="2"/>
        <v>64534590.850000016</v>
      </c>
      <c r="R32" s="184">
        <f t="shared" si="7"/>
        <v>58500000</v>
      </c>
      <c r="S32" s="253">
        <f t="shared" si="6"/>
        <v>6034590.8500000164</v>
      </c>
      <c r="T32" s="261"/>
      <c r="U32" s="256">
        <f t="shared" si="3"/>
        <v>2066011.8399999999</v>
      </c>
      <c r="V32" s="257">
        <f t="shared" si="4"/>
        <v>1396476</v>
      </c>
    </row>
    <row r="33" spans="1:25">
      <c r="A33" s="150">
        <v>27</v>
      </c>
      <c r="B33" s="158" t="str">
        <f>+PERBULAN!B32</f>
        <v>SUIP</v>
      </c>
      <c r="C33" s="158" t="str">
        <f>+PERBULAN!C32</f>
        <v>L</v>
      </c>
      <c r="D33" s="158" t="str">
        <f>+PERBULAN!D32</f>
        <v>K/1</v>
      </c>
      <c r="E33" s="158">
        <f>+PERBULAN!E32</f>
        <v>11</v>
      </c>
      <c r="F33" s="252">
        <f>+PERBULAN!R32</f>
        <v>52903708.959999986</v>
      </c>
      <c r="G33" s="252">
        <f>+BPJS!O131</f>
        <v>359105.04</v>
      </c>
      <c r="H33" s="252">
        <f>+PERBULAN!S32</f>
        <v>4037100</v>
      </c>
      <c r="I33" s="252">
        <f>+BPJS!O36</f>
        <v>1715064</v>
      </c>
      <c r="J33" s="253">
        <v>0</v>
      </c>
      <c r="K33" s="252">
        <f>+PERBULAN!T32</f>
        <v>900000</v>
      </c>
      <c r="L33" s="252">
        <f t="shared" si="5"/>
        <v>59914977.999999985</v>
      </c>
      <c r="M33" s="254">
        <f>+'ASTEK+PENSIUN-DIISI SMPAI DES'!O35</f>
        <v>933024</v>
      </c>
      <c r="N33" s="254">
        <f>+'ASTEK+PENSIUN-DIISI SMPAI DES'!O121</f>
        <v>466512</v>
      </c>
      <c r="O33" s="252">
        <f t="shared" si="0"/>
        <v>2995748.8999999994</v>
      </c>
      <c r="P33" s="253">
        <f t="shared" si="1"/>
        <v>4395284.8999999994</v>
      </c>
      <c r="Q33" s="253">
        <f t="shared" si="2"/>
        <v>55519693.099999987</v>
      </c>
      <c r="R33" s="184">
        <f t="shared" si="7"/>
        <v>63000000</v>
      </c>
      <c r="S33" s="253">
        <f t="shared" si="6"/>
        <v>0</v>
      </c>
      <c r="T33" s="258"/>
      <c r="U33" s="256">
        <f t="shared" si="3"/>
        <v>2074169.04</v>
      </c>
      <c r="V33" s="257">
        <f t="shared" si="4"/>
        <v>1399536</v>
      </c>
      <c r="W33" s="259"/>
      <c r="X33" s="259"/>
      <c r="Y33" s="259"/>
    </row>
    <row r="34" spans="1:25">
      <c r="A34" s="150">
        <v>28</v>
      </c>
      <c r="B34" s="158" t="str">
        <f>+PERBULAN!B33</f>
        <v>ROBIN DINATA</v>
      </c>
      <c r="C34" s="158" t="str">
        <f>+PERBULAN!C33</f>
        <v>L</v>
      </c>
      <c r="D34" s="158" t="str">
        <f>+PERBULAN!D33</f>
        <v>K/2</v>
      </c>
      <c r="E34" s="158">
        <f>+PERBULAN!E33</f>
        <v>11</v>
      </c>
      <c r="F34" s="252">
        <f>+PERBULAN!R33</f>
        <v>55722950.959999986</v>
      </c>
      <c r="G34" s="252">
        <f>+BPJS!O132</f>
        <v>359105.04</v>
      </c>
      <c r="H34" s="252">
        <f>+PERBULAN!S33</f>
        <v>4064100</v>
      </c>
      <c r="I34" s="252">
        <f>+BPJS!O37</f>
        <v>1715064</v>
      </c>
      <c r="J34" s="253">
        <v>0</v>
      </c>
      <c r="K34" s="252">
        <f>+PERBULAN!T33</f>
        <v>900000</v>
      </c>
      <c r="L34" s="252">
        <f t="shared" si="5"/>
        <v>62761219.999999985</v>
      </c>
      <c r="M34" s="254">
        <f>+'ASTEK+PENSIUN-DIISI SMPAI DES'!O36</f>
        <v>933024</v>
      </c>
      <c r="N34" s="254">
        <f>+'ASTEK+PENSIUN-DIISI SMPAI DES'!O122</f>
        <v>466512</v>
      </c>
      <c r="O34" s="252">
        <f t="shared" si="0"/>
        <v>3138060.9999999995</v>
      </c>
      <c r="P34" s="253">
        <f t="shared" si="1"/>
        <v>4537597</v>
      </c>
      <c r="Q34" s="253">
        <f t="shared" si="2"/>
        <v>58223622.999999985</v>
      </c>
      <c r="R34" s="184">
        <f t="shared" si="7"/>
        <v>67500000</v>
      </c>
      <c r="S34" s="253">
        <f t="shared" si="6"/>
        <v>0</v>
      </c>
      <c r="T34" s="258"/>
      <c r="U34" s="256">
        <f t="shared" si="3"/>
        <v>2074169.04</v>
      </c>
      <c r="V34" s="257">
        <f t="shared" si="4"/>
        <v>1399536</v>
      </c>
      <c r="W34" s="259"/>
      <c r="X34" s="259"/>
      <c r="Y34" s="259"/>
    </row>
    <row r="35" spans="1:25">
      <c r="A35" s="150">
        <v>29</v>
      </c>
      <c r="B35" s="158" t="str">
        <f>+PERBULAN!B34</f>
        <v>SAPARUDIN</v>
      </c>
      <c r="C35" s="158" t="str">
        <f>+PERBULAN!C34</f>
        <v>L</v>
      </c>
      <c r="D35" s="158" t="str">
        <f>+PERBULAN!D34</f>
        <v>K/2</v>
      </c>
      <c r="E35" s="158">
        <f>+PERBULAN!E34</f>
        <v>11</v>
      </c>
      <c r="F35" s="252">
        <f>+PERBULAN!R34</f>
        <v>56325622.159999982</v>
      </c>
      <c r="G35" s="252">
        <f>+BPJS!O133</f>
        <v>359079.83999999997</v>
      </c>
      <c r="H35" s="252">
        <f>+PERBULAN!S34</f>
        <v>4061100</v>
      </c>
      <c r="I35" s="252">
        <f>+BPJS!O38</f>
        <v>1714344</v>
      </c>
      <c r="J35" s="253">
        <v>0</v>
      </c>
      <c r="K35" s="252">
        <f>+PERBULAN!T34</f>
        <v>200000</v>
      </c>
      <c r="L35" s="252">
        <f t="shared" si="5"/>
        <v>62660145.999999985</v>
      </c>
      <c r="M35" s="254">
        <f>+'ASTEK+PENSIUN-DIISI SMPAI DES'!O37</f>
        <v>932904</v>
      </c>
      <c r="N35" s="254">
        <f>+'ASTEK+PENSIUN-DIISI SMPAI DES'!O123</f>
        <v>466452</v>
      </c>
      <c r="O35" s="252">
        <f t="shared" si="0"/>
        <v>3133007.2999999993</v>
      </c>
      <c r="P35" s="253">
        <f t="shared" si="1"/>
        <v>4532363.2999999989</v>
      </c>
      <c r="Q35" s="253">
        <f t="shared" si="2"/>
        <v>58127782.699999988</v>
      </c>
      <c r="R35" s="184">
        <f>IF(D35="TK/0",54000000,IF(D35="K/0",58500000,IF(D35="K/1",63000000,IF(D35="K/2",67500000,IF(D35="K/3",72000000)))))</f>
        <v>67500000</v>
      </c>
      <c r="S35" s="253">
        <f t="shared" si="6"/>
        <v>0</v>
      </c>
      <c r="T35" s="258"/>
      <c r="U35" s="256">
        <f t="shared" si="3"/>
        <v>2073423.8399999999</v>
      </c>
      <c r="V35" s="257">
        <f t="shared" si="4"/>
        <v>1399356</v>
      </c>
      <c r="W35" s="259"/>
      <c r="X35" s="259"/>
      <c r="Y35" s="259"/>
    </row>
    <row r="36" spans="1:25">
      <c r="A36" s="150">
        <v>30</v>
      </c>
      <c r="B36" s="158" t="str">
        <f>+PERBULAN!B35</f>
        <v>SULTAN</v>
      </c>
      <c r="C36" s="158" t="str">
        <f>+PERBULAN!C35</f>
        <v>L</v>
      </c>
      <c r="D36" s="158" t="str">
        <f>+PERBULAN!D35</f>
        <v>K/2</v>
      </c>
      <c r="E36" s="158">
        <f>+PERBULAN!E35</f>
        <v>11</v>
      </c>
      <c r="F36" s="252">
        <f>+PERBULAN!R35</f>
        <v>49221608.359999985</v>
      </c>
      <c r="G36" s="252">
        <f>+BPJS!O134</f>
        <v>359054.6399999999</v>
      </c>
      <c r="H36" s="252">
        <f>+PERBULAN!S35</f>
        <v>4061100</v>
      </c>
      <c r="I36" s="252">
        <f>+BPJS!O39</f>
        <v>1714104</v>
      </c>
      <c r="J36" s="253">
        <v>0</v>
      </c>
      <c r="K36" s="252">
        <f>+PERBULAN!T35</f>
        <v>200000</v>
      </c>
      <c r="L36" s="252">
        <f t="shared" si="5"/>
        <v>55555866.999999985</v>
      </c>
      <c r="M36" s="254">
        <f>+'ASTEK+PENSIUN-DIISI SMPAI DES'!O38</f>
        <v>932844</v>
      </c>
      <c r="N36" s="254">
        <f>+'ASTEK+PENSIUN-DIISI SMPAI DES'!O124</f>
        <v>466422</v>
      </c>
      <c r="O36" s="252">
        <f t="shared" si="0"/>
        <v>2777793.3499999996</v>
      </c>
      <c r="P36" s="253">
        <f t="shared" si="1"/>
        <v>4177059.3499999996</v>
      </c>
      <c r="Q36" s="253">
        <f t="shared" si="2"/>
        <v>51378807.649999984</v>
      </c>
      <c r="R36" s="184">
        <f t="shared" ref="R36:R76" si="8">IF(D36="TK/0",54000000,IF(D36="K/0",58500000,IF(D36="K/1",63000000,IF(D36="K/2",67500000,IF(D36="K/3",72000000)))))</f>
        <v>67500000</v>
      </c>
      <c r="S36" s="253">
        <f t="shared" si="6"/>
        <v>0</v>
      </c>
      <c r="T36" s="258"/>
      <c r="U36" s="256">
        <f t="shared" si="3"/>
        <v>2073158.64</v>
      </c>
      <c r="V36" s="257">
        <f t="shared" si="4"/>
        <v>1399266</v>
      </c>
      <c r="W36" s="259"/>
      <c r="X36" s="259"/>
      <c r="Y36" s="259"/>
    </row>
    <row r="37" spans="1:25">
      <c r="A37" s="150">
        <v>31</v>
      </c>
      <c r="B37" s="158" t="str">
        <f>+PERBULAN!B36</f>
        <v>MANSUR</v>
      </c>
      <c r="C37" s="158" t="str">
        <f>+PERBULAN!C36</f>
        <v>L</v>
      </c>
      <c r="D37" s="158" t="str">
        <f>+PERBULAN!D36</f>
        <v>K/1</v>
      </c>
      <c r="E37" s="158">
        <f>+PERBULAN!E36</f>
        <v>11</v>
      </c>
      <c r="F37" s="252">
        <f>+PERBULAN!R36</f>
        <v>53955284.160000004</v>
      </c>
      <c r="G37" s="252">
        <f>+BPJS!O135</f>
        <v>358722.83999999997</v>
      </c>
      <c r="H37" s="252">
        <f>+PERBULAN!S36</f>
        <v>4028600</v>
      </c>
      <c r="I37" s="252">
        <f>+BPJS!O40</f>
        <v>1711204</v>
      </c>
      <c r="J37" s="253">
        <v>0</v>
      </c>
      <c r="K37" s="252">
        <f>+PERBULAN!T36</f>
        <v>900000</v>
      </c>
      <c r="L37" s="252">
        <f t="shared" si="5"/>
        <v>60953811.000000007</v>
      </c>
      <c r="M37" s="254">
        <f>+'ASTEK+PENSIUN-DIISI SMPAI DES'!O39</f>
        <v>931934</v>
      </c>
      <c r="N37" s="254">
        <f>+'ASTEK+PENSIUN-DIISI SMPAI DES'!O125</f>
        <v>465967</v>
      </c>
      <c r="O37" s="252">
        <f t="shared" si="0"/>
        <v>3047690.5500000007</v>
      </c>
      <c r="P37" s="253">
        <f t="shared" si="1"/>
        <v>4445591.5500000007</v>
      </c>
      <c r="Q37" s="253">
        <f t="shared" si="2"/>
        <v>56508219.450000003</v>
      </c>
      <c r="R37" s="184">
        <f t="shared" si="8"/>
        <v>63000000</v>
      </c>
      <c r="S37" s="253">
        <f t="shared" si="6"/>
        <v>0</v>
      </c>
      <c r="T37" s="258"/>
      <c r="U37" s="256">
        <f t="shared" si="3"/>
        <v>2069926.8399999999</v>
      </c>
      <c r="V37" s="257">
        <f t="shared" si="4"/>
        <v>1397901</v>
      </c>
      <c r="W37" s="259"/>
      <c r="X37" s="259"/>
      <c r="Y37" s="259"/>
    </row>
    <row r="38" spans="1:25">
      <c r="A38" s="150">
        <v>32</v>
      </c>
      <c r="B38" s="158" t="str">
        <f>+PERBULAN!B37</f>
        <v>RIDUAN</v>
      </c>
      <c r="C38" s="158" t="str">
        <f>+PERBULAN!C37</f>
        <v>L</v>
      </c>
      <c r="D38" s="158" t="str">
        <f>+PERBULAN!D37</f>
        <v>K/1</v>
      </c>
      <c r="E38" s="158">
        <f>+PERBULAN!E37</f>
        <v>11</v>
      </c>
      <c r="F38" s="252">
        <f>+PERBULAN!R37</f>
        <v>49962531.160000004</v>
      </c>
      <c r="G38" s="252">
        <f>+BPJS!O136</f>
        <v>358701.83999999997</v>
      </c>
      <c r="H38" s="252">
        <f>+PERBULAN!S37</f>
        <v>4026100</v>
      </c>
      <c r="I38" s="252">
        <f>+BPJS!O41</f>
        <v>1710504</v>
      </c>
      <c r="J38" s="253">
        <v>0</v>
      </c>
      <c r="K38" s="252">
        <f>+PERBULAN!T37</f>
        <v>900000</v>
      </c>
      <c r="L38" s="252">
        <f t="shared" si="5"/>
        <v>56957837.000000007</v>
      </c>
      <c r="M38" s="254">
        <f>+'ASTEK+PENSIUN-DIISI SMPAI DES'!O40</f>
        <v>931834</v>
      </c>
      <c r="N38" s="254">
        <f>+'ASTEK+PENSIUN-DIISI SMPAI DES'!O126</f>
        <v>465917</v>
      </c>
      <c r="O38" s="252">
        <f t="shared" si="0"/>
        <v>2847891.8500000006</v>
      </c>
      <c r="P38" s="253">
        <f t="shared" si="1"/>
        <v>4245642.8500000006</v>
      </c>
      <c r="Q38" s="253">
        <f t="shared" si="2"/>
        <v>52712194.150000006</v>
      </c>
      <c r="R38" s="184">
        <f t="shared" si="8"/>
        <v>63000000</v>
      </c>
      <c r="S38" s="253">
        <f t="shared" si="6"/>
        <v>0</v>
      </c>
      <c r="T38" s="258"/>
      <c r="U38" s="256">
        <f t="shared" si="3"/>
        <v>2069205.8399999999</v>
      </c>
      <c r="V38" s="257">
        <f t="shared" si="4"/>
        <v>1397751</v>
      </c>
      <c r="W38" s="259"/>
      <c r="X38" s="259"/>
      <c r="Y38" s="259"/>
    </row>
    <row r="39" spans="1:25">
      <c r="A39" s="150">
        <v>33</v>
      </c>
      <c r="B39" s="158" t="str">
        <f>+PERBULAN!B38</f>
        <v>SONJA PRIYOGA</v>
      </c>
      <c r="C39" s="158" t="str">
        <f>+PERBULAN!C38</f>
        <v>L</v>
      </c>
      <c r="D39" s="158" t="str">
        <f>+PERBULAN!D38</f>
        <v>K/1</v>
      </c>
      <c r="E39" s="158">
        <f>+PERBULAN!E38</f>
        <v>11</v>
      </c>
      <c r="F39" s="252">
        <f>+PERBULAN!R38</f>
        <v>59131756.160000011</v>
      </c>
      <c r="G39" s="252">
        <f>+BPJS!O137</f>
        <v>358617.83999999997</v>
      </c>
      <c r="H39" s="252">
        <f>+PERBULAN!S38</f>
        <v>4023600</v>
      </c>
      <c r="I39" s="252">
        <f>+BPJS!O42</f>
        <v>1709704</v>
      </c>
      <c r="J39" s="253">
        <v>0</v>
      </c>
      <c r="K39" s="252">
        <f>+PERBULAN!T38</f>
        <v>900000</v>
      </c>
      <c r="L39" s="252">
        <f t="shared" si="5"/>
        <v>66123678.000000015</v>
      </c>
      <c r="M39" s="254">
        <f>+'ASTEK+PENSIUN-DIISI SMPAI DES'!O41</f>
        <v>931584</v>
      </c>
      <c r="N39" s="254">
        <f>+'ASTEK+PENSIUN-DIISI SMPAI DES'!O127</f>
        <v>465792</v>
      </c>
      <c r="O39" s="252">
        <f t="shared" si="0"/>
        <v>3306183.9000000008</v>
      </c>
      <c r="P39" s="253">
        <f t="shared" si="1"/>
        <v>4703559.9000000004</v>
      </c>
      <c r="Q39" s="253">
        <f t="shared" si="2"/>
        <v>61420118.100000016</v>
      </c>
      <c r="R39" s="184">
        <f t="shared" si="8"/>
        <v>63000000</v>
      </c>
      <c r="S39" s="253">
        <f t="shared" si="6"/>
        <v>0</v>
      </c>
      <c r="T39" s="258"/>
      <c r="U39" s="256">
        <f t="shared" si="3"/>
        <v>2068321.8399999999</v>
      </c>
      <c r="V39" s="257">
        <f t="shared" si="4"/>
        <v>1397376</v>
      </c>
      <c r="W39" s="259"/>
      <c r="X39" s="259"/>
      <c r="Y39" s="259"/>
    </row>
    <row r="40" spans="1:25">
      <c r="A40" s="150">
        <v>34</v>
      </c>
      <c r="B40" s="158" t="str">
        <f>+PERBULAN!B39</f>
        <v>M.FAUZI</v>
      </c>
      <c r="C40" s="158" t="str">
        <f>+PERBULAN!C39</f>
        <v>L</v>
      </c>
      <c r="D40" s="158" t="str">
        <f>+PERBULAN!D39</f>
        <v>TK/0</v>
      </c>
      <c r="E40" s="158">
        <f>+PERBULAN!E39</f>
        <v>3</v>
      </c>
      <c r="F40" s="252">
        <f>+PERBULAN!R39</f>
        <v>9156277.6799999997</v>
      </c>
      <c r="G40" s="252">
        <f>+BPJS!O138</f>
        <v>97690.319999999992</v>
      </c>
      <c r="H40" s="252">
        <f>+PERBULAN!S39</f>
        <v>3951600</v>
      </c>
      <c r="I40" s="252">
        <f>+BPJS!O43</f>
        <v>466092</v>
      </c>
      <c r="J40" s="253">
        <v>0</v>
      </c>
      <c r="K40" s="252">
        <f>+PERBULAN!T39</f>
        <v>0</v>
      </c>
      <c r="L40" s="252">
        <f t="shared" si="5"/>
        <v>13671660</v>
      </c>
      <c r="M40" s="254">
        <f>+'ASTEK+PENSIUN-DIISI SMPAI DES'!O42</f>
        <v>232596</v>
      </c>
      <c r="N40" s="254">
        <f>+'ASTEK+PENSIUN-DIISI SMPAI DES'!O128</f>
        <v>116298</v>
      </c>
      <c r="O40" s="252">
        <f t="shared" si="0"/>
        <v>683583</v>
      </c>
      <c r="P40" s="253">
        <f t="shared" si="1"/>
        <v>1032477</v>
      </c>
      <c r="Q40" s="253">
        <f t="shared" si="2"/>
        <v>12639183</v>
      </c>
      <c r="R40" s="184">
        <f t="shared" si="8"/>
        <v>54000000</v>
      </c>
      <c r="S40" s="253">
        <f t="shared" si="6"/>
        <v>0</v>
      </c>
      <c r="T40" s="258"/>
      <c r="U40" s="256">
        <f t="shared" si="3"/>
        <v>563782.31999999995</v>
      </c>
      <c r="V40" s="257">
        <f t="shared" si="4"/>
        <v>348894</v>
      </c>
      <c r="W40" s="259"/>
      <c r="X40" s="259"/>
      <c r="Y40" s="259"/>
    </row>
    <row r="41" spans="1:25">
      <c r="A41" s="150">
        <v>35</v>
      </c>
      <c r="B41" s="158" t="str">
        <f>+PERBULAN!B40</f>
        <v>DANI</v>
      </c>
      <c r="C41" s="158" t="str">
        <f>+PERBULAN!C40</f>
        <v>L</v>
      </c>
      <c r="D41" s="158" t="str">
        <f>+PERBULAN!D40</f>
        <v>K/1</v>
      </c>
      <c r="E41" s="158">
        <f>+PERBULAN!E40</f>
        <v>3</v>
      </c>
      <c r="F41" s="252">
        <f>+PERBULAN!R40</f>
        <v>12401585.68</v>
      </c>
      <c r="G41" s="252">
        <f>+BPJS!O139</f>
        <v>97690.319999999992</v>
      </c>
      <c r="H41" s="252">
        <f>+PERBULAN!S40</f>
        <v>4021100</v>
      </c>
      <c r="I41" s="252">
        <f>+BPJS!O44</f>
        <v>465792</v>
      </c>
      <c r="J41" s="253">
        <v>0</v>
      </c>
      <c r="K41" s="252">
        <f>+PERBULAN!T40</f>
        <v>600000</v>
      </c>
      <c r="L41" s="252">
        <f t="shared" si="5"/>
        <v>17586168</v>
      </c>
      <c r="M41" s="254">
        <f>+'ASTEK+PENSIUN-DIISI SMPAI DES'!O43</f>
        <v>232596</v>
      </c>
      <c r="N41" s="254">
        <f>+'ASTEK+PENSIUN-DIISI SMPAI DES'!O129</f>
        <v>116298</v>
      </c>
      <c r="O41" s="252">
        <f t="shared" si="0"/>
        <v>879308.4</v>
      </c>
      <c r="P41" s="253">
        <f t="shared" si="1"/>
        <v>1228202.3999999999</v>
      </c>
      <c r="Q41" s="253">
        <f t="shared" si="2"/>
        <v>16357965.6</v>
      </c>
      <c r="R41" s="184">
        <f t="shared" si="8"/>
        <v>63000000</v>
      </c>
      <c r="S41" s="253">
        <f t="shared" si="6"/>
        <v>0</v>
      </c>
      <c r="T41" s="258"/>
      <c r="U41" s="256">
        <f t="shared" si="3"/>
        <v>563482.31999999995</v>
      </c>
      <c r="V41" s="257">
        <f t="shared" si="4"/>
        <v>348894</v>
      </c>
      <c r="W41" s="259"/>
      <c r="X41" s="259"/>
      <c r="Y41" s="259"/>
    </row>
    <row r="42" spans="1:25">
      <c r="A42" s="150">
        <v>36</v>
      </c>
      <c r="B42" s="158" t="str">
        <f>+PERBULAN!B41</f>
        <v>AHAP</v>
      </c>
      <c r="C42" s="158" t="str">
        <f>+PERBULAN!C41</f>
        <v>L</v>
      </c>
      <c r="D42" s="158" t="str">
        <f>+PERBULAN!D41</f>
        <v>K/1</v>
      </c>
      <c r="E42" s="158">
        <f>+PERBULAN!E41</f>
        <v>11</v>
      </c>
      <c r="F42" s="252">
        <f>+PERBULAN!R41</f>
        <v>59690012.160000011</v>
      </c>
      <c r="G42" s="252">
        <f>+BPJS!O140</f>
        <v>358407.83999999997</v>
      </c>
      <c r="H42" s="252">
        <f>+PERBULAN!S41</f>
        <v>4021100</v>
      </c>
      <c r="I42" s="252">
        <f>+BPJS!O45</f>
        <v>1707904</v>
      </c>
      <c r="J42" s="253">
        <v>0</v>
      </c>
      <c r="K42" s="252">
        <f>+PERBULAN!T41</f>
        <v>900000</v>
      </c>
      <c r="L42" s="252">
        <f t="shared" si="5"/>
        <v>66677424.000000015</v>
      </c>
      <c r="M42" s="254">
        <f>+'ASTEK+PENSIUN-DIISI SMPAI DES'!O44</f>
        <v>930984</v>
      </c>
      <c r="N42" s="254">
        <f>+'ASTEK+PENSIUN-DIISI SMPAI DES'!O130</f>
        <v>465492</v>
      </c>
      <c r="O42" s="252">
        <f t="shared" si="0"/>
        <v>3333871.2000000011</v>
      </c>
      <c r="P42" s="253">
        <f t="shared" si="1"/>
        <v>4730347.2000000011</v>
      </c>
      <c r="Q42" s="253">
        <f t="shared" si="2"/>
        <v>61947076.800000012</v>
      </c>
      <c r="R42" s="184">
        <f t="shared" si="8"/>
        <v>63000000</v>
      </c>
      <c r="S42" s="253">
        <f t="shared" si="6"/>
        <v>0</v>
      </c>
      <c r="T42" s="258"/>
      <c r="U42" s="256">
        <f t="shared" si="3"/>
        <v>2066311.8399999999</v>
      </c>
      <c r="V42" s="257">
        <f t="shared" si="4"/>
        <v>1396476</v>
      </c>
      <c r="W42" s="259"/>
      <c r="X42" s="259"/>
      <c r="Y42" s="259"/>
    </row>
    <row r="43" spans="1:25">
      <c r="A43" s="150">
        <v>37</v>
      </c>
      <c r="B43" s="158" t="str">
        <f>+PERBULAN!B42</f>
        <v>IHSAN</v>
      </c>
      <c r="C43" s="158" t="str">
        <f>+PERBULAN!C42</f>
        <v>L</v>
      </c>
      <c r="D43" s="158" t="str">
        <f>+PERBULAN!D42</f>
        <v>TK/0</v>
      </c>
      <c r="E43" s="158">
        <f>+PERBULAN!E42</f>
        <v>11</v>
      </c>
      <c r="F43" s="252">
        <f>+PERBULAN!R42</f>
        <v>55238462.160000004</v>
      </c>
      <c r="G43" s="252">
        <f>+BPJS!O141</f>
        <v>358302.83999999997</v>
      </c>
      <c r="H43" s="252">
        <f>+PERBULAN!S42</f>
        <v>3946600</v>
      </c>
      <c r="I43" s="252">
        <f>+BPJS!O46</f>
        <v>1706804</v>
      </c>
      <c r="J43" s="253">
        <v>0</v>
      </c>
      <c r="K43" s="252">
        <f>+PERBULAN!T42</f>
        <v>0</v>
      </c>
      <c r="L43" s="252">
        <f t="shared" si="5"/>
        <v>61250169.000000007</v>
      </c>
      <c r="M43" s="254">
        <f>+'ASTEK+PENSIUN-DIISI SMPAI DES'!O45</f>
        <v>930684</v>
      </c>
      <c r="N43" s="254">
        <f>+'ASTEK+PENSIUN-DIISI SMPAI DES'!O131</f>
        <v>465342</v>
      </c>
      <c r="O43" s="252">
        <f t="shared" si="0"/>
        <v>3062508.4500000007</v>
      </c>
      <c r="P43" s="253">
        <f t="shared" si="1"/>
        <v>4458534.4500000011</v>
      </c>
      <c r="Q43" s="253">
        <f t="shared" si="2"/>
        <v>56791634.550000004</v>
      </c>
      <c r="R43" s="184">
        <f t="shared" si="8"/>
        <v>54000000</v>
      </c>
      <c r="S43" s="253">
        <f t="shared" si="6"/>
        <v>2791634.5500000045</v>
      </c>
      <c r="T43" s="258"/>
      <c r="U43" s="256">
        <f t="shared" si="3"/>
        <v>2065106.8399999999</v>
      </c>
      <c r="V43" s="257">
        <f t="shared" si="4"/>
        <v>1396026</v>
      </c>
      <c r="W43" s="259"/>
      <c r="X43" s="259"/>
      <c r="Y43" s="259"/>
    </row>
    <row r="44" spans="1:25">
      <c r="A44" s="150">
        <v>38</v>
      </c>
      <c r="B44" s="158" t="str">
        <f>+PERBULAN!B43</f>
        <v>BAGUSTIN</v>
      </c>
      <c r="C44" s="158" t="str">
        <f>+PERBULAN!C43</f>
        <v>L</v>
      </c>
      <c r="D44" s="158" t="str">
        <f>+PERBULAN!D43</f>
        <v>TK/0</v>
      </c>
      <c r="E44" s="158">
        <f>+PERBULAN!E43</f>
        <v>3</v>
      </c>
      <c r="F44" s="252">
        <f>+PERBULAN!R43</f>
        <v>10712871.68</v>
      </c>
      <c r="G44" s="252">
        <f>+BPJS!O142</f>
        <v>97690.319999999992</v>
      </c>
      <c r="H44" s="252">
        <f>+PERBULAN!S43</f>
        <v>3946600</v>
      </c>
      <c r="I44" s="252">
        <f>+BPJS!O47</f>
        <v>465492</v>
      </c>
      <c r="J44" s="253">
        <v>0</v>
      </c>
      <c r="K44" s="252">
        <f>+PERBULAN!T43</f>
        <v>0</v>
      </c>
      <c r="L44" s="252">
        <f t="shared" si="5"/>
        <v>15222654</v>
      </c>
      <c r="M44" s="254">
        <f>+'ASTEK+PENSIUN-DIISI SMPAI DES'!O46</f>
        <v>232596</v>
      </c>
      <c r="N44" s="254">
        <f>+'ASTEK+PENSIUN-DIISI SMPAI DES'!O132</f>
        <v>116298</v>
      </c>
      <c r="O44" s="252">
        <f t="shared" si="0"/>
        <v>761132.70000000007</v>
      </c>
      <c r="P44" s="253">
        <f t="shared" si="1"/>
        <v>1110026.7000000002</v>
      </c>
      <c r="Q44" s="253">
        <f t="shared" si="2"/>
        <v>14112627.300000001</v>
      </c>
      <c r="R44" s="184">
        <f t="shared" si="8"/>
        <v>54000000</v>
      </c>
      <c r="S44" s="253">
        <f t="shared" si="6"/>
        <v>0</v>
      </c>
      <c r="T44" s="258"/>
      <c r="U44" s="256">
        <f t="shared" si="3"/>
        <v>563182.31999999995</v>
      </c>
      <c r="V44" s="257">
        <f t="shared" si="4"/>
        <v>348894</v>
      </c>
      <c r="W44" s="259"/>
      <c r="X44" s="259"/>
      <c r="Y44" s="259"/>
    </row>
    <row r="45" spans="1:25">
      <c r="A45" s="150">
        <v>39</v>
      </c>
      <c r="B45" s="158" t="str">
        <f>+PERBULAN!B44</f>
        <v>HELDI SAPUTRA</v>
      </c>
      <c r="C45" s="158" t="str">
        <f>+PERBULAN!C44</f>
        <v>L</v>
      </c>
      <c r="D45" s="158" t="str">
        <f>+PERBULAN!D44</f>
        <v>K/2</v>
      </c>
      <c r="E45" s="158">
        <f>+PERBULAN!E44</f>
        <v>3</v>
      </c>
      <c r="F45" s="252">
        <f>+PERBULAN!R44</f>
        <v>10392728.68</v>
      </c>
      <c r="G45" s="252">
        <f>+BPJS!O143</f>
        <v>97690.319999999992</v>
      </c>
      <c r="H45" s="252">
        <f>+PERBULAN!S44</f>
        <v>4045600</v>
      </c>
      <c r="I45" s="252">
        <f>+BPJS!O48</f>
        <v>465492</v>
      </c>
      <c r="J45" s="253">
        <v>0</v>
      </c>
      <c r="K45" s="252">
        <f>+PERBULAN!T44</f>
        <v>0</v>
      </c>
      <c r="L45" s="252">
        <f t="shared" si="5"/>
        <v>15001511</v>
      </c>
      <c r="M45" s="254">
        <f>+'ASTEK+PENSIUN-DIISI SMPAI DES'!O47</f>
        <v>232596</v>
      </c>
      <c r="N45" s="254">
        <f>+'ASTEK+PENSIUN-DIISI SMPAI DES'!O133</f>
        <v>116298</v>
      </c>
      <c r="O45" s="252">
        <f t="shared" si="0"/>
        <v>750075.55</v>
      </c>
      <c r="P45" s="253">
        <f t="shared" si="1"/>
        <v>1098969.55</v>
      </c>
      <c r="Q45" s="253">
        <f t="shared" si="2"/>
        <v>13902541.449999999</v>
      </c>
      <c r="R45" s="184">
        <f t="shared" si="8"/>
        <v>67500000</v>
      </c>
      <c r="S45" s="253">
        <f t="shared" si="6"/>
        <v>0</v>
      </c>
      <c r="T45" s="258"/>
      <c r="U45" s="256">
        <f t="shared" si="3"/>
        <v>563182.31999999995</v>
      </c>
      <c r="V45" s="257">
        <f t="shared" si="4"/>
        <v>348894</v>
      </c>
      <c r="W45" s="259"/>
      <c r="X45" s="259"/>
      <c r="Y45" s="259"/>
    </row>
    <row r="46" spans="1:25">
      <c r="A46" s="150">
        <v>40</v>
      </c>
      <c r="B46" s="158" t="str">
        <f>+PERBULAN!B45</f>
        <v>HARTONO</v>
      </c>
      <c r="C46" s="158" t="str">
        <f>+PERBULAN!C45</f>
        <v>L</v>
      </c>
      <c r="D46" s="158" t="str">
        <f>+PERBULAN!D45</f>
        <v>TK/0</v>
      </c>
      <c r="E46" s="158">
        <f>+PERBULAN!E45</f>
        <v>3</v>
      </c>
      <c r="F46" s="252">
        <f>+PERBULAN!R45</f>
        <v>11979460.68</v>
      </c>
      <c r="G46" s="252">
        <f>+BPJS!O144</f>
        <v>97690.319999999992</v>
      </c>
      <c r="H46" s="252">
        <f>+PERBULAN!S45</f>
        <v>3946600</v>
      </c>
      <c r="I46" s="252">
        <f>+BPJS!O49</f>
        <v>465392</v>
      </c>
      <c r="J46" s="184">
        <v>0</v>
      </c>
      <c r="K46" s="252">
        <f>+PERBULAN!T45</f>
        <v>0</v>
      </c>
      <c r="L46" s="252">
        <f t="shared" si="5"/>
        <v>16489143</v>
      </c>
      <c r="M46" s="254">
        <f>+'ASTEK+PENSIUN-DIISI SMPAI DES'!O48</f>
        <v>232596</v>
      </c>
      <c r="N46" s="254">
        <f>+'ASTEK+PENSIUN-DIISI SMPAI DES'!O134</f>
        <v>116298</v>
      </c>
      <c r="O46" s="262">
        <f t="shared" si="0"/>
        <v>824457.15</v>
      </c>
      <c r="P46" s="184">
        <f t="shared" si="1"/>
        <v>1173351.1499999999</v>
      </c>
      <c r="Q46" s="184">
        <f t="shared" si="2"/>
        <v>15315791.85</v>
      </c>
      <c r="R46" s="184">
        <f t="shared" si="8"/>
        <v>54000000</v>
      </c>
      <c r="S46" s="184">
        <f t="shared" si="6"/>
        <v>0</v>
      </c>
      <c r="T46" s="258"/>
      <c r="U46" s="256">
        <f t="shared" si="3"/>
        <v>563082.31999999995</v>
      </c>
      <c r="V46" s="257">
        <f t="shared" si="4"/>
        <v>348894</v>
      </c>
      <c r="W46" s="259"/>
      <c r="X46" s="259"/>
      <c r="Y46" s="259"/>
    </row>
    <row r="47" spans="1:25">
      <c r="A47" s="150">
        <v>41</v>
      </c>
      <c r="B47" s="158" t="str">
        <f>+PERBULAN!B46</f>
        <v>QISTAHAM</v>
      </c>
      <c r="C47" s="158" t="str">
        <f>+PERBULAN!C46</f>
        <v>L</v>
      </c>
      <c r="D47" s="158" t="str">
        <f>+PERBULAN!D46</f>
        <v>K/3</v>
      </c>
      <c r="E47" s="158">
        <f>+PERBULAN!E46</f>
        <v>11</v>
      </c>
      <c r="F47" s="252">
        <f>+PERBULAN!R46</f>
        <v>89066191.160000011</v>
      </c>
      <c r="G47" s="252">
        <f>+BPJS!O145</f>
        <v>358302.83999999997</v>
      </c>
      <c r="H47" s="252">
        <f>+PERBULAN!S46</f>
        <v>4045600</v>
      </c>
      <c r="I47" s="252">
        <f>+BPJS!O50</f>
        <v>1706704</v>
      </c>
      <c r="J47" s="184">
        <v>0</v>
      </c>
      <c r="K47" s="252">
        <f>+PERBULAN!T46</f>
        <v>750000</v>
      </c>
      <c r="L47" s="252">
        <f t="shared" si="5"/>
        <v>95926798.000000015</v>
      </c>
      <c r="M47" s="254">
        <f>+'ASTEK+PENSIUN-DIISI SMPAI DES'!O49</f>
        <v>930684</v>
      </c>
      <c r="N47" s="254">
        <f>+'ASTEK+PENSIUN-DIISI SMPAI DES'!O135</f>
        <v>465342</v>
      </c>
      <c r="O47" s="262">
        <f t="shared" si="0"/>
        <v>4796339.9000000013</v>
      </c>
      <c r="P47" s="184">
        <f t="shared" si="1"/>
        <v>6192365.9000000013</v>
      </c>
      <c r="Q47" s="184">
        <f t="shared" si="2"/>
        <v>89734432.100000009</v>
      </c>
      <c r="R47" s="184">
        <f t="shared" si="8"/>
        <v>72000000</v>
      </c>
      <c r="S47" s="184">
        <f t="shared" si="6"/>
        <v>17734432.100000009</v>
      </c>
      <c r="T47" s="258"/>
      <c r="U47" s="256">
        <f t="shared" si="3"/>
        <v>2065006.8399999999</v>
      </c>
      <c r="V47" s="257">
        <f t="shared" si="4"/>
        <v>1396026</v>
      </c>
      <c r="W47" s="259"/>
      <c r="X47" s="259"/>
      <c r="Y47" s="259"/>
    </row>
    <row r="48" spans="1:25">
      <c r="A48" s="150">
        <v>42</v>
      </c>
      <c r="B48" s="158" t="str">
        <f>+PERBULAN!B47</f>
        <v>JAYADI</v>
      </c>
      <c r="C48" s="158" t="str">
        <f>+PERBULAN!C47</f>
        <v>L</v>
      </c>
      <c r="D48" s="158" t="str">
        <f>+PERBULAN!D47</f>
        <v>K/2</v>
      </c>
      <c r="E48" s="158">
        <f>+PERBULAN!E47</f>
        <v>11</v>
      </c>
      <c r="F48" s="252">
        <f>+PERBULAN!R47</f>
        <v>61237788.160000011</v>
      </c>
      <c r="G48" s="252">
        <f>+BPJS!O146</f>
        <v>358302.83999999997</v>
      </c>
      <c r="H48" s="252">
        <f>+PERBULAN!S47</f>
        <v>4045600</v>
      </c>
      <c r="I48" s="252">
        <f>+BPJS!O51</f>
        <v>1706604</v>
      </c>
      <c r="J48" s="184">
        <v>0</v>
      </c>
      <c r="K48" s="252">
        <f>+PERBULAN!T47</f>
        <v>450000</v>
      </c>
      <c r="L48" s="252">
        <f t="shared" si="5"/>
        <v>67798295.000000015</v>
      </c>
      <c r="M48" s="254">
        <f>+'ASTEK+PENSIUN-DIISI SMPAI DES'!O50</f>
        <v>930684</v>
      </c>
      <c r="N48" s="254">
        <f>+'ASTEK+PENSIUN-DIISI SMPAI DES'!O136</f>
        <v>465342</v>
      </c>
      <c r="O48" s="262">
        <f t="shared" si="0"/>
        <v>3389914.7500000009</v>
      </c>
      <c r="P48" s="184">
        <f t="shared" si="1"/>
        <v>4785940.7500000009</v>
      </c>
      <c r="Q48" s="184">
        <f t="shared" si="2"/>
        <v>63012354.250000015</v>
      </c>
      <c r="R48" s="184">
        <f t="shared" si="8"/>
        <v>67500000</v>
      </c>
      <c r="S48" s="184">
        <f t="shared" si="6"/>
        <v>0</v>
      </c>
      <c r="T48" s="258"/>
      <c r="U48" s="256">
        <f t="shared" si="3"/>
        <v>2064906.8399999999</v>
      </c>
      <c r="V48" s="257">
        <f t="shared" si="4"/>
        <v>1396026</v>
      </c>
      <c r="W48" s="259"/>
      <c r="X48" s="259"/>
      <c r="Y48" s="259"/>
    </row>
    <row r="49" spans="1:25">
      <c r="A49" s="150">
        <v>43</v>
      </c>
      <c r="B49" s="158" t="str">
        <f>+PERBULAN!B48</f>
        <v>MUHAMAD AMIN</v>
      </c>
      <c r="C49" s="158" t="str">
        <f>+PERBULAN!C48</f>
        <v>L</v>
      </c>
      <c r="D49" s="158" t="str">
        <f>+PERBULAN!D48</f>
        <v>K/3</v>
      </c>
      <c r="E49" s="158">
        <f>+PERBULAN!E48</f>
        <v>11</v>
      </c>
      <c r="F49" s="252">
        <f>+PERBULAN!R48</f>
        <v>56993331.160000004</v>
      </c>
      <c r="G49" s="252">
        <f>+BPJS!O147</f>
        <v>358302.83999999997</v>
      </c>
      <c r="H49" s="252">
        <f>+PERBULAN!S48</f>
        <v>3369250</v>
      </c>
      <c r="I49" s="252">
        <f>+BPJS!O52</f>
        <v>1706404</v>
      </c>
      <c r="J49" s="184">
        <v>0</v>
      </c>
      <c r="K49" s="252">
        <f>+PERBULAN!T48</f>
        <v>525000</v>
      </c>
      <c r="L49" s="252">
        <f t="shared" si="5"/>
        <v>62952288.000000007</v>
      </c>
      <c r="M49" s="254">
        <f>+'ASTEK+PENSIUN-DIISI SMPAI DES'!O51</f>
        <v>930684</v>
      </c>
      <c r="N49" s="254">
        <f>+'ASTEK+PENSIUN-DIISI SMPAI DES'!O137</f>
        <v>465342</v>
      </c>
      <c r="O49" s="262">
        <f t="shared" si="0"/>
        <v>3147614.4000000004</v>
      </c>
      <c r="P49" s="184">
        <f t="shared" si="1"/>
        <v>4543640.4000000004</v>
      </c>
      <c r="Q49" s="184">
        <f t="shared" si="2"/>
        <v>58408647.600000009</v>
      </c>
      <c r="R49" s="184">
        <f t="shared" si="8"/>
        <v>72000000</v>
      </c>
      <c r="S49" s="184">
        <f t="shared" si="6"/>
        <v>0</v>
      </c>
      <c r="T49" s="258"/>
      <c r="U49" s="256">
        <f t="shared" si="3"/>
        <v>2064706.8399999999</v>
      </c>
      <c r="V49" s="257">
        <f t="shared" si="4"/>
        <v>1396026</v>
      </c>
      <c r="W49" s="259"/>
      <c r="X49" s="259"/>
      <c r="Y49" s="259"/>
    </row>
    <row r="50" spans="1:25">
      <c r="A50" s="150">
        <v>44</v>
      </c>
      <c r="B50" s="158" t="str">
        <f>+PERBULAN!B49</f>
        <v>SAMSUL HADI</v>
      </c>
      <c r="C50" s="158" t="str">
        <f>+PERBULAN!C49</f>
        <v>L</v>
      </c>
      <c r="D50" s="158" t="str">
        <f>+PERBULAN!D49</f>
        <v>K/2</v>
      </c>
      <c r="E50" s="158">
        <f>+PERBULAN!E49</f>
        <v>11</v>
      </c>
      <c r="F50" s="252">
        <f>+PERBULAN!R49</f>
        <v>89591797.160000011</v>
      </c>
      <c r="G50" s="252">
        <f>+BPJS!O148</f>
        <v>358218.83999999997</v>
      </c>
      <c r="H50" s="252">
        <f>+PERBULAN!S49</f>
        <v>1347700</v>
      </c>
      <c r="I50" s="252">
        <f>+BPJS!O53</f>
        <v>1705804</v>
      </c>
      <c r="J50" s="184">
        <v>0</v>
      </c>
      <c r="K50" s="252">
        <f>+PERBULAN!T49</f>
        <v>150000</v>
      </c>
      <c r="L50" s="252">
        <f t="shared" si="5"/>
        <v>93153520.000000015</v>
      </c>
      <c r="M50" s="254">
        <f>+'ASTEK+PENSIUN-DIISI SMPAI DES'!O52</f>
        <v>930484</v>
      </c>
      <c r="N50" s="254">
        <f>+'ASTEK+PENSIUN-DIISI SMPAI DES'!O138</f>
        <v>465242</v>
      </c>
      <c r="O50" s="262">
        <f t="shared" si="0"/>
        <v>4657676.0000000009</v>
      </c>
      <c r="P50" s="184">
        <f t="shared" si="1"/>
        <v>6053402.0000000009</v>
      </c>
      <c r="Q50" s="184">
        <f t="shared" si="2"/>
        <v>87100118.000000015</v>
      </c>
      <c r="R50" s="184">
        <f t="shared" si="8"/>
        <v>67500000</v>
      </c>
      <c r="S50" s="184">
        <f t="shared" si="6"/>
        <v>19600118.000000015</v>
      </c>
      <c r="T50" s="258"/>
      <c r="U50" s="256">
        <f t="shared" si="3"/>
        <v>2064022.8399999999</v>
      </c>
      <c r="V50" s="257">
        <f t="shared" si="4"/>
        <v>1395726</v>
      </c>
      <c r="W50" s="259"/>
      <c r="X50" s="259"/>
      <c r="Y50" s="259"/>
    </row>
    <row r="51" spans="1:25">
      <c r="A51" s="150">
        <v>45</v>
      </c>
      <c r="B51" s="158" t="str">
        <f>+PERBULAN!B50</f>
        <v>SAPARUDIN</v>
      </c>
      <c r="C51" s="158" t="str">
        <f>+PERBULAN!C50</f>
        <v>L</v>
      </c>
      <c r="D51" s="158" t="str">
        <f>+PERBULAN!D50</f>
        <v>K/3</v>
      </c>
      <c r="E51" s="158">
        <f>+PERBULAN!E50</f>
        <v>11</v>
      </c>
      <c r="F51" s="252">
        <f>+PERBULAN!R50</f>
        <v>58919336.160000004</v>
      </c>
      <c r="G51" s="252">
        <f>+BPJS!O149</f>
        <v>358218.83999999997</v>
      </c>
      <c r="H51" s="252">
        <f>+PERBULAN!S50</f>
        <v>1347700</v>
      </c>
      <c r="I51" s="252">
        <f>+BPJS!O54</f>
        <v>1705804</v>
      </c>
      <c r="J51" s="184">
        <v>0</v>
      </c>
      <c r="K51" s="252">
        <f>+PERBULAN!T50</f>
        <v>150000</v>
      </c>
      <c r="L51" s="252">
        <f t="shared" si="5"/>
        <v>62481059.000000007</v>
      </c>
      <c r="M51" s="254">
        <f>+'ASTEK+PENSIUN-DIISI SMPAI DES'!O53</f>
        <v>930484</v>
      </c>
      <c r="N51" s="254">
        <f>+'ASTEK+PENSIUN-DIISI SMPAI DES'!O139</f>
        <v>465242</v>
      </c>
      <c r="O51" s="262">
        <f t="shared" si="0"/>
        <v>3124052.9500000007</v>
      </c>
      <c r="P51" s="184">
        <f t="shared" si="1"/>
        <v>4519778.9500000011</v>
      </c>
      <c r="Q51" s="184">
        <f t="shared" si="2"/>
        <v>57961280.050000004</v>
      </c>
      <c r="R51" s="184">
        <f t="shared" si="8"/>
        <v>72000000</v>
      </c>
      <c r="S51" s="184">
        <f t="shared" si="6"/>
        <v>0</v>
      </c>
      <c r="T51" s="258"/>
      <c r="U51" s="256">
        <f t="shared" si="3"/>
        <v>2064022.8399999999</v>
      </c>
      <c r="V51" s="257">
        <f t="shared" si="4"/>
        <v>1395726</v>
      </c>
      <c r="W51" s="259"/>
      <c r="X51" s="259"/>
      <c r="Y51" s="259"/>
    </row>
    <row r="52" spans="1:25">
      <c r="A52" s="150">
        <v>46</v>
      </c>
      <c r="B52" s="158" t="str">
        <f>+PERBULAN!B51</f>
        <v>MUHAMAD FAUZI</v>
      </c>
      <c r="C52" s="158" t="str">
        <f>+PERBULAN!C51</f>
        <v>L</v>
      </c>
      <c r="D52" s="158" t="str">
        <f>+PERBULAN!D51</f>
        <v>TK/0</v>
      </c>
      <c r="E52" s="158">
        <f>+PERBULAN!E51</f>
        <v>3</v>
      </c>
      <c r="F52" s="252">
        <f>+PERBULAN!R51</f>
        <v>9322433.6799999997</v>
      </c>
      <c r="G52" s="252">
        <f>+BPJS!O150</f>
        <v>97690.319999999992</v>
      </c>
      <c r="H52" s="252">
        <f>+PERBULAN!S51</f>
        <v>1314700</v>
      </c>
      <c r="I52" s="252">
        <f>+BPJS!O55</f>
        <v>465192</v>
      </c>
      <c r="J52" s="184">
        <v>0</v>
      </c>
      <c r="K52" s="252">
        <f>+PERBULAN!T51</f>
        <v>0</v>
      </c>
      <c r="L52" s="252">
        <f t="shared" si="5"/>
        <v>11200016</v>
      </c>
      <c r="M52" s="254">
        <f>+'ASTEK+PENSIUN-DIISI SMPAI DES'!O54</f>
        <v>232596</v>
      </c>
      <c r="N52" s="254">
        <f>+'ASTEK+PENSIUN-DIISI SMPAI DES'!O140</f>
        <v>116298</v>
      </c>
      <c r="O52" s="262">
        <f t="shared" si="0"/>
        <v>560000.80000000005</v>
      </c>
      <c r="P52" s="184">
        <f t="shared" si="1"/>
        <v>908894.8</v>
      </c>
      <c r="Q52" s="184">
        <f t="shared" si="2"/>
        <v>10291121.199999999</v>
      </c>
      <c r="R52" s="184">
        <f t="shared" si="8"/>
        <v>54000000</v>
      </c>
      <c r="S52" s="184">
        <f t="shared" si="6"/>
        <v>0</v>
      </c>
      <c r="T52" s="258"/>
      <c r="U52" s="256">
        <f t="shared" si="3"/>
        <v>562882.31999999995</v>
      </c>
      <c r="V52" s="257">
        <f t="shared" si="4"/>
        <v>348894</v>
      </c>
      <c r="W52" s="259"/>
      <c r="X52" s="259"/>
      <c r="Y52" s="259"/>
    </row>
    <row r="53" spans="1:25">
      <c r="A53" s="150">
        <v>47</v>
      </c>
      <c r="B53" s="158" t="str">
        <f>+PERBULAN!B52</f>
        <v>MAHYUDIN</v>
      </c>
      <c r="C53" s="158" t="str">
        <f>+PERBULAN!C52</f>
        <v>L</v>
      </c>
      <c r="D53" s="158" t="str">
        <f>+PERBULAN!D52</f>
        <v>K/1</v>
      </c>
      <c r="E53" s="158">
        <f>+PERBULAN!E52</f>
        <v>3</v>
      </c>
      <c r="F53" s="252">
        <f>+PERBULAN!R52</f>
        <v>10112865.68</v>
      </c>
      <c r="G53" s="252">
        <f>+BPJS!O151</f>
        <v>97690.319999999992</v>
      </c>
      <c r="H53" s="252">
        <f>+PERBULAN!S52</f>
        <v>1338700</v>
      </c>
      <c r="I53" s="252">
        <f>+BPJS!O56</f>
        <v>465192</v>
      </c>
      <c r="J53" s="184">
        <v>0</v>
      </c>
      <c r="K53" s="252">
        <f>+PERBULAN!T52</f>
        <v>0</v>
      </c>
      <c r="L53" s="252">
        <f t="shared" si="5"/>
        <v>12014448</v>
      </c>
      <c r="M53" s="254">
        <f>+'ASTEK+PENSIUN-DIISI SMPAI DES'!O55</f>
        <v>232596</v>
      </c>
      <c r="N53" s="254">
        <f>+'ASTEK+PENSIUN-DIISI SMPAI DES'!O141</f>
        <v>116298</v>
      </c>
      <c r="O53" s="262">
        <f t="shared" si="0"/>
        <v>600722.4</v>
      </c>
      <c r="P53" s="184">
        <f t="shared" si="1"/>
        <v>949616.4</v>
      </c>
      <c r="Q53" s="184">
        <f t="shared" si="2"/>
        <v>11064831.6</v>
      </c>
      <c r="R53" s="184">
        <f t="shared" si="8"/>
        <v>63000000</v>
      </c>
      <c r="S53" s="184">
        <f t="shared" si="6"/>
        <v>0</v>
      </c>
      <c r="T53" s="258"/>
      <c r="U53" s="256">
        <f t="shared" si="3"/>
        <v>562882.31999999995</v>
      </c>
      <c r="V53" s="257">
        <f t="shared" si="4"/>
        <v>348894</v>
      </c>
      <c r="W53" s="259"/>
      <c r="X53" s="259"/>
      <c r="Y53" s="259"/>
    </row>
    <row r="54" spans="1:25">
      <c r="A54" s="150">
        <v>48</v>
      </c>
      <c r="B54" s="158" t="str">
        <f>+PERBULAN!B53</f>
        <v>ASRI</v>
      </c>
      <c r="C54" s="158" t="str">
        <f>+PERBULAN!C53</f>
        <v>L</v>
      </c>
      <c r="D54" s="158" t="str">
        <f>+PERBULAN!D53</f>
        <v>TK/0</v>
      </c>
      <c r="E54" s="158">
        <f>+PERBULAN!E53</f>
        <v>9</v>
      </c>
      <c r="F54" s="252">
        <f>+PERBULAN!R53</f>
        <v>42556659.039999999</v>
      </c>
      <c r="G54" s="252">
        <f>+BPJS!O152</f>
        <v>293070.95999999996</v>
      </c>
      <c r="H54" s="252">
        <f>+PERBULAN!S53</f>
        <v>986025</v>
      </c>
      <c r="I54" s="252">
        <f>+BPJS!O57</f>
        <v>1395576</v>
      </c>
      <c r="J54" s="184">
        <v>0</v>
      </c>
      <c r="K54" s="252">
        <f>+PERBULAN!T53</f>
        <v>75000</v>
      </c>
      <c r="L54" s="252">
        <f t="shared" si="5"/>
        <v>45306331</v>
      </c>
      <c r="M54" s="254">
        <f>+'ASTEK+PENSIUN-DIISI SMPAI DES'!O56</f>
        <v>697788</v>
      </c>
      <c r="N54" s="254">
        <f>+'ASTEK+PENSIUN-DIISI SMPAI DES'!O142</f>
        <v>348894</v>
      </c>
      <c r="O54" s="262">
        <f t="shared" si="0"/>
        <v>2265316.5500000003</v>
      </c>
      <c r="P54" s="184">
        <f t="shared" si="1"/>
        <v>3311998.5500000003</v>
      </c>
      <c r="Q54" s="184">
        <f t="shared" si="2"/>
        <v>41994332.450000003</v>
      </c>
      <c r="R54" s="184">
        <f t="shared" si="8"/>
        <v>54000000</v>
      </c>
      <c r="S54" s="184">
        <f t="shared" si="6"/>
        <v>0</v>
      </c>
      <c r="T54" s="258"/>
      <c r="U54" s="256">
        <f t="shared" si="3"/>
        <v>1688646.96</v>
      </c>
      <c r="V54" s="257">
        <f t="shared" si="4"/>
        <v>1046682</v>
      </c>
      <c r="W54" s="259"/>
      <c r="X54" s="259"/>
      <c r="Y54" s="259"/>
    </row>
    <row r="55" spans="1:25">
      <c r="A55" s="150">
        <v>49</v>
      </c>
      <c r="B55" s="158" t="str">
        <f>+PERBULAN!B54</f>
        <v>RUSDIANTO</v>
      </c>
      <c r="C55" s="158" t="str">
        <f>+PERBULAN!C54</f>
        <v>L</v>
      </c>
      <c r="D55" s="158" t="str">
        <f>+PERBULAN!D54</f>
        <v>K/2</v>
      </c>
      <c r="E55" s="158">
        <f>+PERBULAN!E54</f>
        <v>1</v>
      </c>
      <c r="F55" s="252">
        <f>+PERBULAN!R54</f>
        <v>2006009.56</v>
      </c>
      <c r="G55" s="252">
        <f>+BPJS!O153</f>
        <v>32563.439999999999</v>
      </c>
      <c r="H55" s="252">
        <f>+PERBULAN!S54</f>
        <v>0</v>
      </c>
      <c r="I55" s="252">
        <f>+BPJS!O58</f>
        <v>155064</v>
      </c>
      <c r="J55" s="253">
        <v>0</v>
      </c>
      <c r="K55" s="252">
        <f>+PERBULAN!T54</f>
        <v>0</v>
      </c>
      <c r="L55" s="252">
        <f t="shared" si="5"/>
        <v>2193637</v>
      </c>
      <c r="M55" s="254">
        <f>+'ASTEK+PENSIUN-DIISI SMPAI DES'!O57</f>
        <v>77532</v>
      </c>
      <c r="N55" s="254">
        <f>+'ASTEK+PENSIUN-DIISI SMPAI DES'!O143</f>
        <v>38766</v>
      </c>
      <c r="O55" s="252">
        <f t="shared" si="0"/>
        <v>109681.85</v>
      </c>
      <c r="P55" s="253">
        <f t="shared" si="1"/>
        <v>225979.85</v>
      </c>
      <c r="Q55" s="253">
        <f t="shared" si="2"/>
        <v>1967657.15</v>
      </c>
      <c r="R55" s="184">
        <f t="shared" si="8"/>
        <v>67500000</v>
      </c>
      <c r="S55" s="253">
        <f t="shared" si="6"/>
        <v>0</v>
      </c>
      <c r="T55" s="263"/>
      <c r="U55" s="256">
        <f t="shared" si="3"/>
        <v>187627.44</v>
      </c>
      <c r="V55" s="257">
        <f t="shared" si="4"/>
        <v>116298</v>
      </c>
      <c r="W55" s="259"/>
      <c r="X55" s="259"/>
      <c r="Y55" s="259"/>
    </row>
    <row r="56" spans="1:25">
      <c r="A56" s="150">
        <v>50</v>
      </c>
      <c r="B56" s="158" t="str">
        <f>+PERBULAN!B55</f>
        <v>LALU MUHAMAD HADI</v>
      </c>
      <c r="C56" s="158" t="str">
        <f>+PERBULAN!C55</f>
        <v>L</v>
      </c>
      <c r="D56" s="158" t="str">
        <f>+PERBULAN!D55</f>
        <v>K/0</v>
      </c>
      <c r="E56" s="158">
        <f>+PERBULAN!E55</f>
        <v>1</v>
      </c>
      <c r="F56" s="252">
        <f>+PERBULAN!R55</f>
        <v>1704881.56</v>
      </c>
      <c r="G56" s="252">
        <f>+BPJS!O154</f>
        <v>32563.439999999999</v>
      </c>
      <c r="H56" s="252">
        <f>+PERBULAN!S55</f>
        <v>0</v>
      </c>
      <c r="I56" s="252">
        <f>+BPJS!O59</f>
        <v>155064</v>
      </c>
      <c r="J56" s="253">
        <v>0</v>
      </c>
      <c r="K56" s="252">
        <f>+PERBULAN!T55</f>
        <v>0</v>
      </c>
      <c r="L56" s="252">
        <f t="shared" si="5"/>
        <v>1892509</v>
      </c>
      <c r="M56" s="254">
        <f>+'ASTEK+PENSIUN-DIISI SMPAI DES'!O58</f>
        <v>77532</v>
      </c>
      <c r="N56" s="254">
        <f>+'ASTEK+PENSIUN-DIISI SMPAI DES'!O144</f>
        <v>38766</v>
      </c>
      <c r="O56" s="252">
        <f t="shared" si="0"/>
        <v>94625.450000000012</v>
      </c>
      <c r="P56" s="253">
        <f t="shared" si="1"/>
        <v>210923.45</v>
      </c>
      <c r="Q56" s="253">
        <f t="shared" si="2"/>
        <v>1681585.55</v>
      </c>
      <c r="R56" s="184">
        <f t="shared" si="8"/>
        <v>58500000</v>
      </c>
      <c r="S56" s="253">
        <f t="shared" si="6"/>
        <v>0</v>
      </c>
      <c r="T56" s="263"/>
      <c r="U56" s="256">
        <f t="shared" si="3"/>
        <v>187627.44</v>
      </c>
      <c r="V56" s="257">
        <f t="shared" si="4"/>
        <v>116298</v>
      </c>
      <c r="W56" s="259"/>
      <c r="X56" s="259"/>
      <c r="Y56" s="259"/>
    </row>
    <row r="57" spans="1:25">
      <c r="A57" s="150">
        <v>51</v>
      </c>
      <c r="B57" s="158" t="str">
        <f>+PERBULAN!B56</f>
        <v>RIJAL</v>
      </c>
      <c r="C57" s="158" t="str">
        <f>+PERBULAN!C56</f>
        <v>L</v>
      </c>
      <c r="D57" s="158" t="str">
        <f>+PERBULAN!D56</f>
        <v>K/1</v>
      </c>
      <c r="E57" s="158">
        <f>+PERBULAN!E56</f>
        <v>11</v>
      </c>
      <c r="F57" s="252">
        <f>+PERBULAN!R56</f>
        <v>45730489.599999994</v>
      </c>
      <c r="G57" s="252">
        <f>+BPJS!O155</f>
        <v>358680.83999999997</v>
      </c>
      <c r="H57" s="252">
        <f>+PERBULAN!S56</f>
        <v>4026100</v>
      </c>
      <c r="I57" s="252">
        <f>+BPJS!O60</f>
        <v>1710404</v>
      </c>
      <c r="J57" s="253">
        <v>0</v>
      </c>
      <c r="K57" s="252">
        <f>+PERBULAN!T56</f>
        <v>200000</v>
      </c>
      <c r="L57" s="252">
        <f t="shared" si="5"/>
        <v>52025674.439999998</v>
      </c>
      <c r="M57" s="254">
        <f>+'ASTEK+PENSIUN-DIISI SMPAI DES'!O59</f>
        <v>931784</v>
      </c>
      <c r="N57" s="254">
        <f>+'ASTEK+PENSIUN-DIISI SMPAI DES'!O145</f>
        <v>465892</v>
      </c>
      <c r="O57" s="252">
        <f t="shared" si="0"/>
        <v>2601283.7220000001</v>
      </c>
      <c r="P57" s="253">
        <f t="shared" si="1"/>
        <v>3998959.7220000001</v>
      </c>
      <c r="Q57" s="253">
        <f t="shared" si="2"/>
        <v>48026714.717999995</v>
      </c>
      <c r="R57" s="184">
        <f t="shared" si="8"/>
        <v>63000000</v>
      </c>
      <c r="S57" s="253">
        <f t="shared" si="6"/>
        <v>0</v>
      </c>
      <c r="T57" s="263"/>
      <c r="U57" s="256">
        <f t="shared" si="3"/>
        <v>2069084.8399999999</v>
      </c>
      <c r="V57" s="257">
        <f t="shared" si="4"/>
        <v>1397676</v>
      </c>
      <c r="W57" s="259"/>
      <c r="X57" s="259"/>
      <c r="Y57" s="259"/>
    </row>
    <row r="58" spans="1:25">
      <c r="A58" s="150">
        <v>52</v>
      </c>
      <c r="B58" s="158" t="str">
        <f>+PERBULAN!B57</f>
        <v>FAHRUDIN</v>
      </c>
      <c r="C58" s="158" t="str">
        <f>+PERBULAN!C57</f>
        <v>L</v>
      </c>
      <c r="D58" s="158" t="str">
        <f>+PERBULAN!D57</f>
        <v>TK/0</v>
      </c>
      <c r="E58" s="158">
        <f>+PERBULAN!E57</f>
        <v>9</v>
      </c>
      <c r="F58" s="252">
        <f>+PERBULAN!R57</f>
        <v>47852701.039999999</v>
      </c>
      <c r="G58" s="252">
        <f>+BPJS!O156</f>
        <v>293070.95999999996</v>
      </c>
      <c r="H58" s="252">
        <f>+PERBULAN!S57</f>
        <v>0</v>
      </c>
      <c r="I58" s="252">
        <f>+BPJS!O61</f>
        <v>1395576</v>
      </c>
      <c r="J58" s="253">
        <v>0</v>
      </c>
      <c r="K58" s="252">
        <f>+PERBULAN!T57</f>
        <v>0</v>
      </c>
      <c r="L58" s="252">
        <f t="shared" si="5"/>
        <v>49541348</v>
      </c>
      <c r="M58" s="254">
        <f>+'ASTEK+PENSIUN-DIISI SMPAI DES'!O60</f>
        <v>775320</v>
      </c>
      <c r="N58" s="254">
        <f>+'ASTEK+PENSIUN-DIISI SMPAI DES'!O146</f>
        <v>387660</v>
      </c>
      <c r="O58" s="252">
        <f t="shared" si="0"/>
        <v>2477067.4</v>
      </c>
      <c r="P58" s="253">
        <f t="shared" si="1"/>
        <v>3640047.4</v>
      </c>
      <c r="Q58" s="253">
        <f t="shared" si="2"/>
        <v>45901300.600000001</v>
      </c>
      <c r="R58" s="184">
        <f t="shared" si="8"/>
        <v>54000000</v>
      </c>
      <c r="S58" s="253">
        <f t="shared" si="6"/>
        <v>0</v>
      </c>
      <c r="T58" s="264"/>
      <c r="U58" s="256">
        <f t="shared" si="3"/>
        <v>1688646.96</v>
      </c>
      <c r="V58" s="257">
        <f t="shared" si="4"/>
        <v>1162980</v>
      </c>
      <c r="W58" s="259"/>
      <c r="X58" s="259"/>
      <c r="Y58" s="259"/>
    </row>
    <row r="59" spans="1:25">
      <c r="A59" s="150">
        <v>53</v>
      </c>
      <c r="B59" s="158" t="str">
        <f>+PERBULAN!B58</f>
        <v>HERIANTO ARBI</v>
      </c>
      <c r="C59" s="158" t="str">
        <f>+PERBULAN!C58</f>
        <v>L</v>
      </c>
      <c r="D59" s="158" t="str">
        <f>+PERBULAN!D58</f>
        <v>TK/0</v>
      </c>
      <c r="E59" s="158">
        <f>+PERBULAN!E58</f>
        <v>7</v>
      </c>
      <c r="F59" s="252">
        <f>+PERBULAN!R58</f>
        <v>35108878.919999994</v>
      </c>
      <c r="G59" s="252">
        <f>+BPJS!O157</f>
        <v>227944.08</v>
      </c>
      <c r="H59" s="252">
        <f>+PERBULAN!S58</f>
        <v>0</v>
      </c>
      <c r="I59" s="252">
        <f>+BPJS!O62</f>
        <v>1085448</v>
      </c>
      <c r="J59" s="253">
        <v>0</v>
      </c>
      <c r="K59" s="252">
        <f>+PERBULAN!T58</f>
        <v>0</v>
      </c>
      <c r="L59" s="252">
        <f t="shared" si="5"/>
        <v>36422270.999999993</v>
      </c>
      <c r="M59" s="254">
        <f>+'ASTEK+PENSIUN-DIISI SMPAI DES'!O61</f>
        <v>620256</v>
      </c>
      <c r="N59" s="254">
        <f>+'ASTEK+PENSIUN-DIISI SMPAI DES'!O147</f>
        <v>310128</v>
      </c>
      <c r="O59" s="252">
        <f t="shared" si="0"/>
        <v>1821113.5499999998</v>
      </c>
      <c r="P59" s="253">
        <f t="shared" si="1"/>
        <v>2751497.55</v>
      </c>
      <c r="Q59" s="253">
        <f t="shared" si="2"/>
        <v>33670773.449999996</v>
      </c>
      <c r="R59" s="184">
        <f t="shared" si="8"/>
        <v>54000000</v>
      </c>
      <c r="S59" s="253">
        <f t="shared" si="6"/>
        <v>0</v>
      </c>
      <c r="T59" s="264"/>
      <c r="U59" s="256">
        <f t="shared" si="3"/>
        <v>1313392.08</v>
      </c>
      <c r="V59" s="257">
        <f t="shared" si="4"/>
        <v>930384</v>
      </c>
      <c r="W59" s="259"/>
      <c r="X59" s="259"/>
      <c r="Y59" s="259"/>
    </row>
    <row r="60" spans="1:25">
      <c r="A60" s="150">
        <v>54</v>
      </c>
      <c r="B60" s="158" t="str">
        <f>+PERBULAN!B59</f>
        <v>EKO SUMANJAYA</v>
      </c>
      <c r="C60" s="158" t="str">
        <f>+PERBULAN!C59</f>
        <v>L</v>
      </c>
      <c r="D60" s="158" t="str">
        <f>+PERBULAN!D59</f>
        <v>K/1</v>
      </c>
      <c r="E60" s="158">
        <f>+PERBULAN!E59</f>
        <v>11</v>
      </c>
      <c r="F60" s="252">
        <f>+PERBULAN!R59</f>
        <v>45467442.199999996</v>
      </c>
      <c r="G60" s="252">
        <f>+BPJS!O158</f>
        <v>359508.24</v>
      </c>
      <c r="H60" s="252">
        <f>+PERBULAN!S59</f>
        <v>4046100</v>
      </c>
      <c r="I60" s="252">
        <f>+BPJS!O63</f>
        <v>1718904</v>
      </c>
      <c r="J60" s="253">
        <v>0</v>
      </c>
      <c r="K60" s="252">
        <f>+PERBULAN!T59</f>
        <v>200000</v>
      </c>
      <c r="L60" s="252">
        <f t="shared" si="5"/>
        <v>51791954.439999998</v>
      </c>
      <c r="M60" s="254">
        <f>+'ASTEK+PENSIUN-DIISI SMPAI DES'!O62</f>
        <v>934164</v>
      </c>
      <c r="N60" s="254">
        <f>+'ASTEK+PENSIUN-DIISI SMPAI DES'!O148</f>
        <v>467082</v>
      </c>
      <c r="O60" s="252">
        <f t="shared" si="0"/>
        <v>2589597.7220000001</v>
      </c>
      <c r="P60" s="253">
        <f t="shared" si="1"/>
        <v>3990843.7220000001</v>
      </c>
      <c r="Q60" s="253">
        <f t="shared" si="2"/>
        <v>47801110.717999995</v>
      </c>
      <c r="R60" s="184">
        <f t="shared" si="8"/>
        <v>63000000</v>
      </c>
      <c r="S60" s="253">
        <f t="shared" si="6"/>
        <v>0</v>
      </c>
      <c r="T60" s="264"/>
      <c r="U60" s="256">
        <f t="shared" si="3"/>
        <v>2078412.24</v>
      </c>
      <c r="V60" s="257">
        <f t="shared" si="4"/>
        <v>1401246</v>
      </c>
      <c r="W60" s="259"/>
      <c r="X60" s="259"/>
      <c r="Y60" s="259"/>
    </row>
    <row r="61" spans="1:25">
      <c r="A61" s="150">
        <v>55</v>
      </c>
      <c r="B61" s="158" t="str">
        <f>+PERBULAN!B60</f>
        <v>DEKY FRANZA</v>
      </c>
      <c r="C61" s="158" t="str">
        <f>+PERBULAN!C60</f>
        <v>L</v>
      </c>
      <c r="D61" s="158" t="str">
        <f>+PERBULAN!D60</f>
        <v>TK/0</v>
      </c>
      <c r="E61" s="158">
        <f>+PERBULAN!E60</f>
        <v>11</v>
      </c>
      <c r="F61" s="252">
        <f>+PERBULAN!R60</f>
        <v>44121733.160000004</v>
      </c>
      <c r="G61" s="252">
        <f>+BPJS!O159</f>
        <v>358302.83999999997</v>
      </c>
      <c r="H61" s="252">
        <f>+PERBULAN!S60</f>
        <v>3286750</v>
      </c>
      <c r="I61" s="252">
        <f>+BPJS!O64</f>
        <v>1706404</v>
      </c>
      <c r="J61" s="253">
        <v>0</v>
      </c>
      <c r="K61" s="252">
        <f>+PERBULAN!T60</f>
        <v>116667</v>
      </c>
      <c r="L61" s="252">
        <f t="shared" si="5"/>
        <v>49589857.000000007</v>
      </c>
      <c r="M61" s="254">
        <f>+'ASTEK+PENSIUN-DIISI SMPAI DES'!O63</f>
        <v>930684</v>
      </c>
      <c r="N61" s="254">
        <f>+'ASTEK+PENSIUN-DIISI SMPAI DES'!O149</f>
        <v>465342</v>
      </c>
      <c r="O61" s="252">
        <f t="shared" ref="O61:O76" si="9">L61*0.05</f>
        <v>2479492.8500000006</v>
      </c>
      <c r="P61" s="253">
        <f t="shared" ref="P61:P76" si="10">M61+N61+O61</f>
        <v>3875518.8500000006</v>
      </c>
      <c r="Q61" s="253">
        <f t="shared" ref="Q61:Q76" si="11">L61-P61</f>
        <v>45714338.150000006</v>
      </c>
      <c r="R61" s="184">
        <f t="shared" si="8"/>
        <v>54000000</v>
      </c>
      <c r="S61" s="253">
        <f t="shared" si="6"/>
        <v>0</v>
      </c>
      <c r="T61" s="264"/>
      <c r="U61" s="256">
        <f t="shared" ref="U61:U76" si="12">G61+I61</f>
        <v>2064706.8399999999</v>
      </c>
      <c r="V61" s="257">
        <f t="shared" ref="V61:V76" si="13">M61+N61</f>
        <v>1396026</v>
      </c>
      <c r="W61" s="259"/>
      <c r="X61" s="259"/>
      <c r="Y61" s="259"/>
    </row>
    <row r="62" spans="1:25">
      <c r="A62" s="150">
        <v>56</v>
      </c>
      <c r="B62" s="158" t="str">
        <f>+PERBULAN!B61</f>
        <v>SUMARDI</v>
      </c>
      <c r="C62" s="158" t="str">
        <f>+PERBULAN!C61</f>
        <v>L</v>
      </c>
      <c r="D62" s="158" t="str">
        <f>+PERBULAN!D61</f>
        <v>K/1</v>
      </c>
      <c r="E62" s="158">
        <f>+PERBULAN!E61</f>
        <v>11</v>
      </c>
      <c r="F62" s="252">
        <f>+PERBULAN!R61</f>
        <v>45257535.79999999</v>
      </c>
      <c r="G62" s="252">
        <f>+BPJS!O160</f>
        <v>359306.63999999996</v>
      </c>
      <c r="H62" s="252">
        <f>+PERBULAN!S61</f>
        <v>4026600</v>
      </c>
      <c r="I62" s="252">
        <f>+BPJS!O65</f>
        <v>1716744</v>
      </c>
      <c r="J62" s="253">
        <v>0</v>
      </c>
      <c r="K62" s="252">
        <f>+PERBULAN!T61</f>
        <v>200000</v>
      </c>
      <c r="L62" s="252">
        <f t="shared" ref="L62:L76" si="14">F62+G62+H62+I62+J62+K62</f>
        <v>51560186.43999999</v>
      </c>
      <c r="M62" s="254">
        <f>+'ASTEK+PENSIUN-DIISI SMPAI DES'!O64</f>
        <v>933564</v>
      </c>
      <c r="N62" s="254">
        <f>+'ASTEK+PENSIUN-DIISI SMPAI DES'!O150</f>
        <v>466782</v>
      </c>
      <c r="O62" s="252">
        <f t="shared" si="9"/>
        <v>2578009.3219999997</v>
      </c>
      <c r="P62" s="253">
        <f t="shared" si="10"/>
        <v>3978355.3219999997</v>
      </c>
      <c r="Q62" s="253">
        <f t="shared" si="11"/>
        <v>47581831.117999993</v>
      </c>
      <c r="R62" s="184">
        <f t="shared" si="8"/>
        <v>63000000</v>
      </c>
      <c r="S62" s="253">
        <f t="shared" ref="S62:S71" si="15">IF(Q62&lt;=R62,0,IF(Q62&gt;R62,Q62-R62))</f>
        <v>0</v>
      </c>
      <c r="T62" s="264"/>
      <c r="U62" s="256">
        <f t="shared" si="12"/>
        <v>2076050.64</v>
      </c>
      <c r="V62" s="257">
        <f t="shared" si="13"/>
        <v>1400346</v>
      </c>
      <c r="W62" s="259"/>
      <c r="X62" s="259"/>
      <c r="Y62" s="259"/>
    </row>
    <row r="63" spans="1:25">
      <c r="A63" s="150">
        <v>57</v>
      </c>
      <c r="B63" s="158" t="str">
        <f>+PERBULAN!B62</f>
        <v>SUKARDI</v>
      </c>
      <c r="C63" s="158" t="str">
        <f>+PERBULAN!C62</f>
        <v>L</v>
      </c>
      <c r="D63" s="158" t="str">
        <f>+PERBULAN!D62</f>
        <v>K/0</v>
      </c>
      <c r="E63" s="158">
        <f>+PERBULAN!E62</f>
        <v>11</v>
      </c>
      <c r="F63" s="252">
        <f>+PERBULAN!R62</f>
        <v>46052362.160000004</v>
      </c>
      <c r="G63" s="252">
        <f>+BPJS!O161</f>
        <v>358302.83999999997</v>
      </c>
      <c r="H63" s="252">
        <f>+PERBULAN!S62</f>
        <v>3655300</v>
      </c>
      <c r="I63" s="252">
        <f>+BPJS!O66</f>
        <v>1706504</v>
      </c>
      <c r="J63" s="253">
        <v>0</v>
      </c>
      <c r="K63" s="252">
        <f>+PERBULAN!T62</f>
        <v>133333</v>
      </c>
      <c r="L63" s="252">
        <f t="shared" si="14"/>
        <v>51905802.000000007</v>
      </c>
      <c r="M63" s="254">
        <f>+'ASTEK+PENSIUN-DIISI SMPAI DES'!O65</f>
        <v>930684</v>
      </c>
      <c r="N63" s="254">
        <f>+'ASTEK+PENSIUN-DIISI SMPAI DES'!O151</f>
        <v>465342</v>
      </c>
      <c r="O63" s="252">
        <f t="shared" si="9"/>
        <v>2595290.1000000006</v>
      </c>
      <c r="P63" s="253">
        <f t="shared" si="10"/>
        <v>3991316.1000000006</v>
      </c>
      <c r="Q63" s="253">
        <f t="shared" si="11"/>
        <v>47914485.900000006</v>
      </c>
      <c r="R63" s="184">
        <f t="shared" si="8"/>
        <v>58500000</v>
      </c>
      <c r="S63" s="253">
        <f t="shared" si="15"/>
        <v>0</v>
      </c>
      <c r="T63" s="264"/>
      <c r="U63" s="256">
        <f t="shared" si="12"/>
        <v>2064806.8399999999</v>
      </c>
      <c r="V63" s="257">
        <f t="shared" si="13"/>
        <v>1396026</v>
      </c>
      <c r="W63" s="259"/>
      <c r="X63" s="259"/>
      <c r="Y63" s="259"/>
    </row>
    <row r="64" spans="1:25">
      <c r="A64" s="150">
        <v>58</v>
      </c>
      <c r="B64" s="158" t="str">
        <f>+PERBULAN!B63</f>
        <v>YANTI NOVITA</v>
      </c>
      <c r="C64" s="158" t="str">
        <f>+PERBULAN!C63</f>
        <v>P</v>
      </c>
      <c r="D64" s="158" t="str">
        <f>+PERBULAN!D63</f>
        <v>TK/0</v>
      </c>
      <c r="E64" s="158">
        <f>+PERBULAN!E63</f>
        <v>11</v>
      </c>
      <c r="F64" s="252">
        <f>+PERBULAN!R63</f>
        <v>43893871.159999989</v>
      </c>
      <c r="G64" s="252">
        <f>+BPJS!O162</f>
        <v>360171.83999999997</v>
      </c>
      <c r="H64" s="252">
        <f>+PERBULAN!S63</f>
        <v>3991100</v>
      </c>
      <c r="I64" s="252">
        <f>+BPJS!O67</f>
        <v>1724504</v>
      </c>
      <c r="J64" s="253">
        <v>0</v>
      </c>
      <c r="K64" s="252">
        <f>+PERBULAN!T63</f>
        <v>200000</v>
      </c>
      <c r="L64" s="252">
        <f t="shared" si="14"/>
        <v>50169646.999999993</v>
      </c>
      <c r="M64" s="254">
        <f>+'ASTEK+PENSIUN-DIISI SMPAI DES'!O66</f>
        <v>936094</v>
      </c>
      <c r="N64" s="254">
        <f>+'ASTEK+PENSIUN-DIISI SMPAI DES'!O152</f>
        <v>468047</v>
      </c>
      <c r="O64" s="252">
        <f t="shared" si="9"/>
        <v>2508482.3499999996</v>
      </c>
      <c r="P64" s="253">
        <f t="shared" si="10"/>
        <v>3912623.3499999996</v>
      </c>
      <c r="Q64" s="253">
        <f t="shared" si="11"/>
        <v>46257023.649999991</v>
      </c>
      <c r="R64" s="184">
        <f t="shared" si="8"/>
        <v>54000000</v>
      </c>
      <c r="S64" s="253">
        <f t="shared" si="15"/>
        <v>0</v>
      </c>
      <c r="T64" s="264"/>
      <c r="U64" s="256">
        <f t="shared" si="12"/>
        <v>2084675.8399999999</v>
      </c>
      <c r="V64" s="257">
        <f t="shared" si="13"/>
        <v>1404141</v>
      </c>
      <c r="W64" s="259"/>
      <c r="X64" s="259"/>
      <c r="Y64" s="259"/>
    </row>
    <row r="65" spans="1:25">
      <c r="A65" s="150">
        <v>59</v>
      </c>
      <c r="B65" s="158" t="str">
        <f>+PERBULAN!B64</f>
        <v>FRANSISCO GAUTAMA</v>
      </c>
      <c r="C65" s="158" t="str">
        <f>+PERBULAN!C64</f>
        <v>L</v>
      </c>
      <c r="D65" s="158" t="str">
        <f>+PERBULAN!D64</f>
        <v>K/1</v>
      </c>
      <c r="E65" s="158">
        <f>+PERBULAN!E64</f>
        <v>11</v>
      </c>
      <c r="F65" s="252">
        <f>+PERBULAN!R64</f>
        <v>46971161.599999994</v>
      </c>
      <c r="G65" s="252">
        <f>+BPJS!O163</f>
        <v>359730.83999999997</v>
      </c>
      <c r="H65" s="252">
        <f>+PERBULAN!S64</f>
        <v>4052600</v>
      </c>
      <c r="I65" s="252">
        <f>+BPJS!O68</f>
        <v>1721764</v>
      </c>
      <c r="J65" s="253">
        <v>0</v>
      </c>
      <c r="K65" s="252">
        <f>+PERBULAN!T64</f>
        <v>200000</v>
      </c>
      <c r="L65" s="252">
        <f t="shared" si="14"/>
        <v>53305256.439999998</v>
      </c>
      <c r="M65" s="254">
        <f>+'ASTEK+PENSIUN-DIISI SMPAI DES'!O67</f>
        <v>934834</v>
      </c>
      <c r="N65" s="254">
        <f>+'ASTEK+PENSIUN-DIISI SMPAI DES'!O153</f>
        <v>467417</v>
      </c>
      <c r="O65" s="252">
        <f t="shared" si="9"/>
        <v>2665262.8220000002</v>
      </c>
      <c r="P65" s="253">
        <f t="shared" si="10"/>
        <v>4067513.8220000002</v>
      </c>
      <c r="Q65" s="253">
        <f t="shared" si="11"/>
        <v>49237742.618000001</v>
      </c>
      <c r="R65" s="184">
        <f t="shared" si="8"/>
        <v>63000000</v>
      </c>
      <c r="S65" s="253">
        <f t="shared" si="15"/>
        <v>0</v>
      </c>
      <c r="T65" s="264"/>
      <c r="U65" s="256">
        <f t="shared" si="12"/>
        <v>2081494.8399999999</v>
      </c>
      <c r="V65" s="257">
        <f t="shared" si="13"/>
        <v>1402251</v>
      </c>
      <c r="W65" s="259"/>
      <c r="X65" s="259"/>
      <c r="Y65" s="259"/>
    </row>
    <row r="66" spans="1:25">
      <c r="A66" s="150">
        <v>60</v>
      </c>
      <c r="B66" s="158" t="str">
        <f>+PERBULAN!B65</f>
        <v>MUSDI</v>
      </c>
      <c r="C66" s="158" t="str">
        <f>+PERBULAN!C65</f>
        <v>L</v>
      </c>
      <c r="D66" s="158" t="str">
        <f>+PERBULAN!D65</f>
        <v>K/2</v>
      </c>
      <c r="E66" s="158">
        <f>+PERBULAN!E65</f>
        <v>11</v>
      </c>
      <c r="F66" s="252">
        <f>+PERBULAN!R65</f>
        <v>47686408.559999987</v>
      </c>
      <c r="G66" s="252">
        <f>+BPJS!O164</f>
        <v>359281.44</v>
      </c>
      <c r="H66" s="252">
        <f>+PERBULAN!S65</f>
        <v>4067100</v>
      </c>
      <c r="I66" s="252">
        <f>+BPJS!O69</f>
        <v>1716624</v>
      </c>
      <c r="J66" s="253">
        <v>0</v>
      </c>
      <c r="K66" s="252">
        <f>+PERBULAN!T65</f>
        <v>200000</v>
      </c>
      <c r="L66" s="252">
        <f t="shared" si="14"/>
        <v>54029413.999999985</v>
      </c>
      <c r="M66" s="254">
        <f>+'ASTEK+PENSIUN-DIISI SMPAI DES'!O68</f>
        <v>933504</v>
      </c>
      <c r="N66" s="254">
        <f>+'ASTEK+PENSIUN-DIISI SMPAI DES'!O154</f>
        <v>466752</v>
      </c>
      <c r="O66" s="252">
        <f t="shared" si="9"/>
        <v>2701470.6999999993</v>
      </c>
      <c r="P66" s="253">
        <f t="shared" si="10"/>
        <v>4101726.6999999993</v>
      </c>
      <c r="Q66" s="253">
        <f t="shared" si="11"/>
        <v>49927687.299999982</v>
      </c>
      <c r="R66" s="184">
        <f t="shared" si="8"/>
        <v>67500000</v>
      </c>
      <c r="S66" s="253">
        <f t="shared" si="15"/>
        <v>0</v>
      </c>
      <c r="T66" s="264"/>
      <c r="U66" s="256">
        <f t="shared" si="12"/>
        <v>2075905.44</v>
      </c>
      <c r="V66" s="257">
        <f t="shared" si="13"/>
        <v>1400256</v>
      </c>
      <c r="W66" s="259"/>
      <c r="X66" s="259"/>
      <c r="Y66" s="259"/>
    </row>
    <row r="67" spans="1:25">
      <c r="A67" s="150">
        <v>61</v>
      </c>
      <c r="B67" s="158" t="str">
        <f>+PERBULAN!B66</f>
        <v>M.IDRIS PRATAMA</v>
      </c>
      <c r="C67" s="158" t="str">
        <f>+PERBULAN!C66</f>
        <v>L</v>
      </c>
      <c r="D67" s="158" t="str">
        <f>+PERBULAN!D66</f>
        <v>TK/0</v>
      </c>
      <c r="E67" s="158">
        <f>+PERBULAN!E66</f>
        <v>11</v>
      </c>
      <c r="F67" s="252">
        <f>+PERBULAN!R66</f>
        <v>47338397.160000004</v>
      </c>
      <c r="G67" s="252">
        <f>+BPJS!O165</f>
        <v>358407.83999999997</v>
      </c>
      <c r="H67" s="252">
        <f>+PERBULAN!S66</f>
        <v>3946600</v>
      </c>
      <c r="I67" s="252">
        <f>+BPJS!O70</f>
        <v>1707504</v>
      </c>
      <c r="J67" s="253">
        <v>0</v>
      </c>
      <c r="K67" s="252">
        <f>+PERBULAN!T66</f>
        <v>200000</v>
      </c>
      <c r="L67" s="252">
        <f t="shared" si="14"/>
        <v>53550909.000000007</v>
      </c>
      <c r="M67" s="254">
        <f>+'ASTEK+PENSIUN-DIISI SMPAI DES'!O69</f>
        <v>930984</v>
      </c>
      <c r="N67" s="254">
        <f>+'ASTEK+PENSIUN-DIISI SMPAI DES'!O155</f>
        <v>465492</v>
      </c>
      <c r="O67" s="252">
        <f t="shared" si="9"/>
        <v>2677545.4500000007</v>
      </c>
      <c r="P67" s="253">
        <f t="shared" si="10"/>
        <v>4074021.4500000007</v>
      </c>
      <c r="Q67" s="253">
        <f t="shared" si="11"/>
        <v>49476887.550000004</v>
      </c>
      <c r="R67" s="184">
        <f t="shared" si="8"/>
        <v>54000000</v>
      </c>
      <c r="S67" s="253">
        <f t="shared" si="15"/>
        <v>0</v>
      </c>
      <c r="T67" s="264"/>
      <c r="U67" s="256">
        <f t="shared" si="12"/>
        <v>2065911.8399999999</v>
      </c>
      <c r="V67" s="257">
        <f t="shared" si="13"/>
        <v>1396476</v>
      </c>
      <c r="W67" s="259"/>
      <c r="X67" s="259"/>
      <c r="Y67" s="259"/>
    </row>
    <row r="68" spans="1:25">
      <c r="A68" s="150">
        <v>62</v>
      </c>
      <c r="B68" s="158" t="str">
        <f>+PERBULAN!B67</f>
        <v>NOLA WILANDA</v>
      </c>
      <c r="C68" s="158" t="str">
        <f>+PERBULAN!C67</f>
        <v>P</v>
      </c>
      <c r="D68" s="158" t="str">
        <f>+PERBULAN!D67</f>
        <v>TK/0</v>
      </c>
      <c r="E68" s="158">
        <f>+PERBULAN!E67</f>
        <v>3</v>
      </c>
      <c r="F68" s="252">
        <f>+PERBULAN!R67</f>
        <v>11759018.68</v>
      </c>
      <c r="G68" s="252">
        <f>+BPJS!O166</f>
        <v>97690.319999999992</v>
      </c>
      <c r="H68" s="252">
        <f>+PERBULAN!S67</f>
        <v>0</v>
      </c>
      <c r="I68" s="252">
        <f>+BPJS!O71</f>
        <v>465192</v>
      </c>
      <c r="J68" s="253">
        <v>0</v>
      </c>
      <c r="K68" s="252">
        <f>+PERBULAN!T67</f>
        <v>0</v>
      </c>
      <c r="L68" s="252">
        <f t="shared" si="14"/>
        <v>12321901</v>
      </c>
      <c r="M68" s="254">
        <f>+'ASTEK+PENSIUN-DIISI SMPAI DES'!O70</f>
        <v>310128</v>
      </c>
      <c r="N68" s="254">
        <f>+'ASTEK+PENSIUN-DIISI SMPAI DES'!O156</f>
        <v>155064</v>
      </c>
      <c r="O68" s="252">
        <f t="shared" si="9"/>
        <v>616095.05000000005</v>
      </c>
      <c r="P68" s="253">
        <f t="shared" si="10"/>
        <v>1081287.05</v>
      </c>
      <c r="Q68" s="253">
        <f t="shared" si="11"/>
        <v>11240613.949999999</v>
      </c>
      <c r="R68" s="184">
        <f t="shared" si="8"/>
        <v>54000000</v>
      </c>
      <c r="S68" s="253">
        <f t="shared" si="15"/>
        <v>0</v>
      </c>
      <c r="T68" s="264"/>
      <c r="U68" s="256">
        <f t="shared" si="12"/>
        <v>562882.31999999995</v>
      </c>
      <c r="V68" s="257">
        <f t="shared" si="13"/>
        <v>465192</v>
      </c>
      <c r="W68" s="259"/>
      <c r="X68" s="259"/>
      <c r="Y68" s="259"/>
    </row>
    <row r="69" spans="1:25">
      <c r="A69" s="150">
        <v>63</v>
      </c>
      <c r="B69" s="158" t="str">
        <f>+PERBULAN!B68</f>
        <v>AGUSTIAN</v>
      </c>
      <c r="C69" s="158" t="str">
        <f>+PERBULAN!C68</f>
        <v>L</v>
      </c>
      <c r="D69" s="158" t="str">
        <f>+PERBULAN!D68</f>
        <v>TK/0</v>
      </c>
      <c r="E69" s="158">
        <f>+PERBULAN!E68</f>
        <v>3</v>
      </c>
      <c r="F69" s="252">
        <f>+PERBULAN!R68</f>
        <v>11759018.68</v>
      </c>
      <c r="G69" s="252">
        <f>+BPJS!O167</f>
        <v>97690.319999999992</v>
      </c>
      <c r="H69" s="252">
        <f>+PERBULAN!S68</f>
        <v>0</v>
      </c>
      <c r="I69" s="252">
        <f>+BPJS!O72</f>
        <v>465192</v>
      </c>
      <c r="J69" s="253">
        <v>0</v>
      </c>
      <c r="K69" s="252">
        <f>+PERBULAN!T68</f>
        <v>0</v>
      </c>
      <c r="L69" s="252">
        <f t="shared" si="14"/>
        <v>12321901</v>
      </c>
      <c r="M69" s="254">
        <f>+'ASTEK+PENSIUN-DIISI SMPAI DES'!O71</f>
        <v>310128</v>
      </c>
      <c r="N69" s="254">
        <f>+'ASTEK+PENSIUN-DIISI SMPAI DES'!O157</f>
        <v>155064</v>
      </c>
      <c r="O69" s="252">
        <f t="shared" si="9"/>
        <v>616095.05000000005</v>
      </c>
      <c r="P69" s="253">
        <f t="shared" si="10"/>
        <v>1081287.05</v>
      </c>
      <c r="Q69" s="253">
        <f t="shared" si="11"/>
        <v>11240613.949999999</v>
      </c>
      <c r="R69" s="184">
        <f t="shared" si="8"/>
        <v>54000000</v>
      </c>
      <c r="S69" s="253">
        <f t="shared" si="15"/>
        <v>0</v>
      </c>
      <c r="T69" s="264"/>
      <c r="U69" s="256">
        <f t="shared" si="12"/>
        <v>562882.31999999995</v>
      </c>
      <c r="V69" s="257">
        <f t="shared" si="13"/>
        <v>465192</v>
      </c>
      <c r="W69" s="259"/>
      <c r="X69" s="259"/>
      <c r="Y69" s="259"/>
    </row>
    <row r="70" spans="1:25">
      <c r="A70" s="150">
        <v>64</v>
      </c>
      <c r="B70" s="158" t="str">
        <f>+PERBULAN!B69</f>
        <v>DWI MARZETI</v>
      </c>
      <c r="C70" s="158" t="str">
        <f>+PERBULAN!C69</f>
        <v>P</v>
      </c>
      <c r="D70" s="158" t="str">
        <f>+PERBULAN!D69</f>
        <v>TK/0</v>
      </c>
      <c r="E70" s="158">
        <f>+PERBULAN!E69</f>
        <v>3</v>
      </c>
      <c r="F70" s="252">
        <f>+PERBULAN!R69</f>
        <v>11629798.68</v>
      </c>
      <c r="G70" s="252">
        <f>+BPJS!O168</f>
        <v>97690.319999999992</v>
      </c>
      <c r="H70" s="252">
        <f>+PERBULAN!S69</f>
        <v>0</v>
      </c>
      <c r="I70" s="252">
        <f>+BPJS!O73</f>
        <v>465192</v>
      </c>
      <c r="J70" s="253">
        <v>0</v>
      </c>
      <c r="K70" s="252">
        <f>+PERBULAN!T69</f>
        <v>0</v>
      </c>
      <c r="L70" s="252">
        <f t="shared" si="14"/>
        <v>12192681</v>
      </c>
      <c r="M70" s="254">
        <f>+'ASTEK+PENSIUN-DIISI SMPAI DES'!O72</f>
        <v>310128</v>
      </c>
      <c r="N70" s="254">
        <f>+'ASTEK+PENSIUN-DIISI SMPAI DES'!O158</f>
        <v>155064</v>
      </c>
      <c r="O70" s="252">
        <f t="shared" si="9"/>
        <v>609634.05000000005</v>
      </c>
      <c r="P70" s="253">
        <f t="shared" si="10"/>
        <v>1074826.05</v>
      </c>
      <c r="Q70" s="253">
        <f t="shared" si="11"/>
        <v>11117854.949999999</v>
      </c>
      <c r="R70" s="184">
        <f t="shared" si="8"/>
        <v>54000000</v>
      </c>
      <c r="S70" s="253">
        <f t="shared" si="15"/>
        <v>0</v>
      </c>
      <c r="T70" s="264"/>
      <c r="U70" s="256">
        <f>G70+I70</f>
        <v>562882.31999999995</v>
      </c>
      <c r="V70" s="257">
        <f t="shared" si="13"/>
        <v>465192</v>
      </c>
      <c r="W70" s="259"/>
      <c r="X70" s="259"/>
      <c r="Y70" s="259"/>
    </row>
    <row r="71" spans="1:25">
      <c r="A71" s="150">
        <v>65</v>
      </c>
      <c r="B71" s="158" t="str">
        <f>+PERBULAN!B70</f>
        <v>SUTRA PRAYOGI</v>
      </c>
      <c r="C71" s="158" t="str">
        <f>+PERBULAN!C70</f>
        <v>L</v>
      </c>
      <c r="D71" s="158" t="str">
        <f>+PERBULAN!D70</f>
        <v>TK/0</v>
      </c>
      <c r="E71" s="158">
        <f>+PERBULAN!E70</f>
        <v>2</v>
      </c>
      <c r="F71" s="252">
        <f>+PERBULAN!R70</f>
        <v>10005779.119999999</v>
      </c>
      <c r="G71" s="252">
        <f>+BPJS!O169</f>
        <v>65126.879999999997</v>
      </c>
      <c r="H71" s="252">
        <f>+PERBULAN!S70</f>
        <v>0</v>
      </c>
      <c r="I71" s="252">
        <f>+BPJS!O74</f>
        <v>310128</v>
      </c>
      <c r="J71" s="253">
        <v>0</v>
      </c>
      <c r="K71" s="252">
        <f>+PERBULAN!T70</f>
        <v>0</v>
      </c>
      <c r="L71" s="252">
        <f t="shared" si="14"/>
        <v>10381034</v>
      </c>
      <c r="M71" s="254">
        <f>+'ASTEK+PENSIUN-DIISI SMPAI DES'!O73</f>
        <v>232596</v>
      </c>
      <c r="N71" s="254">
        <f>+'ASTEK+PENSIUN-DIISI SMPAI DES'!O159</f>
        <v>116298</v>
      </c>
      <c r="O71" s="252">
        <f t="shared" si="9"/>
        <v>519051.7</v>
      </c>
      <c r="P71" s="253">
        <f t="shared" si="10"/>
        <v>867945.7</v>
      </c>
      <c r="Q71" s="253">
        <f t="shared" si="11"/>
        <v>9513088.3000000007</v>
      </c>
      <c r="R71" s="184">
        <f t="shared" si="8"/>
        <v>54000000</v>
      </c>
      <c r="S71" s="253">
        <f t="shared" si="15"/>
        <v>0</v>
      </c>
      <c r="T71" s="264"/>
      <c r="U71" s="256">
        <f t="shared" si="12"/>
        <v>375254.88</v>
      </c>
      <c r="V71" s="257">
        <f t="shared" si="13"/>
        <v>348894</v>
      </c>
      <c r="W71" s="259"/>
      <c r="X71" s="259"/>
      <c r="Y71" s="259"/>
    </row>
    <row r="72" spans="1:25">
      <c r="A72" s="150">
        <v>66</v>
      </c>
      <c r="B72" s="158" t="str">
        <f>+PERBULAN!B71</f>
        <v>SAHARUDIN</v>
      </c>
      <c r="C72" s="158" t="str">
        <f>+PERBULAN!C71</f>
        <v>L</v>
      </c>
      <c r="D72" s="158" t="str">
        <f>+PERBULAN!D71</f>
        <v>K/0</v>
      </c>
      <c r="E72" s="158">
        <f>+PERBULAN!E71</f>
        <v>11</v>
      </c>
      <c r="F72" s="252">
        <f>+PERBULAN!R71</f>
        <v>43930756.759999998</v>
      </c>
      <c r="G72" s="252">
        <f>+BPJS!O170</f>
        <v>359508.24</v>
      </c>
      <c r="H72" s="252">
        <f>+PERBULAN!S71</f>
        <v>4017600</v>
      </c>
      <c r="I72" s="252">
        <f>+BPJS!O75</f>
        <v>1719144</v>
      </c>
      <c r="J72" s="253">
        <v>0</v>
      </c>
      <c r="K72" s="252">
        <f>+PERBULAN!T71</f>
        <v>200000</v>
      </c>
      <c r="L72" s="252">
        <f t="shared" si="14"/>
        <v>50227009</v>
      </c>
      <c r="M72" s="254">
        <f>+'ASTEK+PENSIUN-DIISI SMPAI DES'!O74</f>
        <v>934164</v>
      </c>
      <c r="N72" s="254">
        <f>+'ASTEK+PENSIUN-DIISI SMPAI DES'!O160</f>
        <v>467082</v>
      </c>
      <c r="O72" s="252">
        <f t="shared" si="9"/>
        <v>2511350.4500000002</v>
      </c>
      <c r="P72" s="253">
        <f t="shared" si="10"/>
        <v>3912596.45</v>
      </c>
      <c r="Q72" s="253">
        <f t="shared" si="11"/>
        <v>46314412.549999997</v>
      </c>
      <c r="R72" s="184">
        <f t="shared" si="8"/>
        <v>58500000</v>
      </c>
      <c r="S72" s="253">
        <f t="shared" ref="S72:S76" si="16">IF(Q72&lt;=R72,0,IF(Q72&gt;R72,Q72-R72))</f>
        <v>0</v>
      </c>
      <c r="T72" s="264"/>
      <c r="U72" s="256">
        <f t="shared" si="12"/>
        <v>2078652.24</v>
      </c>
      <c r="V72" s="257">
        <f t="shared" si="13"/>
        <v>1401246</v>
      </c>
      <c r="W72" s="259"/>
      <c r="X72" s="259"/>
      <c r="Y72" s="259"/>
    </row>
    <row r="73" spans="1:25">
      <c r="A73" s="150">
        <v>67</v>
      </c>
      <c r="B73" s="158">
        <f>+PERBULAN!B72</f>
        <v>0</v>
      </c>
      <c r="C73" s="158">
        <f>+PERBULAN!C72</f>
        <v>0</v>
      </c>
      <c r="D73" s="158">
        <f>+PERBULAN!D72</f>
        <v>0</v>
      </c>
      <c r="E73" s="158">
        <f>+PERBULAN!E72</f>
        <v>0</v>
      </c>
      <c r="F73" s="252">
        <f>+PERBULAN!R72</f>
        <v>0</v>
      </c>
      <c r="G73" s="252">
        <f>+BPJS!O171</f>
        <v>0</v>
      </c>
      <c r="H73" s="252">
        <f>+PERBULAN!S72</f>
        <v>0</v>
      </c>
      <c r="I73" s="252">
        <f>+BPJS!O76</f>
        <v>0</v>
      </c>
      <c r="J73" s="253">
        <v>0</v>
      </c>
      <c r="K73" s="252">
        <f>+PERBULAN!T72</f>
        <v>0</v>
      </c>
      <c r="L73" s="252">
        <f t="shared" si="14"/>
        <v>0</v>
      </c>
      <c r="M73" s="254">
        <f>+'ASTEK+PENSIUN-DIISI SMPAI DES'!O75</f>
        <v>0</v>
      </c>
      <c r="N73" s="254">
        <f>+'ASTEK+PENSIUN-DIISI SMPAI DES'!O161</f>
        <v>0</v>
      </c>
      <c r="O73" s="252">
        <f t="shared" si="9"/>
        <v>0</v>
      </c>
      <c r="P73" s="253">
        <f t="shared" si="10"/>
        <v>0</v>
      </c>
      <c r="Q73" s="253">
        <f t="shared" si="11"/>
        <v>0</v>
      </c>
      <c r="R73" s="184" t="b">
        <f t="shared" si="8"/>
        <v>0</v>
      </c>
      <c r="S73" s="253">
        <f t="shared" si="16"/>
        <v>0</v>
      </c>
      <c r="T73" s="264"/>
      <c r="U73" s="256">
        <f t="shared" si="12"/>
        <v>0</v>
      </c>
      <c r="V73" s="257">
        <f t="shared" si="13"/>
        <v>0</v>
      </c>
      <c r="W73" s="259"/>
      <c r="X73" s="259"/>
      <c r="Y73" s="259"/>
    </row>
    <row r="74" spans="1:25">
      <c r="A74" s="150">
        <v>68</v>
      </c>
      <c r="B74" s="158">
        <f>+PERBULAN!B73</f>
        <v>0</v>
      </c>
      <c r="C74" s="158">
        <f>+PERBULAN!C73</f>
        <v>0</v>
      </c>
      <c r="D74" s="158">
        <f>+PERBULAN!D73</f>
        <v>0</v>
      </c>
      <c r="E74" s="158">
        <f>+PERBULAN!E73</f>
        <v>0</v>
      </c>
      <c r="F74" s="252">
        <f>+PERBULAN!R73</f>
        <v>0</v>
      </c>
      <c r="G74" s="252">
        <f>+BPJS!O172</f>
        <v>0</v>
      </c>
      <c r="H74" s="252">
        <f>+PERBULAN!S73</f>
        <v>0</v>
      </c>
      <c r="I74" s="252">
        <f>+BPJS!O77</f>
        <v>0</v>
      </c>
      <c r="J74" s="253">
        <v>0</v>
      </c>
      <c r="K74" s="252">
        <f>+PERBULAN!T73</f>
        <v>0</v>
      </c>
      <c r="L74" s="252">
        <f t="shared" si="14"/>
        <v>0</v>
      </c>
      <c r="M74" s="254">
        <f>+'ASTEK+PENSIUN-DIISI SMPAI DES'!O76</f>
        <v>0</v>
      </c>
      <c r="N74" s="254">
        <f>+'ASTEK+PENSIUN-DIISI SMPAI DES'!O162</f>
        <v>0</v>
      </c>
      <c r="O74" s="252">
        <f t="shared" si="9"/>
        <v>0</v>
      </c>
      <c r="P74" s="253">
        <f t="shared" si="10"/>
        <v>0</v>
      </c>
      <c r="Q74" s="253">
        <f t="shared" si="11"/>
        <v>0</v>
      </c>
      <c r="R74" s="184" t="b">
        <f t="shared" si="8"/>
        <v>0</v>
      </c>
      <c r="S74" s="253">
        <f t="shared" si="16"/>
        <v>0</v>
      </c>
      <c r="T74" s="264"/>
      <c r="U74" s="256">
        <f t="shared" si="12"/>
        <v>0</v>
      </c>
      <c r="V74" s="257">
        <f t="shared" si="13"/>
        <v>0</v>
      </c>
      <c r="W74" s="259"/>
      <c r="X74" s="259"/>
      <c r="Y74" s="259"/>
    </row>
    <row r="75" spans="1:25">
      <c r="A75" s="150">
        <v>69</v>
      </c>
      <c r="B75" s="158">
        <f>+PERBULAN!B74</f>
        <v>0</v>
      </c>
      <c r="C75" s="158">
        <f>+PERBULAN!C74</f>
        <v>0</v>
      </c>
      <c r="D75" s="158">
        <f>+PERBULAN!D74</f>
        <v>0</v>
      </c>
      <c r="E75" s="158">
        <f>+PERBULAN!E74</f>
        <v>0</v>
      </c>
      <c r="F75" s="252">
        <f>+PERBULAN!R74</f>
        <v>0</v>
      </c>
      <c r="G75" s="252">
        <f>+BPJS!O173</f>
        <v>0</v>
      </c>
      <c r="H75" s="252">
        <f>+PERBULAN!S74</f>
        <v>0</v>
      </c>
      <c r="I75" s="252">
        <f>+BPJS!O78</f>
        <v>0</v>
      </c>
      <c r="J75" s="253">
        <v>0</v>
      </c>
      <c r="K75" s="252">
        <f>+PERBULAN!T74</f>
        <v>0</v>
      </c>
      <c r="L75" s="252">
        <f t="shared" si="14"/>
        <v>0</v>
      </c>
      <c r="M75" s="254">
        <f>+'ASTEK+PENSIUN-DIISI SMPAI DES'!O77</f>
        <v>0</v>
      </c>
      <c r="N75" s="254">
        <f>+'ASTEK+PENSIUN-DIISI SMPAI DES'!O163</f>
        <v>0</v>
      </c>
      <c r="O75" s="252">
        <f t="shared" si="9"/>
        <v>0</v>
      </c>
      <c r="P75" s="253">
        <f t="shared" si="10"/>
        <v>0</v>
      </c>
      <c r="Q75" s="253">
        <f t="shared" si="11"/>
        <v>0</v>
      </c>
      <c r="R75" s="184" t="b">
        <f t="shared" si="8"/>
        <v>0</v>
      </c>
      <c r="S75" s="253">
        <f t="shared" si="16"/>
        <v>0</v>
      </c>
      <c r="T75" s="264"/>
      <c r="U75" s="256">
        <f t="shared" si="12"/>
        <v>0</v>
      </c>
      <c r="V75" s="257">
        <f t="shared" si="13"/>
        <v>0</v>
      </c>
      <c r="W75" s="259"/>
      <c r="X75" s="259"/>
      <c r="Y75" s="259"/>
    </row>
    <row r="76" spans="1:25">
      <c r="A76" s="150">
        <v>70</v>
      </c>
      <c r="B76" s="158">
        <f>+PERBULAN!B75</f>
        <v>0</v>
      </c>
      <c r="C76" s="158">
        <f>+PERBULAN!C75</f>
        <v>0</v>
      </c>
      <c r="D76" s="158">
        <f>+PERBULAN!D75</f>
        <v>0</v>
      </c>
      <c r="E76" s="158">
        <f>+PERBULAN!E75</f>
        <v>0</v>
      </c>
      <c r="F76" s="252">
        <f>+PERBULAN!R75</f>
        <v>0</v>
      </c>
      <c r="G76" s="252">
        <f>+BPJS!O174</f>
        <v>0</v>
      </c>
      <c r="H76" s="252">
        <f>+PERBULAN!S75</f>
        <v>0</v>
      </c>
      <c r="I76" s="252">
        <f>+BPJS!O79</f>
        <v>0</v>
      </c>
      <c r="J76" s="253">
        <v>0</v>
      </c>
      <c r="K76" s="252">
        <f>+PERBULAN!T75</f>
        <v>0</v>
      </c>
      <c r="L76" s="252">
        <f t="shared" si="14"/>
        <v>0</v>
      </c>
      <c r="M76" s="254">
        <f>+'ASTEK+PENSIUN-DIISI SMPAI DES'!O78</f>
        <v>0</v>
      </c>
      <c r="N76" s="254">
        <f>+'ASTEK+PENSIUN-DIISI SMPAI DES'!O164</f>
        <v>0</v>
      </c>
      <c r="O76" s="252">
        <f t="shared" si="9"/>
        <v>0</v>
      </c>
      <c r="P76" s="253">
        <f t="shared" si="10"/>
        <v>0</v>
      </c>
      <c r="Q76" s="253">
        <f t="shared" si="11"/>
        <v>0</v>
      </c>
      <c r="R76" s="184" t="b">
        <f t="shared" si="8"/>
        <v>0</v>
      </c>
      <c r="S76" s="253">
        <f t="shared" si="16"/>
        <v>0</v>
      </c>
      <c r="T76" s="264"/>
      <c r="U76" s="256">
        <f t="shared" si="12"/>
        <v>0</v>
      </c>
      <c r="V76" s="257">
        <f t="shared" si="13"/>
        <v>0</v>
      </c>
      <c r="W76" s="259"/>
      <c r="X76" s="259"/>
      <c r="Y76" s="259"/>
    </row>
    <row r="77" spans="1:25" ht="15.75" thickBot="1">
      <c r="A77" s="590" t="s">
        <v>370</v>
      </c>
      <c r="B77" s="591"/>
      <c r="C77" s="591"/>
      <c r="D77" s="591"/>
      <c r="E77" s="265">
        <f>SUM(E7:E76)</f>
        <v>595</v>
      </c>
      <c r="F77" s="265">
        <f t="shared" ref="F77:S77" si="17">SUM(F7:F76)</f>
        <v>2901019420.3599992</v>
      </c>
      <c r="G77" s="265">
        <f t="shared" si="17"/>
        <v>19440800.399999999</v>
      </c>
      <c r="H77" s="265">
        <f t="shared" si="17"/>
        <v>218451125</v>
      </c>
      <c r="I77" s="265">
        <f t="shared" si="17"/>
        <v>92953180</v>
      </c>
      <c r="J77" s="265">
        <f t="shared" si="17"/>
        <v>0</v>
      </c>
      <c r="K77" s="265">
        <f t="shared" si="17"/>
        <v>23050000</v>
      </c>
      <c r="L77" s="265">
        <f t="shared" si="17"/>
        <v>3254914525.7600002</v>
      </c>
      <c r="M77" s="265">
        <f t="shared" si="17"/>
        <v>50506308</v>
      </c>
      <c r="N77" s="265">
        <f t="shared" si="17"/>
        <v>25253154</v>
      </c>
      <c r="O77" s="265">
        <f t="shared" si="17"/>
        <v>162745726.28800002</v>
      </c>
      <c r="P77" s="265">
        <f t="shared" si="17"/>
        <v>238505188.28799999</v>
      </c>
      <c r="Q77" s="265">
        <f t="shared" si="17"/>
        <v>3016409337.4719996</v>
      </c>
      <c r="R77" s="265">
        <f t="shared" si="17"/>
        <v>4032000000</v>
      </c>
      <c r="S77" s="265">
        <f t="shared" si="17"/>
        <v>149970648.4000001</v>
      </c>
      <c r="T77" s="265">
        <f>SUM(T7:T69)</f>
        <v>0</v>
      </c>
      <c r="U77" s="266"/>
      <c r="V77" s="266"/>
      <c r="W77" s="266"/>
      <c r="X77" s="266"/>
      <c r="Y77" s="266"/>
    </row>
    <row r="78" spans="1:25">
      <c r="F78" s="268"/>
      <c r="H78" s="268"/>
      <c r="I78" s="268"/>
      <c r="K78" s="268"/>
      <c r="L78" s="268"/>
      <c r="M78" s="268"/>
      <c r="N78" s="269"/>
      <c r="O78" s="268"/>
      <c r="P78" s="268"/>
    </row>
    <row r="79" spans="1:25">
      <c r="F79" s="268"/>
      <c r="H79" s="268"/>
      <c r="I79" s="268"/>
      <c r="K79" s="268"/>
      <c r="L79" s="268"/>
      <c r="M79" s="268"/>
      <c r="N79" s="269"/>
      <c r="O79" s="268"/>
      <c r="P79" s="268"/>
    </row>
    <row r="80" spans="1:25" hidden="1">
      <c r="A80" s="150">
        <v>44</v>
      </c>
      <c r="B80" s="158" t="e">
        <f>[3]perbulan!#REF!</f>
        <v>#REF!</v>
      </c>
      <c r="C80" s="158" t="e">
        <f>[3]perbulan!#REF!</f>
        <v>#REF!</v>
      </c>
      <c r="D80" s="158" t="e">
        <f>[3]perbulan!#REF!</f>
        <v>#REF!</v>
      </c>
      <c r="E80" s="158" t="e">
        <f>[3]perbulan!#REF!</f>
        <v>#REF!</v>
      </c>
      <c r="F80" s="252" t="e">
        <f>[3]perbulan!#REF!</f>
        <v>#REF!</v>
      </c>
      <c r="G80" s="252" t="e">
        <f t="shared" ref="G80:G86" si="18">3498479*0.84%*E80</f>
        <v>#REF!</v>
      </c>
      <c r="H80" s="252" t="e">
        <f>[3]perbulan!#REF!</f>
        <v>#REF!</v>
      </c>
      <c r="I80" s="252" t="e">
        <f>'[3]BPJS '!#REF!</f>
        <v>#REF!</v>
      </c>
      <c r="J80" s="253">
        <v>0</v>
      </c>
      <c r="K80" s="252" t="e">
        <f>[3]perbulan!#REF!</f>
        <v>#REF!</v>
      </c>
      <c r="L80" s="252" t="e">
        <f t="shared" ref="L80:L86" si="19">F80+G80+H80+I80+J80+K80</f>
        <v>#REF!</v>
      </c>
      <c r="M80" s="254" t="e">
        <f t="shared" ref="M80:M86" si="20">3498479*2%*E80</f>
        <v>#REF!</v>
      </c>
      <c r="N80" s="254" t="e">
        <f t="shared" ref="N80:N86" si="21">3498479*1%*E80</f>
        <v>#REF!</v>
      </c>
      <c r="O80" s="252" t="e">
        <f t="shared" ref="O80:O86" si="22">L80*0.05</f>
        <v>#REF!</v>
      </c>
      <c r="P80" s="253" t="e">
        <f t="shared" ref="P80:P86" si="23">M80+N80+O80</f>
        <v>#REF!</v>
      </c>
      <c r="Q80" s="253" t="e">
        <f t="shared" ref="Q80:Q86" si="24">L80-P80</f>
        <v>#REF!</v>
      </c>
      <c r="R80" s="184" t="e">
        <f t="shared" ref="R80:R86" si="25">IF(D80="TK",54000000,IF(D80="K0",58500000,IF(D80="K1",63000000,IF(D80="K2",67500000,IF(D80="K3",72000000)))))</f>
        <v>#REF!</v>
      </c>
      <c r="S80" s="253" t="e">
        <f t="shared" ref="S80:S86" si="26">IF(Q80&lt;=R80,0,IF(Q80&gt;R80,Q80-R80))</f>
        <v>#REF!</v>
      </c>
      <c r="T80" s="258"/>
      <c r="U80" s="259"/>
      <c r="V80" s="259"/>
      <c r="W80" s="259"/>
      <c r="X80" s="259"/>
      <c r="Y80" s="259"/>
    </row>
    <row r="81" spans="1:25" hidden="1">
      <c r="A81" s="150">
        <v>25</v>
      </c>
      <c r="B81" s="158" t="e">
        <f>[3]perbulan!#REF!</f>
        <v>#REF!</v>
      </c>
      <c r="C81" s="158" t="e">
        <f>[3]perbulan!#REF!</f>
        <v>#REF!</v>
      </c>
      <c r="D81" s="158" t="e">
        <f>[3]perbulan!#REF!</f>
        <v>#REF!</v>
      </c>
      <c r="E81" s="158" t="e">
        <f>[3]perbulan!#REF!</f>
        <v>#REF!</v>
      </c>
      <c r="F81" s="252" t="e">
        <f>[3]perbulan!#REF!</f>
        <v>#REF!</v>
      </c>
      <c r="G81" s="252" t="e">
        <f t="shared" si="18"/>
        <v>#REF!</v>
      </c>
      <c r="H81" s="252" t="e">
        <f>[3]perbulan!#REF!</f>
        <v>#REF!</v>
      </c>
      <c r="I81" s="252" t="e">
        <f>'[3]BPJS '!#REF!</f>
        <v>#REF!</v>
      </c>
      <c r="J81" s="253">
        <v>0</v>
      </c>
      <c r="K81" s="252" t="e">
        <f>[3]perbulan!#REF!</f>
        <v>#REF!</v>
      </c>
      <c r="L81" s="252" t="e">
        <f t="shared" si="19"/>
        <v>#REF!</v>
      </c>
      <c r="M81" s="254" t="e">
        <f t="shared" si="20"/>
        <v>#REF!</v>
      </c>
      <c r="N81" s="254" t="e">
        <f t="shared" si="21"/>
        <v>#REF!</v>
      </c>
      <c r="O81" s="252" t="e">
        <f t="shared" si="22"/>
        <v>#REF!</v>
      </c>
      <c r="P81" s="253" t="e">
        <f t="shared" si="23"/>
        <v>#REF!</v>
      </c>
      <c r="Q81" s="253" t="e">
        <f t="shared" si="24"/>
        <v>#REF!</v>
      </c>
      <c r="R81" s="184" t="e">
        <f t="shared" si="25"/>
        <v>#REF!</v>
      </c>
      <c r="S81" s="253" t="e">
        <f t="shared" si="26"/>
        <v>#REF!</v>
      </c>
      <c r="T81" s="258"/>
      <c r="U81" s="259"/>
      <c r="V81" s="259"/>
      <c r="W81" s="259"/>
      <c r="X81" s="259"/>
      <c r="Y81" s="259"/>
    </row>
    <row r="82" spans="1:25" hidden="1">
      <c r="A82" s="150">
        <v>31</v>
      </c>
      <c r="B82" s="158" t="e">
        <f>[3]perbulan!#REF!</f>
        <v>#REF!</v>
      </c>
      <c r="C82" s="158" t="e">
        <f>[3]perbulan!#REF!</f>
        <v>#REF!</v>
      </c>
      <c r="D82" s="158" t="e">
        <f>[3]perbulan!#REF!</f>
        <v>#REF!</v>
      </c>
      <c r="E82" s="158" t="e">
        <f>[3]perbulan!#REF!</f>
        <v>#REF!</v>
      </c>
      <c r="F82" s="252" t="e">
        <f>[3]perbulan!#REF!</f>
        <v>#REF!</v>
      </c>
      <c r="G82" s="252" t="e">
        <f t="shared" si="18"/>
        <v>#REF!</v>
      </c>
      <c r="H82" s="252" t="e">
        <f>[3]perbulan!#REF!</f>
        <v>#REF!</v>
      </c>
      <c r="I82" s="252" t="e">
        <f>'[3]BPJS '!#REF!</f>
        <v>#REF!</v>
      </c>
      <c r="J82" s="253">
        <v>0</v>
      </c>
      <c r="K82" s="252" t="e">
        <f>[3]perbulan!#REF!</f>
        <v>#REF!</v>
      </c>
      <c r="L82" s="252" t="e">
        <f t="shared" si="19"/>
        <v>#REF!</v>
      </c>
      <c r="M82" s="254" t="e">
        <f t="shared" si="20"/>
        <v>#REF!</v>
      </c>
      <c r="N82" s="254" t="e">
        <f t="shared" si="21"/>
        <v>#REF!</v>
      </c>
      <c r="O82" s="252" t="e">
        <f t="shared" si="22"/>
        <v>#REF!</v>
      </c>
      <c r="P82" s="253" t="e">
        <f t="shared" si="23"/>
        <v>#REF!</v>
      </c>
      <c r="Q82" s="253" t="e">
        <f t="shared" si="24"/>
        <v>#REF!</v>
      </c>
      <c r="R82" s="184" t="e">
        <f t="shared" si="25"/>
        <v>#REF!</v>
      </c>
      <c r="S82" s="253" t="e">
        <f t="shared" si="26"/>
        <v>#REF!</v>
      </c>
      <c r="T82" s="258"/>
      <c r="U82" s="259"/>
      <c r="V82" s="259"/>
      <c r="W82" s="259"/>
      <c r="X82" s="259"/>
      <c r="Y82" s="259"/>
    </row>
    <row r="83" spans="1:25" hidden="1">
      <c r="A83" s="150">
        <v>28</v>
      </c>
      <c r="B83" s="158" t="e">
        <f>[3]perbulan!#REF!</f>
        <v>#REF!</v>
      </c>
      <c r="C83" s="158" t="e">
        <f>[3]perbulan!#REF!</f>
        <v>#REF!</v>
      </c>
      <c r="D83" s="158" t="e">
        <f>[3]perbulan!#REF!</f>
        <v>#REF!</v>
      </c>
      <c r="E83" s="158" t="e">
        <f>[3]perbulan!#REF!</f>
        <v>#REF!</v>
      </c>
      <c r="F83" s="252" t="e">
        <f>[3]perbulan!#REF!</f>
        <v>#REF!</v>
      </c>
      <c r="G83" s="252" t="e">
        <f t="shared" si="18"/>
        <v>#REF!</v>
      </c>
      <c r="H83" s="252" t="e">
        <f>[3]perbulan!#REF!</f>
        <v>#REF!</v>
      </c>
      <c r="I83" s="252" t="e">
        <f>'[3]BPJS '!#REF!</f>
        <v>#REF!</v>
      </c>
      <c r="J83" s="253">
        <v>0</v>
      </c>
      <c r="K83" s="252" t="e">
        <f>[3]perbulan!#REF!</f>
        <v>#REF!</v>
      </c>
      <c r="L83" s="252" t="e">
        <f t="shared" si="19"/>
        <v>#REF!</v>
      </c>
      <c r="M83" s="254" t="e">
        <f t="shared" si="20"/>
        <v>#REF!</v>
      </c>
      <c r="N83" s="254" t="e">
        <f t="shared" si="21"/>
        <v>#REF!</v>
      </c>
      <c r="O83" s="252" t="e">
        <f t="shared" si="22"/>
        <v>#REF!</v>
      </c>
      <c r="P83" s="253" t="e">
        <f t="shared" si="23"/>
        <v>#REF!</v>
      </c>
      <c r="Q83" s="253" t="e">
        <f t="shared" si="24"/>
        <v>#REF!</v>
      </c>
      <c r="R83" s="184" t="e">
        <f t="shared" si="25"/>
        <v>#REF!</v>
      </c>
      <c r="S83" s="253" t="e">
        <f t="shared" si="26"/>
        <v>#REF!</v>
      </c>
      <c r="T83" s="258"/>
      <c r="U83" s="259"/>
      <c r="V83" s="259"/>
      <c r="W83" s="259"/>
      <c r="X83" s="259"/>
      <c r="Y83" s="259"/>
    </row>
    <row r="84" spans="1:25" hidden="1">
      <c r="A84" s="150">
        <v>36</v>
      </c>
      <c r="B84" s="158" t="e">
        <f>[3]perbulan!#REF!</f>
        <v>#REF!</v>
      </c>
      <c r="C84" s="158" t="e">
        <f>[3]perbulan!#REF!</f>
        <v>#REF!</v>
      </c>
      <c r="D84" s="158" t="e">
        <f>[3]perbulan!#REF!</f>
        <v>#REF!</v>
      </c>
      <c r="E84" s="158" t="e">
        <f>[3]perbulan!#REF!</f>
        <v>#REF!</v>
      </c>
      <c r="F84" s="252" t="e">
        <f>[3]perbulan!#REF!</f>
        <v>#REF!</v>
      </c>
      <c r="G84" s="252" t="e">
        <f t="shared" si="18"/>
        <v>#REF!</v>
      </c>
      <c r="H84" s="252" t="e">
        <f>[3]perbulan!#REF!</f>
        <v>#REF!</v>
      </c>
      <c r="I84" s="252" t="e">
        <f>'[3]BPJS '!#REF!</f>
        <v>#REF!</v>
      </c>
      <c r="J84" s="253">
        <v>0</v>
      </c>
      <c r="K84" s="252" t="e">
        <f>[3]perbulan!#REF!</f>
        <v>#REF!</v>
      </c>
      <c r="L84" s="252" t="e">
        <f t="shared" si="19"/>
        <v>#REF!</v>
      </c>
      <c r="M84" s="254" t="e">
        <f t="shared" si="20"/>
        <v>#REF!</v>
      </c>
      <c r="N84" s="254" t="e">
        <f t="shared" si="21"/>
        <v>#REF!</v>
      </c>
      <c r="O84" s="252" t="e">
        <f t="shared" si="22"/>
        <v>#REF!</v>
      </c>
      <c r="P84" s="253" t="e">
        <f t="shared" si="23"/>
        <v>#REF!</v>
      </c>
      <c r="Q84" s="253" t="e">
        <f t="shared" si="24"/>
        <v>#REF!</v>
      </c>
      <c r="R84" s="184" t="e">
        <f t="shared" si="25"/>
        <v>#REF!</v>
      </c>
      <c r="S84" s="253" t="e">
        <f t="shared" si="26"/>
        <v>#REF!</v>
      </c>
      <c r="T84" s="258"/>
      <c r="U84" s="259"/>
      <c r="V84" s="259"/>
      <c r="W84" s="259"/>
      <c r="X84" s="259"/>
      <c r="Y84" s="259"/>
    </row>
    <row r="85" spans="1:25" hidden="1">
      <c r="A85" s="150">
        <v>25</v>
      </c>
      <c r="B85" s="158" t="e">
        <f>[3]perbulan!#REF!</f>
        <v>#REF!</v>
      </c>
      <c r="C85" s="158" t="e">
        <f>[3]perbulan!#REF!</f>
        <v>#REF!</v>
      </c>
      <c r="D85" s="158" t="e">
        <f>[3]perbulan!#REF!</f>
        <v>#REF!</v>
      </c>
      <c r="E85" s="158" t="e">
        <f>[3]perbulan!#REF!</f>
        <v>#REF!</v>
      </c>
      <c r="F85" s="252" t="e">
        <f>[3]perbulan!#REF!</f>
        <v>#REF!</v>
      </c>
      <c r="G85" s="252" t="e">
        <f t="shared" si="18"/>
        <v>#REF!</v>
      </c>
      <c r="H85" s="252" t="e">
        <f>[3]perbulan!#REF!</f>
        <v>#REF!</v>
      </c>
      <c r="I85" s="252" t="e">
        <f>'[3]BPJS '!#REF!</f>
        <v>#REF!</v>
      </c>
      <c r="J85" s="253">
        <v>0</v>
      </c>
      <c r="K85" s="252" t="e">
        <f>[3]perbulan!#REF!</f>
        <v>#REF!</v>
      </c>
      <c r="L85" s="252" t="e">
        <f t="shared" si="19"/>
        <v>#REF!</v>
      </c>
      <c r="M85" s="254" t="e">
        <f t="shared" si="20"/>
        <v>#REF!</v>
      </c>
      <c r="N85" s="254" t="e">
        <f t="shared" si="21"/>
        <v>#REF!</v>
      </c>
      <c r="O85" s="252" t="e">
        <f t="shared" si="22"/>
        <v>#REF!</v>
      </c>
      <c r="P85" s="253" t="e">
        <f t="shared" si="23"/>
        <v>#REF!</v>
      </c>
      <c r="Q85" s="253" t="e">
        <f t="shared" si="24"/>
        <v>#REF!</v>
      </c>
      <c r="R85" s="184" t="e">
        <f t="shared" si="25"/>
        <v>#REF!</v>
      </c>
      <c r="S85" s="253" t="e">
        <f t="shared" si="26"/>
        <v>#REF!</v>
      </c>
      <c r="T85" s="258"/>
      <c r="U85" s="259"/>
      <c r="V85" s="259"/>
      <c r="W85" s="259"/>
      <c r="X85" s="259"/>
      <c r="Y85" s="259"/>
    </row>
    <row r="86" spans="1:25" hidden="1">
      <c r="A86" s="150">
        <v>68</v>
      </c>
      <c r="B86" s="182" t="e">
        <f>[3]perbulan!#REF!</f>
        <v>#REF!</v>
      </c>
      <c r="C86" s="182" t="e">
        <f>[3]perbulan!#REF!</f>
        <v>#REF!</v>
      </c>
      <c r="D86" s="182" t="e">
        <f>[3]perbulan!#REF!</f>
        <v>#REF!</v>
      </c>
      <c r="E86" s="182" t="e">
        <f>[3]perbulan!#REF!</f>
        <v>#REF!</v>
      </c>
      <c r="F86" s="252" t="e">
        <f>[3]perbulan!#REF!</f>
        <v>#REF!</v>
      </c>
      <c r="G86" s="252" t="e">
        <f t="shared" si="18"/>
        <v>#REF!</v>
      </c>
      <c r="H86" s="252" t="e">
        <f>[3]perbulan!#REF!</f>
        <v>#REF!</v>
      </c>
      <c r="I86" s="252" t="e">
        <f>'[3]BPJS '!#REF!</f>
        <v>#REF!</v>
      </c>
      <c r="J86" s="253">
        <v>0</v>
      </c>
      <c r="K86" s="252" t="e">
        <f>[3]perbulan!#REF!</f>
        <v>#REF!</v>
      </c>
      <c r="L86" s="252" t="e">
        <f t="shared" si="19"/>
        <v>#REF!</v>
      </c>
      <c r="M86" s="254" t="e">
        <f t="shared" si="20"/>
        <v>#REF!</v>
      </c>
      <c r="N86" s="254" t="e">
        <f t="shared" si="21"/>
        <v>#REF!</v>
      </c>
      <c r="O86" s="252" t="e">
        <f t="shared" si="22"/>
        <v>#REF!</v>
      </c>
      <c r="P86" s="253" t="e">
        <f t="shared" si="23"/>
        <v>#REF!</v>
      </c>
      <c r="Q86" s="253" t="e">
        <f t="shared" si="24"/>
        <v>#REF!</v>
      </c>
      <c r="R86" s="253" t="e">
        <f t="shared" si="25"/>
        <v>#REF!</v>
      </c>
      <c r="S86" s="253" t="e">
        <f t="shared" si="26"/>
        <v>#REF!</v>
      </c>
      <c r="T86" s="264"/>
      <c r="U86" s="259"/>
      <c r="V86" s="259"/>
      <c r="W86" s="259"/>
      <c r="X86" s="259"/>
      <c r="Y86" s="259"/>
    </row>
    <row r="87" spans="1:25" hidden="1">
      <c r="A87" s="150">
        <v>28</v>
      </c>
      <c r="B87" s="158" t="str">
        <f>[3]perbulan!B84</f>
        <v>KHAIRUL ALAMSYAH NASUTION</v>
      </c>
      <c r="C87" s="158" t="str">
        <f>[3]perbulan!C84</f>
        <v>L</v>
      </c>
      <c r="D87" s="158" t="str">
        <f>[3]perbulan!D84</f>
        <v>TK/0</v>
      </c>
      <c r="E87" s="158">
        <f>[3]perbulan!E84</f>
        <v>4</v>
      </c>
      <c r="F87" s="252">
        <f>[3]perbulan!R84</f>
        <v>18467186.670000002</v>
      </c>
      <c r="G87" s="252">
        <f>3640000*0.84%*E87</f>
        <v>122303.99999999999</v>
      </c>
      <c r="H87" s="252">
        <f>[3]perbulan!S84</f>
        <v>3089583.25</v>
      </c>
      <c r="I87" s="252">
        <f>'[3]BPJS '!O90</f>
        <v>582400</v>
      </c>
      <c r="J87" s="253">
        <v>0</v>
      </c>
      <c r="K87" s="252">
        <f>[3]perbulan!T84</f>
        <v>285833</v>
      </c>
      <c r="L87" s="252">
        <f>F87+G87+H87+I87+J87+K87</f>
        <v>22547306.920000002</v>
      </c>
      <c r="M87" s="254">
        <f>3640000*2%*E87</f>
        <v>291200</v>
      </c>
      <c r="N87" s="254">
        <f>3640000*1%*E87</f>
        <v>145600</v>
      </c>
      <c r="O87" s="252">
        <f>L87*0.05</f>
        <v>1127365.3460000001</v>
      </c>
      <c r="P87" s="253">
        <f>M87+N87+O87</f>
        <v>1564165.3460000001</v>
      </c>
      <c r="Q87" s="253">
        <f>L87-P87</f>
        <v>20983141.574000001</v>
      </c>
      <c r="R87" s="184" t="b">
        <f>IF(D87="TK",54000000,IF(D87="K0",58500000,IF(D87="K1",63000000,IF(D87="K2",67500000,IF(D87="K3",72000000)))))</f>
        <v>0</v>
      </c>
      <c r="S87" s="253">
        <f>IF(Q87&lt;=R87,0,IF(Q87&gt;R87,Q87-R87))</f>
        <v>0</v>
      </c>
      <c r="T87" s="258"/>
      <c r="U87" s="259"/>
      <c r="V87" s="259"/>
      <c r="W87" s="259"/>
      <c r="X87" s="259"/>
      <c r="Y87" s="259"/>
    </row>
    <row r="88" spans="1:25" hidden="1">
      <c r="A88" s="150">
        <v>27</v>
      </c>
      <c r="B88" s="158" t="str">
        <f>[3]perbulan!B85</f>
        <v>ROZI PANZI</v>
      </c>
      <c r="C88" s="158" t="str">
        <f>[3]perbulan!C85</f>
        <v>L</v>
      </c>
      <c r="D88" s="158" t="str">
        <f>[3]perbulan!D85</f>
        <v>TK/0</v>
      </c>
      <c r="E88" s="158">
        <f>[3]perbulan!E85</f>
        <v>5</v>
      </c>
      <c r="F88" s="252">
        <f>[3]perbulan!R85</f>
        <v>21087880.869999997</v>
      </c>
      <c r="G88" s="252">
        <f>3640000*0.84%*E88</f>
        <v>152879.99999999997</v>
      </c>
      <c r="H88" s="252">
        <f>[3]perbulan!S85</f>
        <v>3725499.9</v>
      </c>
      <c r="I88" s="252">
        <f>'[3]BPJS '!O91</f>
        <v>731480</v>
      </c>
      <c r="J88" s="253">
        <v>0</v>
      </c>
      <c r="K88" s="252">
        <f>[3]perbulan!T85</f>
        <v>490000</v>
      </c>
      <c r="L88" s="252">
        <f>F88+G88+H88+I88+J88+K88</f>
        <v>26187740.769999996</v>
      </c>
      <c r="M88" s="254">
        <f>3640000*2%*E88</f>
        <v>364000</v>
      </c>
      <c r="N88" s="254">
        <f>3640000*1%*E88</f>
        <v>182000</v>
      </c>
      <c r="O88" s="252">
        <f>L88*0.05</f>
        <v>1309387.0384999998</v>
      </c>
      <c r="P88" s="253">
        <f>M88+N88+O88</f>
        <v>1855387.0384999998</v>
      </c>
      <c r="Q88" s="253">
        <f>L88-P88</f>
        <v>24332353.731499996</v>
      </c>
      <c r="R88" s="184" t="b">
        <f>IF(D88="TK",54000000,IF(D88="K0",58500000,IF(D88="K1",63000000,IF(D88="K2",67500000,IF(D88="K3",72000000)))))</f>
        <v>0</v>
      </c>
      <c r="S88" s="253">
        <f>IF(Q88&lt;=R88,0,IF(Q88&gt;R88,Q88-R88))</f>
        <v>0</v>
      </c>
      <c r="T88" s="258"/>
      <c r="U88" s="259"/>
      <c r="V88" s="259"/>
      <c r="W88" s="259"/>
      <c r="X88" s="259"/>
      <c r="Y88" s="259"/>
    </row>
    <row r="89" spans="1:25" hidden="1">
      <c r="A89" s="150">
        <v>49</v>
      </c>
      <c r="B89" s="158" t="str">
        <f>[3]perbulan!B86</f>
        <v>ERLANDA</v>
      </c>
      <c r="C89" s="158" t="str">
        <f>[3]perbulan!C86</f>
        <v>L</v>
      </c>
      <c r="D89" s="158" t="str">
        <f>[3]perbulan!D86</f>
        <v>K/2</v>
      </c>
      <c r="E89" s="158">
        <f>[3]perbulan!E86</f>
        <v>8</v>
      </c>
      <c r="F89" s="252">
        <f>[3]perbulan!R86</f>
        <v>33094156.329999998</v>
      </c>
      <c r="G89" s="252">
        <f>3640000*0.84%*E89</f>
        <v>244607.99999999997</v>
      </c>
      <c r="H89" s="252">
        <f>[3]perbulan!S86</f>
        <v>3804499.9</v>
      </c>
      <c r="I89" s="252">
        <f>'[3]BPJS '!O92</f>
        <v>1165600</v>
      </c>
      <c r="J89" s="184">
        <v>0</v>
      </c>
      <c r="K89" s="252">
        <f>[3]perbulan!T86</f>
        <v>300000</v>
      </c>
      <c r="L89" s="252">
        <f>F89+G89+H89+I89+J89+K89</f>
        <v>38608864.229999997</v>
      </c>
      <c r="M89" s="254">
        <f>3640000*2%*E89</f>
        <v>582400</v>
      </c>
      <c r="N89" s="254">
        <f>3640000*1%*E89</f>
        <v>291200</v>
      </c>
      <c r="O89" s="262">
        <f>L89*0.05</f>
        <v>1930443.2115</v>
      </c>
      <c r="P89" s="184">
        <f>M89+N89+O89</f>
        <v>2804043.2115000002</v>
      </c>
      <c r="Q89" s="184">
        <f>L89-P89</f>
        <v>35804821.0185</v>
      </c>
      <c r="R89" s="184">
        <f>IF(D89="TK/0",54000000,IF(D89="K/0",58500000,IF(D89="K/1",63000000,IF(D89="K/2",67500000,IF(D89="K/3",72000000)))))</f>
        <v>67500000</v>
      </c>
      <c r="S89" s="184">
        <f>IF(Q89&lt;=R89,0,IF(Q89&gt;R89,Q89-R89))</f>
        <v>0</v>
      </c>
      <c r="T89" s="258"/>
      <c r="U89" s="259"/>
      <c r="V89" s="259"/>
      <c r="W89" s="259"/>
      <c r="X89" s="259"/>
      <c r="Y89" s="259"/>
    </row>
    <row r="90" spans="1:25" hidden="1">
      <c r="F90" s="268"/>
      <c r="H90" s="268"/>
      <c r="I90" s="268"/>
      <c r="K90" s="268"/>
      <c r="L90" s="268"/>
      <c r="M90" s="268"/>
      <c r="N90" s="269"/>
      <c r="O90" s="268"/>
      <c r="P90" s="268"/>
    </row>
    <row r="91" spans="1:25" ht="15.75" hidden="1">
      <c r="A91" s="270" t="s">
        <v>397</v>
      </c>
      <c r="B91" s="270"/>
      <c r="C91" s="270"/>
      <c r="D91" s="270"/>
      <c r="E91" s="225"/>
      <c r="F91" s="271"/>
      <c r="G91" s="272"/>
      <c r="H91" s="272"/>
      <c r="I91" s="271"/>
      <c r="J91" s="272"/>
      <c r="K91" s="272"/>
      <c r="L91" s="273"/>
      <c r="M91" s="273"/>
      <c r="N91" s="274"/>
      <c r="O91" s="273"/>
      <c r="P91" s="273"/>
      <c r="Q91" s="226"/>
      <c r="R91" s="226"/>
    </row>
    <row r="92" spans="1:25" ht="15.75" hidden="1">
      <c r="A92" s="270" t="s">
        <v>398</v>
      </c>
      <c r="B92" s="270"/>
      <c r="C92" s="225"/>
      <c r="D92" s="225"/>
      <c r="E92" s="225"/>
      <c r="F92" s="271"/>
      <c r="G92" s="272"/>
      <c r="H92" s="272"/>
      <c r="I92" s="271"/>
      <c r="J92" s="272"/>
      <c r="K92" s="272"/>
      <c r="L92" s="273"/>
      <c r="M92" s="273"/>
      <c r="N92" s="274"/>
      <c r="O92" s="273"/>
      <c r="P92" s="273"/>
      <c r="Q92" s="226"/>
      <c r="R92" s="226"/>
    </row>
    <row r="93" spans="1:25" hidden="1">
      <c r="A93" s="226"/>
      <c r="B93" s="224"/>
      <c r="C93" s="225"/>
      <c r="D93" s="225"/>
      <c r="E93" s="225"/>
      <c r="F93" s="271"/>
      <c r="G93" s="272"/>
      <c r="H93" s="272"/>
      <c r="I93" s="271"/>
      <c r="J93" s="272"/>
      <c r="K93" s="272"/>
      <c r="L93" s="273"/>
      <c r="M93" s="273"/>
      <c r="N93" s="274"/>
      <c r="O93" s="273"/>
      <c r="P93" s="273"/>
      <c r="Q93" s="226"/>
      <c r="R93" s="226"/>
    </row>
    <row r="94" spans="1:25" hidden="1">
      <c r="A94" s="569" t="s">
        <v>0</v>
      </c>
      <c r="B94" s="572" t="s">
        <v>366</v>
      </c>
      <c r="C94" s="575" t="s">
        <v>37</v>
      </c>
      <c r="D94" s="575" t="s">
        <v>367</v>
      </c>
      <c r="E94" s="578" t="s">
        <v>368</v>
      </c>
      <c r="F94" s="275" t="s">
        <v>372</v>
      </c>
      <c r="G94" s="276" t="s">
        <v>419</v>
      </c>
      <c r="H94" s="232" t="s">
        <v>394</v>
      </c>
      <c r="I94" s="232" t="s">
        <v>394</v>
      </c>
      <c r="J94" s="232" t="s">
        <v>395</v>
      </c>
      <c r="K94" s="581" t="s">
        <v>420</v>
      </c>
      <c r="L94" s="277"/>
      <c r="M94" s="557" t="s">
        <v>421</v>
      </c>
      <c r="N94" s="560" t="s">
        <v>422</v>
      </c>
      <c r="O94" s="561"/>
      <c r="P94" s="235"/>
      <c r="Q94" s="235"/>
      <c r="R94" s="235"/>
      <c r="S94" s="235"/>
      <c r="T94" s="235"/>
    </row>
    <row r="95" spans="1:25" hidden="1">
      <c r="A95" s="570"/>
      <c r="B95" s="573"/>
      <c r="C95" s="576"/>
      <c r="D95" s="576"/>
      <c r="E95" s="579"/>
      <c r="F95" s="278" t="s">
        <v>423</v>
      </c>
      <c r="G95" s="239"/>
      <c r="H95" s="241" t="s">
        <v>424</v>
      </c>
      <c r="I95" s="241" t="s">
        <v>425</v>
      </c>
      <c r="J95" s="241" t="s">
        <v>396</v>
      </c>
      <c r="K95" s="582"/>
      <c r="L95" s="279" t="s">
        <v>412</v>
      </c>
      <c r="M95" s="558"/>
      <c r="N95" s="562"/>
      <c r="O95" s="563"/>
      <c r="P95" s="235"/>
      <c r="Q95" s="235"/>
      <c r="R95" s="235"/>
      <c r="S95" s="235"/>
      <c r="T95" s="235"/>
    </row>
    <row r="96" spans="1:25" ht="15.75" hidden="1" thickBot="1">
      <c r="A96" s="571"/>
      <c r="B96" s="574"/>
      <c r="C96" s="577"/>
      <c r="D96" s="577"/>
      <c r="E96" s="580"/>
      <c r="F96" s="280" t="s">
        <v>394</v>
      </c>
      <c r="G96" s="248"/>
      <c r="H96" s="247">
        <v>0.05</v>
      </c>
      <c r="I96" s="247"/>
      <c r="J96" s="247"/>
      <c r="K96" s="583"/>
      <c r="L96" s="281"/>
      <c r="M96" s="559"/>
      <c r="N96" s="564"/>
      <c r="O96" s="565"/>
      <c r="P96" s="235"/>
      <c r="Q96" s="235"/>
      <c r="R96" s="235"/>
      <c r="S96" s="235"/>
      <c r="T96" s="235"/>
    </row>
    <row r="97" spans="1:20" hidden="1">
      <c r="A97" s="150">
        <v>1</v>
      </c>
      <c r="B97" s="149" t="str">
        <f t="shared" ref="B97:E107" si="27">B7</f>
        <v>GUNAWAN</v>
      </c>
      <c r="C97" s="282" t="str">
        <f t="shared" si="27"/>
        <v>L</v>
      </c>
      <c r="D97" s="282" t="str">
        <f t="shared" si="27"/>
        <v>K/2</v>
      </c>
      <c r="E97" s="282">
        <f t="shared" si="27"/>
        <v>11</v>
      </c>
      <c r="F97" s="283">
        <f t="shared" ref="F97:F107" si="28">S7</f>
        <v>14611378.950000003</v>
      </c>
      <c r="G97" s="283">
        <f>ROUNDDOWN(F97,-3)</f>
        <v>14611000</v>
      </c>
      <c r="H97" s="252">
        <f>G97*5%</f>
        <v>730550</v>
      </c>
      <c r="I97" s="284">
        <f>H97</f>
        <v>730550</v>
      </c>
      <c r="J97" s="285">
        <f>[3]perbulan!W93</f>
        <v>264450</v>
      </c>
      <c r="K97" s="283">
        <f>IF(I97&lt;=J97,0,IF(I97&gt;J97,I97-J97))</f>
        <v>466100</v>
      </c>
      <c r="L97" s="286" t="s">
        <v>426</v>
      </c>
      <c r="M97" s="287" t="s">
        <v>249</v>
      </c>
      <c r="N97" s="288" t="s">
        <v>316</v>
      </c>
      <c r="O97" s="289"/>
      <c r="P97" s="235"/>
      <c r="Q97" s="235"/>
      <c r="R97" s="235"/>
      <c r="S97" s="235"/>
      <c r="T97" s="235"/>
    </row>
    <row r="98" spans="1:20" hidden="1">
      <c r="A98" s="150">
        <v>2</v>
      </c>
      <c r="B98" s="149" t="str">
        <f t="shared" si="27"/>
        <v>RILYANI</v>
      </c>
      <c r="C98" s="158" t="str">
        <f t="shared" si="27"/>
        <v>L</v>
      </c>
      <c r="D98" s="158" t="str">
        <f t="shared" si="27"/>
        <v>K/0</v>
      </c>
      <c r="E98" s="158">
        <f t="shared" si="27"/>
        <v>11</v>
      </c>
      <c r="F98" s="283">
        <f t="shared" si="28"/>
        <v>0</v>
      </c>
      <c r="G98" s="283">
        <f t="shared" ref="G98:G161" si="29">ROUNDDOWN(F98,-3)</f>
        <v>0</v>
      </c>
      <c r="H98" s="252">
        <f t="shared" ref="H98:H129" si="30">G98*5%</f>
        <v>0</v>
      </c>
      <c r="I98" s="284">
        <f t="shared" ref="I98:I161" si="31">H98</f>
        <v>0</v>
      </c>
      <c r="J98" s="285">
        <f>[3]perbulan!W94</f>
        <v>120840</v>
      </c>
      <c r="K98" s="283">
        <f t="shared" ref="K98:K161" si="32">IF(I98&lt;=J98,0,IF(I98&gt;J98,I98-J98))</f>
        <v>0</v>
      </c>
      <c r="L98" s="186" t="s">
        <v>427</v>
      </c>
      <c r="M98" s="186" t="s">
        <v>250</v>
      </c>
      <c r="N98" s="290" t="s">
        <v>198</v>
      </c>
      <c r="O98" s="291"/>
      <c r="P98" s="259"/>
      <c r="Q98" s="235"/>
      <c r="R98" s="259"/>
      <c r="S98" s="259"/>
      <c r="T98" s="259"/>
    </row>
    <row r="99" spans="1:20" hidden="1">
      <c r="A99" s="150">
        <v>3</v>
      </c>
      <c r="B99" s="149" t="str">
        <f t="shared" si="27"/>
        <v>JUNAIDI</v>
      </c>
      <c r="C99" s="158" t="str">
        <f t="shared" si="27"/>
        <v>L</v>
      </c>
      <c r="D99" s="158" t="str">
        <f t="shared" si="27"/>
        <v>K/0</v>
      </c>
      <c r="E99" s="158">
        <f t="shared" si="27"/>
        <v>11</v>
      </c>
      <c r="F99" s="283">
        <f t="shared" si="28"/>
        <v>0</v>
      </c>
      <c r="G99" s="283">
        <f t="shared" si="29"/>
        <v>0</v>
      </c>
      <c r="H99" s="252">
        <f t="shared" si="30"/>
        <v>0</v>
      </c>
      <c r="I99" s="284">
        <f t="shared" si="31"/>
        <v>0</v>
      </c>
      <c r="J99" s="285">
        <f>[3]perbulan!W95</f>
        <v>118823</v>
      </c>
      <c r="K99" s="283">
        <f t="shared" si="32"/>
        <v>0</v>
      </c>
      <c r="L99" s="183" t="s">
        <v>428</v>
      </c>
      <c r="M99" s="186" t="s">
        <v>251</v>
      </c>
      <c r="N99" s="290" t="s">
        <v>317</v>
      </c>
      <c r="O99" s="291"/>
      <c r="P99" s="259"/>
      <c r="Q99" s="235"/>
      <c r="R99" s="259"/>
      <c r="S99" s="259"/>
      <c r="T99" s="259"/>
    </row>
    <row r="100" spans="1:20" hidden="1">
      <c r="A100" s="150">
        <v>4</v>
      </c>
      <c r="B100" s="149" t="str">
        <f t="shared" si="27"/>
        <v>UMIYATI</v>
      </c>
      <c r="C100" s="158" t="str">
        <f t="shared" si="27"/>
        <v>P</v>
      </c>
      <c r="D100" s="158" t="str">
        <f t="shared" si="27"/>
        <v>TK/0</v>
      </c>
      <c r="E100" s="158">
        <f t="shared" si="27"/>
        <v>4</v>
      </c>
      <c r="F100" s="283">
        <f t="shared" si="28"/>
        <v>0</v>
      </c>
      <c r="G100" s="283">
        <f t="shared" si="29"/>
        <v>0</v>
      </c>
      <c r="H100" s="252">
        <f t="shared" si="30"/>
        <v>0</v>
      </c>
      <c r="I100" s="284">
        <f t="shared" si="31"/>
        <v>0</v>
      </c>
      <c r="J100" s="285">
        <f>[3]perbulan!W96</f>
        <v>117587</v>
      </c>
      <c r="K100" s="283">
        <f t="shared" si="32"/>
        <v>0</v>
      </c>
      <c r="L100" s="183" t="s">
        <v>429</v>
      </c>
      <c r="M100" s="186" t="s">
        <v>252</v>
      </c>
      <c r="N100" s="290" t="s">
        <v>318</v>
      </c>
      <c r="O100" s="291"/>
      <c r="P100" s="259"/>
      <c r="Q100" s="235"/>
      <c r="R100" s="259"/>
      <c r="S100" s="259"/>
      <c r="T100" s="259"/>
    </row>
    <row r="101" spans="1:20" hidden="1">
      <c r="A101" s="150">
        <v>5</v>
      </c>
      <c r="B101" s="149" t="str">
        <f t="shared" si="27"/>
        <v>ASUNTI</v>
      </c>
      <c r="C101" s="158" t="str">
        <f t="shared" si="27"/>
        <v>P</v>
      </c>
      <c r="D101" s="158" t="str">
        <f t="shared" si="27"/>
        <v>TK/0</v>
      </c>
      <c r="E101" s="158">
        <f t="shared" si="27"/>
        <v>11</v>
      </c>
      <c r="F101" s="283">
        <f t="shared" si="28"/>
        <v>0</v>
      </c>
      <c r="G101" s="283">
        <f t="shared" si="29"/>
        <v>0</v>
      </c>
      <c r="H101" s="252">
        <f t="shared" si="30"/>
        <v>0</v>
      </c>
      <c r="I101" s="284">
        <f t="shared" si="31"/>
        <v>0</v>
      </c>
      <c r="J101" s="285">
        <f>[3]perbulan!W97</f>
        <v>117052</v>
      </c>
      <c r="K101" s="283">
        <f t="shared" si="32"/>
        <v>0</v>
      </c>
      <c r="L101" s="183" t="s">
        <v>430</v>
      </c>
      <c r="M101" s="186" t="s">
        <v>253</v>
      </c>
      <c r="N101" s="290" t="s">
        <v>194</v>
      </c>
      <c r="O101" s="291"/>
      <c r="P101" s="259"/>
      <c r="Q101" s="235"/>
      <c r="R101" s="259"/>
      <c r="S101" s="259"/>
      <c r="T101" s="259"/>
    </row>
    <row r="102" spans="1:20" hidden="1">
      <c r="A102" s="150">
        <v>6</v>
      </c>
      <c r="B102" s="149" t="str">
        <f t="shared" si="27"/>
        <v>JONI</v>
      </c>
      <c r="C102" s="158" t="str">
        <f t="shared" si="27"/>
        <v>L</v>
      </c>
      <c r="D102" s="158" t="str">
        <f t="shared" si="27"/>
        <v>K/1</v>
      </c>
      <c r="E102" s="158">
        <f t="shared" si="27"/>
        <v>11</v>
      </c>
      <c r="F102" s="283">
        <f t="shared" si="28"/>
        <v>0</v>
      </c>
      <c r="G102" s="283">
        <f t="shared" si="29"/>
        <v>0</v>
      </c>
      <c r="H102" s="252">
        <f>G102*6%</f>
        <v>0</v>
      </c>
      <c r="I102" s="284">
        <f t="shared" si="31"/>
        <v>0</v>
      </c>
      <c r="J102" s="285">
        <f>[3]perbulan!W98</f>
        <v>112564</v>
      </c>
      <c r="K102" s="283">
        <f t="shared" si="32"/>
        <v>0</v>
      </c>
      <c r="L102" s="258"/>
      <c r="M102" s="186" t="s">
        <v>254</v>
      </c>
      <c r="N102" s="290" t="s">
        <v>319</v>
      </c>
      <c r="O102" s="291"/>
      <c r="P102" s="259"/>
      <c r="Q102" s="235"/>
      <c r="R102" s="259"/>
      <c r="S102" s="259"/>
      <c r="T102" s="259"/>
    </row>
    <row r="103" spans="1:20" hidden="1">
      <c r="A103" s="150">
        <v>7</v>
      </c>
      <c r="B103" s="149" t="str">
        <f t="shared" si="27"/>
        <v>THAHA.S</v>
      </c>
      <c r="C103" s="158" t="str">
        <f t="shared" si="27"/>
        <v>L</v>
      </c>
      <c r="D103" s="158" t="str">
        <f t="shared" si="27"/>
        <v>K/1</v>
      </c>
      <c r="E103" s="158">
        <f t="shared" si="27"/>
        <v>11</v>
      </c>
      <c r="F103" s="283">
        <f t="shared" si="28"/>
        <v>0</v>
      </c>
      <c r="G103" s="283">
        <f t="shared" si="29"/>
        <v>0</v>
      </c>
      <c r="H103" s="252">
        <f t="shared" si="30"/>
        <v>0</v>
      </c>
      <c r="I103" s="284">
        <f t="shared" si="31"/>
        <v>0</v>
      </c>
      <c r="J103" s="285">
        <f>[3]perbulan!W99</f>
        <v>79478</v>
      </c>
      <c r="K103" s="283">
        <f t="shared" si="32"/>
        <v>0</v>
      </c>
      <c r="L103" s="183" t="s">
        <v>431</v>
      </c>
      <c r="M103" s="186" t="s">
        <v>255</v>
      </c>
      <c r="N103" s="290" t="s">
        <v>320</v>
      </c>
      <c r="O103" s="291"/>
      <c r="P103" s="259"/>
      <c r="Q103" s="235"/>
      <c r="R103" s="259"/>
      <c r="S103" s="259"/>
      <c r="T103" s="259"/>
    </row>
    <row r="104" spans="1:20" hidden="1">
      <c r="A104" s="150">
        <v>8</v>
      </c>
      <c r="B104" s="149" t="str">
        <f t="shared" si="27"/>
        <v>ALEX</v>
      </c>
      <c r="C104" s="158" t="str">
        <f t="shared" si="27"/>
        <v>L</v>
      </c>
      <c r="D104" s="158" t="str">
        <f t="shared" si="27"/>
        <v>K/2</v>
      </c>
      <c r="E104" s="158">
        <f t="shared" si="27"/>
        <v>11</v>
      </c>
      <c r="F104" s="283">
        <f t="shared" si="28"/>
        <v>0</v>
      </c>
      <c r="G104" s="283">
        <f t="shared" si="29"/>
        <v>0</v>
      </c>
      <c r="H104" s="252">
        <f t="shared" si="30"/>
        <v>0</v>
      </c>
      <c r="I104" s="284">
        <f t="shared" si="31"/>
        <v>0</v>
      </c>
      <c r="J104" s="285">
        <f>[3]perbulan!W100</f>
        <v>79478</v>
      </c>
      <c r="K104" s="283">
        <f t="shared" si="32"/>
        <v>0</v>
      </c>
      <c r="L104" s="183" t="s">
        <v>432</v>
      </c>
      <c r="M104" s="186" t="s">
        <v>256</v>
      </c>
      <c r="N104" s="290" t="s">
        <v>193</v>
      </c>
      <c r="O104" s="291"/>
      <c r="P104" s="259"/>
      <c r="Q104" s="235"/>
      <c r="R104" s="259"/>
      <c r="S104" s="259"/>
      <c r="T104" s="259"/>
    </row>
    <row r="105" spans="1:20" hidden="1">
      <c r="A105" s="150">
        <v>9</v>
      </c>
      <c r="B105" s="149" t="str">
        <f t="shared" si="27"/>
        <v>SANDY</v>
      </c>
      <c r="C105" s="158" t="str">
        <f t="shared" si="27"/>
        <v>L</v>
      </c>
      <c r="D105" s="158" t="str">
        <f t="shared" si="27"/>
        <v>K/1</v>
      </c>
      <c r="E105" s="158">
        <f t="shared" si="27"/>
        <v>11</v>
      </c>
      <c r="F105" s="283">
        <f t="shared" si="28"/>
        <v>0</v>
      </c>
      <c r="G105" s="283">
        <f t="shared" si="29"/>
        <v>0</v>
      </c>
      <c r="H105" s="252">
        <f t="shared" si="30"/>
        <v>0</v>
      </c>
      <c r="I105" s="284">
        <f t="shared" si="31"/>
        <v>0</v>
      </c>
      <c r="J105" s="285">
        <f>[3]perbulan!W101</f>
        <v>79619</v>
      </c>
      <c r="K105" s="283">
        <f t="shared" si="32"/>
        <v>0</v>
      </c>
      <c r="L105" s="183" t="s">
        <v>433</v>
      </c>
      <c r="M105" s="186" t="s">
        <v>257</v>
      </c>
      <c r="N105" s="290" t="s">
        <v>321</v>
      </c>
      <c r="O105" s="291"/>
      <c r="P105" s="259"/>
      <c r="Q105" s="235"/>
      <c r="R105" s="259"/>
      <c r="S105" s="259"/>
      <c r="T105" s="259"/>
    </row>
    <row r="106" spans="1:20" hidden="1">
      <c r="A106" s="150">
        <v>10</v>
      </c>
      <c r="B106" s="149" t="str">
        <f t="shared" si="27"/>
        <v>ANTON</v>
      </c>
      <c r="C106" s="158" t="str">
        <f t="shared" si="27"/>
        <v>L</v>
      </c>
      <c r="D106" s="158" t="str">
        <f t="shared" si="27"/>
        <v>K/1</v>
      </c>
      <c r="E106" s="158">
        <f t="shared" si="27"/>
        <v>11</v>
      </c>
      <c r="F106" s="283">
        <f t="shared" si="28"/>
        <v>0</v>
      </c>
      <c r="G106" s="283">
        <f t="shared" si="29"/>
        <v>0</v>
      </c>
      <c r="H106" s="252">
        <f t="shared" si="30"/>
        <v>0</v>
      </c>
      <c r="I106" s="284">
        <f t="shared" si="31"/>
        <v>0</v>
      </c>
      <c r="J106" s="285">
        <f>[3]perbulan!W102</f>
        <v>77812</v>
      </c>
      <c r="K106" s="283">
        <f t="shared" si="32"/>
        <v>0</v>
      </c>
      <c r="L106" s="183" t="s">
        <v>434</v>
      </c>
      <c r="M106" s="186" t="s">
        <v>258</v>
      </c>
      <c r="N106" s="290" t="s">
        <v>322</v>
      </c>
      <c r="O106" s="291"/>
      <c r="P106" s="259"/>
      <c r="Q106" s="235"/>
      <c r="R106" s="259"/>
      <c r="S106" s="259"/>
      <c r="T106" s="259"/>
    </row>
    <row r="107" spans="1:20" hidden="1">
      <c r="A107" s="150">
        <v>11</v>
      </c>
      <c r="B107" s="149" t="str">
        <f t="shared" si="27"/>
        <v>EKA NOPIYANTI</v>
      </c>
      <c r="C107" s="158" t="str">
        <f t="shared" si="27"/>
        <v>P</v>
      </c>
      <c r="D107" s="158" t="str">
        <f t="shared" si="27"/>
        <v>TK/0</v>
      </c>
      <c r="E107" s="158">
        <f t="shared" si="27"/>
        <v>11</v>
      </c>
      <c r="F107" s="283">
        <f t="shared" si="28"/>
        <v>0</v>
      </c>
      <c r="G107" s="283">
        <f t="shared" si="29"/>
        <v>0</v>
      </c>
      <c r="H107" s="252">
        <f t="shared" si="30"/>
        <v>0</v>
      </c>
      <c r="I107" s="284">
        <f t="shared" si="31"/>
        <v>0</v>
      </c>
      <c r="J107" s="285">
        <f>[3]perbulan!W103</f>
        <v>79478</v>
      </c>
      <c r="K107" s="283">
        <f t="shared" si="32"/>
        <v>0</v>
      </c>
      <c r="L107" s="183" t="s">
        <v>435</v>
      </c>
      <c r="M107" s="186" t="s">
        <v>259</v>
      </c>
      <c r="N107" s="290" t="s">
        <v>190</v>
      </c>
      <c r="O107" s="291"/>
      <c r="P107" s="259"/>
      <c r="Q107" s="235"/>
      <c r="R107" s="259"/>
      <c r="S107" s="259"/>
      <c r="T107" s="259"/>
    </row>
    <row r="108" spans="1:20" hidden="1">
      <c r="A108" s="150">
        <v>12</v>
      </c>
      <c r="B108" s="149" t="str">
        <f>B209</f>
        <v>YANTI NOVITA</v>
      </c>
      <c r="C108" s="158" t="str">
        <f>C209</f>
        <v>P</v>
      </c>
      <c r="D108" s="158" t="str">
        <f>D209</f>
        <v>TK/0</v>
      </c>
      <c r="E108" s="158">
        <f>E209</f>
        <v>3</v>
      </c>
      <c r="F108" s="283">
        <f>S209</f>
        <v>0</v>
      </c>
      <c r="G108" s="283">
        <f t="shared" si="29"/>
        <v>0</v>
      </c>
      <c r="H108" s="252">
        <f>G108*6%</f>
        <v>0</v>
      </c>
      <c r="I108" s="284">
        <f t="shared" si="31"/>
        <v>0</v>
      </c>
      <c r="J108" s="285">
        <f>[3]perbulan!W104</f>
        <v>113344</v>
      </c>
      <c r="K108" s="283">
        <f t="shared" si="32"/>
        <v>0</v>
      </c>
      <c r="L108" s="258"/>
      <c r="M108" s="186" t="s">
        <v>260</v>
      </c>
      <c r="N108" s="290" t="s">
        <v>323</v>
      </c>
      <c r="O108" s="291"/>
      <c r="P108" s="259"/>
      <c r="Q108" s="235"/>
      <c r="R108" s="259"/>
      <c r="S108" s="259"/>
      <c r="T108" s="259"/>
    </row>
    <row r="109" spans="1:20" hidden="1">
      <c r="A109" s="150">
        <v>13</v>
      </c>
      <c r="B109" s="149" t="str">
        <f t="shared" ref="B109:E122" si="33">B18</f>
        <v>JUMIATI</v>
      </c>
      <c r="C109" s="158" t="str">
        <f t="shared" si="33"/>
        <v>P</v>
      </c>
      <c r="D109" s="158" t="str">
        <f t="shared" si="33"/>
        <v>TK/0</v>
      </c>
      <c r="E109" s="158">
        <f t="shared" si="33"/>
        <v>11</v>
      </c>
      <c r="F109" s="283">
        <f t="shared" ref="F109:F122" si="34">S18</f>
        <v>0</v>
      </c>
      <c r="G109" s="283">
        <f t="shared" si="29"/>
        <v>0</v>
      </c>
      <c r="H109" s="252">
        <f t="shared" si="30"/>
        <v>0</v>
      </c>
      <c r="I109" s="284">
        <f t="shared" si="31"/>
        <v>0</v>
      </c>
      <c r="J109" s="285">
        <f>[3]perbulan!W105</f>
        <v>117052</v>
      </c>
      <c r="K109" s="283">
        <f t="shared" si="32"/>
        <v>0</v>
      </c>
      <c r="L109" s="183" t="s">
        <v>436</v>
      </c>
      <c r="M109" s="186" t="s">
        <v>261</v>
      </c>
      <c r="N109" s="290" t="s">
        <v>324</v>
      </c>
      <c r="O109" s="291"/>
      <c r="P109" s="259"/>
      <c r="Q109" s="235"/>
      <c r="R109" s="259"/>
      <c r="S109" s="259"/>
      <c r="T109" s="259"/>
    </row>
    <row r="110" spans="1:20" hidden="1">
      <c r="A110" s="150">
        <v>14</v>
      </c>
      <c r="B110" s="149" t="str">
        <f t="shared" si="33"/>
        <v>SUPARDI</v>
      </c>
      <c r="C110" s="158" t="str">
        <f t="shared" si="33"/>
        <v>L</v>
      </c>
      <c r="D110" s="158" t="str">
        <f t="shared" si="33"/>
        <v>K/2</v>
      </c>
      <c r="E110" s="158">
        <f t="shared" si="33"/>
        <v>11</v>
      </c>
      <c r="F110" s="283">
        <f t="shared" si="34"/>
        <v>0</v>
      </c>
      <c r="G110" s="283">
        <f t="shared" si="29"/>
        <v>0</v>
      </c>
      <c r="H110" s="252">
        <f t="shared" si="30"/>
        <v>0</v>
      </c>
      <c r="I110" s="284">
        <f t="shared" si="31"/>
        <v>0</v>
      </c>
      <c r="J110" s="285">
        <f>[3]perbulan!W106</f>
        <v>113344</v>
      </c>
      <c r="K110" s="283">
        <f t="shared" si="32"/>
        <v>0</v>
      </c>
      <c r="L110" s="183" t="s">
        <v>437</v>
      </c>
      <c r="M110" s="186" t="s">
        <v>262</v>
      </c>
      <c r="N110" s="290" t="s">
        <v>325</v>
      </c>
      <c r="O110" s="291"/>
      <c r="P110" s="259"/>
      <c r="Q110" s="235"/>
      <c r="R110" s="259"/>
      <c r="S110" s="259"/>
      <c r="T110" s="259"/>
    </row>
    <row r="111" spans="1:20" hidden="1">
      <c r="A111" s="150">
        <v>15</v>
      </c>
      <c r="B111" s="149" t="str">
        <f t="shared" si="33"/>
        <v>PARDI</v>
      </c>
      <c r="C111" s="158" t="str">
        <f t="shared" si="33"/>
        <v>L</v>
      </c>
      <c r="D111" s="158" t="str">
        <f t="shared" si="33"/>
        <v>K/1</v>
      </c>
      <c r="E111" s="158">
        <f t="shared" si="33"/>
        <v>4</v>
      </c>
      <c r="F111" s="283">
        <f t="shared" si="34"/>
        <v>0</v>
      </c>
      <c r="G111" s="283">
        <f t="shared" si="29"/>
        <v>0</v>
      </c>
      <c r="H111" s="252">
        <f t="shared" si="30"/>
        <v>0</v>
      </c>
      <c r="I111" s="284">
        <f t="shared" si="31"/>
        <v>0</v>
      </c>
      <c r="J111" s="285">
        <f>[3]perbulan!W107</f>
        <v>117159</v>
      </c>
      <c r="K111" s="283">
        <f t="shared" si="32"/>
        <v>0</v>
      </c>
      <c r="L111" s="183" t="s">
        <v>438</v>
      </c>
      <c r="M111" s="186" t="s">
        <v>263</v>
      </c>
      <c r="N111" s="290" t="s">
        <v>140</v>
      </c>
      <c r="O111" s="291"/>
      <c r="P111" s="259"/>
      <c r="Q111" s="235"/>
      <c r="R111" s="259"/>
      <c r="S111" s="259"/>
      <c r="T111" s="259"/>
    </row>
    <row r="112" spans="1:20" hidden="1">
      <c r="A112" s="150">
        <v>16</v>
      </c>
      <c r="B112" s="149" t="str">
        <f t="shared" si="33"/>
        <v>SUMARDI</v>
      </c>
      <c r="C112" s="158" t="str">
        <f t="shared" si="33"/>
        <v>L</v>
      </c>
      <c r="D112" s="158" t="str">
        <f t="shared" si="33"/>
        <v>K/2</v>
      </c>
      <c r="E112" s="158">
        <f t="shared" si="33"/>
        <v>11</v>
      </c>
      <c r="F112" s="283">
        <f t="shared" si="34"/>
        <v>0</v>
      </c>
      <c r="G112" s="283">
        <f t="shared" si="29"/>
        <v>0</v>
      </c>
      <c r="H112" s="252">
        <f t="shared" si="30"/>
        <v>0</v>
      </c>
      <c r="I112" s="284">
        <f t="shared" si="31"/>
        <v>0</v>
      </c>
      <c r="J112" s="285">
        <f>[3]perbulan!W108</f>
        <v>79355</v>
      </c>
      <c r="K112" s="283">
        <f t="shared" si="32"/>
        <v>0</v>
      </c>
      <c r="L112" s="183" t="s">
        <v>439</v>
      </c>
      <c r="M112" s="186" t="s">
        <v>264</v>
      </c>
      <c r="N112" s="290" t="s">
        <v>326</v>
      </c>
      <c r="O112" s="291"/>
      <c r="P112" s="259"/>
      <c r="Q112" s="235"/>
      <c r="R112" s="259"/>
      <c r="S112" s="259"/>
      <c r="T112" s="259"/>
    </row>
    <row r="113" spans="1:20" hidden="1">
      <c r="A113" s="150">
        <v>17</v>
      </c>
      <c r="B113" s="149" t="str">
        <f t="shared" si="33"/>
        <v>WIDODO JP</v>
      </c>
      <c r="C113" s="158" t="str">
        <f t="shared" si="33"/>
        <v>L</v>
      </c>
      <c r="D113" s="158" t="str">
        <f t="shared" si="33"/>
        <v>TK/0</v>
      </c>
      <c r="E113" s="158">
        <f t="shared" si="33"/>
        <v>11</v>
      </c>
      <c r="F113" s="283">
        <f t="shared" si="34"/>
        <v>10821088.950000003</v>
      </c>
      <c r="G113" s="283">
        <f t="shared" si="29"/>
        <v>10821000</v>
      </c>
      <c r="H113" s="252">
        <f t="shared" si="30"/>
        <v>541050</v>
      </c>
      <c r="I113" s="284">
        <f t="shared" si="31"/>
        <v>541050</v>
      </c>
      <c r="J113" s="285">
        <f>[3]perbulan!W109</f>
        <v>79764</v>
      </c>
      <c r="K113" s="283">
        <f t="shared" si="32"/>
        <v>461286</v>
      </c>
      <c r="L113" s="183" t="s">
        <v>440</v>
      </c>
      <c r="M113" s="186" t="s">
        <v>265</v>
      </c>
      <c r="N113" s="290" t="s">
        <v>197</v>
      </c>
      <c r="O113" s="291"/>
      <c r="P113" s="259"/>
      <c r="Q113" s="235"/>
      <c r="R113" s="259"/>
      <c r="S113" s="259"/>
      <c r="T113" s="259"/>
    </row>
    <row r="114" spans="1:20" hidden="1">
      <c r="A114" s="150">
        <v>18</v>
      </c>
      <c r="B114" s="149" t="str">
        <f t="shared" si="33"/>
        <v>ASBI ALGIFARI</v>
      </c>
      <c r="C114" s="158" t="str">
        <f t="shared" si="33"/>
        <v>L</v>
      </c>
      <c r="D114" s="158" t="str">
        <f t="shared" si="33"/>
        <v>K/1</v>
      </c>
      <c r="E114" s="158">
        <f t="shared" si="33"/>
        <v>11</v>
      </c>
      <c r="F114" s="283">
        <f t="shared" si="34"/>
        <v>0</v>
      </c>
      <c r="G114" s="283">
        <f t="shared" si="29"/>
        <v>0</v>
      </c>
      <c r="H114" s="252">
        <f t="shared" si="30"/>
        <v>0</v>
      </c>
      <c r="I114" s="284">
        <f t="shared" si="31"/>
        <v>0</v>
      </c>
      <c r="J114" s="285">
        <f>[3]perbulan!W110</f>
        <v>79956</v>
      </c>
      <c r="K114" s="283">
        <f t="shared" si="32"/>
        <v>0</v>
      </c>
      <c r="L114" s="183" t="s">
        <v>441</v>
      </c>
      <c r="M114" s="186" t="s">
        <v>266</v>
      </c>
      <c r="N114" s="290" t="s">
        <v>320</v>
      </c>
      <c r="O114" s="291"/>
      <c r="P114" s="259"/>
      <c r="Q114" s="235"/>
      <c r="R114" s="259"/>
      <c r="S114" s="259"/>
      <c r="T114" s="259"/>
    </row>
    <row r="115" spans="1:20" hidden="1">
      <c r="A115" s="150">
        <v>19</v>
      </c>
      <c r="B115" s="149" t="str">
        <f t="shared" si="33"/>
        <v>YANDI</v>
      </c>
      <c r="C115" s="158" t="str">
        <f t="shared" si="33"/>
        <v>L</v>
      </c>
      <c r="D115" s="158" t="str">
        <f t="shared" si="33"/>
        <v>K/0</v>
      </c>
      <c r="E115" s="158">
        <f t="shared" si="33"/>
        <v>11</v>
      </c>
      <c r="F115" s="283">
        <f t="shared" si="34"/>
        <v>0</v>
      </c>
      <c r="G115" s="283">
        <f t="shared" si="29"/>
        <v>0</v>
      </c>
      <c r="H115" s="252">
        <f>G115*5%</f>
        <v>0</v>
      </c>
      <c r="I115" s="284">
        <f t="shared" si="31"/>
        <v>0</v>
      </c>
      <c r="J115" s="285">
        <f>[3]perbulan!W111</f>
        <v>168772</v>
      </c>
      <c r="K115" s="283">
        <f t="shared" si="32"/>
        <v>0</v>
      </c>
      <c r="L115" s="183" t="s">
        <v>442</v>
      </c>
      <c r="M115" s="186" t="s">
        <v>267</v>
      </c>
      <c r="N115" s="290" t="s">
        <v>327</v>
      </c>
      <c r="O115" s="291"/>
      <c r="P115" s="259"/>
      <c r="Q115" s="235"/>
      <c r="R115" s="259"/>
      <c r="S115" s="259"/>
      <c r="T115" s="259"/>
    </row>
    <row r="116" spans="1:20" hidden="1">
      <c r="A116" s="150">
        <v>20</v>
      </c>
      <c r="B116" s="149" t="str">
        <f t="shared" si="33"/>
        <v>RIDHO AFRIZAL</v>
      </c>
      <c r="C116" s="158" t="str">
        <f t="shared" si="33"/>
        <v>L</v>
      </c>
      <c r="D116" s="158" t="str">
        <f t="shared" si="33"/>
        <v>K/1</v>
      </c>
      <c r="E116" s="158">
        <f t="shared" si="33"/>
        <v>11</v>
      </c>
      <c r="F116" s="283">
        <f t="shared" si="34"/>
        <v>562342.04999999702</v>
      </c>
      <c r="G116" s="283">
        <f t="shared" si="29"/>
        <v>562000</v>
      </c>
      <c r="H116" s="252">
        <f>G116*6%</f>
        <v>33720</v>
      </c>
      <c r="I116" s="284">
        <f t="shared" si="31"/>
        <v>33720</v>
      </c>
      <c r="J116" s="285">
        <f>[3]perbulan!W112</f>
        <v>77567</v>
      </c>
      <c r="K116" s="283">
        <f t="shared" si="32"/>
        <v>0</v>
      </c>
      <c r="L116" s="184"/>
      <c r="M116" s="186" t="s">
        <v>268</v>
      </c>
      <c r="N116" s="290" t="s">
        <v>328</v>
      </c>
      <c r="O116" s="291"/>
      <c r="P116" s="259"/>
      <c r="Q116" s="235"/>
      <c r="R116" s="259"/>
      <c r="S116" s="259"/>
      <c r="T116" s="259"/>
    </row>
    <row r="117" spans="1:20" hidden="1">
      <c r="A117" s="150">
        <v>21</v>
      </c>
      <c r="B117" s="149" t="str">
        <f t="shared" si="33"/>
        <v>APRIZAL</v>
      </c>
      <c r="C117" s="158" t="str">
        <f t="shared" si="33"/>
        <v>L</v>
      </c>
      <c r="D117" s="158" t="str">
        <f t="shared" si="33"/>
        <v>K/1</v>
      </c>
      <c r="E117" s="158">
        <f t="shared" si="33"/>
        <v>11</v>
      </c>
      <c r="F117" s="283">
        <f t="shared" si="34"/>
        <v>0</v>
      </c>
      <c r="G117" s="283">
        <f t="shared" si="29"/>
        <v>0</v>
      </c>
      <c r="H117" s="252">
        <f>G117*6%</f>
        <v>0</v>
      </c>
      <c r="I117" s="284">
        <f t="shared" si="31"/>
        <v>0</v>
      </c>
      <c r="J117" s="285">
        <f>[3]perbulan!W113</f>
        <v>80027</v>
      </c>
      <c r="K117" s="283">
        <f t="shared" si="32"/>
        <v>0</v>
      </c>
      <c r="L117" s="184" t="s">
        <v>443</v>
      </c>
      <c r="M117" s="186" t="s">
        <v>269</v>
      </c>
      <c r="N117" s="290" t="s">
        <v>329</v>
      </c>
      <c r="O117" s="291"/>
      <c r="P117" s="259"/>
      <c r="Q117" s="235"/>
      <c r="R117" s="259"/>
      <c r="S117" s="259"/>
      <c r="T117" s="259"/>
    </row>
    <row r="118" spans="1:20" hidden="1">
      <c r="A118" s="150">
        <v>22</v>
      </c>
      <c r="B118" s="149" t="str">
        <f t="shared" si="33"/>
        <v>ERRY SAPUTRA</v>
      </c>
      <c r="C118" s="158" t="str">
        <f t="shared" si="33"/>
        <v>L</v>
      </c>
      <c r="D118" s="158" t="str">
        <f t="shared" si="33"/>
        <v>K/1</v>
      </c>
      <c r="E118" s="158">
        <f t="shared" si="33"/>
        <v>11</v>
      </c>
      <c r="F118" s="283">
        <f t="shared" si="34"/>
        <v>0</v>
      </c>
      <c r="G118" s="283">
        <f t="shared" si="29"/>
        <v>0</v>
      </c>
      <c r="H118" s="252">
        <f>G118*6%</f>
        <v>0</v>
      </c>
      <c r="I118" s="284">
        <f t="shared" si="31"/>
        <v>0</v>
      </c>
      <c r="J118" s="285">
        <f>[3]perbulan!W114</f>
        <v>79712</v>
      </c>
      <c r="K118" s="283">
        <f t="shared" si="32"/>
        <v>0</v>
      </c>
      <c r="L118" s="183" t="s">
        <v>444</v>
      </c>
      <c r="M118" s="186" t="s">
        <v>270</v>
      </c>
      <c r="N118" s="290" t="s">
        <v>197</v>
      </c>
      <c r="O118" s="291"/>
      <c r="P118" s="259"/>
      <c r="Q118" s="235"/>
      <c r="R118" s="259"/>
      <c r="S118" s="259"/>
      <c r="T118" s="259"/>
    </row>
    <row r="119" spans="1:20" hidden="1">
      <c r="A119" s="150">
        <v>23</v>
      </c>
      <c r="B119" s="149" t="str">
        <f t="shared" si="33"/>
        <v>ARWANDI</v>
      </c>
      <c r="C119" s="158" t="str">
        <f t="shared" si="33"/>
        <v>L</v>
      </c>
      <c r="D119" s="158" t="str">
        <f t="shared" si="33"/>
        <v>K/1</v>
      </c>
      <c r="E119" s="158">
        <f t="shared" si="33"/>
        <v>11</v>
      </c>
      <c r="F119" s="283">
        <f t="shared" si="34"/>
        <v>24927527.700000018</v>
      </c>
      <c r="G119" s="283">
        <f t="shared" si="29"/>
        <v>24927000</v>
      </c>
      <c r="H119" s="252">
        <f>G119*6%</f>
        <v>1495620</v>
      </c>
      <c r="I119" s="284">
        <f t="shared" si="31"/>
        <v>1495620</v>
      </c>
      <c r="J119" s="285">
        <f>[3]perbulan!W115</f>
        <v>118205</v>
      </c>
      <c r="K119" s="283">
        <f t="shared" si="32"/>
        <v>1377415</v>
      </c>
      <c r="L119" s="183"/>
      <c r="M119" s="186" t="s">
        <v>271</v>
      </c>
      <c r="N119" s="290" t="s">
        <v>330</v>
      </c>
      <c r="O119" s="291"/>
      <c r="P119" s="259"/>
      <c r="Q119" s="235"/>
      <c r="R119" s="259"/>
      <c r="S119" s="259"/>
      <c r="T119" s="259"/>
    </row>
    <row r="120" spans="1:20" hidden="1">
      <c r="A120" s="150">
        <v>24</v>
      </c>
      <c r="B120" s="149" t="str">
        <f t="shared" si="33"/>
        <v>RENDI PERJAYA</v>
      </c>
      <c r="C120" s="158" t="str">
        <f t="shared" si="33"/>
        <v>L</v>
      </c>
      <c r="D120" s="158" t="str">
        <f t="shared" si="33"/>
        <v>K/1</v>
      </c>
      <c r="E120" s="158">
        <f t="shared" si="33"/>
        <v>11</v>
      </c>
      <c r="F120" s="283">
        <f t="shared" si="34"/>
        <v>20174766.200000003</v>
      </c>
      <c r="G120" s="283">
        <f t="shared" si="29"/>
        <v>20174000</v>
      </c>
      <c r="H120" s="252">
        <f t="shared" si="30"/>
        <v>1008700</v>
      </c>
      <c r="I120" s="284">
        <f t="shared" si="31"/>
        <v>1008700</v>
      </c>
      <c r="J120" s="285">
        <f>[3]perbulan!W116</f>
        <v>79774</v>
      </c>
      <c r="K120" s="283">
        <f t="shared" si="32"/>
        <v>928926</v>
      </c>
      <c r="L120" s="183"/>
      <c r="M120" s="186" t="s">
        <v>272</v>
      </c>
      <c r="N120" s="290" t="s">
        <v>331</v>
      </c>
      <c r="O120" s="291"/>
      <c r="P120" s="259"/>
      <c r="Q120" s="235"/>
      <c r="R120" s="259"/>
      <c r="S120" s="259"/>
      <c r="T120" s="259"/>
    </row>
    <row r="121" spans="1:20" hidden="1">
      <c r="A121" s="150">
        <v>25</v>
      </c>
      <c r="B121" s="149" t="str">
        <f t="shared" si="33"/>
        <v>ANDI</v>
      </c>
      <c r="C121" s="158" t="str">
        <f t="shared" si="33"/>
        <v>L</v>
      </c>
      <c r="D121" s="158" t="str">
        <f t="shared" si="33"/>
        <v>K/1</v>
      </c>
      <c r="E121" s="158">
        <f t="shared" si="33"/>
        <v>11</v>
      </c>
      <c r="F121" s="283">
        <f t="shared" si="34"/>
        <v>17968513.75</v>
      </c>
      <c r="G121" s="283">
        <f t="shared" si="29"/>
        <v>17968000</v>
      </c>
      <c r="H121" s="252">
        <f>G121*6%</f>
        <v>1078080</v>
      </c>
      <c r="I121" s="284">
        <f t="shared" si="31"/>
        <v>1078080</v>
      </c>
      <c r="J121" s="285">
        <f>[3]perbulan!W117</f>
        <v>90853</v>
      </c>
      <c r="K121" s="283">
        <f t="shared" si="32"/>
        <v>987227</v>
      </c>
      <c r="L121" s="184"/>
      <c r="M121" s="186" t="s">
        <v>273</v>
      </c>
      <c r="N121" s="290" t="s">
        <v>332</v>
      </c>
      <c r="O121" s="291"/>
      <c r="P121" s="259"/>
      <c r="Q121" s="235"/>
      <c r="R121" s="259"/>
      <c r="S121" s="259"/>
      <c r="T121" s="259"/>
    </row>
    <row r="122" spans="1:20" hidden="1">
      <c r="A122" s="150">
        <v>26</v>
      </c>
      <c r="B122" s="149" t="str">
        <f t="shared" si="33"/>
        <v>JULI</v>
      </c>
      <c r="C122" s="158" t="str">
        <f t="shared" si="33"/>
        <v>L</v>
      </c>
      <c r="D122" s="158" t="str">
        <f t="shared" si="33"/>
        <v>K/2</v>
      </c>
      <c r="E122" s="158">
        <f t="shared" si="33"/>
        <v>11</v>
      </c>
      <c r="F122" s="283">
        <f t="shared" si="34"/>
        <v>14744255.300000012</v>
      </c>
      <c r="G122" s="283">
        <f t="shared" si="29"/>
        <v>14744000</v>
      </c>
      <c r="H122" s="252">
        <f t="shared" si="30"/>
        <v>737200</v>
      </c>
      <c r="I122" s="284">
        <f t="shared" si="31"/>
        <v>737200</v>
      </c>
      <c r="J122" s="285">
        <f>[3]perbulan!W118</f>
        <v>79478</v>
      </c>
      <c r="K122" s="283">
        <f t="shared" si="32"/>
        <v>657722</v>
      </c>
      <c r="L122" s="183"/>
      <c r="M122" s="292" t="s">
        <v>274</v>
      </c>
      <c r="N122" s="290" t="s">
        <v>333</v>
      </c>
      <c r="O122" s="291"/>
      <c r="P122" s="259"/>
      <c r="Q122" s="235"/>
      <c r="R122" s="259"/>
      <c r="S122" s="259"/>
      <c r="T122" s="259"/>
    </row>
    <row r="123" spans="1:20" hidden="1">
      <c r="A123" s="150">
        <v>27</v>
      </c>
      <c r="B123" s="149" t="str">
        <f>B208</f>
        <v>RIO RESFATI</v>
      </c>
      <c r="C123" s="158" t="str">
        <f>C208</f>
        <v>L</v>
      </c>
      <c r="D123" s="158" t="str">
        <f>D208</f>
        <v>K/1</v>
      </c>
      <c r="E123" s="158">
        <f>E208</f>
        <v>2</v>
      </c>
      <c r="F123" s="283">
        <f>S208</f>
        <v>0</v>
      </c>
      <c r="G123" s="283">
        <f t="shared" si="29"/>
        <v>0</v>
      </c>
      <c r="H123" s="252">
        <f t="shared" si="30"/>
        <v>0</v>
      </c>
      <c r="I123" s="284">
        <f t="shared" si="31"/>
        <v>0</v>
      </c>
      <c r="J123" s="285">
        <f>[3]perbulan!W119</f>
        <v>974969</v>
      </c>
      <c r="K123" s="283">
        <f t="shared" si="32"/>
        <v>0</v>
      </c>
      <c r="L123" s="183" t="s">
        <v>445</v>
      </c>
      <c r="M123" s="292" t="s">
        <v>275</v>
      </c>
      <c r="N123" s="290" t="s">
        <v>334</v>
      </c>
      <c r="O123" s="291"/>
      <c r="P123" s="259"/>
      <c r="Q123" s="235"/>
      <c r="R123" s="259"/>
      <c r="S123" s="259"/>
      <c r="T123" s="259"/>
    </row>
    <row r="124" spans="1:20" hidden="1">
      <c r="A124" s="150">
        <v>28</v>
      </c>
      <c r="B124" s="149" t="str">
        <f t="shared" ref="B124:E126" si="35">B32</f>
        <v>DICKY PRATAMA</v>
      </c>
      <c r="C124" s="158" t="str">
        <f t="shared" si="35"/>
        <v>L</v>
      </c>
      <c r="D124" s="158" t="str">
        <f t="shared" si="35"/>
        <v>K/0</v>
      </c>
      <c r="E124" s="158">
        <f t="shared" si="35"/>
        <v>11</v>
      </c>
      <c r="F124" s="283">
        <f>S32</f>
        <v>6034590.8500000164</v>
      </c>
      <c r="G124" s="283">
        <f t="shared" si="29"/>
        <v>6034000</v>
      </c>
      <c r="H124" s="252">
        <f t="shared" si="30"/>
        <v>301700</v>
      </c>
      <c r="I124" s="284">
        <f t="shared" si="31"/>
        <v>301700</v>
      </c>
      <c r="J124" s="285">
        <f>[3]perbulan!W120</f>
        <v>773222</v>
      </c>
      <c r="K124" s="283">
        <f t="shared" si="32"/>
        <v>0</v>
      </c>
      <c r="L124" s="293" t="s">
        <v>446</v>
      </c>
      <c r="M124" s="261" t="s">
        <v>276</v>
      </c>
      <c r="N124" s="290" t="s">
        <v>335</v>
      </c>
      <c r="O124" s="291"/>
      <c r="P124" s="259"/>
      <c r="Q124" s="235"/>
      <c r="R124" s="259"/>
      <c r="S124" s="259"/>
    </row>
    <row r="125" spans="1:20" hidden="1">
      <c r="A125" s="150">
        <v>29</v>
      </c>
      <c r="B125" s="149" t="str">
        <f t="shared" si="35"/>
        <v>SUIP</v>
      </c>
      <c r="C125" s="158" t="str">
        <f t="shared" si="35"/>
        <v>L</v>
      </c>
      <c r="D125" s="158" t="str">
        <f t="shared" si="35"/>
        <v>K/1</v>
      </c>
      <c r="E125" s="158">
        <f t="shared" si="35"/>
        <v>11</v>
      </c>
      <c r="F125" s="283">
        <f>S33</f>
        <v>0</v>
      </c>
      <c r="G125" s="283">
        <f t="shared" si="29"/>
        <v>0</v>
      </c>
      <c r="H125" s="294">
        <f>G125*5%</f>
        <v>0</v>
      </c>
      <c r="I125" s="284">
        <f t="shared" si="31"/>
        <v>0</v>
      </c>
      <c r="J125" s="285">
        <f>[3]perbulan!W121</f>
        <v>570901</v>
      </c>
      <c r="K125" s="283">
        <f t="shared" si="32"/>
        <v>0</v>
      </c>
      <c r="L125" s="183" t="s">
        <v>447</v>
      </c>
      <c r="M125" s="295" t="s">
        <v>277</v>
      </c>
      <c r="N125" s="290" t="s">
        <v>189</v>
      </c>
      <c r="O125" s="291"/>
      <c r="P125" s="259"/>
      <c r="Q125" s="235"/>
      <c r="R125" s="259"/>
      <c r="S125" s="259"/>
      <c r="T125" s="259"/>
    </row>
    <row r="126" spans="1:20" hidden="1">
      <c r="A126" s="150">
        <v>30</v>
      </c>
      <c r="B126" s="149" t="str">
        <f t="shared" si="35"/>
        <v>ROBIN DINATA</v>
      </c>
      <c r="C126" s="158" t="str">
        <f t="shared" si="35"/>
        <v>L</v>
      </c>
      <c r="D126" s="158" t="str">
        <f t="shared" si="35"/>
        <v>K/2</v>
      </c>
      <c r="E126" s="158">
        <f t="shared" si="35"/>
        <v>11</v>
      </c>
      <c r="F126" s="283">
        <f>S34</f>
        <v>0</v>
      </c>
      <c r="G126" s="283">
        <f t="shared" si="29"/>
        <v>0</v>
      </c>
      <c r="H126" s="252">
        <f t="shared" si="30"/>
        <v>0</v>
      </c>
      <c r="I126" s="284">
        <f t="shared" si="31"/>
        <v>0</v>
      </c>
      <c r="J126" s="285">
        <f>[3]perbulan!W122</f>
        <v>782163</v>
      </c>
      <c r="K126" s="283">
        <f t="shared" si="32"/>
        <v>0</v>
      </c>
      <c r="L126" s="183" t="s">
        <v>448</v>
      </c>
      <c r="M126" s="292" t="s">
        <v>278</v>
      </c>
      <c r="N126" s="290" t="s">
        <v>336</v>
      </c>
      <c r="O126" s="291"/>
      <c r="P126" s="259"/>
      <c r="Q126" s="235"/>
      <c r="R126" s="259"/>
      <c r="S126" s="259"/>
      <c r="T126" s="259"/>
    </row>
    <row r="127" spans="1:20" hidden="1">
      <c r="A127" s="150">
        <v>31</v>
      </c>
      <c r="B127" s="149" t="str">
        <f>B212</f>
        <v>MUSNI</v>
      </c>
      <c r="C127" s="158" t="str">
        <f>C212</f>
        <v>L</v>
      </c>
      <c r="D127" s="158" t="str">
        <f>D212</f>
        <v>K/0</v>
      </c>
      <c r="E127" s="158">
        <f>E212</f>
        <v>7</v>
      </c>
      <c r="F127" s="283">
        <f>S212</f>
        <v>0</v>
      </c>
      <c r="G127" s="283">
        <f t="shared" si="29"/>
        <v>0</v>
      </c>
      <c r="H127" s="252">
        <f>G127*5%</f>
        <v>0</v>
      </c>
      <c r="I127" s="284">
        <f>H127</f>
        <v>0</v>
      </c>
      <c r="J127" s="285">
        <f>[3]perbulan!W123</f>
        <v>166944</v>
      </c>
      <c r="K127" s="283">
        <f t="shared" si="32"/>
        <v>0</v>
      </c>
      <c r="L127" s="184"/>
      <c r="M127" s="292" t="s">
        <v>279</v>
      </c>
      <c r="N127" s="290" t="s">
        <v>337</v>
      </c>
      <c r="O127" s="291"/>
      <c r="P127" s="259"/>
      <c r="Q127" s="235"/>
      <c r="R127" s="259"/>
      <c r="S127" s="259"/>
      <c r="T127" s="259"/>
    </row>
    <row r="128" spans="1:20" hidden="1">
      <c r="A128" s="150">
        <v>32</v>
      </c>
      <c r="B128" s="149" t="str">
        <f>B35</f>
        <v>SAPARUDIN</v>
      </c>
      <c r="C128" s="158" t="str">
        <f>C35</f>
        <v>L</v>
      </c>
      <c r="D128" s="158" t="str">
        <f>D35</f>
        <v>K/2</v>
      </c>
      <c r="E128" s="158">
        <f>E35</f>
        <v>11</v>
      </c>
      <c r="F128" s="283">
        <f>S35</f>
        <v>0</v>
      </c>
      <c r="G128" s="283">
        <f t="shared" si="29"/>
        <v>0</v>
      </c>
      <c r="H128" s="252">
        <f>G128*5%</f>
        <v>0</v>
      </c>
      <c r="I128" s="284">
        <f>H128</f>
        <v>0</v>
      </c>
      <c r="J128" s="285">
        <f>[3]perbulan!W124</f>
        <v>525942</v>
      </c>
      <c r="K128" s="283">
        <f t="shared" si="32"/>
        <v>0</v>
      </c>
      <c r="L128" s="258"/>
      <c r="M128" s="296" t="s">
        <v>280</v>
      </c>
      <c r="N128" s="297" t="s">
        <v>338</v>
      </c>
      <c r="O128" s="185"/>
      <c r="P128" s="259"/>
      <c r="Q128" s="235"/>
      <c r="R128" s="259"/>
      <c r="S128" s="259"/>
      <c r="T128" s="259"/>
    </row>
    <row r="129" spans="1:20" hidden="1">
      <c r="A129" s="150">
        <v>33</v>
      </c>
      <c r="B129" s="149" t="str">
        <f t="shared" ref="B129:E130" si="36">B213</f>
        <v>ARPANDI</v>
      </c>
      <c r="C129" s="158" t="str">
        <f t="shared" si="36"/>
        <v>L</v>
      </c>
      <c r="D129" s="158" t="str">
        <f t="shared" si="36"/>
        <v>K/1</v>
      </c>
      <c r="E129" s="158">
        <f t="shared" si="36"/>
        <v>7</v>
      </c>
      <c r="F129" s="283">
        <f>S213</f>
        <v>0</v>
      </c>
      <c r="G129" s="283">
        <f t="shared" si="29"/>
        <v>0</v>
      </c>
      <c r="H129" s="252">
        <f t="shared" si="30"/>
        <v>0</v>
      </c>
      <c r="I129" s="284">
        <f t="shared" si="31"/>
        <v>0</v>
      </c>
      <c r="J129" s="285">
        <f>[3]perbulan!W125</f>
        <v>81946</v>
      </c>
      <c r="K129" s="283">
        <f t="shared" si="32"/>
        <v>0</v>
      </c>
      <c r="L129" s="258"/>
      <c r="M129" s="292" t="s">
        <v>281</v>
      </c>
      <c r="N129" s="290" t="s">
        <v>339</v>
      </c>
      <c r="O129" s="291"/>
      <c r="P129" s="259"/>
      <c r="Q129" s="235"/>
      <c r="R129" s="259"/>
      <c r="S129" s="259"/>
      <c r="T129" s="259"/>
    </row>
    <row r="130" spans="1:20" hidden="1">
      <c r="A130" s="150">
        <v>34</v>
      </c>
      <c r="B130" s="149" t="str">
        <f t="shared" si="36"/>
        <v>MASRI</v>
      </c>
      <c r="C130" s="158" t="str">
        <f t="shared" si="36"/>
        <v>L</v>
      </c>
      <c r="D130" s="158" t="str">
        <f t="shared" si="36"/>
        <v>K/1</v>
      </c>
      <c r="E130" s="158">
        <f t="shared" si="36"/>
        <v>7</v>
      </c>
      <c r="F130" s="283">
        <f>S214</f>
        <v>0</v>
      </c>
      <c r="G130" s="283">
        <f t="shared" si="29"/>
        <v>0</v>
      </c>
      <c r="H130" s="252">
        <f>G130*6%</f>
        <v>0</v>
      </c>
      <c r="I130" s="284">
        <f t="shared" si="31"/>
        <v>0</v>
      </c>
      <c r="J130" s="285">
        <f>[3]perbulan!W126</f>
        <v>83209</v>
      </c>
      <c r="K130" s="283">
        <f t="shared" si="32"/>
        <v>0</v>
      </c>
      <c r="L130" s="258"/>
      <c r="M130" s="158" t="s">
        <v>282</v>
      </c>
      <c r="N130" s="290" t="s">
        <v>340</v>
      </c>
      <c r="O130" s="291"/>
      <c r="P130" s="259"/>
      <c r="Q130" s="235"/>
      <c r="R130" s="259"/>
      <c r="S130" s="259"/>
      <c r="T130" s="259"/>
    </row>
    <row r="131" spans="1:20" hidden="1">
      <c r="A131" s="150">
        <v>35</v>
      </c>
      <c r="B131" s="149" t="str">
        <f t="shared" ref="B131:E132" si="37">B36</f>
        <v>SULTAN</v>
      </c>
      <c r="C131" s="158" t="str">
        <f t="shared" si="37"/>
        <v>L</v>
      </c>
      <c r="D131" s="158" t="str">
        <f t="shared" si="37"/>
        <v>K/2</v>
      </c>
      <c r="E131" s="158">
        <f t="shared" si="37"/>
        <v>11</v>
      </c>
      <c r="F131" s="283">
        <f>S36</f>
        <v>0</v>
      </c>
      <c r="G131" s="283">
        <f t="shared" si="29"/>
        <v>0</v>
      </c>
      <c r="H131" s="252">
        <f t="shared" ref="H131:H170" si="38">G131*6%</f>
        <v>0</v>
      </c>
      <c r="I131" s="284">
        <f t="shared" si="31"/>
        <v>0</v>
      </c>
      <c r="J131" s="285">
        <f>[3]perbulan!W127</f>
        <v>82987</v>
      </c>
      <c r="K131" s="283">
        <f t="shared" si="32"/>
        <v>0</v>
      </c>
      <c r="L131" s="258"/>
      <c r="M131" s="292" t="s">
        <v>283</v>
      </c>
      <c r="N131" s="290" t="s">
        <v>196</v>
      </c>
      <c r="O131" s="298"/>
      <c r="P131" s="259"/>
      <c r="Q131" s="235"/>
      <c r="R131" s="259"/>
      <c r="S131" s="259"/>
      <c r="T131" s="259"/>
    </row>
    <row r="132" spans="1:20" hidden="1">
      <c r="A132" s="150">
        <v>36</v>
      </c>
      <c r="B132" s="149" t="str">
        <f t="shared" si="37"/>
        <v>MANSUR</v>
      </c>
      <c r="C132" s="158" t="str">
        <f t="shared" si="37"/>
        <v>L</v>
      </c>
      <c r="D132" s="158" t="str">
        <f t="shared" si="37"/>
        <v>K/1</v>
      </c>
      <c r="E132" s="158">
        <f t="shared" si="37"/>
        <v>11</v>
      </c>
      <c r="F132" s="283">
        <f>S37</f>
        <v>0</v>
      </c>
      <c r="G132" s="283">
        <f t="shared" si="29"/>
        <v>0</v>
      </c>
      <c r="H132" s="252">
        <f t="shared" si="38"/>
        <v>0</v>
      </c>
      <c r="I132" s="284">
        <f t="shared" si="31"/>
        <v>0</v>
      </c>
      <c r="J132" s="285">
        <f>[3]perbulan!W128</f>
        <v>89109</v>
      </c>
      <c r="K132" s="283">
        <f t="shared" si="32"/>
        <v>0</v>
      </c>
      <c r="L132" s="258"/>
      <c r="M132" s="292" t="s">
        <v>284</v>
      </c>
      <c r="N132" s="290" t="s">
        <v>341</v>
      </c>
      <c r="O132" s="298"/>
      <c r="P132" s="259"/>
      <c r="Q132" s="235"/>
      <c r="R132" s="259"/>
      <c r="S132" s="259"/>
      <c r="T132" s="259"/>
    </row>
    <row r="133" spans="1:20" hidden="1">
      <c r="A133" s="150">
        <v>37</v>
      </c>
      <c r="B133" s="149" t="str">
        <f>B215</f>
        <v>HARDIANSYAH</v>
      </c>
      <c r="C133" s="158" t="str">
        <f>C215</f>
        <v>L</v>
      </c>
      <c r="D133" s="158" t="str">
        <f>D215</f>
        <v>K/2</v>
      </c>
      <c r="E133" s="158">
        <f>E215</f>
        <v>7</v>
      </c>
      <c r="F133" s="283">
        <f>S215</f>
        <v>0</v>
      </c>
      <c r="G133" s="283">
        <f t="shared" si="29"/>
        <v>0</v>
      </c>
      <c r="H133" s="252">
        <f t="shared" si="38"/>
        <v>0</v>
      </c>
      <c r="I133" s="284">
        <f t="shared" si="31"/>
        <v>0</v>
      </c>
      <c r="J133" s="285">
        <f>[3]perbulan!W129</f>
        <v>83105</v>
      </c>
      <c r="K133" s="283">
        <f t="shared" si="32"/>
        <v>0</v>
      </c>
      <c r="L133" s="258"/>
      <c r="M133" s="186" t="s">
        <v>285</v>
      </c>
      <c r="N133" s="290" t="s">
        <v>342</v>
      </c>
      <c r="O133" s="298"/>
      <c r="P133" s="259"/>
      <c r="Q133" s="235"/>
      <c r="R133" s="259"/>
      <c r="S133" s="259"/>
      <c r="T133" s="259"/>
    </row>
    <row r="134" spans="1:20" hidden="1">
      <c r="A134" s="150">
        <v>38</v>
      </c>
      <c r="B134" s="149" t="str">
        <f>B38</f>
        <v>RIDUAN</v>
      </c>
      <c r="C134" s="158" t="str">
        <f>C38</f>
        <v>L</v>
      </c>
      <c r="D134" s="158" t="str">
        <f>D38</f>
        <v>K/1</v>
      </c>
      <c r="E134" s="158">
        <f>E38</f>
        <v>11</v>
      </c>
      <c r="F134" s="283">
        <f>S38</f>
        <v>0</v>
      </c>
      <c r="G134" s="283">
        <f t="shared" si="29"/>
        <v>0</v>
      </c>
      <c r="H134" s="252">
        <f t="shared" si="38"/>
        <v>0</v>
      </c>
      <c r="I134" s="284">
        <f t="shared" si="31"/>
        <v>0</v>
      </c>
      <c r="J134" s="285">
        <f>[3]perbulan!W130</f>
        <v>82768</v>
      </c>
      <c r="K134" s="283">
        <f t="shared" si="32"/>
        <v>0</v>
      </c>
      <c r="L134" s="258"/>
      <c r="M134" s="299" t="s">
        <v>286</v>
      </c>
      <c r="N134" s="290" t="s">
        <v>343</v>
      </c>
      <c r="O134" s="298"/>
      <c r="P134" s="259"/>
      <c r="Q134" s="235"/>
      <c r="R134" s="259"/>
      <c r="S134" s="259"/>
      <c r="T134" s="259"/>
    </row>
    <row r="135" spans="1:20" hidden="1">
      <c r="A135" s="150">
        <v>39</v>
      </c>
      <c r="B135" s="149" t="str">
        <f>B211</f>
        <v>SUNARDI</v>
      </c>
      <c r="C135" s="158" t="str">
        <f>C211</f>
        <v>L</v>
      </c>
      <c r="D135" s="158" t="str">
        <f>D211</f>
        <v>K/2</v>
      </c>
      <c r="E135" s="158">
        <f>E211</f>
        <v>6</v>
      </c>
      <c r="F135" s="283">
        <f>S211</f>
        <v>0</v>
      </c>
      <c r="G135" s="283">
        <f t="shared" si="29"/>
        <v>0</v>
      </c>
      <c r="H135" s="252">
        <f t="shared" si="38"/>
        <v>0</v>
      </c>
      <c r="I135" s="284">
        <f t="shared" si="31"/>
        <v>0</v>
      </c>
      <c r="J135" s="285">
        <f>[3]perbulan!W131</f>
        <v>85266</v>
      </c>
      <c r="K135" s="283">
        <f t="shared" si="32"/>
        <v>0</v>
      </c>
      <c r="L135" s="258"/>
      <c r="M135" s="186" t="s">
        <v>287</v>
      </c>
      <c r="N135" s="290" t="s">
        <v>344</v>
      </c>
      <c r="O135" s="298"/>
      <c r="P135" s="259"/>
      <c r="Q135" s="235"/>
      <c r="R135" s="259"/>
      <c r="S135" s="259"/>
      <c r="T135" s="259"/>
    </row>
    <row r="136" spans="1:20" hidden="1">
      <c r="A136" s="150">
        <v>40</v>
      </c>
      <c r="B136" s="149" t="str">
        <f t="shared" ref="B136:E139" si="39">B39</f>
        <v>SONJA PRIYOGA</v>
      </c>
      <c r="C136" s="158" t="str">
        <f t="shared" si="39"/>
        <v>L</v>
      </c>
      <c r="D136" s="158" t="str">
        <f t="shared" si="39"/>
        <v>K/1</v>
      </c>
      <c r="E136" s="158">
        <f t="shared" si="39"/>
        <v>11</v>
      </c>
      <c r="F136" s="283">
        <f>S39</f>
        <v>0</v>
      </c>
      <c r="G136" s="283">
        <f t="shared" si="29"/>
        <v>0</v>
      </c>
      <c r="H136" s="252">
        <f t="shared" si="38"/>
        <v>0</v>
      </c>
      <c r="I136" s="284">
        <f t="shared" si="31"/>
        <v>0</v>
      </c>
      <c r="J136" s="285">
        <f>[3]perbulan!W132</f>
        <v>140496</v>
      </c>
      <c r="K136" s="283">
        <f t="shared" si="32"/>
        <v>0</v>
      </c>
      <c r="L136" s="258"/>
      <c r="M136" s="186" t="s">
        <v>288</v>
      </c>
      <c r="N136" s="290" t="s">
        <v>345</v>
      </c>
      <c r="O136" s="298"/>
      <c r="P136" s="259"/>
      <c r="Q136" s="235"/>
      <c r="R136" s="259"/>
      <c r="S136" s="259"/>
      <c r="T136" s="259"/>
    </row>
    <row r="137" spans="1:20" hidden="1">
      <c r="A137" s="150">
        <v>41</v>
      </c>
      <c r="B137" s="149" t="str">
        <f t="shared" si="39"/>
        <v>M.FAUZI</v>
      </c>
      <c r="C137" s="158" t="str">
        <f t="shared" si="39"/>
        <v>L</v>
      </c>
      <c r="D137" s="158" t="str">
        <f t="shared" si="39"/>
        <v>TK/0</v>
      </c>
      <c r="E137" s="158">
        <f t="shared" si="39"/>
        <v>3</v>
      </c>
      <c r="F137" s="283">
        <f>S40</f>
        <v>0</v>
      </c>
      <c r="G137" s="283">
        <f t="shared" si="29"/>
        <v>0</v>
      </c>
      <c r="H137" s="252">
        <f t="shared" si="38"/>
        <v>0</v>
      </c>
      <c r="I137" s="284">
        <f t="shared" si="31"/>
        <v>0</v>
      </c>
      <c r="J137" s="285">
        <f>[3]perbulan!W133</f>
        <v>82979</v>
      </c>
      <c r="K137" s="283">
        <f t="shared" si="32"/>
        <v>0</v>
      </c>
      <c r="L137" s="258"/>
      <c r="M137" s="186" t="s">
        <v>289</v>
      </c>
      <c r="N137" s="290" t="s">
        <v>195</v>
      </c>
      <c r="O137" s="298"/>
      <c r="P137" s="259"/>
      <c r="Q137" s="235"/>
      <c r="R137" s="259"/>
      <c r="S137" s="259"/>
      <c r="T137" s="259"/>
    </row>
    <row r="138" spans="1:20" hidden="1">
      <c r="A138" s="150">
        <v>42</v>
      </c>
      <c r="B138" s="149" t="str">
        <f t="shared" si="39"/>
        <v>DANI</v>
      </c>
      <c r="C138" s="158" t="str">
        <f t="shared" si="39"/>
        <v>L</v>
      </c>
      <c r="D138" s="158" t="str">
        <f t="shared" si="39"/>
        <v>K/1</v>
      </c>
      <c r="E138" s="158">
        <f t="shared" si="39"/>
        <v>3</v>
      </c>
      <c r="F138" s="283">
        <f>S41</f>
        <v>0</v>
      </c>
      <c r="G138" s="283">
        <f t="shared" si="29"/>
        <v>0</v>
      </c>
      <c r="H138" s="252">
        <f t="shared" si="38"/>
        <v>0</v>
      </c>
      <c r="I138" s="284">
        <f t="shared" si="31"/>
        <v>0</v>
      </c>
      <c r="J138" s="285">
        <f>[3]perbulan!W134</f>
        <v>82363</v>
      </c>
      <c r="K138" s="283">
        <f t="shared" si="32"/>
        <v>0</v>
      </c>
      <c r="L138" s="258"/>
      <c r="M138" s="295" t="s">
        <v>290</v>
      </c>
      <c r="N138" s="290" t="s">
        <v>191</v>
      </c>
      <c r="O138" s="298"/>
      <c r="P138" s="259"/>
      <c r="Q138" s="235"/>
      <c r="R138" s="259"/>
      <c r="S138" s="259"/>
      <c r="T138" s="259"/>
    </row>
    <row r="139" spans="1:20" hidden="1">
      <c r="A139" s="150">
        <v>43</v>
      </c>
      <c r="B139" s="149" t="str">
        <f t="shared" si="39"/>
        <v>AHAP</v>
      </c>
      <c r="C139" s="158" t="str">
        <f t="shared" si="39"/>
        <v>L</v>
      </c>
      <c r="D139" s="158" t="str">
        <f t="shared" si="39"/>
        <v>K/1</v>
      </c>
      <c r="E139" s="158">
        <f t="shared" si="39"/>
        <v>11</v>
      </c>
      <c r="F139" s="283">
        <f>S42</f>
        <v>0</v>
      </c>
      <c r="G139" s="283">
        <f t="shared" si="29"/>
        <v>0</v>
      </c>
      <c r="H139" s="252">
        <f t="shared" si="38"/>
        <v>0</v>
      </c>
      <c r="I139" s="284">
        <f t="shared" si="31"/>
        <v>0</v>
      </c>
      <c r="J139" s="285">
        <f>[3]perbulan!W135</f>
        <v>79903</v>
      </c>
      <c r="K139" s="283">
        <f t="shared" si="32"/>
        <v>0</v>
      </c>
      <c r="L139" s="258"/>
      <c r="M139" s="295" t="s">
        <v>291</v>
      </c>
      <c r="N139" s="188" t="s">
        <v>191</v>
      </c>
      <c r="O139" s="300"/>
      <c r="P139" s="259"/>
      <c r="Q139" s="235"/>
      <c r="R139" s="259"/>
      <c r="S139" s="259"/>
      <c r="T139" s="259"/>
    </row>
    <row r="140" spans="1:20" hidden="1">
      <c r="A140" s="150">
        <v>44</v>
      </c>
      <c r="B140" s="149" t="str">
        <f>B216</f>
        <v>SALEH</v>
      </c>
      <c r="C140" s="158" t="str">
        <f>C216</f>
        <v>L</v>
      </c>
      <c r="D140" s="158" t="str">
        <f>D216</f>
        <v>K/0</v>
      </c>
      <c r="E140" s="158">
        <f>E216</f>
        <v>7</v>
      </c>
      <c r="F140" s="283">
        <f>S216</f>
        <v>0</v>
      </c>
      <c r="G140" s="283">
        <f t="shared" si="29"/>
        <v>0</v>
      </c>
      <c r="H140" s="252">
        <f t="shared" si="38"/>
        <v>0</v>
      </c>
      <c r="I140" s="284">
        <f t="shared" si="31"/>
        <v>0</v>
      </c>
      <c r="J140" s="285">
        <f>[3]perbulan!W136</f>
        <v>82025</v>
      </c>
      <c r="K140" s="283">
        <f t="shared" si="32"/>
        <v>0</v>
      </c>
      <c r="L140" s="258"/>
      <c r="M140" s="295" t="s">
        <v>292</v>
      </c>
      <c r="N140" s="188" t="s">
        <v>346</v>
      </c>
      <c r="O140" s="300"/>
      <c r="P140" s="259"/>
      <c r="Q140" s="235"/>
      <c r="R140" s="259"/>
      <c r="S140" s="259"/>
      <c r="T140" s="259"/>
    </row>
    <row r="141" spans="1:20" hidden="1">
      <c r="A141" s="150">
        <v>45</v>
      </c>
      <c r="B141" s="149" t="str">
        <f t="shared" ref="B141:E146" si="40">B43</f>
        <v>IHSAN</v>
      </c>
      <c r="C141" s="158" t="str">
        <f t="shared" si="40"/>
        <v>L</v>
      </c>
      <c r="D141" s="158" t="str">
        <f t="shared" si="40"/>
        <v>TK/0</v>
      </c>
      <c r="E141" s="158">
        <f t="shared" si="40"/>
        <v>11</v>
      </c>
      <c r="F141" s="283">
        <f t="shared" ref="F141:F146" si="41">S43</f>
        <v>2791634.5500000045</v>
      </c>
      <c r="G141" s="283">
        <f t="shared" si="29"/>
        <v>2791000</v>
      </c>
      <c r="H141" s="252">
        <f t="shared" si="38"/>
        <v>167460</v>
      </c>
      <c r="I141" s="284">
        <f t="shared" si="31"/>
        <v>167460</v>
      </c>
      <c r="J141" s="285">
        <f>[3]perbulan!W137</f>
        <v>82068</v>
      </c>
      <c r="K141" s="283">
        <f t="shared" si="32"/>
        <v>85392</v>
      </c>
      <c r="L141" s="258"/>
      <c r="M141" s="295" t="s">
        <v>293</v>
      </c>
      <c r="N141" s="188" t="s">
        <v>347</v>
      </c>
      <c r="O141" s="300"/>
      <c r="P141" s="259"/>
      <c r="Q141" s="235"/>
      <c r="R141" s="259"/>
      <c r="S141" s="259"/>
      <c r="T141" s="259"/>
    </row>
    <row r="142" spans="1:20" hidden="1">
      <c r="A142" s="150">
        <v>46</v>
      </c>
      <c r="B142" s="149" t="str">
        <f t="shared" si="40"/>
        <v>BAGUSTIN</v>
      </c>
      <c r="C142" s="158" t="str">
        <f t="shared" si="40"/>
        <v>L</v>
      </c>
      <c r="D142" s="158" t="str">
        <f t="shared" si="40"/>
        <v>TK/0</v>
      </c>
      <c r="E142" s="158">
        <f t="shared" si="40"/>
        <v>3</v>
      </c>
      <c r="F142" s="283">
        <f t="shared" si="41"/>
        <v>0</v>
      </c>
      <c r="G142" s="283">
        <f t="shared" si="29"/>
        <v>0</v>
      </c>
      <c r="H142" s="252">
        <f t="shared" si="38"/>
        <v>0</v>
      </c>
      <c r="I142" s="284">
        <f t="shared" si="31"/>
        <v>0</v>
      </c>
      <c r="J142" s="285">
        <f>[3]perbulan!W138</f>
        <v>152969</v>
      </c>
      <c r="K142" s="283">
        <f t="shared" si="32"/>
        <v>0</v>
      </c>
      <c r="L142" s="258"/>
      <c r="M142" s="186" t="s">
        <v>294</v>
      </c>
      <c r="N142" s="188" t="s">
        <v>348</v>
      </c>
      <c r="O142" s="300"/>
      <c r="P142" s="259"/>
      <c r="Q142" s="235"/>
      <c r="R142" s="259"/>
      <c r="S142" s="259"/>
      <c r="T142" s="259"/>
    </row>
    <row r="143" spans="1:20" hidden="1">
      <c r="A143" s="150">
        <v>47</v>
      </c>
      <c r="B143" s="149" t="str">
        <f t="shared" si="40"/>
        <v>HELDI SAPUTRA</v>
      </c>
      <c r="C143" s="158" t="str">
        <f t="shared" si="40"/>
        <v>L</v>
      </c>
      <c r="D143" s="158" t="str">
        <f t="shared" si="40"/>
        <v>K/2</v>
      </c>
      <c r="E143" s="158">
        <f t="shared" si="40"/>
        <v>3</v>
      </c>
      <c r="F143" s="283">
        <f t="shared" si="41"/>
        <v>0</v>
      </c>
      <c r="G143" s="283">
        <f t="shared" si="29"/>
        <v>0</v>
      </c>
      <c r="H143" s="252">
        <f t="shared" si="38"/>
        <v>0</v>
      </c>
      <c r="I143" s="284">
        <f t="shared" si="31"/>
        <v>0</v>
      </c>
      <c r="J143" s="285">
        <f>[3]perbulan!W139</f>
        <v>86765</v>
      </c>
      <c r="K143" s="283">
        <f t="shared" si="32"/>
        <v>0</v>
      </c>
      <c r="L143" s="258"/>
      <c r="M143" s="186" t="s">
        <v>295</v>
      </c>
      <c r="N143" s="290" t="s">
        <v>349</v>
      </c>
      <c r="O143" s="298"/>
      <c r="P143" s="259"/>
      <c r="Q143" s="235"/>
      <c r="R143" s="259"/>
      <c r="S143" s="259"/>
      <c r="T143" s="259"/>
    </row>
    <row r="144" spans="1:20" hidden="1">
      <c r="A144" s="150">
        <v>48</v>
      </c>
      <c r="B144" s="149" t="str">
        <f t="shared" si="40"/>
        <v>HARTONO</v>
      </c>
      <c r="C144" s="158" t="str">
        <f t="shared" si="40"/>
        <v>L</v>
      </c>
      <c r="D144" s="158" t="str">
        <f t="shared" si="40"/>
        <v>TK/0</v>
      </c>
      <c r="E144" s="158">
        <f t="shared" si="40"/>
        <v>3</v>
      </c>
      <c r="F144" s="283">
        <f t="shared" si="41"/>
        <v>0</v>
      </c>
      <c r="G144" s="283">
        <f t="shared" si="29"/>
        <v>0</v>
      </c>
      <c r="H144" s="252">
        <f t="shared" si="38"/>
        <v>0</v>
      </c>
      <c r="I144" s="284">
        <f t="shared" si="31"/>
        <v>0</v>
      </c>
      <c r="J144" s="285">
        <f>[3]perbulan!W140</f>
        <v>172087</v>
      </c>
      <c r="K144" s="283">
        <f t="shared" si="32"/>
        <v>0</v>
      </c>
      <c r="L144" s="258"/>
      <c r="M144" s="186" t="s">
        <v>296</v>
      </c>
      <c r="N144" s="187" t="s">
        <v>350</v>
      </c>
      <c r="O144" s="301"/>
      <c r="P144" s="259"/>
      <c r="Q144" s="235"/>
      <c r="R144" s="259"/>
      <c r="S144" s="259"/>
      <c r="T144" s="259"/>
    </row>
    <row r="145" spans="1:22" hidden="1">
      <c r="A145" s="150">
        <v>49</v>
      </c>
      <c r="B145" s="149" t="str">
        <f t="shared" si="40"/>
        <v>QISTAHAM</v>
      </c>
      <c r="C145" s="158" t="str">
        <f t="shared" si="40"/>
        <v>L</v>
      </c>
      <c r="D145" s="158" t="str">
        <f t="shared" si="40"/>
        <v>K/3</v>
      </c>
      <c r="E145" s="158">
        <f t="shared" si="40"/>
        <v>11</v>
      </c>
      <c r="F145" s="283">
        <f t="shared" si="41"/>
        <v>17734432.100000009</v>
      </c>
      <c r="G145" s="283">
        <f t="shared" si="29"/>
        <v>17734000</v>
      </c>
      <c r="H145" s="252">
        <f t="shared" si="38"/>
        <v>1064040</v>
      </c>
      <c r="I145" s="284">
        <f t="shared" si="31"/>
        <v>1064040</v>
      </c>
      <c r="J145" s="285">
        <f>[3]perbulan!W141</f>
        <v>87598</v>
      </c>
      <c r="K145" s="283">
        <f t="shared" si="32"/>
        <v>976442</v>
      </c>
      <c r="L145" s="183"/>
      <c r="M145" s="186" t="s">
        <v>297</v>
      </c>
      <c r="N145" s="187" t="s">
        <v>351</v>
      </c>
      <c r="O145" s="301"/>
      <c r="P145" s="259"/>
      <c r="Q145" s="235"/>
      <c r="R145" s="259"/>
      <c r="S145" s="259"/>
      <c r="T145" s="259"/>
    </row>
    <row r="146" spans="1:22" hidden="1">
      <c r="A146" s="150">
        <v>50</v>
      </c>
      <c r="B146" s="149" t="str">
        <f t="shared" si="40"/>
        <v>JAYADI</v>
      </c>
      <c r="C146" s="158" t="str">
        <f t="shared" si="40"/>
        <v>L</v>
      </c>
      <c r="D146" s="158" t="str">
        <f t="shared" si="40"/>
        <v>K/2</v>
      </c>
      <c r="E146" s="158">
        <f t="shared" si="40"/>
        <v>11</v>
      </c>
      <c r="F146" s="283">
        <f t="shared" si="41"/>
        <v>0</v>
      </c>
      <c r="G146" s="283">
        <f t="shared" si="29"/>
        <v>0</v>
      </c>
      <c r="H146" s="252">
        <f t="shared" si="38"/>
        <v>0</v>
      </c>
      <c r="I146" s="284">
        <f t="shared" si="31"/>
        <v>0</v>
      </c>
      <c r="J146" s="285">
        <f>[3]perbulan!W142</f>
        <v>327563</v>
      </c>
      <c r="K146" s="283">
        <f t="shared" si="32"/>
        <v>0</v>
      </c>
      <c r="L146" s="258"/>
      <c r="M146" s="295" t="s">
        <v>298</v>
      </c>
      <c r="N146" s="290" t="s">
        <v>352</v>
      </c>
      <c r="O146" s="291"/>
      <c r="P146" s="259"/>
      <c r="Q146" s="235"/>
      <c r="R146" s="259"/>
      <c r="S146" s="259"/>
      <c r="T146" s="259"/>
    </row>
    <row r="147" spans="1:22" hidden="1">
      <c r="A147" s="150">
        <v>51</v>
      </c>
      <c r="B147" s="149" t="str">
        <f>B217</f>
        <v>JUFRI</v>
      </c>
      <c r="C147" s="158" t="str">
        <f>C217</f>
        <v>L</v>
      </c>
      <c r="D147" s="158" t="str">
        <f>D217</f>
        <v>K/2</v>
      </c>
      <c r="E147" s="158">
        <f>E217</f>
        <v>7</v>
      </c>
      <c r="F147" s="283">
        <f>S217</f>
        <v>0</v>
      </c>
      <c r="G147" s="283">
        <f t="shared" si="29"/>
        <v>0</v>
      </c>
      <c r="H147" s="252">
        <f t="shared" si="38"/>
        <v>0</v>
      </c>
      <c r="I147" s="284">
        <f t="shared" si="31"/>
        <v>0</v>
      </c>
      <c r="J147" s="285">
        <f>[3]perbulan!W143</f>
        <v>82811</v>
      </c>
      <c r="K147" s="283">
        <f t="shared" si="32"/>
        <v>0</v>
      </c>
      <c r="L147" s="258"/>
      <c r="M147" s="295" t="s">
        <v>299</v>
      </c>
      <c r="N147" s="290" t="s">
        <v>353</v>
      </c>
      <c r="O147" s="291"/>
      <c r="P147" s="259"/>
      <c r="Q147" s="235"/>
      <c r="R147" s="259"/>
      <c r="S147" s="259"/>
      <c r="T147" s="259"/>
    </row>
    <row r="148" spans="1:22" hidden="1">
      <c r="A148" s="150">
        <v>52</v>
      </c>
      <c r="B148" s="149" t="str">
        <f>B49</f>
        <v>MUHAMAD AMIN</v>
      </c>
      <c r="C148" s="158" t="str">
        <f>C49</f>
        <v>L</v>
      </c>
      <c r="D148" s="158" t="str">
        <f>D49</f>
        <v>K/3</v>
      </c>
      <c r="E148" s="158">
        <f>E49</f>
        <v>11</v>
      </c>
      <c r="F148" s="283">
        <f>S49</f>
        <v>0</v>
      </c>
      <c r="G148" s="283">
        <f t="shared" si="29"/>
        <v>0</v>
      </c>
      <c r="H148" s="252">
        <f t="shared" si="38"/>
        <v>0</v>
      </c>
      <c r="I148" s="284">
        <f t="shared" si="31"/>
        <v>0</v>
      </c>
      <c r="J148" s="285">
        <f>[3]perbulan!W144</f>
        <v>85466</v>
      </c>
      <c r="K148" s="283">
        <f t="shared" si="32"/>
        <v>0</v>
      </c>
      <c r="L148" s="258"/>
      <c r="M148" s="302" t="s">
        <v>300</v>
      </c>
      <c r="N148" s="290" t="s">
        <v>354</v>
      </c>
      <c r="O148" s="291"/>
      <c r="P148" s="259"/>
      <c r="Q148" s="235"/>
      <c r="R148" s="259"/>
      <c r="S148" s="259"/>
      <c r="T148" s="259"/>
    </row>
    <row r="149" spans="1:22" hidden="1">
      <c r="A149" s="150">
        <v>53</v>
      </c>
      <c r="B149" s="149" t="str">
        <f>B218</f>
        <v>ZAMALUDIN</v>
      </c>
      <c r="C149" s="158" t="str">
        <f>C218</f>
        <v>L</v>
      </c>
      <c r="D149" s="158" t="str">
        <f>D218</f>
        <v>K/1</v>
      </c>
      <c r="E149" s="158">
        <f>E218</f>
        <v>7</v>
      </c>
      <c r="F149" s="283">
        <f>S218</f>
        <v>0</v>
      </c>
      <c r="G149" s="283">
        <f t="shared" si="29"/>
        <v>0</v>
      </c>
      <c r="H149" s="252">
        <f t="shared" si="38"/>
        <v>0</v>
      </c>
      <c r="I149" s="284">
        <f t="shared" si="31"/>
        <v>0</v>
      </c>
      <c r="J149" s="285">
        <f>[3]perbulan!W145</f>
        <v>75302</v>
      </c>
      <c r="K149" s="283">
        <f t="shared" si="32"/>
        <v>0</v>
      </c>
      <c r="L149" s="258"/>
      <c r="M149" s="302" t="s">
        <v>301</v>
      </c>
      <c r="N149" s="290" t="s">
        <v>355</v>
      </c>
      <c r="O149" s="291"/>
      <c r="P149" s="259"/>
      <c r="Q149" s="235"/>
      <c r="R149" s="259"/>
      <c r="S149" s="259"/>
      <c r="T149" s="259"/>
    </row>
    <row r="150" spans="1:22" hidden="1">
      <c r="A150" s="150">
        <v>54</v>
      </c>
      <c r="B150" s="149" t="str">
        <f t="shared" ref="B150:E157" si="42">B50</f>
        <v>SAMSUL HADI</v>
      </c>
      <c r="C150" s="158" t="str">
        <f t="shared" si="42"/>
        <v>L</v>
      </c>
      <c r="D150" s="158" t="str">
        <f t="shared" si="42"/>
        <v>K/2</v>
      </c>
      <c r="E150" s="158">
        <f t="shared" si="42"/>
        <v>11</v>
      </c>
      <c r="F150" s="283">
        <f t="shared" ref="F150:F157" si="43">S50</f>
        <v>19600118.000000015</v>
      </c>
      <c r="G150" s="283">
        <f t="shared" si="29"/>
        <v>19600000</v>
      </c>
      <c r="H150" s="252">
        <f t="shared" si="38"/>
        <v>1176000</v>
      </c>
      <c r="I150" s="284">
        <f t="shared" si="31"/>
        <v>1176000</v>
      </c>
      <c r="J150" s="285">
        <f>[3]perbulan!W146</f>
        <v>84777</v>
      </c>
      <c r="K150" s="283">
        <f t="shared" si="32"/>
        <v>1091223</v>
      </c>
      <c r="L150" s="258"/>
      <c r="M150" s="302" t="s">
        <v>302</v>
      </c>
      <c r="N150" s="290" t="s">
        <v>354</v>
      </c>
      <c r="O150" s="291"/>
      <c r="P150" s="259"/>
      <c r="Q150" s="235"/>
      <c r="R150" s="259"/>
      <c r="S150" s="259"/>
      <c r="T150" s="259"/>
    </row>
    <row r="151" spans="1:22" hidden="1">
      <c r="A151" s="150">
        <v>55</v>
      </c>
      <c r="B151" s="149" t="str">
        <f t="shared" si="42"/>
        <v>SAPARUDIN</v>
      </c>
      <c r="C151" s="158" t="str">
        <f t="shared" si="42"/>
        <v>L</v>
      </c>
      <c r="D151" s="158" t="str">
        <f t="shared" si="42"/>
        <v>K/3</v>
      </c>
      <c r="E151" s="158">
        <f t="shared" si="42"/>
        <v>11</v>
      </c>
      <c r="F151" s="283">
        <f t="shared" si="43"/>
        <v>0</v>
      </c>
      <c r="G151" s="283">
        <f t="shared" si="29"/>
        <v>0</v>
      </c>
      <c r="H151" s="252">
        <f t="shared" si="38"/>
        <v>0</v>
      </c>
      <c r="I151" s="284">
        <f t="shared" si="31"/>
        <v>0</v>
      </c>
      <c r="J151" s="285">
        <f>[3]perbulan!W147</f>
        <v>42384</v>
      </c>
      <c r="K151" s="283">
        <f t="shared" si="32"/>
        <v>0</v>
      </c>
      <c r="L151" s="258"/>
      <c r="M151" s="302" t="s">
        <v>303</v>
      </c>
      <c r="N151" s="290" t="s">
        <v>354</v>
      </c>
      <c r="O151" s="291"/>
      <c r="P151" s="259"/>
      <c r="Q151" s="235"/>
      <c r="R151" s="259"/>
      <c r="S151" s="259"/>
      <c r="T151" s="259"/>
    </row>
    <row r="152" spans="1:22" hidden="1">
      <c r="A152" s="150">
        <v>56</v>
      </c>
      <c r="B152" s="149" t="str">
        <f t="shared" si="42"/>
        <v>MUHAMAD FAUZI</v>
      </c>
      <c r="C152" s="158" t="str">
        <f t="shared" si="42"/>
        <v>L</v>
      </c>
      <c r="D152" s="158" t="str">
        <f t="shared" si="42"/>
        <v>TK/0</v>
      </c>
      <c r="E152" s="158">
        <f t="shared" si="42"/>
        <v>3</v>
      </c>
      <c r="F152" s="283">
        <f t="shared" si="43"/>
        <v>0</v>
      </c>
      <c r="G152" s="283">
        <f t="shared" si="29"/>
        <v>0</v>
      </c>
      <c r="H152" s="252">
        <f t="shared" si="38"/>
        <v>0</v>
      </c>
      <c r="I152" s="284">
        <f t="shared" si="31"/>
        <v>0</v>
      </c>
      <c r="J152" s="285">
        <f>[3]perbulan!W148</f>
        <v>27185</v>
      </c>
      <c r="K152" s="283">
        <f t="shared" si="32"/>
        <v>0</v>
      </c>
      <c r="L152" s="258"/>
      <c r="M152" s="292" t="s">
        <v>304</v>
      </c>
      <c r="N152" s="188" t="s">
        <v>354</v>
      </c>
      <c r="O152" s="303"/>
      <c r="P152" s="259"/>
      <c r="Q152" s="235"/>
      <c r="R152" s="193"/>
      <c r="S152" s="259"/>
      <c r="T152" s="259"/>
    </row>
    <row r="153" spans="1:22" hidden="1">
      <c r="A153" s="150">
        <v>57</v>
      </c>
      <c r="B153" s="149" t="str">
        <f t="shared" si="42"/>
        <v>MAHYUDIN</v>
      </c>
      <c r="C153" s="158" t="str">
        <f t="shared" si="42"/>
        <v>L</v>
      </c>
      <c r="D153" s="158" t="str">
        <f t="shared" si="42"/>
        <v>K/1</v>
      </c>
      <c r="E153" s="158">
        <f t="shared" si="42"/>
        <v>3</v>
      </c>
      <c r="F153" s="283">
        <f t="shared" si="43"/>
        <v>0</v>
      </c>
      <c r="G153" s="283">
        <f t="shared" si="29"/>
        <v>0</v>
      </c>
      <c r="H153" s="252">
        <f t="shared" si="38"/>
        <v>0</v>
      </c>
      <c r="I153" s="284">
        <f t="shared" si="31"/>
        <v>0</v>
      </c>
      <c r="J153" s="285">
        <f>[3]perbulan!W149</f>
        <v>0</v>
      </c>
      <c r="K153" s="283">
        <f t="shared" si="32"/>
        <v>0</v>
      </c>
      <c r="L153" s="258"/>
      <c r="M153" s="292" t="s">
        <v>305</v>
      </c>
      <c r="N153" s="290" t="s">
        <v>354</v>
      </c>
      <c r="O153" s="291"/>
      <c r="Q153" s="235"/>
      <c r="R153" s="193"/>
      <c r="U153" s="266"/>
      <c r="V153" s="266"/>
    </row>
    <row r="154" spans="1:22" hidden="1">
      <c r="A154" s="150">
        <v>58</v>
      </c>
      <c r="B154" s="149" t="str">
        <f t="shared" si="42"/>
        <v>ASRI</v>
      </c>
      <c r="C154" s="158" t="str">
        <f t="shared" si="42"/>
        <v>L</v>
      </c>
      <c r="D154" s="158" t="str">
        <f t="shared" si="42"/>
        <v>TK/0</v>
      </c>
      <c r="E154" s="158">
        <f t="shared" si="42"/>
        <v>9</v>
      </c>
      <c r="F154" s="283">
        <f t="shared" si="43"/>
        <v>0</v>
      </c>
      <c r="G154" s="283">
        <f t="shared" si="29"/>
        <v>0</v>
      </c>
      <c r="H154" s="252">
        <f t="shared" si="38"/>
        <v>0</v>
      </c>
      <c r="I154" s="284">
        <f t="shared" si="31"/>
        <v>0</v>
      </c>
      <c r="J154" s="285">
        <f>[3]perbulan!W150</f>
        <v>0</v>
      </c>
      <c r="K154" s="283">
        <f t="shared" si="32"/>
        <v>0</v>
      </c>
      <c r="L154" s="258"/>
      <c r="M154" s="292" t="s">
        <v>306</v>
      </c>
      <c r="N154" s="290" t="s">
        <v>356</v>
      </c>
      <c r="O154" s="291"/>
      <c r="Q154" s="235"/>
      <c r="R154" s="193"/>
      <c r="S154" s="259" t="str">
        <f>UPPER(Q175)</f>
        <v/>
      </c>
    </row>
    <row r="155" spans="1:22" hidden="1">
      <c r="A155" s="150">
        <v>59</v>
      </c>
      <c r="B155" s="149" t="str">
        <f t="shared" si="42"/>
        <v>RUSDIANTO</v>
      </c>
      <c r="C155" s="158" t="str">
        <f t="shared" si="42"/>
        <v>L</v>
      </c>
      <c r="D155" s="158" t="str">
        <f t="shared" si="42"/>
        <v>K/2</v>
      </c>
      <c r="E155" s="158">
        <f t="shared" si="42"/>
        <v>1</v>
      </c>
      <c r="F155" s="283">
        <f t="shared" si="43"/>
        <v>0</v>
      </c>
      <c r="G155" s="283">
        <f t="shared" si="29"/>
        <v>0</v>
      </c>
      <c r="H155" s="252">
        <f t="shared" si="38"/>
        <v>0</v>
      </c>
      <c r="I155" s="284">
        <f t="shared" si="31"/>
        <v>0</v>
      </c>
      <c r="J155" s="285">
        <f>[3]perbulan!W151</f>
        <v>0</v>
      </c>
      <c r="K155" s="283">
        <f t="shared" si="32"/>
        <v>0</v>
      </c>
      <c r="L155" s="258"/>
      <c r="M155" s="292" t="s">
        <v>307</v>
      </c>
      <c r="N155" s="290" t="s">
        <v>357</v>
      </c>
      <c r="O155" s="291"/>
      <c r="Q155" s="235"/>
      <c r="R155" s="193"/>
    </row>
    <row r="156" spans="1:22" hidden="1">
      <c r="A156" s="150">
        <v>60</v>
      </c>
      <c r="B156" s="149" t="str">
        <f t="shared" si="42"/>
        <v>LALU MUHAMAD HADI</v>
      </c>
      <c r="C156" s="158" t="str">
        <f t="shared" si="42"/>
        <v>L</v>
      </c>
      <c r="D156" s="158" t="str">
        <f t="shared" si="42"/>
        <v>K/0</v>
      </c>
      <c r="E156" s="158">
        <f t="shared" si="42"/>
        <v>1</v>
      </c>
      <c r="F156" s="283">
        <f t="shared" si="43"/>
        <v>0</v>
      </c>
      <c r="G156" s="283">
        <f t="shared" si="29"/>
        <v>0</v>
      </c>
      <c r="H156" s="252">
        <f t="shared" si="38"/>
        <v>0</v>
      </c>
      <c r="I156" s="284">
        <f t="shared" si="31"/>
        <v>0</v>
      </c>
      <c r="J156" s="285">
        <f>[3]perbulan!W152</f>
        <v>0</v>
      </c>
      <c r="K156" s="283">
        <f t="shared" si="32"/>
        <v>0</v>
      </c>
      <c r="L156" s="258"/>
      <c r="M156" s="304" t="s">
        <v>308</v>
      </c>
      <c r="N156" s="290" t="s">
        <v>358</v>
      </c>
      <c r="O156" s="291"/>
      <c r="Q156" s="235"/>
      <c r="R156" s="193"/>
    </row>
    <row r="157" spans="1:22" hidden="1">
      <c r="A157" s="150">
        <v>61</v>
      </c>
      <c r="B157" s="149" t="str">
        <f t="shared" si="42"/>
        <v>RIJAL</v>
      </c>
      <c r="C157" s="158" t="str">
        <f t="shared" si="42"/>
        <v>L</v>
      </c>
      <c r="D157" s="158" t="str">
        <f t="shared" si="42"/>
        <v>K/1</v>
      </c>
      <c r="E157" s="158">
        <f t="shared" si="42"/>
        <v>11</v>
      </c>
      <c r="F157" s="283">
        <f t="shared" si="43"/>
        <v>0</v>
      </c>
      <c r="G157" s="283">
        <f t="shared" si="29"/>
        <v>0</v>
      </c>
      <c r="H157" s="252">
        <f t="shared" si="38"/>
        <v>0</v>
      </c>
      <c r="I157" s="284">
        <f t="shared" si="31"/>
        <v>0</v>
      </c>
      <c r="J157" s="285">
        <f>[3]perbulan!W153</f>
        <v>122181</v>
      </c>
      <c r="K157" s="283">
        <f t="shared" si="32"/>
        <v>0</v>
      </c>
      <c r="L157" s="258"/>
      <c r="M157" s="304" t="s">
        <v>309</v>
      </c>
      <c r="N157" s="290" t="s">
        <v>359</v>
      </c>
      <c r="O157" s="291"/>
      <c r="Q157" s="235"/>
      <c r="R157" s="193"/>
    </row>
    <row r="158" spans="1:22" hidden="1">
      <c r="A158" s="150">
        <v>62</v>
      </c>
      <c r="B158" s="149" t="str">
        <f>B210</f>
        <v>EDI ZULKARNADI</v>
      </c>
      <c r="C158" s="158" t="str">
        <f>C210</f>
        <v>L</v>
      </c>
      <c r="D158" s="158" t="str">
        <f>D210</f>
        <v>K/1</v>
      </c>
      <c r="E158" s="158">
        <f>E210</f>
        <v>6</v>
      </c>
      <c r="F158" s="283">
        <f>S210</f>
        <v>0</v>
      </c>
      <c r="G158" s="283">
        <f t="shared" si="29"/>
        <v>0</v>
      </c>
      <c r="H158" s="252">
        <f t="shared" si="38"/>
        <v>0</v>
      </c>
      <c r="I158" s="284">
        <f t="shared" si="31"/>
        <v>0</v>
      </c>
      <c r="J158" s="285">
        <f>[3]perbulan!W154</f>
        <v>120007</v>
      </c>
      <c r="K158" s="283">
        <f t="shared" si="32"/>
        <v>0</v>
      </c>
      <c r="L158" s="258"/>
      <c r="M158" s="304" t="s">
        <v>310</v>
      </c>
      <c r="N158" s="290" t="s">
        <v>354</v>
      </c>
      <c r="O158" s="291"/>
      <c r="Q158" s="168"/>
      <c r="R158" s="193"/>
    </row>
    <row r="159" spans="1:22" hidden="1">
      <c r="A159" s="150">
        <v>63</v>
      </c>
      <c r="B159" s="149" t="str">
        <f t="shared" ref="B159:E172" si="44">B58</f>
        <v>FAHRUDIN</v>
      </c>
      <c r="C159" s="158" t="str">
        <f t="shared" si="44"/>
        <v>L</v>
      </c>
      <c r="D159" s="158" t="str">
        <f t="shared" si="44"/>
        <v>TK/0</v>
      </c>
      <c r="E159" s="158">
        <f t="shared" si="44"/>
        <v>9</v>
      </c>
      <c r="F159" s="283">
        <f t="shared" ref="F159:F172" si="45">S58</f>
        <v>0</v>
      </c>
      <c r="G159" s="283">
        <f t="shared" si="29"/>
        <v>0</v>
      </c>
      <c r="H159" s="252">
        <f t="shared" si="38"/>
        <v>0</v>
      </c>
      <c r="I159" s="284">
        <f t="shared" si="31"/>
        <v>0</v>
      </c>
      <c r="J159" s="285">
        <f>[3]perbulan!W155</f>
        <v>0</v>
      </c>
      <c r="K159" s="283">
        <f t="shared" si="32"/>
        <v>0</v>
      </c>
      <c r="L159" s="258"/>
      <c r="M159" s="305" t="s">
        <v>311</v>
      </c>
      <c r="N159" s="290" t="s">
        <v>354</v>
      </c>
      <c r="O159" s="291"/>
      <c r="Q159" s="168"/>
      <c r="R159" s="193"/>
    </row>
    <row r="160" spans="1:22" hidden="1">
      <c r="A160" s="150">
        <v>64</v>
      </c>
      <c r="B160" s="149" t="str">
        <f t="shared" si="44"/>
        <v>HERIANTO ARBI</v>
      </c>
      <c r="C160" s="158" t="str">
        <f t="shared" si="44"/>
        <v>L</v>
      </c>
      <c r="D160" s="158" t="str">
        <f t="shared" si="44"/>
        <v>TK/0</v>
      </c>
      <c r="E160" s="158">
        <f t="shared" si="44"/>
        <v>7</v>
      </c>
      <c r="F160" s="283">
        <f t="shared" si="45"/>
        <v>0</v>
      </c>
      <c r="G160" s="283">
        <f t="shared" si="29"/>
        <v>0</v>
      </c>
      <c r="H160" s="252">
        <f t="shared" si="38"/>
        <v>0</v>
      </c>
      <c r="I160" s="284">
        <f t="shared" si="31"/>
        <v>0</v>
      </c>
      <c r="J160" s="285">
        <f>[3]perbulan!W156</f>
        <v>0</v>
      </c>
      <c r="K160" s="283">
        <f t="shared" si="32"/>
        <v>0</v>
      </c>
      <c r="L160" s="258"/>
      <c r="M160" s="304" t="s">
        <v>312</v>
      </c>
      <c r="N160" s="290" t="s">
        <v>354</v>
      </c>
      <c r="O160" s="291"/>
      <c r="Q160" s="168"/>
      <c r="R160" s="193"/>
    </row>
    <row r="161" spans="1:18" hidden="1">
      <c r="A161" s="150">
        <v>65</v>
      </c>
      <c r="B161" s="149" t="str">
        <f t="shared" si="44"/>
        <v>EKO SUMANJAYA</v>
      </c>
      <c r="C161" s="158" t="str">
        <f t="shared" si="44"/>
        <v>L</v>
      </c>
      <c r="D161" s="158" t="str">
        <f t="shared" si="44"/>
        <v>K/1</v>
      </c>
      <c r="E161" s="158">
        <f t="shared" si="44"/>
        <v>11</v>
      </c>
      <c r="F161" s="283">
        <f t="shared" si="45"/>
        <v>0</v>
      </c>
      <c r="G161" s="283">
        <f t="shared" si="29"/>
        <v>0</v>
      </c>
      <c r="H161" s="252">
        <f t="shared" si="38"/>
        <v>0</v>
      </c>
      <c r="I161" s="284">
        <f t="shared" si="31"/>
        <v>0</v>
      </c>
      <c r="J161" s="285">
        <f>[3]perbulan!W157</f>
        <v>0</v>
      </c>
      <c r="K161" s="283">
        <f t="shared" si="32"/>
        <v>0</v>
      </c>
      <c r="L161" s="258"/>
      <c r="M161" s="304" t="s">
        <v>313</v>
      </c>
      <c r="N161" s="290" t="s">
        <v>360</v>
      </c>
      <c r="O161" s="291"/>
      <c r="Q161" s="168"/>
      <c r="R161" s="193"/>
    </row>
    <row r="162" spans="1:18" hidden="1">
      <c r="A162" s="150">
        <v>66</v>
      </c>
      <c r="B162" s="149" t="str">
        <f t="shared" si="44"/>
        <v>DEKY FRANZA</v>
      </c>
      <c r="C162" s="158" t="str">
        <f t="shared" si="44"/>
        <v>L</v>
      </c>
      <c r="D162" s="158" t="str">
        <f t="shared" si="44"/>
        <v>TK/0</v>
      </c>
      <c r="E162" s="158">
        <f t="shared" si="44"/>
        <v>11</v>
      </c>
      <c r="F162" s="283">
        <f t="shared" si="45"/>
        <v>0</v>
      </c>
      <c r="G162" s="283">
        <f t="shared" ref="G162:G172" si="46">ROUNDDOWN(F162,-3)</f>
        <v>0</v>
      </c>
      <c r="H162" s="252">
        <f t="shared" si="38"/>
        <v>0</v>
      </c>
      <c r="I162" s="284">
        <f t="shared" ref="I162:I172" si="47">H162</f>
        <v>0</v>
      </c>
      <c r="J162" s="285">
        <f>[3]perbulan!W158</f>
        <v>0</v>
      </c>
      <c r="K162" s="283">
        <f t="shared" ref="K162:K172" si="48">IF(I162&lt;=J162,0,IF(I162&gt;J162,I162-J162))</f>
        <v>0</v>
      </c>
      <c r="L162" s="258"/>
      <c r="M162" s="304" t="s">
        <v>314</v>
      </c>
      <c r="N162" s="290" t="s">
        <v>354</v>
      </c>
      <c r="O162" s="291"/>
      <c r="Q162" s="168"/>
      <c r="R162" s="193"/>
    </row>
    <row r="163" spans="1:18" hidden="1">
      <c r="A163" s="150">
        <v>67</v>
      </c>
      <c r="B163" s="149" t="str">
        <f t="shared" si="44"/>
        <v>SUMARDI</v>
      </c>
      <c r="C163" s="158" t="str">
        <f t="shared" si="44"/>
        <v>L</v>
      </c>
      <c r="D163" s="158" t="str">
        <f t="shared" si="44"/>
        <v>K/1</v>
      </c>
      <c r="E163" s="158">
        <f t="shared" si="44"/>
        <v>11</v>
      </c>
      <c r="F163" s="283">
        <f t="shared" si="45"/>
        <v>0</v>
      </c>
      <c r="G163" s="283">
        <f t="shared" si="46"/>
        <v>0</v>
      </c>
      <c r="H163" s="252">
        <f t="shared" si="38"/>
        <v>0</v>
      </c>
      <c r="I163" s="284">
        <f t="shared" si="47"/>
        <v>0</v>
      </c>
      <c r="J163" s="285">
        <f>[3]perbulan!W159</f>
        <v>81162</v>
      </c>
      <c r="K163" s="283">
        <f t="shared" si="48"/>
        <v>0</v>
      </c>
      <c r="L163" s="258"/>
      <c r="M163" s="304" t="s">
        <v>315</v>
      </c>
      <c r="N163" s="290" t="s">
        <v>361</v>
      </c>
      <c r="O163" s="291"/>
      <c r="Q163" s="168"/>
      <c r="R163" s="193"/>
    </row>
    <row r="164" spans="1:18" hidden="1">
      <c r="A164" s="150">
        <v>68</v>
      </c>
      <c r="B164" s="149" t="str">
        <f t="shared" si="44"/>
        <v>SUKARDI</v>
      </c>
      <c r="C164" s="158" t="str">
        <f t="shared" si="44"/>
        <v>L</v>
      </c>
      <c r="D164" s="158" t="str">
        <f t="shared" si="44"/>
        <v>K/0</v>
      </c>
      <c r="E164" s="158">
        <f t="shared" si="44"/>
        <v>11</v>
      </c>
      <c r="F164" s="283">
        <f t="shared" si="45"/>
        <v>0</v>
      </c>
      <c r="G164" s="283">
        <f t="shared" si="46"/>
        <v>0</v>
      </c>
      <c r="H164" s="252">
        <f t="shared" si="38"/>
        <v>0</v>
      </c>
      <c r="I164" s="284">
        <f t="shared" si="47"/>
        <v>0</v>
      </c>
      <c r="J164" s="285">
        <f>[3]perbulan!W160</f>
        <v>0</v>
      </c>
      <c r="K164" s="283">
        <f t="shared" si="48"/>
        <v>0</v>
      </c>
      <c r="L164" s="258"/>
      <c r="M164" s="304"/>
      <c r="N164" s="290"/>
      <c r="O164" s="291"/>
      <c r="Q164" s="168"/>
      <c r="R164" s="193"/>
    </row>
    <row r="165" spans="1:18" hidden="1">
      <c r="A165" s="150">
        <v>69</v>
      </c>
      <c r="B165" s="149" t="str">
        <f t="shared" si="44"/>
        <v>YANTI NOVITA</v>
      </c>
      <c r="C165" s="158" t="str">
        <f t="shared" si="44"/>
        <v>P</v>
      </c>
      <c r="D165" s="158" t="str">
        <f t="shared" si="44"/>
        <v>TK/0</v>
      </c>
      <c r="E165" s="158">
        <f t="shared" si="44"/>
        <v>11</v>
      </c>
      <c r="F165" s="283">
        <f t="shared" si="45"/>
        <v>0</v>
      </c>
      <c r="G165" s="283">
        <f t="shared" si="46"/>
        <v>0</v>
      </c>
      <c r="H165" s="252">
        <f t="shared" si="38"/>
        <v>0</v>
      </c>
      <c r="I165" s="284">
        <f t="shared" si="47"/>
        <v>0</v>
      </c>
      <c r="J165" s="285">
        <f>[3]perbulan!W161</f>
        <v>0</v>
      </c>
      <c r="K165" s="283">
        <f t="shared" si="48"/>
        <v>0</v>
      </c>
      <c r="L165" s="258"/>
      <c r="M165" s="304"/>
      <c r="N165" s="290"/>
      <c r="O165" s="291"/>
      <c r="Q165" s="168"/>
      <c r="R165" s="193"/>
    </row>
    <row r="166" spans="1:18" hidden="1">
      <c r="A166" s="150">
        <v>70</v>
      </c>
      <c r="B166" s="149" t="str">
        <f t="shared" si="44"/>
        <v>FRANSISCO GAUTAMA</v>
      </c>
      <c r="C166" s="158" t="str">
        <f t="shared" si="44"/>
        <v>L</v>
      </c>
      <c r="D166" s="158" t="str">
        <f t="shared" si="44"/>
        <v>K/1</v>
      </c>
      <c r="E166" s="158">
        <f t="shared" si="44"/>
        <v>11</v>
      </c>
      <c r="F166" s="283">
        <f t="shared" si="45"/>
        <v>0</v>
      </c>
      <c r="G166" s="283">
        <f t="shared" si="46"/>
        <v>0</v>
      </c>
      <c r="H166" s="252">
        <f t="shared" si="38"/>
        <v>0</v>
      </c>
      <c r="I166" s="284">
        <f t="shared" si="47"/>
        <v>0</v>
      </c>
      <c r="J166" s="285">
        <f>[3]perbulan!W162</f>
        <v>0</v>
      </c>
      <c r="K166" s="283">
        <f t="shared" si="48"/>
        <v>0</v>
      </c>
      <c r="L166" s="258"/>
      <c r="M166" s="304"/>
      <c r="N166" s="290"/>
      <c r="O166" s="291"/>
      <c r="Q166" s="168"/>
      <c r="R166" s="193"/>
    </row>
    <row r="167" spans="1:18" hidden="1">
      <c r="A167" s="150">
        <v>71</v>
      </c>
      <c r="B167" s="149" t="str">
        <f t="shared" si="44"/>
        <v>MUSDI</v>
      </c>
      <c r="C167" s="158" t="str">
        <f t="shared" si="44"/>
        <v>L</v>
      </c>
      <c r="D167" s="158" t="str">
        <f t="shared" si="44"/>
        <v>K/2</v>
      </c>
      <c r="E167" s="158">
        <f t="shared" si="44"/>
        <v>11</v>
      </c>
      <c r="F167" s="283">
        <f t="shared" si="45"/>
        <v>0</v>
      </c>
      <c r="G167" s="283">
        <f t="shared" si="46"/>
        <v>0</v>
      </c>
      <c r="H167" s="252">
        <f t="shared" si="38"/>
        <v>0</v>
      </c>
      <c r="I167" s="284">
        <f t="shared" si="47"/>
        <v>0</v>
      </c>
      <c r="J167" s="285">
        <f>[3]perbulan!W163</f>
        <v>0</v>
      </c>
      <c r="K167" s="283">
        <f t="shared" si="48"/>
        <v>0</v>
      </c>
      <c r="L167" s="258"/>
      <c r="M167" s="304"/>
      <c r="N167" s="290"/>
      <c r="O167" s="291"/>
      <c r="Q167" s="168"/>
      <c r="R167" s="193"/>
    </row>
    <row r="168" spans="1:18" hidden="1">
      <c r="A168" s="150">
        <v>72</v>
      </c>
      <c r="B168" s="149" t="str">
        <f t="shared" si="44"/>
        <v>M.IDRIS PRATAMA</v>
      </c>
      <c r="C168" s="158" t="str">
        <f t="shared" si="44"/>
        <v>L</v>
      </c>
      <c r="D168" s="158" t="str">
        <f t="shared" si="44"/>
        <v>TK/0</v>
      </c>
      <c r="E168" s="158">
        <f t="shared" si="44"/>
        <v>11</v>
      </c>
      <c r="F168" s="283">
        <f t="shared" si="45"/>
        <v>0</v>
      </c>
      <c r="G168" s="283">
        <f t="shared" si="46"/>
        <v>0</v>
      </c>
      <c r="H168" s="252">
        <f t="shared" si="38"/>
        <v>0</v>
      </c>
      <c r="I168" s="284">
        <f t="shared" si="47"/>
        <v>0</v>
      </c>
      <c r="J168" s="285">
        <f>[3]perbulan!W164</f>
        <v>0</v>
      </c>
      <c r="K168" s="283">
        <f t="shared" si="48"/>
        <v>0</v>
      </c>
      <c r="L168" s="258"/>
      <c r="M168" s="304"/>
      <c r="N168" s="290"/>
      <c r="O168" s="291"/>
      <c r="Q168" s="168"/>
      <c r="R168" s="193"/>
    </row>
    <row r="169" spans="1:18" hidden="1">
      <c r="A169" s="150">
        <v>73</v>
      </c>
      <c r="B169" s="149" t="str">
        <f t="shared" si="44"/>
        <v>NOLA WILANDA</v>
      </c>
      <c r="C169" s="158" t="str">
        <f t="shared" si="44"/>
        <v>P</v>
      </c>
      <c r="D169" s="158" t="str">
        <f t="shared" si="44"/>
        <v>TK/0</v>
      </c>
      <c r="E169" s="158">
        <f t="shared" si="44"/>
        <v>3</v>
      </c>
      <c r="F169" s="283">
        <f t="shared" si="45"/>
        <v>0</v>
      </c>
      <c r="G169" s="283">
        <f t="shared" si="46"/>
        <v>0</v>
      </c>
      <c r="H169" s="252">
        <f t="shared" si="38"/>
        <v>0</v>
      </c>
      <c r="I169" s="284">
        <f t="shared" si="47"/>
        <v>0</v>
      </c>
      <c r="J169" s="285">
        <f>[3]perbulan!W165</f>
        <v>0</v>
      </c>
      <c r="K169" s="283">
        <f t="shared" si="48"/>
        <v>0</v>
      </c>
      <c r="L169" s="258"/>
      <c r="M169" s="304"/>
      <c r="N169" s="290"/>
      <c r="O169" s="291"/>
      <c r="Q169" s="168"/>
      <c r="R169" s="193"/>
    </row>
    <row r="170" spans="1:18" hidden="1">
      <c r="A170" s="150">
        <v>74</v>
      </c>
      <c r="B170" s="149" t="str">
        <f t="shared" si="44"/>
        <v>AGUSTIAN</v>
      </c>
      <c r="C170" s="158" t="str">
        <f t="shared" si="44"/>
        <v>L</v>
      </c>
      <c r="D170" s="158" t="str">
        <f t="shared" si="44"/>
        <v>TK/0</v>
      </c>
      <c r="E170" s="158">
        <f t="shared" si="44"/>
        <v>3</v>
      </c>
      <c r="F170" s="283">
        <f t="shared" si="45"/>
        <v>0</v>
      </c>
      <c r="G170" s="283">
        <f t="shared" si="46"/>
        <v>0</v>
      </c>
      <c r="H170" s="252">
        <f t="shared" si="38"/>
        <v>0</v>
      </c>
      <c r="I170" s="284">
        <f t="shared" si="47"/>
        <v>0</v>
      </c>
      <c r="J170" s="285">
        <f>[3]perbulan!W166</f>
        <v>0</v>
      </c>
      <c r="K170" s="283">
        <f t="shared" si="48"/>
        <v>0</v>
      </c>
      <c r="L170" s="258"/>
      <c r="M170" s="304"/>
      <c r="N170" s="290"/>
      <c r="O170" s="291"/>
      <c r="Q170" s="168"/>
      <c r="R170" s="193"/>
    </row>
    <row r="171" spans="1:18" ht="22.5" hidden="1" customHeight="1">
      <c r="A171" s="150">
        <v>75</v>
      </c>
      <c r="B171" s="149" t="str">
        <f t="shared" si="44"/>
        <v>DWI MARZETI</v>
      </c>
      <c r="C171" s="158" t="str">
        <f t="shared" si="44"/>
        <v>P</v>
      </c>
      <c r="D171" s="158" t="str">
        <f t="shared" si="44"/>
        <v>TK/0</v>
      </c>
      <c r="E171" s="158">
        <f t="shared" si="44"/>
        <v>3</v>
      </c>
      <c r="F171" s="283">
        <f t="shared" si="45"/>
        <v>0</v>
      </c>
      <c r="G171" s="283">
        <f t="shared" si="46"/>
        <v>0</v>
      </c>
      <c r="H171" s="252">
        <f>G171*6%</f>
        <v>0</v>
      </c>
      <c r="I171" s="284">
        <f t="shared" si="47"/>
        <v>0</v>
      </c>
      <c r="J171" s="285">
        <f>[3]perbulan!W167</f>
        <v>0</v>
      </c>
      <c r="K171" s="283">
        <f t="shared" si="48"/>
        <v>0</v>
      </c>
      <c r="L171" s="258"/>
      <c r="M171" s="304"/>
      <c r="N171" s="290"/>
      <c r="O171" s="291"/>
      <c r="Q171" s="168"/>
      <c r="R171" s="193"/>
    </row>
    <row r="172" spans="1:18" ht="22.5" hidden="1" customHeight="1">
      <c r="A172" s="150">
        <v>76</v>
      </c>
      <c r="B172" s="149" t="str">
        <f t="shared" si="44"/>
        <v>SUTRA PRAYOGI</v>
      </c>
      <c r="C172" s="158" t="str">
        <f t="shared" si="44"/>
        <v>L</v>
      </c>
      <c r="D172" s="158" t="str">
        <f t="shared" si="44"/>
        <v>TK/0</v>
      </c>
      <c r="E172" s="158">
        <f t="shared" si="44"/>
        <v>2</v>
      </c>
      <c r="F172" s="283">
        <f t="shared" si="45"/>
        <v>0</v>
      </c>
      <c r="G172" s="283">
        <f t="shared" si="46"/>
        <v>0</v>
      </c>
      <c r="H172" s="252">
        <f>G172*6%</f>
        <v>0</v>
      </c>
      <c r="I172" s="284">
        <f t="shared" si="47"/>
        <v>0</v>
      </c>
      <c r="J172" s="285">
        <f>[3]perbulan!W168</f>
        <v>0</v>
      </c>
      <c r="K172" s="283">
        <f t="shared" si="48"/>
        <v>0</v>
      </c>
      <c r="L172" s="258"/>
      <c r="M172" s="304"/>
      <c r="N172" s="290"/>
      <c r="O172" s="291"/>
      <c r="Q172" s="168"/>
      <c r="R172" s="193"/>
    </row>
    <row r="173" spans="1:18" ht="19.5" hidden="1" customHeight="1">
      <c r="A173" s="566" t="s">
        <v>370</v>
      </c>
      <c r="B173" s="567"/>
      <c r="C173" s="567"/>
      <c r="D173" s="568"/>
      <c r="E173" s="306">
        <f t="shared" ref="E173:K173" si="49">SUM(E97:E172)</f>
        <v>650</v>
      </c>
      <c r="F173" s="306">
        <f t="shared" si="49"/>
        <v>149970648.4000001</v>
      </c>
      <c r="G173" s="306">
        <f t="shared" si="49"/>
        <v>149966000</v>
      </c>
      <c r="H173" s="306">
        <f t="shared" si="49"/>
        <v>8334120</v>
      </c>
      <c r="I173" s="306">
        <f t="shared" si="49"/>
        <v>8334120</v>
      </c>
      <c r="J173" s="306">
        <f t="shared" si="49"/>
        <v>9202165</v>
      </c>
      <c r="K173" s="306">
        <f t="shared" si="49"/>
        <v>7031733</v>
      </c>
      <c r="L173" s="307"/>
      <c r="M173" s="308"/>
      <c r="N173" s="309"/>
      <c r="O173" s="310"/>
      <c r="Q173" s="168"/>
      <c r="R173" s="193"/>
    </row>
    <row r="174" spans="1:18" ht="19.5" hidden="1" customHeight="1">
      <c r="A174" s="311"/>
      <c r="B174" s="311"/>
      <c r="C174" s="311"/>
      <c r="D174" s="311"/>
      <c r="E174" s="235"/>
      <c r="F174" s="266"/>
      <c r="G174" s="266"/>
      <c r="H174" s="266"/>
      <c r="I174" s="266"/>
      <c r="J174" s="266"/>
      <c r="K174" s="266"/>
      <c r="L174" s="266"/>
      <c r="M174" s="266"/>
      <c r="N174" s="312"/>
      <c r="O174" s="312"/>
      <c r="Q174" s="168"/>
      <c r="R174" s="193"/>
    </row>
    <row r="175" spans="1:18" ht="19.5" hidden="1" customHeight="1">
      <c r="A175" s="311"/>
      <c r="B175" s="311"/>
      <c r="C175" s="311"/>
      <c r="D175" s="311"/>
      <c r="E175" s="235"/>
      <c r="F175" s="266"/>
      <c r="G175" s="266"/>
      <c r="H175" s="266"/>
      <c r="I175" s="266"/>
      <c r="J175" s="266"/>
      <c r="K175" s="266"/>
      <c r="L175" s="266"/>
      <c r="M175" s="266"/>
      <c r="N175" s="312"/>
      <c r="O175" s="312"/>
      <c r="R175" s="193"/>
    </row>
    <row r="176" spans="1:18" hidden="1">
      <c r="J176" s="268"/>
      <c r="P176" s="259"/>
      <c r="Q176" s="259"/>
    </row>
    <row r="177" spans="1:47" ht="22.5" hidden="1" customHeight="1">
      <c r="A177" s="150">
        <v>65</v>
      </c>
      <c r="B177" s="149" t="e">
        <f>#REF!</f>
        <v>#REF!</v>
      </c>
      <c r="C177" s="158" t="e">
        <f>#REF!</f>
        <v>#REF!</v>
      </c>
      <c r="D177" s="158" t="e">
        <f>#REF!</f>
        <v>#REF!</v>
      </c>
      <c r="E177" s="158" t="e">
        <f>#REF!</f>
        <v>#REF!</v>
      </c>
      <c r="F177" s="283" t="e">
        <f>#REF!</f>
        <v>#REF!</v>
      </c>
      <c r="G177" s="283" t="e">
        <f t="shared" ref="G177:G182" si="50">ROUNDDOWN(F177,-3)</f>
        <v>#REF!</v>
      </c>
      <c r="H177" s="252" t="e">
        <f>G177*6%</f>
        <v>#REF!</v>
      </c>
      <c r="I177" s="284" t="e">
        <f t="shared" ref="I177:I182" si="51">H177</f>
        <v>#REF!</v>
      </c>
      <c r="J177" s="285" t="e">
        <f>[3]perbulan!#REF!</f>
        <v>#REF!</v>
      </c>
      <c r="K177" s="283" t="e">
        <f t="shared" ref="K177:K182" si="52">IF(I177&lt;=J177,0,IF(I177&gt;J177,I177-J177))</f>
        <v>#REF!</v>
      </c>
      <c r="L177" s="258"/>
      <c r="M177" s="295" t="s">
        <v>449</v>
      </c>
      <c r="N177" s="290" t="s">
        <v>450</v>
      </c>
      <c r="O177" s="298"/>
      <c r="P177" s="259"/>
      <c r="Q177" s="259"/>
      <c r="R177" s="259"/>
      <c r="S177" s="259"/>
      <c r="T177" s="259"/>
    </row>
    <row r="178" spans="1:47" ht="22.5" hidden="1" customHeight="1">
      <c r="A178" s="150">
        <v>66</v>
      </c>
      <c r="B178" s="149" t="e">
        <f>#REF!</f>
        <v>#REF!</v>
      </c>
      <c r="C178" s="158" t="e">
        <f>#REF!</f>
        <v>#REF!</v>
      </c>
      <c r="D178" s="158" t="e">
        <f>#REF!</f>
        <v>#REF!</v>
      </c>
      <c r="E178" s="158" t="e">
        <f>#REF!</f>
        <v>#REF!</v>
      </c>
      <c r="F178" s="283" t="e">
        <f>#REF!</f>
        <v>#REF!</v>
      </c>
      <c r="G178" s="283" t="e">
        <f t="shared" si="50"/>
        <v>#REF!</v>
      </c>
      <c r="H178" s="252" t="e">
        <f>G178*6%</f>
        <v>#REF!</v>
      </c>
      <c r="I178" s="284" t="e">
        <f t="shared" si="51"/>
        <v>#REF!</v>
      </c>
      <c r="J178" s="285" t="e">
        <f>[3]perbulan!#REF!</f>
        <v>#REF!</v>
      </c>
      <c r="K178" s="283" t="e">
        <f t="shared" si="52"/>
        <v>#REF!</v>
      </c>
      <c r="L178" s="258"/>
      <c r="M178" s="186" t="s">
        <v>451</v>
      </c>
      <c r="N178" s="188" t="s">
        <v>452</v>
      </c>
      <c r="O178" s="300"/>
      <c r="P178" s="259"/>
      <c r="Q178" s="259"/>
      <c r="R178" s="259"/>
      <c r="S178" s="259"/>
      <c r="T178" s="259"/>
    </row>
    <row r="179" spans="1:47" ht="22.5" hidden="1" customHeight="1">
      <c r="A179" s="150">
        <v>41</v>
      </c>
      <c r="B179" s="149" t="e">
        <f>#REF!</f>
        <v>#REF!</v>
      </c>
      <c r="C179" s="158" t="e">
        <f>#REF!</f>
        <v>#REF!</v>
      </c>
      <c r="D179" s="158" t="e">
        <f>#REF!</f>
        <v>#REF!</v>
      </c>
      <c r="E179" s="158" t="e">
        <f>#REF!</f>
        <v>#REF!</v>
      </c>
      <c r="F179" s="283" t="e">
        <f>#REF!</f>
        <v>#REF!</v>
      </c>
      <c r="G179" s="283" t="e">
        <f t="shared" si="50"/>
        <v>#REF!</v>
      </c>
      <c r="H179" s="252" t="e">
        <f>G179*5%</f>
        <v>#REF!</v>
      </c>
      <c r="I179" s="284" t="e">
        <f t="shared" si="51"/>
        <v>#REF!</v>
      </c>
      <c r="J179" s="285" t="e">
        <f>[3]perbulan!#REF!</f>
        <v>#REF!</v>
      </c>
      <c r="K179" s="283" t="e">
        <f t="shared" si="52"/>
        <v>#REF!</v>
      </c>
      <c r="L179" s="258"/>
      <c r="M179" s="292" t="s">
        <v>453</v>
      </c>
      <c r="N179" s="290" t="s">
        <v>454</v>
      </c>
      <c r="O179" s="291"/>
      <c r="P179" s="259"/>
      <c r="Q179" s="259"/>
      <c r="R179" s="259"/>
      <c r="S179" s="259"/>
      <c r="T179" s="259"/>
    </row>
    <row r="180" spans="1:47" ht="22.5" hidden="1" customHeight="1">
      <c r="A180" s="150">
        <v>57</v>
      </c>
      <c r="B180" s="149" t="e">
        <f>#REF!</f>
        <v>#REF!</v>
      </c>
      <c r="C180" s="158" t="e">
        <f>#REF!</f>
        <v>#REF!</v>
      </c>
      <c r="D180" s="158" t="e">
        <f>#REF!</f>
        <v>#REF!</v>
      </c>
      <c r="E180" s="158" t="e">
        <f>#REF!</f>
        <v>#REF!</v>
      </c>
      <c r="F180" s="283" t="e">
        <f>#REF!</f>
        <v>#REF!</v>
      </c>
      <c r="G180" s="283" t="e">
        <f t="shared" si="50"/>
        <v>#REF!</v>
      </c>
      <c r="H180" s="252" t="e">
        <f>G180*6%</f>
        <v>#REF!</v>
      </c>
      <c r="I180" s="284" t="e">
        <f t="shared" si="51"/>
        <v>#REF!</v>
      </c>
      <c r="J180" s="285" t="e">
        <f>[3]perbulan!#REF!</f>
        <v>#REF!</v>
      </c>
      <c r="K180" s="283" t="e">
        <f t="shared" si="52"/>
        <v>#REF!</v>
      </c>
      <c r="L180" s="258"/>
      <c r="M180" s="295" t="s">
        <v>296</v>
      </c>
      <c r="N180" s="187" t="s">
        <v>455</v>
      </c>
      <c r="O180" s="314"/>
      <c r="P180" s="259"/>
      <c r="Q180" s="259"/>
      <c r="R180" s="259"/>
      <c r="S180" s="259"/>
      <c r="T180" s="259"/>
    </row>
    <row r="181" spans="1:47" ht="22.5" hidden="1" customHeight="1">
      <c r="A181" s="150">
        <v>55</v>
      </c>
      <c r="B181" s="149" t="e">
        <f>#REF!</f>
        <v>#REF!</v>
      </c>
      <c r="C181" s="158" t="e">
        <f>#REF!</f>
        <v>#REF!</v>
      </c>
      <c r="D181" s="158" t="e">
        <f>#REF!</f>
        <v>#REF!</v>
      </c>
      <c r="E181" s="158" t="e">
        <f>#REF!</f>
        <v>#REF!</v>
      </c>
      <c r="F181" s="283" t="e">
        <f>#REF!</f>
        <v>#REF!</v>
      </c>
      <c r="G181" s="283" t="e">
        <f t="shared" si="50"/>
        <v>#REF!</v>
      </c>
      <c r="H181" s="252" t="e">
        <f>G181*6%</f>
        <v>#REF!</v>
      </c>
      <c r="I181" s="284" t="e">
        <f t="shared" si="51"/>
        <v>#REF!</v>
      </c>
      <c r="J181" s="285" t="e">
        <f>[3]perbulan!#REF!</f>
        <v>#REF!</v>
      </c>
      <c r="K181" s="283" t="e">
        <f t="shared" si="52"/>
        <v>#REF!</v>
      </c>
      <c r="L181" s="183"/>
      <c r="M181" s="186" t="s">
        <v>456</v>
      </c>
      <c r="N181" s="290" t="s">
        <v>457</v>
      </c>
      <c r="O181" s="298"/>
      <c r="R181" s="259"/>
      <c r="S181" s="259"/>
      <c r="T181" s="259"/>
    </row>
    <row r="182" spans="1:47" ht="22.5" hidden="1" customHeight="1">
      <c r="A182" s="150">
        <v>68</v>
      </c>
      <c r="B182" s="149" t="e">
        <f>#REF!</f>
        <v>#REF!</v>
      </c>
      <c r="C182" s="158" t="e">
        <f>#REF!</f>
        <v>#REF!</v>
      </c>
      <c r="D182" s="158" t="e">
        <f>#REF!</f>
        <v>#REF!</v>
      </c>
      <c r="E182" s="158" t="e">
        <f>#REF!</f>
        <v>#REF!</v>
      </c>
      <c r="F182" s="283" t="e">
        <f>#REF!</f>
        <v>#REF!</v>
      </c>
      <c r="G182" s="283" t="e">
        <f t="shared" si="50"/>
        <v>#REF!</v>
      </c>
      <c r="H182" s="252" t="e">
        <f>G182*6%</f>
        <v>#REF!</v>
      </c>
      <c r="I182" s="284" t="e">
        <f t="shared" si="51"/>
        <v>#REF!</v>
      </c>
      <c r="J182" s="285" t="e">
        <f>[3]perbulan!#REF!</f>
        <v>#REF!</v>
      </c>
      <c r="K182" s="283" t="e">
        <f t="shared" si="52"/>
        <v>#REF!</v>
      </c>
      <c r="L182" s="258"/>
      <c r="M182" s="186" t="s">
        <v>458</v>
      </c>
      <c r="N182" s="188" t="s">
        <v>459</v>
      </c>
      <c r="O182" s="303"/>
      <c r="P182" s="259"/>
      <c r="Q182" s="259"/>
      <c r="R182" s="259"/>
      <c r="S182" s="259"/>
      <c r="T182" s="259"/>
    </row>
    <row r="183" spans="1:47" hidden="1">
      <c r="A183" s="555" t="s">
        <v>460</v>
      </c>
      <c r="B183" s="555"/>
      <c r="F183" s="555" t="s">
        <v>461</v>
      </c>
      <c r="G183" s="555"/>
      <c r="J183" s="555" t="s">
        <v>462</v>
      </c>
      <c r="K183" s="555"/>
      <c r="AN183" s="193" t="s">
        <v>463</v>
      </c>
      <c r="AO183" s="193" t="s">
        <v>464</v>
      </c>
      <c r="AU183" s="193">
        <v>98335</v>
      </c>
    </row>
    <row r="184" spans="1:47" hidden="1">
      <c r="A184" s="193"/>
      <c r="B184" s="193"/>
    </row>
    <row r="185" spans="1:47" hidden="1">
      <c r="A185" s="193"/>
      <c r="B185" s="193"/>
      <c r="S185" s="259"/>
      <c r="T185" s="259"/>
    </row>
    <row r="186" spans="1:47" hidden="1">
      <c r="A186" s="555" t="s">
        <v>199</v>
      </c>
      <c r="B186" s="555"/>
      <c r="C186" s="315"/>
      <c r="F186" s="556"/>
      <c r="G186" s="556"/>
      <c r="J186" s="556"/>
      <c r="K186" s="555"/>
      <c r="Q186" s="316"/>
    </row>
    <row r="187" spans="1:47" hidden="1">
      <c r="A187" s="555" t="s">
        <v>465</v>
      </c>
      <c r="B187" s="555"/>
      <c r="F187" s="555"/>
      <c r="G187" s="555"/>
      <c r="J187" s="193" t="s">
        <v>466</v>
      </c>
      <c r="R187" s="317"/>
      <c r="U187" s="259"/>
      <c r="V187" s="259"/>
      <c r="W187" s="259"/>
      <c r="AO187" s="193" t="s">
        <v>467</v>
      </c>
    </row>
    <row r="188" spans="1:47" hidden="1"/>
    <row r="189" spans="1:47" hidden="1"/>
    <row r="190" spans="1:47" hidden="1"/>
    <row r="191" spans="1:47" hidden="1"/>
    <row r="192" spans="1:47" hidden="1"/>
    <row r="193" spans="1:25" hidden="1">
      <c r="A193" s="150">
        <v>62</v>
      </c>
      <c r="B193" s="149" t="e">
        <f>#REF!</f>
        <v>#REF!</v>
      </c>
      <c r="C193" s="158" t="e">
        <f>#REF!</f>
        <v>#REF!</v>
      </c>
      <c r="D193" s="158" t="e">
        <f>#REF!</f>
        <v>#REF!</v>
      </c>
      <c r="E193" s="158" t="e">
        <f>#REF!</f>
        <v>#REF!</v>
      </c>
      <c r="F193" s="283" t="e">
        <f>#REF!</f>
        <v>#REF!</v>
      </c>
      <c r="G193" s="283" t="e">
        <f t="shared" ref="G193:G198" si="53">ROUNDDOWN(F193,-3)</f>
        <v>#REF!</v>
      </c>
      <c r="H193" s="252" t="e">
        <f t="shared" ref="H193:H198" si="54">G193*6%</f>
        <v>#REF!</v>
      </c>
      <c r="I193" s="284" t="e">
        <f t="shared" ref="I193:I198" si="55">H193</f>
        <v>#REF!</v>
      </c>
      <c r="J193" s="285">
        <f>[3]perbulan!W172</f>
        <v>0</v>
      </c>
      <c r="K193" s="283" t="e">
        <f t="shared" ref="K193:K198" si="56">IF(I193&lt;=J193,0,IF(I193&gt;J193,I193-J193))</f>
        <v>#REF!</v>
      </c>
      <c r="L193" s="258" t="s">
        <v>468</v>
      </c>
      <c r="M193" s="295" t="s">
        <v>273</v>
      </c>
      <c r="N193" s="290" t="s">
        <v>332</v>
      </c>
      <c r="O193" s="298"/>
      <c r="P193" s="259"/>
      <c r="Q193" s="318"/>
      <c r="R193" s="259"/>
      <c r="S193" s="259"/>
      <c r="T193" s="259"/>
    </row>
    <row r="194" spans="1:25" hidden="1">
      <c r="A194" s="150">
        <v>63</v>
      </c>
      <c r="B194" s="149" t="e">
        <f>#REF!</f>
        <v>#REF!</v>
      </c>
      <c r="C194" s="158" t="e">
        <f>#REF!</f>
        <v>#REF!</v>
      </c>
      <c r="D194" s="158" t="e">
        <f>#REF!</f>
        <v>#REF!</v>
      </c>
      <c r="E194" s="158" t="e">
        <f>#REF!</f>
        <v>#REF!</v>
      </c>
      <c r="F194" s="283" t="e">
        <f>#REF!</f>
        <v>#REF!</v>
      </c>
      <c r="G194" s="283" t="e">
        <f t="shared" si="53"/>
        <v>#REF!</v>
      </c>
      <c r="H194" s="252" t="e">
        <f t="shared" si="54"/>
        <v>#REF!</v>
      </c>
      <c r="I194" s="284" t="e">
        <f t="shared" si="55"/>
        <v>#REF!</v>
      </c>
      <c r="J194" s="285">
        <f>[3]perbulan!W173</f>
        <v>0</v>
      </c>
      <c r="K194" s="283" t="e">
        <f t="shared" si="56"/>
        <v>#REF!</v>
      </c>
      <c r="L194" s="258" t="s">
        <v>469</v>
      </c>
      <c r="M194" s="186" t="s">
        <v>470</v>
      </c>
      <c r="N194" s="188" t="s">
        <v>471</v>
      </c>
      <c r="O194" s="300"/>
      <c r="P194" s="259"/>
      <c r="Q194" s="259"/>
      <c r="R194" s="259"/>
      <c r="S194" s="259"/>
      <c r="T194" s="259"/>
    </row>
    <row r="195" spans="1:25" hidden="1">
      <c r="A195" s="150">
        <v>64</v>
      </c>
      <c r="B195" s="149" t="e">
        <f>#REF!</f>
        <v>#REF!</v>
      </c>
      <c r="C195" s="158" t="e">
        <f>#REF!</f>
        <v>#REF!</v>
      </c>
      <c r="D195" s="158" t="e">
        <f>#REF!</f>
        <v>#REF!</v>
      </c>
      <c r="E195" s="158" t="e">
        <f>#REF!</f>
        <v>#REF!</v>
      </c>
      <c r="F195" s="283" t="e">
        <f>#REF!</f>
        <v>#REF!</v>
      </c>
      <c r="G195" s="283" t="e">
        <f t="shared" si="53"/>
        <v>#REF!</v>
      </c>
      <c r="H195" s="252" t="e">
        <f t="shared" si="54"/>
        <v>#REF!</v>
      </c>
      <c r="I195" s="284" t="e">
        <f t="shared" si="55"/>
        <v>#REF!</v>
      </c>
      <c r="J195" s="285">
        <f>[3]perbulan!W174</f>
        <v>0</v>
      </c>
      <c r="K195" s="283" t="e">
        <f t="shared" si="56"/>
        <v>#REF!</v>
      </c>
      <c r="L195" s="258" t="s">
        <v>472</v>
      </c>
      <c r="M195" s="186" t="s">
        <v>272</v>
      </c>
      <c r="N195" s="188" t="s">
        <v>331</v>
      </c>
      <c r="O195" s="300"/>
      <c r="P195" s="259"/>
      <c r="Q195" s="259"/>
      <c r="R195" s="259"/>
      <c r="S195" s="259"/>
      <c r="T195" s="259"/>
    </row>
    <row r="196" spans="1:25" hidden="1">
      <c r="A196" s="150">
        <v>65</v>
      </c>
      <c r="B196" s="149" t="e">
        <f>#REF!</f>
        <v>#REF!</v>
      </c>
      <c r="C196" s="158" t="e">
        <f>#REF!</f>
        <v>#REF!</v>
      </c>
      <c r="D196" s="158" t="e">
        <f>#REF!</f>
        <v>#REF!</v>
      </c>
      <c r="E196" s="158" t="e">
        <f>#REF!</f>
        <v>#REF!</v>
      </c>
      <c r="F196" s="283" t="e">
        <f>#REF!</f>
        <v>#REF!</v>
      </c>
      <c r="G196" s="283" t="e">
        <f t="shared" si="53"/>
        <v>#REF!</v>
      </c>
      <c r="H196" s="252" t="e">
        <f t="shared" si="54"/>
        <v>#REF!</v>
      </c>
      <c r="I196" s="284" t="e">
        <f t="shared" si="55"/>
        <v>#REF!</v>
      </c>
      <c r="J196" s="285">
        <f>[3]perbulan!W175</f>
        <v>0</v>
      </c>
      <c r="K196" s="283" t="e">
        <f t="shared" si="56"/>
        <v>#REF!</v>
      </c>
      <c r="L196" s="258" t="s">
        <v>473</v>
      </c>
      <c r="M196" s="186" t="s">
        <v>271</v>
      </c>
      <c r="N196" s="188" t="s">
        <v>330</v>
      </c>
      <c r="O196" s="300"/>
      <c r="P196" s="259"/>
      <c r="Q196" s="259"/>
      <c r="R196" s="259"/>
      <c r="S196" s="259"/>
      <c r="T196" s="259"/>
    </row>
    <row r="197" spans="1:25" hidden="1">
      <c r="A197" s="150">
        <v>66</v>
      </c>
      <c r="B197" s="149" t="e">
        <f>#REF!</f>
        <v>#REF!</v>
      </c>
      <c r="C197" s="158" t="e">
        <f>#REF!</f>
        <v>#REF!</v>
      </c>
      <c r="D197" s="158" t="e">
        <f>#REF!</f>
        <v>#REF!</v>
      </c>
      <c r="E197" s="158" t="e">
        <f>#REF!</f>
        <v>#REF!</v>
      </c>
      <c r="F197" s="283" t="e">
        <f>#REF!</f>
        <v>#REF!</v>
      </c>
      <c r="G197" s="283" t="e">
        <f t="shared" si="53"/>
        <v>#REF!</v>
      </c>
      <c r="H197" s="252" t="e">
        <f t="shared" si="54"/>
        <v>#REF!</v>
      </c>
      <c r="I197" s="284" t="e">
        <f t="shared" si="55"/>
        <v>#REF!</v>
      </c>
      <c r="J197" s="285">
        <f>[3]perbulan!W176</f>
        <v>0</v>
      </c>
      <c r="K197" s="283" t="e">
        <f t="shared" si="56"/>
        <v>#REF!</v>
      </c>
      <c r="L197" s="258" t="s">
        <v>474</v>
      </c>
      <c r="M197" s="186" t="s">
        <v>274</v>
      </c>
      <c r="N197" s="188" t="s">
        <v>333</v>
      </c>
      <c r="O197" s="303"/>
      <c r="P197" s="259"/>
      <c r="Q197" s="259"/>
      <c r="R197" s="259"/>
      <c r="S197" s="259"/>
      <c r="T197" s="259"/>
    </row>
    <row r="198" spans="1:25" hidden="1">
      <c r="A198" s="150">
        <v>51</v>
      </c>
      <c r="B198" s="149" t="e">
        <f>#REF!</f>
        <v>#REF!</v>
      </c>
      <c r="C198" s="158" t="e">
        <f>#REF!</f>
        <v>#REF!</v>
      </c>
      <c r="D198" s="158" t="e">
        <f>#REF!</f>
        <v>#REF!</v>
      </c>
      <c r="E198" s="158" t="e">
        <f>#REF!</f>
        <v>#REF!</v>
      </c>
      <c r="F198" s="283" t="e">
        <f>#REF!</f>
        <v>#REF!</v>
      </c>
      <c r="G198" s="283" t="e">
        <f t="shared" si="53"/>
        <v>#REF!</v>
      </c>
      <c r="H198" s="252" t="e">
        <f t="shared" si="54"/>
        <v>#REF!</v>
      </c>
      <c r="I198" s="284" t="e">
        <f t="shared" si="55"/>
        <v>#REF!</v>
      </c>
      <c r="J198" s="285">
        <f>[3]perbulan!W177</f>
        <v>0</v>
      </c>
      <c r="K198" s="283" t="e">
        <f t="shared" si="56"/>
        <v>#REF!</v>
      </c>
      <c r="L198" s="258"/>
      <c r="M198" s="186" t="s">
        <v>475</v>
      </c>
      <c r="N198" s="290" t="s">
        <v>345</v>
      </c>
      <c r="O198" s="298"/>
      <c r="P198" s="259"/>
      <c r="Q198" s="259"/>
      <c r="R198" s="259"/>
      <c r="S198" s="259"/>
      <c r="T198" s="259"/>
    </row>
    <row r="199" spans="1:25" hidden="1">
      <c r="A199" s="150">
        <v>46</v>
      </c>
      <c r="B199" s="149" t="e">
        <f>#REF!</f>
        <v>#REF!</v>
      </c>
      <c r="C199" s="158" t="e">
        <f>#REF!</f>
        <v>#REF!</v>
      </c>
      <c r="D199" s="158" t="e">
        <f>#REF!</f>
        <v>#REF!</v>
      </c>
      <c r="E199" s="158" t="e">
        <f>#REF!</f>
        <v>#REF!</v>
      </c>
      <c r="F199" s="283" t="e">
        <f>#REF!</f>
        <v>#REF!</v>
      </c>
      <c r="G199" s="283" t="e">
        <f>ROUNDDOWN(F199,-3)</f>
        <v>#REF!</v>
      </c>
      <c r="H199" s="252" t="e">
        <f>G199*6%</f>
        <v>#REF!</v>
      </c>
      <c r="I199" s="284" t="e">
        <f>H199</f>
        <v>#REF!</v>
      </c>
      <c r="J199" s="285">
        <f>[3]perbulan!W180</f>
        <v>0</v>
      </c>
      <c r="K199" s="283" t="e">
        <f>IF(I199&lt;=J199,0,IF(I199&gt;J199,I199-J199))</f>
        <v>#REF!</v>
      </c>
      <c r="L199" s="258"/>
      <c r="M199" s="292" t="s">
        <v>476</v>
      </c>
      <c r="N199" s="290" t="s">
        <v>477</v>
      </c>
      <c r="O199" s="298"/>
      <c r="P199" s="259"/>
      <c r="Q199" s="259"/>
      <c r="R199" s="259"/>
      <c r="S199" s="259"/>
      <c r="T199" s="259"/>
    </row>
    <row r="200" spans="1:25" hidden="1">
      <c r="A200" s="150">
        <v>46</v>
      </c>
      <c r="B200" s="149" t="e">
        <f>#REF!</f>
        <v>#REF!</v>
      </c>
      <c r="C200" s="158" t="e">
        <f>#REF!</f>
        <v>#REF!</v>
      </c>
      <c r="D200" s="158" t="e">
        <f>#REF!</f>
        <v>#REF!</v>
      </c>
      <c r="E200" s="158" t="e">
        <f>#REF!</f>
        <v>#REF!</v>
      </c>
      <c r="F200" s="283" t="e">
        <f>#REF!</f>
        <v>#REF!</v>
      </c>
      <c r="G200" s="283" t="e">
        <f>ROUNDDOWN(F200,-3)</f>
        <v>#REF!</v>
      </c>
      <c r="H200" s="252" t="e">
        <f>G200*6%</f>
        <v>#REF!</v>
      </c>
      <c r="I200" s="284" t="e">
        <f>H200</f>
        <v>#REF!</v>
      </c>
      <c r="J200" s="285">
        <f>[3]perbulan!W181</f>
        <v>0</v>
      </c>
      <c r="K200" s="283" t="e">
        <f>IF(I200&lt;=J200,0,IF(I200&gt;J200,I200-J200))</f>
        <v>#REF!</v>
      </c>
      <c r="L200" s="258"/>
      <c r="M200" s="292" t="s">
        <v>478</v>
      </c>
      <c r="N200" s="290" t="s">
        <v>479</v>
      </c>
      <c r="O200" s="298"/>
      <c r="P200" s="259"/>
      <c r="Q200" s="259"/>
      <c r="R200" s="259"/>
      <c r="S200" s="259"/>
      <c r="T200" s="259"/>
    </row>
    <row r="201" spans="1:25" hidden="1">
      <c r="A201" s="150">
        <v>48</v>
      </c>
      <c r="B201" s="149" t="e">
        <f>#REF!</f>
        <v>#REF!</v>
      </c>
      <c r="C201" s="158" t="e">
        <f>#REF!</f>
        <v>#REF!</v>
      </c>
      <c r="D201" s="158" t="e">
        <f>#REF!</f>
        <v>#REF!</v>
      </c>
      <c r="E201" s="158" t="e">
        <f>#REF!</f>
        <v>#REF!</v>
      </c>
      <c r="F201" s="283" t="e">
        <f>#REF!</f>
        <v>#REF!</v>
      </c>
      <c r="G201" s="283" t="e">
        <f>ROUNDDOWN(F201,-3)</f>
        <v>#REF!</v>
      </c>
      <c r="H201" s="252" t="e">
        <f>G201*6%</f>
        <v>#REF!</v>
      </c>
      <c r="I201" s="284" t="e">
        <f>H201</f>
        <v>#REF!</v>
      </c>
      <c r="J201" s="285">
        <f>[3]perbulan!W182</f>
        <v>122422.20923040077</v>
      </c>
      <c r="K201" s="283" t="e">
        <f>IF(I201&lt;=J201,0,IF(I201&gt;J201,I201-J201))</f>
        <v>#REF!</v>
      </c>
      <c r="L201" s="258"/>
      <c r="M201" s="186" t="s">
        <v>456</v>
      </c>
      <c r="N201" s="290" t="s">
        <v>457</v>
      </c>
      <c r="O201" s="298"/>
      <c r="P201" s="259"/>
      <c r="Q201" s="259"/>
      <c r="R201" s="259"/>
      <c r="S201" s="259"/>
      <c r="T201" s="259"/>
    </row>
    <row r="202" spans="1:25" hidden="1"/>
    <row r="203" spans="1:25" hidden="1">
      <c r="A203" s="150">
        <v>28</v>
      </c>
      <c r="B203" s="149" t="str">
        <f t="shared" ref="B203:E204" si="57">B87</f>
        <v>KHAIRUL ALAMSYAH NASUTION</v>
      </c>
      <c r="C203" s="158" t="str">
        <f t="shared" si="57"/>
        <v>L</v>
      </c>
      <c r="D203" s="158" t="str">
        <f t="shared" si="57"/>
        <v>TK/0</v>
      </c>
      <c r="E203" s="158">
        <f t="shared" si="57"/>
        <v>4</v>
      </c>
      <c r="F203" s="283">
        <f>S87</f>
        <v>0</v>
      </c>
      <c r="G203" s="283">
        <f>ROUNDDOWN(F203,-3)</f>
        <v>0</v>
      </c>
      <c r="H203" s="294">
        <f>G203*5%</f>
        <v>0</v>
      </c>
      <c r="I203" s="284">
        <f>H203</f>
        <v>0</v>
      </c>
      <c r="J203" s="285">
        <f>[3]perbulan!W186</f>
        <v>104734.0387</v>
      </c>
      <c r="K203" s="283">
        <f>IF(I203&lt;=J203,0,IF(I203&gt;J203,I203-J203))</f>
        <v>0</v>
      </c>
      <c r="L203" s="183" t="s">
        <v>480</v>
      </c>
      <c r="M203" s="292" t="s">
        <v>481</v>
      </c>
      <c r="N203" s="259" t="s">
        <v>482</v>
      </c>
      <c r="O203" s="319"/>
      <c r="P203" s="259"/>
      <c r="Q203" s="235"/>
      <c r="R203" s="259"/>
      <c r="S203" s="259"/>
      <c r="T203" s="259"/>
    </row>
    <row r="204" spans="1:25" hidden="1">
      <c r="A204" s="150">
        <v>27</v>
      </c>
      <c r="B204" s="149" t="str">
        <f t="shared" si="57"/>
        <v>ROZI PANZI</v>
      </c>
      <c r="C204" s="158" t="str">
        <f t="shared" si="57"/>
        <v>L</v>
      </c>
      <c r="D204" s="158" t="str">
        <f t="shared" si="57"/>
        <v>TK/0</v>
      </c>
      <c r="E204" s="158">
        <f t="shared" si="57"/>
        <v>5</v>
      </c>
      <c r="F204" s="283">
        <f>S88</f>
        <v>0</v>
      </c>
      <c r="G204" s="283">
        <f>ROUNDDOWN(F204,-3)</f>
        <v>0</v>
      </c>
      <c r="H204" s="252">
        <f>G204*5%</f>
        <v>0</v>
      </c>
      <c r="I204" s="284">
        <f>H204</f>
        <v>0</v>
      </c>
      <c r="J204" s="285">
        <f>[3]perbulan!W187</f>
        <v>126580.48407500001</v>
      </c>
      <c r="K204" s="283">
        <f>IF(I204&lt;=J204,0,IF(I204&gt;J204,I204-J204))</f>
        <v>0</v>
      </c>
      <c r="L204" s="189" t="s">
        <v>483</v>
      </c>
      <c r="M204" s="292" t="s">
        <v>484</v>
      </c>
      <c r="N204" s="290" t="s">
        <v>193</v>
      </c>
      <c r="O204" s="291"/>
      <c r="P204" s="259"/>
      <c r="Q204" s="235"/>
      <c r="R204" s="259"/>
      <c r="S204" s="259"/>
      <c r="T204" s="259"/>
    </row>
    <row r="205" spans="1:25" hidden="1">
      <c r="A205" s="150">
        <v>49</v>
      </c>
      <c r="B205" s="149" t="str">
        <f>B89</f>
        <v>ERLANDA</v>
      </c>
      <c r="C205" s="158" t="str">
        <f>C89</f>
        <v>L</v>
      </c>
      <c r="D205" s="158" t="str">
        <f>D89</f>
        <v>K/2</v>
      </c>
      <c r="E205" s="158">
        <f>E89</f>
        <v>8</v>
      </c>
      <c r="F205" s="283">
        <f>S89</f>
        <v>0</v>
      </c>
      <c r="G205" s="283">
        <f>ROUNDDOWN(F205,-3)</f>
        <v>0</v>
      </c>
      <c r="H205" s="252">
        <f>G205*6%</f>
        <v>0</v>
      </c>
      <c r="I205" s="284">
        <f>H205</f>
        <v>0</v>
      </c>
      <c r="J205" s="285">
        <f>[3]perbulan!W188</f>
        <v>81802</v>
      </c>
      <c r="K205" s="283">
        <f>IF(I205&lt;=J205,0,IF(I205&gt;J205,I205-J205))</f>
        <v>0</v>
      </c>
      <c r="L205" s="258"/>
      <c r="M205" s="295" t="s">
        <v>485</v>
      </c>
      <c r="N205" s="188" t="s">
        <v>486</v>
      </c>
      <c r="O205" s="303"/>
      <c r="P205" s="259"/>
      <c r="Q205" s="235"/>
      <c r="R205" s="259"/>
      <c r="S205" s="259"/>
      <c r="T205" s="259"/>
    </row>
    <row r="208" spans="1:25">
      <c r="A208" s="150">
        <v>27</v>
      </c>
      <c r="B208" s="158" t="str">
        <f>+PERBULAN!B79</f>
        <v>RIO RESFATI</v>
      </c>
      <c r="C208" s="158" t="str">
        <f>+PERBULAN!C79</f>
        <v>L</v>
      </c>
      <c r="D208" s="158" t="str">
        <f>+PERBULAN!D79</f>
        <v>K/1</v>
      </c>
      <c r="E208" s="158">
        <f>+PERBULAN!E79</f>
        <v>2</v>
      </c>
      <c r="F208" s="252">
        <f>+PERBULAN!R79</f>
        <v>9991495.1199999992</v>
      </c>
      <c r="G208" s="252">
        <f>3876600*0.84%*E208</f>
        <v>65126.879999999997</v>
      </c>
      <c r="H208" s="252">
        <f>+PERBULAN!S79</f>
        <v>4035600</v>
      </c>
      <c r="I208" s="252">
        <f>+BPJS!O82</f>
        <v>312768</v>
      </c>
      <c r="J208" s="253">
        <v>0</v>
      </c>
      <c r="K208" s="252"/>
      <c r="L208" s="252">
        <f t="shared" ref="L208:L218" si="58">F208+G208+H208+I208+J208+K208</f>
        <v>14404990</v>
      </c>
      <c r="M208" s="254">
        <f>3876600*2%*E208</f>
        <v>155064</v>
      </c>
      <c r="N208" s="254">
        <f>3876600*1%*E208</f>
        <v>77532</v>
      </c>
      <c r="O208" s="252">
        <f t="shared" ref="O208:O218" si="59">L208*0.05</f>
        <v>720249.5</v>
      </c>
      <c r="P208" s="253">
        <f t="shared" ref="P208:P218" si="60">M208+N208+O208</f>
        <v>952845.5</v>
      </c>
      <c r="Q208" s="253">
        <f t="shared" ref="Q208:Q218" si="61">L208-P208</f>
        <v>13452144.5</v>
      </c>
      <c r="R208" s="184">
        <f t="shared" ref="R208:R218" si="62">IF(D208="TK/0",54000000,IF(D208="K/0",58500000,IF(D208="K/1",63000000,IF(D208="K/2",67500000,IF(D208="K/3",72000000)))))</f>
        <v>63000000</v>
      </c>
      <c r="S208" s="253">
        <f t="shared" ref="S208:S218" si="63">IF(Q208&lt;=R208,0,IF(Q208&gt;R208,Q208-R208))</f>
        <v>0</v>
      </c>
      <c r="T208" s="258"/>
      <c r="U208" s="256">
        <f t="shared" ref="U208:U218" si="64">G208+I208</f>
        <v>377894.88</v>
      </c>
      <c r="V208" s="257">
        <f t="shared" ref="V208:V218" si="65">M208+N208</f>
        <v>232596</v>
      </c>
      <c r="W208" s="259"/>
      <c r="X208" s="259"/>
      <c r="Y208" s="259"/>
    </row>
    <row r="209" spans="1:25">
      <c r="A209" s="150">
        <v>12</v>
      </c>
      <c r="B209" s="158" t="str">
        <f>+PERBULAN!B80</f>
        <v>YANTI NOVITA</v>
      </c>
      <c r="C209" s="158" t="str">
        <f>+PERBULAN!C80</f>
        <v>P</v>
      </c>
      <c r="D209" s="158" t="str">
        <f>+PERBULAN!D80</f>
        <v>TK/0</v>
      </c>
      <c r="E209" s="158">
        <f>+PERBULAN!E80</f>
        <v>3</v>
      </c>
      <c r="F209" s="252">
        <f>+PERBULAN!R80</f>
        <v>11973298.68</v>
      </c>
      <c r="G209" s="252">
        <f>3876600*0.84%*E209</f>
        <v>97690.319999999992</v>
      </c>
      <c r="H209" s="252">
        <f>+PERBULAN!S80</f>
        <v>3991100</v>
      </c>
      <c r="I209" s="252">
        <f>+BPJS!O83</f>
        <v>470832</v>
      </c>
      <c r="J209" s="253">
        <v>0</v>
      </c>
      <c r="K209" s="252"/>
      <c r="L209" s="252">
        <f t="shared" si="58"/>
        <v>16532921</v>
      </c>
      <c r="M209" s="254">
        <f>3876600*2%*E209</f>
        <v>232596</v>
      </c>
      <c r="N209" s="254">
        <f>3876600*1%*E209</f>
        <v>116298</v>
      </c>
      <c r="O209" s="252">
        <f t="shared" si="59"/>
        <v>826646.05</v>
      </c>
      <c r="P209" s="253">
        <f t="shared" si="60"/>
        <v>1175540.05</v>
      </c>
      <c r="Q209" s="253">
        <f t="shared" si="61"/>
        <v>15357380.949999999</v>
      </c>
      <c r="R209" s="184">
        <f t="shared" si="62"/>
        <v>54000000</v>
      </c>
      <c r="S209" s="253">
        <f t="shared" si="63"/>
        <v>0</v>
      </c>
      <c r="T209" s="258"/>
      <c r="U209" s="256">
        <f t="shared" si="64"/>
        <v>568522.31999999995</v>
      </c>
      <c r="V209" s="257">
        <f t="shared" si="65"/>
        <v>348894</v>
      </c>
      <c r="W209" s="259"/>
      <c r="X209" s="259"/>
      <c r="Y209" s="259"/>
    </row>
    <row r="210" spans="1:25">
      <c r="A210" s="150">
        <v>60</v>
      </c>
      <c r="B210" s="158" t="str">
        <f>+PERBULAN!B81</f>
        <v>EDI ZULKARNADI</v>
      </c>
      <c r="C210" s="158" t="str">
        <f>+PERBULAN!C81</f>
        <v>L</v>
      </c>
      <c r="D210" s="158" t="str">
        <f>+PERBULAN!D81</f>
        <v>K/1</v>
      </c>
      <c r="E210" s="158">
        <f>+PERBULAN!E81</f>
        <v>6</v>
      </c>
      <c r="F210" s="252">
        <f>+PERBULAN!R81</f>
        <v>25387320.799999993</v>
      </c>
      <c r="G210" s="252">
        <f>3876600*0.84%*E210</f>
        <v>195380.63999999998</v>
      </c>
      <c r="H210" s="252">
        <f>+PERBULAN!S81</f>
        <v>3998100</v>
      </c>
      <c r="I210" s="252">
        <f>+BPJS!O84</f>
        <v>936384</v>
      </c>
      <c r="J210" s="253">
        <v>0</v>
      </c>
      <c r="K210" s="252">
        <f>+PERBULAN!T81</f>
        <v>600000</v>
      </c>
      <c r="L210" s="252">
        <f t="shared" si="58"/>
        <v>31117185.439999994</v>
      </c>
      <c r="M210" s="254">
        <f>3876600*2%*E210</f>
        <v>465192</v>
      </c>
      <c r="N210" s="254">
        <f>3876600*1%*E210</f>
        <v>232596</v>
      </c>
      <c r="O210" s="252">
        <f t="shared" si="59"/>
        <v>1555859.2719999999</v>
      </c>
      <c r="P210" s="253">
        <f t="shared" si="60"/>
        <v>2253647.2719999999</v>
      </c>
      <c r="Q210" s="253">
        <f t="shared" si="61"/>
        <v>28863538.167999994</v>
      </c>
      <c r="R210" s="184">
        <f t="shared" si="62"/>
        <v>63000000</v>
      </c>
      <c r="S210" s="253">
        <f t="shared" si="63"/>
        <v>0</v>
      </c>
      <c r="T210" s="264"/>
      <c r="U210" s="256">
        <f t="shared" si="64"/>
        <v>1131764.6399999999</v>
      </c>
      <c r="V210" s="257">
        <f t="shared" si="65"/>
        <v>697788</v>
      </c>
      <c r="W210" s="259"/>
      <c r="X210" s="259"/>
      <c r="Y210" s="259"/>
    </row>
    <row r="211" spans="1:25">
      <c r="A211" s="150">
        <v>37</v>
      </c>
      <c r="B211" s="158" t="str">
        <f>+PERBULAN!B82</f>
        <v>SUNARDI</v>
      </c>
      <c r="C211" s="158" t="str">
        <f>+PERBULAN!C82</f>
        <v>L</v>
      </c>
      <c r="D211" s="158" t="str">
        <f>+PERBULAN!D82</f>
        <v>K/2</v>
      </c>
      <c r="E211" s="158">
        <f>+PERBULAN!E82</f>
        <v>6</v>
      </c>
      <c r="F211" s="252">
        <f>+PERBULAN!R82</f>
        <v>27063209.359999996</v>
      </c>
      <c r="G211" s="252">
        <f>3876600*0.84%*E211</f>
        <v>195380.63999999998</v>
      </c>
      <c r="H211" s="252">
        <f>+PERBULAN!S82</f>
        <v>4053100</v>
      </c>
      <c r="I211" s="252">
        <f>+BPJS!O85</f>
        <v>932584</v>
      </c>
      <c r="J211" s="253">
        <v>0</v>
      </c>
      <c r="K211" s="252">
        <f>+PERBULAN!T82</f>
        <v>200000</v>
      </c>
      <c r="L211" s="252">
        <f t="shared" si="58"/>
        <v>32444273.999999996</v>
      </c>
      <c r="M211" s="254">
        <f>3876600*2%*E211</f>
        <v>465192</v>
      </c>
      <c r="N211" s="254">
        <f>3876600*1%*E211</f>
        <v>232596</v>
      </c>
      <c r="O211" s="252">
        <f t="shared" si="59"/>
        <v>1622213.7</v>
      </c>
      <c r="P211" s="253">
        <f t="shared" si="60"/>
        <v>2320001.7000000002</v>
      </c>
      <c r="Q211" s="253">
        <f t="shared" si="61"/>
        <v>30124272.299999997</v>
      </c>
      <c r="R211" s="184">
        <f t="shared" si="62"/>
        <v>67500000</v>
      </c>
      <c r="S211" s="253">
        <f t="shared" si="63"/>
        <v>0</v>
      </c>
      <c r="T211" s="258"/>
      <c r="U211" s="256">
        <f t="shared" si="64"/>
        <v>1127964.6399999999</v>
      </c>
      <c r="V211" s="257">
        <f t="shared" si="65"/>
        <v>697788</v>
      </c>
      <c r="W211" s="259"/>
      <c r="X211" s="259"/>
      <c r="Y211" s="259"/>
    </row>
    <row r="212" spans="1:25">
      <c r="A212" s="150">
        <v>29</v>
      </c>
      <c r="B212" s="158" t="str">
        <f>+PERBULAN!B83</f>
        <v>MUSNI</v>
      </c>
      <c r="C212" s="158" t="str">
        <f>+PERBULAN!C83</f>
        <v>L</v>
      </c>
      <c r="D212" s="158" t="str">
        <f>+PERBULAN!D83</f>
        <v>K/0</v>
      </c>
      <c r="E212" s="158">
        <f>+PERBULAN!E83</f>
        <v>7</v>
      </c>
      <c r="F212" s="252">
        <f>+PERBULAN!R83</f>
        <v>33018563.519999996</v>
      </c>
      <c r="G212" s="252">
        <f>+BPJS!O179</f>
        <v>228120.47999999998</v>
      </c>
      <c r="H212" s="252">
        <f>+PERBULAN!S83</f>
        <v>4008600</v>
      </c>
      <c r="I212" s="252">
        <f>+BPJS!O86</f>
        <v>1091328</v>
      </c>
      <c r="J212" s="253">
        <v>0</v>
      </c>
      <c r="K212" s="252">
        <f>+PERBULAN!T83</f>
        <v>900000</v>
      </c>
      <c r="L212" s="252">
        <f t="shared" si="58"/>
        <v>39246612</v>
      </c>
      <c r="M212" s="254">
        <f>+'ASTEK+PENSIUN-DIISI SMPAI DES'!O81</f>
        <v>543144</v>
      </c>
      <c r="N212" s="254">
        <f>+'ASTEK+PENSIUN-DIISI SMPAI DES'!O168</f>
        <v>271572</v>
      </c>
      <c r="O212" s="252">
        <f t="shared" si="59"/>
        <v>1962330.6</v>
      </c>
      <c r="P212" s="253">
        <f t="shared" si="60"/>
        <v>2777046.6</v>
      </c>
      <c r="Q212" s="253">
        <f t="shared" si="61"/>
        <v>36469565.399999999</v>
      </c>
      <c r="R212" s="184">
        <f t="shared" si="62"/>
        <v>58500000</v>
      </c>
      <c r="S212" s="253">
        <f t="shared" si="63"/>
        <v>0</v>
      </c>
      <c r="T212" s="258"/>
      <c r="U212" s="256">
        <f t="shared" si="64"/>
        <v>1319448.48</v>
      </c>
      <c r="V212" s="257">
        <f t="shared" si="65"/>
        <v>814716</v>
      </c>
      <c r="W212" s="259"/>
      <c r="X212" s="259"/>
      <c r="Y212" s="259"/>
    </row>
    <row r="213" spans="1:25">
      <c r="A213" s="150">
        <v>31</v>
      </c>
      <c r="B213" s="158" t="str">
        <f>+PERBULAN!B84</f>
        <v>ARPANDI</v>
      </c>
      <c r="C213" s="158" t="str">
        <f>+PERBULAN!C84</f>
        <v>L</v>
      </c>
      <c r="D213" s="158" t="str">
        <f>+PERBULAN!D84</f>
        <v>K/1</v>
      </c>
      <c r="E213" s="158">
        <f>+PERBULAN!E84</f>
        <v>7</v>
      </c>
      <c r="F213" s="252">
        <f>+PERBULAN!R84</f>
        <v>33863773.519999996</v>
      </c>
      <c r="G213" s="252">
        <f>+BPJS!O180</f>
        <v>228120.47999999998</v>
      </c>
      <c r="H213" s="252">
        <f>+PERBULAN!S84</f>
        <v>4034100</v>
      </c>
      <c r="I213" s="252">
        <f>+BPJS!O87</f>
        <v>1090608</v>
      </c>
      <c r="J213" s="253">
        <v>0</v>
      </c>
      <c r="K213" s="252">
        <f>+PERBULAN!T84</f>
        <v>200000</v>
      </c>
      <c r="L213" s="252">
        <f t="shared" si="58"/>
        <v>39416601.999999993</v>
      </c>
      <c r="M213" s="254">
        <f>+'ASTEK+PENSIUN-DIISI SMPAI DES'!O82</f>
        <v>543144</v>
      </c>
      <c r="N213" s="254">
        <f>+'ASTEK+PENSIUN-DIISI SMPAI DES'!O169</f>
        <v>271572</v>
      </c>
      <c r="O213" s="252">
        <f t="shared" si="59"/>
        <v>1970830.0999999996</v>
      </c>
      <c r="P213" s="253">
        <f t="shared" si="60"/>
        <v>2785546.0999999996</v>
      </c>
      <c r="Q213" s="253">
        <f t="shared" si="61"/>
        <v>36631055.899999991</v>
      </c>
      <c r="R213" s="184">
        <f t="shared" si="62"/>
        <v>63000000</v>
      </c>
      <c r="S213" s="253">
        <f t="shared" si="63"/>
        <v>0</v>
      </c>
      <c r="T213" s="258"/>
      <c r="U213" s="256">
        <f t="shared" si="64"/>
        <v>1318728.48</v>
      </c>
      <c r="V213" s="257">
        <f t="shared" si="65"/>
        <v>814716</v>
      </c>
      <c r="W213" s="259"/>
      <c r="X213" s="259"/>
      <c r="Y213" s="259"/>
    </row>
    <row r="214" spans="1:25">
      <c r="A214" s="150">
        <v>32</v>
      </c>
      <c r="B214" s="158" t="str">
        <f>+PERBULAN!B85</f>
        <v>MASRI</v>
      </c>
      <c r="C214" s="158" t="str">
        <f>+PERBULAN!C85</f>
        <v>L</v>
      </c>
      <c r="D214" s="158" t="str">
        <f>+PERBULAN!D85</f>
        <v>K/1</v>
      </c>
      <c r="E214" s="158">
        <f>+PERBULAN!E85</f>
        <v>7</v>
      </c>
      <c r="F214" s="252">
        <f>+PERBULAN!R85</f>
        <v>32895812.119999997</v>
      </c>
      <c r="G214" s="252">
        <f>+BPJS!O181</f>
        <v>228170.87999999998</v>
      </c>
      <c r="H214" s="252">
        <f>+PERBULAN!S85</f>
        <v>4040100</v>
      </c>
      <c r="I214" s="252">
        <f>+BPJS!O88</f>
        <v>1092648</v>
      </c>
      <c r="J214" s="253">
        <v>0</v>
      </c>
      <c r="K214" s="252">
        <f>+PERBULAN!T85</f>
        <v>200000</v>
      </c>
      <c r="L214" s="252">
        <f t="shared" si="58"/>
        <v>38456731</v>
      </c>
      <c r="M214" s="254">
        <f>+'ASTEK+PENSIUN-DIISI SMPAI DES'!O83</f>
        <v>543264</v>
      </c>
      <c r="N214" s="254">
        <f>+'ASTEK+PENSIUN-DIISI SMPAI DES'!O170</f>
        <v>271632</v>
      </c>
      <c r="O214" s="252">
        <f t="shared" si="59"/>
        <v>1922836.55</v>
      </c>
      <c r="P214" s="253">
        <f t="shared" si="60"/>
        <v>2737732.55</v>
      </c>
      <c r="Q214" s="253">
        <f t="shared" si="61"/>
        <v>35718998.450000003</v>
      </c>
      <c r="R214" s="184">
        <f t="shared" si="62"/>
        <v>63000000</v>
      </c>
      <c r="S214" s="253">
        <f t="shared" si="63"/>
        <v>0</v>
      </c>
      <c r="T214" s="258"/>
      <c r="U214" s="256">
        <f t="shared" si="64"/>
        <v>1320818.8799999999</v>
      </c>
      <c r="V214" s="257">
        <f t="shared" si="65"/>
        <v>814896</v>
      </c>
      <c r="W214" s="259"/>
      <c r="X214" s="259"/>
      <c r="Y214" s="259"/>
    </row>
    <row r="215" spans="1:25">
      <c r="A215" s="150">
        <v>35</v>
      </c>
      <c r="B215" s="158" t="str">
        <f>+PERBULAN!B86</f>
        <v>HARDIANSYAH</v>
      </c>
      <c r="C215" s="158" t="str">
        <f>+PERBULAN!C86</f>
        <v>L</v>
      </c>
      <c r="D215" s="158" t="str">
        <f>+PERBULAN!D86</f>
        <v>K/2</v>
      </c>
      <c r="E215" s="158">
        <f>+PERBULAN!E86</f>
        <v>7</v>
      </c>
      <c r="F215" s="252">
        <f>+PERBULAN!R86</f>
        <v>33102182.919999994</v>
      </c>
      <c r="G215" s="252">
        <f>+BPJS!O182</f>
        <v>228049.08</v>
      </c>
      <c r="H215" s="252">
        <f>+PERBULAN!S86</f>
        <v>4053100</v>
      </c>
      <c r="I215" s="252">
        <f>+BPJS!O89</f>
        <v>1088448</v>
      </c>
      <c r="J215" s="184">
        <v>0</v>
      </c>
      <c r="K215" s="252">
        <f>+PERBULAN!T86</f>
        <v>600000</v>
      </c>
      <c r="L215" s="252">
        <f t="shared" si="58"/>
        <v>39071779.999999993</v>
      </c>
      <c r="M215" s="254">
        <f>+'ASTEK+PENSIUN-DIISI SMPAI DES'!O84</f>
        <v>542974</v>
      </c>
      <c r="N215" s="254">
        <f>+'ASTEK+PENSIUN-DIISI SMPAI DES'!O171</f>
        <v>271487</v>
      </c>
      <c r="O215" s="252">
        <f t="shared" si="59"/>
        <v>1953588.9999999998</v>
      </c>
      <c r="P215" s="253">
        <f t="shared" si="60"/>
        <v>2768050</v>
      </c>
      <c r="Q215" s="253">
        <f t="shared" si="61"/>
        <v>36303729.999999993</v>
      </c>
      <c r="R215" s="184">
        <f t="shared" si="62"/>
        <v>67500000</v>
      </c>
      <c r="S215" s="253">
        <f t="shared" si="63"/>
        <v>0</v>
      </c>
      <c r="T215" s="258"/>
      <c r="U215" s="256">
        <f t="shared" si="64"/>
        <v>1316497.08</v>
      </c>
      <c r="V215" s="257">
        <f t="shared" si="65"/>
        <v>814461</v>
      </c>
      <c r="W215" s="259"/>
      <c r="X215" s="259"/>
      <c r="Y215" s="259"/>
    </row>
    <row r="216" spans="1:25">
      <c r="A216" s="150">
        <v>41</v>
      </c>
      <c r="B216" s="158" t="str">
        <f>+PERBULAN!B87</f>
        <v>SALEH</v>
      </c>
      <c r="C216" s="158" t="str">
        <f>+PERBULAN!C87</f>
        <v>L</v>
      </c>
      <c r="D216" s="158" t="str">
        <f>+PERBULAN!D87</f>
        <v>K/0</v>
      </c>
      <c r="E216" s="158">
        <f>+PERBULAN!E87</f>
        <v>7</v>
      </c>
      <c r="F216" s="252">
        <f>+PERBULAN!R87</f>
        <v>33525064.919999994</v>
      </c>
      <c r="G216" s="252">
        <f>+BPJS!O183</f>
        <v>227965.08</v>
      </c>
      <c r="H216" s="252">
        <f>+PERBULAN!S87</f>
        <v>3990100</v>
      </c>
      <c r="I216" s="252">
        <f>+BPJS!O90</f>
        <v>1086148</v>
      </c>
      <c r="J216" s="253">
        <v>0</v>
      </c>
      <c r="K216" s="252">
        <f>+PERBULAN!T87</f>
        <v>200000</v>
      </c>
      <c r="L216" s="252">
        <f t="shared" si="58"/>
        <v>39029277.999999993</v>
      </c>
      <c r="M216" s="254">
        <f>+'ASTEK+PENSIUN-DIISI SMPAI DES'!O85</f>
        <v>542774</v>
      </c>
      <c r="N216" s="254">
        <f>+'ASTEK+PENSIUN-DIISI SMPAI DES'!O172</f>
        <v>271387</v>
      </c>
      <c r="O216" s="252">
        <f t="shared" si="59"/>
        <v>1951463.8999999997</v>
      </c>
      <c r="P216" s="253">
        <f t="shared" si="60"/>
        <v>2765624.8999999994</v>
      </c>
      <c r="Q216" s="253">
        <f t="shared" si="61"/>
        <v>36263653.099999994</v>
      </c>
      <c r="R216" s="184">
        <f t="shared" si="62"/>
        <v>58500000</v>
      </c>
      <c r="S216" s="253">
        <f t="shared" si="63"/>
        <v>0</v>
      </c>
      <c r="T216" s="258"/>
      <c r="U216" s="256">
        <f t="shared" si="64"/>
        <v>1314113.08</v>
      </c>
      <c r="V216" s="257">
        <f t="shared" si="65"/>
        <v>814161</v>
      </c>
      <c r="W216" s="259"/>
      <c r="X216" s="259"/>
      <c r="Y216" s="259"/>
    </row>
    <row r="217" spans="1:25">
      <c r="A217" s="150">
        <v>48</v>
      </c>
      <c r="B217" s="158" t="str">
        <f>+PERBULAN!B88</f>
        <v>JUFRI</v>
      </c>
      <c r="C217" s="158" t="str">
        <f>+PERBULAN!C88</f>
        <v>L</v>
      </c>
      <c r="D217" s="158" t="str">
        <f>+PERBULAN!D88</f>
        <v>K/2</v>
      </c>
      <c r="E217" s="158">
        <f>+PERBULAN!E88</f>
        <v>7</v>
      </c>
      <c r="F217" s="252">
        <f>+PERBULAN!R88</f>
        <v>31572635.919999994</v>
      </c>
      <c r="G217" s="252">
        <f>+BPJS!O184</f>
        <v>228028.08</v>
      </c>
      <c r="H217" s="252">
        <f>+PERBULAN!S88</f>
        <v>4050600</v>
      </c>
      <c r="I217" s="252">
        <f>+BPJS!O91</f>
        <v>1087748</v>
      </c>
      <c r="J217" s="184">
        <v>0</v>
      </c>
      <c r="K217" s="252">
        <f>+PERBULAN!T88</f>
        <v>200000</v>
      </c>
      <c r="L217" s="252">
        <f t="shared" si="58"/>
        <v>37139011.999999993</v>
      </c>
      <c r="M217" s="254">
        <f>+'ASTEK+PENSIUN-DIISI SMPAI DES'!O86</f>
        <v>542924</v>
      </c>
      <c r="N217" s="254">
        <f>+'ASTEK+PENSIUN-DIISI SMPAI DES'!O173</f>
        <v>271462</v>
      </c>
      <c r="O217" s="262">
        <f t="shared" si="59"/>
        <v>1856950.5999999996</v>
      </c>
      <c r="P217" s="184">
        <f t="shared" si="60"/>
        <v>2671336.5999999996</v>
      </c>
      <c r="Q217" s="184">
        <f t="shared" si="61"/>
        <v>34467675.399999991</v>
      </c>
      <c r="R217" s="184">
        <f t="shared" si="62"/>
        <v>67500000</v>
      </c>
      <c r="S217" s="184">
        <f t="shared" si="63"/>
        <v>0</v>
      </c>
      <c r="T217" s="258"/>
      <c r="U217" s="256">
        <f t="shared" si="64"/>
        <v>1315776.08</v>
      </c>
      <c r="V217" s="257">
        <f t="shared" si="65"/>
        <v>814386</v>
      </c>
      <c r="W217" s="259"/>
      <c r="X217" s="259"/>
      <c r="Y217" s="259"/>
    </row>
    <row r="218" spans="1:25">
      <c r="A218" s="150">
        <v>50</v>
      </c>
      <c r="B218" s="158" t="str">
        <f>+PERBULAN!B89</f>
        <v>ZAMALUDIN</v>
      </c>
      <c r="C218" s="158" t="str">
        <f>+PERBULAN!C89</f>
        <v>L</v>
      </c>
      <c r="D218" s="158" t="str">
        <f>+PERBULAN!D89</f>
        <v>K/1</v>
      </c>
      <c r="E218" s="158">
        <f>+PERBULAN!E89</f>
        <v>7</v>
      </c>
      <c r="F218" s="252">
        <f>+PERBULAN!R89</f>
        <v>32385173.919999994</v>
      </c>
      <c r="G218" s="252">
        <f>+BPJS!O185</f>
        <v>227944.08</v>
      </c>
      <c r="H218" s="252">
        <f>+PERBULAN!S89</f>
        <v>2008050</v>
      </c>
      <c r="I218" s="252">
        <f>+BPJS!O92</f>
        <v>1085448</v>
      </c>
      <c r="J218" s="184">
        <v>0</v>
      </c>
      <c r="K218" s="252">
        <f>+PERBULAN!T89</f>
        <v>150000</v>
      </c>
      <c r="L218" s="252">
        <f t="shared" si="58"/>
        <v>35856615.999999993</v>
      </c>
      <c r="M218" s="254">
        <f>+'ASTEK+PENSIUN-DIISI SMPAI DES'!O87</f>
        <v>542724</v>
      </c>
      <c r="N218" s="254">
        <f>+'ASTEK+PENSIUN-DIISI SMPAI DES'!O174</f>
        <v>271362</v>
      </c>
      <c r="O218" s="262">
        <f t="shared" si="59"/>
        <v>1792830.7999999998</v>
      </c>
      <c r="P218" s="184">
        <f t="shared" si="60"/>
        <v>2606916.7999999998</v>
      </c>
      <c r="Q218" s="184">
        <f t="shared" si="61"/>
        <v>33249699.199999992</v>
      </c>
      <c r="R218" s="184">
        <f t="shared" si="62"/>
        <v>63000000</v>
      </c>
      <c r="S218" s="184">
        <f t="shared" si="63"/>
        <v>0</v>
      </c>
      <c r="T218" s="258"/>
      <c r="U218" s="256">
        <f t="shared" si="64"/>
        <v>1313392.08</v>
      </c>
      <c r="V218" s="257">
        <f t="shared" si="65"/>
        <v>814086</v>
      </c>
      <c r="W218" s="259"/>
      <c r="X218" s="259"/>
      <c r="Y218" s="259"/>
    </row>
  </sheetData>
  <mergeCells count="29">
    <mergeCell ref="E4:E6"/>
    <mergeCell ref="A77:D77"/>
    <mergeCell ref="A3:B3"/>
    <mergeCell ref="A4:A6"/>
    <mergeCell ref="B4:B6"/>
    <mergeCell ref="C4:C6"/>
    <mergeCell ref="D4:D6"/>
    <mergeCell ref="F4:K4"/>
    <mergeCell ref="M4:P4"/>
    <mergeCell ref="R4:R6"/>
    <mergeCell ref="F5:F6"/>
    <mergeCell ref="H5:H6"/>
    <mergeCell ref="M94:M96"/>
    <mergeCell ref="N94:O96"/>
    <mergeCell ref="A173:D173"/>
    <mergeCell ref="A183:B183"/>
    <mergeCell ref="F183:G183"/>
    <mergeCell ref="J183:K183"/>
    <mergeCell ref="A94:A96"/>
    <mergeCell ref="B94:B96"/>
    <mergeCell ref="C94:C96"/>
    <mergeCell ref="D94:D96"/>
    <mergeCell ref="E94:E96"/>
    <mergeCell ref="K94:K96"/>
    <mergeCell ref="A186:B186"/>
    <mergeCell ref="F186:G186"/>
    <mergeCell ref="J186:K186"/>
    <mergeCell ref="A187:B187"/>
    <mergeCell ref="F187:G18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8"/>
  <sheetViews>
    <sheetView topLeftCell="A55" workbookViewId="0">
      <pane xSplit="2" topLeftCell="C1" activePane="topRight" state="frozen"/>
      <selection activeCell="O70" sqref="O70"/>
      <selection pane="topRight" activeCell="O70" sqref="O70"/>
    </sheetView>
  </sheetViews>
  <sheetFormatPr defaultRowHeight="15"/>
  <cols>
    <col min="1" max="1" width="5" style="192" customWidth="1"/>
    <col min="2" max="2" width="27.140625" style="192" customWidth="1"/>
    <col min="3" max="3" width="21.5703125" style="320" customWidth="1"/>
    <col min="4" max="4" width="10.140625" style="192" customWidth="1"/>
    <col min="5" max="5" width="11" style="192" customWidth="1"/>
    <col min="6" max="6" width="11.28515625" style="192" customWidth="1"/>
    <col min="7" max="7" width="8.85546875" style="192" customWidth="1"/>
    <col min="8" max="8" width="10.85546875" style="192" hidden="1" customWidth="1"/>
    <col min="9" max="9" width="10.5703125" style="192" customWidth="1"/>
    <col min="10" max="10" width="11.28515625" style="192" hidden="1" customWidth="1"/>
    <col min="11" max="11" width="8.7109375" style="192" customWidth="1"/>
    <col min="12" max="12" width="9.85546875" style="192" customWidth="1"/>
    <col min="13" max="13" width="10.5703125" style="192" customWidth="1"/>
    <col min="14" max="14" width="12.5703125" style="192" customWidth="1"/>
    <col min="15" max="15" width="10.7109375" style="192" customWidth="1"/>
    <col min="16" max="16" width="12.5703125" style="192" customWidth="1"/>
    <col min="17" max="17" width="11.7109375" style="192" customWidth="1"/>
    <col min="18" max="18" width="12.7109375" style="192" customWidth="1"/>
    <col min="19" max="19" width="12.42578125" style="192" customWidth="1"/>
    <col min="20" max="20" width="11.28515625" style="192" customWidth="1"/>
    <col min="21" max="21" width="6.42578125" style="192" customWidth="1"/>
    <col min="22" max="22" width="5.5703125" style="192" customWidth="1"/>
    <col min="23" max="23" width="9.140625" style="192" customWidth="1"/>
    <col min="24" max="16384" width="9.140625" style="192"/>
  </cols>
  <sheetData>
    <row r="1" spans="1:23">
      <c r="B1" s="596" t="s">
        <v>490</v>
      </c>
      <c r="C1" s="597" t="s">
        <v>491</v>
      </c>
      <c r="D1" s="599" t="s">
        <v>518</v>
      </c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192" t="s">
        <v>492</v>
      </c>
      <c r="S1" s="192" t="s">
        <v>493</v>
      </c>
      <c r="T1" s="192" t="s">
        <v>494</v>
      </c>
    </row>
    <row r="2" spans="1:23">
      <c r="B2" s="596"/>
      <c r="C2" s="598"/>
      <c r="D2" s="216" t="s">
        <v>495</v>
      </c>
      <c r="E2" s="216" t="s">
        <v>496</v>
      </c>
      <c r="F2" s="216" t="s">
        <v>497</v>
      </c>
      <c r="G2" s="216" t="s">
        <v>498</v>
      </c>
      <c r="H2" s="216" t="s">
        <v>74</v>
      </c>
      <c r="I2" s="216" t="s">
        <v>499</v>
      </c>
      <c r="J2" s="216" t="s">
        <v>500</v>
      </c>
      <c r="K2" s="216" t="s">
        <v>501</v>
      </c>
      <c r="L2" s="216" t="s">
        <v>223</v>
      </c>
      <c r="M2" s="216" t="s">
        <v>502</v>
      </c>
      <c r="N2" s="216" t="s">
        <v>503</v>
      </c>
      <c r="O2" s="216" t="s">
        <v>504</v>
      </c>
      <c r="P2" s="216" t="s">
        <v>505</v>
      </c>
      <c r="Q2" s="216" t="s">
        <v>31</v>
      </c>
      <c r="R2" s="217"/>
    </row>
    <row r="3" spans="1:23">
      <c r="A3" s="192">
        <v>1</v>
      </c>
      <c r="B3" s="158" t="str">
        <f>+PERBULAN!B6</f>
        <v>GUNAWAN</v>
      </c>
      <c r="C3" s="398" t="s">
        <v>426</v>
      </c>
      <c r="D3" s="216">
        <v>74427</v>
      </c>
      <c r="E3" s="216">
        <v>53146</v>
      </c>
      <c r="F3" s="216">
        <v>288872</v>
      </c>
      <c r="G3" s="216">
        <v>51433</v>
      </c>
      <c r="H3" s="216"/>
      <c r="I3" s="216">
        <v>84552</v>
      </c>
      <c r="J3" s="216"/>
      <c r="K3" s="216">
        <v>75972</v>
      </c>
      <c r="L3" s="216">
        <v>81705</v>
      </c>
      <c r="M3" s="216">
        <v>82439</v>
      </c>
      <c r="N3" s="216">
        <v>76977</v>
      </c>
      <c r="O3" s="216">
        <v>53637</v>
      </c>
      <c r="P3" s="216">
        <v>76504</v>
      </c>
      <c r="Q3" s="216"/>
      <c r="R3" s="218">
        <f t="shared" ref="R3:R12" si="0">SUM(D3:Q3)</f>
        <v>999664</v>
      </c>
      <c r="S3" s="217">
        <v>0</v>
      </c>
      <c r="T3" s="218">
        <f t="shared" ref="T3:T12" si="1">R3-S3</f>
        <v>999664</v>
      </c>
      <c r="V3" s="218">
        <f t="shared" ref="V3:V55" si="2">COUNT(D3:Q3)-COUNT(H3)-COUNT(J3)</f>
        <v>11</v>
      </c>
      <c r="W3" s="217"/>
    </row>
    <row r="4" spans="1:23">
      <c r="A4" s="192">
        <v>2</v>
      </c>
      <c r="B4" s="158" t="str">
        <f>+PERBULAN!B7</f>
        <v>RILYANI</v>
      </c>
      <c r="C4" s="398" t="s">
        <v>427</v>
      </c>
      <c r="D4" s="216">
        <v>0</v>
      </c>
      <c r="E4" s="216">
        <v>0</v>
      </c>
      <c r="F4" s="216">
        <v>128008</v>
      </c>
      <c r="G4" s="216">
        <v>0</v>
      </c>
      <c r="H4" s="216"/>
      <c r="I4" s="216">
        <v>0</v>
      </c>
      <c r="J4" s="216"/>
      <c r="K4" s="216">
        <v>0</v>
      </c>
      <c r="L4" s="216">
        <v>0</v>
      </c>
      <c r="M4" s="216">
        <v>0</v>
      </c>
      <c r="N4" s="216">
        <v>0</v>
      </c>
      <c r="O4" s="216">
        <v>0</v>
      </c>
      <c r="P4" s="216">
        <v>0</v>
      </c>
      <c r="Q4" s="216"/>
      <c r="R4" s="218">
        <f t="shared" si="0"/>
        <v>128008</v>
      </c>
      <c r="S4" s="217">
        <v>0</v>
      </c>
      <c r="T4" s="218">
        <f t="shared" si="1"/>
        <v>128008</v>
      </c>
      <c r="V4" s="218">
        <f t="shared" si="2"/>
        <v>11</v>
      </c>
      <c r="W4" s="217"/>
    </row>
    <row r="5" spans="1:23">
      <c r="A5" s="192">
        <v>3</v>
      </c>
      <c r="B5" s="158" t="str">
        <f>+PERBULAN!B8</f>
        <v>JUNAIDI</v>
      </c>
      <c r="C5" s="398" t="s">
        <v>428</v>
      </c>
      <c r="D5" s="216">
        <v>0</v>
      </c>
      <c r="E5" s="216">
        <v>0</v>
      </c>
      <c r="F5" s="216">
        <v>126855</v>
      </c>
      <c r="G5" s="216">
        <v>0</v>
      </c>
      <c r="H5" s="216"/>
      <c r="I5" s="216">
        <v>0</v>
      </c>
      <c r="J5" s="216"/>
      <c r="K5" s="216">
        <v>0</v>
      </c>
      <c r="L5" s="216">
        <v>0</v>
      </c>
      <c r="M5" s="216">
        <v>0</v>
      </c>
      <c r="N5" s="216">
        <v>0</v>
      </c>
      <c r="O5" s="216">
        <v>0</v>
      </c>
      <c r="P5" s="216">
        <v>0</v>
      </c>
      <c r="Q5" s="216"/>
      <c r="R5" s="218">
        <f t="shared" si="0"/>
        <v>126855</v>
      </c>
      <c r="S5" s="217">
        <v>0</v>
      </c>
      <c r="T5" s="218">
        <f t="shared" si="1"/>
        <v>126855</v>
      </c>
      <c r="V5" s="218">
        <f t="shared" si="2"/>
        <v>11</v>
      </c>
      <c r="W5" s="217"/>
    </row>
    <row r="6" spans="1:23">
      <c r="A6" s="192">
        <v>4</v>
      </c>
      <c r="B6" s="434" t="str">
        <f>+PERBULAN!B9</f>
        <v>UMIYATI</v>
      </c>
      <c r="C6" s="435" t="s">
        <v>429</v>
      </c>
      <c r="D6" s="436">
        <v>0</v>
      </c>
      <c r="E6" s="436">
        <v>0</v>
      </c>
      <c r="F6" s="436">
        <v>125940</v>
      </c>
      <c r="G6" s="436">
        <v>0</v>
      </c>
      <c r="H6" s="436"/>
      <c r="I6" s="436"/>
      <c r="J6" s="436"/>
      <c r="K6" s="436"/>
      <c r="L6" s="436"/>
      <c r="M6" s="436"/>
      <c r="N6" s="436"/>
      <c r="O6" s="436"/>
      <c r="P6" s="436"/>
      <c r="Q6" s="436"/>
      <c r="R6" s="437">
        <f t="shared" si="0"/>
        <v>125940</v>
      </c>
      <c r="S6" s="438">
        <v>0</v>
      </c>
      <c r="T6" s="437">
        <f t="shared" si="1"/>
        <v>125940</v>
      </c>
      <c r="V6" s="218">
        <f t="shared" si="2"/>
        <v>4</v>
      </c>
      <c r="W6" s="217"/>
    </row>
    <row r="7" spans="1:23">
      <c r="A7" s="192">
        <v>5</v>
      </c>
      <c r="B7" s="158" t="str">
        <f>+PERBULAN!B10</f>
        <v>ASUNTI</v>
      </c>
      <c r="C7" s="398" t="s">
        <v>430</v>
      </c>
      <c r="D7" s="216">
        <v>0</v>
      </c>
      <c r="E7" s="216">
        <v>0</v>
      </c>
      <c r="F7" s="216">
        <v>124548</v>
      </c>
      <c r="G7" s="216">
        <v>0</v>
      </c>
      <c r="H7" s="216"/>
      <c r="I7" s="216">
        <v>0</v>
      </c>
      <c r="J7" s="216"/>
      <c r="K7" s="216">
        <v>0</v>
      </c>
      <c r="L7" s="216">
        <v>0</v>
      </c>
      <c r="M7" s="216">
        <v>0</v>
      </c>
      <c r="N7" s="216">
        <v>0</v>
      </c>
      <c r="O7" s="216">
        <v>0</v>
      </c>
      <c r="P7" s="216">
        <v>0</v>
      </c>
      <c r="Q7" s="216"/>
      <c r="R7" s="218">
        <f t="shared" si="0"/>
        <v>124548</v>
      </c>
      <c r="S7" s="217">
        <v>0</v>
      </c>
      <c r="T7" s="218">
        <f t="shared" si="1"/>
        <v>124548</v>
      </c>
      <c r="V7" s="218">
        <f t="shared" si="2"/>
        <v>11</v>
      </c>
      <c r="W7" s="217"/>
    </row>
    <row r="8" spans="1:23">
      <c r="A8" s="192">
        <v>6</v>
      </c>
      <c r="B8" s="158" t="str">
        <f>+PERBULAN!B11</f>
        <v>JONI</v>
      </c>
      <c r="C8" s="398" t="s">
        <v>431</v>
      </c>
      <c r="D8" s="216">
        <v>0</v>
      </c>
      <c r="E8" s="216">
        <v>0</v>
      </c>
      <c r="F8" s="216">
        <v>84567</v>
      </c>
      <c r="G8" s="216">
        <v>0</v>
      </c>
      <c r="H8" s="216"/>
      <c r="I8" s="216">
        <v>0</v>
      </c>
      <c r="J8" s="216"/>
      <c r="K8" s="216">
        <v>0</v>
      </c>
      <c r="L8" s="216">
        <v>0</v>
      </c>
      <c r="M8" s="216">
        <v>0</v>
      </c>
      <c r="N8" s="216">
        <v>0</v>
      </c>
      <c r="O8" s="216">
        <v>0</v>
      </c>
      <c r="P8" s="216">
        <v>0</v>
      </c>
      <c r="Q8" s="216"/>
      <c r="R8" s="218">
        <f t="shared" si="0"/>
        <v>84567</v>
      </c>
      <c r="S8" s="217">
        <v>0</v>
      </c>
      <c r="T8" s="218">
        <f t="shared" si="1"/>
        <v>84567</v>
      </c>
      <c r="V8" s="218">
        <f t="shared" si="2"/>
        <v>11</v>
      </c>
      <c r="W8" s="217"/>
    </row>
    <row r="9" spans="1:23">
      <c r="A9" s="192">
        <v>7</v>
      </c>
      <c r="B9" s="158" t="str">
        <f>+PERBULAN!B12</f>
        <v>THAHA.S</v>
      </c>
      <c r="C9" s="399" t="s">
        <v>432</v>
      </c>
      <c r="D9" s="216">
        <v>0</v>
      </c>
      <c r="E9" s="216">
        <v>0</v>
      </c>
      <c r="F9" s="216">
        <v>84567</v>
      </c>
      <c r="G9" s="216">
        <v>0</v>
      </c>
      <c r="H9" s="216"/>
      <c r="I9" s="216">
        <v>0</v>
      </c>
      <c r="J9" s="216"/>
      <c r="K9" s="216">
        <v>0</v>
      </c>
      <c r="L9" s="216">
        <v>0</v>
      </c>
      <c r="M9" s="216">
        <v>0</v>
      </c>
      <c r="N9" s="216">
        <v>0</v>
      </c>
      <c r="O9" s="216">
        <v>0</v>
      </c>
      <c r="P9" s="216">
        <v>0</v>
      </c>
      <c r="Q9" s="216"/>
      <c r="R9" s="218">
        <f t="shared" si="0"/>
        <v>84567</v>
      </c>
      <c r="S9" s="217">
        <v>0</v>
      </c>
      <c r="T9" s="218">
        <f t="shared" si="1"/>
        <v>84567</v>
      </c>
      <c r="V9" s="218">
        <f t="shared" si="2"/>
        <v>11</v>
      </c>
      <c r="W9" s="217"/>
    </row>
    <row r="10" spans="1:23">
      <c r="A10" s="192">
        <v>8</v>
      </c>
      <c r="B10" s="158" t="str">
        <f>+PERBULAN!B13</f>
        <v>ALEX</v>
      </c>
      <c r="C10" s="399" t="s">
        <v>433</v>
      </c>
      <c r="D10" s="216">
        <v>0</v>
      </c>
      <c r="E10" s="216">
        <v>0</v>
      </c>
      <c r="F10" s="216">
        <v>84698</v>
      </c>
      <c r="G10" s="216">
        <v>0</v>
      </c>
      <c r="H10" s="216"/>
      <c r="I10" s="216">
        <v>0</v>
      </c>
      <c r="J10" s="216"/>
      <c r="K10" s="216">
        <v>0</v>
      </c>
      <c r="L10" s="216">
        <v>0</v>
      </c>
      <c r="M10" s="216">
        <v>0</v>
      </c>
      <c r="N10" s="216">
        <v>0</v>
      </c>
      <c r="O10" s="216">
        <v>0</v>
      </c>
      <c r="P10" s="216">
        <v>0</v>
      </c>
      <c r="Q10" s="216"/>
      <c r="R10" s="218">
        <f t="shared" si="0"/>
        <v>84698</v>
      </c>
      <c r="S10" s="217">
        <v>0</v>
      </c>
      <c r="T10" s="218">
        <f t="shared" si="1"/>
        <v>84698</v>
      </c>
      <c r="V10" s="218">
        <f t="shared" si="2"/>
        <v>11</v>
      </c>
      <c r="W10" s="217"/>
    </row>
    <row r="11" spans="1:23">
      <c r="A11" s="192">
        <v>9</v>
      </c>
      <c r="B11" s="158" t="str">
        <f>+PERBULAN!B14</f>
        <v>SANDY</v>
      </c>
      <c r="C11" s="398" t="s">
        <v>434</v>
      </c>
      <c r="D11" s="216">
        <v>0</v>
      </c>
      <c r="E11" s="216">
        <v>0</v>
      </c>
      <c r="F11" s="216">
        <v>84149</v>
      </c>
      <c r="G11" s="216">
        <v>0</v>
      </c>
      <c r="H11" s="216"/>
      <c r="I11" s="216">
        <v>0</v>
      </c>
      <c r="J11" s="216"/>
      <c r="K11" s="216">
        <v>0</v>
      </c>
      <c r="L11" s="216">
        <v>0</v>
      </c>
      <c r="M11" s="216">
        <v>0</v>
      </c>
      <c r="N11" s="216">
        <v>0</v>
      </c>
      <c r="O11" s="216">
        <v>0</v>
      </c>
      <c r="P11" s="216">
        <v>0</v>
      </c>
      <c r="Q11" s="216"/>
      <c r="R11" s="218">
        <f t="shared" si="0"/>
        <v>84149</v>
      </c>
      <c r="S11" s="217">
        <v>0</v>
      </c>
      <c r="T11" s="218">
        <f t="shared" si="1"/>
        <v>84149</v>
      </c>
      <c r="V11" s="218">
        <f t="shared" si="2"/>
        <v>11</v>
      </c>
      <c r="W11" s="217"/>
    </row>
    <row r="12" spans="1:23">
      <c r="A12" s="192">
        <v>10</v>
      </c>
      <c r="B12" s="158" t="str">
        <f>+PERBULAN!B15</f>
        <v>ANTON</v>
      </c>
      <c r="C12" s="398" t="s">
        <v>435</v>
      </c>
      <c r="D12" s="216">
        <v>0</v>
      </c>
      <c r="E12" s="216">
        <v>0</v>
      </c>
      <c r="F12" s="216">
        <v>84567</v>
      </c>
      <c r="G12" s="216">
        <v>0</v>
      </c>
      <c r="H12" s="216"/>
      <c r="I12" s="216">
        <v>0</v>
      </c>
      <c r="J12" s="216"/>
      <c r="K12" s="216">
        <v>0</v>
      </c>
      <c r="L12" s="216">
        <v>0</v>
      </c>
      <c r="M12" s="216">
        <v>0</v>
      </c>
      <c r="N12" s="216">
        <v>0</v>
      </c>
      <c r="O12" s="216">
        <v>0</v>
      </c>
      <c r="P12" s="216">
        <v>0</v>
      </c>
      <c r="Q12" s="216"/>
      <c r="R12" s="218">
        <f t="shared" si="0"/>
        <v>84567</v>
      </c>
      <c r="S12" s="217">
        <v>0</v>
      </c>
      <c r="T12" s="218">
        <f t="shared" si="1"/>
        <v>84567</v>
      </c>
      <c r="V12" s="218">
        <f t="shared" si="2"/>
        <v>11</v>
      </c>
      <c r="W12" s="217"/>
    </row>
    <row r="13" spans="1:23">
      <c r="A13" s="192">
        <v>11</v>
      </c>
      <c r="B13" s="158" t="str">
        <f>+PERBULAN!B16</f>
        <v>EKA NOPIYANTI</v>
      </c>
      <c r="C13" s="399" t="s">
        <v>436</v>
      </c>
      <c r="D13" s="216">
        <v>0</v>
      </c>
      <c r="E13" s="216">
        <v>0</v>
      </c>
      <c r="F13" s="216">
        <v>124548</v>
      </c>
      <c r="G13" s="216">
        <v>0</v>
      </c>
      <c r="H13" s="216"/>
      <c r="I13" s="216">
        <v>0</v>
      </c>
      <c r="J13" s="216"/>
      <c r="K13" s="216">
        <v>0</v>
      </c>
      <c r="L13" s="216">
        <v>0</v>
      </c>
      <c r="M13" s="216">
        <v>0</v>
      </c>
      <c r="N13" s="216">
        <v>0</v>
      </c>
      <c r="O13" s="216">
        <v>0</v>
      </c>
      <c r="P13" s="216">
        <v>0</v>
      </c>
      <c r="Q13" s="216"/>
      <c r="R13" s="218">
        <f>SUM(D13:Q13)</f>
        <v>124548</v>
      </c>
      <c r="S13" s="217">
        <v>0</v>
      </c>
      <c r="T13" s="218">
        <f>R13-S13</f>
        <v>124548</v>
      </c>
      <c r="V13" s="218">
        <f t="shared" si="2"/>
        <v>11</v>
      </c>
      <c r="W13" s="217"/>
    </row>
    <row r="14" spans="1:23">
      <c r="A14" s="192">
        <v>12</v>
      </c>
      <c r="B14" s="158" t="str">
        <f>+PERBULAN!B17</f>
        <v>JUMIATI</v>
      </c>
      <c r="C14" s="399" t="s">
        <v>438</v>
      </c>
      <c r="D14" s="219">
        <v>0</v>
      </c>
      <c r="E14" s="216">
        <v>0</v>
      </c>
      <c r="F14" s="216">
        <v>124655</v>
      </c>
      <c r="G14" s="216">
        <v>0</v>
      </c>
      <c r="H14" s="216"/>
      <c r="I14" s="216">
        <v>0</v>
      </c>
      <c r="J14" s="216"/>
      <c r="K14" s="216">
        <v>0</v>
      </c>
      <c r="L14" s="216">
        <v>0</v>
      </c>
      <c r="M14" s="216">
        <v>0</v>
      </c>
      <c r="N14" s="216">
        <v>0</v>
      </c>
      <c r="O14" s="216">
        <v>0</v>
      </c>
      <c r="P14" s="216">
        <v>0</v>
      </c>
      <c r="Q14" s="216"/>
      <c r="R14" s="218">
        <f>SUM(D14:Q14)</f>
        <v>124655</v>
      </c>
      <c r="S14" s="217">
        <v>0</v>
      </c>
      <c r="T14" s="218">
        <f>R14-S14</f>
        <v>124655</v>
      </c>
      <c r="V14" s="218">
        <f t="shared" si="2"/>
        <v>11</v>
      </c>
      <c r="W14" s="217"/>
    </row>
    <row r="15" spans="1:23">
      <c r="A15" s="192">
        <v>13</v>
      </c>
      <c r="B15" s="158" t="str">
        <f>+PERBULAN!B18</f>
        <v>SUPARDI</v>
      </c>
      <c r="C15" s="398" t="s">
        <v>439</v>
      </c>
      <c r="D15" s="216">
        <v>0</v>
      </c>
      <c r="E15" s="216">
        <v>0</v>
      </c>
      <c r="F15" s="216">
        <v>86328</v>
      </c>
      <c r="G15" s="216">
        <v>0</v>
      </c>
      <c r="H15" s="216"/>
      <c r="I15" s="216">
        <v>0</v>
      </c>
      <c r="J15" s="216"/>
      <c r="K15" s="216">
        <v>0</v>
      </c>
      <c r="L15" s="216">
        <v>0</v>
      </c>
      <c r="M15" s="216">
        <v>0</v>
      </c>
      <c r="N15" s="216">
        <v>0</v>
      </c>
      <c r="O15" s="216">
        <v>0</v>
      </c>
      <c r="P15" s="216">
        <v>0</v>
      </c>
      <c r="Q15" s="216"/>
      <c r="R15" s="218">
        <f>SUM(D15:Q15)</f>
        <v>86328</v>
      </c>
      <c r="S15" s="217">
        <v>0</v>
      </c>
      <c r="T15" s="218">
        <f>R15-S15</f>
        <v>86328</v>
      </c>
      <c r="V15" s="218">
        <f t="shared" si="2"/>
        <v>11</v>
      </c>
      <c r="W15" s="217"/>
    </row>
    <row r="16" spans="1:23">
      <c r="A16" s="192">
        <v>14</v>
      </c>
      <c r="B16" s="434" t="str">
        <f>+PERBULAN!B19</f>
        <v>PARDI</v>
      </c>
      <c r="C16" s="439" t="s">
        <v>440</v>
      </c>
      <c r="D16" s="436">
        <v>0</v>
      </c>
      <c r="E16" s="436">
        <v>0</v>
      </c>
      <c r="F16" s="436">
        <v>85281</v>
      </c>
      <c r="G16" s="436">
        <v>0</v>
      </c>
      <c r="H16" s="436"/>
      <c r="I16" s="436"/>
      <c r="J16" s="436"/>
      <c r="K16" s="436"/>
      <c r="L16" s="436"/>
      <c r="M16" s="436"/>
      <c r="N16" s="436"/>
      <c r="O16" s="436"/>
      <c r="P16" s="436"/>
      <c r="Q16" s="436"/>
      <c r="R16" s="437">
        <f>SUM(D16:Q16)</f>
        <v>85281</v>
      </c>
      <c r="S16" s="438">
        <v>0</v>
      </c>
      <c r="T16" s="437">
        <f>R16-S16</f>
        <v>85281</v>
      </c>
      <c r="V16" s="218">
        <f t="shared" si="2"/>
        <v>4</v>
      </c>
      <c r="W16" s="217"/>
    </row>
    <row r="17" spans="1:23">
      <c r="A17" s="192">
        <v>15</v>
      </c>
      <c r="B17" s="158" t="str">
        <f>+PERBULAN!B20</f>
        <v>SUMARDI</v>
      </c>
      <c r="C17" s="398" t="s">
        <v>441</v>
      </c>
      <c r="D17" s="216">
        <v>0</v>
      </c>
      <c r="E17" s="216">
        <v>0</v>
      </c>
      <c r="F17" s="216">
        <v>85045</v>
      </c>
      <c r="G17" s="216">
        <v>0</v>
      </c>
      <c r="H17" s="216"/>
      <c r="I17" s="216">
        <v>0</v>
      </c>
      <c r="J17" s="216"/>
      <c r="K17" s="216">
        <v>0</v>
      </c>
      <c r="L17" s="216">
        <v>0</v>
      </c>
      <c r="M17" s="216">
        <v>0</v>
      </c>
      <c r="N17" s="216">
        <v>0</v>
      </c>
      <c r="O17" s="216">
        <v>0</v>
      </c>
      <c r="P17" s="216">
        <v>0</v>
      </c>
      <c r="Q17" s="216"/>
      <c r="R17" s="218">
        <f t="shared" ref="R17:R24" si="3">SUM(D17:Q17)</f>
        <v>85045</v>
      </c>
      <c r="S17" s="217">
        <v>0</v>
      </c>
      <c r="T17" s="218">
        <f t="shared" ref="T17:T40" si="4">R17-S17</f>
        <v>85045</v>
      </c>
      <c r="V17" s="218">
        <f t="shared" si="2"/>
        <v>11</v>
      </c>
      <c r="W17" s="217"/>
    </row>
    <row r="18" spans="1:23">
      <c r="A18" s="192">
        <v>16</v>
      </c>
      <c r="B18" s="158" t="str">
        <f>+PERBULAN!B21</f>
        <v>WIDODO JP</v>
      </c>
      <c r="C18" s="398" t="s">
        <v>442</v>
      </c>
      <c r="D18" s="216">
        <v>64296</v>
      </c>
      <c r="E18" s="216">
        <v>28888</v>
      </c>
      <c r="F18" s="216">
        <v>228506</v>
      </c>
      <c r="G18" s="216">
        <v>67244</v>
      </c>
      <c r="H18" s="216"/>
      <c r="I18" s="216">
        <v>84948</v>
      </c>
      <c r="J18" s="216"/>
      <c r="K18" s="216">
        <v>47107</v>
      </c>
      <c r="L18" s="216">
        <v>85043</v>
      </c>
      <c r="M18" s="216">
        <v>0</v>
      </c>
      <c r="N18" s="216">
        <v>0</v>
      </c>
      <c r="O18" s="216">
        <v>0</v>
      </c>
      <c r="P18" s="216">
        <v>13823</v>
      </c>
      <c r="Q18" s="216"/>
      <c r="R18" s="218">
        <f t="shared" si="3"/>
        <v>619855</v>
      </c>
      <c r="S18" s="217">
        <v>0</v>
      </c>
      <c r="T18" s="218">
        <f t="shared" si="4"/>
        <v>619855</v>
      </c>
      <c r="V18" s="218">
        <f t="shared" si="2"/>
        <v>11</v>
      </c>
      <c r="W18" s="217"/>
    </row>
    <row r="19" spans="1:23">
      <c r="A19" s="192">
        <v>17</v>
      </c>
      <c r="B19" s="158" t="str">
        <f>+PERBULAN!B22</f>
        <v>ASBI ALGIFARI</v>
      </c>
      <c r="C19" s="398" t="s">
        <v>69</v>
      </c>
      <c r="D19" s="216">
        <v>0</v>
      </c>
      <c r="E19" s="216">
        <v>0</v>
      </c>
      <c r="F19" s="216">
        <v>84688</v>
      </c>
      <c r="G19" s="216">
        <v>0</v>
      </c>
      <c r="H19" s="216"/>
      <c r="I19" s="216">
        <v>0</v>
      </c>
      <c r="J19" s="216"/>
      <c r="K19" s="216">
        <v>0</v>
      </c>
      <c r="L19" s="216">
        <v>0</v>
      </c>
      <c r="M19" s="216">
        <v>0</v>
      </c>
      <c r="N19" s="216">
        <v>0</v>
      </c>
      <c r="O19" s="216">
        <v>0</v>
      </c>
      <c r="P19" s="216">
        <v>0</v>
      </c>
      <c r="Q19" s="216"/>
      <c r="R19" s="218">
        <f t="shared" si="3"/>
        <v>84688</v>
      </c>
      <c r="S19" s="217">
        <v>0</v>
      </c>
      <c r="T19" s="218">
        <f t="shared" si="4"/>
        <v>84688</v>
      </c>
      <c r="V19" s="218">
        <f t="shared" si="2"/>
        <v>11</v>
      </c>
      <c r="W19" s="217"/>
    </row>
    <row r="20" spans="1:23">
      <c r="A20" s="192">
        <v>18</v>
      </c>
      <c r="B20" s="158" t="str">
        <f>+PERBULAN!B23</f>
        <v>YANDI</v>
      </c>
      <c r="C20" s="401" t="s">
        <v>69</v>
      </c>
      <c r="D20" s="216">
        <v>0</v>
      </c>
      <c r="E20" s="216">
        <v>0</v>
      </c>
      <c r="F20" s="216">
        <v>125446</v>
      </c>
      <c r="G20" s="216">
        <v>0</v>
      </c>
      <c r="H20" s="216"/>
      <c r="I20" s="216">
        <v>0</v>
      </c>
      <c r="J20" s="216"/>
      <c r="K20" s="216">
        <v>0</v>
      </c>
      <c r="L20" s="216">
        <v>0</v>
      </c>
      <c r="M20" s="216">
        <v>0</v>
      </c>
      <c r="N20" s="216">
        <v>0</v>
      </c>
      <c r="O20" s="216">
        <v>0</v>
      </c>
      <c r="P20" s="216">
        <v>0</v>
      </c>
      <c r="Q20" s="216"/>
      <c r="R20" s="218">
        <f t="shared" si="3"/>
        <v>125446</v>
      </c>
      <c r="S20" s="217">
        <v>0</v>
      </c>
      <c r="T20" s="218">
        <f t="shared" si="4"/>
        <v>125446</v>
      </c>
      <c r="V20" s="218">
        <f t="shared" si="2"/>
        <v>11</v>
      </c>
      <c r="W20" s="217"/>
    </row>
    <row r="21" spans="1:23">
      <c r="A21" s="192">
        <v>19</v>
      </c>
      <c r="B21" s="158" t="str">
        <f>+PERBULAN!B24</f>
        <v>RIDHO AFRIZAL</v>
      </c>
      <c r="C21" s="398" t="s">
        <v>69</v>
      </c>
      <c r="D21" s="216">
        <v>0</v>
      </c>
      <c r="E21" s="216">
        <v>0</v>
      </c>
      <c r="F21" s="216">
        <v>147903</v>
      </c>
      <c r="G21" s="216">
        <v>32929</v>
      </c>
      <c r="H21" s="216"/>
      <c r="I21" s="216">
        <v>76057</v>
      </c>
      <c r="J21" s="216"/>
      <c r="K21" s="216">
        <v>0</v>
      </c>
      <c r="L21" s="216">
        <v>15641</v>
      </c>
      <c r="M21" s="216">
        <v>0</v>
      </c>
      <c r="N21" s="216">
        <v>0</v>
      </c>
      <c r="O21" s="216">
        <v>0</v>
      </c>
      <c r="P21" s="216">
        <v>15701</v>
      </c>
      <c r="Q21" s="216"/>
      <c r="R21" s="218">
        <f t="shared" si="3"/>
        <v>288231</v>
      </c>
      <c r="S21" s="217">
        <v>0</v>
      </c>
      <c r="T21" s="218">
        <f t="shared" si="4"/>
        <v>288231</v>
      </c>
      <c r="V21" s="218">
        <f t="shared" si="2"/>
        <v>11</v>
      </c>
      <c r="W21" s="217"/>
    </row>
    <row r="22" spans="1:23">
      <c r="A22" s="192">
        <v>20</v>
      </c>
      <c r="B22" s="158" t="str">
        <f>+PERBULAN!B25</f>
        <v>APRIZAL</v>
      </c>
      <c r="C22" s="398" t="s">
        <v>69</v>
      </c>
      <c r="D22" s="216">
        <v>0</v>
      </c>
      <c r="E22" s="216">
        <v>0</v>
      </c>
      <c r="F22" s="216">
        <v>84149</v>
      </c>
      <c r="G22" s="216">
        <v>0</v>
      </c>
      <c r="H22" s="216"/>
      <c r="I22" s="216">
        <v>0</v>
      </c>
      <c r="J22" s="216"/>
      <c r="K22" s="216">
        <v>0</v>
      </c>
      <c r="L22" s="216">
        <v>0</v>
      </c>
      <c r="M22" s="216">
        <v>0</v>
      </c>
      <c r="N22" s="216">
        <v>0</v>
      </c>
      <c r="O22" s="216">
        <v>0</v>
      </c>
      <c r="P22" s="216">
        <v>0</v>
      </c>
      <c r="Q22" s="216"/>
      <c r="R22" s="218">
        <f>SUM(D22:Q22)</f>
        <v>84149</v>
      </c>
      <c r="S22" s="217">
        <v>0</v>
      </c>
      <c r="T22" s="218">
        <f>R22-S22</f>
        <v>84149</v>
      </c>
      <c r="V22" s="218">
        <f>COUNT(D22:Q22)-COUNT(H22)-COUNT(J22)</f>
        <v>11</v>
      </c>
      <c r="W22" s="217"/>
    </row>
    <row r="23" spans="1:23">
      <c r="A23" s="192">
        <v>21</v>
      </c>
      <c r="B23" s="158" t="str">
        <f>+PERBULAN!B26</f>
        <v>ERRY SAPUTRA</v>
      </c>
      <c r="C23" s="398" t="s">
        <v>69</v>
      </c>
      <c r="D23" s="216">
        <v>0</v>
      </c>
      <c r="E23" s="216">
        <v>0</v>
      </c>
      <c r="F23" s="216">
        <v>84567</v>
      </c>
      <c r="G23" s="216">
        <v>0</v>
      </c>
      <c r="H23" s="216"/>
      <c r="I23" s="216">
        <v>0</v>
      </c>
      <c r="J23" s="216"/>
      <c r="K23" s="216">
        <v>0</v>
      </c>
      <c r="L23" s="216">
        <v>0</v>
      </c>
      <c r="M23" s="216">
        <v>0</v>
      </c>
      <c r="N23" s="216">
        <v>0</v>
      </c>
      <c r="O23" s="216">
        <v>0</v>
      </c>
      <c r="P23" s="216">
        <v>0</v>
      </c>
      <c r="Q23" s="216"/>
      <c r="R23" s="218">
        <f t="shared" si="3"/>
        <v>84567</v>
      </c>
      <c r="S23" s="217">
        <v>0</v>
      </c>
      <c r="T23" s="218">
        <f t="shared" si="4"/>
        <v>84567</v>
      </c>
      <c r="V23" s="218">
        <f t="shared" si="2"/>
        <v>11</v>
      </c>
      <c r="W23" s="217"/>
    </row>
    <row r="24" spans="1:23">
      <c r="A24" s="192">
        <v>22</v>
      </c>
      <c r="B24" s="158" t="str">
        <f>+PERBULAN!B27</f>
        <v>ARWANDI</v>
      </c>
      <c r="C24" s="398" t="s">
        <v>445</v>
      </c>
      <c r="D24" s="216">
        <v>147712</v>
      </c>
      <c r="E24" s="216">
        <v>85567</v>
      </c>
      <c r="F24" s="216">
        <v>363051</v>
      </c>
      <c r="G24" s="216">
        <v>142414</v>
      </c>
      <c r="H24" s="216"/>
      <c r="I24" s="216">
        <v>138745</v>
      </c>
      <c r="J24" s="216"/>
      <c r="K24" s="216">
        <v>87859</v>
      </c>
      <c r="L24" s="216">
        <v>33835</v>
      </c>
      <c r="M24" s="216">
        <v>76213</v>
      </c>
      <c r="N24" s="216">
        <v>52977</v>
      </c>
      <c r="O24" s="216">
        <v>74039</v>
      </c>
      <c r="P24" s="216">
        <v>53628</v>
      </c>
      <c r="Q24" s="216"/>
      <c r="R24" s="218">
        <f t="shared" si="3"/>
        <v>1256040</v>
      </c>
      <c r="S24" s="217">
        <v>0</v>
      </c>
      <c r="T24" s="218">
        <f t="shared" si="4"/>
        <v>1256040</v>
      </c>
      <c r="V24" s="218">
        <f t="shared" si="2"/>
        <v>11</v>
      </c>
      <c r="W24" s="217"/>
    </row>
    <row r="25" spans="1:23">
      <c r="A25" s="192">
        <v>23</v>
      </c>
      <c r="B25" s="158" t="str">
        <f>+PERBULAN!B28</f>
        <v>RENDI PERJAYA</v>
      </c>
      <c r="C25" s="398" t="s">
        <v>446</v>
      </c>
      <c r="D25" s="216">
        <v>91228</v>
      </c>
      <c r="E25" s="216">
        <v>78934</v>
      </c>
      <c r="F25" s="216">
        <v>355542</v>
      </c>
      <c r="G25" s="216">
        <v>76332</v>
      </c>
      <c r="H25" s="216"/>
      <c r="I25" s="216">
        <v>84555</v>
      </c>
      <c r="J25" s="216"/>
      <c r="K25" s="216">
        <v>75742</v>
      </c>
      <c r="L25" s="216">
        <v>78511</v>
      </c>
      <c r="M25" s="216">
        <v>54559</v>
      </c>
      <c r="N25" s="216">
        <v>51936</v>
      </c>
      <c r="O25" s="216">
        <v>73884</v>
      </c>
      <c r="P25" s="216">
        <v>52935</v>
      </c>
      <c r="Q25" s="216"/>
      <c r="R25" s="218">
        <f t="shared" ref="R25:R40" si="5">SUM(D25:Q25)</f>
        <v>1074158</v>
      </c>
      <c r="S25" s="217">
        <v>0</v>
      </c>
      <c r="T25" s="218">
        <f t="shared" si="4"/>
        <v>1074158</v>
      </c>
      <c r="V25" s="218">
        <f t="shared" si="2"/>
        <v>11</v>
      </c>
      <c r="W25" s="217"/>
    </row>
    <row r="26" spans="1:23">
      <c r="A26" s="192">
        <v>24</v>
      </c>
      <c r="B26" s="158" t="str">
        <f>+PERBULAN!B29</f>
        <v>ANDI</v>
      </c>
      <c r="C26" s="398" t="s">
        <v>447</v>
      </c>
      <c r="D26" s="216">
        <v>85952</v>
      </c>
      <c r="E26" s="216">
        <v>76143</v>
      </c>
      <c r="F26" s="216">
        <v>367190</v>
      </c>
      <c r="G26" s="216">
        <v>33504</v>
      </c>
      <c r="H26" s="216"/>
      <c r="I26" s="216">
        <v>90362</v>
      </c>
      <c r="J26" s="216"/>
      <c r="K26" s="216">
        <v>54217</v>
      </c>
      <c r="L26" s="216">
        <v>74644</v>
      </c>
      <c r="M26" s="216">
        <v>73457</v>
      </c>
      <c r="N26" s="216">
        <v>33302</v>
      </c>
      <c r="O26" s="216">
        <v>52517</v>
      </c>
      <c r="P26" s="216">
        <v>34140</v>
      </c>
      <c r="Q26" s="216"/>
      <c r="R26" s="218">
        <f t="shared" si="5"/>
        <v>975428</v>
      </c>
      <c r="S26" s="217">
        <v>0</v>
      </c>
      <c r="T26" s="218">
        <f t="shared" si="4"/>
        <v>975428</v>
      </c>
      <c r="V26" s="218">
        <f t="shared" si="2"/>
        <v>11</v>
      </c>
      <c r="W26" s="217"/>
    </row>
    <row r="27" spans="1:23">
      <c r="A27" s="192">
        <v>25</v>
      </c>
      <c r="B27" s="158" t="str">
        <f>+PERBULAN!B30</f>
        <v>JULI</v>
      </c>
      <c r="C27" s="398" t="s">
        <v>448</v>
      </c>
      <c r="D27" s="216">
        <v>139924</v>
      </c>
      <c r="E27" s="216">
        <v>79563</v>
      </c>
      <c r="F27" s="216">
        <v>355243</v>
      </c>
      <c r="G27" s="216">
        <v>53740</v>
      </c>
      <c r="H27" s="216"/>
      <c r="I27" s="216">
        <v>87592</v>
      </c>
      <c r="J27" s="216"/>
      <c r="K27" s="216">
        <v>54277</v>
      </c>
      <c r="L27" s="216">
        <v>76078</v>
      </c>
      <c r="M27" s="216">
        <v>74298</v>
      </c>
      <c r="N27" s="216">
        <v>33330</v>
      </c>
      <c r="O27" s="216">
        <v>53099</v>
      </c>
      <c r="P27" s="216">
        <v>52414</v>
      </c>
      <c r="Q27" s="216"/>
      <c r="R27" s="218">
        <f t="shared" si="5"/>
        <v>1059558</v>
      </c>
      <c r="S27" s="217">
        <v>0</v>
      </c>
      <c r="T27" s="218">
        <f t="shared" si="4"/>
        <v>1059558</v>
      </c>
      <c r="V27" s="218">
        <f t="shared" si="2"/>
        <v>11</v>
      </c>
      <c r="W27" s="217"/>
    </row>
    <row r="28" spans="1:23">
      <c r="A28" s="192">
        <v>26</v>
      </c>
      <c r="B28" s="158" t="str">
        <f>+PERBULAN!B31</f>
        <v>DICKY PRATAMA</v>
      </c>
      <c r="C28" s="399" t="s">
        <v>69</v>
      </c>
      <c r="D28" s="216">
        <v>29648</v>
      </c>
      <c r="E28" s="216">
        <v>28699</v>
      </c>
      <c r="F28" s="216">
        <v>227229</v>
      </c>
      <c r="G28" s="216">
        <v>14054</v>
      </c>
      <c r="H28" s="216"/>
      <c r="I28" s="216">
        <v>91639</v>
      </c>
      <c r="J28" s="216"/>
      <c r="K28" s="216">
        <v>45832</v>
      </c>
      <c r="L28" s="216">
        <v>47182</v>
      </c>
      <c r="M28" s="216">
        <v>13912</v>
      </c>
      <c r="N28" s="216">
        <v>0</v>
      </c>
      <c r="O28" s="216">
        <v>14030</v>
      </c>
      <c r="P28" s="216">
        <v>28675</v>
      </c>
      <c r="Q28" s="216"/>
      <c r="R28" s="218">
        <f t="shared" si="5"/>
        <v>540900</v>
      </c>
      <c r="S28" s="217">
        <v>0</v>
      </c>
      <c r="T28" s="218">
        <f t="shared" si="4"/>
        <v>540900</v>
      </c>
      <c r="V28" s="218">
        <f t="shared" si="2"/>
        <v>11</v>
      </c>
      <c r="W28" s="217"/>
    </row>
    <row r="29" spans="1:23">
      <c r="A29" s="192">
        <v>27</v>
      </c>
      <c r="B29" s="158" t="str">
        <f>+PERBULAN!B32</f>
        <v>SUIP</v>
      </c>
      <c r="C29" s="398" t="s">
        <v>69</v>
      </c>
      <c r="D29" s="216">
        <v>0</v>
      </c>
      <c r="E29" s="216">
        <v>0</v>
      </c>
      <c r="F29" s="216">
        <v>90348</v>
      </c>
      <c r="G29" s="216">
        <v>0</v>
      </c>
      <c r="H29" s="216"/>
      <c r="I29" s="216">
        <v>52131</v>
      </c>
      <c r="J29" s="216"/>
      <c r="K29" s="216">
        <v>0</v>
      </c>
      <c r="L29" s="216">
        <v>0</v>
      </c>
      <c r="M29" s="216">
        <v>0</v>
      </c>
      <c r="N29" s="216">
        <v>0</v>
      </c>
      <c r="O29" s="216">
        <v>0</v>
      </c>
      <c r="P29" s="216">
        <v>0</v>
      </c>
      <c r="Q29" s="216"/>
      <c r="R29" s="218">
        <f t="shared" si="5"/>
        <v>142479</v>
      </c>
      <c r="S29" s="217">
        <v>0</v>
      </c>
      <c r="T29" s="218">
        <f t="shared" si="4"/>
        <v>142479</v>
      </c>
      <c r="V29" s="218">
        <f t="shared" si="2"/>
        <v>11</v>
      </c>
      <c r="W29" s="217"/>
    </row>
    <row r="30" spans="1:23">
      <c r="A30" s="192">
        <v>28</v>
      </c>
      <c r="B30" s="158" t="str">
        <f>+PERBULAN!B33</f>
        <v>ROBIN DINATA</v>
      </c>
      <c r="C30" s="398" t="s">
        <v>69</v>
      </c>
      <c r="D30" s="216">
        <v>0</v>
      </c>
      <c r="E30" s="216">
        <v>0</v>
      </c>
      <c r="F30" s="216">
        <v>89222</v>
      </c>
      <c r="G30" s="216">
        <v>0</v>
      </c>
      <c r="H30" s="216"/>
      <c r="I30" s="216">
        <v>89078</v>
      </c>
      <c r="J30" s="216"/>
      <c r="K30" s="216">
        <v>0</v>
      </c>
      <c r="L30" s="216">
        <v>0</v>
      </c>
      <c r="M30" s="216">
        <v>0</v>
      </c>
      <c r="N30" s="216">
        <v>0</v>
      </c>
      <c r="O30" s="216">
        <v>0</v>
      </c>
      <c r="P30" s="216">
        <v>0</v>
      </c>
      <c r="Q30" s="216"/>
      <c r="R30" s="218">
        <f>SUM(D30:Q30)</f>
        <v>178300</v>
      </c>
      <c r="S30" s="217">
        <v>0</v>
      </c>
      <c r="T30" s="218">
        <f>R30-S30</f>
        <v>178300</v>
      </c>
      <c r="V30" s="218">
        <f>COUNT(D30:Q30)-COUNT(H30)-COUNT(J30)</f>
        <v>11</v>
      </c>
      <c r="W30" s="217"/>
    </row>
    <row r="31" spans="1:23">
      <c r="A31" s="192">
        <v>29</v>
      </c>
      <c r="B31" s="158" t="str">
        <f>+PERBULAN!B34</f>
        <v>SAPARUDIN</v>
      </c>
      <c r="C31" s="398" t="s">
        <v>69</v>
      </c>
      <c r="D31" s="216">
        <v>0</v>
      </c>
      <c r="E31" s="216">
        <v>0</v>
      </c>
      <c r="F31" s="216">
        <v>141756</v>
      </c>
      <c r="G31" s="216">
        <v>0</v>
      </c>
      <c r="H31" s="216"/>
      <c r="I31" s="216">
        <v>0</v>
      </c>
      <c r="J31" s="216"/>
      <c r="K31" s="216">
        <v>0</v>
      </c>
      <c r="L31" s="216">
        <v>0</v>
      </c>
      <c r="M31" s="216">
        <v>0</v>
      </c>
      <c r="N31" s="216">
        <v>0</v>
      </c>
      <c r="O31" s="216">
        <v>0</v>
      </c>
      <c r="P31" s="216">
        <v>0</v>
      </c>
      <c r="Q31" s="216"/>
      <c r="R31" s="218">
        <f t="shared" si="5"/>
        <v>141756</v>
      </c>
      <c r="S31" s="217">
        <v>0</v>
      </c>
      <c r="T31" s="218">
        <f t="shared" si="4"/>
        <v>141756</v>
      </c>
      <c r="V31" s="218">
        <f t="shared" si="2"/>
        <v>11</v>
      </c>
      <c r="W31" s="217"/>
    </row>
    <row r="32" spans="1:23">
      <c r="A32" s="192">
        <v>30</v>
      </c>
      <c r="B32" s="158" t="str">
        <f>+PERBULAN!B35</f>
        <v>SULTAN</v>
      </c>
      <c r="C32" s="398" t="s">
        <v>69</v>
      </c>
      <c r="D32" s="216">
        <v>0</v>
      </c>
      <c r="E32" s="216">
        <v>0</v>
      </c>
      <c r="F32" s="216">
        <v>89541</v>
      </c>
      <c r="G32" s="216">
        <v>0</v>
      </c>
      <c r="H32" s="216"/>
      <c r="I32" s="216">
        <v>0</v>
      </c>
      <c r="J32" s="216"/>
      <c r="K32" s="216">
        <v>0</v>
      </c>
      <c r="L32" s="216">
        <v>0</v>
      </c>
      <c r="M32" s="216">
        <v>0</v>
      </c>
      <c r="N32" s="216">
        <v>0</v>
      </c>
      <c r="O32" s="216">
        <v>0</v>
      </c>
      <c r="P32" s="216">
        <v>0</v>
      </c>
      <c r="Q32" s="216"/>
      <c r="R32" s="218">
        <f t="shared" si="5"/>
        <v>89541</v>
      </c>
      <c r="S32" s="217">
        <v>0</v>
      </c>
      <c r="T32" s="218">
        <f t="shared" si="4"/>
        <v>89541</v>
      </c>
      <c r="V32" s="218">
        <f t="shared" si="2"/>
        <v>11</v>
      </c>
      <c r="W32" s="217"/>
    </row>
    <row r="33" spans="1:23">
      <c r="A33" s="192">
        <v>31</v>
      </c>
      <c r="B33" s="158" t="str">
        <f>+PERBULAN!B36</f>
        <v>MANSUR</v>
      </c>
      <c r="C33" s="402" t="s">
        <v>69</v>
      </c>
      <c r="D33" s="216">
        <v>0</v>
      </c>
      <c r="E33" s="216">
        <v>0</v>
      </c>
      <c r="F33" s="216">
        <v>140644</v>
      </c>
      <c r="G33" s="216">
        <v>33688</v>
      </c>
      <c r="H33" s="216"/>
      <c r="I33" s="216">
        <v>16163</v>
      </c>
      <c r="J33" s="216"/>
      <c r="K33" s="216">
        <v>0</v>
      </c>
      <c r="L33" s="216">
        <v>0</v>
      </c>
      <c r="M33" s="216">
        <v>0</v>
      </c>
      <c r="N33" s="216">
        <v>0</v>
      </c>
      <c r="O33" s="216">
        <v>0</v>
      </c>
      <c r="P33" s="216">
        <v>0</v>
      </c>
      <c r="Q33" s="216"/>
      <c r="R33" s="218">
        <f t="shared" si="5"/>
        <v>190495</v>
      </c>
      <c r="S33" s="217">
        <v>0</v>
      </c>
      <c r="T33" s="218">
        <f t="shared" si="4"/>
        <v>190495</v>
      </c>
      <c r="V33" s="218">
        <f t="shared" si="2"/>
        <v>11</v>
      </c>
      <c r="W33" s="217"/>
    </row>
    <row r="34" spans="1:23">
      <c r="A34" s="192">
        <v>32</v>
      </c>
      <c r="B34" s="158" t="str">
        <f>+PERBULAN!B37</f>
        <v>RIDUAN</v>
      </c>
      <c r="C34" s="398" t="s">
        <v>69</v>
      </c>
      <c r="D34" s="216">
        <v>0</v>
      </c>
      <c r="E34" s="216">
        <v>0</v>
      </c>
      <c r="F34" s="216">
        <v>91417</v>
      </c>
      <c r="G34" s="216">
        <v>0</v>
      </c>
      <c r="H34" s="216"/>
      <c r="I34" s="216">
        <v>0</v>
      </c>
      <c r="J34" s="216"/>
      <c r="K34" s="216">
        <v>0</v>
      </c>
      <c r="L34" s="216">
        <v>0</v>
      </c>
      <c r="M34" s="216">
        <v>0</v>
      </c>
      <c r="N34" s="216">
        <v>0</v>
      </c>
      <c r="O34" s="216">
        <v>0</v>
      </c>
      <c r="P34" s="216">
        <v>0</v>
      </c>
      <c r="Q34" s="216"/>
      <c r="R34" s="218">
        <f t="shared" si="5"/>
        <v>91417</v>
      </c>
      <c r="S34" s="217">
        <v>0</v>
      </c>
      <c r="T34" s="218">
        <f t="shared" si="4"/>
        <v>91417</v>
      </c>
      <c r="V34" s="218">
        <f t="shared" si="2"/>
        <v>11</v>
      </c>
      <c r="W34" s="217"/>
    </row>
    <row r="35" spans="1:23">
      <c r="A35" s="192">
        <v>33</v>
      </c>
      <c r="B35" s="158" t="str">
        <f>+PERBULAN!B38</f>
        <v>SONJA PRIYOGA</v>
      </c>
      <c r="C35" s="398" t="s">
        <v>69</v>
      </c>
      <c r="D35" s="216">
        <v>76732</v>
      </c>
      <c r="E35" s="216">
        <v>0</v>
      </c>
      <c r="F35" s="216">
        <v>90514</v>
      </c>
      <c r="G35" s="216">
        <v>0</v>
      </c>
      <c r="H35" s="216"/>
      <c r="I35" s="216">
        <v>83224</v>
      </c>
      <c r="J35" s="216"/>
      <c r="K35" s="216">
        <v>0</v>
      </c>
      <c r="L35" s="216">
        <v>0</v>
      </c>
      <c r="M35" s="216">
        <v>0</v>
      </c>
      <c r="N35" s="216">
        <v>0</v>
      </c>
      <c r="O35" s="216">
        <v>0</v>
      </c>
      <c r="P35" s="216">
        <v>0</v>
      </c>
      <c r="Q35" s="216"/>
      <c r="R35" s="218">
        <f t="shared" si="5"/>
        <v>250470</v>
      </c>
      <c r="S35" s="217">
        <v>0</v>
      </c>
      <c r="T35" s="218">
        <f t="shared" si="4"/>
        <v>250470</v>
      </c>
      <c r="V35" s="218">
        <f t="shared" si="2"/>
        <v>11</v>
      </c>
      <c r="W35" s="217"/>
    </row>
    <row r="36" spans="1:23">
      <c r="A36" s="192">
        <v>34</v>
      </c>
      <c r="B36" s="414" t="str">
        <f>+PERBULAN!B39</f>
        <v>M.FAUZI</v>
      </c>
      <c r="C36" s="415" t="s">
        <v>524</v>
      </c>
      <c r="D36" s="416">
        <v>0</v>
      </c>
      <c r="E36" s="416">
        <v>0</v>
      </c>
      <c r="F36" s="416">
        <v>0</v>
      </c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416"/>
      <c r="R36" s="417">
        <f t="shared" si="5"/>
        <v>0</v>
      </c>
      <c r="S36" s="418">
        <v>0</v>
      </c>
      <c r="T36" s="417">
        <f t="shared" si="4"/>
        <v>0</v>
      </c>
      <c r="U36" s="419"/>
      <c r="V36" s="417">
        <f t="shared" si="2"/>
        <v>3</v>
      </c>
      <c r="W36" s="217"/>
    </row>
    <row r="37" spans="1:23">
      <c r="A37" s="192">
        <v>35</v>
      </c>
      <c r="B37" s="414" t="str">
        <f>+PERBULAN!B40</f>
        <v>DANI</v>
      </c>
      <c r="C37" s="415" t="s">
        <v>69</v>
      </c>
      <c r="D37" s="416">
        <v>0</v>
      </c>
      <c r="E37" s="416">
        <v>0</v>
      </c>
      <c r="F37" s="416">
        <v>52407</v>
      </c>
      <c r="G37" s="416"/>
      <c r="H37" s="416"/>
      <c r="I37" s="416"/>
      <c r="J37" s="416"/>
      <c r="K37" s="416"/>
      <c r="L37" s="416"/>
      <c r="M37" s="416"/>
      <c r="N37" s="416"/>
      <c r="O37" s="416"/>
      <c r="P37" s="416"/>
      <c r="Q37" s="416"/>
      <c r="R37" s="417">
        <f t="shared" si="5"/>
        <v>52407</v>
      </c>
      <c r="S37" s="418">
        <v>0</v>
      </c>
      <c r="T37" s="417">
        <f t="shared" si="4"/>
        <v>52407</v>
      </c>
      <c r="U37" s="419"/>
      <c r="V37" s="417">
        <f t="shared" si="2"/>
        <v>3</v>
      </c>
      <c r="W37" s="217"/>
    </row>
    <row r="38" spans="1:23">
      <c r="A38" s="192">
        <v>36</v>
      </c>
      <c r="B38" s="158" t="str">
        <f>+PERBULAN!B41</f>
        <v>AHAP</v>
      </c>
      <c r="C38" s="398" t="s">
        <v>69</v>
      </c>
      <c r="D38" s="216">
        <v>0</v>
      </c>
      <c r="E38" s="216">
        <v>0</v>
      </c>
      <c r="F38" s="216">
        <v>140271</v>
      </c>
      <c r="G38" s="216">
        <v>0</v>
      </c>
      <c r="H38" s="216"/>
      <c r="I38" s="216">
        <v>81797</v>
      </c>
      <c r="J38" s="216"/>
      <c r="K38" s="216">
        <v>0</v>
      </c>
      <c r="L38" s="216">
        <v>0</v>
      </c>
      <c r="M38" s="216">
        <v>0</v>
      </c>
      <c r="N38" s="216">
        <v>0</v>
      </c>
      <c r="O38" s="216">
        <v>0</v>
      </c>
      <c r="P38" s="216">
        <v>0</v>
      </c>
      <c r="Q38" s="216"/>
      <c r="R38" s="218">
        <f t="shared" si="5"/>
        <v>222068</v>
      </c>
      <c r="S38" s="217">
        <v>0</v>
      </c>
      <c r="T38" s="218">
        <f t="shared" si="4"/>
        <v>222068</v>
      </c>
      <c r="V38" s="218">
        <f t="shared" si="2"/>
        <v>11</v>
      </c>
      <c r="W38" s="217"/>
    </row>
    <row r="39" spans="1:23">
      <c r="A39" s="192">
        <v>37</v>
      </c>
      <c r="B39" s="158" t="str">
        <f>+PERBULAN!B42</f>
        <v>IHSAN</v>
      </c>
      <c r="C39" s="398" t="s">
        <v>69</v>
      </c>
      <c r="D39" s="216">
        <v>0</v>
      </c>
      <c r="E39" s="216">
        <v>0</v>
      </c>
      <c r="F39" s="216">
        <v>151180</v>
      </c>
      <c r="G39" s="216">
        <v>45340</v>
      </c>
      <c r="H39" s="216"/>
      <c r="I39" s="216">
        <v>85396</v>
      </c>
      <c r="J39" s="216"/>
      <c r="K39" s="216">
        <v>0</v>
      </c>
      <c r="L39" s="216">
        <v>28958</v>
      </c>
      <c r="M39" s="216">
        <v>0</v>
      </c>
      <c r="N39" s="216">
        <v>28288</v>
      </c>
      <c r="O39" s="216">
        <v>0</v>
      </c>
      <c r="P39" s="216">
        <v>0</v>
      </c>
      <c r="Q39" s="216"/>
      <c r="R39" s="218">
        <f t="shared" si="5"/>
        <v>339162</v>
      </c>
      <c r="S39" s="217">
        <v>0</v>
      </c>
      <c r="T39" s="218">
        <f t="shared" si="4"/>
        <v>339162</v>
      </c>
      <c r="V39" s="218">
        <f t="shared" si="2"/>
        <v>11</v>
      </c>
      <c r="W39" s="217"/>
    </row>
    <row r="40" spans="1:23">
      <c r="A40" s="192">
        <v>38</v>
      </c>
      <c r="B40" s="414" t="str">
        <f>+PERBULAN!B43</f>
        <v>BAGUSTIN</v>
      </c>
      <c r="C40" s="415" t="s">
        <v>69</v>
      </c>
      <c r="D40" s="416">
        <v>0</v>
      </c>
      <c r="E40" s="416">
        <v>0</v>
      </c>
      <c r="F40" s="416">
        <v>65159</v>
      </c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7">
        <f t="shared" si="5"/>
        <v>65159</v>
      </c>
      <c r="S40" s="418">
        <v>0</v>
      </c>
      <c r="T40" s="417">
        <f t="shared" si="4"/>
        <v>65159</v>
      </c>
      <c r="U40" s="419"/>
      <c r="V40" s="417">
        <f t="shared" si="2"/>
        <v>3</v>
      </c>
      <c r="W40" s="217"/>
    </row>
    <row r="41" spans="1:23">
      <c r="A41" s="192">
        <v>39</v>
      </c>
      <c r="B41" s="414" t="str">
        <f>+PERBULAN!B44</f>
        <v>HELDI SAPUTRA</v>
      </c>
      <c r="C41" s="415" t="s">
        <v>69</v>
      </c>
      <c r="D41" s="416">
        <v>0</v>
      </c>
      <c r="E41" s="416">
        <v>0</v>
      </c>
      <c r="F41" s="416">
        <v>32738</v>
      </c>
      <c r="G41" s="416"/>
      <c r="H41" s="416"/>
      <c r="I41" s="416"/>
      <c r="J41" s="416"/>
      <c r="K41" s="416"/>
      <c r="L41" s="416"/>
      <c r="M41" s="416"/>
      <c r="N41" s="416"/>
      <c r="O41" s="416"/>
      <c r="P41" s="416"/>
      <c r="Q41" s="416"/>
      <c r="R41" s="417">
        <f>SUM(D41:Q41)</f>
        <v>32738</v>
      </c>
      <c r="S41" s="418">
        <v>0</v>
      </c>
      <c r="T41" s="417">
        <f>R41-S41</f>
        <v>32738</v>
      </c>
      <c r="U41" s="419"/>
      <c r="V41" s="417">
        <f t="shared" si="2"/>
        <v>3</v>
      </c>
      <c r="W41" s="217"/>
    </row>
    <row r="42" spans="1:23">
      <c r="A42" s="192">
        <v>40</v>
      </c>
      <c r="B42" s="414" t="str">
        <f>+PERBULAN!B45</f>
        <v>HARTONO</v>
      </c>
      <c r="C42" s="421" t="s">
        <v>69</v>
      </c>
      <c r="D42" s="416">
        <v>0</v>
      </c>
      <c r="E42" s="416">
        <v>0</v>
      </c>
      <c r="F42" s="416">
        <v>86491</v>
      </c>
      <c r="G42" s="416"/>
      <c r="H42" s="416"/>
      <c r="I42" s="416"/>
      <c r="J42" s="416"/>
      <c r="K42" s="416"/>
      <c r="L42" s="416"/>
      <c r="M42" s="416"/>
      <c r="N42" s="416"/>
      <c r="O42" s="416"/>
      <c r="P42" s="416"/>
      <c r="Q42" s="416"/>
      <c r="R42" s="417">
        <f t="shared" ref="R42:R72" si="6">SUM(D42:Q42)</f>
        <v>86491</v>
      </c>
      <c r="S42" s="418">
        <v>0</v>
      </c>
      <c r="T42" s="417">
        <f t="shared" ref="T42:T72" si="7">R42-S42</f>
        <v>86491</v>
      </c>
      <c r="U42" s="419"/>
      <c r="V42" s="417">
        <f t="shared" si="2"/>
        <v>3</v>
      </c>
      <c r="W42" s="217"/>
    </row>
    <row r="43" spans="1:23">
      <c r="A43" s="192">
        <v>41</v>
      </c>
      <c r="B43" s="158" t="str">
        <f>+PERBULAN!B46</f>
        <v>QISTAHAM</v>
      </c>
      <c r="C43" s="400" t="s">
        <v>69</v>
      </c>
      <c r="D43" s="216">
        <v>57963</v>
      </c>
      <c r="E43" s="216">
        <v>87141</v>
      </c>
      <c r="F43" s="216">
        <v>191913</v>
      </c>
      <c r="G43" s="216">
        <v>0</v>
      </c>
      <c r="H43" s="216"/>
      <c r="I43" s="216">
        <v>724425</v>
      </c>
      <c r="J43" s="216"/>
      <c r="K43" s="216">
        <v>152609</v>
      </c>
      <c r="L43" s="216">
        <v>0</v>
      </c>
      <c r="M43" s="216">
        <v>147615</v>
      </c>
      <c r="N43" s="216">
        <v>56936</v>
      </c>
      <c r="O43" s="216">
        <v>0</v>
      </c>
      <c r="P43" s="216">
        <v>82019</v>
      </c>
      <c r="Q43" s="216"/>
      <c r="R43" s="218">
        <f t="shared" si="6"/>
        <v>1500621</v>
      </c>
      <c r="S43" s="217">
        <v>0</v>
      </c>
      <c r="T43" s="218">
        <f t="shared" si="7"/>
        <v>1500621</v>
      </c>
      <c r="V43" s="218">
        <f t="shared" si="2"/>
        <v>11</v>
      </c>
      <c r="W43" s="217"/>
    </row>
    <row r="44" spans="1:23">
      <c r="A44" s="192">
        <v>42</v>
      </c>
      <c r="B44" s="158" t="str">
        <f>+PERBULAN!B47</f>
        <v>JAYADI</v>
      </c>
      <c r="C44" s="403" t="s">
        <v>69</v>
      </c>
      <c r="D44" s="216">
        <v>0</v>
      </c>
      <c r="E44" s="216">
        <v>0</v>
      </c>
      <c r="F44" s="216">
        <v>141044</v>
      </c>
      <c r="G44" s="216">
        <v>53903</v>
      </c>
      <c r="H44" s="216"/>
      <c r="I44" s="216">
        <v>146870</v>
      </c>
      <c r="J44" s="216"/>
      <c r="K44" s="216">
        <v>54509</v>
      </c>
      <c r="L44" s="216">
        <v>0</v>
      </c>
      <c r="M44" s="216">
        <v>0</v>
      </c>
      <c r="N44" s="216">
        <v>0</v>
      </c>
      <c r="O44" s="216">
        <v>0</v>
      </c>
      <c r="P44" s="216">
        <v>0</v>
      </c>
      <c r="Q44" s="216"/>
      <c r="R44" s="218">
        <f t="shared" si="6"/>
        <v>396326</v>
      </c>
      <c r="S44" s="217">
        <v>0</v>
      </c>
      <c r="T44" s="218">
        <f t="shared" si="7"/>
        <v>396326</v>
      </c>
      <c r="V44" s="218">
        <f t="shared" si="2"/>
        <v>11</v>
      </c>
      <c r="W44" s="217"/>
    </row>
    <row r="45" spans="1:23">
      <c r="A45" s="192">
        <v>43</v>
      </c>
      <c r="B45" s="158" t="str">
        <f>+PERBULAN!B48</f>
        <v>MUHAMAD AMIN</v>
      </c>
      <c r="C45" s="403" t="s">
        <v>69</v>
      </c>
      <c r="D45" s="216">
        <v>0</v>
      </c>
      <c r="E45" s="216">
        <v>0</v>
      </c>
      <c r="F45" s="216">
        <v>84707</v>
      </c>
      <c r="G45" s="216">
        <v>0</v>
      </c>
      <c r="H45" s="216"/>
      <c r="I45" s="216">
        <v>35960</v>
      </c>
      <c r="J45" s="216"/>
      <c r="K45" s="216">
        <v>0</v>
      </c>
      <c r="L45" s="216">
        <v>0</v>
      </c>
      <c r="M45" s="216">
        <v>0</v>
      </c>
      <c r="N45" s="216">
        <v>0</v>
      </c>
      <c r="O45" s="216">
        <v>0</v>
      </c>
      <c r="P45" s="216">
        <v>0</v>
      </c>
      <c r="Q45" s="216"/>
      <c r="R45" s="218">
        <f t="shared" si="6"/>
        <v>120667</v>
      </c>
      <c r="S45" s="217">
        <v>0</v>
      </c>
      <c r="T45" s="218">
        <f t="shared" si="7"/>
        <v>120667</v>
      </c>
      <c r="V45" s="218">
        <f t="shared" si="2"/>
        <v>11</v>
      </c>
      <c r="W45" s="217"/>
    </row>
    <row r="46" spans="1:23">
      <c r="A46" s="192">
        <v>44</v>
      </c>
      <c r="B46" s="158" t="str">
        <f>+PERBULAN!B49</f>
        <v>SAMSUL HADI</v>
      </c>
      <c r="C46" s="403" t="s">
        <v>69</v>
      </c>
      <c r="D46" s="216">
        <v>73736</v>
      </c>
      <c r="E46" s="216">
        <v>16107</v>
      </c>
      <c r="F46" s="216">
        <v>88384</v>
      </c>
      <c r="G46" s="216">
        <v>140639</v>
      </c>
      <c r="H46" s="216"/>
      <c r="I46" s="216">
        <v>717927</v>
      </c>
      <c r="J46" s="216"/>
      <c r="K46" s="216">
        <v>160815</v>
      </c>
      <c r="L46" s="216">
        <v>79828</v>
      </c>
      <c r="M46" s="216">
        <v>73916</v>
      </c>
      <c r="N46" s="216">
        <v>53668</v>
      </c>
      <c r="O46" s="216">
        <v>52759</v>
      </c>
      <c r="P46" s="216">
        <v>16196</v>
      </c>
      <c r="Q46" s="216"/>
      <c r="R46" s="218">
        <f t="shared" si="6"/>
        <v>1473975</v>
      </c>
      <c r="S46" s="217">
        <v>0</v>
      </c>
      <c r="T46" s="218">
        <f t="shared" si="7"/>
        <v>1473975</v>
      </c>
      <c r="V46" s="218">
        <f t="shared" si="2"/>
        <v>11</v>
      </c>
      <c r="W46" s="217"/>
    </row>
    <row r="47" spans="1:23">
      <c r="A47" s="192">
        <v>45</v>
      </c>
      <c r="B47" s="158" t="str">
        <f>+PERBULAN!B50</f>
        <v>SAPARUDIN</v>
      </c>
      <c r="C47" s="403" t="s">
        <v>69</v>
      </c>
      <c r="D47" s="216">
        <v>0</v>
      </c>
      <c r="E47" s="216">
        <v>0</v>
      </c>
      <c r="F47" s="216">
        <v>17043</v>
      </c>
      <c r="G47" s="216">
        <v>35800</v>
      </c>
      <c r="H47" s="216"/>
      <c r="I47" s="216">
        <v>0</v>
      </c>
      <c r="J47" s="216"/>
      <c r="K47" s="216">
        <v>0</v>
      </c>
      <c r="L47" s="216">
        <v>0</v>
      </c>
      <c r="M47" s="216">
        <v>0</v>
      </c>
      <c r="N47" s="216">
        <v>0</v>
      </c>
      <c r="O47" s="216">
        <v>0</v>
      </c>
      <c r="P47" s="216">
        <v>0</v>
      </c>
      <c r="Q47" s="216"/>
      <c r="R47" s="218">
        <f t="shared" si="6"/>
        <v>52843</v>
      </c>
      <c r="S47" s="217">
        <v>0</v>
      </c>
      <c r="T47" s="218">
        <f t="shared" si="7"/>
        <v>52843</v>
      </c>
      <c r="V47" s="218">
        <f t="shared" si="2"/>
        <v>11</v>
      </c>
      <c r="W47" s="217"/>
    </row>
    <row r="48" spans="1:23">
      <c r="A48" s="192">
        <v>46</v>
      </c>
      <c r="B48" s="414" t="str">
        <f>+PERBULAN!B51</f>
        <v>MUHAMAD FAUZI</v>
      </c>
      <c r="C48" s="420" t="s">
        <v>69</v>
      </c>
      <c r="D48" s="416">
        <v>0</v>
      </c>
      <c r="E48" s="416">
        <v>0</v>
      </c>
      <c r="F48" s="416">
        <v>0</v>
      </c>
      <c r="G48" s="416"/>
      <c r="H48" s="416"/>
      <c r="I48" s="416"/>
      <c r="J48" s="416"/>
      <c r="K48" s="416"/>
      <c r="L48" s="416"/>
      <c r="M48" s="416"/>
      <c r="N48" s="416"/>
      <c r="O48" s="416"/>
      <c r="P48" s="416"/>
      <c r="Q48" s="416"/>
      <c r="R48" s="417">
        <f t="shared" si="6"/>
        <v>0</v>
      </c>
      <c r="S48" s="418">
        <v>0</v>
      </c>
      <c r="T48" s="417">
        <f t="shared" si="7"/>
        <v>0</v>
      </c>
      <c r="U48" s="419"/>
      <c r="V48" s="417">
        <f t="shared" si="2"/>
        <v>3</v>
      </c>
      <c r="W48" s="217"/>
    </row>
    <row r="49" spans="1:23">
      <c r="A49" s="192">
        <v>47</v>
      </c>
      <c r="B49" s="414" t="str">
        <f>+PERBULAN!B52</f>
        <v>MAHYUDIN</v>
      </c>
      <c r="C49" s="420" t="s">
        <v>69</v>
      </c>
      <c r="D49" s="416">
        <v>0</v>
      </c>
      <c r="E49" s="416">
        <v>0</v>
      </c>
      <c r="F49" s="416">
        <v>0</v>
      </c>
      <c r="G49" s="416"/>
      <c r="H49" s="416"/>
      <c r="I49" s="416"/>
      <c r="J49" s="416"/>
      <c r="K49" s="416"/>
      <c r="L49" s="416"/>
      <c r="M49" s="416"/>
      <c r="N49" s="416"/>
      <c r="O49" s="416"/>
      <c r="P49" s="416"/>
      <c r="Q49" s="416"/>
      <c r="R49" s="417">
        <f t="shared" si="6"/>
        <v>0</v>
      </c>
      <c r="S49" s="418">
        <v>0</v>
      </c>
      <c r="T49" s="417">
        <f t="shared" si="7"/>
        <v>0</v>
      </c>
      <c r="U49" s="419"/>
      <c r="V49" s="417">
        <f t="shared" si="2"/>
        <v>3</v>
      </c>
      <c r="W49" s="217"/>
    </row>
    <row r="50" spans="1:23">
      <c r="A50" s="192">
        <v>48</v>
      </c>
      <c r="B50" s="434" t="str">
        <f>+PERBULAN!B53</f>
        <v>ASRI</v>
      </c>
      <c r="C50" s="455" t="s">
        <v>69</v>
      </c>
      <c r="D50" s="436">
        <v>13597</v>
      </c>
      <c r="E50" s="436">
        <v>0</v>
      </c>
      <c r="F50" s="436">
        <v>29058</v>
      </c>
      <c r="G50" s="436">
        <v>84767</v>
      </c>
      <c r="H50" s="436"/>
      <c r="I50" s="436">
        <v>63637</v>
      </c>
      <c r="J50" s="436"/>
      <c r="K50" s="436">
        <v>0</v>
      </c>
      <c r="L50" s="436">
        <v>0</v>
      </c>
      <c r="M50" s="436">
        <v>0</v>
      </c>
      <c r="N50" s="436">
        <v>0</v>
      </c>
      <c r="O50" s="436"/>
      <c r="P50" s="436"/>
      <c r="Q50" s="436"/>
      <c r="R50" s="437">
        <f t="shared" si="6"/>
        <v>191059</v>
      </c>
      <c r="S50" s="438">
        <v>0</v>
      </c>
      <c r="T50" s="437">
        <f t="shared" si="7"/>
        <v>191059</v>
      </c>
      <c r="U50" s="456"/>
      <c r="V50" s="218">
        <f t="shared" si="2"/>
        <v>9</v>
      </c>
      <c r="W50" s="217"/>
    </row>
    <row r="51" spans="1:23">
      <c r="A51" s="192">
        <v>49</v>
      </c>
      <c r="B51" s="414" t="str">
        <f>+PERBULAN!B54</f>
        <v>RUSDIANTO</v>
      </c>
      <c r="C51" s="420" t="s">
        <v>69</v>
      </c>
      <c r="D51" s="416">
        <v>0</v>
      </c>
      <c r="E51" s="416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  <c r="Q51" s="416"/>
      <c r="R51" s="417">
        <f t="shared" si="6"/>
        <v>0</v>
      </c>
      <c r="S51" s="418">
        <v>0</v>
      </c>
      <c r="T51" s="417">
        <f t="shared" si="7"/>
        <v>0</v>
      </c>
      <c r="U51" s="419"/>
      <c r="V51" s="417">
        <f t="shared" si="2"/>
        <v>1</v>
      </c>
      <c r="W51" s="217"/>
    </row>
    <row r="52" spans="1:23">
      <c r="A52" s="192">
        <v>50</v>
      </c>
      <c r="B52" s="414" t="str">
        <f>+PERBULAN!B55</f>
        <v>LALU MUHAMAD HADI</v>
      </c>
      <c r="C52" s="420" t="s">
        <v>69</v>
      </c>
      <c r="D52" s="416">
        <v>0</v>
      </c>
      <c r="E52" s="416"/>
      <c r="F52" s="416"/>
      <c r="G52" s="416"/>
      <c r="H52" s="416"/>
      <c r="I52" s="416"/>
      <c r="J52" s="416"/>
      <c r="K52" s="416"/>
      <c r="L52" s="416"/>
      <c r="M52" s="416"/>
      <c r="N52" s="416"/>
      <c r="O52" s="416"/>
      <c r="P52" s="416"/>
      <c r="Q52" s="416"/>
      <c r="R52" s="417">
        <f t="shared" si="6"/>
        <v>0</v>
      </c>
      <c r="S52" s="418">
        <v>0</v>
      </c>
      <c r="T52" s="417">
        <f t="shared" si="7"/>
        <v>0</v>
      </c>
      <c r="U52" s="419"/>
      <c r="V52" s="417">
        <f t="shared" si="2"/>
        <v>1</v>
      </c>
      <c r="W52" s="217"/>
    </row>
    <row r="53" spans="1:23">
      <c r="A53" s="192">
        <v>51</v>
      </c>
      <c r="B53" s="158" t="str">
        <f>+PERBULAN!B56</f>
        <v>RIJAL</v>
      </c>
      <c r="C53" s="403" t="s">
        <v>69</v>
      </c>
      <c r="D53" s="216">
        <v>0</v>
      </c>
      <c r="E53" s="216">
        <v>0</v>
      </c>
      <c r="F53" s="216">
        <v>84012</v>
      </c>
      <c r="G53" s="216">
        <v>0</v>
      </c>
      <c r="H53" s="216"/>
      <c r="I53" s="216">
        <v>0</v>
      </c>
      <c r="J53" s="216"/>
      <c r="K53" s="216">
        <v>0</v>
      </c>
      <c r="L53" s="216">
        <v>0</v>
      </c>
      <c r="M53" s="216">
        <v>0</v>
      </c>
      <c r="N53" s="216">
        <v>0</v>
      </c>
      <c r="O53" s="216">
        <v>0</v>
      </c>
      <c r="P53" s="216">
        <v>0</v>
      </c>
      <c r="Q53" s="216"/>
      <c r="R53" s="218">
        <f t="shared" si="6"/>
        <v>84012</v>
      </c>
      <c r="S53" s="217">
        <v>0</v>
      </c>
      <c r="T53" s="218">
        <f t="shared" si="7"/>
        <v>84012</v>
      </c>
      <c r="V53" s="218">
        <f t="shared" si="2"/>
        <v>11</v>
      </c>
      <c r="W53" s="217"/>
    </row>
    <row r="54" spans="1:23">
      <c r="A54" s="192">
        <v>52</v>
      </c>
      <c r="B54" s="158" t="str">
        <f>+PERBULAN!B57</f>
        <v>FAHRUDIN</v>
      </c>
      <c r="C54" s="403" t="s">
        <v>69</v>
      </c>
      <c r="D54" s="409"/>
      <c r="E54" s="409"/>
      <c r="F54" s="216">
        <v>0</v>
      </c>
      <c r="G54" s="216">
        <v>66308</v>
      </c>
      <c r="H54" s="216"/>
      <c r="I54" s="216">
        <v>114117</v>
      </c>
      <c r="J54" s="216"/>
      <c r="K54" s="216">
        <v>0</v>
      </c>
      <c r="L54" s="216">
        <v>0</v>
      </c>
      <c r="M54" s="216">
        <v>44656</v>
      </c>
      <c r="N54" s="216">
        <v>14088</v>
      </c>
      <c r="O54" s="216">
        <v>45127</v>
      </c>
      <c r="P54" s="216">
        <v>0</v>
      </c>
      <c r="Q54" s="216"/>
      <c r="R54" s="218">
        <f t="shared" si="6"/>
        <v>284296</v>
      </c>
      <c r="S54" s="217">
        <v>0</v>
      </c>
      <c r="T54" s="218">
        <f t="shared" si="7"/>
        <v>284296</v>
      </c>
      <c r="V54" s="218">
        <f t="shared" si="2"/>
        <v>9</v>
      </c>
      <c r="W54" s="217"/>
    </row>
    <row r="55" spans="1:23">
      <c r="A55" s="192">
        <v>53</v>
      </c>
      <c r="B55" s="158" t="str">
        <f>+PERBULAN!B58</f>
        <v>HERIANTO ARBI</v>
      </c>
      <c r="C55" s="403" t="s">
        <v>69</v>
      </c>
      <c r="D55" s="409"/>
      <c r="E55" s="409"/>
      <c r="F55" s="409"/>
      <c r="G55" s="409"/>
      <c r="H55" s="216"/>
      <c r="I55" s="216">
        <v>0</v>
      </c>
      <c r="J55" s="216"/>
      <c r="K55" s="216">
        <v>46696</v>
      </c>
      <c r="L55" s="216">
        <v>0</v>
      </c>
      <c r="M55" s="216">
        <v>13806</v>
      </c>
      <c r="N55" s="216">
        <v>0</v>
      </c>
      <c r="O55" s="216">
        <v>0</v>
      </c>
      <c r="P55" s="216">
        <v>0</v>
      </c>
      <c r="Q55" s="216"/>
      <c r="R55" s="218">
        <f t="shared" si="6"/>
        <v>60502</v>
      </c>
      <c r="S55" s="217">
        <v>0</v>
      </c>
      <c r="T55" s="218">
        <f t="shared" si="7"/>
        <v>60502</v>
      </c>
      <c r="V55" s="218">
        <f t="shared" si="2"/>
        <v>7</v>
      </c>
      <c r="W55" s="217"/>
    </row>
    <row r="56" spans="1:23">
      <c r="A56" s="192">
        <v>54</v>
      </c>
      <c r="B56" s="158" t="str">
        <f>+PERBULAN!B59</f>
        <v>EKO SUMANJAYA</v>
      </c>
      <c r="C56" s="403" t="s">
        <v>553</v>
      </c>
      <c r="D56" s="216">
        <v>0</v>
      </c>
      <c r="E56" s="216">
        <v>0</v>
      </c>
      <c r="F56" s="216">
        <v>87005</v>
      </c>
      <c r="G56" s="216">
        <v>0</v>
      </c>
      <c r="H56" s="216"/>
      <c r="I56" s="216">
        <v>0</v>
      </c>
      <c r="J56" s="216"/>
      <c r="K56" s="216">
        <v>0</v>
      </c>
      <c r="L56" s="216">
        <v>0</v>
      </c>
      <c r="M56" s="216">
        <v>0</v>
      </c>
      <c r="N56" s="216">
        <v>0</v>
      </c>
      <c r="O56" s="216">
        <v>0</v>
      </c>
      <c r="P56" s="216">
        <v>0</v>
      </c>
      <c r="Q56" s="216"/>
      <c r="R56" s="218">
        <f t="shared" si="6"/>
        <v>87005</v>
      </c>
      <c r="S56" s="217">
        <v>0</v>
      </c>
      <c r="T56" s="218">
        <f t="shared" si="7"/>
        <v>87005</v>
      </c>
      <c r="V56" s="218">
        <f t="shared" ref="V56:V67" si="8">COUNT(D56:Q56)-COUNT(H56)-COUNT(J56)</f>
        <v>11</v>
      </c>
      <c r="W56" s="217"/>
    </row>
    <row r="57" spans="1:23">
      <c r="A57" s="192">
        <v>55</v>
      </c>
      <c r="B57" s="158" t="str">
        <f>+PERBULAN!B60</f>
        <v>DEKY FRANZA</v>
      </c>
      <c r="C57" s="403" t="s">
        <v>69</v>
      </c>
      <c r="D57" s="216">
        <v>0</v>
      </c>
      <c r="E57" s="216">
        <v>0</v>
      </c>
      <c r="F57" s="216">
        <v>113237</v>
      </c>
      <c r="G57" s="216">
        <v>0</v>
      </c>
      <c r="H57" s="216"/>
      <c r="I57" s="216">
        <v>0</v>
      </c>
      <c r="J57" s="216"/>
      <c r="K57" s="216">
        <v>0</v>
      </c>
      <c r="L57" s="216">
        <v>0</v>
      </c>
      <c r="M57" s="216">
        <v>0</v>
      </c>
      <c r="N57" s="216">
        <v>0</v>
      </c>
      <c r="O57" s="216">
        <v>0</v>
      </c>
      <c r="P57" s="216">
        <v>0</v>
      </c>
      <c r="Q57" s="216"/>
      <c r="R57" s="218">
        <f t="shared" si="6"/>
        <v>113237</v>
      </c>
      <c r="S57" s="217">
        <v>0</v>
      </c>
      <c r="T57" s="218">
        <f t="shared" si="7"/>
        <v>113237</v>
      </c>
      <c r="V57" s="218">
        <f t="shared" si="8"/>
        <v>11</v>
      </c>
      <c r="W57" s="217"/>
    </row>
    <row r="58" spans="1:23">
      <c r="A58" s="192">
        <v>56</v>
      </c>
      <c r="B58" s="158" t="str">
        <f>+PERBULAN!B61</f>
        <v>SUMARDI</v>
      </c>
      <c r="C58" s="403" t="s">
        <v>558</v>
      </c>
      <c r="D58" s="216">
        <v>0</v>
      </c>
      <c r="E58" s="216">
        <v>0</v>
      </c>
      <c r="F58" s="216">
        <v>86898</v>
      </c>
      <c r="G58" s="216">
        <v>0</v>
      </c>
      <c r="H58" s="216"/>
      <c r="I58" s="216">
        <v>0</v>
      </c>
      <c r="J58" s="216"/>
      <c r="K58" s="216">
        <v>0</v>
      </c>
      <c r="L58" s="216">
        <v>0</v>
      </c>
      <c r="M58" s="216">
        <v>0</v>
      </c>
      <c r="N58" s="216">
        <v>0</v>
      </c>
      <c r="O58" s="216">
        <v>0</v>
      </c>
      <c r="P58" s="216">
        <v>0</v>
      </c>
      <c r="Q58" s="216"/>
      <c r="R58" s="218">
        <f t="shared" si="6"/>
        <v>86898</v>
      </c>
      <c r="S58" s="217">
        <v>0</v>
      </c>
      <c r="T58" s="218">
        <f t="shared" si="7"/>
        <v>86898</v>
      </c>
      <c r="V58" s="218">
        <f t="shared" si="8"/>
        <v>11</v>
      </c>
      <c r="W58" s="217"/>
    </row>
    <row r="59" spans="1:23">
      <c r="A59" s="192">
        <v>57</v>
      </c>
      <c r="B59" s="158" t="str">
        <f>+PERBULAN!B62</f>
        <v>SUKARDI</v>
      </c>
      <c r="C59" s="403" t="s">
        <v>69</v>
      </c>
      <c r="D59" s="216">
        <v>0</v>
      </c>
      <c r="E59" s="216">
        <v>0</v>
      </c>
      <c r="F59" s="216">
        <v>126195</v>
      </c>
      <c r="G59" s="216">
        <v>0</v>
      </c>
      <c r="H59" s="216"/>
      <c r="I59" s="216">
        <v>0</v>
      </c>
      <c r="J59" s="216"/>
      <c r="K59" s="216">
        <v>0</v>
      </c>
      <c r="L59" s="216">
        <v>0</v>
      </c>
      <c r="M59" s="216">
        <v>0</v>
      </c>
      <c r="N59" s="216">
        <v>0</v>
      </c>
      <c r="O59" s="216">
        <v>0</v>
      </c>
      <c r="P59" s="216">
        <v>0</v>
      </c>
      <c r="Q59" s="216"/>
      <c r="R59" s="218">
        <f t="shared" si="6"/>
        <v>126195</v>
      </c>
      <c r="S59" s="217">
        <v>0</v>
      </c>
      <c r="T59" s="218">
        <f t="shared" si="7"/>
        <v>126195</v>
      </c>
      <c r="V59" s="218">
        <f t="shared" si="8"/>
        <v>11</v>
      </c>
    </row>
    <row r="60" spans="1:23">
      <c r="A60" s="192">
        <v>58</v>
      </c>
      <c r="B60" s="158" t="str">
        <f>+PERBULAN!B63</f>
        <v>YANTI NOVITA</v>
      </c>
      <c r="C60" s="445" t="s">
        <v>565</v>
      </c>
      <c r="D60" s="216">
        <v>0</v>
      </c>
      <c r="E60" s="216">
        <v>0</v>
      </c>
      <c r="F60" s="216">
        <v>124548</v>
      </c>
      <c r="G60" s="216">
        <v>0</v>
      </c>
      <c r="H60" s="216"/>
      <c r="I60" s="216">
        <v>0</v>
      </c>
      <c r="J60" s="216"/>
      <c r="K60" s="216">
        <v>0</v>
      </c>
      <c r="L60" s="216">
        <v>0</v>
      </c>
      <c r="M60" s="216">
        <v>0</v>
      </c>
      <c r="N60" s="216">
        <v>0</v>
      </c>
      <c r="O60" s="216">
        <v>0</v>
      </c>
      <c r="P60" s="216">
        <v>0</v>
      </c>
      <c r="Q60" s="216"/>
      <c r="R60" s="218">
        <f t="shared" si="6"/>
        <v>124548</v>
      </c>
      <c r="S60" s="217">
        <v>0</v>
      </c>
      <c r="T60" s="218">
        <f t="shared" si="7"/>
        <v>124548</v>
      </c>
      <c r="V60" s="218">
        <f t="shared" si="8"/>
        <v>11</v>
      </c>
    </row>
    <row r="61" spans="1:23">
      <c r="A61" s="192">
        <v>59</v>
      </c>
      <c r="B61" s="158" t="str">
        <f>+PERBULAN!B64</f>
        <v>FRANSISCO GAUTAMA</v>
      </c>
      <c r="C61" s="403" t="s">
        <v>568</v>
      </c>
      <c r="D61" s="216">
        <v>0</v>
      </c>
      <c r="E61" s="216">
        <v>0</v>
      </c>
      <c r="F61" s="216">
        <v>85072</v>
      </c>
      <c r="G61" s="216">
        <v>0</v>
      </c>
      <c r="H61" s="216"/>
      <c r="I61" s="216">
        <v>0</v>
      </c>
      <c r="J61" s="216"/>
      <c r="K61" s="216">
        <v>0</v>
      </c>
      <c r="L61" s="216">
        <v>0</v>
      </c>
      <c r="M61" s="216">
        <v>0</v>
      </c>
      <c r="N61" s="216">
        <v>0</v>
      </c>
      <c r="O61" s="216">
        <v>0</v>
      </c>
      <c r="P61" s="216">
        <v>0</v>
      </c>
      <c r="Q61" s="216"/>
      <c r="R61" s="218">
        <f t="shared" si="6"/>
        <v>85072</v>
      </c>
      <c r="S61" s="217">
        <v>0</v>
      </c>
      <c r="T61" s="218">
        <f t="shared" si="7"/>
        <v>85072</v>
      </c>
      <c r="V61" s="218">
        <f t="shared" si="8"/>
        <v>11</v>
      </c>
    </row>
    <row r="62" spans="1:23">
      <c r="A62" s="192">
        <v>60</v>
      </c>
      <c r="B62" s="158" t="str">
        <f>+PERBULAN!B65</f>
        <v>MUSDI</v>
      </c>
      <c r="C62" s="403" t="s">
        <v>571</v>
      </c>
      <c r="D62" s="216">
        <v>0</v>
      </c>
      <c r="E62" s="216">
        <v>0</v>
      </c>
      <c r="F62" s="216">
        <v>85882</v>
      </c>
      <c r="G62" s="216">
        <v>0</v>
      </c>
      <c r="H62" s="216"/>
      <c r="I62" s="216">
        <v>0</v>
      </c>
      <c r="J62" s="216"/>
      <c r="K62" s="216">
        <v>0</v>
      </c>
      <c r="L62" s="216">
        <v>0</v>
      </c>
      <c r="M62" s="216">
        <v>0</v>
      </c>
      <c r="N62" s="216">
        <v>0</v>
      </c>
      <c r="O62" s="216">
        <v>0</v>
      </c>
      <c r="P62" s="216">
        <v>0</v>
      </c>
      <c r="Q62" s="216"/>
      <c r="R62" s="218">
        <f t="shared" si="6"/>
        <v>85882</v>
      </c>
      <c r="S62" s="217">
        <v>0</v>
      </c>
      <c r="T62" s="218">
        <f t="shared" si="7"/>
        <v>85882</v>
      </c>
      <c r="V62" s="218">
        <f t="shared" si="8"/>
        <v>11</v>
      </c>
    </row>
    <row r="63" spans="1:23">
      <c r="A63" s="192">
        <v>61</v>
      </c>
      <c r="B63" s="158" t="str">
        <f>+PERBULAN!B66</f>
        <v>M.IDRIS PRATAMA</v>
      </c>
      <c r="C63" s="403" t="s">
        <v>69</v>
      </c>
      <c r="D63" s="216">
        <v>0</v>
      </c>
      <c r="E63" s="216">
        <v>0</v>
      </c>
      <c r="F63" s="216">
        <v>165104</v>
      </c>
      <c r="G63" s="216">
        <v>0</v>
      </c>
      <c r="H63" s="216"/>
      <c r="I63" s="216">
        <v>0</v>
      </c>
      <c r="J63" s="216"/>
      <c r="K63" s="216">
        <v>28261</v>
      </c>
      <c r="L63" s="216">
        <v>0</v>
      </c>
      <c r="M63" s="216">
        <v>0</v>
      </c>
      <c r="N63" s="216">
        <v>0</v>
      </c>
      <c r="O63" s="216">
        <v>0</v>
      </c>
      <c r="P63" s="216">
        <v>0</v>
      </c>
      <c r="Q63" s="216"/>
      <c r="R63" s="218">
        <f t="shared" si="6"/>
        <v>193365</v>
      </c>
      <c r="S63" s="217">
        <v>0</v>
      </c>
      <c r="T63" s="218">
        <f t="shared" si="7"/>
        <v>193365</v>
      </c>
      <c r="V63" s="218">
        <f t="shared" si="8"/>
        <v>11</v>
      </c>
    </row>
    <row r="64" spans="1:23">
      <c r="A64" s="192">
        <v>62</v>
      </c>
      <c r="B64" s="158" t="str">
        <f>+PERBULAN!B67</f>
        <v>NOLA WILANDA</v>
      </c>
      <c r="C64" s="403" t="s">
        <v>69</v>
      </c>
      <c r="D64" s="409"/>
      <c r="E64" s="409"/>
      <c r="F64" s="409"/>
      <c r="G64" s="409"/>
      <c r="H64" s="409"/>
      <c r="I64" s="409"/>
      <c r="J64" s="409"/>
      <c r="K64" s="409"/>
      <c r="L64" s="409"/>
      <c r="M64" s="409"/>
      <c r="N64" s="216">
        <v>0</v>
      </c>
      <c r="O64" s="216">
        <v>0</v>
      </c>
      <c r="P64" s="216">
        <v>0</v>
      </c>
      <c r="Q64" s="216"/>
      <c r="R64" s="218">
        <f t="shared" si="6"/>
        <v>0</v>
      </c>
      <c r="S64" s="217">
        <v>0</v>
      </c>
      <c r="T64" s="218">
        <f t="shared" si="7"/>
        <v>0</v>
      </c>
      <c r="V64" s="218">
        <f t="shared" si="8"/>
        <v>3</v>
      </c>
    </row>
    <row r="65" spans="1:23">
      <c r="A65" s="192">
        <v>63</v>
      </c>
      <c r="B65" s="158" t="str">
        <f>+PERBULAN!B68</f>
        <v>AGUSTIAN</v>
      </c>
      <c r="C65" s="403" t="s">
        <v>69</v>
      </c>
      <c r="D65" s="409"/>
      <c r="E65" s="409"/>
      <c r="F65" s="409"/>
      <c r="G65" s="409"/>
      <c r="H65" s="409"/>
      <c r="I65" s="409"/>
      <c r="J65" s="409"/>
      <c r="K65" s="409"/>
      <c r="L65" s="409"/>
      <c r="M65" s="409"/>
      <c r="N65" s="216">
        <v>0</v>
      </c>
      <c r="O65" s="216">
        <v>0</v>
      </c>
      <c r="P65" s="216">
        <v>0</v>
      </c>
      <c r="Q65" s="216"/>
      <c r="R65" s="218">
        <f t="shared" si="6"/>
        <v>0</v>
      </c>
      <c r="S65" s="217">
        <v>0</v>
      </c>
      <c r="T65" s="218">
        <f t="shared" si="7"/>
        <v>0</v>
      </c>
      <c r="V65" s="218">
        <f t="shared" si="8"/>
        <v>3</v>
      </c>
    </row>
    <row r="66" spans="1:23">
      <c r="A66" s="192">
        <v>64</v>
      </c>
      <c r="B66" s="158" t="str">
        <f>+PERBULAN!B69</f>
        <v>DWI MARZETI</v>
      </c>
      <c r="C66" s="403" t="s">
        <v>69</v>
      </c>
      <c r="D66" s="409"/>
      <c r="E66" s="409"/>
      <c r="F66" s="409"/>
      <c r="G66" s="409"/>
      <c r="H66" s="409"/>
      <c r="I66" s="409"/>
      <c r="J66" s="409"/>
      <c r="K66" s="409"/>
      <c r="L66" s="409"/>
      <c r="M66" s="409"/>
      <c r="N66" s="216">
        <v>0</v>
      </c>
      <c r="O66" s="216">
        <v>0</v>
      </c>
      <c r="P66" s="216">
        <v>0</v>
      </c>
      <c r="Q66" s="216"/>
      <c r="R66" s="218">
        <f t="shared" si="6"/>
        <v>0</v>
      </c>
      <c r="S66" s="217">
        <v>0</v>
      </c>
      <c r="T66" s="218">
        <f t="shared" si="7"/>
        <v>0</v>
      </c>
      <c r="V66" s="218">
        <f t="shared" si="8"/>
        <v>3</v>
      </c>
    </row>
    <row r="67" spans="1:23">
      <c r="A67" s="192">
        <v>65</v>
      </c>
      <c r="B67" s="158" t="str">
        <f>+PERBULAN!B70</f>
        <v>SUTRA PRAYOGI</v>
      </c>
      <c r="C67" s="403" t="s">
        <v>69</v>
      </c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216">
        <v>0</v>
      </c>
      <c r="P67" s="216">
        <v>0</v>
      </c>
      <c r="Q67" s="216"/>
      <c r="R67" s="218">
        <f t="shared" si="6"/>
        <v>0</v>
      </c>
      <c r="S67" s="217">
        <v>0</v>
      </c>
      <c r="T67" s="218">
        <f t="shared" si="7"/>
        <v>0</v>
      </c>
      <c r="V67" s="218">
        <f t="shared" si="8"/>
        <v>2</v>
      </c>
    </row>
    <row r="68" spans="1:23">
      <c r="A68" s="192">
        <v>66</v>
      </c>
      <c r="B68" s="158" t="str">
        <f>+PERBULAN!B71</f>
        <v>SAHARUDIN</v>
      </c>
      <c r="C68" s="403" t="s">
        <v>586</v>
      </c>
      <c r="D68" s="216">
        <v>0</v>
      </c>
      <c r="E68" s="216">
        <v>0</v>
      </c>
      <c r="F68" s="216">
        <v>123360</v>
      </c>
      <c r="G68" s="216">
        <v>0</v>
      </c>
      <c r="H68" s="216"/>
      <c r="I68" s="216">
        <v>0</v>
      </c>
      <c r="J68" s="216"/>
      <c r="K68" s="216">
        <v>0</v>
      </c>
      <c r="L68" s="216">
        <v>0</v>
      </c>
      <c r="M68" s="216">
        <v>0</v>
      </c>
      <c r="N68" s="216">
        <v>0</v>
      </c>
      <c r="O68" s="216">
        <v>0</v>
      </c>
      <c r="P68" s="216">
        <v>0</v>
      </c>
      <c r="Q68" s="216"/>
      <c r="R68" s="218">
        <f t="shared" si="6"/>
        <v>123360</v>
      </c>
      <c r="S68" s="217">
        <v>0</v>
      </c>
      <c r="T68" s="218">
        <f t="shared" si="7"/>
        <v>123360</v>
      </c>
      <c r="V68" s="218"/>
    </row>
    <row r="69" spans="1:23">
      <c r="A69" s="192">
        <v>67</v>
      </c>
      <c r="B69" s="158">
        <f>+PERBULAN!B72</f>
        <v>0</v>
      </c>
      <c r="C69" s="403"/>
      <c r="D69" s="409"/>
      <c r="E69" s="409"/>
      <c r="F69" s="409"/>
      <c r="G69" s="409"/>
      <c r="H69" s="409"/>
      <c r="I69" s="409"/>
      <c r="J69" s="409"/>
      <c r="K69" s="409"/>
      <c r="L69" s="409"/>
      <c r="M69" s="409"/>
      <c r="N69" s="409"/>
      <c r="O69" s="216"/>
      <c r="P69" s="216"/>
      <c r="Q69" s="216"/>
      <c r="R69" s="218">
        <f t="shared" si="6"/>
        <v>0</v>
      </c>
      <c r="S69" s="217">
        <v>0</v>
      </c>
      <c r="T69" s="218">
        <f t="shared" si="7"/>
        <v>0</v>
      </c>
      <c r="V69" s="218"/>
    </row>
    <row r="70" spans="1:23">
      <c r="A70" s="192">
        <v>68</v>
      </c>
      <c r="B70" s="158">
        <f>+PERBULAN!B73</f>
        <v>0</v>
      </c>
      <c r="C70" s="403"/>
      <c r="D70" s="409"/>
      <c r="E70" s="409"/>
      <c r="F70" s="409"/>
      <c r="G70" s="409"/>
      <c r="H70" s="409"/>
      <c r="I70" s="409"/>
      <c r="J70" s="409"/>
      <c r="K70" s="409"/>
      <c r="L70" s="409"/>
      <c r="M70" s="409"/>
      <c r="N70" s="409"/>
      <c r="O70" s="216"/>
      <c r="P70" s="216"/>
      <c r="Q70" s="216"/>
      <c r="R70" s="218">
        <f t="shared" si="6"/>
        <v>0</v>
      </c>
      <c r="S70" s="217">
        <v>0</v>
      </c>
      <c r="T70" s="218">
        <f t="shared" si="7"/>
        <v>0</v>
      </c>
      <c r="V70" s="218"/>
    </row>
    <row r="71" spans="1:23">
      <c r="A71" s="192">
        <v>69</v>
      </c>
      <c r="B71" s="158">
        <f>+PERBULAN!B74</f>
        <v>0</v>
      </c>
      <c r="C71" s="403"/>
      <c r="D71" s="409"/>
      <c r="E71" s="409"/>
      <c r="F71" s="409"/>
      <c r="G71" s="409"/>
      <c r="H71" s="409"/>
      <c r="I71" s="409"/>
      <c r="J71" s="409"/>
      <c r="K71" s="409"/>
      <c r="L71" s="409"/>
      <c r="M71" s="409"/>
      <c r="N71" s="409"/>
      <c r="O71" s="216"/>
      <c r="P71" s="216"/>
      <c r="Q71" s="216"/>
      <c r="R71" s="218">
        <f t="shared" si="6"/>
        <v>0</v>
      </c>
      <c r="S71" s="217">
        <v>0</v>
      </c>
      <c r="T71" s="218">
        <f t="shared" si="7"/>
        <v>0</v>
      </c>
      <c r="V71" s="218"/>
    </row>
    <row r="72" spans="1:23">
      <c r="A72" s="192">
        <v>70</v>
      </c>
      <c r="B72" s="158">
        <f>+PERBULAN!B75</f>
        <v>0</v>
      </c>
      <c r="C72" s="403"/>
      <c r="D72" s="409"/>
      <c r="E72" s="409"/>
      <c r="F72" s="409"/>
      <c r="G72" s="409"/>
      <c r="H72" s="409"/>
      <c r="I72" s="409"/>
      <c r="J72" s="409"/>
      <c r="K72" s="409"/>
      <c r="L72" s="409"/>
      <c r="M72" s="409"/>
      <c r="N72" s="409"/>
      <c r="O72" s="216"/>
      <c r="P72" s="216"/>
      <c r="Q72" s="216"/>
      <c r="R72" s="218">
        <f t="shared" si="6"/>
        <v>0</v>
      </c>
      <c r="S72" s="217">
        <v>0</v>
      </c>
      <c r="T72" s="218">
        <f t="shared" si="7"/>
        <v>0</v>
      </c>
      <c r="V72" s="218"/>
    </row>
    <row r="73" spans="1:23">
      <c r="B73" s="220" t="s">
        <v>370</v>
      </c>
      <c r="C73" s="404"/>
      <c r="D73" s="220">
        <f t="shared" ref="D73:Q73" si="9">SUM(D3:D67)</f>
        <v>855215</v>
      </c>
      <c r="E73" s="220">
        <f t="shared" si="9"/>
        <v>534188</v>
      </c>
      <c r="F73" s="220">
        <f t="shared" si="9"/>
        <v>6917932</v>
      </c>
      <c r="G73" s="220">
        <f t="shared" si="9"/>
        <v>932095</v>
      </c>
      <c r="H73" s="220">
        <f t="shared" si="9"/>
        <v>0</v>
      </c>
      <c r="I73" s="220">
        <f t="shared" si="9"/>
        <v>2949175</v>
      </c>
      <c r="J73" s="220">
        <f t="shared" si="9"/>
        <v>0</v>
      </c>
      <c r="K73" s="220">
        <f t="shared" si="9"/>
        <v>883896</v>
      </c>
      <c r="L73" s="220">
        <f t="shared" si="9"/>
        <v>601425</v>
      </c>
      <c r="M73" s="220">
        <f t="shared" si="9"/>
        <v>654871</v>
      </c>
      <c r="N73" s="220">
        <f t="shared" si="9"/>
        <v>401502</v>
      </c>
      <c r="O73" s="220">
        <f t="shared" si="9"/>
        <v>419092</v>
      </c>
      <c r="P73" s="220">
        <f t="shared" si="9"/>
        <v>426035</v>
      </c>
      <c r="Q73" s="220">
        <f t="shared" si="9"/>
        <v>0</v>
      </c>
    </row>
    <row r="74" spans="1:23">
      <c r="R74" s="218">
        <f>SUM(R3:R72)</f>
        <v>15698786</v>
      </c>
      <c r="S74" s="218">
        <f t="shared" ref="S74:T74" si="10">SUM(S3:S72)</f>
        <v>0</v>
      </c>
      <c r="T74" s="218">
        <f t="shared" si="10"/>
        <v>15698786</v>
      </c>
      <c r="U74" s="218"/>
      <c r="V74" s="218">
        <f>SUM(V3:V67)</f>
        <v>584</v>
      </c>
      <c r="W74" s="218"/>
    </row>
    <row r="75" spans="1:23">
      <c r="D75" s="192">
        <f>COUNT(D3:D67)</f>
        <v>59</v>
      </c>
      <c r="E75" s="192">
        <f t="shared" ref="E75:Q75" si="11">COUNT(E3:E67)</f>
        <v>57</v>
      </c>
      <c r="F75" s="192">
        <f t="shared" si="11"/>
        <v>58</v>
      </c>
      <c r="G75" s="192">
        <f t="shared" si="11"/>
        <v>51</v>
      </c>
      <c r="H75" s="192">
        <f t="shared" si="11"/>
        <v>0</v>
      </c>
      <c r="I75" s="192">
        <f t="shared" si="11"/>
        <v>50</v>
      </c>
      <c r="J75" s="192">
        <f t="shared" si="11"/>
        <v>0</v>
      </c>
      <c r="K75" s="192">
        <f>COUNT(K3:K67)</f>
        <v>50</v>
      </c>
      <c r="L75" s="192">
        <f>COUNT(L3:L67)</f>
        <v>50</v>
      </c>
      <c r="M75" s="192">
        <f t="shared" si="11"/>
        <v>50</v>
      </c>
      <c r="N75" s="192">
        <f>COUNT(N3:N67)</f>
        <v>53</v>
      </c>
      <c r="O75" s="192">
        <f>COUNT(O3:O67)</f>
        <v>53</v>
      </c>
      <c r="P75" s="192">
        <f>COUNT(P3:P67)</f>
        <v>53</v>
      </c>
      <c r="Q75" s="192">
        <f t="shared" si="11"/>
        <v>0</v>
      </c>
    </row>
    <row r="77" spans="1:23">
      <c r="H77" s="218"/>
    </row>
    <row r="78" spans="1:23">
      <c r="A78" s="192">
        <v>27</v>
      </c>
      <c r="B78" s="158" t="str">
        <f>+PERBULAN!B79</f>
        <v>RIO RESFATI</v>
      </c>
      <c r="C78" s="398" t="s">
        <v>69</v>
      </c>
      <c r="D78" s="216">
        <v>0</v>
      </c>
      <c r="E78" s="216">
        <v>0</v>
      </c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8">
        <f t="shared" ref="R78:R88" si="12">SUM(D78:Q78)</f>
        <v>0</v>
      </c>
      <c r="S78" s="217">
        <v>0</v>
      </c>
      <c r="T78" s="218">
        <f t="shared" ref="T78:T88" si="13">R78-S78</f>
        <v>0</v>
      </c>
      <c r="V78" s="218">
        <f t="shared" ref="V78:V88" si="14">COUNT(D78:Q78)-COUNT(H78)-COUNT(J78)</f>
        <v>2</v>
      </c>
      <c r="W78" s="217"/>
    </row>
    <row r="79" spans="1:23">
      <c r="A79" s="192">
        <v>12</v>
      </c>
      <c r="B79" s="158" t="str">
        <f>+PERBULAN!B80</f>
        <v>YANTI NOVITA</v>
      </c>
      <c r="C79" s="398" t="s">
        <v>437</v>
      </c>
      <c r="D79" s="216">
        <v>0</v>
      </c>
      <c r="E79" s="216">
        <v>0</v>
      </c>
      <c r="F79" s="216">
        <v>124548</v>
      </c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8">
        <f t="shared" si="12"/>
        <v>124548</v>
      </c>
      <c r="S79" s="217">
        <v>0</v>
      </c>
      <c r="T79" s="218">
        <f t="shared" si="13"/>
        <v>124548</v>
      </c>
      <c r="V79" s="218">
        <f t="shared" si="14"/>
        <v>3</v>
      </c>
      <c r="W79" s="217"/>
    </row>
    <row r="80" spans="1:23">
      <c r="A80" s="192">
        <v>60</v>
      </c>
      <c r="B80" s="158" t="str">
        <f>+PERBULAN!B81</f>
        <v>EDI ZULKARNADI</v>
      </c>
      <c r="C80" s="403" t="s">
        <v>542</v>
      </c>
      <c r="D80" s="216">
        <v>0</v>
      </c>
      <c r="E80" s="216">
        <v>0</v>
      </c>
      <c r="F80" s="216">
        <v>85203</v>
      </c>
      <c r="G80" s="216">
        <v>0</v>
      </c>
      <c r="H80" s="216"/>
      <c r="I80" s="216">
        <v>0</v>
      </c>
      <c r="J80" s="216"/>
      <c r="K80" s="216">
        <v>0</v>
      </c>
      <c r="L80" s="216"/>
      <c r="M80" s="216"/>
      <c r="N80" s="216"/>
      <c r="O80" s="216"/>
      <c r="P80" s="216"/>
      <c r="Q80" s="216"/>
      <c r="R80" s="218">
        <f t="shared" si="12"/>
        <v>85203</v>
      </c>
      <c r="S80" s="217">
        <v>0</v>
      </c>
      <c r="T80" s="218">
        <f t="shared" si="13"/>
        <v>85203</v>
      </c>
      <c r="V80" s="218">
        <f t="shared" si="14"/>
        <v>6</v>
      </c>
      <c r="W80" s="217"/>
    </row>
    <row r="81" spans="1:23">
      <c r="A81" s="192">
        <v>37</v>
      </c>
      <c r="B81" s="158" t="str">
        <f>+PERBULAN!B82</f>
        <v>SUNARDI</v>
      </c>
      <c r="C81" s="398" t="s">
        <v>69</v>
      </c>
      <c r="D81" s="216">
        <v>0</v>
      </c>
      <c r="E81" s="216">
        <v>0</v>
      </c>
      <c r="F81" s="216">
        <v>87096</v>
      </c>
      <c r="G81" s="216">
        <v>0</v>
      </c>
      <c r="H81" s="216"/>
      <c r="I81" s="216">
        <v>0</v>
      </c>
      <c r="J81" s="216"/>
      <c r="K81" s="216">
        <v>0</v>
      </c>
      <c r="L81" s="216"/>
      <c r="M81" s="216"/>
      <c r="N81" s="216"/>
      <c r="O81" s="216"/>
      <c r="P81" s="216"/>
      <c r="Q81" s="216"/>
      <c r="R81" s="218">
        <f t="shared" si="12"/>
        <v>87096</v>
      </c>
      <c r="S81" s="217">
        <v>0</v>
      </c>
      <c r="T81" s="218">
        <f t="shared" si="13"/>
        <v>87096</v>
      </c>
      <c r="V81" s="218">
        <f t="shared" si="14"/>
        <v>6</v>
      </c>
      <c r="W81" s="217"/>
    </row>
    <row r="82" spans="1:23">
      <c r="A82" s="192">
        <v>29</v>
      </c>
      <c r="B82" s="158" t="str">
        <f>+PERBULAN!B83</f>
        <v>MUSNI</v>
      </c>
      <c r="C82" s="398" t="s">
        <v>69</v>
      </c>
      <c r="D82" s="216">
        <v>0</v>
      </c>
      <c r="E82" s="216">
        <v>0</v>
      </c>
      <c r="F82" s="216">
        <v>156332</v>
      </c>
      <c r="G82" s="216">
        <v>0</v>
      </c>
      <c r="H82" s="216"/>
      <c r="I82" s="216">
        <v>63889</v>
      </c>
      <c r="J82" s="216"/>
      <c r="K82" s="216">
        <v>0</v>
      </c>
      <c r="L82" s="216">
        <v>0</v>
      </c>
      <c r="M82" s="216"/>
      <c r="N82" s="216"/>
      <c r="O82" s="216"/>
      <c r="P82" s="216"/>
      <c r="Q82" s="216"/>
      <c r="R82" s="218">
        <f t="shared" si="12"/>
        <v>220221</v>
      </c>
      <c r="S82" s="217">
        <v>0</v>
      </c>
      <c r="T82" s="218">
        <f t="shared" si="13"/>
        <v>220221</v>
      </c>
      <c r="V82" s="218">
        <f t="shared" si="14"/>
        <v>7</v>
      </c>
      <c r="W82" s="217"/>
    </row>
    <row r="83" spans="1:23">
      <c r="A83" s="192">
        <v>31</v>
      </c>
      <c r="B83" s="158" t="str">
        <f>+PERBULAN!B84</f>
        <v>ARPANDI</v>
      </c>
      <c r="C83" s="398" t="s">
        <v>69</v>
      </c>
      <c r="D83" s="216">
        <v>0</v>
      </c>
      <c r="E83" s="216">
        <v>0</v>
      </c>
      <c r="F83" s="216">
        <v>139353</v>
      </c>
      <c r="G83" s="216">
        <v>0</v>
      </c>
      <c r="H83" s="216"/>
      <c r="I83" s="216">
        <v>0</v>
      </c>
      <c r="J83" s="216"/>
      <c r="K83" s="216">
        <v>0</v>
      </c>
      <c r="L83" s="216">
        <v>0</v>
      </c>
      <c r="M83" s="216"/>
      <c r="N83" s="216"/>
      <c r="O83" s="216"/>
      <c r="P83" s="216"/>
      <c r="Q83" s="216"/>
      <c r="R83" s="218">
        <f t="shared" si="12"/>
        <v>139353</v>
      </c>
      <c r="S83" s="217">
        <v>0</v>
      </c>
      <c r="T83" s="218">
        <f t="shared" si="13"/>
        <v>139353</v>
      </c>
      <c r="V83" s="218">
        <f t="shared" si="14"/>
        <v>7</v>
      </c>
      <c r="W83" s="217"/>
    </row>
    <row r="84" spans="1:23">
      <c r="A84" s="192">
        <v>32</v>
      </c>
      <c r="B84" s="158" t="str">
        <f>+PERBULAN!B85</f>
        <v>MASRI</v>
      </c>
      <c r="C84" s="398" t="s">
        <v>69</v>
      </c>
      <c r="D84" s="216">
        <v>0</v>
      </c>
      <c r="E84" s="216">
        <v>0</v>
      </c>
      <c r="F84" s="216">
        <v>88787</v>
      </c>
      <c r="G84" s="216">
        <v>0</v>
      </c>
      <c r="H84" s="216"/>
      <c r="I84" s="216">
        <v>0</v>
      </c>
      <c r="J84" s="216"/>
      <c r="K84" s="216">
        <v>0</v>
      </c>
      <c r="L84" s="216">
        <v>0</v>
      </c>
      <c r="M84" s="216"/>
      <c r="N84" s="216"/>
      <c r="O84" s="216"/>
      <c r="P84" s="216"/>
      <c r="Q84" s="216"/>
      <c r="R84" s="218">
        <f t="shared" si="12"/>
        <v>88787</v>
      </c>
      <c r="S84" s="217">
        <v>0</v>
      </c>
      <c r="T84" s="218">
        <f t="shared" si="13"/>
        <v>88787</v>
      </c>
      <c r="V84" s="218">
        <f t="shared" si="14"/>
        <v>7</v>
      </c>
      <c r="W84" s="217"/>
    </row>
    <row r="85" spans="1:23">
      <c r="A85" s="192">
        <v>35</v>
      </c>
      <c r="B85" s="158" t="str">
        <f>+PERBULAN!B86</f>
        <v>HARDIANSYAH</v>
      </c>
      <c r="C85" s="402" t="s">
        <v>69</v>
      </c>
      <c r="D85" s="216">
        <v>0</v>
      </c>
      <c r="E85" s="216">
        <v>0</v>
      </c>
      <c r="F85" s="216">
        <v>88930</v>
      </c>
      <c r="G85" s="216">
        <v>0</v>
      </c>
      <c r="H85" s="216"/>
      <c r="I85" s="216">
        <v>0</v>
      </c>
      <c r="J85" s="216"/>
      <c r="K85" s="216">
        <v>0</v>
      </c>
      <c r="L85" s="216">
        <v>0</v>
      </c>
      <c r="M85" s="216"/>
      <c r="N85" s="216"/>
      <c r="O85" s="216"/>
      <c r="P85" s="216"/>
      <c r="Q85" s="216"/>
      <c r="R85" s="218">
        <f t="shared" si="12"/>
        <v>88930</v>
      </c>
      <c r="S85" s="217">
        <v>0</v>
      </c>
      <c r="T85" s="218">
        <f t="shared" si="13"/>
        <v>88930</v>
      </c>
      <c r="V85" s="218">
        <f t="shared" si="14"/>
        <v>7</v>
      </c>
      <c r="W85" s="217"/>
    </row>
    <row r="86" spans="1:23">
      <c r="A86" s="192">
        <v>41</v>
      </c>
      <c r="B86" s="158" t="str">
        <f>+PERBULAN!B87</f>
        <v>SALEH</v>
      </c>
      <c r="C86" s="398" t="s">
        <v>69</v>
      </c>
      <c r="D86" s="216">
        <v>0</v>
      </c>
      <c r="E86" s="216">
        <v>0</v>
      </c>
      <c r="F86" s="216">
        <v>153621</v>
      </c>
      <c r="G86" s="216">
        <v>29623</v>
      </c>
      <c r="H86" s="216"/>
      <c r="I86" s="216">
        <v>63088</v>
      </c>
      <c r="J86" s="216"/>
      <c r="K86" s="216">
        <v>0</v>
      </c>
      <c r="L86" s="216">
        <v>0</v>
      </c>
      <c r="M86" s="216"/>
      <c r="N86" s="216"/>
      <c r="O86" s="216"/>
      <c r="P86" s="216"/>
      <c r="Q86" s="216"/>
      <c r="R86" s="218">
        <f t="shared" si="12"/>
        <v>246332</v>
      </c>
      <c r="S86" s="217">
        <v>0</v>
      </c>
      <c r="T86" s="218">
        <f t="shared" si="13"/>
        <v>246332</v>
      </c>
      <c r="V86" s="218">
        <f t="shared" si="14"/>
        <v>7</v>
      </c>
      <c r="W86" s="217"/>
    </row>
    <row r="87" spans="1:23">
      <c r="A87" s="192">
        <v>48</v>
      </c>
      <c r="B87" s="158" t="str">
        <f>+PERBULAN!B88</f>
        <v>JUFRI</v>
      </c>
      <c r="C87" s="403" t="s">
        <v>69</v>
      </c>
      <c r="D87" s="216">
        <v>0</v>
      </c>
      <c r="E87" s="216">
        <v>0</v>
      </c>
      <c r="F87" s="216">
        <v>85964</v>
      </c>
      <c r="G87" s="216">
        <v>0</v>
      </c>
      <c r="H87" s="216"/>
      <c r="I87" s="216">
        <v>0</v>
      </c>
      <c r="J87" s="216"/>
      <c r="K87" s="216">
        <v>0</v>
      </c>
      <c r="L87" s="216">
        <v>0</v>
      </c>
      <c r="M87" s="216"/>
      <c r="N87" s="216"/>
      <c r="O87" s="216"/>
      <c r="P87" s="216"/>
      <c r="Q87" s="216"/>
      <c r="R87" s="218">
        <f t="shared" si="12"/>
        <v>85964</v>
      </c>
      <c r="S87" s="217">
        <v>0</v>
      </c>
      <c r="T87" s="218">
        <f t="shared" si="13"/>
        <v>85964</v>
      </c>
      <c r="V87" s="218">
        <f t="shared" si="14"/>
        <v>7</v>
      </c>
      <c r="W87" s="217"/>
    </row>
    <row r="88" spans="1:23">
      <c r="A88" s="192">
        <v>50</v>
      </c>
      <c r="B88" s="158" t="str">
        <f>+PERBULAN!B89</f>
        <v>ZAMALUDIN</v>
      </c>
      <c r="C88" s="403" t="s">
        <v>69</v>
      </c>
      <c r="D88" s="216">
        <v>0</v>
      </c>
      <c r="E88" s="216">
        <v>0</v>
      </c>
      <c r="F88" s="216">
        <v>34167</v>
      </c>
      <c r="G88" s="216">
        <v>0</v>
      </c>
      <c r="H88" s="216"/>
      <c r="I88" s="216">
        <v>0</v>
      </c>
      <c r="J88" s="216"/>
      <c r="K88" s="216">
        <v>0</v>
      </c>
      <c r="L88" s="216">
        <v>0</v>
      </c>
      <c r="M88" s="216"/>
      <c r="N88" s="216"/>
      <c r="O88" s="216"/>
      <c r="P88" s="216"/>
      <c r="Q88" s="216"/>
      <c r="R88" s="218">
        <f t="shared" si="12"/>
        <v>34167</v>
      </c>
      <c r="S88" s="217">
        <v>0</v>
      </c>
      <c r="T88" s="218">
        <f t="shared" si="13"/>
        <v>34167</v>
      </c>
      <c r="V88" s="218">
        <f t="shared" si="14"/>
        <v>7</v>
      </c>
      <c r="W88" s="217"/>
    </row>
  </sheetData>
  <mergeCells count="3">
    <mergeCell ref="B1:B2"/>
    <mergeCell ref="C1:C2"/>
    <mergeCell ref="D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85"/>
  <sheetViews>
    <sheetView topLeftCell="A165" workbookViewId="0">
      <pane xSplit="2" topLeftCell="C1" activePane="topRight" state="frozen"/>
      <selection activeCell="O70" sqref="O70"/>
      <selection pane="topRight" activeCell="O70" sqref="O70"/>
    </sheetView>
  </sheetViews>
  <sheetFormatPr defaultRowHeight="15"/>
  <cols>
    <col min="1" max="1" width="4.5703125" style="197" customWidth="1"/>
    <col min="2" max="2" width="18.85546875" style="191" customWidth="1"/>
    <col min="3" max="4" width="12.28515625" style="191" customWidth="1"/>
    <col min="5" max="5" width="12.140625" style="191" customWidth="1"/>
    <col min="6" max="7" width="12.5703125" style="191" customWidth="1"/>
    <col min="8" max="8" width="12.28515625" style="191" customWidth="1"/>
    <col min="9" max="9" width="11.85546875" style="191" customWidth="1"/>
    <col min="10" max="10" width="12.42578125" style="191" customWidth="1"/>
    <col min="11" max="11" width="12.42578125" style="168" customWidth="1"/>
    <col min="12" max="12" width="10.140625" style="192" customWidth="1"/>
    <col min="13" max="13" width="11.140625" style="192" customWidth="1"/>
    <col min="14" max="14" width="11.42578125" style="191" customWidth="1"/>
    <col min="15" max="15" width="14.140625" style="191" customWidth="1"/>
    <col min="16" max="16" width="9.140625" style="191"/>
    <col min="17" max="17" width="10.140625" style="191" bestFit="1" customWidth="1"/>
    <col min="18" max="16384" width="9.140625" style="191"/>
  </cols>
  <sheetData>
    <row r="2" spans="1:18" ht="15" customHeight="1">
      <c r="A2" s="190" t="s">
        <v>68</v>
      </c>
      <c r="B2" s="190"/>
      <c r="F2" s="190"/>
    </row>
    <row r="3" spans="1:18" ht="15" customHeight="1">
      <c r="A3" s="193" t="s">
        <v>487</v>
      </c>
      <c r="B3" s="193"/>
      <c r="F3" s="193"/>
    </row>
    <row r="4" spans="1:18" ht="15" customHeight="1">
      <c r="A4" s="600" t="s">
        <v>488</v>
      </c>
      <c r="B4" s="600"/>
      <c r="F4" s="194"/>
      <c r="G4" s="195"/>
      <c r="H4" s="195"/>
      <c r="I4" s="195"/>
      <c r="J4" s="195"/>
      <c r="K4" s="194"/>
      <c r="L4" s="196"/>
      <c r="M4" s="196"/>
      <c r="N4" s="195"/>
      <c r="O4" s="195"/>
    </row>
    <row r="5" spans="1:18" ht="15" customHeight="1" thickBot="1">
      <c r="E5" s="195"/>
      <c r="F5" s="195"/>
      <c r="G5" s="195"/>
      <c r="H5" s="195"/>
      <c r="I5" s="195"/>
      <c r="J5" s="195"/>
      <c r="K5" s="194"/>
      <c r="L5" s="196"/>
      <c r="M5" s="196"/>
      <c r="N5" s="195"/>
      <c r="O5" s="195"/>
    </row>
    <row r="6" spans="1:18" ht="15" customHeight="1">
      <c r="A6" s="601" t="s">
        <v>0</v>
      </c>
      <c r="B6" s="603" t="s">
        <v>366</v>
      </c>
      <c r="C6" s="605" t="s">
        <v>489</v>
      </c>
      <c r="D6" s="606"/>
      <c r="E6" s="606"/>
      <c r="F6" s="606"/>
      <c r="G6" s="606"/>
      <c r="H6" s="606"/>
      <c r="I6" s="606"/>
      <c r="J6" s="606"/>
      <c r="K6" s="606"/>
      <c r="L6" s="606"/>
      <c r="M6" s="606"/>
      <c r="N6" s="607"/>
      <c r="O6" s="614" t="s">
        <v>370</v>
      </c>
    </row>
    <row r="7" spans="1:18" ht="15" customHeight="1">
      <c r="A7" s="602"/>
      <c r="B7" s="604"/>
      <c r="C7" s="608"/>
      <c r="D7" s="609"/>
      <c r="E7" s="609"/>
      <c r="F7" s="609"/>
      <c r="G7" s="609"/>
      <c r="H7" s="609"/>
      <c r="I7" s="609"/>
      <c r="J7" s="609"/>
      <c r="K7" s="609"/>
      <c r="L7" s="609"/>
      <c r="M7" s="609"/>
      <c r="N7" s="610"/>
      <c r="O7" s="614"/>
    </row>
    <row r="8" spans="1:18" ht="15" customHeight="1">
      <c r="A8" s="602"/>
      <c r="B8" s="604"/>
      <c r="C8" s="611"/>
      <c r="D8" s="612"/>
      <c r="E8" s="612"/>
      <c r="F8" s="612"/>
      <c r="G8" s="612"/>
      <c r="H8" s="612"/>
      <c r="I8" s="612"/>
      <c r="J8" s="612"/>
      <c r="K8" s="612"/>
      <c r="L8" s="612"/>
      <c r="M8" s="612"/>
      <c r="N8" s="613"/>
      <c r="O8" s="614"/>
    </row>
    <row r="9" spans="1:18" ht="15" customHeight="1">
      <c r="A9" s="602"/>
      <c r="B9" s="604"/>
      <c r="C9" s="198" t="s">
        <v>374</v>
      </c>
      <c r="D9" s="198" t="s">
        <v>375</v>
      </c>
      <c r="E9" s="198" t="s">
        <v>376</v>
      </c>
      <c r="F9" s="198" t="s">
        <v>377</v>
      </c>
      <c r="G9" s="198" t="s">
        <v>378</v>
      </c>
      <c r="H9" s="198" t="s">
        <v>379</v>
      </c>
      <c r="I9" s="198" t="s">
        <v>380</v>
      </c>
      <c r="J9" s="199" t="s">
        <v>381</v>
      </c>
      <c r="K9" s="200" t="s">
        <v>382</v>
      </c>
      <c r="L9" s="201" t="s">
        <v>383</v>
      </c>
      <c r="M9" s="201" t="s">
        <v>384</v>
      </c>
      <c r="N9" s="202" t="s">
        <v>385</v>
      </c>
      <c r="O9" s="614"/>
      <c r="P9" s="203"/>
      <c r="Q9" s="203"/>
      <c r="R9" s="203"/>
    </row>
    <row r="10" spans="1:18" ht="15" customHeight="1">
      <c r="A10" s="150">
        <v>1</v>
      </c>
      <c r="B10" s="149" t="str">
        <f>+PERBULAN!B6</f>
        <v>GUNAWAN</v>
      </c>
      <c r="C10" s="204">
        <v>156264</v>
      </c>
      <c r="D10" s="204">
        <v>156264</v>
      </c>
      <c r="E10" s="205">
        <v>156264</v>
      </c>
      <c r="F10" s="205">
        <v>156264</v>
      </c>
      <c r="G10" s="205">
        <v>156264</v>
      </c>
      <c r="H10" s="205">
        <v>156264</v>
      </c>
      <c r="I10" s="205">
        <v>156264</v>
      </c>
      <c r="J10" s="205">
        <v>156264</v>
      </c>
      <c r="K10" s="205">
        <v>156384</v>
      </c>
      <c r="L10" s="205">
        <v>156384</v>
      </c>
      <c r="M10" s="205">
        <v>156384</v>
      </c>
      <c r="N10" s="205"/>
      <c r="O10" s="152">
        <f>SUM(C10:N10)</f>
        <v>1719264</v>
      </c>
      <c r="P10" s="191">
        <f t="shared" ref="P10:P62" si="0">COUNT(C10:N10)</f>
        <v>11</v>
      </c>
    </row>
    <row r="11" spans="1:18" ht="15" customHeight="1">
      <c r="A11" s="150">
        <v>2</v>
      </c>
      <c r="B11" s="149" t="str">
        <f>+PERBULAN!B7</f>
        <v>RILYANI</v>
      </c>
      <c r="C11" s="204">
        <v>157504</v>
      </c>
      <c r="D11" s="204">
        <v>158624</v>
      </c>
      <c r="E11" s="205">
        <v>158624</v>
      </c>
      <c r="F11" s="205">
        <v>158624</v>
      </c>
      <c r="G11" s="205">
        <v>158624</v>
      </c>
      <c r="H11" s="205">
        <v>158624</v>
      </c>
      <c r="I11" s="205">
        <v>158624</v>
      </c>
      <c r="J11" s="205">
        <v>158624</v>
      </c>
      <c r="K11" s="205">
        <v>158624</v>
      </c>
      <c r="L11" s="205">
        <v>158624</v>
      </c>
      <c r="M11" s="205">
        <v>158624</v>
      </c>
      <c r="N11" s="205"/>
      <c r="O11" s="152">
        <f t="shared" ref="O11:O63" si="1">SUM(C11:N11)</f>
        <v>1743744</v>
      </c>
      <c r="P11" s="191">
        <f t="shared" si="0"/>
        <v>11</v>
      </c>
    </row>
    <row r="12" spans="1:18" s="148" customFormat="1" ht="15" customHeight="1">
      <c r="A12" s="150">
        <v>3</v>
      </c>
      <c r="B12" s="149" t="str">
        <f>+PERBULAN!B8</f>
        <v>JUNAIDI</v>
      </c>
      <c r="C12" s="204">
        <v>157504</v>
      </c>
      <c r="D12" s="204">
        <v>158764</v>
      </c>
      <c r="E12" s="205">
        <v>158764</v>
      </c>
      <c r="F12" s="205">
        <v>158764</v>
      </c>
      <c r="G12" s="205">
        <v>158764</v>
      </c>
      <c r="H12" s="205">
        <v>158764</v>
      </c>
      <c r="I12" s="205">
        <v>158764</v>
      </c>
      <c r="J12" s="205">
        <v>158764</v>
      </c>
      <c r="K12" s="205">
        <v>158764</v>
      </c>
      <c r="L12" s="205">
        <v>158764</v>
      </c>
      <c r="M12" s="205">
        <v>158764</v>
      </c>
      <c r="N12" s="205"/>
      <c r="O12" s="152">
        <f t="shared" si="1"/>
        <v>1745144</v>
      </c>
      <c r="P12" s="148">
        <f t="shared" si="0"/>
        <v>11</v>
      </c>
    </row>
    <row r="13" spans="1:18" s="148" customFormat="1" ht="15" customHeight="1">
      <c r="A13" s="150">
        <v>4</v>
      </c>
      <c r="B13" s="149" t="str">
        <f>+PERBULAN!B9</f>
        <v>UMIYATI</v>
      </c>
      <c r="C13" s="204">
        <v>157504</v>
      </c>
      <c r="D13" s="204">
        <v>158764</v>
      </c>
      <c r="E13" s="205">
        <v>158764</v>
      </c>
      <c r="F13" s="205">
        <v>158764</v>
      </c>
      <c r="G13" s="410"/>
      <c r="H13" s="410"/>
      <c r="I13" s="410"/>
      <c r="J13" s="410"/>
      <c r="K13" s="410"/>
      <c r="L13" s="410"/>
      <c r="M13" s="410"/>
      <c r="N13" s="410"/>
      <c r="O13" s="152">
        <f t="shared" si="1"/>
        <v>633796</v>
      </c>
      <c r="P13" s="148">
        <f t="shared" si="0"/>
        <v>4</v>
      </c>
    </row>
    <row r="14" spans="1:18" s="148" customFormat="1" ht="15" customHeight="1">
      <c r="A14" s="150">
        <v>5</v>
      </c>
      <c r="B14" s="149" t="str">
        <f>+PERBULAN!B10</f>
        <v>ASUNTI</v>
      </c>
      <c r="C14" s="204">
        <v>156944</v>
      </c>
      <c r="D14" s="204">
        <v>156944</v>
      </c>
      <c r="E14" s="205">
        <v>156944</v>
      </c>
      <c r="F14" s="205">
        <v>156944</v>
      </c>
      <c r="G14" s="205">
        <v>156944</v>
      </c>
      <c r="H14" s="205">
        <v>156944</v>
      </c>
      <c r="I14" s="205">
        <v>156944</v>
      </c>
      <c r="J14" s="205">
        <v>157084</v>
      </c>
      <c r="K14" s="205">
        <v>157084</v>
      </c>
      <c r="L14" s="205">
        <v>157084</v>
      </c>
      <c r="M14" s="205">
        <v>157084</v>
      </c>
      <c r="N14" s="205"/>
      <c r="O14" s="152">
        <f t="shared" si="1"/>
        <v>1726944</v>
      </c>
      <c r="P14" s="148">
        <f t="shared" si="0"/>
        <v>11</v>
      </c>
    </row>
    <row r="15" spans="1:18" s="148" customFormat="1" ht="15" customHeight="1">
      <c r="A15" s="150">
        <v>6</v>
      </c>
      <c r="B15" s="149" t="str">
        <f>+PERBULAN!B11</f>
        <v>JONI</v>
      </c>
      <c r="C15" s="204">
        <v>157084</v>
      </c>
      <c r="D15" s="204">
        <v>157084</v>
      </c>
      <c r="E15" s="205">
        <v>157084</v>
      </c>
      <c r="F15" s="205">
        <v>157084</v>
      </c>
      <c r="G15" s="205">
        <v>157084</v>
      </c>
      <c r="H15" s="205">
        <v>157084</v>
      </c>
      <c r="I15" s="205">
        <v>157224</v>
      </c>
      <c r="J15" s="205">
        <v>157224</v>
      </c>
      <c r="K15" s="205">
        <v>157224</v>
      </c>
      <c r="L15" s="205">
        <v>157224</v>
      </c>
      <c r="M15" s="205">
        <v>157224</v>
      </c>
      <c r="N15" s="205"/>
      <c r="O15" s="152">
        <f t="shared" si="1"/>
        <v>1728624</v>
      </c>
      <c r="P15" s="148">
        <f t="shared" si="0"/>
        <v>11</v>
      </c>
    </row>
    <row r="16" spans="1:18" s="148" customFormat="1" ht="15" customHeight="1">
      <c r="A16" s="150">
        <v>7</v>
      </c>
      <c r="B16" s="149" t="str">
        <f>+PERBULAN!B12</f>
        <v>THAHA.S</v>
      </c>
      <c r="C16" s="204">
        <v>157084</v>
      </c>
      <c r="D16" s="204">
        <v>157084</v>
      </c>
      <c r="E16" s="205">
        <v>157084</v>
      </c>
      <c r="F16" s="205">
        <v>157084</v>
      </c>
      <c r="G16" s="205">
        <v>157084</v>
      </c>
      <c r="H16" s="205">
        <v>157084</v>
      </c>
      <c r="I16" s="205">
        <v>157224</v>
      </c>
      <c r="J16" s="205">
        <v>157224</v>
      </c>
      <c r="K16" s="205">
        <v>157224</v>
      </c>
      <c r="L16" s="205">
        <v>157224</v>
      </c>
      <c r="M16" s="205">
        <v>157224</v>
      </c>
      <c r="N16" s="205"/>
      <c r="O16" s="152">
        <f t="shared" si="1"/>
        <v>1728624</v>
      </c>
      <c r="P16" s="148">
        <f t="shared" si="0"/>
        <v>11</v>
      </c>
    </row>
    <row r="17" spans="1:17" s="148" customFormat="1">
      <c r="A17" s="150">
        <v>8</v>
      </c>
      <c r="B17" s="149" t="str">
        <f>+PERBULAN!B13</f>
        <v>ALEX</v>
      </c>
      <c r="C17" s="204">
        <v>156264</v>
      </c>
      <c r="D17" s="204">
        <v>156264</v>
      </c>
      <c r="E17" s="205">
        <v>156264</v>
      </c>
      <c r="F17" s="205">
        <v>156264</v>
      </c>
      <c r="G17" s="205">
        <v>156264</v>
      </c>
      <c r="H17" s="205">
        <v>156264</v>
      </c>
      <c r="I17" s="205">
        <v>156264</v>
      </c>
      <c r="J17" s="205">
        <v>156264</v>
      </c>
      <c r="K17" s="205">
        <v>156384</v>
      </c>
      <c r="L17" s="205">
        <v>156384</v>
      </c>
      <c r="M17" s="205">
        <v>156384</v>
      </c>
      <c r="N17" s="205"/>
      <c r="O17" s="152">
        <f t="shared" si="1"/>
        <v>1719264</v>
      </c>
      <c r="P17" s="148">
        <f t="shared" si="0"/>
        <v>11</v>
      </c>
    </row>
    <row r="18" spans="1:17" s="148" customFormat="1">
      <c r="A18" s="150">
        <v>9</v>
      </c>
      <c r="B18" s="149" t="str">
        <f>+PERBULAN!B14</f>
        <v>SANDY</v>
      </c>
      <c r="C18" s="204">
        <v>156264</v>
      </c>
      <c r="D18" s="204">
        <v>156264</v>
      </c>
      <c r="E18" s="205">
        <v>156264</v>
      </c>
      <c r="F18" s="205">
        <v>156264</v>
      </c>
      <c r="G18" s="205">
        <v>156264</v>
      </c>
      <c r="H18" s="205">
        <v>156264</v>
      </c>
      <c r="I18" s="205">
        <v>156264</v>
      </c>
      <c r="J18" s="205">
        <v>156264</v>
      </c>
      <c r="K18" s="205">
        <v>156384</v>
      </c>
      <c r="L18" s="205">
        <v>156384</v>
      </c>
      <c r="M18" s="205">
        <v>156384</v>
      </c>
      <c r="N18" s="205"/>
      <c r="O18" s="152">
        <f t="shared" si="1"/>
        <v>1719264</v>
      </c>
      <c r="P18" s="148">
        <f t="shared" si="0"/>
        <v>11</v>
      </c>
    </row>
    <row r="19" spans="1:17" s="148" customFormat="1">
      <c r="A19" s="150">
        <v>10</v>
      </c>
      <c r="B19" s="149" t="str">
        <f>+PERBULAN!B15</f>
        <v>ANTON</v>
      </c>
      <c r="C19" s="204">
        <v>157084</v>
      </c>
      <c r="D19" s="204">
        <v>157084</v>
      </c>
      <c r="E19" s="205">
        <v>157084</v>
      </c>
      <c r="F19" s="205">
        <v>157084</v>
      </c>
      <c r="G19" s="205">
        <v>157084</v>
      </c>
      <c r="H19" s="205">
        <v>157084</v>
      </c>
      <c r="I19" s="205">
        <v>157224</v>
      </c>
      <c r="J19" s="205">
        <v>157224</v>
      </c>
      <c r="K19" s="205">
        <v>157224</v>
      </c>
      <c r="L19" s="205">
        <v>157224</v>
      </c>
      <c r="M19" s="205">
        <v>157224</v>
      </c>
      <c r="N19" s="205"/>
      <c r="O19" s="152">
        <f t="shared" si="1"/>
        <v>1728624</v>
      </c>
      <c r="P19" s="148">
        <f t="shared" si="0"/>
        <v>11</v>
      </c>
    </row>
    <row r="20" spans="1:17" s="148" customFormat="1">
      <c r="A20" s="150">
        <v>11</v>
      </c>
      <c r="B20" s="149" t="str">
        <f>+PERBULAN!B16</f>
        <v>EKA NOPIYANTI</v>
      </c>
      <c r="C20" s="204">
        <v>156944</v>
      </c>
      <c r="D20" s="204">
        <v>156944</v>
      </c>
      <c r="E20" s="205">
        <v>156944</v>
      </c>
      <c r="F20" s="205">
        <v>156944</v>
      </c>
      <c r="G20" s="205">
        <v>156944</v>
      </c>
      <c r="H20" s="205">
        <v>156944</v>
      </c>
      <c r="I20" s="205">
        <v>157084</v>
      </c>
      <c r="J20" s="205">
        <v>157084</v>
      </c>
      <c r="K20" s="205">
        <v>157084</v>
      </c>
      <c r="L20" s="205">
        <v>157084</v>
      </c>
      <c r="M20" s="205">
        <v>157084</v>
      </c>
      <c r="N20" s="205"/>
      <c r="O20" s="152">
        <f t="shared" si="1"/>
        <v>1727084</v>
      </c>
      <c r="P20" s="148">
        <f t="shared" si="0"/>
        <v>11</v>
      </c>
    </row>
    <row r="21" spans="1:17" s="148" customFormat="1">
      <c r="A21" s="150">
        <v>12</v>
      </c>
      <c r="B21" s="149" t="str">
        <f>+PERBULAN!B17</f>
        <v>JUMIATI</v>
      </c>
      <c r="C21" s="204">
        <v>157084</v>
      </c>
      <c r="D21" s="204">
        <v>157084</v>
      </c>
      <c r="E21" s="205">
        <v>157084</v>
      </c>
      <c r="F21" s="205">
        <v>157084</v>
      </c>
      <c r="G21" s="205">
        <v>157084</v>
      </c>
      <c r="H21" s="205">
        <v>157084</v>
      </c>
      <c r="I21" s="205">
        <v>157224</v>
      </c>
      <c r="J21" s="205">
        <v>157224</v>
      </c>
      <c r="K21" s="205">
        <v>157224</v>
      </c>
      <c r="L21" s="205">
        <v>157224</v>
      </c>
      <c r="M21" s="205">
        <v>157224</v>
      </c>
      <c r="N21" s="205"/>
      <c r="O21" s="152">
        <f t="shared" si="1"/>
        <v>1728624</v>
      </c>
      <c r="P21" s="148">
        <f t="shared" si="0"/>
        <v>11</v>
      </c>
    </row>
    <row r="22" spans="1:17" s="148" customFormat="1">
      <c r="A22" s="150">
        <v>13</v>
      </c>
      <c r="B22" s="149" t="str">
        <f>+PERBULAN!B18</f>
        <v>SUPARDI</v>
      </c>
      <c r="C22" s="204">
        <v>156384</v>
      </c>
      <c r="D22" s="204">
        <v>156384</v>
      </c>
      <c r="E22" s="205">
        <v>156384</v>
      </c>
      <c r="F22" s="205">
        <v>156384</v>
      </c>
      <c r="G22" s="205">
        <v>156384</v>
      </c>
      <c r="H22" s="205">
        <v>156384</v>
      </c>
      <c r="I22" s="205">
        <v>156384</v>
      </c>
      <c r="J22" s="205">
        <v>156384</v>
      </c>
      <c r="K22" s="205">
        <v>156384</v>
      </c>
      <c r="L22" s="205">
        <v>156384</v>
      </c>
      <c r="M22" s="205">
        <v>156384</v>
      </c>
      <c r="N22" s="205"/>
      <c r="O22" s="152">
        <f t="shared" si="1"/>
        <v>1720224</v>
      </c>
      <c r="P22" s="148">
        <f t="shared" si="0"/>
        <v>11</v>
      </c>
    </row>
    <row r="23" spans="1:17" s="148" customFormat="1">
      <c r="A23" s="150">
        <v>14</v>
      </c>
      <c r="B23" s="149" t="str">
        <f>+PERBULAN!B19</f>
        <v>PARDI</v>
      </c>
      <c r="C23" s="204">
        <v>157504</v>
      </c>
      <c r="D23" s="204">
        <v>158484</v>
      </c>
      <c r="E23" s="205">
        <v>158484</v>
      </c>
      <c r="F23" s="205">
        <v>158484</v>
      </c>
      <c r="G23" s="410"/>
      <c r="H23" s="410"/>
      <c r="I23" s="410"/>
      <c r="J23" s="410"/>
      <c r="K23" s="410"/>
      <c r="L23" s="410"/>
      <c r="M23" s="410"/>
      <c r="N23" s="410"/>
      <c r="O23" s="152">
        <f t="shared" si="1"/>
        <v>632956</v>
      </c>
      <c r="P23" s="148">
        <f t="shared" si="0"/>
        <v>4</v>
      </c>
      <c r="Q23" s="206"/>
    </row>
    <row r="24" spans="1:17" s="148" customFormat="1">
      <c r="A24" s="150">
        <v>15</v>
      </c>
      <c r="B24" s="149" t="str">
        <f>+PERBULAN!B20</f>
        <v>SUMARDI</v>
      </c>
      <c r="C24" s="204">
        <v>156944</v>
      </c>
      <c r="D24" s="204">
        <v>156944</v>
      </c>
      <c r="E24" s="205">
        <v>156944</v>
      </c>
      <c r="F24" s="205">
        <v>156944</v>
      </c>
      <c r="G24" s="205">
        <v>156944</v>
      </c>
      <c r="H24" s="205">
        <v>157084</v>
      </c>
      <c r="I24" s="205">
        <v>157084</v>
      </c>
      <c r="J24" s="205">
        <v>157084</v>
      </c>
      <c r="K24" s="205">
        <v>157084</v>
      </c>
      <c r="L24" s="205">
        <v>157084</v>
      </c>
      <c r="M24" s="205">
        <v>157084</v>
      </c>
      <c r="N24" s="205"/>
      <c r="O24" s="152">
        <f t="shared" si="1"/>
        <v>1727224</v>
      </c>
      <c r="P24" s="148">
        <f t="shared" si="0"/>
        <v>11</v>
      </c>
    </row>
    <row r="25" spans="1:17" s="148" customFormat="1">
      <c r="A25" s="150">
        <v>16</v>
      </c>
      <c r="B25" s="149" t="str">
        <f>+PERBULAN!B21</f>
        <v>WIDODO JP</v>
      </c>
      <c r="C25" s="204">
        <v>156944</v>
      </c>
      <c r="D25" s="204">
        <v>156944</v>
      </c>
      <c r="E25" s="205">
        <v>156944</v>
      </c>
      <c r="F25" s="205">
        <v>156944</v>
      </c>
      <c r="G25" s="205">
        <v>156944</v>
      </c>
      <c r="H25" s="205">
        <v>157084</v>
      </c>
      <c r="I25" s="205">
        <v>157084</v>
      </c>
      <c r="J25" s="205">
        <v>157084</v>
      </c>
      <c r="K25" s="205">
        <v>157084</v>
      </c>
      <c r="L25" s="205">
        <v>157084</v>
      </c>
      <c r="M25" s="205">
        <v>157084</v>
      </c>
      <c r="N25" s="205"/>
      <c r="O25" s="152">
        <f t="shared" si="1"/>
        <v>1727224</v>
      </c>
      <c r="P25" s="148">
        <f t="shared" si="0"/>
        <v>11</v>
      </c>
    </row>
    <row r="26" spans="1:17" s="148" customFormat="1">
      <c r="A26" s="150">
        <v>17</v>
      </c>
      <c r="B26" s="149" t="str">
        <f>+PERBULAN!B22</f>
        <v>ASBI ALGIFARI</v>
      </c>
      <c r="C26" s="204">
        <v>155784</v>
      </c>
      <c r="D26" s="204">
        <v>155784</v>
      </c>
      <c r="E26" s="205">
        <v>155784</v>
      </c>
      <c r="F26" s="205">
        <v>155784</v>
      </c>
      <c r="G26" s="205">
        <v>155784</v>
      </c>
      <c r="H26" s="205">
        <v>155784</v>
      </c>
      <c r="I26" s="205">
        <v>155904</v>
      </c>
      <c r="J26" s="205">
        <v>155904</v>
      </c>
      <c r="K26" s="205">
        <v>155904</v>
      </c>
      <c r="L26" s="205">
        <v>155904</v>
      </c>
      <c r="M26" s="205">
        <v>155904</v>
      </c>
      <c r="N26" s="205"/>
      <c r="O26" s="152">
        <f t="shared" si="1"/>
        <v>1714224</v>
      </c>
      <c r="P26" s="148">
        <f t="shared" si="0"/>
        <v>11</v>
      </c>
    </row>
    <row r="27" spans="1:17" s="148" customFormat="1">
      <c r="A27" s="150">
        <v>18</v>
      </c>
      <c r="B27" s="149" t="str">
        <f>+PERBULAN!B23</f>
        <v>YANDI</v>
      </c>
      <c r="C27" s="204">
        <v>156384</v>
      </c>
      <c r="D27" s="204">
        <v>156384</v>
      </c>
      <c r="E27" s="205">
        <v>156384</v>
      </c>
      <c r="F27" s="205">
        <v>156384</v>
      </c>
      <c r="G27" s="205">
        <v>156384</v>
      </c>
      <c r="H27" s="205">
        <v>156384</v>
      </c>
      <c r="I27" s="205">
        <v>156384</v>
      </c>
      <c r="J27" s="205">
        <v>156384</v>
      </c>
      <c r="K27" s="205">
        <v>156384</v>
      </c>
      <c r="L27" s="205">
        <v>156384</v>
      </c>
      <c r="M27" s="205">
        <v>156384</v>
      </c>
      <c r="N27" s="205"/>
      <c r="O27" s="152">
        <f t="shared" si="1"/>
        <v>1720224</v>
      </c>
      <c r="P27" s="148">
        <f t="shared" si="0"/>
        <v>11</v>
      </c>
    </row>
    <row r="28" spans="1:17" s="148" customFormat="1">
      <c r="A28" s="150">
        <v>19</v>
      </c>
      <c r="B28" s="149" t="str">
        <f>+PERBULAN!B24</f>
        <v>RIDHO AFRIZAL</v>
      </c>
      <c r="C28" s="204">
        <v>156264</v>
      </c>
      <c r="D28" s="204">
        <v>156264</v>
      </c>
      <c r="E28" s="205">
        <v>156264</v>
      </c>
      <c r="F28" s="205">
        <v>156264</v>
      </c>
      <c r="G28" s="205">
        <v>156264</v>
      </c>
      <c r="H28" s="205">
        <v>156264</v>
      </c>
      <c r="I28" s="205">
        <v>156264</v>
      </c>
      <c r="J28" s="205">
        <v>156264</v>
      </c>
      <c r="K28" s="205">
        <v>156384</v>
      </c>
      <c r="L28" s="205">
        <v>156384</v>
      </c>
      <c r="M28" s="205">
        <v>156384</v>
      </c>
      <c r="N28" s="205"/>
      <c r="O28" s="152">
        <f t="shared" si="1"/>
        <v>1719264</v>
      </c>
      <c r="P28" s="148">
        <f t="shared" si="0"/>
        <v>11</v>
      </c>
    </row>
    <row r="29" spans="1:17" s="148" customFormat="1">
      <c r="A29" s="150">
        <v>20</v>
      </c>
      <c r="B29" s="149" t="str">
        <f>+PERBULAN!B25</f>
        <v>APRIZAL</v>
      </c>
      <c r="C29" s="204">
        <v>156264</v>
      </c>
      <c r="D29" s="204">
        <v>156264</v>
      </c>
      <c r="E29" s="205">
        <v>156264</v>
      </c>
      <c r="F29" s="205">
        <v>156264</v>
      </c>
      <c r="G29" s="205">
        <v>156264</v>
      </c>
      <c r="H29" s="205">
        <v>156264</v>
      </c>
      <c r="I29" s="205">
        <v>156264</v>
      </c>
      <c r="J29" s="205">
        <v>156264</v>
      </c>
      <c r="K29" s="205">
        <v>156384</v>
      </c>
      <c r="L29" s="205">
        <v>156384</v>
      </c>
      <c r="M29" s="205">
        <v>156384</v>
      </c>
      <c r="N29" s="205"/>
      <c r="O29" s="152">
        <f t="shared" si="1"/>
        <v>1719264</v>
      </c>
      <c r="P29" s="148">
        <f t="shared" si="0"/>
        <v>11</v>
      </c>
    </row>
    <row r="30" spans="1:17" s="148" customFormat="1">
      <c r="A30" s="150">
        <v>21</v>
      </c>
      <c r="B30" s="149" t="str">
        <f>+PERBULAN!B26</f>
        <v>ERRY SAPUTRA</v>
      </c>
      <c r="C30" s="204">
        <v>157084</v>
      </c>
      <c r="D30" s="204">
        <v>157084</v>
      </c>
      <c r="E30" s="205">
        <v>157084</v>
      </c>
      <c r="F30" s="205">
        <v>157084</v>
      </c>
      <c r="G30" s="205">
        <v>157084</v>
      </c>
      <c r="H30" s="205">
        <v>157084</v>
      </c>
      <c r="I30" s="205">
        <v>157084</v>
      </c>
      <c r="J30" s="205">
        <v>157084</v>
      </c>
      <c r="K30" s="205">
        <v>157084</v>
      </c>
      <c r="L30" s="205">
        <v>157084</v>
      </c>
      <c r="M30" s="205">
        <v>157084</v>
      </c>
      <c r="N30" s="205"/>
      <c r="O30" s="152">
        <f t="shared" si="1"/>
        <v>1727924</v>
      </c>
      <c r="P30" s="148">
        <f t="shared" si="0"/>
        <v>11</v>
      </c>
    </row>
    <row r="31" spans="1:17" s="148" customFormat="1">
      <c r="A31" s="150">
        <v>22</v>
      </c>
      <c r="B31" s="149" t="str">
        <f>+PERBULAN!B27</f>
        <v>ARWANDI</v>
      </c>
      <c r="C31" s="204">
        <v>157504</v>
      </c>
      <c r="D31" s="204">
        <v>158624</v>
      </c>
      <c r="E31" s="205">
        <v>158624</v>
      </c>
      <c r="F31" s="205">
        <v>158764</v>
      </c>
      <c r="G31" s="205">
        <v>158764</v>
      </c>
      <c r="H31" s="205">
        <v>158764</v>
      </c>
      <c r="I31" s="205">
        <v>158764</v>
      </c>
      <c r="J31" s="205">
        <v>158764</v>
      </c>
      <c r="K31" s="205">
        <v>158764</v>
      </c>
      <c r="L31" s="205">
        <v>158764</v>
      </c>
      <c r="M31" s="205">
        <v>158764</v>
      </c>
      <c r="N31" s="205"/>
      <c r="O31" s="152">
        <f t="shared" si="1"/>
        <v>1744864</v>
      </c>
      <c r="P31" s="148">
        <f t="shared" si="0"/>
        <v>11</v>
      </c>
    </row>
    <row r="32" spans="1:17" s="148" customFormat="1" ht="15" customHeight="1">
      <c r="A32" s="150">
        <v>23</v>
      </c>
      <c r="B32" s="149" t="str">
        <f>+PERBULAN!B28</f>
        <v>RENDI PERJAYA</v>
      </c>
      <c r="C32" s="204">
        <v>156264</v>
      </c>
      <c r="D32" s="204">
        <v>156264</v>
      </c>
      <c r="E32" s="205">
        <v>156264</v>
      </c>
      <c r="F32" s="205">
        <v>156264</v>
      </c>
      <c r="G32" s="205">
        <v>156264</v>
      </c>
      <c r="H32" s="205">
        <v>156264</v>
      </c>
      <c r="I32" s="205">
        <v>156264</v>
      </c>
      <c r="J32" s="205">
        <v>156264</v>
      </c>
      <c r="K32" s="205">
        <v>156384</v>
      </c>
      <c r="L32" s="205">
        <v>156384</v>
      </c>
      <c r="M32" s="205">
        <v>156384</v>
      </c>
      <c r="N32" s="205"/>
      <c r="O32" s="152">
        <f t="shared" si="1"/>
        <v>1719264</v>
      </c>
      <c r="P32" s="148">
        <f t="shared" si="0"/>
        <v>11</v>
      </c>
    </row>
    <row r="33" spans="1:18" s="148" customFormat="1" ht="15" customHeight="1">
      <c r="A33" s="150">
        <v>24</v>
      </c>
      <c r="B33" s="149" t="str">
        <f>+PERBULAN!B29</f>
        <v>ANDI</v>
      </c>
      <c r="C33" s="204">
        <v>157504</v>
      </c>
      <c r="D33" s="204">
        <v>158484</v>
      </c>
      <c r="E33" s="205">
        <v>158484</v>
      </c>
      <c r="F33" s="205">
        <v>158484</v>
      </c>
      <c r="G33" s="205">
        <v>158484</v>
      </c>
      <c r="H33" s="205">
        <v>158624</v>
      </c>
      <c r="I33" s="205">
        <v>158624</v>
      </c>
      <c r="J33" s="205">
        <v>158624</v>
      </c>
      <c r="K33" s="205">
        <v>158624</v>
      </c>
      <c r="L33" s="205">
        <v>158624</v>
      </c>
      <c r="M33" s="205">
        <v>158624</v>
      </c>
      <c r="N33" s="205"/>
      <c r="O33" s="152">
        <f t="shared" si="1"/>
        <v>1743184</v>
      </c>
      <c r="P33" s="148">
        <f t="shared" si="0"/>
        <v>11</v>
      </c>
    </row>
    <row r="34" spans="1:18" s="148" customFormat="1" ht="15" customHeight="1">
      <c r="A34" s="150">
        <v>25</v>
      </c>
      <c r="B34" s="149" t="str">
        <f>+PERBULAN!B30</f>
        <v>JULI</v>
      </c>
      <c r="C34" s="204">
        <v>157504</v>
      </c>
      <c r="D34" s="204">
        <v>158764</v>
      </c>
      <c r="E34" s="205">
        <v>158764</v>
      </c>
      <c r="F34" s="205">
        <v>158764</v>
      </c>
      <c r="G34" s="205">
        <v>158764</v>
      </c>
      <c r="H34" s="205">
        <v>158764</v>
      </c>
      <c r="I34" s="205">
        <v>158764</v>
      </c>
      <c r="J34" s="205">
        <v>158764</v>
      </c>
      <c r="K34" s="205">
        <v>158764</v>
      </c>
      <c r="L34" s="205">
        <v>158764</v>
      </c>
      <c r="M34" s="205">
        <v>158764</v>
      </c>
      <c r="N34" s="205"/>
      <c r="O34" s="152">
        <f t="shared" si="1"/>
        <v>1745144</v>
      </c>
      <c r="P34" s="148">
        <f t="shared" si="0"/>
        <v>11</v>
      </c>
    </row>
    <row r="35" spans="1:18" ht="15" customHeight="1">
      <c r="A35" s="150">
        <v>26</v>
      </c>
      <c r="B35" s="149" t="str">
        <f>+PERBULAN!B31</f>
        <v>DICKY PRATAMA</v>
      </c>
      <c r="C35" s="204">
        <v>155164</v>
      </c>
      <c r="D35" s="204">
        <v>155164</v>
      </c>
      <c r="E35" s="205">
        <v>155164</v>
      </c>
      <c r="F35" s="205">
        <v>155264</v>
      </c>
      <c r="G35" s="205">
        <v>155264</v>
      </c>
      <c r="H35" s="205">
        <v>155264</v>
      </c>
      <c r="I35" s="205">
        <v>155264</v>
      </c>
      <c r="J35" s="205">
        <v>155264</v>
      </c>
      <c r="K35" s="205">
        <v>155264</v>
      </c>
      <c r="L35" s="205">
        <v>155264</v>
      </c>
      <c r="M35" s="205">
        <v>155264</v>
      </c>
      <c r="N35" s="205"/>
      <c r="O35" s="152">
        <f t="shared" si="1"/>
        <v>1707604</v>
      </c>
      <c r="P35" s="148">
        <f t="shared" si="0"/>
        <v>11</v>
      </c>
    </row>
    <row r="36" spans="1:18" s="148" customFormat="1" ht="15" customHeight="1">
      <c r="A36" s="150">
        <v>27</v>
      </c>
      <c r="B36" s="149" t="str">
        <f>+PERBULAN!B32</f>
        <v>SUIP</v>
      </c>
      <c r="C36" s="204">
        <v>155904</v>
      </c>
      <c r="D36" s="204">
        <v>155904</v>
      </c>
      <c r="E36" s="205">
        <v>155904</v>
      </c>
      <c r="F36" s="205">
        <v>155904</v>
      </c>
      <c r="G36" s="205">
        <v>155904</v>
      </c>
      <c r="H36" s="205">
        <v>155904</v>
      </c>
      <c r="I36" s="205">
        <v>155904</v>
      </c>
      <c r="J36" s="205">
        <v>155904</v>
      </c>
      <c r="K36" s="205">
        <v>155904</v>
      </c>
      <c r="L36" s="205">
        <v>155904</v>
      </c>
      <c r="M36" s="205">
        <v>156024</v>
      </c>
      <c r="N36" s="205"/>
      <c r="O36" s="152">
        <f t="shared" si="1"/>
        <v>1715064</v>
      </c>
      <c r="P36" s="148">
        <f t="shared" si="0"/>
        <v>11</v>
      </c>
    </row>
    <row r="37" spans="1:18" s="148" customFormat="1" ht="15" customHeight="1">
      <c r="A37" s="150">
        <v>28</v>
      </c>
      <c r="B37" s="149" t="str">
        <f>+PERBULAN!B33</f>
        <v>ROBIN DINATA</v>
      </c>
      <c r="C37" s="204">
        <v>155904</v>
      </c>
      <c r="D37" s="204">
        <v>155904</v>
      </c>
      <c r="E37" s="205">
        <v>155904</v>
      </c>
      <c r="F37" s="205">
        <v>155904</v>
      </c>
      <c r="G37" s="205">
        <v>155904</v>
      </c>
      <c r="H37" s="205">
        <v>155904</v>
      </c>
      <c r="I37" s="205">
        <v>155904</v>
      </c>
      <c r="J37" s="205">
        <v>155904</v>
      </c>
      <c r="K37" s="205">
        <v>155904</v>
      </c>
      <c r="L37" s="205">
        <v>155904</v>
      </c>
      <c r="M37" s="205">
        <v>156024</v>
      </c>
      <c r="N37" s="205"/>
      <c r="O37" s="152">
        <f t="shared" si="1"/>
        <v>1715064</v>
      </c>
      <c r="P37" s="148">
        <f t="shared" si="0"/>
        <v>11</v>
      </c>
    </row>
    <row r="38" spans="1:18" s="148" customFormat="1" ht="15" customHeight="1">
      <c r="A38" s="150">
        <v>29</v>
      </c>
      <c r="B38" s="149" t="str">
        <f>+PERBULAN!B34</f>
        <v>SAPARUDIN</v>
      </c>
      <c r="C38" s="204">
        <v>155784</v>
      </c>
      <c r="D38" s="204">
        <v>155784</v>
      </c>
      <c r="E38" s="205">
        <v>155784</v>
      </c>
      <c r="F38" s="205">
        <v>155784</v>
      </c>
      <c r="G38" s="205">
        <v>155784</v>
      </c>
      <c r="H38" s="205">
        <v>155904</v>
      </c>
      <c r="I38" s="205">
        <v>155904</v>
      </c>
      <c r="J38" s="205">
        <v>155904</v>
      </c>
      <c r="K38" s="205">
        <v>155904</v>
      </c>
      <c r="L38" s="205">
        <v>155904</v>
      </c>
      <c r="M38" s="205">
        <v>155904</v>
      </c>
      <c r="N38" s="205"/>
      <c r="O38" s="152">
        <f t="shared" si="1"/>
        <v>1714344</v>
      </c>
      <c r="P38" s="148">
        <f t="shared" si="0"/>
        <v>11</v>
      </c>
    </row>
    <row r="39" spans="1:18" s="148" customFormat="1" ht="15" customHeight="1">
      <c r="A39" s="150">
        <v>30</v>
      </c>
      <c r="B39" s="149" t="str">
        <f>+PERBULAN!B35</f>
        <v>SULTAN</v>
      </c>
      <c r="C39" s="204">
        <v>155784</v>
      </c>
      <c r="D39" s="204">
        <v>155784</v>
      </c>
      <c r="E39" s="205">
        <v>155784</v>
      </c>
      <c r="F39" s="205">
        <v>155784</v>
      </c>
      <c r="G39" s="205">
        <v>155784</v>
      </c>
      <c r="H39" s="205">
        <v>155784</v>
      </c>
      <c r="I39" s="205">
        <v>155784</v>
      </c>
      <c r="J39" s="205">
        <v>155904</v>
      </c>
      <c r="K39" s="205">
        <v>155904</v>
      </c>
      <c r="L39" s="205">
        <v>155904</v>
      </c>
      <c r="M39" s="205">
        <v>155904</v>
      </c>
      <c r="N39" s="205"/>
      <c r="O39" s="152">
        <f t="shared" si="1"/>
        <v>1714104</v>
      </c>
      <c r="P39" s="148">
        <f t="shared" si="0"/>
        <v>11</v>
      </c>
    </row>
    <row r="40" spans="1:18" s="148" customFormat="1" ht="15" customHeight="1">
      <c r="A40" s="150">
        <v>31</v>
      </c>
      <c r="B40" s="149" t="str">
        <f>+PERBULAN!B36</f>
        <v>MANSUR</v>
      </c>
      <c r="C40" s="204">
        <v>155564</v>
      </c>
      <c r="D40" s="204">
        <v>155564</v>
      </c>
      <c r="E40" s="205">
        <v>155564</v>
      </c>
      <c r="F40" s="205">
        <v>155564</v>
      </c>
      <c r="G40" s="205">
        <v>155564</v>
      </c>
      <c r="H40" s="205">
        <v>155564</v>
      </c>
      <c r="I40" s="205">
        <v>155564</v>
      </c>
      <c r="J40" s="205">
        <v>155564</v>
      </c>
      <c r="K40" s="205">
        <v>155564</v>
      </c>
      <c r="L40" s="205">
        <v>155564</v>
      </c>
      <c r="M40" s="205">
        <v>155564</v>
      </c>
      <c r="N40" s="205"/>
      <c r="O40" s="152">
        <f t="shared" si="1"/>
        <v>1711204</v>
      </c>
      <c r="P40" s="148">
        <f t="shared" si="0"/>
        <v>11</v>
      </c>
    </row>
    <row r="41" spans="1:18" s="148" customFormat="1" ht="15" customHeight="1">
      <c r="A41" s="150">
        <v>32</v>
      </c>
      <c r="B41" s="149" t="str">
        <f>+PERBULAN!B37</f>
        <v>RIDUAN</v>
      </c>
      <c r="C41" s="204">
        <v>155464</v>
      </c>
      <c r="D41" s="204">
        <v>155464</v>
      </c>
      <c r="E41" s="205">
        <v>155464</v>
      </c>
      <c r="F41" s="205">
        <v>155464</v>
      </c>
      <c r="G41" s="205">
        <v>155464</v>
      </c>
      <c r="H41" s="205">
        <v>155464</v>
      </c>
      <c r="I41" s="205">
        <v>155464</v>
      </c>
      <c r="J41" s="205">
        <v>155564</v>
      </c>
      <c r="K41" s="205">
        <v>155564</v>
      </c>
      <c r="L41" s="205">
        <v>155564</v>
      </c>
      <c r="M41" s="205">
        <v>155564</v>
      </c>
      <c r="N41" s="205"/>
      <c r="O41" s="152">
        <f t="shared" si="1"/>
        <v>1710504</v>
      </c>
      <c r="P41" s="148">
        <f t="shared" si="0"/>
        <v>11</v>
      </c>
    </row>
    <row r="42" spans="1:18" s="148" customFormat="1" ht="15" customHeight="1">
      <c r="A42" s="150">
        <v>33</v>
      </c>
      <c r="B42" s="149" t="str">
        <f>+PERBULAN!B38</f>
        <v>SONJA PRIYOGA</v>
      </c>
      <c r="C42" s="204">
        <v>155364</v>
      </c>
      <c r="D42" s="204">
        <v>155364</v>
      </c>
      <c r="E42" s="205">
        <v>155364</v>
      </c>
      <c r="F42" s="205">
        <v>155364</v>
      </c>
      <c r="G42" s="205">
        <v>155464</v>
      </c>
      <c r="H42" s="205">
        <v>155464</v>
      </c>
      <c r="I42" s="205">
        <v>155464</v>
      </c>
      <c r="J42" s="205">
        <v>155464</v>
      </c>
      <c r="K42" s="205">
        <v>155464</v>
      </c>
      <c r="L42" s="205">
        <v>155464</v>
      </c>
      <c r="M42" s="205">
        <v>155464</v>
      </c>
      <c r="N42" s="205"/>
      <c r="O42" s="152">
        <f t="shared" si="1"/>
        <v>1709704</v>
      </c>
      <c r="P42" s="148">
        <f t="shared" si="0"/>
        <v>11</v>
      </c>
      <c r="Q42" s="191"/>
      <c r="R42" s="191"/>
    </row>
    <row r="43" spans="1:18" s="148" customFormat="1" ht="15" customHeight="1">
      <c r="A43" s="150">
        <v>34</v>
      </c>
      <c r="B43" s="149" t="str">
        <f>+PERBULAN!B39</f>
        <v>M.FAUZI</v>
      </c>
      <c r="C43" s="204">
        <v>155364</v>
      </c>
      <c r="D43" s="204">
        <v>155364</v>
      </c>
      <c r="E43" s="205">
        <v>155364</v>
      </c>
      <c r="F43" s="410"/>
      <c r="G43" s="410"/>
      <c r="H43" s="410"/>
      <c r="I43" s="410"/>
      <c r="J43" s="410"/>
      <c r="K43" s="410"/>
      <c r="L43" s="410"/>
      <c r="M43" s="410"/>
      <c r="N43" s="410"/>
      <c r="O43" s="152">
        <f t="shared" si="1"/>
        <v>466092</v>
      </c>
      <c r="P43" s="148">
        <f t="shared" si="0"/>
        <v>3</v>
      </c>
      <c r="Q43" s="191"/>
      <c r="R43" s="191"/>
    </row>
    <row r="44" spans="1:18" s="148" customFormat="1" ht="15" customHeight="1">
      <c r="A44" s="150">
        <v>35</v>
      </c>
      <c r="B44" s="149" t="str">
        <f>+PERBULAN!B40</f>
        <v>DANI</v>
      </c>
      <c r="C44" s="204">
        <v>155264</v>
      </c>
      <c r="D44" s="204">
        <v>155264</v>
      </c>
      <c r="E44" s="205">
        <v>155264</v>
      </c>
      <c r="F44" s="410"/>
      <c r="G44" s="410"/>
      <c r="H44" s="410"/>
      <c r="I44" s="410"/>
      <c r="J44" s="410"/>
      <c r="K44" s="410"/>
      <c r="L44" s="410"/>
      <c r="M44" s="410"/>
      <c r="N44" s="410"/>
      <c r="O44" s="152">
        <f t="shared" si="1"/>
        <v>465792</v>
      </c>
      <c r="P44" s="148">
        <f t="shared" si="0"/>
        <v>3</v>
      </c>
      <c r="Q44" s="191"/>
      <c r="R44" s="191"/>
    </row>
    <row r="45" spans="1:18" s="148" customFormat="1" ht="15" customHeight="1">
      <c r="A45" s="150">
        <v>36</v>
      </c>
      <c r="B45" s="149" t="str">
        <f>+PERBULAN!B41</f>
        <v>AHAP</v>
      </c>
      <c r="C45" s="204">
        <v>155264</v>
      </c>
      <c r="D45" s="204">
        <v>155264</v>
      </c>
      <c r="E45" s="205">
        <v>155264</v>
      </c>
      <c r="F45" s="205">
        <v>155264</v>
      </c>
      <c r="G45" s="205">
        <v>155264</v>
      </c>
      <c r="H45" s="205">
        <v>155264</v>
      </c>
      <c r="I45" s="205">
        <v>155264</v>
      </c>
      <c r="J45" s="205">
        <v>155264</v>
      </c>
      <c r="K45" s="205">
        <v>155264</v>
      </c>
      <c r="L45" s="205">
        <v>155264</v>
      </c>
      <c r="M45" s="205">
        <v>155264</v>
      </c>
      <c r="N45" s="205"/>
      <c r="O45" s="152">
        <f t="shared" si="1"/>
        <v>1707904</v>
      </c>
      <c r="P45" s="148">
        <f t="shared" si="0"/>
        <v>11</v>
      </c>
      <c r="Q45" s="191"/>
      <c r="R45" s="191"/>
    </row>
    <row r="46" spans="1:18" s="148" customFormat="1" ht="15" customHeight="1">
      <c r="A46" s="150">
        <v>37</v>
      </c>
      <c r="B46" s="149" t="str">
        <f>+PERBULAN!B42</f>
        <v>IHSAN</v>
      </c>
      <c r="C46" s="204">
        <v>155164</v>
      </c>
      <c r="D46" s="204">
        <v>155164</v>
      </c>
      <c r="E46" s="205">
        <v>155164</v>
      </c>
      <c r="F46" s="205">
        <v>155164</v>
      </c>
      <c r="G46" s="205">
        <v>155164</v>
      </c>
      <c r="H46" s="205">
        <v>155164</v>
      </c>
      <c r="I46" s="205">
        <v>155164</v>
      </c>
      <c r="J46" s="205">
        <v>155164</v>
      </c>
      <c r="K46" s="205">
        <v>155164</v>
      </c>
      <c r="L46" s="205">
        <v>155164</v>
      </c>
      <c r="M46" s="205">
        <v>155164</v>
      </c>
      <c r="N46" s="205"/>
      <c r="O46" s="152">
        <f t="shared" si="1"/>
        <v>1706804</v>
      </c>
      <c r="P46" s="148">
        <f t="shared" si="0"/>
        <v>11</v>
      </c>
      <c r="Q46" s="191"/>
      <c r="R46" s="191"/>
    </row>
    <row r="47" spans="1:18" s="148" customFormat="1" ht="15" customHeight="1">
      <c r="A47" s="150">
        <v>38</v>
      </c>
      <c r="B47" s="149" t="str">
        <f>+PERBULAN!B43</f>
        <v>BAGUSTIN</v>
      </c>
      <c r="C47" s="160">
        <v>155164</v>
      </c>
      <c r="D47" s="160">
        <v>155164</v>
      </c>
      <c r="E47" s="205">
        <v>155164</v>
      </c>
      <c r="F47" s="410"/>
      <c r="G47" s="410"/>
      <c r="H47" s="410"/>
      <c r="I47" s="410"/>
      <c r="J47" s="410"/>
      <c r="K47" s="410"/>
      <c r="L47" s="410"/>
      <c r="M47" s="410"/>
      <c r="N47" s="410"/>
      <c r="O47" s="152">
        <f t="shared" si="1"/>
        <v>465492</v>
      </c>
      <c r="P47" s="148">
        <f t="shared" si="0"/>
        <v>3</v>
      </c>
      <c r="Q47" s="191"/>
      <c r="R47" s="191"/>
    </row>
    <row r="48" spans="1:18" s="148" customFormat="1" ht="15" customHeight="1">
      <c r="A48" s="150">
        <v>39</v>
      </c>
      <c r="B48" s="149" t="str">
        <f>+PERBULAN!B44</f>
        <v>HELDI SAPUTRA</v>
      </c>
      <c r="C48" s="160">
        <v>155164</v>
      </c>
      <c r="D48" s="160">
        <v>155164</v>
      </c>
      <c r="E48" s="207">
        <v>155164</v>
      </c>
      <c r="F48" s="410"/>
      <c r="G48" s="410"/>
      <c r="H48" s="410"/>
      <c r="I48" s="410"/>
      <c r="J48" s="410"/>
      <c r="K48" s="410"/>
      <c r="L48" s="410"/>
      <c r="M48" s="410"/>
      <c r="N48" s="410"/>
      <c r="O48" s="152">
        <f t="shared" si="1"/>
        <v>465492</v>
      </c>
      <c r="P48" s="148">
        <f t="shared" si="0"/>
        <v>3</v>
      </c>
      <c r="Q48" s="191"/>
      <c r="R48" s="191"/>
    </row>
    <row r="49" spans="1:18" s="148" customFormat="1" ht="15" customHeight="1">
      <c r="A49" s="150">
        <v>40</v>
      </c>
      <c r="B49" s="149" t="str">
        <f>+PERBULAN!B45</f>
        <v>HARTONO</v>
      </c>
      <c r="C49" s="204">
        <v>155064</v>
      </c>
      <c r="D49" s="204">
        <v>155164</v>
      </c>
      <c r="E49" s="207">
        <v>155164</v>
      </c>
      <c r="F49" s="410"/>
      <c r="G49" s="410"/>
      <c r="H49" s="410"/>
      <c r="I49" s="410"/>
      <c r="J49" s="410"/>
      <c r="K49" s="410"/>
      <c r="L49" s="410"/>
      <c r="M49" s="410"/>
      <c r="N49" s="410"/>
      <c r="O49" s="152">
        <f t="shared" si="1"/>
        <v>465392</v>
      </c>
      <c r="P49" s="148">
        <f t="shared" si="0"/>
        <v>3</v>
      </c>
      <c r="Q49" s="191"/>
      <c r="R49" s="191"/>
    </row>
    <row r="50" spans="1:18" s="148" customFormat="1" ht="15" customHeight="1">
      <c r="A50" s="150">
        <v>41</v>
      </c>
      <c r="B50" s="149" t="str">
        <f>+PERBULAN!B46</f>
        <v>QISTAHAM</v>
      </c>
      <c r="C50" s="204">
        <v>155064</v>
      </c>
      <c r="D50" s="204">
        <v>155164</v>
      </c>
      <c r="E50" s="205">
        <v>155164</v>
      </c>
      <c r="F50" s="205">
        <v>155164</v>
      </c>
      <c r="G50" s="205">
        <v>155164</v>
      </c>
      <c r="H50" s="205">
        <v>155164</v>
      </c>
      <c r="I50" s="205">
        <v>155164</v>
      </c>
      <c r="J50" s="205">
        <v>155164</v>
      </c>
      <c r="K50" s="205">
        <v>155164</v>
      </c>
      <c r="L50" s="205">
        <v>155164</v>
      </c>
      <c r="M50" s="205">
        <v>155164</v>
      </c>
      <c r="N50" s="205"/>
      <c r="O50" s="152">
        <f t="shared" si="1"/>
        <v>1706704</v>
      </c>
      <c r="P50" s="148">
        <f t="shared" si="0"/>
        <v>11</v>
      </c>
      <c r="Q50" s="191"/>
      <c r="R50" s="191"/>
    </row>
    <row r="51" spans="1:18" s="148" customFormat="1" ht="15" customHeight="1">
      <c r="A51" s="150">
        <v>42</v>
      </c>
      <c r="B51" s="149" t="str">
        <f>+PERBULAN!B47</f>
        <v>JAYADI</v>
      </c>
      <c r="C51" s="204">
        <v>155064</v>
      </c>
      <c r="D51" s="204">
        <v>155064</v>
      </c>
      <c r="E51" s="204">
        <v>155164</v>
      </c>
      <c r="F51" s="205">
        <v>155164</v>
      </c>
      <c r="G51" s="205">
        <v>155164</v>
      </c>
      <c r="H51" s="205">
        <v>155164</v>
      </c>
      <c r="I51" s="205">
        <v>155164</v>
      </c>
      <c r="J51" s="205">
        <v>155164</v>
      </c>
      <c r="K51" s="205">
        <v>155164</v>
      </c>
      <c r="L51" s="205">
        <v>155164</v>
      </c>
      <c r="M51" s="205">
        <v>155164</v>
      </c>
      <c r="N51" s="205"/>
      <c r="O51" s="152">
        <f t="shared" si="1"/>
        <v>1706604</v>
      </c>
      <c r="P51" s="148">
        <f t="shared" si="0"/>
        <v>11</v>
      </c>
      <c r="Q51" s="191"/>
      <c r="R51" s="191"/>
    </row>
    <row r="52" spans="1:18" s="148" customFormat="1" ht="15" customHeight="1">
      <c r="A52" s="150">
        <v>43</v>
      </c>
      <c r="B52" s="149" t="str">
        <f>+PERBULAN!B48</f>
        <v>MUHAMAD AMIN</v>
      </c>
      <c r="C52" s="204">
        <v>155064</v>
      </c>
      <c r="D52" s="204">
        <v>155064</v>
      </c>
      <c r="E52" s="205">
        <v>155064</v>
      </c>
      <c r="F52" s="205">
        <v>155064</v>
      </c>
      <c r="G52" s="205">
        <v>155164</v>
      </c>
      <c r="H52" s="205">
        <v>155164</v>
      </c>
      <c r="I52" s="205">
        <v>155164</v>
      </c>
      <c r="J52" s="205">
        <v>155164</v>
      </c>
      <c r="K52" s="205">
        <v>155164</v>
      </c>
      <c r="L52" s="205">
        <v>155164</v>
      </c>
      <c r="M52" s="205">
        <v>155164</v>
      </c>
      <c r="N52" s="205"/>
      <c r="O52" s="152">
        <f t="shared" si="1"/>
        <v>1706404</v>
      </c>
      <c r="P52" s="148">
        <f t="shared" si="0"/>
        <v>11</v>
      </c>
      <c r="Q52" s="191"/>
      <c r="R52" s="191"/>
    </row>
    <row r="53" spans="1:18" s="148" customFormat="1" ht="15" customHeight="1">
      <c r="A53" s="150">
        <v>44</v>
      </c>
      <c r="B53" s="149" t="str">
        <f>+PERBULAN!B49</f>
        <v>SAMSUL HADI</v>
      </c>
      <c r="C53" s="204">
        <v>155064</v>
      </c>
      <c r="D53" s="204">
        <v>155064</v>
      </c>
      <c r="E53" s="205">
        <v>155064</v>
      </c>
      <c r="F53" s="205">
        <v>155064</v>
      </c>
      <c r="G53" s="205">
        <v>155064</v>
      </c>
      <c r="H53" s="205">
        <v>155064</v>
      </c>
      <c r="I53" s="205">
        <v>155064</v>
      </c>
      <c r="J53" s="205">
        <v>155064</v>
      </c>
      <c r="K53" s="205">
        <v>155064</v>
      </c>
      <c r="L53" s="205">
        <v>155064</v>
      </c>
      <c r="M53" s="205">
        <v>155164</v>
      </c>
      <c r="N53" s="205"/>
      <c r="O53" s="152">
        <f t="shared" si="1"/>
        <v>1705804</v>
      </c>
      <c r="P53" s="148">
        <f t="shared" si="0"/>
        <v>11</v>
      </c>
      <c r="Q53" s="191"/>
      <c r="R53" s="191"/>
    </row>
    <row r="54" spans="1:18" s="148" customFormat="1" ht="15" customHeight="1">
      <c r="A54" s="150">
        <v>45</v>
      </c>
      <c r="B54" s="149" t="str">
        <f>+PERBULAN!B50</f>
        <v>SAPARUDIN</v>
      </c>
      <c r="C54" s="205">
        <v>155064</v>
      </c>
      <c r="D54" s="205">
        <v>155064</v>
      </c>
      <c r="E54" s="205">
        <v>155064</v>
      </c>
      <c r="F54" s="205">
        <v>155064</v>
      </c>
      <c r="G54" s="205">
        <v>155064</v>
      </c>
      <c r="H54" s="205">
        <v>155064</v>
      </c>
      <c r="I54" s="205">
        <v>155064</v>
      </c>
      <c r="J54" s="205">
        <v>155064</v>
      </c>
      <c r="K54" s="205">
        <v>155064</v>
      </c>
      <c r="L54" s="205">
        <v>155064</v>
      </c>
      <c r="M54" s="205">
        <v>155164</v>
      </c>
      <c r="N54" s="205"/>
      <c r="O54" s="152">
        <f t="shared" si="1"/>
        <v>1705804</v>
      </c>
      <c r="P54" s="148">
        <f t="shared" si="0"/>
        <v>11</v>
      </c>
      <c r="Q54" s="191"/>
      <c r="R54" s="191"/>
    </row>
    <row r="55" spans="1:18" s="148" customFormat="1" ht="15" customHeight="1">
      <c r="A55" s="150">
        <v>46</v>
      </c>
      <c r="B55" s="149" t="str">
        <f>+PERBULAN!B51</f>
        <v>MUHAMAD FAUZI</v>
      </c>
      <c r="C55" s="205">
        <v>155064</v>
      </c>
      <c r="D55" s="205">
        <v>155064</v>
      </c>
      <c r="E55" s="205">
        <v>155064</v>
      </c>
      <c r="F55" s="410"/>
      <c r="G55" s="410"/>
      <c r="H55" s="410"/>
      <c r="I55" s="410"/>
      <c r="J55" s="410"/>
      <c r="K55" s="410"/>
      <c r="L55" s="410"/>
      <c r="M55" s="410"/>
      <c r="N55" s="410"/>
      <c r="O55" s="152">
        <f t="shared" si="1"/>
        <v>465192</v>
      </c>
      <c r="P55" s="148">
        <f t="shared" si="0"/>
        <v>3</v>
      </c>
      <c r="Q55" s="191"/>
      <c r="R55" s="191"/>
    </row>
    <row r="56" spans="1:18" s="148" customFormat="1" ht="15" customHeight="1">
      <c r="A56" s="150">
        <v>47</v>
      </c>
      <c r="B56" s="149" t="str">
        <f>+PERBULAN!B52</f>
        <v>MAHYUDIN</v>
      </c>
      <c r="C56" s="205">
        <v>155064</v>
      </c>
      <c r="D56" s="205">
        <v>155064</v>
      </c>
      <c r="E56" s="205">
        <v>155064</v>
      </c>
      <c r="F56" s="410"/>
      <c r="G56" s="410"/>
      <c r="H56" s="410"/>
      <c r="I56" s="410"/>
      <c r="J56" s="410"/>
      <c r="K56" s="410"/>
      <c r="L56" s="410"/>
      <c r="M56" s="410"/>
      <c r="N56" s="410"/>
      <c r="O56" s="152">
        <f t="shared" si="1"/>
        <v>465192</v>
      </c>
      <c r="P56" s="148">
        <f t="shared" si="0"/>
        <v>3</v>
      </c>
      <c r="Q56" s="191"/>
      <c r="R56" s="191"/>
    </row>
    <row r="57" spans="1:18" s="148" customFormat="1" ht="15" customHeight="1">
      <c r="A57" s="150">
        <v>48</v>
      </c>
      <c r="B57" s="149" t="str">
        <f>+PERBULAN!B53</f>
        <v>ASRI</v>
      </c>
      <c r="C57" s="205">
        <v>155064</v>
      </c>
      <c r="D57" s="205">
        <v>155064</v>
      </c>
      <c r="E57" s="205">
        <v>155064</v>
      </c>
      <c r="F57" s="205">
        <v>155064</v>
      </c>
      <c r="G57" s="205">
        <v>155064</v>
      </c>
      <c r="H57" s="205">
        <v>155064</v>
      </c>
      <c r="I57" s="204">
        <v>155064</v>
      </c>
      <c r="J57" s="204">
        <v>155064</v>
      </c>
      <c r="K57" s="204">
        <v>155064</v>
      </c>
      <c r="L57" s="412"/>
      <c r="M57" s="410"/>
      <c r="N57" s="410"/>
      <c r="O57" s="152">
        <f t="shared" si="1"/>
        <v>1395576</v>
      </c>
      <c r="P57" s="148">
        <f t="shared" si="0"/>
        <v>9</v>
      </c>
      <c r="Q57" s="191"/>
      <c r="R57" s="191"/>
    </row>
    <row r="58" spans="1:18" s="148" customFormat="1" ht="15" customHeight="1">
      <c r="A58" s="150">
        <v>49</v>
      </c>
      <c r="B58" s="149" t="str">
        <f>+PERBULAN!B54</f>
        <v>RUSDIANTO</v>
      </c>
      <c r="C58" s="205">
        <v>155064</v>
      </c>
      <c r="D58" s="410"/>
      <c r="E58" s="410"/>
      <c r="F58" s="410"/>
      <c r="G58" s="410"/>
      <c r="H58" s="410"/>
      <c r="I58" s="411"/>
      <c r="J58" s="405"/>
      <c r="K58" s="406"/>
      <c r="L58" s="412"/>
      <c r="M58" s="410"/>
      <c r="N58" s="410"/>
      <c r="O58" s="152">
        <f t="shared" si="1"/>
        <v>155064</v>
      </c>
      <c r="P58" s="148">
        <f t="shared" si="0"/>
        <v>1</v>
      </c>
      <c r="Q58" s="191"/>
      <c r="R58" s="191"/>
    </row>
    <row r="59" spans="1:18" s="148" customFormat="1" ht="15" customHeight="1">
      <c r="A59" s="150">
        <v>50</v>
      </c>
      <c r="B59" s="149" t="str">
        <f>+PERBULAN!B55</f>
        <v>LALU MUHAMAD HADI</v>
      </c>
      <c r="C59" s="204">
        <v>155064</v>
      </c>
      <c r="D59" s="412"/>
      <c r="E59" s="412"/>
      <c r="F59" s="410"/>
      <c r="G59" s="410"/>
      <c r="H59" s="410"/>
      <c r="I59" s="410"/>
      <c r="J59" s="410"/>
      <c r="K59" s="410"/>
      <c r="L59" s="410"/>
      <c r="M59" s="410"/>
      <c r="N59" s="410"/>
      <c r="O59" s="152">
        <f t="shared" si="1"/>
        <v>155064</v>
      </c>
      <c r="P59" s="148">
        <f t="shared" si="0"/>
        <v>1</v>
      </c>
      <c r="Q59" s="191"/>
      <c r="R59" s="191"/>
    </row>
    <row r="60" spans="1:18" s="148" customFormat="1" ht="15" customHeight="1">
      <c r="A60" s="150">
        <v>51</v>
      </c>
      <c r="B60" s="149" t="str">
        <f>+PERBULAN!B56</f>
        <v>RIJAL</v>
      </c>
      <c r="C60" s="204">
        <v>155464</v>
      </c>
      <c r="D60" s="204">
        <v>155464</v>
      </c>
      <c r="E60" s="204">
        <v>155464</v>
      </c>
      <c r="F60" s="205">
        <v>155464</v>
      </c>
      <c r="G60" s="205">
        <v>155464</v>
      </c>
      <c r="H60" s="205">
        <v>155464</v>
      </c>
      <c r="I60" s="205">
        <v>155464</v>
      </c>
      <c r="J60" s="205">
        <v>155464</v>
      </c>
      <c r="K60" s="205">
        <v>155564</v>
      </c>
      <c r="L60" s="205">
        <v>155564</v>
      </c>
      <c r="M60" s="205">
        <v>155564</v>
      </c>
      <c r="N60" s="205"/>
      <c r="O60" s="152">
        <f t="shared" si="1"/>
        <v>1710404</v>
      </c>
      <c r="P60" s="148">
        <f t="shared" si="0"/>
        <v>11</v>
      </c>
      <c r="Q60" s="191"/>
      <c r="R60" s="191"/>
    </row>
    <row r="61" spans="1:18" s="148" customFormat="1" ht="15" customHeight="1">
      <c r="A61" s="150">
        <v>52</v>
      </c>
      <c r="B61" s="149" t="str">
        <f>+PERBULAN!B57</f>
        <v>FAHRUDIN</v>
      </c>
      <c r="C61" s="412"/>
      <c r="D61" s="412"/>
      <c r="E61" s="204">
        <v>155064</v>
      </c>
      <c r="F61" s="205">
        <v>155064</v>
      </c>
      <c r="G61" s="205">
        <v>155064</v>
      </c>
      <c r="H61" s="205">
        <v>155064</v>
      </c>
      <c r="I61" s="205">
        <v>155064</v>
      </c>
      <c r="J61" s="205">
        <v>155064</v>
      </c>
      <c r="K61" s="205">
        <v>155064</v>
      </c>
      <c r="L61" s="205">
        <v>155064</v>
      </c>
      <c r="M61" s="205">
        <v>155064</v>
      </c>
      <c r="N61" s="205"/>
      <c r="O61" s="152">
        <f t="shared" si="1"/>
        <v>1395576</v>
      </c>
      <c r="P61" s="148">
        <f t="shared" si="0"/>
        <v>9</v>
      </c>
      <c r="Q61" s="191"/>
      <c r="R61" s="191"/>
    </row>
    <row r="62" spans="1:18" s="148" customFormat="1" ht="15" customHeight="1">
      <c r="A62" s="150">
        <v>53</v>
      </c>
      <c r="B62" s="149" t="str">
        <f>+PERBULAN!B58</f>
        <v>HERIANTO ARBI</v>
      </c>
      <c r="C62" s="412"/>
      <c r="D62" s="412"/>
      <c r="E62" s="412"/>
      <c r="F62" s="410"/>
      <c r="G62" s="205">
        <v>155064</v>
      </c>
      <c r="H62" s="205">
        <v>155064</v>
      </c>
      <c r="I62" s="205">
        <v>155064</v>
      </c>
      <c r="J62" s="205">
        <v>155064</v>
      </c>
      <c r="K62" s="205">
        <v>155064</v>
      </c>
      <c r="L62" s="205">
        <v>155064</v>
      </c>
      <c r="M62" s="205">
        <v>155064</v>
      </c>
      <c r="N62" s="205"/>
      <c r="O62" s="152">
        <f t="shared" si="1"/>
        <v>1085448</v>
      </c>
      <c r="P62" s="148">
        <f t="shared" si="0"/>
        <v>7</v>
      </c>
      <c r="Q62" s="191"/>
      <c r="R62" s="191"/>
    </row>
    <row r="63" spans="1:18" s="148" customFormat="1" ht="15" customHeight="1">
      <c r="A63" s="150">
        <v>54</v>
      </c>
      <c r="B63" s="149" t="str">
        <f>+PERBULAN!B59</f>
        <v>EKO SUMANJAYA</v>
      </c>
      <c r="C63" s="204">
        <v>156144</v>
      </c>
      <c r="D63" s="204">
        <v>156144</v>
      </c>
      <c r="E63" s="204">
        <v>156264</v>
      </c>
      <c r="F63" s="205">
        <v>156264</v>
      </c>
      <c r="G63" s="205">
        <v>156264</v>
      </c>
      <c r="H63" s="205">
        <v>156264</v>
      </c>
      <c r="I63" s="205">
        <v>156264</v>
      </c>
      <c r="J63" s="205">
        <v>156264</v>
      </c>
      <c r="K63" s="205">
        <v>156264</v>
      </c>
      <c r="L63" s="205">
        <v>156384</v>
      </c>
      <c r="M63" s="205">
        <v>156384</v>
      </c>
      <c r="N63" s="205"/>
      <c r="O63" s="152">
        <f t="shared" si="1"/>
        <v>1718904</v>
      </c>
      <c r="P63" s="148">
        <f t="shared" ref="P63:P74" si="2">COUNT(C63:N63)</f>
        <v>11</v>
      </c>
      <c r="Q63" s="191"/>
      <c r="R63" s="191"/>
    </row>
    <row r="64" spans="1:18" s="148" customFormat="1" ht="15" customHeight="1">
      <c r="A64" s="150">
        <v>55</v>
      </c>
      <c r="B64" s="149" t="str">
        <f>+PERBULAN!B60</f>
        <v>DEKY FRANZA</v>
      </c>
      <c r="C64" s="204">
        <v>155064</v>
      </c>
      <c r="D64" s="204">
        <v>155064</v>
      </c>
      <c r="E64" s="204">
        <v>155064</v>
      </c>
      <c r="F64" s="205">
        <v>155064</v>
      </c>
      <c r="G64" s="205">
        <v>155164</v>
      </c>
      <c r="H64" s="222">
        <v>155164</v>
      </c>
      <c r="I64" s="204">
        <v>155164</v>
      </c>
      <c r="J64" s="205">
        <v>155164</v>
      </c>
      <c r="K64" s="205">
        <v>155164</v>
      </c>
      <c r="L64" s="205">
        <v>155164</v>
      </c>
      <c r="M64" s="205">
        <v>155164</v>
      </c>
      <c r="N64" s="205"/>
      <c r="O64" s="152">
        <f t="shared" ref="O64:O79" si="3">SUM(C64:N64)</f>
        <v>1706404</v>
      </c>
      <c r="P64" s="148">
        <f t="shared" si="2"/>
        <v>11</v>
      </c>
      <c r="Q64" s="191"/>
      <c r="R64" s="191"/>
    </row>
    <row r="65" spans="1:18" s="148" customFormat="1" ht="15" customHeight="1">
      <c r="A65" s="150">
        <v>56</v>
      </c>
      <c r="B65" s="149" t="str">
        <f>+PERBULAN!B61</f>
        <v>SUMARDI</v>
      </c>
      <c r="C65" s="204">
        <v>156024</v>
      </c>
      <c r="D65" s="204">
        <v>156024</v>
      </c>
      <c r="E65" s="204">
        <v>156024</v>
      </c>
      <c r="F65" s="205">
        <v>156024</v>
      </c>
      <c r="G65" s="205">
        <v>156024</v>
      </c>
      <c r="H65" s="205">
        <v>156024</v>
      </c>
      <c r="I65" s="205">
        <v>156024</v>
      </c>
      <c r="J65" s="205">
        <v>156144</v>
      </c>
      <c r="K65" s="205">
        <v>156144</v>
      </c>
      <c r="L65" s="205">
        <v>156144</v>
      </c>
      <c r="M65" s="205">
        <v>156144</v>
      </c>
      <c r="N65" s="205"/>
      <c r="O65" s="152">
        <f t="shared" si="3"/>
        <v>1716744</v>
      </c>
      <c r="P65" s="148">
        <f t="shared" si="2"/>
        <v>11</v>
      </c>
      <c r="Q65" s="191"/>
      <c r="R65" s="191"/>
    </row>
    <row r="66" spans="1:18" s="148" customFormat="1" ht="15" customHeight="1">
      <c r="A66" s="150">
        <v>57</v>
      </c>
      <c r="B66" s="149" t="str">
        <f>+PERBULAN!B62</f>
        <v>SUKARDI</v>
      </c>
      <c r="C66" s="204">
        <v>155064</v>
      </c>
      <c r="D66" s="204">
        <v>155064</v>
      </c>
      <c r="E66" s="204">
        <v>155064</v>
      </c>
      <c r="F66" s="205">
        <v>155164</v>
      </c>
      <c r="G66" s="205">
        <v>155164</v>
      </c>
      <c r="H66" s="205">
        <v>155164</v>
      </c>
      <c r="I66" s="205">
        <v>155164</v>
      </c>
      <c r="J66" s="205">
        <v>155164</v>
      </c>
      <c r="K66" s="205">
        <v>155164</v>
      </c>
      <c r="L66" s="205">
        <v>155164</v>
      </c>
      <c r="M66" s="205">
        <v>155164</v>
      </c>
      <c r="N66" s="162"/>
      <c r="O66" s="152">
        <f t="shared" si="3"/>
        <v>1706504</v>
      </c>
      <c r="P66" s="148">
        <f t="shared" si="2"/>
        <v>11</v>
      </c>
      <c r="Q66" s="191"/>
      <c r="R66" s="191"/>
    </row>
    <row r="67" spans="1:18" s="148" customFormat="1" ht="15" customHeight="1">
      <c r="A67" s="150">
        <v>58</v>
      </c>
      <c r="B67" s="149" t="str">
        <f>+PERBULAN!B63</f>
        <v>YANTI NOVITA</v>
      </c>
      <c r="C67" s="204">
        <v>156944</v>
      </c>
      <c r="D67" s="204">
        <v>156944</v>
      </c>
      <c r="E67" s="204">
        <v>156944</v>
      </c>
      <c r="F67" s="204">
        <v>155064</v>
      </c>
      <c r="G67" s="205">
        <v>156944</v>
      </c>
      <c r="H67" s="205">
        <v>156944</v>
      </c>
      <c r="I67" s="205">
        <v>156944</v>
      </c>
      <c r="J67" s="205">
        <v>156944</v>
      </c>
      <c r="K67" s="205">
        <v>156944</v>
      </c>
      <c r="L67" s="205">
        <v>156944</v>
      </c>
      <c r="M67" s="205">
        <v>156944</v>
      </c>
      <c r="N67" s="205"/>
      <c r="O67" s="152">
        <f t="shared" si="3"/>
        <v>1724504</v>
      </c>
      <c r="P67" s="148">
        <f t="shared" si="2"/>
        <v>11</v>
      </c>
      <c r="Q67" s="191"/>
      <c r="R67" s="191"/>
    </row>
    <row r="68" spans="1:18" s="148" customFormat="1" ht="15" customHeight="1">
      <c r="A68" s="150">
        <v>59</v>
      </c>
      <c r="B68" s="149" t="str">
        <f>+PERBULAN!B64</f>
        <v>FRANSISCO GAUTAMA</v>
      </c>
      <c r="C68" s="204">
        <v>156524</v>
      </c>
      <c r="D68" s="204">
        <v>156524</v>
      </c>
      <c r="E68" s="204">
        <v>156524</v>
      </c>
      <c r="F68" s="204">
        <v>156524</v>
      </c>
      <c r="G68" s="205">
        <v>156524</v>
      </c>
      <c r="H68" s="205">
        <v>156524</v>
      </c>
      <c r="I68" s="205">
        <v>156524</v>
      </c>
      <c r="J68" s="205">
        <v>156524</v>
      </c>
      <c r="K68" s="205">
        <v>156524</v>
      </c>
      <c r="L68" s="205">
        <v>156524</v>
      </c>
      <c r="M68" s="205">
        <v>156524</v>
      </c>
      <c r="N68" s="205"/>
      <c r="O68" s="152">
        <f t="shared" si="3"/>
        <v>1721764</v>
      </c>
      <c r="P68" s="148">
        <f t="shared" si="2"/>
        <v>11</v>
      </c>
      <c r="Q68" s="191"/>
      <c r="R68" s="191"/>
    </row>
    <row r="69" spans="1:18" s="148" customFormat="1" ht="15" customHeight="1">
      <c r="A69" s="150">
        <v>60</v>
      </c>
      <c r="B69" s="149" t="str">
        <f>+PERBULAN!B65</f>
        <v>MUSDI</v>
      </c>
      <c r="C69" s="205">
        <v>156024</v>
      </c>
      <c r="D69" s="205">
        <v>156024</v>
      </c>
      <c r="E69" s="205">
        <v>156024</v>
      </c>
      <c r="F69" s="205">
        <v>156024</v>
      </c>
      <c r="G69" s="205">
        <v>156024</v>
      </c>
      <c r="H69" s="205">
        <v>156024</v>
      </c>
      <c r="I69" s="205">
        <v>156024</v>
      </c>
      <c r="J69" s="205">
        <v>156024</v>
      </c>
      <c r="K69" s="205">
        <v>156144</v>
      </c>
      <c r="L69" s="205">
        <v>156144</v>
      </c>
      <c r="M69" s="205">
        <v>156144</v>
      </c>
      <c r="N69" s="205"/>
      <c r="O69" s="152">
        <f t="shared" si="3"/>
        <v>1716624</v>
      </c>
      <c r="P69" s="148">
        <f t="shared" si="2"/>
        <v>11</v>
      </c>
      <c r="Q69" s="191"/>
      <c r="R69" s="191"/>
    </row>
    <row r="70" spans="1:18" s="148" customFormat="1" ht="15" customHeight="1">
      <c r="A70" s="150">
        <v>61</v>
      </c>
      <c r="B70" s="149" t="str">
        <f>+PERBULAN!B66</f>
        <v>M.IDRIS PRATAMA</v>
      </c>
      <c r="C70" s="205">
        <v>155164</v>
      </c>
      <c r="D70" s="205">
        <v>155164</v>
      </c>
      <c r="E70" s="205">
        <v>155164</v>
      </c>
      <c r="F70" s="205">
        <v>155164</v>
      </c>
      <c r="G70" s="205">
        <v>155264</v>
      </c>
      <c r="H70" s="205">
        <v>155264</v>
      </c>
      <c r="I70" s="205">
        <v>155264</v>
      </c>
      <c r="J70" s="205">
        <v>155264</v>
      </c>
      <c r="K70" s="205">
        <v>155264</v>
      </c>
      <c r="L70" s="205">
        <v>155264</v>
      </c>
      <c r="M70" s="205">
        <v>155264</v>
      </c>
      <c r="N70" s="205"/>
      <c r="O70" s="152">
        <f t="shared" si="3"/>
        <v>1707504</v>
      </c>
      <c r="P70" s="148">
        <f t="shared" si="2"/>
        <v>11</v>
      </c>
      <c r="Q70" s="191"/>
      <c r="R70" s="191"/>
    </row>
    <row r="71" spans="1:18" s="148" customFormat="1" ht="15" customHeight="1">
      <c r="A71" s="150">
        <v>62</v>
      </c>
      <c r="B71" s="149" t="str">
        <f>+PERBULAN!B67</f>
        <v>NOLA WILANDA</v>
      </c>
      <c r="C71" s="412"/>
      <c r="D71" s="412"/>
      <c r="E71" s="412"/>
      <c r="F71" s="412"/>
      <c r="G71" s="410"/>
      <c r="H71" s="410"/>
      <c r="I71" s="410"/>
      <c r="J71" s="410"/>
      <c r="K71" s="205">
        <v>155064</v>
      </c>
      <c r="L71" s="205">
        <v>155064</v>
      </c>
      <c r="M71" s="205">
        <v>155064</v>
      </c>
      <c r="N71" s="205"/>
      <c r="O71" s="152">
        <f t="shared" si="3"/>
        <v>465192</v>
      </c>
      <c r="P71" s="148">
        <f t="shared" si="2"/>
        <v>3</v>
      </c>
      <c r="Q71" s="191"/>
      <c r="R71" s="191"/>
    </row>
    <row r="72" spans="1:18" s="148" customFormat="1" ht="15" customHeight="1">
      <c r="A72" s="150">
        <v>63</v>
      </c>
      <c r="B72" s="149" t="str">
        <f>+PERBULAN!B68</f>
        <v>AGUSTIAN</v>
      </c>
      <c r="C72" s="410"/>
      <c r="D72" s="410"/>
      <c r="E72" s="410"/>
      <c r="F72" s="410"/>
      <c r="G72" s="410"/>
      <c r="H72" s="410"/>
      <c r="I72" s="410"/>
      <c r="J72" s="410"/>
      <c r="K72" s="205">
        <v>155064</v>
      </c>
      <c r="L72" s="205">
        <v>155064</v>
      </c>
      <c r="M72" s="205">
        <v>155064</v>
      </c>
      <c r="N72" s="205"/>
      <c r="O72" s="152">
        <f t="shared" si="3"/>
        <v>465192</v>
      </c>
      <c r="P72" s="148">
        <f t="shared" si="2"/>
        <v>3</v>
      </c>
      <c r="Q72" s="191"/>
      <c r="R72" s="191"/>
    </row>
    <row r="73" spans="1:18" s="148" customFormat="1" ht="15" customHeight="1">
      <c r="A73" s="150">
        <v>64</v>
      </c>
      <c r="B73" s="149" t="str">
        <f>+PERBULAN!B69</f>
        <v>DWI MARZETI</v>
      </c>
      <c r="C73" s="410"/>
      <c r="D73" s="410"/>
      <c r="E73" s="410"/>
      <c r="F73" s="410"/>
      <c r="G73" s="410"/>
      <c r="H73" s="410"/>
      <c r="I73" s="410"/>
      <c r="J73" s="410"/>
      <c r="K73" s="205">
        <v>155064</v>
      </c>
      <c r="L73" s="205">
        <v>155064</v>
      </c>
      <c r="M73" s="205">
        <v>155064</v>
      </c>
      <c r="N73" s="205"/>
      <c r="O73" s="152">
        <f t="shared" si="3"/>
        <v>465192</v>
      </c>
      <c r="P73" s="148">
        <f t="shared" si="2"/>
        <v>3</v>
      </c>
      <c r="Q73" s="191"/>
      <c r="R73" s="191"/>
    </row>
    <row r="74" spans="1:18" s="148" customFormat="1" ht="15" customHeight="1">
      <c r="A74" s="150">
        <v>65</v>
      </c>
      <c r="B74" s="149" t="str">
        <f>+PERBULAN!B70</f>
        <v>SUTRA PRAYOGI</v>
      </c>
      <c r="C74" s="410"/>
      <c r="D74" s="410"/>
      <c r="E74" s="410"/>
      <c r="F74" s="410"/>
      <c r="G74" s="410"/>
      <c r="H74" s="410"/>
      <c r="I74" s="410"/>
      <c r="J74" s="410"/>
      <c r="K74" s="410"/>
      <c r="L74" s="205">
        <v>155064</v>
      </c>
      <c r="M74" s="205">
        <v>155064</v>
      </c>
      <c r="N74" s="205"/>
      <c r="O74" s="152">
        <f t="shared" si="3"/>
        <v>310128</v>
      </c>
      <c r="P74" s="148">
        <f t="shared" si="2"/>
        <v>2</v>
      </c>
      <c r="Q74" s="191"/>
      <c r="R74" s="191"/>
    </row>
    <row r="75" spans="1:18" s="148" customFormat="1" ht="15" customHeight="1">
      <c r="A75" s="150">
        <v>66</v>
      </c>
      <c r="B75" s="149" t="str">
        <f>+PERBULAN!B71</f>
        <v>SAHARUDIN</v>
      </c>
      <c r="C75" s="205">
        <v>156264</v>
      </c>
      <c r="D75" s="205">
        <v>156264</v>
      </c>
      <c r="E75" s="205">
        <v>156264</v>
      </c>
      <c r="F75" s="205">
        <v>156264</v>
      </c>
      <c r="G75" s="205">
        <v>156264</v>
      </c>
      <c r="H75" s="205">
        <v>156264</v>
      </c>
      <c r="I75" s="205">
        <v>156264</v>
      </c>
      <c r="J75" s="205">
        <v>156264</v>
      </c>
      <c r="K75" s="205">
        <v>156264</v>
      </c>
      <c r="L75" s="205">
        <v>156384</v>
      </c>
      <c r="M75" s="205">
        <v>156384</v>
      </c>
      <c r="N75" s="205"/>
      <c r="O75" s="152">
        <f t="shared" si="3"/>
        <v>1719144</v>
      </c>
      <c r="Q75" s="191"/>
      <c r="R75" s="191"/>
    </row>
    <row r="76" spans="1:18" s="148" customFormat="1" ht="15" customHeight="1">
      <c r="A76" s="150">
        <v>67</v>
      </c>
      <c r="B76" s="149">
        <f>+PERBULAN!B72</f>
        <v>0</v>
      </c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152">
        <f t="shared" si="3"/>
        <v>0</v>
      </c>
      <c r="Q76" s="191"/>
      <c r="R76" s="191"/>
    </row>
    <row r="77" spans="1:18" s="148" customFormat="1" ht="15" customHeight="1">
      <c r="A77" s="150">
        <v>68</v>
      </c>
      <c r="B77" s="149">
        <f>+PERBULAN!B73</f>
        <v>0</v>
      </c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152">
        <f t="shared" si="3"/>
        <v>0</v>
      </c>
      <c r="Q77" s="191"/>
      <c r="R77" s="191"/>
    </row>
    <row r="78" spans="1:18" s="148" customFormat="1" ht="15" customHeight="1">
      <c r="A78" s="150">
        <v>69</v>
      </c>
      <c r="B78" s="149">
        <f>+PERBULAN!B74</f>
        <v>0</v>
      </c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152">
        <f t="shared" si="3"/>
        <v>0</v>
      </c>
      <c r="Q78" s="191"/>
      <c r="R78" s="191"/>
    </row>
    <row r="79" spans="1:18" s="148" customFormat="1" ht="15" customHeight="1">
      <c r="A79" s="150">
        <v>70</v>
      </c>
      <c r="B79" s="149">
        <f>+PERBULAN!B75</f>
        <v>0</v>
      </c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152">
        <f t="shared" si="3"/>
        <v>0</v>
      </c>
      <c r="Q79" s="191"/>
      <c r="R79" s="191"/>
    </row>
    <row r="80" spans="1:18" s="168" customFormat="1" ht="15" customHeight="1">
      <c r="A80" s="208"/>
      <c r="B80" s="209"/>
      <c r="C80" s="210">
        <f>SUM(C10:C79)</f>
        <v>9362560</v>
      </c>
      <c r="D80" s="210">
        <f t="shared" ref="D80:O80" si="4">SUM(D10:D79)</f>
        <v>9060612</v>
      </c>
      <c r="E80" s="210">
        <f t="shared" si="4"/>
        <v>9215896</v>
      </c>
      <c r="F80" s="210">
        <f t="shared" si="4"/>
        <v>8128108</v>
      </c>
      <c r="G80" s="210">
        <f t="shared" si="4"/>
        <v>7968204</v>
      </c>
      <c r="H80" s="210">
        <f t="shared" si="4"/>
        <v>7968744</v>
      </c>
      <c r="I80" s="210">
        <f t="shared" si="4"/>
        <v>7969564</v>
      </c>
      <c r="J80" s="210">
        <f t="shared" si="4"/>
        <v>7970044</v>
      </c>
      <c r="K80" s="210">
        <f t="shared" si="4"/>
        <v>8436176</v>
      </c>
      <c r="L80" s="210">
        <f t="shared" si="4"/>
        <v>8436416</v>
      </c>
      <c r="M80" s="210">
        <f t="shared" si="4"/>
        <v>8436856</v>
      </c>
      <c r="N80" s="210">
        <f t="shared" si="4"/>
        <v>0</v>
      </c>
      <c r="O80" s="210">
        <f t="shared" si="4"/>
        <v>92953180</v>
      </c>
      <c r="Q80" s="191"/>
      <c r="R80" s="191"/>
    </row>
    <row r="81" spans="1:18" ht="15" customHeight="1">
      <c r="D81" s="211"/>
      <c r="G81" s="212"/>
      <c r="J81" s="212"/>
      <c r="N81" s="212"/>
    </row>
    <row r="82" spans="1:18" s="148" customFormat="1" ht="15" hidden="1" customHeight="1">
      <c r="A82" s="150">
        <v>27</v>
      </c>
      <c r="B82" s="149" t="str">
        <f>+PERBULAN!B79</f>
        <v>RIO RESFATI</v>
      </c>
      <c r="C82" s="204">
        <v>156384</v>
      </c>
      <c r="D82" s="204">
        <v>156384</v>
      </c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152">
        <f t="shared" ref="O82:O92" si="5">SUM(C82:N82)</f>
        <v>312768</v>
      </c>
      <c r="P82" s="148">
        <f t="shared" ref="P82:P92" si="6">COUNT(C82:N82)</f>
        <v>2</v>
      </c>
    </row>
    <row r="83" spans="1:18" s="148" customFormat="1" hidden="1">
      <c r="A83" s="150">
        <v>12</v>
      </c>
      <c r="B83" s="149" t="str">
        <f>+PERBULAN!B80</f>
        <v>YANTI NOVITA</v>
      </c>
      <c r="C83" s="204">
        <v>156944</v>
      </c>
      <c r="D83" s="204">
        <v>156944</v>
      </c>
      <c r="E83" s="205">
        <v>156944</v>
      </c>
      <c r="F83" s="205"/>
      <c r="G83" s="205"/>
      <c r="H83" s="205"/>
      <c r="I83" s="205"/>
      <c r="J83" s="205"/>
      <c r="K83" s="205"/>
      <c r="L83" s="205"/>
      <c r="M83" s="205"/>
      <c r="N83" s="205"/>
      <c r="O83" s="152">
        <f t="shared" si="5"/>
        <v>470832</v>
      </c>
      <c r="P83" s="148">
        <f t="shared" si="6"/>
        <v>3</v>
      </c>
    </row>
    <row r="84" spans="1:18" s="148" customFormat="1" hidden="1">
      <c r="A84" s="150">
        <v>60</v>
      </c>
      <c r="B84" s="149" t="str">
        <f>+PERBULAN!B81</f>
        <v>EDI ZULKARNADI</v>
      </c>
      <c r="C84" s="204">
        <v>156024</v>
      </c>
      <c r="D84" s="204">
        <v>156024</v>
      </c>
      <c r="E84" s="204">
        <v>156024</v>
      </c>
      <c r="F84" s="205">
        <v>156024</v>
      </c>
      <c r="G84" s="205">
        <v>156144</v>
      </c>
      <c r="H84" s="205">
        <v>156144</v>
      </c>
      <c r="I84" s="205"/>
      <c r="J84" s="205"/>
      <c r="K84" s="205"/>
      <c r="L84" s="205"/>
      <c r="M84" s="205"/>
      <c r="N84" s="205"/>
      <c r="O84" s="152">
        <f t="shared" si="5"/>
        <v>936384</v>
      </c>
      <c r="P84" s="148">
        <f t="shared" si="6"/>
        <v>6</v>
      </c>
      <c r="Q84" s="191"/>
      <c r="R84" s="191"/>
    </row>
    <row r="85" spans="1:18" s="148" customFormat="1" ht="15" hidden="1" customHeight="1">
      <c r="A85" s="150">
        <v>37</v>
      </c>
      <c r="B85" s="149" t="str">
        <f>+PERBULAN!B82</f>
        <v>SUNARDI</v>
      </c>
      <c r="C85" s="204">
        <v>155364</v>
      </c>
      <c r="D85" s="204">
        <v>155364</v>
      </c>
      <c r="E85" s="205">
        <v>155464</v>
      </c>
      <c r="F85" s="205">
        <v>155464</v>
      </c>
      <c r="G85" s="205">
        <v>155464</v>
      </c>
      <c r="H85" s="205">
        <v>155464</v>
      </c>
      <c r="I85" s="205"/>
      <c r="J85" s="205"/>
      <c r="K85" s="205"/>
      <c r="L85" s="205"/>
      <c r="M85" s="205"/>
      <c r="N85" s="205"/>
      <c r="O85" s="152">
        <f t="shared" si="5"/>
        <v>932584</v>
      </c>
      <c r="P85" s="148">
        <f t="shared" si="6"/>
        <v>6</v>
      </c>
      <c r="Q85" s="191"/>
      <c r="R85" s="191"/>
    </row>
    <row r="86" spans="1:18" s="148" customFormat="1" ht="15" hidden="1" customHeight="1">
      <c r="A86" s="150">
        <v>29</v>
      </c>
      <c r="B86" s="149" t="str">
        <f>+PERBULAN!B83</f>
        <v>MUSNI</v>
      </c>
      <c r="C86" s="204">
        <v>155904</v>
      </c>
      <c r="D86" s="204">
        <v>155904</v>
      </c>
      <c r="E86" s="205">
        <v>155904</v>
      </c>
      <c r="F86" s="205">
        <v>155904</v>
      </c>
      <c r="G86" s="205">
        <v>155904</v>
      </c>
      <c r="H86" s="205">
        <v>155904</v>
      </c>
      <c r="I86" s="205">
        <v>155904</v>
      </c>
      <c r="J86" s="205"/>
      <c r="K86" s="205"/>
      <c r="L86" s="205"/>
      <c r="M86" s="205"/>
      <c r="N86" s="205"/>
      <c r="O86" s="152">
        <f>SUM(C86:N86)</f>
        <v>1091328</v>
      </c>
      <c r="P86" s="148">
        <f>COUNT(C86:N86)</f>
        <v>7</v>
      </c>
    </row>
    <row r="87" spans="1:18" ht="17.25" hidden="1" customHeight="1">
      <c r="A87" s="150">
        <v>31</v>
      </c>
      <c r="B87" s="149" t="str">
        <f>+PERBULAN!B84</f>
        <v>ARPANDI</v>
      </c>
      <c r="C87" s="204">
        <v>155784</v>
      </c>
      <c r="D87" s="204">
        <v>155784</v>
      </c>
      <c r="E87" s="205">
        <v>155784</v>
      </c>
      <c r="F87" s="205">
        <v>155784</v>
      </c>
      <c r="G87" s="205">
        <v>155784</v>
      </c>
      <c r="H87" s="205">
        <v>155784</v>
      </c>
      <c r="I87" s="205">
        <v>155904</v>
      </c>
      <c r="J87" s="205"/>
      <c r="K87" s="205"/>
      <c r="L87" s="205"/>
      <c r="M87" s="205"/>
      <c r="N87" s="205"/>
      <c r="O87" s="152">
        <f t="shared" si="5"/>
        <v>1090608</v>
      </c>
      <c r="P87" s="148">
        <f t="shared" si="6"/>
        <v>7</v>
      </c>
    </row>
    <row r="88" spans="1:18" s="148" customFormat="1" ht="17.25" hidden="1" customHeight="1">
      <c r="A88" s="150">
        <v>32</v>
      </c>
      <c r="B88" s="149" t="str">
        <f>+PERBULAN!B85</f>
        <v>MASRI</v>
      </c>
      <c r="C88" s="204">
        <v>156024</v>
      </c>
      <c r="D88" s="204">
        <v>156024</v>
      </c>
      <c r="E88" s="205">
        <v>156024</v>
      </c>
      <c r="F88" s="205">
        <v>156144</v>
      </c>
      <c r="G88" s="205">
        <v>156144</v>
      </c>
      <c r="H88" s="205">
        <v>156144</v>
      </c>
      <c r="I88" s="205">
        <v>156144</v>
      </c>
      <c r="J88" s="205"/>
      <c r="K88" s="205"/>
      <c r="L88" s="205"/>
      <c r="M88" s="205"/>
      <c r="N88" s="205"/>
      <c r="O88" s="152">
        <f t="shared" si="5"/>
        <v>1092648</v>
      </c>
      <c r="P88" s="148">
        <f t="shared" si="6"/>
        <v>7</v>
      </c>
    </row>
    <row r="89" spans="1:18" s="148" customFormat="1" ht="15" hidden="1" customHeight="1">
      <c r="A89" s="150">
        <v>35</v>
      </c>
      <c r="B89" s="149" t="str">
        <f>+PERBULAN!B86</f>
        <v>HARDIANSYAH</v>
      </c>
      <c r="C89" s="204">
        <v>155464</v>
      </c>
      <c r="D89" s="204">
        <v>155464</v>
      </c>
      <c r="E89" s="205">
        <v>155464</v>
      </c>
      <c r="F89" s="205">
        <v>155464</v>
      </c>
      <c r="G89" s="205">
        <v>155464</v>
      </c>
      <c r="H89" s="205">
        <v>155564</v>
      </c>
      <c r="I89" s="205">
        <v>155564</v>
      </c>
      <c r="J89" s="205"/>
      <c r="K89" s="205"/>
      <c r="L89" s="205"/>
      <c r="M89" s="205"/>
      <c r="N89" s="205"/>
      <c r="O89" s="152">
        <f t="shared" si="5"/>
        <v>1088448</v>
      </c>
      <c r="P89" s="148">
        <f t="shared" si="6"/>
        <v>7</v>
      </c>
      <c r="Q89" s="191"/>
      <c r="R89" s="191"/>
    </row>
    <row r="90" spans="1:18" s="148" customFormat="1" ht="15" hidden="1" customHeight="1">
      <c r="A90" s="150">
        <v>41</v>
      </c>
      <c r="B90" s="149" t="str">
        <f>+PERBULAN!B87</f>
        <v>SALEH</v>
      </c>
      <c r="C90" s="204">
        <v>155164</v>
      </c>
      <c r="D90" s="204">
        <v>155164</v>
      </c>
      <c r="E90" s="205">
        <v>155164</v>
      </c>
      <c r="F90" s="205">
        <v>155164</v>
      </c>
      <c r="G90" s="205">
        <v>155164</v>
      </c>
      <c r="H90" s="205">
        <v>155164</v>
      </c>
      <c r="I90" s="205">
        <v>155164</v>
      </c>
      <c r="J90" s="205"/>
      <c r="K90" s="205"/>
      <c r="L90" s="205"/>
      <c r="M90" s="205"/>
      <c r="N90" s="205"/>
      <c r="O90" s="152">
        <f t="shared" si="5"/>
        <v>1086148</v>
      </c>
      <c r="P90" s="148">
        <f t="shared" si="6"/>
        <v>7</v>
      </c>
      <c r="Q90" s="191"/>
      <c r="R90" s="191"/>
    </row>
    <row r="91" spans="1:18" s="148" customFormat="1" ht="15" hidden="1" customHeight="1">
      <c r="A91" s="150">
        <v>48</v>
      </c>
      <c r="B91" s="149" t="str">
        <f>+PERBULAN!B88</f>
        <v>JUFRI</v>
      </c>
      <c r="C91" s="204">
        <v>155364</v>
      </c>
      <c r="D91" s="204">
        <v>155364</v>
      </c>
      <c r="E91" s="205">
        <v>155364</v>
      </c>
      <c r="F91" s="205">
        <v>155364</v>
      </c>
      <c r="G91" s="205">
        <v>155364</v>
      </c>
      <c r="H91" s="205">
        <v>155464</v>
      </c>
      <c r="I91" s="205">
        <v>155464</v>
      </c>
      <c r="J91" s="205"/>
      <c r="K91" s="205"/>
      <c r="L91" s="205"/>
      <c r="M91" s="205"/>
      <c r="N91" s="205"/>
      <c r="O91" s="152">
        <f t="shared" si="5"/>
        <v>1087748</v>
      </c>
      <c r="P91" s="148">
        <f t="shared" si="6"/>
        <v>7</v>
      </c>
      <c r="Q91" s="191"/>
      <c r="R91" s="191"/>
    </row>
    <row r="92" spans="1:18" s="148" customFormat="1" ht="15" hidden="1" customHeight="1">
      <c r="A92" s="150">
        <v>50</v>
      </c>
      <c r="B92" s="149" t="str">
        <f>+PERBULAN!B89</f>
        <v>ZAMALUDIN</v>
      </c>
      <c r="C92" s="204">
        <v>155064</v>
      </c>
      <c r="D92" s="204">
        <v>155064</v>
      </c>
      <c r="E92" s="205">
        <v>155064</v>
      </c>
      <c r="F92" s="205">
        <v>155064</v>
      </c>
      <c r="G92" s="205">
        <v>155064</v>
      </c>
      <c r="H92" s="205">
        <v>155064</v>
      </c>
      <c r="I92" s="205">
        <v>155064</v>
      </c>
      <c r="J92" s="205"/>
      <c r="K92" s="205"/>
      <c r="L92" s="205"/>
      <c r="M92" s="205"/>
      <c r="N92" s="205"/>
      <c r="O92" s="152">
        <f t="shared" si="5"/>
        <v>1085448</v>
      </c>
      <c r="P92" s="148">
        <f t="shared" si="6"/>
        <v>7</v>
      </c>
      <c r="Q92" s="191"/>
      <c r="R92" s="191"/>
    </row>
    <row r="97" spans="1:15">
      <c r="A97" s="190" t="s">
        <v>68</v>
      </c>
      <c r="B97" s="190"/>
      <c r="F97" s="190"/>
      <c r="K97" s="442"/>
    </row>
    <row r="98" spans="1:15">
      <c r="A98" s="193"/>
      <c r="B98" s="193"/>
      <c r="F98" s="193"/>
      <c r="K98" s="442"/>
    </row>
    <row r="99" spans="1:15">
      <c r="A99" s="600" t="s">
        <v>488</v>
      </c>
      <c r="B99" s="600"/>
      <c r="F99" s="194"/>
      <c r="G99" s="195"/>
      <c r="H99" s="195"/>
      <c r="I99" s="195"/>
      <c r="J99" s="195"/>
      <c r="K99" s="194"/>
      <c r="L99" s="196"/>
      <c r="M99" s="196"/>
      <c r="N99" s="195"/>
      <c r="O99" s="195"/>
    </row>
    <row r="100" spans="1:15" ht="15.75" thickBot="1">
      <c r="E100" s="195"/>
      <c r="F100" s="195"/>
      <c r="G100" s="195"/>
      <c r="H100" s="195"/>
      <c r="I100" s="195"/>
      <c r="J100" s="195"/>
      <c r="K100" s="194"/>
      <c r="L100" s="196"/>
      <c r="M100" s="196"/>
      <c r="N100" s="195"/>
      <c r="O100" s="195"/>
    </row>
    <row r="101" spans="1:15">
      <c r="A101" s="601" t="s">
        <v>0</v>
      </c>
      <c r="B101" s="603" t="s">
        <v>366</v>
      </c>
      <c r="C101" s="605" t="s">
        <v>546</v>
      </c>
      <c r="D101" s="606"/>
      <c r="E101" s="606"/>
      <c r="F101" s="606"/>
      <c r="G101" s="606"/>
      <c r="H101" s="606"/>
      <c r="I101" s="606"/>
      <c r="J101" s="606"/>
      <c r="K101" s="606"/>
      <c r="L101" s="606"/>
      <c r="M101" s="606"/>
      <c r="N101" s="607"/>
      <c r="O101" s="614" t="s">
        <v>370</v>
      </c>
    </row>
    <row r="102" spans="1:15">
      <c r="A102" s="602"/>
      <c r="B102" s="604"/>
      <c r="C102" s="608"/>
      <c r="D102" s="609"/>
      <c r="E102" s="609"/>
      <c r="F102" s="609"/>
      <c r="G102" s="609"/>
      <c r="H102" s="609"/>
      <c r="I102" s="609"/>
      <c r="J102" s="609"/>
      <c r="K102" s="609"/>
      <c r="L102" s="609"/>
      <c r="M102" s="609"/>
      <c r="N102" s="610"/>
      <c r="O102" s="614"/>
    </row>
    <row r="103" spans="1:15">
      <c r="A103" s="602"/>
      <c r="B103" s="604"/>
      <c r="C103" s="611"/>
      <c r="D103" s="612"/>
      <c r="E103" s="612"/>
      <c r="F103" s="612"/>
      <c r="G103" s="612"/>
      <c r="H103" s="612"/>
      <c r="I103" s="612"/>
      <c r="J103" s="612"/>
      <c r="K103" s="612"/>
      <c r="L103" s="612"/>
      <c r="M103" s="612"/>
      <c r="N103" s="613"/>
      <c r="O103" s="614"/>
    </row>
    <row r="104" spans="1:15">
      <c r="A104" s="602"/>
      <c r="B104" s="604"/>
      <c r="C104" s="198" t="s">
        <v>374</v>
      </c>
      <c r="D104" s="198" t="s">
        <v>375</v>
      </c>
      <c r="E104" s="198" t="s">
        <v>376</v>
      </c>
      <c r="F104" s="198" t="s">
        <v>377</v>
      </c>
      <c r="G104" s="198" t="s">
        <v>378</v>
      </c>
      <c r="H104" s="198" t="s">
        <v>379</v>
      </c>
      <c r="I104" s="198" t="s">
        <v>380</v>
      </c>
      <c r="J104" s="199" t="s">
        <v>381</v>
      </c>
      <c r="K104" s="443" t="s">
        <v>382</v>
      </c>
      <c r="L104" s="201" t="s">
        <v>383</v>
      </c>
      <c r="M104" s="201" t="s">
        <v>384</v>
      </c>
      <c r="N104" s="202" t="s">
        <v>385</v>
      </c>
      <c r="O104" s="614"/>
    </row>
    <row r="105" spans="1:15">
      <c r="A105" s="150">
        <v>1</v>
      </c>
      <c r="B105" s="149" t="str">
        <f t="shared" ref="B105:B136" si="7">+B10</f>
        <v>GUNAWAN</v>
      </c>
      <c r="C105" s="204">
        <v>32563.439999999999</v>
      </c>
      <c r="D105" s="204">
        <v>32563.439999999999</v>
      </c>
      <c r="E105" s="205">
        <v>32563.439999999999</v>
      </c>
      <c r="F105" s="205">
        <v>32563.439999999999</v>
      </c>
      <c r="G105" s="205">
        <v>32563.439999999999</v>
      </c>
      <c r="H105" s="205">
        <v>32563.439999999999</v>
      </c>
      <c r="I105" s="205">
        <v>32815.439999999995</v>
      </c>
      <c r="J105" s="205">
        <v>32815.439999999995</v>
      </c>
      <c r="K105" s="205">
        <v>32840.639999999999</v>
      </c>
      <c r="L105" s="205">
        <v>32840.639999999999</v>
      </c>
      <c r="M105" s="205">
        <v>32840.639999999999</v>
      </c>
      <c r="N105" s="205"/>
      <c r="O105" s="152">
        <f>SUM(C105:N105)</f>
        <v>359533.44</v>
      </c>
    </row>
    <row r="106" spans="1:15">
      <c r="A106" s="150">
        <v>2</v>
      </c>
      <c r="B106" s="149" t="str">
        <f t="shared" si="7"/>
        <v>RILYANI</v>
      </c>
      <c r="C106" s="204">
        <v>32563.439999999999</v>
      </c>
      <c r="D106" s="204">
        <v>32563.439999999999</v>
      </c>
      <c r="E106" s="205">
        <v>32563.439999999999</v>
      </c>
      <c r="F106" s="205">
        <v>32563.439999999999</v>
      </c>
      <c r="G106" s="205">
        <v>32563.439999999999</v>
      </c>
      <c r="H106" s="205">
        <v>32563.439999999999</v>
      </c>
      <c r="I106" s="205">
        <v>33311.040000000001</v>
      </c>
      <c r="J106" s="205">
        <v>33311.040000000001</v>
      </c>
      <c r="K106" s="205">
        <v>33311.040000000001</v>
      </c>
      <c r="L106" s="205">
        <v>33311.040000000001</v>
      </c>
      <c r="M106" s="205">
        <v>33311.040000000001</v>
      </c>
      <c r="N106" s="205"/>
      <c r="O106" s="152">
        <f t="shared" ref="O106:O132" si="8">SUM(C106:N106)</f>
        <v>361935.83999999997</v>
      </c>
    </row>
    <row r="107" spans="1:15">
      <c r="A107" s="150">
        <v>3</v>
      </c>
      <c r="B107" s="149" t="str">
        <f t="shared" si="7"/>
        <v>JUNAIDI</v>
      </c>
      <c r="C107" s="204">
        <v>32563.439999999999</v>
      </c>
      <c r="D107" s="204">
        <v>32563.439999999999</v>
      </c>
      <c r="E107" s="205">
        <v>32563.439999999999</v>
      </c>
      <c r="F107" s="205">
        <v>32563.439999999999</v>
      </c>
      <c r="G107" s="205">
        <v>32563.439999999999</v>
      </c>
      <c r="H107" s="205">
        <v>32563.439999999999</v>
      </c>
      <c r="I107" s="205">
        <v>33340.439999999995</v>
      </c>
      <c r="J107" s="205">
        <v>33340.439999999995</v>
      </c>
      <c r="K107" s="205">
        <v>33340.439999999995</v>
      </c>
      <c r="L107" s="205">
        <v>33340.439999999995</v>
      </c>
      <c r="M107" s="205">
        <v>33340.439999999995</v>
      </c>
      <c r="N107" s="205"/>
      <c r="O107" s="152">
        <f t="shared" si="8"/>
        <v>362082.83999999997</v>
      </c>
    </row>
    <row r="108" spans="1:15">
      <c r="A108" s="150">
        <v>4</v>
      </c>
      <c r="B108" s="149" t="str">
        <f t="shared" si="7"/>
        <v>UMIYATI</v>
      </c>
      <c r="C108" s="204">
        <v>32563.439999999999</v>
      </c>
      <c r="D108" s="204">
        <v>32563.439999999999</v>
      </c>
      <c r="E108" s="205">
        <v>32563.439999999999</v>
      </c>
      <c r="F108" s="205">
        <v>32563.439999999999</v>
      </c>
      <c r="G108" s="410"/>
      <c r="H108" s="410"/>
      <c r="I108" s="410"/>
      <c r="J108" s="410"/>
      <c r="K108" s="410"/>
      <c r="L108" s="410"/>
      <c r="M108" s="410"/>
      <c r="N108" s="410"/>
      <c r="O108" s="152">
        <f t="shared" si="8"/>
        <v>130253.75999999999</v>
      </c>
    </row>
    <row r="109" spans="1:15">
      <c r="A109" s="150">
        <v>5</v>
      </c>
      <c r="B109" s="149" t="str">
        <f t="shared" si="7"/>
        <v>ASUNTI</v>
      </c>
      <c r="C109" s="204">
        <v>32563.439999999999</v>
      </c>
      <c r="D109" s="204">
        <v>32563.439999999999</v>
      </c>
      <c r="E109" s="205">
        <v>32563.439999999999</v>
      </c>
      <c r="F109" s="205">
        <v>32563.439999999999</v>
      </c>
      <c r="G109" s="205">
        <v>32563.439999999999</v>
      </c>
      <c r="H109" s="205">
        <v>32563.439999999999</v>
      </c>
      <c r="I109" s="205">
        <v>32958.239999999998</v>
      </c>
      <c r="J109" s="205">
        <v>32987.64</v>
      </c>
      <c r="K109" s="205">
        <v>32987.64</v>
      </c>
      <c r="L109" s="205">
        <v>32987.64</v>
      </c>
      <c r="M109" s="205">
        <v>32987.64</v>
      </c>
      <c r="N109" s="205"/>
      <c r="O109" s="152">
        <f t="shared" si="8"/>
        <v>360289.44</v>
      </c>
    </row>
    <row r="110" spans="1:15">
      <c r="A110" s="150">
        <v>6</v>
      </c>
      <c r="B110" s="149" t="str">
        <f t="shared" si="7"/>
        <v>JONI</v>
      </c>
      <c r="C110" s="204">
        <v>32563.439999999999</v>
      </c>
      <c r="D110" s="204">
        <v>32563.439999999999</v>
      </c>
      <c r="E110" s="205">
        <v>32563.439999999999</v>
      </c>
      <c r="F110" s="205">
        <v>32563.439999999999</v>
      </c>
      <c r="G110" s="205">
        <v>32563.439999999999</v>
      </c>
      <c r="H110" s="205">
        <v>32563.439999999999</v>
      </c>
      <c r="I110" s="205">
        <v>33017.040000000001</v>
      </c>
      <c r="J110" s="205">
        <v>33017.040000000001</v>
      </c>
      <c r="K110" s="205">
        <v>33017.040000000001</v>
      </c>
      <c r="L110" s="205">
        <v>33017.040000000001</v>
      </c>
      <c r="M110" s="205">
        <v>33017.040000000001</v>
      </c>
      <c r="N110" s="205"/>
      <c r="O110" s="152">
        <f t="shared" si="8"/>
        <v>360465.83999999997</v>
      </c>
    </row>
    <row r="111" spans="1:15">
      <c r="A111" s="150">
        <v>7</v>
      </c>
      <c r="B111" s="149" t="str">
        <f t="shared" si="7"/>
        <v>THAHA.S</v>
      </c>
      <c r="C111" s="204">
        <v>32563.439999999999</v>
      </c>
      <c r="D111" s="204">
        <v>32563.439999999999</v>
      </c>
      <c r="E111" s="205">
        <v>32563.439999999999</v>
      </c>
      <c r="F111" s="205">
        <v>32563.439999999999</v>
      </c>
      <c r="G111" s="205">
        <v>32563.439999999999</v>
      </c>
      <c r="H111" s="205">
        <v>32563.439999999999</v>
      </c>
      <c r="I111" s="205">
        <v>33017.040000000001</v>
      </c>
      <c r="J111" s="205">
        <v>33017.040000000001</v>
      </c>
      <c r="K111" s="205">
        <v>33017.040000000001</v>
      </c>
      <c r="L111" s="205">
        <v>33017.040000000001</v>
      </c>
      <c r="M111" s="205">
        <v>33017.040000000001</v>
      </c>
      <c r="N111" s="205"/>
      <c r="O111" s="152">
        <f t="shared" si="8"/>
        <v>360465.83999999997</v>
      </c>
    </row>
    <row r="112" spans="1:15">
      <c r="A112" s="150">
        <v>8</v>
      </c>
      <c r="B112" s="149" t="str">
        <f t="shared" si="7"/>
        <v>ALEX</v>
      </c>
      <c r="C112" s="204">
        <v>32563.439999999999</v>
      </c>
      <c r="D112" s="204">
        <v>32563.439999999999</v>
      </c>
      <c r="E112" s="205">
        <v>32563.439999999999</v>
      </c>
      <c r="F112" s="205">
        <v>32563.439999999999</v>
      </c>
      <c r="G112" s="205">
        <v>32563.439999999999</v>
      </c>
      <c r="H112" s="205">
        <v>32563.439999999999</v>
      </c>
      <c r="I112" s="205">
        <v>32815.439999999995</v>
      </c>
      <c r="J112" s="205">
        <v>32815.439999999995</v>
      </c>
      <c r="K112" s="205">
        <v>32840.639999999999</v>
      </c>
      <c r="L112" s="205">
        <v>32840.639999999999</v>
      </c>
      <c r="M112" s="205">
        <v>32840.639999999999</v>
      </c>
      <c r="N112" s="205"/>
      <c r="O112" s="152">
        <f t="shared" si="8"/>
        <v>359533.44</v>
      </c>
    </row>
    <row r="113" spans="1:15">
      <c r="A113" s="150">
        <v>9</v>
      </c>
      <c r="B113" s="149" t="str">
        <f t="shared" si="7"/>
        <v>SANDY</v>
      </c>
      <c r="C113" s="204">
        <v>32563.439999999999</v>
      </c>
      <c r="D113" s="204">
        <v>32563.439999999999</v>
      </c>
      <c r="E113" s="205">
        <v>32563.439999999999</v>
      </c>
      <c r="F113" s="205">
        <v>32563.439999999999</v>
      </c>
      <c r="G113" s="205">
        <v>32563.439999999999</v>
      </c>
      <c r="H113" s="205">
        <v>32563.439999999999</v>
      </c>
      <c r="I113" s="205">
        <v>32815.439999999995</v>
      </c>
      <c r="J113" s="205">
        <v>32815.439999999995</v>
      </c>
      <c r="K113" s="205">
        <v>32840.639999999999</v>
      </c>
      <c r="L113" s="205">
        <v>32840.639999999999</v>
      </c>
      <c r="M113" s="205">
        <v>32840.639999999999</v>
      </c>
      <c r="N113" s="205"/>
      <c r="O113" s="152">
        <f t="shared" si="8"/>
        <v>359533.44</v>
      </c>
    </row>
    <row r="114" spans="1:15">
      <c r="A114" s="150">
        <v>10</v>
      </c>
      <c r="B114" s="149" t="str">
        <f t="shared" si="7"/>
        <v>ANTON</v>
      </c>
      <c r="C114" s="204">
        <v>32563.439999999999</v>
      </c>
      <c r="D114" s="204">
        <v>32563.439999999999</v>
      </c>
      <c r="E114" s="205">
        <v>32563.439999999999</v>
      </c>
      <c r="F114" s="205">
        <v>32563.439999999999</v>
      </c>
      <c r="G114" s="205">
        <v>32563.439999999999</v>
      </c>
      <c r="H114" s="205">
        <v>32563.439999999999</v>
      </c>
      <c r="I114" s="205">
        <v>33017.040000000001</v>
      </c>
      <c r="J114" s="205">
        <v>33017.040000000001</v>
      </c>
      <c r="K114" s="205">
        <v>33017.040000000001</v>
      </c>
      <c r="L114" s="205">
        <v>33017.040000000001</v>
      </c>
      <c r="M114" s="205">
        <v>33017.040000000001</v>
      </c>
      <c r="N114" s="205"/>
      <c r="O114" s="152">
        <f t="shared" si="8"/>
        <v>360465.83999999997</v>
      </c>
    </row>
    <row r="115" spans="1:15">
      <c r="A115" s="150">
        <v>11</v>
      </c>
      <c r="B115" s="149" t="str">
        <f t="shared" si="7"/>
        <v>EKA NOPIYANTI</v>
      </c>
      <c r="C115" s="204">
        <v>32563.439999999999</v>
      </c>
      <c r="D115" s="204">
        <v>32563.439999999999</v>
      </c>
      <c r="E115" s="205">
        <v>32563.439999999999</v>
      </c>
      <c r="F115" s="205">
        <v>32563.439999999999</v>
      </c>
      <c r="G115" s="205">
        <v>32563.439999999999</v>
      </c>
      <c r="H115" s="205">
        <v>32563.439999999999</v>
      </c>
      <c r="I115" s="205">
        <v>32987.64</v>
      </c>
      <c r="J115" s="205">
        <v>32987.64</v>
      </c>
      <c r="K115" s="205">
        <v>32987.64</v>
      </c>
      <c r="L115" s="205">
        <v>32987.64</v>
      </c>
      <c r="M115" s="205">
        <v>32987.64</v>
      </c>
      <c r="N115" s="205"/>
      <c r="O115" s="152">
        <f t="shared" si="8"/>
        <v>360318.84</v>
      </c>
    </row>
    <row r="116" spans="1:15">
      <c r="A116" s="150">
        <v>12</v>
      </c>
      <c r="B116" s="149" t="str">
        <f t="shared" si="7"/>
        <v>JUMIATI</v>
      </c>
      <c r="C116" s="204">
        <v>32563.439999999999</v>
      </c>
      <c r="D116" s="204">
        <v>32563.439999999999</v>
      </c>
      <c r="E116" s="205">
        <v>32563.439999999999</v>
      </c>
      <c r="F116" s="205">
        <v>32563.439999999999</v>
      </c>
      <c r="G116" s="205">
        <v>32563.439999999999</v>
      </c>
      <c r="H116" s="205">
        <v>32563.439999999999</v>
      </c>
      <c r="I116" s="205">
        <v>33017.040000000001</v>
      </c>
      <c r="J116" s="205">
        <v>33017.040000000001</v>
      </c>
      <c r="K116" s="205">
        <v>33017.040000000001</v>
      </c>
      <c r="L116" s="205">
        <v>33017.040000000001</v>
      </c>
      <c r="M116" s="205">
        <v>33017.040000000001</v>
      </c>
      <c r="N116" s="205"/>
      <c r="O116" s="152">
        <f t="shared" si="8"/>
        <v>360465.83999999997</v>
      </c>
    </row>
    <row r="117" spans="1:15">
      <c r="A117" s="150">
        <v>13</v>
      </c>
      <c r="B117" s="149" t="str">
        <f t="shared" si="7"/>
        <v>SUPARDI</v>
      </c>
      <c r="C117" s="204">
        <v>32563.439999999999</v>
      </c>
      <c r="D117" s="204">
        <v>32563.439999999999</v>
      </c>
      <c r="E117" s="205">
        <v>32563.439999999999</v>
      </c>
      <c r="F117" s="205">
        <v>32563.439999999999</v>
      </c>
      <c r="G117" s="205">
        <v>32563.439999999999</v>
      </c>
      <c r="H117" s="205">
        <v>32563.439999999999</v>
      </c>
      <c r="I117" s="205">
        <v>32840.639999999999</v>
      </c>
      <c r="J117" s="205">
        <v>32840.639999999999</v>
      </c>
      <c r="K117" s="205">
        <v>32840.639999999999</v>
      </c>
      <c r="L117" s="205">
        <v>32840.639999999999</v>
      </c>
      <c r="M117" s="205">
        <v>32840.639999999999</v>
      </c>
      <c r="N117" s="205"/>
      <c r="O117" s="152">
        <f t="shared" si="8"/>
        <v>359583.84</v>
      </c>
    </row>
    <row r="118" spans="1:15">
      <c r="A118" s="150">
        <v>14</v>
      </c>
      <c r="B118" s="149" t="str">
        <f t="shared" si="7"/>
        <v>PARDI</v>
      </c>
      <c r="C118" s="204">
        <v>32563.439999999999</v>
      </c>
      <c r="D118" s="204">
        <v>32563.439999999999</v>
      </c>
      <c r="E118" s="205">
        <v>32563.439999999999</v>
      </c>
      <c r="F118" s="205">
        <v>32563.439999999999</v>
      </c>
      <c r="G118" s="410"/>
      <c r="H118" s="410"/>
      <c r="I118" s="410"/>
      <c r="J118" s="410"/>
      <c r="K118" s="410"/>
      <c r="L118" s="410"/>
      <c r="M118" s="410"/>
      <c r="N118" s="410"/>
      <c r="O118" s="152">
        <f t="shared" si="8"/>
        <v>130253.75999999999</v>
      </c>
    </row>
    <row r="119" spans="1:15">
      <c r="A119" s="150">
        <v>15</v>
      </c>
      <c r="B119" s="149" t="str">
        <f t="shared" si="7"/>
        <v>SUMARDI</v>
      </c>
      <c r="C119" s="204">
        <v>32563.439999999999</v>
      </c>
      <c r="D119" s="204">
        <v>32563.439999999999</v>
      </c>
      <c r="E119" s="205">
        <v>32563.439999999999</v>
      </c>
      <c r="F119" s="205">
        <v>32563.439999999999</v>
      </c>
      <c r="G119" s="205">
        <v>32563.439999999999</v>
      </c>
      <c r="H119" s="205">
        <v>32563.439999999999</v>
      </c>
      <c r="I119" s="205">
        <v>32987.64</v>
      </c>
      <c r="J119" s="205">
        <v>32987.64</v>
      </c>
      <c r="K119" s="205">
        <v>32987.64</v>
      </c>
      <c r="L119" s="205">
        <v>32987.64</v>
      </c>
      <c r="M119" s="205">
        <v>32987.64</v>
      </c>
      <c r="N119" s="205"/>
      <c r="O119" s="152">
        <f t="shared" si="8"/>
        <v>360318.84</v>
      </c>
    </row>
    <row r="120" spans="1:15">
      <c r="A120" s="150">
        <v>16</v>
      </c>
      <c r="B120" s="149" t="str">
        <f t="shared" si="7"/>
        <v>WIDODO JP</v>
      </c>
      <c r="C120" s="204">
        <v>32563.439999999999</v>
      </c>
      <c r="D120" s="204">
        <v>32563.439999999999</v>
      </c>
      <c r="E120" s="205">
        <v>32563.439999999999</v>
      </c>
      <c r="F120" s="205">
        <v>32563.439999999999</v>
      </c>
      <c r="G120" s="205">
        <v>32563.439999999999</v>
      </c>
      <c r="H120" s="205">
        <v>32563.439999999999</v>
      </c>
      <c r="I120" s="205">
        <v>32987.64</v>
      </c>
      <c r="J120" s="205">
        <v>32987.64</v>
      </c>
      <c r="K120" s="205">
        <v>32987.64</v>
      </c>
      <c r="L120" s="205">
        <v>32987.64</v>
      </c>
      <c r="M120" s="205">
        <v>32987.64</v>
      </c>
      <c r="N120" s="205"/>
      <c r="O120" s="152">
        <f t="shared" si="8"/>
        <v>360318.84</v>
      </c>
    </row>
    <row r="121" spans="1:15">
      <c r="A121" s="150">
        <v>17</v>
      </c>
      <c r="B121" s="149" t="str">
        <f t="shared" si="7"/>
        <v>ASBI ALGIFARI</v>
      </c>
      <c r="C121" s="204">
        <v>32563.439999999999</v>
      </c>
      <c r="D121" s="204">
        <v>32563.439999999999</v>
      </c>
      <c r="E121" s="205">
        <v>32563.439999999999</v>
      </c>
      <c r="F121" s="205">
        <v>32563.439999999999</v>
      </c>
      <c r="G121" s="205">
        <v>32563.439999999999</v>
      </c>
      <c r="H121" s="205">
        <v>32563.439999999999</v>
      </c>
      <c r="I121" s="205">
        <v>32739.839999999997</v>
      </c>
      <c r="J121" s="205">
        <v>32739.839999999997</v>
      </c>
      <c r="K121" s="205">
        <v>32739.839999999997</v>
      </c>
      <c r="L121" s="205">
        <v>32739.839999999997</v>
      </c>
      <c r="M121" s="205">
        <v>32739.839999999997</v>
      </c>
      <c r="N121" s="205"/>
      <c r="O121" s="152">
        <f t="shared" si="8"/>
        <v>359079.83999999997</v>
      </c>
    </row>
    <row r="122" spans="1:15">
      <c r="A122" s="150">
        <v>18</v>
      </c>
      <c r="B122" s="149" t="str">
        <f t="shared" si="7"/>
        <v>YANDI</v>
      </c>
      <c r="C122" s="204">
        <v>32563.439999999999</v>
      </c>
      <c r="D122" s="204">
        <v>32563.439999999999</v>
      </c>
      <c r="E122" s="205">
        <v>32563.439999999999</v>
      </c>
      <c r="F122" s="205">
        <v>32563.439999999999</v>
      </c>
      <c r="G122" s="205">
        <v>32563.439999999999</v>
      </c>
      <c r="H122" s="205">
        <v>32563.439999999999</v>
      </c>
      <c r="I122" s="205">
        <v>32840.639999999999</v>
      </c>
      <c r="J122" s="205">
        <v>32840.639999999999</v>
      </c>
      <c r="K122" s="205">
        <v>32840.639999999999</v>
      </c>
      <c r="L122" s="205">
        <v>32840.639999999999</v>
      </c>
      <c r="M122" s="205">
        <v>32840.639999999999</v>
      </c>
      <c r="N122" s="205"/>
      <c r="O122" s="152">
        <f t="shared" si="8"/>
        <v>359583.84</v>
      </c>
    </row>
    <row r="123" spans="1:15">
      <c r="A123" s="150">
        <v>19</v>
      </c>
      <c r="B123" s="149" t="str">
        <f t="shared" si="7"/>
        <v>RIDHO AFRIZAL</v>
      </c>
      <c r="C123" s="204">
        <v>32563.439999999999</v>
      </c>
      <c r="D123" s="204">
        <v>32563.439999999999</v>
      </c>
      <c r="E123" s="205">
        <v>32563.439999999999</v>
      </c>
      <c r="F123" s="205">
        <v>32563.439999999999</v>
      </c>
      <c r="G123" s="205">
        <v>32563.439999999999</v>
      </c>
      <c r="H123" s="205">
        <v>32563.439999999999</v>
      </c>
      <c r="I123" s="205">
        <v>32815.439999999995</v>
      </c>
      <c r="J123" s="205">
        <v>32815.439999999995</v>
      </c>
      <c r="K123" s="205">
        <v>32840.639999999999</v>
      </c>
      <c r="L123" s="205">
        <v>32840.639999999999</v>
      </c>
      <c r="M123" s="205">
        <v>32840.639999999999</v>
      </c>
      <c r="N123" s="205"/>
      <c r="O123" s="152">
        <f t="shared" si="8"/>
        <v>359533.44</v>
      </c>
    </row>
    <row r="124" spans="1:15">
      <c r="A124" s="150">
        <v>20</v>
      </c>
      <c r="B124" s="149" t="str">
        <f t="shared" si="7"/>
        <v>APRIZAL</v>
      </c>
      <c r="C124" s="204">
        <v>32563.439999999999</v>
      </c>
      <c r="D124" s="204">
        <v>32563.439999999999</v>
      </c>
      <c r="E124" s="205">
        <v>32563.439999999999</v>
      </c>
      <c r="F124" s="205">
        <v>32563.439999999999</v>
      </c>
      <c r="G124" s="205">
        <v>32563.439999999999</v>
      </c>
      <c r="H124" s="205">
        <v>32563.439999999999</v>
      </c>
      <c r="I124" s="205">
        <v>32815.439999999995</v>
      </c>
      <c r="J124" s="205">
        <v>32815.439999999995</v>
      </c>
      <c r="K124" s="205">
        <v>32840.639999999999</v>
      </c>
      <c r="L124" s="205">
        <v>32840.639999999999</v>
      </c>
      <c r="M124" s="205">
        <v>32840.639999999999</v>
      </c>
      <c r="N124" s="205"/>
      <c r="O124" s="152">
        <f t="shared" si="8"/>
        <v>359533.44</v>
      </c>
    </row>
    <row r="125" spans="1:15">
      <c r="A125" s="150">
        <v>21</v>
      </c>
      <c r="B125" s="149" t="str">
        <f t="shared" si="7"/>
        <v>ERRY SAPUTRA</v>
      </c>
      <c r="C125" s="204">
        <v>32563.439999999999</v>
      </c>
      <c r="D125" s="204">
        <v>32563.439999999999</v>
      </c>
      <c r="E125" s="205">
        <v>32563.439999999999</v>
      </c>
      <c r="F125" s="205">
        <v>32563.439999999999</v>
      </c>
      <c r="G125" s="205">
        <v>32563.439999999999</v>
      </c>
      <c r="H125" s="205">
        <v>32563.439999999999</v>
      </c>
      <c r="I125" s="205">
        <v>32987.64</v>
      </c>
      <c r="J125" s="205">
        <v>32987.64</v>
      </c>
      <c r="K125" s="205">
        <v>32987.64</v>
      </c>
      <c r="L125" s="205">
        <v>32987.64</v>
      </c>
      <c r="M125" s="205">
        <v>32987.64</v>
      </c>
      <c r="N125" s="205"/>
      <c r="O125" s="152">
        <f t="shared" si="8"/>
        <v>360318.84</v>
      </c>
    </row>
    <row r="126" spans="1:15">
      <c r="A126" s="150">
        <v>22</v>
      </c>
      <c r="B126" s="149" t="str">
        <f t="shared" si="7"/>
        <v>ARWANDI</v>
      </c>
      <c r="C126" s="204">
        <v>32563.439999999999</v>
      </c>
      <c r="D126" s="204">
        <v>32563.439999999999</v>
      </c>
      <c r="E126" s="205">
        <v>32563.439999999999</v>
      </c>
      <c r="F126" s="205">
        <v>32563.439999999999</v>
      </c>
      <c r="G126" s="205">
        <v>32563.439999999999</v>
      </c>
      <c r="H126" s="205">
        <v>32563.439999999999</v>
      </c>
      <c r="I126" s="205">
        <v>33340.439999999995</v>
      </c>
      <c r="J126" s="205">
        <v>33340.439999999995</v>
      </c>
      <c r="K126" s="205">
        <v>33340.439999999995</v>
      </c>
      <c r="L126" s="205">
        <v>33340.439999999995</v>
      </c>
      <c r="M126" s="205">
        <v>33340.439999999995</v>
      </c>
      <c r="N126" s="205"/>
      <c r="O126" s="152">
        <f t="shared" si="8"/>
        <v>362082.83999999997</v>
      </c>
    </row>
    <row r="127" spans="1:15">
      <c r="A127" s="150">
        <v>23</v>
      </c>
      <c r="B127" s="149" t="str">
        <f t="shared" si="7"/>
        <v>RENDI PERJAYA</v>
      </c>
      <c r="C127" s="204">
        <v>32563.439999999999</v>
      </c>
      <c r="D127" s="204">
        <v>32563.439999999999</v>
      </c>
      <c r="E127" s="205">
        <v>32563.439999999999</v>
      </c>
      <c r="F127" s="205">
        <v>32563.439999999999</v>
      </c>
      <c r="G127" s="205">
        <v>32563.439999999999</v>
      </c>
      <c r="H127" s="205">
        <v>32563.439999999999</v>
      </c>
      <c r="I127" s="205">
        <v>32815.439999999995</v>
      </c>
      <c r="J127" s="205">
        <v>32815.439999999995</v>
      </c>
      <c r="K127" s="205">
        <v>32840.639999999999</v>
      </c>
      <c r="L127" s="205">
        <v>32840.639999999999</v>
      </c>
      <c r="M127" s="205">
        <v>32840.639999999999</v>
      </c>
      <c r="N127" s="205"/>
      <c r="O127" s="152">
        <f t="shared" si="8"/>
        <v>359533.44</v>
      </c>
    </row>
    <row r="128" spans="1:15">
      <c r="A128" s="150">
        <v>24</v>
      </c>
      <c r="B128" s="149" t="str">
        <f t="shared" si="7"/>
        <v>ANDI</v>
      </c>
      <c r="C128" s="204">
        <v>32563.439999999999</v>
      </c>
      <c r="D128" s="204">
        <v>32563.439999999999</v>
      </c>
      <c r="E128" s="205">
        <v>32563.439999999999</v>
      </c>
      <c r="F128" s="205">
        <v>32563.439999999999</v>
      </c>
      <c r="G128" s="205">
        <v>32563.439999999999</v>
      </c>
      <c r="H128" s="205">
        <v>32563.439999999999</v>
      </c>
      <c r="I128" s="205">
        <v>33311.040000000001</v>
      </c>
      <c r="J128" s="205">
        <v>33311.040000000001</v>
      </c>
      <c r="K128" s="205">
        <v>33311.040000000001</v>
      </c>
      <c r="L128" s="205">
        <v>33311.040000000001</v>
      </c>
      <c r="M128" s="205">
        <v>33311.040000000001</v>
      </c>
      <c r="N128" s="205"/>
      <c r="O128" s="152">
        <f t="shared" si="8"/>
        <v>361935.83999999997</v>
      </c>
    </row>
    <row r="129" spans="1:15">
      <c r="A129" s="150">
        <v>25</v>
      </c>
      <c r="B129" s="149" t="str">
        <f t="shared" si="7"/>
        <v>JULI</v>
      </c>
      <c r="C129" s="204">
        <v>32563.439999999999</v>
      </c>
      <c r="D129" s="204">
        <v>32563.439999999999</v>
      </c>
      <c r="E129" s="205">
        <v>32563.439999999999</v>
      </c>
      <c r="F129" s="205">
        <v>32563.439999999999</v>
      </c>
      <c r="G129" s="205">
        <v>32563.439999999999</v>
      </c>
      <c r="H129" s="205">
        <v>32563.439999999999</v>
      </c>
      <c r="I129" s="205">
        <v>33340.439999999995</v>
      </c>
      <c r="J129" s="205">
        <v>33340.439999999995</v>
      </c>
      <c r="K129" s="205">
        <v>33340.439999999995</v>
      </c>
      <c r="L129" s="205">
        <v>33340.439999999995</v>
      </c>
      <c r="M129" s="205">
        <v>33340.439999999995</v>
      </c>
      <c r="N129" s="205"/>
      <c r="O129" s="152">
        <f t="shared" si="8"/>
        <v>362082.83999999997</v>
      </c>
    </row>
    <row r="130" spans="1:15">
      <c r="A130" s="150">
        <v>26</v>
      </c>
      <c r="B130" s="149" t="str">
        <f t="shared" si="7"/>
        <v>DICKY PRATAMA</v>
      </c>
      <c r="C130" s="204">
        <v>32563.439999999999</v>
      </c>
      <c r="D130" s="204">
        <v>32563.439999999999</v>
      </c>
      <c r="E130" s="205">
        <v>32563.439999999999</v>
      </c>
      <c r="F130" s="205">
        <v>32563.439999999999</v>
      </c>
      <c r="G130" s="205">
        <v>32563.439999999999</v>
      </c>
      <c r="H130" s="205">
        <v>32563.439999999999</v>
      </c>
      <c r="I130" s="205">
        <v>32605.439999999999</v>
      </c>
      <c r="J130" s="205">
        <v>32605.439999999999</v>
      </c>
      <c r="K130" s="205">
        <v>32605.439999999999</v>
      </c>
      <c r="L130" s="205">
        <v>32605.439999999999</v>
      </c>
      <c r="M130" s="205">
        <v>32605.439999999999</v>
      </c>
      <c r="N130" s="205"/>
      <c r="O130" s="152">
        <f t="shared" si="8"/>
        <v>358407.83999999997</v>
      </c>
    </row>
    <row r="131" spans="1:15">
      <c r="A131" s="150">
        <v>27</v>
      </c>
      <c r="B131" s="149" t="str">
        <f t="shared" si="7"/>
        <v>SUIP</v>
      </c>
      <c r="C131" s="204">
        <v>32563.439999999999</v>
      </c>
      <c r="D131" s="204">
        <v>32563.439999999999</v>
      </c>
      <c r="E131" s="205">
        <v>32563.439999999999</v>
      </c>
      <c r="F131" s="205">
        <v>32563.439999999999</v>
      </c>
      <c r="G131" s="205">
        <v>32563.439999999999</v>
      </c>
      <c r="H131" s="205">
        <v>32563.439999999999</v>
      </c>
      <c r="I131" s="205">
        <v>32739.839999999997</v>
      </c>
      <c r="J131" s="205">
        <v>32739.839999999997</v>
      </c>
      <c r="K131" s="205">
        <v>32739.839999999997</v>
      </c>
      <c r="L131" s="205">
        <v>32739.839999999997</v>
      </c>
      <c r="M131" s="205">
        <v>32765.039999999997</v>
      </c>
      <c r="N131" s="205"/>
      <c r="O131" s="152">
        <f t="shared" si="8"/>
        <v>359105.04</v>
      </c>
    </row>
    <row r="132" spans="1:15">
      <c r="A132" s="150">
        <v>28</v>
      </c>
      <c r="B132" s="149" t="str">
        <f t="shared" si="7"/>
        <v>ROBIN DINATA</v>
      </c>
      <c r="C132" s="204">
        <v>32563.439999999999</v>
      </c>
      <c r="D132" s="204">
        <v>32563.439999999999</v>
      </c>
      <c r="E132" s="205">
        <v>32563.439999999999</v>
      </c>
      <c r="F132" s="205">
        <v>32563.439999999999</v>
      </c>
      <c r="G132" s="205">
        <v>32563.439999999999</v>
      </c>
      <c r="H132" s="205">
        <v>32563.439999999999</v>
      </c>
      <c r="I132" s="205">
        <v>32739.839999999997</v>
      </c>
      <c r="J132" s="205">
        <v>32739.839999999997</v>
      </c>
      <c r="K132" s="205">
        <v>32739.839999999997</v>
      </c>
      <c r="L132" s="205">
        <v>32739.839999999997</v>
      </c>
      <c r="M132" s="205">
        <v>32765.039999999997</v>
      </c>
      <c r="N132" s="205"/>
      <c r="O132" s="152">
        <f t="shared" si="8"/>
        <v>359105.04</v>
      </c>
    </row>
    <row r="133" spans="1:15">
      <c r="A133" s="150">
        <v>29</v>
      </c>
      <c r="B133" s="149" t="str">
        <f t="shared" si="7"/>
        <v>SAPARUDIN</v>
      </c>
      <c r="C133" s="204">
        <v>32563.439999999999</v>
      </c>
      <c r="D133" s="204">
        <v>32563.439999999999</v>
      </c>
      <c r="E133" s="205">
        <v>32563.439999999999</v>
      </c>
      <c r="F133" s="205">
        <v>32563.439999999999</v>
      </c>
      <c r="G133" s="205">
        <v>32563.439999999999</v>
      </c>
      <c r="H133" s="205">
        <v>32563.439999999999</v>
      </c>
      <c r="I133" s="205">
        <v>32739.839999999997</v>
      </c>
      <c r="J133" s="205">
        <v>32739.839999999997</v>
      </c>
      <c r="K133" s="205">
        <v>32739.839999999997</v>
      </c>
      <c r="L133" s="205">
        <v>32739.839999999997</v>
      </c>
      <c r="M133" s="205">
        <v>32739.839999999997</v>
      </c>
      <c r="N133" s="205"/>
      <c r="O133" s="152">
        <f t="shared" ref="O133:O174" si="9">SUM(C133:N133)</f>
        <v>359079.83999999997</v>
      </c>
    </row>
    <row r="134" spans="1:15">
      <c r="A134" s="150">
        <v>30</v>
      </c>
      <c r="B134" s="149" t="str">
        <f t="shared" si="7"/>
        <v>SULTAN</v>
      </c>
      <c r="C134" s="204">
        <v>32563.439999999999</v>
      </c>
      <c r="D134" s="204">
        <v>32563.439999999999</v>
      </c>
      <c r="E134" s="205">
        <v>32563.439999999999</v>
      </c>
      <c r="F134" s="205">
        <v>32563.439999999999</v>
      </c>
      <c r="G134" s="205">
        <v>32563.439999999999</v>
      </c>
      <c r="H134" s="205">
        <v>32563.439999999999</v>
      </c>
      <c r="I134" s="205">
        <v>32714.639999999999</v>
      </c>
      <c r="J134" s="205">
        <v>32739.839999999997</v>
      </c>
      <c r="K134" s="205">
        <v>32739.839999999997</v>
      </c>
      <c r="L134" s="205">
        <v>32739.839999999997</v>
      </c>
      <c r="M134" s="205">
        <v>32739.839999999997</v>
      </c>
      <c r="N134" s="205"/>
      <c r="O134" s="152">
        <f t="shared" si="9"/>
        <v>359054.6399999999</v>
      </c>
    </row>
    <row r="135" spans="1:15">
      <c r="A135" s="150">
        <v>31</v>
      </c>
      <c r="B135" s="149" t="str">
        <f t="shared" si="7"/>
        <v>MANSUR</v>
      </c>
      <c r="C135" s="204">
        <v>32563.439999999999</v>
      </c>
      <c r="D135" s="204">
        <v>32563.439999999999</v>
      </c>
      <c r="E135" s="205">
        <v>32563.439999999999</v>
      </c>
      <c r="F135" s="205">
        <v>32563.439999999999</v>
      </c>
      <c r="G135" s="205">
        <v>32563.439999999999</v>
      </c>
      <c r="H135" s="205">
        <v>32563.439999999999</v>
      </c>
      <c r="I135" s="205">
        <v>32668.44</v>
      </c>
      <c r="J135" s="205">
        <v>32668.44</v>
      </c>
      <c r="K135" s="205">
        <v>32668.44</v>
      </c>
      <c r="L135" s="205">
        <v>32668.44</v>
      </c>
      <c r="M135" s="205">
        <v>32668.44</v>
      </c>
      <c r="N135" s="205"/>
      <c r="O135" s="152">
        <f t="shared" si="9"/>
        <v>358722.83999999997</v>
      </c>
    </row>
    <row r="136" spans="1:15">
      <c r="A136" s="150">
        <v>32</v>
      </c>
      <c r="B136" s="149" t="str">
        <f t="shared" si="7"/>
        <v>RIDUAN</v>
      </c>
      <c r="C136" s="204">
        <v>32563.439999999999</v>
      </c>
      <c r="D136" s="204">
        <v>32563.439999999999</v>
      </c>
      <c r="E136" s="205">
        <v>32563.439999999999</v>
      </c>
      <c r="F136" s="205">
        <v>32563.439999999999</v>
      </c>
      <c r="G136" s="205">
        <v>32563.439999999999</v>
      </c>
      <c r="H136" s="205">
        <v>32563.439999999999</v>
      </c>
      <c r="I136" s="205">
        <v>32647.439999999999</v>
      </c>
      <c r="J136" s="205">
        <v>32668.44</v>
      </c>
      <c r="K136" s="205">
        <v>32668.44</v>
      </c>
      <c r="L136" s="205">
        <v>32668.44</v>
      </c>
      <c r="M136" s="205">
        <v>32668.44</v>
      </c>
      <c r="N136" s="205"/>
      <c r="O136" s="152">
        <f t="shared" si="9"/>
        <v>358701.83999999997</v>
      </c>
    </row>
    <row r="137" spans="1:15">
      <c r="A137" s="150">
        <v>33</v>
      </c>
      <c r="B137" s="149" t="str">
        <f t="shared" ref="B137:B168" si="10">+B42</f>
        <v>SONJA PRIYOGA</v>
      </c>
      <c r="C137" s="204">
        <v>32563.439999999999</v>
      </c>
      <c r="D137" s="204">
        <v>32563.439999999999</v>
      </c>
      <c r="E137" s="205">
        <v>32563.439999999999</v>
      </c>
      <c r="F137" s="205">
        <v>32563.439999999999</v>
      </c>
      <c r="G137" s="205">
        <v>32563.439999999999</v>
      </c>
      <c r="H137" s="205">
        <v>32563.439999999999</v>
      </c>
      <c r="I137" s="205">
        <v>32647.439999999999</v>
      </c>
      <c r="J137" s="205">
        <v>32647.439999999999</v>
      </c>
      <c r="K137" s="205">
        <v>32647.439999999999</v>
      </c>
      <c r="L137" s="205">
        <v>32647.439999999999</v>
      </c>
      <c r="M137" s="205">
        <v>32647.439999999999</v>
      </c>
      <c r="N137" s="205"/>
      <c r="O137" s="152">
        <f t="shared" si="9"/>
        <v>358617.83999999997</v>
      </c>
    </row>
    <row r="138" spans="1:15">
      <c r="A138" s="150">
        <v>34</v>
      </c>
      <c r="B138" s="149" t="str">
        <f t="shared" si="10"/>
        <v>M.FAUZI</v>
      </c>
      <c r="C138" s="204">
        <v>32563.439999999999</v>
      </c>
      <c r="D138" s="204">
        <v>32563.439999999999</v>
      </c>
      <c r="E138" s="205">
        <v>32563.439999999999</v>
      </c>
      <c r="F138" s="410"/>
      <c r="G138" s="410"/>
      <c r="H138" s="410"/>
      <c r="I138" s="410"/>
      <c r="J138" s="410"/>
      <c r="K138" s="410"/>
      <c r="L138" s="410"/>
      <c r="M138" s="410"/>
      <c r="N138" s="410"/>
      <c r="O138" s="152">
        <f t="shared" si="9"/>
        <v>97690.319999999992</v>
      </c>
    </row>
    <row r="139" spans="1:15">
      <c r="A139" s="150">
        <v>35</v>
      </c>
      <c r="B139" s="149" t="str">
        <f t="shared" si="10"/>
        <v>DANI</v>
      </c>
      <c r="C139" s="204">
        <v>32563.439999999999</v>
      </c>
      <c r="D139" s="204">
        <v>32563.439999999999</v>
      </c>
      <c r="E139" s="205">
        <v>32563.439999999999</v>
      </c>
      <c r="F139" s="410"/>
      <c r="G139" s="410"/>
      <c r="H139" s="410"/>
      <c r="I139" s="410"/>
      <c r="J139" s="410"/>
      <c r="K139" s="410"/>
      <c r="L139" s="410"/>
      <c r="M139" s="410"/>
      <c r="N139" s="410"/>
      <c r="O139" s="152">
        <f t="shared" si="9"/>
        <v>97690.319999999992</v>
      </c>
    </row>
    <row r="140" spans="1:15">
      <c r="A140" s="150">
        <v>36</v>
      </c>
      <c r="B140" s="149" t="str">
        <f t="shared" si="10"/>
        <v>AHAP</v>
      </c>
      <c r="C140" s="204">
        <v>32563.439999999999</v>
      </c>
      <c r="D140" s="204">
        <v>32563.439999999999</v>
      </c>
      <c r="E140" s="205">
        <v>32563.439999999999</v>
      </c>
      <c r="F140" s="205">
        <v>32563.439999999999</v>
      </c>
      <c r="G140" s="205">
        <v>32563.439999999999</v>
      </c>
      <c r="H140" s="205">
        <v>32563.439999999999</v>
      </c>
      <c r="I140" s="205">
        <v>32605.439999999999</v>
      </c>
      <c r="J140" s="205">
        <v>32605.439999999999</v>
      </c>
      <c r="K140" s="205">
        <v>32605.439999999999</v>
      </c>
      <c r="L140" s="205">
        <v>32605.439999999999</v>
      </c>
      <c r="M140" s="205">
        <v>32605.439999999999</v>
      </c>
      <c r="N140" s="205"/>
      <c r="O140" s="152">
        <f t="shared" si="9"/>
        <v>358407.83999999997</v>
      </c>
    </row>
    <row r="141" spans="1:15">
      <c r="A141" s="150">
        <v>37</v>
      </c>
      <c r="B141" s="149" t="str">
        <f t="shared" si="10"/>
        <v>IHSAN</v>
      </c>
      <c r="C141" s="204">
        <v>32563.439999999999</v>
      </c>
      <c r="D141" s="204">
        <v>32563.439999999999</v>
      </c>
      <c r="E141" s="205">
        <v>32563.439999999999</v>
      </c>
      <c r="F141" s="205">
        <v>32563.439999999999</v>
      </c>
      <c r="G141" s="205">
        <v>32563.439999999999</v>
      </c>
      <c r="H141" s="205">
        <v>32563.439999999999</v>
      </c>
      <c r="I141" s="205">
        <v>32584.44</v>
      </c>
      <c r="J141" s="205">
        <v>32584.44</v>
      </c>
      <c r="K141" s="205">
        <v>32584.44</v>
      </c>
      <c r="L141" s="205">
        <v>32584.44</v>
      </c>
      <c r="M141" s="205">
        <v>32584.44</v>
      </c>
      <c r="N141" s="205"/>
      <c r="O141" s="152">
        <f t="shared" si="9"/>
        <v>358302.83999999997</v>
      </c>
    </row>
    <row r="142" spans="1:15">
      <c r="A142" s="150">
        <v>38</v>
      </c>
      <c r="B142" s="149" t="str">
        <f t="shared" si="10"/>
        <v>BAGUSTIN</v>
      </c>
      <c r="C142" s="160">
        <v>32563.439999999999</v>
      </c>
      <c r="D142" s="160">
        <v>32563.439999999999</v>
      </c>
      <c r="E142" s="205">
        <v>32563.439999999999</v>
      </c>
      <c r="F142" s="410"/>
      <c r="G142" s="410"/>
      <c r="H142" s="410"/>
      <c r="I142" s="410"/>
      <c r="J142" s="410"/>
      <c r="K142" s="410"/>
      <c r="L142" s="410"/>
      <c r="M142" s="410"/>
      <c r="N142" s="410"/>
      <c r="O142" s="152">
        <f t="shared" si="9"/>
        <v>97690.319999999992</v>
      </c>
    </row>
    <row r="143" spans="1:15">
      <c r="A143" s="150">
        <v>39</v>
      </c>
      <c r="B143" s="149" t="str">
        <f t="shared" si="10"/>
        <v>HELDI SAPUTRA</v>
      </c>
      <c r="C143" s="160">
        <v>32563.439999999999</v>
      </c>
      <c r="D143" s="160">
        <v>32563.439999999999</v>
      </c>
      <c r="E143" s="207">
        <v>32563.439999999999</v>
      </c>
      <c r="F143" s="410"/>
      <c r="G143" s="410"/>
      <c r="H143" s="410"/>
      <c r="I143" s="410"/>
      <c r="J143" s="410"/>
      <c r="K143" s="410"/>
      <c r="L143" s="410"/>
      <c r="M143" s="410"/>
      <c r="N143" s="410"/>
      <c r="O143" s="152">
        <f t="shared" si="9"/>
        <v>97690.319999999992</v>
      </c>
    </row>
    <row r="144" spans="1:15">
      <c r="A144" s="150">
        <v>40</v>
      </c>
      <c r="B144" s="149" t="str">
        <f t="shared" si="10"/>
        <v>HARTONO</v>
      </c>
      <c r="C144" s="204">
        <v>32563.439999999999</v>
      </c>
      <c r="D144" s="204">
        <v>32563.439999999999</v>
      </c>
      <c r="E144" s="207">
        <v>32563.439999999999</v>
      </c>
      <c r="F144" s="410"/>
      <c r="G144" s="410"/>
      <c r="H144" s="410"/>
      <c r="I144" s="410"/>
      <c r="J144" s="410"/>
      <c r="K144" s="410"/>
      <c r="L144" s="410"/>
      <c r="M144" s="410"/>
      <c r="N144" s="410"/>
      <c r="O144" s="152">
        <f t="shared" si="9"/>
        <v>97690.319999999992</v>
      </c>
    </row>
    <row r="145" spans="1:15">
      <c r="A145" s="150">
        <v>41</v>
      </c>
      <c r="B145" s="149" t="str">
        <f t="shared" si="10"/>
        <v>QISTAHAM</v>
      </c>
      <c r="C145" s="204">
        <v>32563.439999999999</v>
      </c>
      <c r="D145" s="204">
        <v>32563.439999999999</v>
      </c>
      <c r="E145" s="205">
        <v>32563.439999999999</v>
      </c>
      <c r="F145" s="205">
        <v>32563.439999999999</v>
      </c>
      <c r="G145" s="205">
        <v>32563.439999999999</v>
      </c>
      <c r="H145" s="205">
        <v>32563.439999999999</v>
      </c>
      <c r="I145" s="205">
        <v>32584.44</v>
      </c>
      <c r="J145" s="205">
        <v>32584.44</v>
      </c>
      <c r="K145" s="205">
        <v>32584.44</v>
      </c>
      <c r="L145" s="205">
        <v>32584.44</v>
      </c>
      <c r="M145" s="205">
        <v>32584.44</v>
      </c>
      <c r="N145" s="205"/>
      <c r="O145" s="152">
        <f t="shared" si="9"/>
        <v>358302.83999999997</v>
      </c>
    </row>
    <row r="146" spans="1:15">
      <c r="A146" s="150">
        <v>42</v>
      </c>
      <c r="B146" s="149" t="str">
        <f t="shared" si="10"/>
        <v>JAYADI</v>
      </c>
      <c r="C146" s="204">
        <v>32563.439999999999</v>
      </c>
      <c r="D146" s="204">
        <v>32563.439999999999</v>
      </c>
      <c r="E146" s="204">
        <v>32563.439999999999</v>
      </c>
      <c r="F146" s="205">
        <v>32563.439999999999</v>
      </c>
      <c r="G146" s="205">
        <v>32563.439999999999</v>
      </c>
      <c r="H146" s="205">
        <v>32563.439999999999</v>
      </c>
      <c r="I146" s="205">
        <v>32584.44</v>
      </c>
      <c r="J146" s="205">
        <v>32584.44</v>
      </c>
      <c r="K146" s="205">
        <v>32584.44</v>
      </c>
      <c r="L146" s="205">
        <v>32584.44</v>
      </c>
      <c r="M146" s="205">
        <v>32584.44</v>
      </c>
      <c r="N146" s="205"/>
      <c r="O146" s="152">
        <f t="shared" si="9"/>
        <v>358302.83999999997</v>
      </c>
    </row>
    <row r="147" spans="1:15">
      <c r="A147" s="150">
        <v>43</v>
      </c>
      <c r="B147" s="149" t="str">
        <f t="shared" si="10"/>
        <v>MUHAMAD AMIN</v>
      </c>
      <c r="C147" s="204">
        <v>32563.439999999999</v>
      </c>
      <c r="D147" s="204">
        <v>32563.439999999999</v>
      </c>
      <c r="E147" s="205">
        <v>32563.439999999999</v>
      </c>
      <c r="F147" s="205">
        <v>32563.439999999999</v>
      </c>
      <c r="G147" s="205">
        <v>32563.439999999999</v>
      </c>
      <c r="H147" s="205">
        <v>32563.439999999999</v>
      </c>
      <c r="I147" s="205">
        <v>32584.44</v>
      </c>
      <c r="J147" s="205">
        <v>32584.44</v>
      </c>
      <c r="K147" s="205">
        <v>32584.44</v>
      </c>
      <c r="L147" s="205">
        <v>32584.44</v>
      </c>
      <c r="M147" s="205">
        <v>32584.44</v>
      </c>
      <c r="N147" s="205"/>
      <c r="O147" s="152">
        <f t="shared" si="9"/>
        <v>358302.83999999997</v>
      </c>
    </row>
    <row r="148" spans="1:15">
      <c r="A148" s="150">
        <v>44</v>
      </c>
      <c r="B148" s="149" t="str">
        <f t="shared" si="10"/>
        <v>SAMSUL HADI</v>
      </c>
      <c r="C148" s="204">
        <v>32563.439999999999</v>
      </c>
      <c r="D148" s="204">
        <v>32563.439999999999</v>
      </c>
      <c r="E148" s="205">
        <v>32563.439999999999</v>
      </c>
      <c r="F148" s="205">
        <v>32563.439999999999</v>
      </c>
      <c r="G148" s="205">
        <v>32563.439999999999</v>
      </c>
      <c r="H148" s="205">
        <v>32563.439999999999</v>
      </c>
      <c r="I148" s="205">
        <v>32563.439999999999</v>
      </c>
      <c r="J148" s="205">
        <v>32563.439999999999</v>
      </c>
      <c r="K148" s="205">
        <v>32563.439999999999</v>
      </c>
      <c r="L148" s="205">
        <v>32563.439999999999</v>
      </c>
      <c r="M148" s="205">
        <v>32584.44</v>
      </c>
      <c r="N148" s="205"/>
      <c r="O148" s="152">
        <f t="shared" si="9"/>
        <v>358218.83999999997</v>
      </c>
    </row>
    <row r="149" spans="1:15">
      <c r="A149" s="150">
        <v>45</v>
      </c>
      <c r="B149" s="149" t="str">
        <f t="shared" si="10"/>
        <v>SAPARUDIN</v>
      </c>
      <c r="C149" s="205">
        <v>32563.439999999999</v>
      </c>
      <c r="D149" s="205">
        <v>32563.439999999999</v>
      </c>
      <c r="E149" s="205">
        <v>32563.439999999999</v>
      </c>
      <c r="F149" s="205">
        <v>32563.439999999999</v>
      </c>
      <c r="G149" s="205">
        <v>32563.439999999999</v>
      </c>
      <c r="H149" s="205">
        <v>32563.439999999999</v>
      </c>
      <c r="I149" s="205">
        <v>32563.439999999999</v>
      </c>
      <c r="J149" s="205">
        <v>32563.439999999999</v>
      </c>
      <c r="K149" s="205">
        <v>32563.439999999999</v>
      </c>
      <c r="L149" s="205">
        <v>32563.439999999999</v>
      </c>
      <c r="M149" s="205">
        <v>32584.44</v>
      </c>
      <c r="N149" s="205"/>
      <c r="O149" s="152">
        <f t="shared" si="9"/>
        <v>358218.83999999997</v>
      </c>
    </row>
    <row r="150" spans="1:15">
      <c r="A150" s="150">
        <v>46</v>
      </c>
      <c r="B150" s="149" t="str">
        <f t="shared" si="10"/>
        <v>MUHAMAD FAUZI</v>
      </c>
      <c r="C150" s="205">
        <v>32563.439999999999</v>
      </c>
      <c r="D150" s="205">
        <v>32563.439999999999</v>
      </c>
      <c r="E150" s="205">
        <v>32563.439999999999</v>
      </c>
      <c r="F150" s="410"/>
      <c r="G150" s="410"/>
      <c r="H150" s="410"/>
      <c r="I150" s="410"/>
      <c r="J150" s="410"/>
      <c r="K150" s="410"/>
      <c r="L150" s="410"/>
      <c r="M150" s="410"/>
      <c r="N150" s="410"/>
      <c r="O150" s="152">
        <f t="shared" si="9"/>
        <v>97690.319999999992</v>
      </c>
    </row>
    <row r="151" spans="1:15">
      <c r="A151" s="150">
        <v>47</v>
      </c>
      <c r="B151" s="149" t="str">
        <f t="shared" si="10"/>
        <v>MAHYUDIN</v>
      </c>
      <c r="C151" s="205">
        <v>32563.439999999999</v>
      </c>
      <c r="D151" s="205">
        <v>32563.439999999999</v>
      </c>
      <c r="E151" s="205">
        <v>32563.439999999999</v>
      </c>
      <c r="F151" s="410"/>
      <c r="G151" s="410"/>
      <c r="H151" s="410"/>
      <c r="I151" s="410"/>
      <c r="J151" s="410"/>
      <c r="K151" s="410"/>
      <c r="L151" s="410"/>
      <c r="M151" s="410"/>
      <c r="N151" s="410"/>
      <c r="O151" s="152">
        <f t="shared" si="9"/>
        <v>97690.319999999992</v>
      </c>
    </row>
    <row r="152" spans="1:15">
      <c r="A152" s="150">
        <v>48</v>
      </c>
      <c r="B152" s="149" t="str">
        <f t="shared" si="10"/>
        <v>ASRI</v>
      </c>
      <c r="C152" s="205">
        <v>32563.439999999999</v>
      </c>
      <c r="D152" s="205">
        <v>32563.439999999999</v>
      </c>
      <c r="E152" s="205">
        <v>32563.439999999999</v>
      </c>
      <c r="F152" s="205">
        <v>32563.439999999999</v>
      </c>
      <c r="G152" s="205">
        <v>32563.439999999999</v>
      </c>
      <c r="H152" s="205">
        <v>32563.439999999999</v>
      </c>
      <c r="I152" s="204">
        <v>32563.439999999999</v>
      </c>
      <c r="J152" s="204">
        <v>32563.439999999999</v>
      </c>
      <c r="K152" s="204">
        <v>32563.439999999999</v>
      </c>
      <c r="L152" s="412"/>
      <c r="M152" s="410"/>
      <c r="N152" s="410"/>
      <c r="O152" s="152">
        <f t="shared" si="9"/>
        <v>293070.95999999996</v>
      </c>
    </row>
    <row r="153" spans="1:15">
      <c r="A153" s="150">
        <v>49</v>
      </c>
      <c r="B153" s="149" t="str">
        <f t="shared" si="10"/>
        <v>RUSDIANTO</v>
      </c>
      <c r="C153" s="205">
        <v>32563.439999999999</v>
      </c>
      <c r="D153" s="410"/>
      <c r="E153" s="410"/>
      <c r="F153" s="410"/>
      <c r="G153" s="410"/>
      <c r="H153" s="410"/>
      <c r="I153" s="411"/>
      <c r="J153" s="405"/>
      <c r="K153" s="406"/>
      <c r="L153" s="412"/>
      <c r="M153" s="410"/>
      <c r="N153" s="410"/>
      <c r="O153" s="152">
        <f t="shared" si="9"/>
        <v>32563.439999999999</v>
      </c>
    </row>
    <row r="154" spans="1:15">
      <c r="A154" s="150">
        <v>50</v>
      </c>
      <c r="B154" s="149" t="str">
        <f t="shared" si="10"/>
        <v>LALU MUHAMAD HADI</v>
      </c>
      <c r="C154" s="204">
        <v>32563.439999999999</v>
      </c>
      <c r="D154" s="412"/>
      <c r="E154" s="412"/>
      <c r="F154" s="410"/>
      <c r="G154" s="410"/>
      <c r="H154" s="410"/>
      <c r="I154" s="410"/>
      <c r="J154" s="410"/>
      <c r="K154" s="410"/>
      <c r="L154" s="410"/>
      <c r="M154" s="410"/>
      <c r="N154" s="410"/>
      <c r="O154" s="152">
        <f t="shared" si="9"/>
        <v>32563.439999999999</v>
      </c>
    </row>
    <row r="155" spans="1:15">
      <c r="A155" s="150">
        <v>51</v>
      </c>
      <c r="B155" s="149" t="str">
        <f t="shared" si="10"/>
        <v>RIJAL</v>
      </c>
      <c r="C155" s="204">
        <v>32563.439999999999</v>
      </c>
      <c r="D155" s="204">
        <v>32563.439999999999</v>
      </c>
      <c r="E155" s="204">
        <v>32563.439999999999</v>
      </c>
      <c r="F155" s="205">
        <v>32563.439999999999</v>
      </c>
      <c r="G155" s="205">
        <v>32563.439999999999</v>
      </c>
      <c r="H155" s="205">
        <v>32563.439999999999</v>
      </c>
      <c r="I155" s="205">
        <v>32647.439999999999</v>
      </c>
      <c r="J155" s="205">
        <v>32647.439999999999</v>
      </c>
      <c r="K155" s="205">
        <v>32668.44</v>
      </c>
      <c r="L155" s="205">
        <v>32668.44</v>
      </c>
      <c r="M155" s="205">
        <v>32668.44</v>
      </c>
      <c r="N155" s="205"/>
      <c r="O155" s="152">
        <f t="shared" si="9"/>
        <v>358680.83999999997</v>
      </c>
    </row>
    <row r="156" spans="1:15">
      <c r="A156" s="150">
        <v>52</v>
      </c>
      <c r="B156" s="149" t="str">
        <f t="shared" si="10"/>
        <v>FAHRUDIN</v>
      </c>
      <c r="C156" s="412"/>
      <c r="D156" s="412"/>
      <c r="E156" s="204">
        <v>32563.439999999999</v>
      </c>
      <c r="F156" s="205">
        <v>32563.439999999999</v>
      </c>
      <c r="G156" s="205">
        <v>32563.439999999999</v>
      </c>
      <c r="H156" s="205">
        <v>32563.439999999999</v>
      </c>
      <c r="I156" s="205">
        <v>32563.439999999999</v>
      </c>
      <c r="J156" s="205">
        <v>32563.439999999999</v>
      </c>
      <c r="K156" s="205">
        <v>32563.439999999999</v>
      </c>
      <c r="L156" s="205">
        <v>32563.439999999999</v>
      </c>
      <c r="M156" s="205">
        <v>32563.439999999999</v>
      </c>
      <c r="N156" s="205"/>
      <c r="O156" s="152">
        <f t="shared" si="9"/>
        <v>293070.95999999996</v>
      </c>
    </row>
    <row r="157" spans="1:15">
      <c r="A157" s="150">
        <v>53</v>
      </c>
      <c r="B157" s="149" t="str">
        <f t="shared" si="10"/>
        <v>HERIANTO ARBI</v>
      </c>
      <c r="C157" s="412"/>
      <c r="D157" s="412"/>
      <c r="E157" s="412"/>
      <c r="F157" s="410"/>
      <c r="G157" s="205">
        <v>32563.439999999999</v>
      </c>
      <c r="H157" s="205">
        <v>32563.439999999999</v>
      </c>
      <c r="I157" s="205">
        <v>32563.439999999999</v>
      </c>
      <c r="J157" s="205">
        <v>32563.439999999999</v>
      </c>
      <c r="K157" s="205">
        <v>32563.439999999999</v>
      </c>
      <c r="L157" s="205">
        <v>32563.439999999999</v>
      </c>
      <c r="M157" s="205">
        <v>32563.439999999999</v>
      </c>
      <c r="N157" s="205"/>
      <c r="O157" s="152">
        <f t="shared" si="9"/>
        <v>227944.08</v>
      </c>
    </row>
    <row r="158" spans="1:15">
      <c r="A158" s="150">
        <v>54</v>
      </c>
      <c r="B158" s="149" t="str">
        <f t="shared" si="10"/>
        <v>EKO SUMANJAYA</v>
      </c>
      <c r="C158" s="204">
        <v>32563.439999999999</v>
      </c>
      <c r="D158" s="204">
        <v>32563.439999999999</v>
      </c>
      <c r="E158" s="204">
        <v>32563.439999999999</v>
      </c>
      <c r="F158" s="205">
        <v>32563.439999999999</v>
      </c>
      <c r="G158" s="205">
        <v>32563.439999999999</v>
      </c>
      <c r="H158" s="205">
        <v>32563.439999999999</v>
      </c>
      <c r="I158" s="205">
        <v>32815.439999999995</v>
      </c>
      <c r="J158" s="205">
        <v>32815.439999999995</v>
      </c>
      <c r="K158" s="205">
        <v>32815.439999999995</v>
      </c>
      <c r="L158" s="205">
        <v>32840.639999999999</v>
      </c>
      <c r="M158" s="205">
        <v>32840.639999999999</v>
      </c>
      <c r="N158" s="205"/>
      <c r="O158" s="152">
        <f t="shared" si="9"/>
        <v>359508.24</v>
      </c>
    </row>
    <row r="159" spans="1:15">
      <c r="A159" s="150">
        <v>55</v>
      </c>
      <c r="B159" s="149" t="str">
        <f t="shared" si="10"/>
        <v>DEKY FRANZA</v>
      </c>
      <c r="C159" s="204">
        <v>32563.439999999999</v>
      </c>
      <c r="D159" s="204">
        <v>32563.439999999999</v>
      </c>
      <c r="E159" s="204">
        <v>32563.439999999999</v>
      </c>
      <c r="F159" s="205">
        <v>32563.439999999999</v>
      </c>
      <c r="G159" s="205">
        <v>32563.439999999999</v>
      </c>
      <c r="H159" s="222">
        <v>32563.439999999999</v>
      </c>
      <c r="I159" s="204">
        <v>32584.44</v>
      </c>
      <c r="J159" s="205">
        <v>32584.44</v>
      </c>
      <c r="K159" s="205">
        <v>32584.44</v>
      </c>
      <c r="L159" s="205">
        <v>32584.44</v>
      </c>
      <c r="M159" s="205">
        <v>32584.44</v>
      </c>
      <c r="N159" s="205"/>
      <c r="O159" s="152">
        <f t="shared" si="9"/>
        <v>358302.83999999997</v>
      </c>
    </row>
    <row r="160" spans="1:15">
      <c r="A160" s="150">
        <v>56</v>
      </c>
      <c r="B160" s="149" t="str">
        <f t="shared" si="10"/>
        <v>SUMARDI</v>
      </c>
      <c r="C160" s="204">
        <v>32563.439999999999</v>
      </c>
      <c r="D160" s="204">
        <v>32563.439999999999</v>
      </c>
      <c r="E160" s="204">
        <v>32563.439999999999</v>
      </c>
      <c r="F160" s="205">
        <v>32563.439999999999</v>
      </c>
      <c r="G160" s="205">
        <v>32563.439999999999</v>
      </c>
      <c r="H160" s="205">
        <v>32563.439999999999</v>
      </c>
      <c r="I160" s="205">
        <v>32765.039999999997</v>
      </c>
      <c r="J160" s="205">
        <v>32790.239999999998</v>
      </c>
      <c r="K160" s="205">
        <v>32790.239999999998</v>
      </c>
      <c r="L160" s="205">
        <v>32790.239999999998</v>
      </c>
      <c r="M160" s="205">
        <v>32790.239999999998</v>
      </c>
      <c r="N160" s="205"/>
      <c r="O160" s="152">
        <f t="shared" si="9"/>
        <v>359306.63999999996</v>
      </c>
    </row>
    <row r="161" spans="1:15">
      <c r="A161" s="150">
        <v>57</v>
      </c>
      <c r="B161" s="149" t="str">
        <f t="shared" si="10"/>
        <v>SUKARDI</v>
      </c>
      <c r="C161" s="204">
        <v>32563.439999999999</v>
      </c>
      <c r="D161" s="204">
        <v>32563.439999999999</v>
      </c>
      <c r="E161" s="204">
        <v>32563.439999999999</v>
      </c>
      <c r="F161" s="205">
        <v>32563.439999999999</v>
      </c>
      <c r="G161" s="205">
        <v>32563.439999999999</v>
      </c>
      <c r="H161" s="205">
        <v>32563.439999999999</v>
      </c>
      <c r="I161" s="205">
        <v>32584.44</v>
      </c>
      <c r="J161" s="205">
        <v>32584.44</v>
      </c>
      <c r="K161" s="205">
        <v>32584.44</v>
      </c>
      <c r="L161" s="205">
        <v>32584.44</v>
      </c>
      <c r="M161" s="205">
        <v>32584.44</v>
      </c>
      <c r="N161" s="162"/>
      <c r="O161" s="152">
        <f t="shared" si="9"/>
        <v>358302.83999999997</v>
      </c>
    </row>
    <row r="162" spans="1:15">
      <c r="A162" s="150">
        <v>58</v>
      </c>
      <c r="B162" s="149" t="str">
        <f t="shared" si="10"/>
        <v>YANTI NOVITA</v>
      </c>
      <c r="C162" s="204">
        <v>32563.439999999999</v>
      </c>
      <c r="D162" s="204">
        <v>32563.439999999999</v>
      </c>
      <c r="E162" s="204">
        <v>32563.439999999999</v>
      </c>
      <c r="F162" s="204">
        <v>32563.439999999999</v>
      </c>
      <c r="G162" s="205">
        <v>32563.439999999999</v>
      </c>
      <c r="H162" s="205">
        <v>32563.439999999999</v>
      </c>
      <c r="I162" s="205">
        <v>32958.239999999998</v>
      </c>
      <c r="J162" s="205">
        <v>32958.239999999998</v>
      </c>
      <c r="K162" s="205">
        <v>32958.239999999998</v>
      </c>
      <c r="L162" s="205">
        <v>32958.239999999998</v>
      </c>
      <c r="M162" s="205">
        <v>32958.239999999998</v>
      </c>
      <c r="N162" s="205"/>
      <c r="O162" s="152">
        <f t="shared" si="9"/>
        <v>360171.83999999997</v>
      </c>
    </row>
    <row r="163" spans="1:15">
      <c r="A163" s="150">
        <v>59</v>
      </c>
      <c r="B163" s="149" t="str">
        <f t="shared" si="10"/>
        <v>FRANSISCO GAUTAMA</v>
      </c>
      <c r="C163" s="204">
        <v>32563.439999999999</v>
      </c>
      <c r="D163" s="204">
        <v>32563.439999999999</v>
      </c>
      <c r="E163" s="204">
        <v>32563.439999999999</v>
      </c>
      <c r="F163" s="204">
        <v>32563.439999999999</v>
      </c>
      <c r="G163" s="205">
        <v>32563.439999999999</v>
      </c>
      <c r="H163" s="205">
        <v>32563.439999999999</v>
      </c>
      <c r="I163" s="205">
        <v>32870.04</v>
      </c>
      <c r="J163" s="205">
        <v>32870.04</v>
      </c>
      <c r="K163" s="205">
        <v>32870.04</v>
      </c>
      <c r="L163" s="205">
        <v>32870.04</v>
      </c>
      <c r="M163" s="205">
        <v>32870.04</v>
      </c>
      <c r="N163" s="205"/>
      <c r="O163" s="152">
        <f t="shared" si="9"/>
        <v>359730.83999999997</v>
      </c>
    </row>
    <row r="164" spans="1:15">
      <c r="A164" s="150">
        <v>60</v>
      </c>
      <c r="B164" s="149" t="str">
        <f t="shared" si="10"/>
        <v>MUSDI</v>
      </c>
      <c r="C164" s="205">
        <v>32563.439999999999</v>
      </c>
      <c r="D164" s="205">
        <v>32563.439999999999</v>
      </c>
      <c r="E164" s="205">
        <v>32563.439999999999</v>
      </c>
      <c r="F164" s="205">
        <v>32563.439999999999</v>
      </c>
      <c r="G164" s="205">
        <v>32563.439999999999</v>
      </c>
      <c r="H164" s="205">
        <v>32563.439999999999</v>
      </c>
      <c r="I164" s="205">
        <v>32765.039999999997</v>
      </c>
      <c r="J164" s="205">
        <v>32765.039999999997</v>
      </c>
      <c r="K164" s="205">
        <v>32790.239999999998</v>
      </c>
      <c r="L164" s="205">
        <v>32790.239999999998</v>
      </c>
      <c r="M164" s="205">
        <v>32790.239999999998</v>
      </c>
      <c r="N164" s="205"/>
      <c r="O164" s="152">
        <f t="shared" si="9"/>
        <v>359281.44</v>
      </c>
    </row>
    <row r="165" spans="1:15">
      <c r="A165" s="150">
        <v>61</v>
      </c>
      <c r="B165" s="149" t="str">
        <f t="shared" si="10"/>
        <v>M.IDRIS PRATAMA</v>
      </c>
      <c r="C165" s="205">
        <v>32563.439999999999</v>
      </c>
      <c r="D165" s="205">
        <v>32563.439999999999</v>
      </c>
      <c r="E165" s="205">
        <v>32563.439999999999</v>
      </c>
      <c r="F165" s="205">
        <v>32563.439999999999</v>
      </c>
      <c r="G165" s="205">
        <v>32563.439999999999</v>
      </c>
      <c r="H165" s="205">
        <v>32563.439999999999</v>
      </c>
      <c r="I165" s="205">
        <v>32605.439999999999</v>
      </c>
      <c r="J165" s="205">
        <v>32605.439999999999</v>
      </c>
      <c r="K165" s="205">
        <v>32605.439999999999</v>
      </c>
      <c r="L165" s="205">
        <v>32605.439999999999</v>
      </c>
      <c r="M165" s="205">
        <v>32605.439999999999</v>
      </c>
      <c r="N165" s="205"/>
      <c r="O165" s="152">
        <f t="shared" si="9"/>
        <v>358407.83999999997</v>
      </c>
    </row>
    <row r="166" spans="1:15" ht="15" customHeight="1">
      <c r="A166" s="150">
        <v>62</v>
      </c>
      <c r="B166" s="149" t="str">
        <f t="shared" si="10"/>
        <v>NOLA WILANDA</v>
      </c>
      <c r="C166" s="412"/>
      <c r="D166" s="412"/>
      <c r="E166" s="412"/>
      <c r="F166" s="412"/>
      <c r="G166" s="410"/>
      <c r="H166" s="410"/>
      <c r="I166" s="410"/>
      <c r="J166" s="410"/>
      <c r="K166" s="205">
        <v>32563.439999999999</v>
      </c>
      <c r="L166" s="205">
        <v>32563.439999999999</v>
      </c>
      <c r="M166" s="205">
        <v>32563.439999999999</v>
      </c>
      <c r="N166" s="205"/>
      <c r="O166" s="152">
        <f t="shared" si="9"/>
        <v>97690.319999999992</v>
      </c>
    </row>
    <row r="167" spans="1:15" ht="15" customHeight="1">
      <c r="A167" s="150">
        <v>63</v>
      </c>
      <c r="B167" s="149" t="str">
        <f t="shared" si="10"/>
        <v>AGUSTIAN</v>
      </c>
      <c r="C167" s="410"/>
      <c r="D167" s="410"/>
      <c r="E167" s="410"/>
      <c r="F167" s="410"/>
      <c r="G167" s="410"/>
      <c r="H167" s="410"/>
      <c r="I167" s="410"/>
      <c r="J167" s="410"/>
      <c r="K167" s="205">
        <v>32563.439999999999</v>
      </c>
      <c r="L167" s="205">
        <v>32563.439999999999</v>
      </c>
      <c r="M167" s="205">
        <v>32563.439999999999</v>
      </c>
      <c r="N167" s="205"/>
      <c r="O167" s="152">
        <f t="shared" si="9"/>
        <v>97690.319999999992</v>
      </c>
    </row>
    <row r="168" spans="1:15" ht="15" customHeight="1">
      <c r="A168" s="150">
        <v>64</v>
      </c>
      <c r="B168" s="149" t="str">
        <f t="shared" si="10"/>
        <v>DWI MARZETI</v>
      </c>
      <c r="C168" s="410"/>
      <c r="D168" s="410"/>
      <c r="E168" s="410"/>
      <c r="F168" s="410"/>
      <c r="G168" s="410"/>
      <c r="H168" s="410"/>
      <c r="I168" s="410"/>
      <c r="J168" s="410"/>
      <c r="K168" s="205">
        <v>32563.439999999999</v>
      </c>
      <c r="L168" s="205">
        <v>32563.439999999999</v>
      </c>
      <c r="M168" s="205">
        <v>32563.439999999999</v>
      </c>
      <c r="N168" s="205"/>
      <c r="O168" s="152">
        <f t="shared" si="9"/>
        <v>97690.319999999992</v>
      </c>
    </row>
    <row r="169" spans="1:15">
      <c r="A169" s="150">
        <v>65</v>
      </c>
      <c r="B169" s="149" t="str">
        <f t="shared" ref="B169:B174" si="11">+B74</f>
        <v>SUTRA PRAYOGI</v>
      </c>
      <c r="C169" s="410"/>
      <c r="D169" s="410"/>
      <c r="E169" s="410"/>
      <c r="F169" s="410"/>
      <c r="G169" s="410"/>
      <c r="H169" s="410"/>
      <c r="I169" s="410"/>
      <c r="J169" s="410"/>
      <c r="K169" s="410"/>
      <c r="L169" s="205">
        <v>32563.439999999999</v>
      </c>
      <c r="M169" s="205">
        <v>32563.439999999999</v>
      </c>
      <c r="N169" s="205"/>
      <c r="O169" s="152">
        <f t="shared" si="9"/>
        <v>65126.879999999997</v>
      </c>
    </row>
    <row r="170" spans="1:15">
      <c r="A170" s="150">
        <v>66</v>
      </c>
      <c r="B170" s="149" t="str">
        <f t="shared" si="11"/>
        <v>SAHARUDIN</v>
      </c>
      <c r="C170" s="161">
        <v>32563.439999999999</v>
      </c>
      <c r="D170" s="161">
        <v>32563.439999999999</v>
      </c>
      <c r="E170" s="161">
        <v>32563.439999999999</v>
      </c>
      <c r="F170" s="161">
        <v>32563.439999999999</v>
      </c>
      <c r="G170" s="161">
        <v>32563.439999999999</v>
      </c>
      <c r="H170" s="161">
        <v>32563.439999999999</v>
      </c>
      <c r="I170" s="161">
        <v>32815.439999999995</v>
      </c>
      <c r="J170" s="161">
        <v>32815.439999999995</v>
      </c>
      <c r="K170" s="161">
        <v>32815.439999999995</v>
      </c>
      <c r="L170" s="161">
        <v>32840.639999999999</v>
      </c>
      <c r="M170" s="161">
        <v>32840.639999999999</v>
      </c>
      <c r="N170" s="205"/>
      <c r="O170" s="152">
        <f t="shared" si="9"/>
        <v>359508.24</v>
      </c>
    </row>
    <row r="171" spans="1:15">
      <c r="A171" s="150">
        <v>67</v>
      </c>
      <c r="B171" s="149">
        <f t="shared" si="11"/>
        <v>0</v>
      </c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152">
        <f t="shared" si="9"/>
        <v>0</v>
      </c>
    </row>
    <row r="172" spans="1:15">
      <c r="A172" s="150">
        <v>68</v>
      </c>
      <c r="B172" s="149">
        <f t="shared" si="11"/>
        <v>0</v>
      </c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152">
        <f t="shared" si="9"/>
        <v>0</v>
      </c>
    </row>
    <row r="173" spans="1:15">
      <c r="A173" s="150">
        <v>69</v>
      </c>
      <c r="B173" s="149">
        <f t="shared" si="11"/>
        <v>0</v>
      </c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152">
        <f t="shared" si="9"/>
        <v>0</v>
      </c>
    </row>
    <row r="174" spans="1:15">
      <c r="A174" s="150">
        <v>70</v>
      </c>
      <c r="B174" s="149">
        <f t="shared" si="11"/>
        <v>0</v>
      </c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152">
        <f t="shared" si="9"/>
        <v>0</v>
      </c>
    </row>
    <row r="175" spans="1:15">
      <c r="A175" s="208"/>
      <c r="B175" s="209"/>
      <c r="C175" s="210">
        <f>SUM(C105:C174)</f>
        <v>1953806.3999999976</v>
      </c>
      <c r="D175" s="210">
        <f t="shared" ref="D175:O175" si="12">SUM(D105:D174)</f>
        <v>1888679.5199999977</v>
      </c>
      <c r="E175" s="210">
        <f t="shared" si="12"/>
        <v>1921242.9599999976</v>
      </c>
      <c r="F175" s="210">
        <f t="shared" si="12"/>
        <v>1693298.879999998</v>
      </c>
      <c r="G175" s="210">
        <f t="shared" si="12"/>
        <v>1660735.4399999981</v>
      </c>
      <c r="H175" s="210">
        <f t="shared" si="12"/>
        <v>1660735.4399999981</v>
      </c>
      <c r="I175" s="210">
        <f t="shared" si="12"/>
        <v>1673608.4399999988</v>
      </c>
      <c r="J175" s="210">
        <f t="shared" si="12"/>
        <v>1673709.2399999986</v>
      </c>
      <c r="K175" s="210">
        <f t="shared" si="12"/>
        <v>1771596.9599999988</v>
      </c>
      <c r="L175" s="210">
        <f t="shared" si="12"/>
        <v>1771647.3599999987</v>
      </c>
      <c r="M175" s="210">
        <f t="shared" si="12"/>
        <v>1771739.7599999988</v>
      </c>
      <c r="N175" s="210">
        <f t="shared" si="12"/>
        <v>0</v>
      </c>
      <c r="O175" s="210">
        <f t="shared" si="12"/>
        <v>19440800.399999999</v>
      </c>
    </row>
    <row r="179" spans="1:15">
      <c r="A179" s="150">
        <v>29</v>
      </c>
      <c r="B179" s="149" t="str">
        <f>+B86</f>
        <v>MUSNI</v>
      </c>
      <c r="C179" s="204">
        <v>32563.439999999999</v>
      </c>
      <c r="D179" s="204">
        <v>32563.439999999999</v>
      </c>
      <c r="E179" s="205">
        <v>32563.439999999999</v>
      </c>
      <c r="F179" s="205">
        <v>32563.439999999999</v>
      </c>
      <c r="G179" s="205">
        <v>32563.439999999999</v>
      </c>
      <c r="H179" s="205">
        <v>32563.439999999999</v>
      </c>
      <c r="I179" s="205">
        <v>32739.839999999997</v>
      </c>
      <c r="J179" s="205"/>
      <c r="K179" s="205"/>
      <c r="L179" s="205"/>
      <c r="M179" s="205"/>
      <c r="N179" s="205"/>
      <c r="O179" s="152">
        <f t="shared" ref="O179:O185" si="13">SUM(C179:N179)</f>
        <v>228120.47999999998</v>
      </c>
    </row>
    <row r="180" spans="1:15">
      <c r="A180" s="150">
        <v>31</v>
      </c>
      <c r="B180" s="149" t="str">
        <f t="shared" ref="B180:B185" si="14">+B87</f>
        <v>ARPANDI</v>
      </c>
      <c r="C180" s="204">
        <v>32563.439999999999</v>
      </c>
      <c r="D180" s="204">
        <v>32563.439999999999</v>
      </c>
      <c r="E180" s="205">
        <v>32563.439999999999</v>
      </c>
      <c r="F180" s="205">
        <v>32563.439999999999</v>
      </c>
      <c r="G180" s="205">
        <v>32563.439999999999</v>
      </c>
      <c r="H180" s="205">
        <v>32563.439999999999</v>
      </c>
      <c r="I180" s="205">
        <v>32739.839999999997</v>
      </c>
      <c r="J180" s="205"/>
      <c r="K180" s="205"/>
      <c r="L180" s="205"/>
      <c r="M180" s="205"/>
      <c r="N180" s="205"/>
      <c r="O180" s="152">
        <f t="shared" si="13"/>
        <v>228120.47999999998</v>
      </c>
    </row>
    <row r="181" spans="1:15">
      <c r="A181" s="150">
        <v>32</v>
      </c>
      <c r="B181" s="149" t="str">
        <f t="shared" si="14"/>
        <v>MASRI</v>
      </c>
      <c r="C181" s="204">
        <v>32563.439999999999</v>
      </c>
      <c r="D181" s="204">
        <v>32563.439999999999</v>
      </c>
      <c r="E181" s="205">
        <v>32563.439999999999</v>
      </c>
      <c r="F181" s="205">
        <v>32563.439999999999</v>
      </c>
      <c r="G181" s="205">
        <v>32563.439999999999</v>
      </c>
      <c r="H181" s="205">
        <v>32563.439999999999</v>
      </c>
      <c r="I181" s="205">
        <v>32790.239999999998</v>
      </c>
      <c r="J181" s="205"/>
      <c r="K181" s="205"/>
      <c r="L181" s="205"/>
      <c r="M181" s="205"/>
      <c r="N181" s="205"/>
      <c r="O181" s="152">
        <f t="shared" si="13"/>
        <v>228170.87999999998</v>
      </c>
    </row>
    <row r="182" spans="1:15">
      <c r="A182" s="150">
        <v>35</v>
      </c>
      <c r="B182" s="149" t="str">
        <f t="shared" si="14"/>
        <v>HARDIANSYAH</v>
      </c>
      <c r="C182" s="204">
        <v>32563.439999999999</v>
      </c>
      <c r="D182" s="204">
        <v>32563.439999999999</v>
      </c>
      <c r="E182" s="205">
        <v>32563.439999999999</v>
      </c>
      <c r="F182" s="205">
        <v>32563.439999999999</v>
      </c>
      <c r="G182" s="205">
        <v>32563.439999999999</v>
      </c>
      <c r="H182" s="205">
        <v>32563.439999999999</v>
      </c>
      <c r="I182" s="205">
        <v>32668.44</v>
      </c>
      <c r="J182" s="205"/>
      <c r="K182" s="205"/>
      <c r="L182" s="205"/>
      <c r="M182" s="205"/>
      <c r="N182" s="205"/>
      <c r="O182" s="152">
        <f t="shared" si="13"/>
        <v>228049.08</v>
      </c>
    </row>
    <row r="183" spans="1:15">
      <c r="A183" s="150">
        <v>41</v>
      </c>
      <c r="B183" s="149" t="str">
        <f t="shared" si="14"/>
        <v>SALEH</v>
      </c>
      <c r="C183" s="204">
        <v>32563.439999999999</v>
      </c>
      <c r="D183" s="204">
        <v>32563.439999999999</v>
      </c>
      <c r="E183" s="205">
        <v>32563.439999999999</v>
      </c>
      <c r="F183" s="205">
        <v>32563.439999999999</v>
      </c>
      <c r="G183" s="205">
        <v>32563.439999999999</v>
      </c>
      <c r="H183" s="205">
        <v>32563.439999999999</v>
      </c>
      <c r="I183" s="205">
        <v>32584.44</v>
      </c>
      <c r="J183" s="205"/>
      <c r="K183" s="205"/>
      <c r="L183" s="205"/>
      <c r="M183" s="205"/>
      <c r="N183" s="205"/>
      <c r="O183" s="152">
        <f t="shared" si="13"/>
        <v>227965.08</v>
      </c>
    </row>
    <row r="184" spans="1:15">
      <c r="A184" s="150">
        <v>48</v>
      </c>
      <c r="B184" s="149" t="str">
        <f t="shared" si="14"/>
        <v>JUFRI</v>
      </c>
      <c r="C184" s="204">
        <v>32563.439999999999</v>
      </c>
      <c r="D184" s="204">
        <v>32563.439999999999</v>
      </c>
      <c r="E184" s="205">
        <v>32563.439999999999</v>
      </c>
      <c r="F184" s="205">
        <v>32563.439999999999</v>
      </c>
      <c r="G184" s="205">
        <v>32563.439999999999</v>
      </c>
      <c r="H184" s="205">
        <v>32563.439999999999</v>
      </c>
      <c r="I184" s="205">
        <v>32647.439999999999</v>
      </c>
      <c r="J184" s="205"/>
      <c r="K184" s="205"/>
      <c r="L184" s="205"/>
      <c r="M184" s="205"/>
      <c r="N184" s="205"/>
      <c r="O184" s="152">
        <f t="shared" si="13"/>
        <v>228028.08</v>
      </c>
    </row>
    <row r="185" spans="1:15">
      <c r="A185" s="150">
        <v>50</v>
      </c>
      <c r="B185" s="149" t="str">
        <f t="shared" si="14"/>
        <v>ZAMALUDIN</v>
      </c>
      <c r="C185" s="204">
        <v>32563.439999999999</v>
      </c>
      <c r="D185" s="204">
        <v>32563.439999999999</v>
      </c>
      <c r="E185" s="205">
        <v>32563.439999999999</v>
      </c>
      <c r="F185" s="205">
        <v>32563.439999999999</v>
      </c>
      <c r="G185" s="205">
        <v>32563.439999999999</v>
      </c>
      <c r="H185" s="205">
        <v>32563.439999999999</v>
      </c>
      <c r="I185" s="205">
        <v>32563.439999999999</v>
      </c>
      <c r="J185" s="205"/>
      <c r="K185" s="205"/>
      <c r="L185" s="205"/>
      <c r="M185" s="205"/>
      <c r="N185" s="205"/>
      <c r="O185" s="152">
        <f t="shared" si="13"/>
        <v>227944.08</v>
      </c>
    </row>
  </sheetData>
  <mergeCells count="10">
    <mergeCell ref="A99:B99"/>
    <mergeCell ref="A101:A104"/>
    <mergeCell ref="B101:B104"/>
    <mergeCell ref="C101:N103"/>
    <mergeCell ref="O101:O104"/>
    <mergeCell ref="A4:B4"/>
    <mergeCell ref="A6:A9"/>
    <mergeCell ref="B6:B9"/>
    <mergeCell ref="C6:N8"/>
    <mergeCell ref="O6:O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174"/>
  <sheetViews>
    <sheetView workbookViewId="0">
      <pane xSplit="2" topLeftCell="C1" activePane="topRight" state="frozen"/>
      <selection activeCell="A85" sqref="A85"/>
      <selection pane="topRight" activeCell="E21" sqref="E21:F21"/>
    </sheetView>
  </sheetViews>
  <sheetFormatPr defaultRowHeight="15"/>
  <cols>
    <col min="1" max="1" width="4.5703125" style="197" customWidth="1"/>
    <col min="2" max="2" width="18.85546875" style="191" customWidth="1"/>
    <col min="3" max="4" width="12.28515625" style="191" customWidth="1"/>
    <col min="5" max="5" width="12.140625" style="191" customWidth="1"/>
    <col min="6" max="7" width="12.5703125" style="191" customWidth="1"/>
    <col min="8" max="8" width="12.28515625" style="191" customWidth="1"/>
    <col min="9" max="9" width="11.85546875" style="191" customWidth="1"/>
    <col min="10" max="10" width="12.42578125" style="191" customWidth="1"/>
    <col min="11" max="11" width="12.42578125" style="440" customWidth="1"/>
    <col min="12" max="12" width="10.140625" style="192" customWidth="1"/>
    <col min="13" max="13" width="11.140625" style="192" customWidth="1"/>
    <col min="14" max="14" width="11.42578125" style="191" customWidth="1"/>
    <col min="15" max="15" width="14.140625" style="191" customWidth="1"/>
    <col min="16" max="17" width="10.140625" style="191" bestFit="1" customWidth="1"/>
    <col min="18" max="16384" width="9.140625" style="191"/>
  </cols>
  <sheetData>
    <row r="1" spans="1:15" ht="15" customHeight="1">
      <c r="D1" s="211"/>
      <c r="G1" s="212"/>
      <c r="J1" s="212"/>
      <c r="N1" s="212"/>
    </row>
    <row r="2" spans="1:15" ht="15" customHeight="1">
      <c r="B2" s="213"/>
      <c r="C2" s="212"/>
      <c r="D2" s="212"/>
      <c r="E2" s="212"/>
      <c r="F2" s="212"/>
      <c r="G2" s="212"/>
      <c r="H2" s="212"/>
      <c r="I2" s="212"/>
      <c r="J2" s="212"/>
      <c r="K2" s="214"/>
      <c r="L2" s="215"/>
      <c r="M2" s="215"/>
      <c r="N2" s="212"/>
      <c r="O2" s="212"/>
    </row>
    <row r="4" spans="1:15" ht="15.75" thickBot="1">
      <c r="B4" s="444" t="s">
        <v>547</v>
      </c>
      <c r="E4" s="195"/>
      <c r="F4" s="195"/>
      <c r="G4" s="195"/>
      <c r="H4" s="195"/>
      <c r="I4" s="195"/>
      <c r="J4" s="195"/>
      <c r="K4" s="194"/>
      <c r="L4" s="196"/>
      <c r="M4" s="196"/>
      <c r="N4" s="195"/>
      <c r="O4" s="195"/>
    </row>
    <row r="5" spans="1:15">
      <c r="A5" s="601" t="s">
        <v>0</v>
      </c>
      <c r="B5" s="603" t="s">
        <v>366</v>
      </c>
      <c r="C5" s="605" t="s">
        <v>489</v>
      </c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7"/>
      <c r="O5" s="614" t="s">
        <v>370</v>
      </c>
    </row>
    <row r="6" spans="1:15">
      <c r="A6" s="602"/>
      <c r="B6" s="604"/>
      <c r="C6" s="608"/>
      <c r="D6" s="609"/>
      <c r="E6" s="609"/>
      <c r="F6" s="609"/>
      <c r="G6" s="609"/>
      <c r="H6" s="609"/>
      <c r="I6" s="609"/>
      <c r="J6" s="609"/>
      <c r="K6" s="609"/>
      <c r="L6" s="609"/>
      <c r="M6" s="609"/>
      <c r="N6" s="610"/>
      <c r="O6" s="614"/>
    </row>
    <row r="7" spans="1:15">
      <c r="A7" s="602"/>
      <c r="B7" s="604"/>
      <c r="C7" s="611"/>
      <c r="D7" s="612"/>
      <c r="E7" s="612"/>
      <c r="F7" s="612"/>
      <c r="G7" s="612"/>
      <c r="H7" s="612"/>
      <c r="I7" s="612"/>
      <c r="J7" s="612"/>
      <c r="K7" s="612"/>
      <c r="L7" s="612"/>
      <c r="M7" s="612"/>
      <c r="N7" s="613"/>
      <c r="O7" s="614"/>
    </row>
    <row r="8" spans="1:15">
      <c r="A8" s="602"/>
      <c r="B8" s="604"/>
      <c r="C8" s="198" t="s">
        <v>374</v>
      </c>
      <c r="D8" s="198" t="s">
        <v>375</v>
      </c>
      <c r="E8" s="198" t="s">
        <v>376</v>
      </c>
      <c r="F8" s="198" t="s">
        <v>377</v>
      </c>
      <c r="G8" s="198" t="s">
        <v>378</v>
      </c>
      <c r="H8" s="198" t="s">
        <v>379</v>
      </c>
      <c r="I8" s="198" t="s">
        <v>380</v>
      </c>
      <c r="J8" s="199" t="s">
        <v>381</v>
      </c>
      <c r="K8" s="441" t="s">
        <v>382</v>
      </c>
      <c r="L8" s="201" t="s">
        <v>383</v>
      </c>
      <c r="M8" s="201" t="s">
        <v>384</v>
      </c>
      <c r="N8" s="202" t="s">
        <v>385</v>
      </c>
      <c r="O8" s="614"/>
    </row>
    <row r="9" spans="1:15">
      <c r="A9" s="150">
        <v>1</v>
      </c>
      <c r="B9" s="149" t="str">
        <f>+BPJS!B10</f>
        <v>GUNAWAN</v>
      </c>
      <c r="C9" s="204">
        <f>3876600*2%</f>
        <v>77532</v>
      </c>
      <c r="D9" s="204">
        <f t="shared" ref="D9:H24" si="0">3876600*2%</f>
        <v>77532</v>
      </c>
      <c r="E9" s="204">
        <f t="shared" si="0"/>
        <v>77532</v>
      </c>
      <c r="F9" s="204">
        <f t="shared" si="0"/>
        <v>77532</v>
      </c>
      <c r="G9" s="204">
        <f t="shared" si="0"/>
        <v>77532</v>
      </c>
      <c r="H9" s="204">
        <f t="shared" si="0"/>
        <v>77532</v>
      </c>
      <c r="I9" s="205">
        <v>78132</v>
      </c>
      <c r="J9" s="205">
        <v>78132</v>
      </c>
      <c r="K9" s="205">
        <v>78192</v>
      </c>
      <c r="L9" s="205">
        <v>78192</v>
      </c>
      <c r="M9" s="205">
        <v>78192</v>
      </c>
      <c r="N9" s="205">
        <v>78192</v>
      </c>
      <c r="O9" s="152">
        <f>SUM(C9:N9)</f>
        <v>934224</v>
      </c>
    </row>
    <row r="10" spans="1:15">
      <c r="A10" s="150">
        <v>2</v>
      </c>
      <c r="B10" s="149" t="str">
        <f>+BPJS!B11</f>
        <v>RILYANI</v>
      </c>
      <c r="C10" s="204">
        <f t="shared" ref="C10:H25" si="1">3876600*2%</f>
        <v>77532</v>
      </c>
      <c r="D10" s="204">
        <f t="shared" si="0"/>
        <v>77532</v>
      </c>
      <c r="E10" s="204">
        <f t="shared" si="0"/>
        <v>77532</v>
      </c>
      <c r="F10" s="204">
        <f t="shared" si="0"/>
        <v>77532</v>
      </c>
      <c r="G10" s="204">
        <f t="shared" si="0"/>
        <v>77532</v>
      </c>
      <c r="H10" s="204">
        <f t="shared" si="0"/>
        <v>77532</v>
      </c>
      <c r="I10" s="205">
        <v>79312</v>
      </c>
      <c r="J10" s="205">
        <v>79312</v>
      </c>
      <c r="K10" s="205">
        <v>79312</v>
      </c>
      <c r="L10" s="205">
        <v>79312</v>
      </c>
      <c r="M10" s="205">
        <v>79312</v>
      </c>
      <c r="N10" s="205">
        <v>79312</v>
      </c>
      <c r="O10" s="152">
        <f t="shared" ref="O10:O36" si="2">SUM(C10:N10)</f>
        <v>941064</v>
      </c>
    </row>
    <row r="11" spans="1:15">
      <c r="A11" s="150">
        <v>3</v>
      </c>
      <c r="B11" s="149" t="str">
        <f>+BPJS!B12</f>
        <v>JUNAIDI</v>
      </c>
      <c r="C11" s="204">
        <f t="shared" si="1"/>
        <v>77532</v>
      </c>
      <c r="D11" s="204">
        <f t="shared" si="0"/>
        <v>77532</v>
      </c>
      <c r="E11" s="204">
        <f t="shared" si="0"/>
        <v>77532</v>
      </c>
      <c r="F11" s="204">
        <f t="shared" si="0"/>
        <v>77532</v>
      </c>
      <c r="G11" s="204">
        <f t="shared" si="0"/>
        <v>77532</v>
      </c>
      <c r="H11" s="204">
        <f t="shared" si="0"/>
        <v>77532</v>
      </c>
      <c r="I11" s="205">
        <v>79382</v>
      </c>
      <c r="J11" s="205">
        <v>79382</v>
      </c>
      <c r="K11" s="205">
        <v>79382</v>
      </c>
      <c r="L11" s="205">
        <v>79382</v>
      </c>
      <c r="M11" s="205">
        <v>79382</v>
      </c>
      <c r="N11" s="205">
        <v>79382</v>
      </c>
      <c r="O11" s="152">
        <f t="shared" si="2"/>
        <v>941484</v>
      </c>
    </row>
    <row r="12" spans="1:15">
      <c r="A12" s="150">
        <v>4</v>
      </c>
      <c r="B12" s="149" t="str">
        <f>+BPJS!B13</f>
        <v>UMIYATI</v>
      </c>
      <c r="C12" s="204">
        <f t="shared" si="1"/>
        <v>77532</v>
      </c>
      <c r="D12" s="204">
        <f t="shared" si="0"/>
        <v>77532</v>
      </c>
      <c r="E12" s="204">
        <f t="shared" si="0"/>
        <v>77532</v>
      </c>
      <c r="F12" s="204">
        <f t="shared" si="0"/>
        <v>77532</v>
      </c>
      <c r="G12" s="410"/>
      <c r="H12" s="410"/>
      <c r="I12" s="410"/>
      <c r="J12" s="410"/>
      <c r="K12" s="410"/>
      <c r="L12" s="410"/>
      <c r="M12" s="410"/>
      <c r="N12" s="410"/>
      <c r="O12" s="152">
        <f t="shared" si="2"/>
        <v>310128</v>
      </c>
    </row>
    <row r="13" spans="1:15">
      <c r="A13" s="150">
        <v>5</v>
      </c>
      <c r="B13" s="149" t="str">
        <f>+BPJS!B14</f>
        <v>ASUNTI</v>
      </c>
      <c r="C13" s="204">
        <f t="shared" si="1"/>
        <v>77532</v>
      </c>
      <c r="D13" s="204">
        <f t="shared" si="0"/>
        <v>77532</v>
      </c>
      <c r="E13" s="204">
        <f t="shared" si="0"/>
        <v>77532</v>
      </c>
      <c r="F13" s="204">
        <f t="shared" si="0"/>
        <v>77532</v>
      </c>
      <c r="G13" s="204">
        <f t="shared" si="0"/>
        <v>77532</v>
      </c>
      <c r="H13" s="204">
        <f t="shared" si="0"/>
        <v>77532</v>
      </c>
      <c r="I13" s="205">
        <v>78472</v>
      </c>
      <c r="J13" s="205">
        <v>78542</v>
      </c>
      <c r="K13" s="205">
        <v>78542</v>
      </c>
      <c r="L13" s="205">
        <v>78542</v>
      </c>
      <c r="M13" s="205">
        <v>78542</v>
      </c>
      <c r="N13" s="205">
        <v>78542</v>
      </c>
      <c r="O13" s="152">
        <f t="shared" si="2"/>
        <v>936374</v>
      </c>
    </row>
    <row r="14" spans="1:15">
      <c r="A14" s="150">
        <v>6</v>
      </c>
      <c r="B14" s="149" t="str">
        <f>+BPJS!B15</f>
        <v>JONI</v>
      </c>
      <c r="C14" s="204">
        <f t="shared" si="1"/>
        <v>77532</v>
      </c>
      <c r="D14" s="204">
        <f t="shared" si="0"/>
        <v>77532</v>
      </c>
      <c r="E14" s="204">
        <f t="shared" si="0"/>
        <v>77532</v>
      </c>
      <c r="F14" s="204">
        <f t="shared" si="0"/>
        <v>77532</v>
      </c>
      <c r="G14" s="204">
        <f t="shared" si="0"/>
        <v>77532</v>
      </c>
      <c r="H14" s="204">
        <f t="shared" si="0"/>
        <v>77532</v>
      </c>
      <c r="I14" s="205">
        <v>78612</v>
      </c>
      <c r="J14" s="205">
        <v>78612</v>
      </c>
      <c r="K14" s="205">
        <v>78612</v>
      </c>
      <c r="L14" s="205">
        <v>78612</v>
      </c>
      <c r="M14" s="205">
        <v>78612</v>
      </c>
      <c r="N14" s="205">
        <v>78612</v>
      </c>
      <c r="O14" s="152">
        <f t="shared" si="2"/>
        <v>936864</v>
      </c>
    </row>
    <row r="15" spans="1:15">
      <c r="A15" s="150">
        <v>7</v>
      </c>
      <c r="B15" s="149" t="str">
        <f>+BPJS!B16</f>
        <v>THAHA.S</v>
      </c>
      <c r="C15" s="204">
        <f t="shared" si="1"/>
        <v>77532</v>
      </c>
      <c r="D15" s="204">
        <f t="shared" si="0"/>
        <v>77532</v>
      </c>
      <c r="E15" s="204">
        <f t="shared" si="0"/>
        <v>77532</v>
      </c>
      <c r="F15" s="204">
        <f t="shared" si="0"/>
        <v>77532</v>
      </c>
      <c r="G15" s="204">
        <f t="shared" si="0"/>
        <v>77532</v>
      </c>
      <c r="H15" s="204">
        <f t="shared" si="0"/>
        <v>77532</v>
      </c>
      <c r="I15" s="205">
        <v>78612</v>
      </c>
      <c r="J15" s="205">
        <v>78612</v>
      </c>
      <c r="K15" s="205">
        <v>78612</v>
      </c>
      <c r="L15" s="205">
        <v>78612</v>
      </c>
      <c r="M15" s="205">
        <v>78612</v>
      </c>
      <c r="N15" s="205">
        <v>78612</v>
      </c>
      <c r="O15" s="152">
        <f t="shared" si="2"/>
        <v>936864</v>
      </c>
    </row>
    <row r="16" spans="1:15">
      <c r="A16" s="150">
        <v>8</v>
      </c>
      <c r="B16" s="149" t="str">
        <f>+BPJS!B17</f>
        <v>ALEX</v>
      </c>
      <c r="C16" s="204">
        <f t="shared" si="1"/>
        <v>77532</v>
      </c>
      <c r="D16" s="204">
        <f t="shared" si="0"/>
        <v>77532</v>
      </c>
      <c r="E16" s="204">
        <f t="shared" si="0"/>
        <v>77532</v>
      </c>
      <c r="F16" s="204">
        <f t="shared" si="0"/>
        <v>77532</v>
      </c>
      <c r="G16" s="204">
        <f t="shared" si="0"/>
        <v>77532</v>
      </c>
      <c r="H16" s="204">
        <f t="shared" si="0"/>
        <v>77532</v>
      </c>
      <c r="I16" s="205">
        <v>78132</v>
      </c>
      <c r="J16" s="205">
        <v>78132</v>
      </c>
      <c r="K16" s="205">
        <v>78192</v>
      </c>
      <c r="L16" s="205">
        <v>78192</v>
      </c>
      <c r="M16" s="205">
        <v>78192</v>
      </c>
      <c r="N16" s="205">
        <v>78192</v>
      </c>
      <c r="O16" s="152">
        <f t="shared" si="2"/>
        <v>934224</v>
      </c>
    </row>
    <row r="17" spans="1:15">
      <c r="A17" s="150">
        <v>9</v>
      </c>
      <c r="B17" s="149" t="str">
        <f>+BPJS!B18</f>
        <v>SANDY</v>
      </c>
      <c r="C17" s="204">
        <f t="shared" si="1"/>
        <v>77532</v>
      </c>
      <c r="D17" s="204">
        <f t="shared" si="0"/>
        <v>77532</v>
      </c>
      <c r="E17" s="204">
        <f t="shared" si="0"/>
        <v>77532</v>
      </c>
      <c r="F17" s="204">
        <f t="shared" si="0"/>
        <v>77532</v>
      </c>
      <c r="G17" s="204">
        <f t="shared" si="0"/>
        <v>77532</v>
      </c>
      <c r="H17" s="204">
        <f t="shared" si="0"/>
        <v>77532</v>
      </c>
      <c r="I17" s="205">
        <v>78132</v>
      </c>
      <c r="J17" s="205">
        <v>78132</v>
      </c>
      <c r="K17" s="205">
        <v>78192</v>
      </c>
      <c r="L17" s="205">
        <v>78192</v>
      </c>
      <c r="M17" s="205">
        <v>78192</v>
      </c>
      <c r="N17" s="205">
        <v>78192</v>
      </c>
      <c r="O17" s="152">
        <f t="shared" si="2"/>
        <v>934224</v>
      </c>
    </row>
    <row r="18" spans="1:15">
      <c r="A18" s="150">
        <v>10</v>
      </c>
      <c r="B18" s="149" t="str">
        <f>+BPJS!B19</f>
        <v>ANTON</v>
      </c>
      <c r="C18" s="204">
        <f t="shared" si="1"/>
        <v>77532</v>
      </c>
      <c r="D18" s="204">
        <f t="shared" si="0"/>
        <v>77532</v>
      </c>
      <c r="E18" s="204">
        <f t="shared" si="0"/>
        <v>77532</v>
      </c>
      <c r="F18" s="204">
        <f t="shared" si="0"/>
        <v>77532</v>
      </c>
      <c r="G18" s="204">
        <f t="shared" si="0"/>
        <v>77532</v>
      </c>
      <c r="H18" s="204">
        <f t="shared" si="0"/>
        <v>77532</v>
      </c>
      <c r="I18" s="205">
        <v>78612</v>
      </c>
      <c r="J18" s="205">
        <v>78612</v>
      </c>
      <c r="K18" s="205">
        <v>78612</v>
      </c>
      <c r="L18" s="205">
        <v>78612</v>
      </c>
      <c r="M18" s="205">
        <v>78612</v>
      </c>
      <c r="N18" s="205">
        <v>78612</v>
      </c>
      <c r="O18" s="152">
        <f t="shared" si="2"/>
        <v>936864</v>
      </c>
    </row>
    <row r="19" spans="1:15">
      <c r="A19" s="150">
        <v>11</v>
      </c>
      <c r="B19" s="149" t="str">
        <f>+BPJS!B20</f>
        <v>EKA NOPIYANTI</v>
      </c>
      <c r="C19" s="204">
        <f t="shared" si="1"/>
        <v>77532</v>
      </c>
      <c r="D19" s="204">
        <f t="shared" si="0"/>
        <v>77532</v>
      </c>
      <c r="E19" s="204">
        <f t="shared" si="0"/>
        <v>77532</v>
      </c>
      <c r="F19" s="204">
        <f t="shared" si="0"/>
        <v>77532</v>
      </c>
      <c r="G19" s="204">
        <f t="shared" si="0"/>
        <v>77532</v>
      </c>
      <c r="H19" s="204">
        <f t="shared" si="0"/>
        <v>77532</v>
      </c>
      <c r="I19" s="205">
        <v>78542</v>
      </c>
      <c r="J19" s="205">
        <v>78542</v>
      </c>
      <c r="K19" s="205">
        <v>78542</v>
      </c>
      <c r="L19" s="205">
        <v>78542</v>
      </c>
      <c r="M19" s="205">
        <v>78542</v>
      </c>
      <c r="N19" s="205">
        <v>78542</v>
      </c>
      <c r="O19" s="152">
        <f t="shared" si="2"/>
        <v>936444</v>
      </c>
    </row>
    <row r="20" spans="1:15">
      <c r="A20" s="150">
        <v>12</v>
      </c>
      <c r="B20" s="149" t="str">
        <f>+BPJS!B21</f>
        <v>JUMIATI</v>
      </c>
      <c r="C20" s="204">
        <f t="shared" si="1"/>
        <v>77532</v>
      </c>
      <c r="D20" s="204">
        <f t="shared" si="0"/>
        <v>77532</v>
      </c>
      <c r="E20" s="204">
        <f t="shared" si="0"/>
        <v>77532</v>
      </c>
      <c r="F20" s="204">
        <f t="shared" si="0"/>
        <v>77532</v>
      </c>
      <c r="G20" s="204">
        <f t="shared" si="0"/>
        <v>77532</v>
      </c>
      <c r="H20" s="204">
        <f t="shared" si="0"/>
        <v>77532</v>
      </c>
      <c r="I20" s="205">
        <v>78612</v>
      </c>
      <c r="J20" s="205">
        <v>78612</v>
      </c>
      <c r="K20" s="205">
        <v>78612</v>
      </c>
      <c r="L20" s="205">
        <v>78612</v>
      </c>
      <c r="M20" s="205">
        <v>78612</v>
      </c>
      <c r="N20" s="205">
        <v>78612</v>
      </c>
      <c r="O20" s="152">
        <f t="shared" si="2"/>
        <v>936864</v>
      </c>
    </row>
    <row r="21" spans="1:15">
      <c r="A21" s="150">
        <v>13</v>
      </c>
      <c r="B21" s="149" t="str">
        <f>+BPJS!B22</f>
        <v>SUPARDI</v>
      </c>
      <c r="C21" s="204">
        <f t="shared" si="1"/>
        <v>77532</v>
      </c>
      <c r="D21" s="204">
        <f t="shared" si="0"/>
        <v>77532</v>
      </c>
      <c r="E21" s="204">
        <f t="shared" si="0"/>
        <v>77532</v>
      </c>
      <c r="F21" s="204">
        <f t="shared" si="0"/>
        <v>77532</v>
      </c>
      <c r="G21" s="204">
        <f t="shared" si="0"/>
        <v>77532</v>
      </c>
      <c r="H21" s="204">
        <f t="shared" si="0"/>
        <v>77532</v>
      </c>
      <c r="I21" s="205">
        <v>78192</v>
      </c>
      <c r="J21" s="205">
        <v>78192</v>
      </c>
      <c r="K21" s="205">
        <v>78192</v>
      </c>
      <c r="L21" s="205">
        <v>78192</v>
      </c>
      <c r="M21" s="205">
        <v>78192</v>
      </c>
      <c r="N21" s="205">
        <v>78192</v>
      </c>
      <c r="O21" s="152">
        <f t="shared" si="2"/>
        <v>934344</v>
      </c>
    </row>
    <row r="22" spans="1:15">
      <c r="A22" s="150">
        <v>14</v>
      </c>
      <c r="B22" s="149" t="str">
        <f>+BPJS!B23</f>
        <v>PARDI</v>
      </c>
      <c r="C22" s="204">
        <f t="shared" si="1"/>
        <v>77532</v>
      </c>
      <c r="D22" s="204">
        <f t="shared" si="0"/>
        <v>77532</v>
      </c>
      <c r="E22" s="204">
        <f t="shared" si="0"/>
        <v>77532</v>
      </c>
      <c r="F22" s="204">
        <f t="shared" si="0"/>
        <v>77532</v>
      </c>
      <c r="G22" s="410"/>
      <c r="H22" s="410"/>
      <c r="I22" s="410"/>
      <c r="J22" s="410"/>
      <c r="K22" s="410"/>
      <c r="L22" s="410"/>
      <c r="M22" s="410"/>
      <c r="N22" s="410"/>
      <c r="O22" s="152">
        <f t="shared" si="2"/>
        <v>310128</v>
      </c>
    </row>
    <row r="23" spans="1:15">
      <c r="A23" s="150">
        <v>15</v>
      </c>
      <c r="B23" s="149" t="str">
        <f>+BPJS!B24</f>
        <v>SUMARDI</v>
      </c>
      <c r="C23" s="204">
        <f t="shared" si="1"/>
        <v>77532</v>
      </c>
      <c r="D23" s="204">
        <f t="shared" si="0"/>
        <v>77532</v>
      </c>
      <c r="E23" s="204">
        <f t="shared" si="0"/>
        <v>77532</v>
      </c>
      <c r="F23" s="204">
        <f t="shared" si="0"/>
        <v>77532</v>
      </c>
      <c r="G23" s="204">
        <f t="shared" si="0"/>
        <v>77532</v>
      </c>
      <c r="H23" s="204">
        <f t="shared" si="0"/>
        <v>77532</v>
      </c>
      <c r="I23" s="205">
        <v>78542</v>
      </c>
      <c r="J23" s="205">
        <v>78542</v>
      </c>
      <c r="K23" s="205">
        <v>78542</v>
      </c>
      <c r="L23" s="205">
        <v>78542</v>
      </c>
      <c r="M23" s="205">
        <v>78542</v>
      </c>
      <c r="N23" s="205">
        <v>78542</v>
      </c>
      <c r="O23" s="152">
        <f t="shared" si="2"/>
        <v>936444</v>
      </c>
    </row>
    <row r="24" spans="1:15">
      <c r="A24" s="150">
        <v>16</v>
      </c>
      <c r="B24" s="149" t="str">
        <f>+BPJS!B25</f>
        <v>WIDODO JP</v>
      </c>
      <c r="C24" s="204">
        <f t="shared" si="1"/>
        <v>77532</v>
      </c>
      <c r="D24" s="204">
        <f t="shared" si="0"/>
        <v>77532</v>
      </c>
      <c r="E24" s="204">
        <f t="shared" si="0"/>
        <v>77532</v>
      </c>
      <c r="F24" s="204">
        <f t="shared" si="0"/>
        <v>77532</v>
      </c>
      <c r="G24" s="204">
        <f t="shared" si="0"/>
        <v>77532</v>
      </c>
      <c r="H24" s="204">
        <f t="shared" si="0"/>
        <v>77532</v>
      </c>
      <c r="I24" s="205">
        <v>78542</v>
      </c>
      <c r="J24" s="205">
        <v>78542</v>
      </c>
      <c r="K24" s="205">
        <v>78542</v>
      </c>
      <c r="L24" s="205">
        <v>78542</v>
      </c>
      <c r="M24" s="205">
        <v>78542</v>
      </c>
      <c r="N24" s="205">
        <v>78542</v>
      </c>
      <c r="O24" s="152">
        <f t="shared" si="2"/>
        <v>936444</v>
      </c>
    </row>
    <row r="25" spans="1:15">
      <c r="A25" s="150">
        <v>17</v>
      </c>
      <c r="B25" s="149" t="str">
        <f>+BPJS!B26</f>
        <v>ASBI ALGIFARI</v>
      </c>
      <c r="C25" s="204">
        <f t="shared" si="1"/>
        <v>77532</v>
      </c>
      <c r="D25" s="204">
        <f t="shared" si="1"/>
        <v>77532</v>
      </c>
      <c r="E25" s="204">
        <f t="shared" si="1"/>
        <v>77532</v>
      </c>
      <c r="F25" s="204">
        <f t="shared" si="1"/>
        <v>77532</v>
      </c>
      <c r="G25" s="204">
        <f t="shared" si="1"/>
        <v>77532</v>
      </c>
      <c r="H25" s="204">
        <f t="shared" si="1"/>
        <v>77532</v>
      </c>
      <c r="I25" s="205">
        <v>77952</v>
      </c>
      <c r="J25" s="205">
        <v>77952</v>
      </c>
      <c r="K25" s="205">
        <v>77952</v>
      </c>
      <c r="L25" s="205">
        <v>77952</v>
      </c>
      <c r="M25" s="205">
        <v>77952</v>
      </c>
      <c r="N25" s="205">
        <v>77952</v>
      </c>
      <c r="O25" s="152">
        <f t="shared" si="2"/>
        <v>932904</v>
      </c>
    </row>
    <row r="26" spans="1:15">
      <c r="A26" s="150">
        <v>18</v>
      </c>
      <c r="B26" s="149" t="str">
        <f>+BPJS!B27</f>
        <v>YANDI</v>
      </c>
      <c r="C26" s="204">
        <f t="shared" ref="C26:H83" si="3">3876600*2%</f>
        <v>77532</v>
      </c>
      <c r="D26" s="204">
        <f t="shared" si="3"/>
        <v>77532</v>
      </c>
      <c r="E26" s="204">
        <f t="shared" si="3"/>
        <v>77532</v>
      </c>
      <c r="F26" s="204">
        <f t="shared" si="3"/>
        <v>77532</v>
      </c>
      <c r="G26" s="204">
        <f t="shared" si="3"/>
        <v>77532</v>
      </c>
      <c r="H26" s="204">
        <f t="shared" si="3"/>
        <v>77532</v>
      </c>
      <c r="I26" s="205">
        <v>78192</v>
      </c>
      <c r="J26" s="205">
        <v>78192</v>
      </c>
      <c r="K26" s="205">
        <v>78192</v>
      </c>
      <c r="L26" s="205">
        <v>78192</v>
      </c>
      <c r="M26" s="205">
        <v>78192</v>
      </c>
      <c r="N26" s="205">
        <v>78192</v>
      </c>
      <c r="O26" s="152">
        <f t="shared" si="2"/>
        <v>934344</v>
      </c>
    </row>
    <row r="27" spans="1:15">
      <c r="A27" s="150">
        <v>19</v>
      </c>
      <c r="B27" s="149" t="str">
        <f>+BPJS!B28</f>
        <v>RIDHO AFRIZAL</v>
      </c>
      <c r="C27" s="204">
        <f t="shared" si="3"/>
        <v>77532</v>
      </c>
      <c r="D27" s="204">
        <f t="shared" si="3"/>
        <v>77532</v>
      </c>
      <c r="E27" s="204">
        <f t="shared" si="3"/>
        <v>77532</v>
      </c>
      <c r="F27" s="204">
        <f t="shared" si="3"/>
        <v>77532</v>
      </c>
      <c r="G27" s="204">
        <f t="shared" si="3"/>
        <v>77532</v>
      </c>
      <c r="H27" s="204">
        <f t="shared" si="3"/>
        <v>77532</v>
      </c>
      <c r="I27" s="205">
        <v>78132</v>
      </c>
      <c r="J27" s="205">
        <v>78132</v>
      </c>
      <c r="K27" s="205">
        <v>78192</v>
      </c>
      <c r="L27" s="205">
        <v>78192</v>
      </c>
      <c r="M27" s="205">
        <v>78192</v>
      </c>
      <c r="N27" s="205">
        <v>78192</v>
      </c>
      <c r="O27" s="152">
        <f t="shared" si="2"/>
        <v>934224</v>
      </c>
    </row>
    <row r="28" spans="1:15">
      <c r="A28" s="150">
        <v>20</v>
      </c>
      <c r="B28" s="149" t="str">
        <f>+BPJS!B29</f>
        <v>APRIZAL</v>
      </c>
      <c r="C28" s="204">
        <f t="shared" si="3"/>
        <v>77532</v>
      </c>
      <c r="D28" s="204">
        <f t="shared" si="3"/>
        <v>77532</v>
      </c>
      <c r="E28" s="204">
        <f t="shared" si="3"/>
        <v>77532</v>
      </c>
      <c r="F28" s="204">
        <f t="shared" si="3"/>
        <v>77532</v>
      </c>
      <c r="G28" s="204">
        <f t="shared" si="3"/>
        <v>77532</v>
      </c>
      <c r="H28" s="204">
        <f t="shared" si="3"/>
        <v>77532</v>
      </c>
      <c r="I28" s="205">
        <v>78132</v>
      </c>
      <c r="J28" s="205">
        <v>78132</v>
      </c>
      <c r="K28" s="205">
        <v>78192</v>
      </c>
      <c r="L28" s="205">
        <v>78192</v>
      </c>
      <c r="M28" s="205">
        <v>78192</v>
      </c>
      <c r="N28" s="205">
        <v>78192</v>
      </c>
      <c r="O28" s="152">
        <f t="shared" si="2"/>
        <v>934224</v>
      </c>
    </row>
    <row r="29" spans="1:15">
      <c r="A29" s="150">
        <v>21</v>
      </c>
      <c r="B29" s="149" t="str">
        <f>+BPJS!B30</f>
        <v>ERRY SAPUTRA</v>
      </c>
      <c r="C29" s="204">
        <f t="shared" si="3"/>
        <v>77532</v>
      </c>
      <c r="D29" s="204">
        <f t="shared" si="3"/>
        <v>77532</v>
      </c>
      <c r="E29" s="204">
        <f t="shared" si="3"/>
        <v>77532</v>
      </c>
      <c r="F29" s="204">
        <f t="shared" si="3"/>
        <v>77532</v>
      </c>
      <c r="G29" s="204">
        <f t="shared" si="3"/>
        <v>77532</v>
      </c>
      <c r="H29" s="204">
        <f t="shared" si="3"/>
        <v>77532</v>
      </c>
      <c r="I29" s="205">
        <v>78542</v>
      </c>
      <c r="J29" s="205">
        <v>78542</v>
      </c>
      <c r="K29" s="205">
        <v>78542</v>
      </c>
      <c r="L29" s="205">
        <v>78542</v>
      </c>
      <c r="M29" s="205">
        <v>78542</v>
      </c>
      <c r="N29" s="205">
        <v>78612</v>
      </c>
      <c r="O29" s="152">
        <f t="shared" si="2"/>
        <v>936514</v>
      </c>
    </row>
    <row r="30" spans="1:15">
      <c r="A30" s="150">
        <v>22</v>
      </c>
      <c r="B30" s="149" t="str">
        <f>+BPJS!B31</f>
        <v>ARWANDI</v>
      </c>
      <c r="C30" s="204">
        <f t="shared" si="3"/>
        <v>77532</v>
      </c>
      <c r="D30" s="204">
        <f t="shared" si="3"/>
        <v>77532</v>
      </c>
      <c r="E30" s="204">
        <f t="shared" si="3"/>
        <v>77532</v>
      </c>
      <c r="F30" s="204">
        <f t="shared" si="3"/>
        <v>77532</v>
      </c>
      <c r="G30" s="204">
        <f t="shared" si="3"/>
        <v>77532</v>
      </c>
      <c r="H30" s="204">
        <f t="shared" si="3"/>
        <v>77532</v>
      </c>
      <c r="I30" s="205">
        <v>79382</v>
      </c>
      <c r="J30" s="205">
        <v>79382</v>
      </c>
      <c r="K30" s="205">
        <v>79382</v>
      </c>
      <c r="L30" s="205">
        <v>79382</v>
      </c>
      <c r="M30" s="205">
        <v>79382</v>
      </c>
      <c r="N30" s="205">
        <v>79382</v>
      </c>
      <c r="O30" s="152">
        <f t="shared" si="2"/>
        <v>941484</v>
      </c>
    </row>
    <row r="31" spans="1:15">
      <c r="A31" s="150">
        <v>23</v>
      </c>
      <c r="B31" s="149" t="str">
        <f>+BPJS!B32</f>
        <v>RENDI PERJAYA</v>
      </c>
      <c r="C31" s="204">
        <f t="shared" si="3"/>
        <v>77532</v>
      </c>
      <c r="D31" s="204">
        <f t="shared" si="3"/>
        <v>77532</v>
      </c>
      <c r="E31" s="204">
        <f t="shared" si="3"/>
        <v>77532</v>
      </c>
      <c r="F31" s="204">
        <f t="shared" si="3"/>
        <v>77532</v>
      </c>
      <c r="G31" s="204">
        <f t="shared" si="3"/>
        <v>77532</v>
      </c>
      <c r="H31" s="204">
        <f t="shared" si="3"/>
        <v>77532</v>
      </c>
      <c r="I31" s="205">
        <v>78132</v>
      </c>
      <c r="J31" s="205">
        <v>78132</v>
      </c>
      <c r="K31" s="205">
        <v>78192</v>
      </c>
      <c r="L31" s="205">
        <v>78192</v>
      </c>
      <c r="M31" s="205">
        <v>78192</v>
      </c>
      <c r="N31" s="205">
        <v>78192</v>
      </c>
      <c r="O31" s="152">
        <f t="shared" si="2"/>
        <v>934224</v>
      </c>
    </row>
    <row r="32" spans="1:15">
      <c r="A32" s="150">
        <v>24</v>
      </c>
      <c r="B32" s="149" t="str">
        <f>+BPJS!B33</f>
        <v>ANDI</v>
      </c>
      <c r="C32" s="204">
        <f t="shared" si="3"/>
        <v>77532</v>
      </c>
      <c r="D32" s="204">
        <f t="shared" si="3"/>
        <v>77532</v>
      </c>
      <c r="E32" s="204">
        <f t="shared" si="3"/>
        <v>77532</v>
      </c>
      <c r="F32" s="204">
        <f t="shared" si="3"/>
        <v>77532</v>
      </c>
      <c r="G32" s="204">
        <f t="shared" si="3"/>
        <v>77532</v>
      </c>
      <c r="H32" s="204">
        <f t="shared" si="3"/>
        <v>77532</v>
      </c>
      <c r="I32" s="205">
        <v>79312</v>
      </c>
      <c r="J32" s="205">
        <v>79312</v>
      </c>
      <c r="K32" s="205">
        <v>79312</v>
      </c>
      <c r="L32" s="205">
        <v>79312</v>
      </c>
      <c r="M32" s="205">
        <v>79312</v>
      </c>
      <c r="N32" s="205">
        <v>79312</v>
      </c>
      <c r="O32" s="152">
        <f t="shared" si="2"/>
        <v>941064</v>
      </c>
    </row>
    <row r="33" spans="1:15">
      <c r="A33" s="150">
        <v>25</v>
      </c>
      <c r="B33" s="149" t="str">
        <f>+BPJS!B34</f>
        <v>JULI</v>
      </c>
      <c r="C33" s="204">
        <f t="shared" si="3"/>
        <v>77532</v>
      </c>
      <c r="D33" s="204">
        <f t="shared" si="3"/>
        <v>77532</v>
      </c>
      <c r="E33" s="204">
        <f t="shared" si="3"/>
        <v>77532</v>
      </c>
      <c r="F33" s="204">
        <f t="shared" si="3"/>
        <v>77532</v>
      </c>
      <c r="G33" s="204">
        <f t="shared" si="3"/>
        <v>77532</v>
      </c>
      <c r="H33" s="204">
        <f t="shared" si="3"/>
        <v>77532</v>
      </c>
      <c r="I33" s="205">
        <v>79382</v>
      </c>
      <c r="J33" s="205">
        <v>79382</v>
      </c>
      <c r="K33" s="205">
        <v>79382</v>
      </c>
      <c r="L33" s="205">
        <v>79382</v>
      </c>
      <c r="M33" s="205">
        <v>79382</v>
      </c>
      <c r="N33" s="205">
        <v>79382</v>
      </c>
      <c r="O33" s="152">
        <f t="shared" si="2"/>
        <v>941484</v>
      </c>
    </row>
    <row r="34" spans="1:15">
      <c r="A34" s="150">
        <v>26</v>
      </c>
      <c r="B34" s="149" t="str">
        <f>+BPJS!B35</f>
        <v>DICKY PRATAMA</v>
      </c>
      <c r="C34" s="204">
        <f t="shared" si="3"/>
        <v>77532</v>
      </c>
      <c r="D34" s="204">
        <f t="shared" si="3"/>
        <v>77532</v>
      </c>
      <c r="E34" s="204">
        <f t="shared" si="3"/>
        <v>77532</v>
      </c>
      <c r="F34" s="204">
        <f t="shared" si="3"/>
        <v>77532</v>
      </c>
      <c r="G34" s="204">
        <f t="shared" si="3"/>
        <v>77532</v>
      </c>
      <c r="H34" s="204">
        <f t="shared" si="3"/>
        <v>77532</v>
      </c>
      <c r="I34" s="205">
        <v>77632</v>
      </c>
      <c r="J34" s="205">
        <v>77632</v>
      </c>
      <c r="K34" s="205">
        <v>77632</v>
      </c>
      <c r="L34" s="205">
        <v>77632</v>
      </c>
      <c r="M34" s="205">
        <v>77632</v>
      </c>
      <c r="N34" s="205">
        <v>77632</v>
      </c>
      <c r="O34" s="152">
        <f t="shared" si="2"/>
        <v>930984</v>
      </c>
    </row>
    <row r="35" spans="1:15">
      <c r="A35" s="150">
        <v>27</v>
      </c>
      <c r="B35" s="149" t="str">
        <f>+BPJS!B36</f>
        <v>SUIP</v>
      </c>
      <c r="C35" s="204">
        <f t="shared" si="3"/>
        <v>77532</v>
      </c>
      <c r="D35" s="204">
        <f t="shared" si="3"/>
        <v>77532</v>
      </c>
      <c r="E35" s="204">
        <f t="shared" si="3"/>
        <v>77532</v>
      </c>
      <c r="F35" s="204">
        <f t="shared" si="3"/>
        <v>77532</v>
      </c>
      <c r="G35" s="204">
        <f t="shared" si="3"/>
        <v>77532</v>
      </c>
      <c r="H35" s="204">
        <f t="shared" si="3"/>
        <v>77532</v>
      </c>
      <c r="I35" s="205">
        <v>77952</v>
      </c>
      <c r="J35" s="205">
        <v>77952</v>
      </c>
      <c r="K35" s="205">
        <v>77952</v>
      </c>
      <c r="L35" s="205">
        <v>77952</v>
      </c>
      <c r="M35" s="205">
        <v>78012</v>
      </c>
      <c r="N35" s="205">
        <v>78012</v>
      </c>
      <c r="O35" s="152">
        <f t="shared" si="2"/>
        <v>933024</v>
      </c>
    </row>
    <row r="36" spans="1:15">
      <c r="A36" s="150">
        <v>28</v>
      </c>
      <c r="B36" s="149" t="str">
        <f>+BPJS!B37</f>
        <v>ROBIN DINATA</v>
      </c>
      <c r="C36" s="204">
        <f t="shared" si="3"/>
        <v>77532</v>
      </c>
      <c r="D36" s="204">
        <f t="shared" si="3"/>
        <v>77532</v>
      </c>
      <c r="E36" s="204">
        <f t="shared" si="3"/>
        <v>77532</v>
      </c>
      <c r="F36" s="204">
        <f t="shared" si="3"/>
        <v>77532</v>
      </c>
      <c r="G36" s="204">
        <f t="shared" si="3"/>
        <v>77532</v>
      </c>
      <c r="H36" s="204">
        <f t="shared" si="3"/>
        <v>77532</v>
      </c>
      <c r="I36" s="205">
        <v>77952</v>
      </c>
      <c r="J36" s="205">
        <v>77952</v>
      </c>
      <c r="K36" s="205">
        <v>77952</v>
      </c>
      <c r="L36" s="205">
        <v>77952</v>
      </c>
      <c r="M36" s="205">
        <v>78012</v>
      </c>
      <c r="N36" s="205">
        <v>78012</v>
      </c>
      <c r="O36" s="152">
        <f t="shared" si="2"/>
        <v>933024</v>
      </c>
    </row>
    <row r="37" spans="1:15">
      <c r="A37" s="150">
        <v>29</v>
      </c>
      <c r="B37" s="149" t="str">
        <f>+BPJS!B38</f>
        <v>SAPARUDIN</v>
      </c>
      <c r="C37" s="204">
        <f t="shared" si="3"/>
        <v>77532</v>
      </c>
      <c r="D37" s="204">
        <f t="shared" si="3"/>
        <v>77532</v>
      </c>
      <c r="E37" s="204">
        <f t="shared" si="3"/>
        <v>77532</v>
      </c>
      <c r="F37" s="204">
        <f t="shared" si="3"/>
        <v>77532</v>
      </c>
      <c r="G37" s="204">
        <f t="shared" si="3"/>
        <v>77532</v>
      </c>
      <c r="H37" s="204">
        <f t="shared" si="3"/>
        <v>77532</v>
      </c>
      <c r="I37" s="205">
        <v>77952</v>
      </c>
      <c r="J37" s="205">
        <v>77952</v>
      </c>
      <c r="K37" s="205">
        <v>77952</v>
      </c>
      <c r="L37" s="205">
        <v>77952</v>
      </c>
      <c r="M37" s="205">
        <v>77952</v>
      </c>
      <c r="N37" s="205">
        <v>77952</v>
      </c>
      <c r="O37" s="152">
        <f t="shared" ref="O37:O78" si="4">SUM(C37:N37)</f>
        <v>932904</v>
      </c>
    </row>
    <row r="38" spans="1:15">
      <c r="A38" s="150">
        <v>30</v>
      </c>
      <c r="B38" s="149" t="str">
        <f>+BPJS!B39</f>
        <v>SULTAN</v>
      </c>
      <c r="C38" s="204">
        <f t="shared" si="3"/>
        <v>77532</v>
      </c>
      <c r="D38" s="204">
        <f t="shared" si="3"/>
        <v>77532</v>
      </c>
      <c r="E38" s="204">
        <f t="shared" si="3"/>
        <v>77532</v>
      </c>
      <c r="F38" s="204">
        <f t="shared" si="3"/>
        <v>77532</v>
      </c>
      <c r="G38" s="204">
        <f t="shared" si="3"/>
        <v>77532</v>
      </c>
      <c r="H38" s="204">
        <f t="shared" si="3"/>
        <v>77532</v>
      </c>
      <c r="I38" s="205">
        <v>77892</v>
      </c>
      <c r="J38" s="205">
        <v>77952</v>
      </c>
      <c r="K38" s="205">
        <v>77952</v>
      </c>
      <c r="L38" s="205">
        <v>77952</v>
      </c>
      <c r="M38" s="205">
        <v>77952</v>
      </c>
      <c r="N38" s="205">
        <v>77952</v>
      </c>
      <c r="O38" s="152">
        <f t="shared" si="4"/>
        <v>932844</v>
      </c>
    </row>
    <row r="39" spans="1:15">
      <c r="A39" s="150">
        <v>31</v>
      </c>
      <c r="B39" s="149" t="str">
        <f>+BPJS!B40</f>
        <v>MANSUR</v>
      </c>
      <c r="C39" s="204">
        <f t="shared" ref="C39:H86" si="5">3876600*2%</f>
        <v>77532</v>
      </c>
      <c r="D39" s="204">
        <f t="shared" si="5"/>
        <v>77532</v>
      </c>
      <c r="E39" s="204">
        <f t="shared" si="5"/>
        <v>77532</v>
      </c>
      <c r="F39" s="204">
        <f t="shared" si="5"/>
        <v>77532</v>
      </c>
      <c r="G39" s="204">
        <f t="shared" si="5"/>
        <v>77532</v>
      </c>
      <c r="H39" s="204">
        <f t="shared" si="5"/>
        <v>77532</v>
      </c>
      <c r="I39" s="205">
        <v>77782</v>
      </c>
      <c r="J39" s="205">
        <v>77782</v>
      </c>
      <c r="K39" s="205">
        <v>77782</v>
      </c>
      <c r="L39" s="205">
        <v>77782</v>
      </c>
      <c r="M39" s="205">
        <v>77782</v>
      </c>
      <c r="N39" s="205">
        <v>77832</v>
      </c>
      <c r="O39" s="152">
        <f t="shared" si="4"/>
        <v>931934</v>
      </c>
    </row>
    <row r="40" spans="1:15">
      <c r="A40" s="150">
        <v>32</v>
      </c>
      <c r="B40" s="149" t="str">
        <f>+BPJS!B41</f>
        <v>RIDUAN</v>
      </c>
      <c r="C40" s="204">
        <f t="shared" si="5"/>
        <v>77532</v>
      </c>
      <c r="D40" s="204">
        <f t="shared" si="5"/>
        <v>77532</v>
      </c>
      <c r="E40" s="204">
        <f t="shared" si="5"/>
        <v>77532</v>
      </c>
      <c r="F40" s="204">
        <f t="shared" si="5"/>
        <v>77532</v>
      </c>
      <c r="G40" s="204">
        <f t="shared" si="5"/>
        <v>77532</v>
      </c>
      <c r="H40" s="204">
        <f t="shared" si="5"/>
        <v>77532</v>
      </c>
      <c r="I40" s="205">
        <v>77732</v>
      </c>
      <c r="J40" s="205">
        <v>77782</v>
      </c>
      <c r="K40" s="205">
        <v>77782</v>
      </c>
      <c r="L40" s="205">
        <v>77782</v>
      </c>
      <c r="M40" s="205">
        <v>77782</v>
      </c>
      <c r="N40" s="205">
        <v>77782</v>
      </c>
      <c r="O40" s="152">
        <f t="shared" si="4"/>
        <v>931834</v>
      </c>
    </row>
    <row r="41" spans="1:15">
      <c r="A41" s="150">
        <v>33</v>
      </c>
      <c r="B41" s="149" t="str">
        <f>+BPJS!B42</f>
        <v>SONJA PRIYOGA</v>
      </c>
      <c r="C41" s="204">
        <f t="shared" si="5"/>
        <v>77532</v>
      </c>
      <c r="D41" s="204">
        <f t="shared" si="5"/>
        <v>77532</v>
      </c>
      <c r="E41" s="204">
        <f t="shared" si="5"/>
        <v>77532</v>
      </c>
      <c r="F41" s="204">
        <f t="shared" si="5"/>
        <v>77532</v>
      </c>
      <c r="G41" s="204">
        <f t="shared" si="5"/>
        <v>77532</v>
      </c>
      <c r="H41" s="204">
        <f t="shared" si="5"/>
        <v>77532</v>
      </c>
      <c r="I41" s="205">
        <v>77732</v>
      </c>
      <c r="J41" s="205">
        <v>77732</v>
      </c>
      <c r="K41" s="205">
        <v>77732</v>
      </c>
      <c r="L41" s="205">
        <v>77732</v>
      </c>
      <c r="M41" s="205">
        <v>77732</v>
      </c>
      <c r="N41" s="205">
        <v>77732</v>
      </c>
      <c r="O41" s="152">
        <f t="shared" si="4"/>
        <v>931584</v>
      </c>
    </row>
    <row r="42" spans="1:15">
      <c r="A42" s="150">
        <v>34</v>
      </c>
      <c r="B42" s="149" t="str">
        <f>+BPJS!B43</f>
        <v>M.FAUZI</v>
      </c>
      <c r="C42" s="204">
        <f t="shared" si="5"/>
        <v>77532</v>
      </c>
      <c r="D42" s="204">
        <f t="shared" si="5"/>
        <v>77532</v>
      </c>
      <c r="E42" s="204">
        <f t="shared" si="5"/>
        <v>77532</v>
      </c>
      <c r="F42" s="410"/>
      <c r="G42" s="410"/>
      <c r="H42" s="410"/>
      <c r="I42" s="410"/>
      <c r="J42" s="410"/>
      <c r="K42" s="410"/>
      <c r="L42" s="410"/>
      <c r="M42" s="410"/>
      <c r="N42" s="410"/>
      <c r="O42" s="152">
        <f t="shared" si="4"/>
        <v>232596</v>
      </c>
    </row>
    <row r="43" spans="1:15">
      <c r="A43" s="150">
        <v>35</v>
      </c>
      <c r="B43" s="149" t="str">
        <f>+BPJS!B44</f>
        <v>DANI</v>
      </c>
      <c r="C43" s="204">
        <f t="shared" si="5"/>
        <v>77532</v>
      </c>
      <c r="D43" s="204">
        <f t="shared" si="5"/>
        <v>77532</v>
      </c>
      <c r="E43" s="204">
        <f t="shared" si="5"/>
        <v>77532</v>
      </c>
      <c r="F43" s="410"/>
      <c r="G43" s="410"/>
      <c r="H43" s="410"/>
      <c r="I43" s="410"/>
      <c r="J43" s="410"/>
      <c r="K43" s="410"/>
      <c r="L43" s="410"/>
      <c r="M43" s="410"/>
      <c r="N43" s="410"/>
      <c r="O43" s="152">
        <f t="shared" si="4"/>
        <v>232596</v>
      </c>
    </row>
    <row r="44" spans="1:15">
      <c r="A44" s="150">
        <v>36</v>
      </c>
      <c r="B44" s="149" t="str">
        <f>+BPJS!B45</f>
        <v>AHAP</v>
      </c>
      <c r="C44" s="204">
        <f t="shared" si="5"/>
        <v>77532</v>
      </c>
      <c r="D44" s="204">
        <f t="shared" si="5"/>
        <v>77532</v>
      </c>
      <c r="E44" s="204">
        <f t="shared" si="5"/>
        <v>77532</v>
      </c>
      <c r="F44" s="204">
        <f t="shared" si="5"/>
        <v>77532</v>
      </c>
      <c r="G44" s="204">
        <f t="shared" si="5"/>
        <v>77532</v>
      </c>
      <c r="H44" s="204">
        <f t="shared" si="5"/>
        <v>77532</v>
      </c>
      <c r="I44" s="205">
        <v>77632</v>
      </c>
      <c r="J44" s="205">
        <v>77632</v>
      </c>
      <c r="K44" s="205">
        <v>77632</v>
      </c>
      <c r="L44" s="205">
        <v>77632</v>
      </c>
      <c r="M44" s="205">
        <v>77632</v>
      </c>
      <c r="N44" s="205">
        <v>77632</v>
      </c>
      <c r="O44" s="152">
        <f t="shared" si="4"/>
        <v>930984</v>
      </c>
    </row>
    <row r="45" spans="1:15">
      <c r="A45" s="150">
        <v>37</v>
      </c>
      <c r="B45" s="149" t="str">
        <f>+BPJS!B46</f>
        <v>IHSAN</v>
      </c>
      <c r="C45" s="204">
        <f t="shared" si="5"/>
        <v>77532</v>
      </c>
      <c r="D45" s="204">
        <f t="shared" si="5"/>
        <v>77532</v>
      </c>
      <c r="E45" s="204">
        <f t="shared" si="5"/>
        <v>77532</v>
      </c>
      <c r="F45" s="204">
        <f t="shared" si="5"/>
        <v>77532</v>
      </c>
      <c r="G45" s="204">
        <f t="shared" si="5"/>
        <v>77532</v>
      </c>
      <c r="H45" s="204">
        <f t="shared" si="5"/>
        <v>77532</v>
      </c>
      <c r="I45" s="205">
        <v>77582</v>
      </c>
      <c r="J45" s="205">
        <v>77582</v>
      </c>
      <c r="K45" s="205">
        <v>77582</v>
      </c>
      <c r="L45" s="205">
        <v>77582</v>
      </c>
      <c r="M45" s="205">
        <v>77582</v>
      </c>
      <c r="N45" s="205">
        <v>77582</v>
      </c>
      <c r="O45" s="152">
        <f t="shared" si="4"/>
        <v>930684</v>
      </c>
    </row>
    <row r="46" spans="1:15">
      <c r="A46" s="150">
        <v>38</v>
      </c>
      <c r="B46" s="149" t="str">
        <f>+BPJS!B47</f>
        <v>BAGUSTIN</v>
      </c>
      <c r="C46" s="204">
        <f t="shared" si="5"/>
        <v>77532</v>
      </c>
      <c r="D46" s="204">
        <f t="shared" si="5"/>
        <v>77532</v>
      </c>
      <c r="E46" s="204">
        <f t="shared" si="5"/>
        <v>77532</v>
      </c>
      <c r="F46" s="410"/>
      <c r="G46" s="410"/>
      <c r="H46" s="410"/>
      <c r="I46" s="410"/>
      <c r="J46" s="410"/>
      <c r="K46" s="410"/>
      <c r="L46" s="410"/>
      <c r="M46" s="410"/>
      <c r="N46" s="410"/>
      <c r="O46" s="152">
        <f t="shared" si="4"/>
        <v>232596</v>
      </c>
    </row>
    <row r="47" spans="1:15">
      <c r="A47" s="150">
        <v>39</v>
      </c>
      <c r="B47" s="149" t="str">
        <f>+BPJS!B48</f>
        <v>HELDI SAPUTRA</v>
      </c>
      <c r="C47" s="204">
        <f t="shared" si="5"/>
        <v>77532</v>
      </c>
      <c r="D47" s="204">
        <f t="shared" si="5"/>
        <v>77532</v>
      </c>
      <c r="E47" s="204">
        <f t="shared" si="5"/>
        <v>77532</v>
      </c>
      <c r="F47" s="410"/>
      <c r="G47" s="410"/>
      <c r="H47" s="410"/>
      <c r="I47" s="410"/>
      <c r="J47" s="410"/>
      <c r="K47" s="410"/>
      <c r="L47" s="410"/>
      <c r="M47" s="410"/>
      <c r="N47" s="410"/>
      <c r="O47" s="152">
        <f t="shared" si="4"/>
        <v>232596</v>
      </c>
    </row>
    <row r="48" spans="1:15">
      <c r="A48" s="150">
        <v>40</v>
      </c>
      <c r="B48" s="149" t="str">
        <f>+BPJS!B49</f>
        <v>HARTONO</v>
      </c>
      <c r="C48" s="204">
        <f t="shared" si="5"/>
        <v>77532</v>
      </c>
      <c r="D48" s="204">
        <f t="shared" si="5"/>
        <v>77532</v>
      </c>
      <c r="E48" s="204">
        <f t="shared" si="5"/>
        <v>77532</v>
      </c>
      <c r="F48" s="410"/>
      <c r="G48" s="410"/>
      <c r="H48" s="410"/>
      <c r="I48" s="410"/>
      <c r="J48" s="410"/>
      <c r="K48" s="410"/>
      <c r="L48" s="410"/>
      <c r="M48" s="410"/>
      <c r="N48" s="410"/>
      <c r="O48" s="152">
        <f t="shared" si="4"/>
        <v>232596</v>
      </c>
    </row>
    <row r="49" spans="1:15">
      <c r="A49" s="150">
        <v>41</v>
      </c>
      <c r="B49" s="149" t="str">
        <f>+BPJS!B50</f>
        <v>QISTAHAM</v>
      </c>
      <c r="C49" s="204">
        <f t="shared" si="5"/>
        <v>77532</v>
      </c>
      <c r="D49" s="204">
        <f t="shared" si="5"/>
        <v>77532</v>
      </c>
      <c r="E49" s="204">
        <f t="shared" si="5"/>
        <v>77532</v>
      </c>
      <c r="F49" s="204">
        <f t="shared" si="5"/>
        <v>77532</v>
      </c>
      <c r="G49" s="204">
        <f t="shared" si="5"/>
        <v>77532</v>
      </c>
      <c r="H49" s="204">
        <f t="shared" si="5"/>
        <v>77532</v>
      </c>
      <c r="I49" s="205">
        <v>77582</v>
      </c>
      <c r="J49" s="205">
        <v>77582</v>
      </c>
      <c r="K49" s="205">
        <v>77582</v>
      </c>
      <c r="L49" s="205">
        <v>77582</v>
      </c>
      <c r="M49" s="205">
        <v>77582</v>
      </c>
      <c r="N49" s="205">
        <v>77582</v>
      </c>
      <c r="O49" s="152">
        <f t="shared" si="4"/>
        <v>930684</v>
      </c>
    </row>
    <row r="50" spans="1:15">
      <c r="A50" s="150">
        <v>42</v>
      </c>
      <c r="B50" s="149" t="str">
        <f>+BPJS!B51</f>
        <v>JAYADI</v>
      </c>
      <c r="C50" s="204">
        <f t="shared" si="5"/>
        <v>77532</v>
      </c>
      <c r="D50" s="204">
        <f t="shared" si="5"/>
        <v>77532</v>
      </c>
      <c r="E50" s="204">
        <f t="shared" si="5"/>
        <v>77532</v>
      </c>
      <c r="F50" s="204">
        <f t="shared" si="5"/>
        <v>77532</v>
      </c>
      <c r="G50" s="204">
        <f t="shared" si="5"/>
        <v>77532</v>
      </c>
      <c r="H50" s="204">
        <f t="shared" si="5"/>
        <v>77532</v>
      </c>
      <c r="I50" s="205">
        <v>77582</v>
      </c>
      <c r="J50" s="205">
        <v>77582</v>
      </c>
      <c r="K50" s="205">
        <v>77582</v>
      </c>
      <c r="L50" s="205">
        <v>77582</v>
      </c>
      <c r="M50" s="205">
        <v>77582</v>
      </c>
      <c r="N50" s="205">
        <v>77582</v>
      </c>
      <c r="O50" s="152">
        <f t="shared" si="4"/>
        <v>930684</v>
      </c>
    </row>
    <row r="51" spans="1:15">
      <c r="A51" s="150">
        <v>43</v>
      </c>
      <c r="B51" s="149" t="str">
        <f>+BPJS!B52</f>
        <v>MUHAMAD AMIN</v>
      </c>
      <c r="C51" s="204">
        <f t="shared" si="5"/>
        <v>77532</v>
      </c>
      <c r="D51" s="204">
        <f t="shared" si="5"/>
        <v>77532</v>
      </c>
      <c r="E51" s="204">
        <f t="shared" si="5"/>
        <v>77532</v>
      </c>
      <c r="F51" s="204">
        <f t="shared" si="5"/>
        <v>77532</v>
      </c>
      <c r="G51" s="204">
        <f t="shared" si="5"/>
        <v>77532</v>
      </c>
      <c r="H51" s="204">
        <f t="shared" si="5"/>
        <v>77532</v>
      </c>
      <c r="I51" s="205">
        <v>77582</v>
      </c>
      <c r="J51" s="205">
        <v>77582</v>
      </c>
      <c r="K51" s="205">
        <v>77582</v>
      </c>
      <c r="L51" s="205">
        <v>77582</v>
      </c>
      <c r="M51" s="205">
        <v>77582</v>
      </c>
      <c r="N51" s="205">
        <v>77582</v>
      </c>
      <c r="O51" s="152">
        <f t="shared" si="4"/>
        <v>930684</v>
      </c>
    </row>
    <row r="52" spans="1:15">
      <c r="A52" s="150">
        <v>44</v>
      </c>
      <c r="B52" s="149" t="str">
        <f>+BPJS!B53</f>
        <v>SAMSUL HADI</v>
      </c>
      <c r="C52" s="204">
        <f t="shared" ref="C52:H87" si="6">3876600*2%</f>
        <v>77532</v>
      </c>
      <c r="D52" s="204">
        <f t="shared" si="6"/>
        <v>77532</v>
      </c>
      <c r="E52" s="204">
        <f t="shared" si="6"/>
        <v>77532</v>
      </c>
      <c r="F52" s="204">
        <f t="shared" si="6"/>
        <v>77532</v>
      </c>
      <c r="G52" s="204">
        <f t="shared" si="6"/>
        <v>77532</v>
      </c>
      <c r="H52" s="204">
        <f t="shared" si="6"/>
        <v>77532</v>
      </c>
      <c r="I52" s="205">
        <v>77532</v>
      </c>
      <c r="J52" s="205">
        <v>77532</v>
      </c>
      <c r="K52" s="205">
        <v>77532</v>
      </c>
      <c r="L52" s="205">
        <v>77532</v>
      </c>
      <c r="M52" s="205">
        <v>77582</v>
      </c>
      <c r="N52" s="205">
        <v>77582</v>
      </c>
      <c r="O52" s="152">
        <f t="shared" si="4"/>
        <v>930484</v>
      </c>
    </row>
    <row r="53" spans="1:15">
      <c r="A53" s="150">
        <v>45</v>
      </c>
      <c r="B53" s="149" t="str">
        <f>+BPJS!B54</f>
        <v>SAPARUDIN</v>
      </c>
      <c r="C53" s="204">
        <f t="shared" si="6"/>
        <v>77532</v>
      </c>
      <c r="D53" s="204">
        <f t="shared" si="6"/>
        <v>77532</v>
      </c>
      <c r="E53" s="204">
        <f t="shared" si="6"/>
        <v>77532</v>
      </c>
      <c r="F53" s="204">
        <f t="shared" si="6"/>
        <v>77532</v>
      </c>
      <c r="G53" s="204">
        <f t="shared" si="6"/>
        <v>77532</v>
      </c>
      <c r="H53" s="204">
        <f t="shared" si="6"/>
        <v>77532</v>
      </c>
      <c r="I53" s="205">
        <v>77532</v>
      </c>
      <c r="J53" s="205">
        <v>77532</v>
      </c>
      <c r="K53" s="205">
        <v>77532</v>
      </c>
      <c r="L53" s="205">
        <v>77532</v>
      </c>
      <c r="M53" s="205">
        <v>77582</v>
      </c>
      <c r="N53" s="205">
        <v>77582</v>
      </c>
      <c r="O53" s="152">
        <f t="shared" si="4"/>
        <v>930484</v>
      </c>
    </row>
    <row r="54" spans="1:15">
      <c r="A54" s="150">
        <v>46</v>
      </c>
      <c r="B54" s="149" t="str">
        <f>+BPJS!B55</f>
        <v>MUHAMAD FAUZI</v>
      </c>
      <c r="C54" s="204">
        <f t="shared" si="6"/>
        <v>77532</v>
      </c>
      <c r="D54" s="204">
        <f t="shared" si="6"/>
        <v>77532</v>
      </c>
      <c r="E54" s="204">
        <f t="shared" si="6"/>
        <v>77532</v>
      </c>
      <c r="F54" s="410"/>
      <c r="G54" s="410"/>
      <c r="H54" s="410"/>
      <c r="I54" s="410"/>
      <c r="J54" s="410"/>
      <c r="K54" s="410"/>
      <c r="L54" s="410"/>
      <c r="M54" s="410"/>
      <c r="N54" s="410"/>
      <c r="O54" s="152">
        <f t="shared" si="4"/>
        <v>232596</v>
      </c>
    </row>
    <row r="55" spans="1:15">
      <c r="A55" s="150">
        <v>47</v>
      </c>
      <c r="B55" s="149" t="str">
        <f>+BPJS!B56</f>
        <v>MAHYUDIN</v>
      </c>
      <c r="C55" s="204">
        <f t="shared" si="6"/>
        <v>77532</v>
      </c>
      <c r="D55" s="204">
        <f t="shared" si="6"/>
        <v>77532</v>
      </c>
      <c r="E55" s="204">
        <f t="shared" si="6"/>
        <v>77532</v>
      </c>
      <c r="F55" s="410"/>
      <c r="G55" s="410"/>
      <c r="H55" s="410"/>
      <c r="I55" s="410"/>
      <c r="J55" s="410"/>
      <c r="K55" s="410"/>
      <c r="L55" s="410"/>
      <c r="M55" s="410"/>
      <c r="N55" s="410"/>
      <c r="O55" s="152">
        <f t="shared" si="4"/>
        <v>232596</v>
      </c>
    </row>
    <row r="56" spans="1:15">
      <c r="A56" s="150">
        <v>48</v>
      </c>
      <c r="B56" s="149" t="str">
        <f>+BPJS!B57</f>
        <v>ASRI</v>
      </c>
      <c r="C56" s="204">
        <f t="shared" si="6"/>
        <v>77532</v>
      </c>
      <c r="D56" s="204">
        <f t="shared" si="6"/>
        <v>77532</v>
      </c>
      <c r="E56" s="204">
        <f t="shared" si="6"/>
        <v>77532</v>
      </c>
      <c r="F56" s="204">
        <f t="shared" si="6"/>
        <v>77532</v>
      </c>
      <c r="G56" s="204">
        <f t="shared" si="6"/>
        <v>77532</v>
      </c>
      <c r="H56" s="204">
        <f t="shared" si="6"/>
        <v>77532</v>
      </c>
      <c r="I56" s="204">
        <v>77532</v>
      </c>
      <c r="J56" s="204">
        <v>77532</v>
      </c>
      <c r="K56" s="204">
        <v>77532</v>
      </c>
      <c r="L56" s="412"/>
      <c r="M56" s="410"/>
      <c r="N56" s="410"/>
      <c r="O56" s="152">
        <f t="shared" si="4"/>
        <v>697788</v>
      </c>
    </row>
    <row r="57" spans="1:15">
      <c r="A57" s="150">
        <v>49</v>
      </c>
      <c r="B57" s="149" t="str">
        <f>+BPJS!B58</f>
        <v>RUSDIANTO</v>
      </c>
      <c r="C57" s="204">
        <f t="shared" si="6"/>
        <v>77532</v>
      </c>
      <c r="D57" s="410"/>
      <c r="E57" s="410"/>
      <c r="F57" s="410"/>
      <c r="G57" s="410"/>
      <c r="H57" s="410"/>
      <c r="I57" s="411"/>
      <c r="J57" s="405"/>
      <c r="K57" s="406"/>
      <c r="L57" s="412"/>
      <c r="M57" s="410"/>
      <c r="N57" s="410"/>
      <c r="O57" s="152">
        <f t="shared" si="4"/>
        <v>77532</v>
      </c>
    </row>
    <row r="58" spans="1:15">
      <c r="A58" s="150">
        <v>50</v>
      </c>
      <c r="B58" s="149" t="str">
        <f>+BPJS!B59</f>
        <v>LALU MUHAMAD HADI</v>
      </c>
      <c r="C58" s="204">
        <f t="shared" si="6"/>
        <v>77532</v>
      </c>
      <c r="D58" s="412"/>
      <c r="E58" s="412"/>
      <c r="F58" s="410"/>
      <c r="G58" s="410"/>
      <c r="H58" s="410"/>
      <c r="I58" s="410"/>
      <c r="J58" s="410"/>
      <c r="K58" s="410"/>
      <c r="L58" s="410"/>
      <c r="M58" s="410"/>
      <c r="N58" s="410"/>
      <c r="O58" s="152">
        <f t="shared" si="4"/>
        <v>77532</v>
      </c>
    </row>
    <row r="59" spans="1:15">
      <c r="A59" s="150">
        <v>51</v>
      </c>
      <c r="B59" s="149" t="str">
        <f>+BPJS!B60</f>
        <v>RIJAL</v>
      </c>
      <c r="C59" s="204">
        <f t="shared" si="6"/>
        <v>77532</v>
      </c>
      <c r="D59" s="204">
        <f t="shared" si="6"/>
        <v>77532</v>
      </c>
      <c r="E59" s="204">
        <f t="shared" si="6"/>
        <v>77532</v>
      </c>
      <c r="F59" s="204">
        <f t="shared" si="6"/>
        <v>77532</v>
      </c>
      <c r="G59" s="204">
        <f t="shared" si="6"/>
        <v>77532</v>
      </c>
      <c r="H59" s="204">
        <f t="shared" si="6"/>
        <v>77532</v>
      </c>
      <c r="I59" s="205">
        <v>77732</v>
      </c>
      <c r="J59" s="205">
        <v>77732</v>
      </c>
      <c r="K59" s="205">
        <v>77782</v>
      </c>
      <c r="L59" s="205">
        <v>77782</v>
      </c>
      <c r="M59" s="205">
        <v>77782</v>
      </c>
      <c r="N59" s="205">
        <v>77782</v>
      </c>
      <c r="O59" s="152">
        <f t="shared" si="4"/>
        <v>931784</v>
      </c>
    </row>
    <row r="60" spans="1:15">
      <c r="A60" s="150">
        <v>52</v>
      </c>
      <c r="B60" s="149" t="str">
        <f>+BPJS!B61</f>
        <v>FAHRUDIN</v>
      </c>
      <c r="C60" s="410"/>
      <c r="D60" s="412"/>
      <c r="E60" s="204">
        <f t="shared" si="6"/>
        <v>77532</v>
      </c>
      <c r="F60" s="204">
        <f t="shared" si="6"/>
        <v>77532</v>
      </c>
      <c r="G60" s="204">
        <f t="shared" si="6"/>
        <v>77532</v>
      </c>
      <c r="H60" s="204">
        <f t="shared" si="6"/>
        <v>77532</v>
      </c>
      <c r="I60" s="205">
        <v>77532</v>
      </c>
      <c r="J60" s="205">
        <v>77532</v>
      </c>
      <c r="K60" s="205">
        <v>77532</v>
      </c>
      <c r="L60" s="205">
        <v>77532</v>
      </c>
      <c r="M60" s="205">
        <v>77532</v>
      </c>
      <c r="N60" s="205">
        <v>77532</v>
      </c>
      <c r="O60" s="152">
        <f t="shared" si="4"/>
        <v>775320</v>
      </c>
    </row>
    <row r="61" spans="1:15">
      <c r="A61" s="150">
        <v>53</v>
      </c>
      <c r="B61" s="149" t="str">
        <f>+BPJS!B62</f>
        <v>HERIANTO ARBI</v>
      </c>
      <c r="C61" s="410"/>
      <c r="D61" s="412"/>
      <c r="E61" s="412"/>
      <c r="F61" s="410"/>
      <c r="G61" s="204">
        <f t="shared" si="6"/>
        <v>77532</v>
      </c>
      <c r="H61" s="204">
        <f t="shared" si="6"/>
        <v>77532</v>
      </c>
      <c r="I61" s="205">
        <v>77532</v>
      </c>
      <c r="J61" s="205">
        <v>77532</v>
      </c>
      <c r="K61" s="205">
        <v>77532</v>
      </c>
      <c r="L61" s="205">
        <v>77532</v>
      </c>
      <c r="M61" s="205">
        <v>77532</v>
      </c>
      <c r="N61" s="205">
        <v>77532</v>
      </c>
      <c r="O61" s="152">
        <f t="shared" si="4"/>
        <v>620256</v>
      </c>
    </row>
    <row r="62" spans="1:15">
      <c r="A62" s="150">
        <v>54</v>
      </c>
      <c r="B62" s="149" t="str">
        <f>+BPJS!B63</f>
        <v>EKO SUMANJAYA</v>
      </c>
      <c r="C62" s="205">
        <v>77532</v>
      </c>
      <c r="D62" s="204">
        <v>77532</v>
      </c>
      <c r="E62" s="204">
        <v>77532</v>
      </c>
      <c r="F62" s="205">
        <v>77532</v>
      </c>
      <c r="G62" s="205">
        <v>77532</v>
      </c>
      <c r="H62" s="205">
        <v>77532</v>
      </c>
      <c r="I62" s="205">
        <v>78132</v>
      </c>
      <c r="J62" s="205">
        <v>78132</v>
      </c>
      <c r="K62" s="205">
        <v>78132</v>
      </c>
      <c r="L62" s="205">
        <v>78192</v>
      </c>
      <c r="M62" s="205">
        <v>78192</v>
      </c>
      <c r="N62" s="205">
        <v>78192</v>
      </c>
      <c r="O62" s="152">
        <f t="shared" si="4"/>
        <v>934164</v>
      </c>
    </row>
    <row r="63" spans="1:15">
      <c r="A63" s="150">
        <v>55</v>
      </c>
      <c r="B63" s="149" t="str">
        <f>+BPJS!B64</f>
        <v>DEKY FRANZA</v>
      </c>
      <c r="C63" s="205">
        <v>77532</v>
      </c>
      <c r="D63" s="204">
        <v>77532</v>
      </c>
      <c r="E63" s="204">
        <v>77532</v>
      </c>
      <c r="F63" s="205">
        <v>77532</v>
      </c>
      <c r="G63" s="205">
        <v>77532</v>
      </c>
      <c r="H63" s="222">
        <v>77532</v>
      </c>
      <c r="I63" s="204">
        <v>77582</v>
      </c>
      <c r="J63" s="205">
        <v>77582</v>
      </c>
      <c r="K63" s="205">
        <v>77582</v>
      </c>
      <c r="L63" s="205">
        <v>77582</v>
      </c>
      <c r="M63" s="205">
        <v>77582</v>
      </c>
      <c r="N63" s="205">
        <v>77582</v>
      </c>
      <c r="O63" s="152">
        <f t="shared" si="4"/>
        <v>930684</v>
      </c>
    </row>
    <row r="64" spans="1:15">
      <c r="A64" s="150">
        <v>56</v>
      </c>
      <c r="B64" s="149" t="str">
        <f>+BPJS!B65</f>
        <v>SUMARDI</v>
      </c>
      <c r="C64" s="205">
        <v>77532</v>
      </c>
      <c r="D64" s="204">
        <v>77532</v>
      </c>
      <c r="E64" s="204">
        <v>77532</v>
      </c>
      <c r="F64" s="205">
        <v>77532</v>
      </c>
      <c r="G64" s="205">
        <v>77532</v>
      </c>
      <c r="H64" s="205">
        <v>77532</v>
      </c>
      <c r="I64" s="205">
        <v>78012</v>
      </c>
      <c r="J64" s="205">
        <v>78072</v>
      </c>
      <c r="K64" s="205">
        <v>78072</v>
      </c>
      <c r="L64" s="205">
        <v>78072</v>
      </c>
      <c r="M64" s="205">
        <v>78072</v>
      </c>
      <c r="N64" s="205">
        <v>78072</v>
      </c>
      <c r="O64" s="152">
        <f t="shared" si="4"/>
        <v>933564</v>
      </c>
    </row>
    <row r="65" spans="1:15">
      <c r="A65" s="150">
        <v>57</v>
      </c>
      <c r="B65" s="149" t="str">
        <f>+BPJS!B66</f>
        <v>SUKARDI</v>
      </c>
      <c r="C65" s="205">
        <v>77532</v>
      </c>
      <c r="D65" s="204">
        <v>77532</v>
      </c>
      <c r="E65" s="204">
        <v>77532</v>
      </c>
      <c r="F65" s="205">
        <v>77532</v>
      </c>
      <c r="G65" s="205">
        <v>77532</v>
      </c>
      <c r="H65" s="205">
        <v>77532</v>
      </c>
      <c r="I65" s="205">
        <v>77582</v>
      </c>
      <c r="J65" s="205">
        <v>77582</v>
      </c>
      <c r="K65" s="205">
        <v>77582</v>
      </c>
      <c r="L65" s="205">
        <v>77582</v>
      </c>
      <c r="M65" s="205">
        <v>77582</v>
      </c>
      <c r="N65" s="205">
        <v>77582</v>
      </c>
      <c r="O65" s="152">
        <f t="shared" si="4"/>
        <v>930684</v>
      </c>
    </row>
    <row r="66" spans="1:15">
      <c r="A66" s="150">
        <v>58</v>
      </c>
      <c r="B66" s="149" t="str">
        <f>+BPJS!B67</f>
        <v>YANTI NOVITA</v>
      </c>
      <c r="C66" s="205">
        <v>77532</v>
      </c>
      <c r="D66" s="204">
        <v>77532</v>
      </c>
      <c r="E66" s="204">
        <v>77532</v>
      </c>
      <c r="F66" s="204">
        <v>77532</v>
      </c>
      <c r="G66" s="205">
        <v>77532</v>
      </c>
      <c r="H66" s="205">
        <v>77532</v>
      </c>
      <c r="I66" s="205">
        <v>78472</v>
      </c>
      <c r="J66" s="205">
        <v>78472</v>
      </c>
      <c r="K66" s="205">
        <v>78472</v>
      </c>
      <c r="L66" s="205">
        <v>78472</v>
      </c>
      <c r="M66" s="205">
        <v>78472</v>
      </c>
      <c r="N66" s="205">
        <v>78542</v>
      </c>
      <c r="O66" s="152">
        <f t="shared" si="4"/>
        <v>936094</v>
      </c>
    </row>
    <row r="67" spans="1:15">
      <c r="A67" s="150">
        <v>59</v>
      </c>
      <c r="B67" s="149" t="str">
        <f>+BPJS!B68</f>
        <v>FRANSISCO GAUTAMA</v>
      </c>
      <c r="C67" s="205">
        <v>77532</v>
      </c>
      <c r="D67" s="204">
        <v>77532</v>
      </c>
      <c r="E67" s="204">
        <v>77532</v>
      </c>
      <c r="F67" s="204">
        <v>77532</v>
      </c>
      <c r="G67" s="205">
        <v>77532</v>
      </c>
      <c r="H67" s="205">
        <v>77532</v>
      </c>
      <c r="I67" s="205">
        <v>78262</v>
      </c>
      <c r="J67" s="205">
        <v>78262</v>
      </c>
      <c r="K67" s="205">
        <v>78262</v>
      </c>
      <c r="L67" s="205">
        <v>78262</v>
      </c>
      <c r="M67" s="205">
        <v>78262</v>
      </c>
      <c r="N67" s="205">
        <v>78332</v>
      </c>
      <c r="O67" s="152">
        <f t="shared" si="4"/>
        <v>934834</v>
      </c>
    </row>
    <row r="68" spans="1:15">
      <c r="A68" s="150">
        <v>60</v>
      </c>
      <c r="B68" s="149" t="str">
        <f>+BPJS!B69</f>
        <v>MUSDI</v>
      </c>
      <c r="C68" s="205">
        <v>77532</v>
      </c>
      <c r="D68" s="205">
        <v>77532</v>
      </c>
      <c r="E68" s="205">
        <v>77532</v>
      </c>
      <c r="F68" s="205">
        <v>77532</v>
      </c>
      <c r="G68" s="205">
        <v>77532</v>
      </c>
      <c r="H68" s="205">
        <v>77532</v>
      </c>
      <c r="I68" s="205">
        <v>78012</v>
      </c>
      <c r="J68" s="205">
        <v>78012</v>
      </c>
      <c r="K68" s="205">
        <v>78072</v>
      </c>
      <c r="L68" s="205">
        <v>78072</v>
      </c>
      <c r="M68" s="205">
        <v>78072</v>
      </c>
      <c r="N68" s="205">
        <v>78072</v>
      </c>
      <c r="O68" s="152">
        <f t="shared" si="4"/>
        <v>933504</v>
      </c>
    </row>
    <row r="69" spans="1:15">
      <c r="A69" s="150">
        <v>61</v>
      </c>
      <c r="B69" s="149" t="str">
        <f>+BPJS!B70</f>
        <v>M.IDRIS PRATAMA</v>
      </c>
      <c r="C69" s="205">
        <v>77532</v>
      </c>
      <c r="D69" s="205">
        <v>77532</v>
      </c>
      <c r="E69" s="205">
        <v>77532</v>
      </c>
      <c r="F69" s="205">
        <v>77532</v>
      </c>
      <c r="G69" s="205">
        <v>77532</v>
      </c>
      <c r="H69" s="205">
        <v>77532</v>
      </c>
      <c r="I69" s="205">
        <v>77632</v>
      </c>
      <c r="J69" s="205">
        <v>77632</v>
      </c>
      <c r="K69" s="205">
        <v>77632</v>
      </c>
      <c r="L69" s="205">
        <v>77632</v>
      </c>
      <c r="M69" s="205">
        <v>77632</v>
      </c>
      <c r="N69" s="205">
        <v>77632</v>
      </c>
      <c r="O69" s="152">
        <f t="shared" si="4"/>
        <v>930984</v>
      </c>
    </row>
    <row r="70" spans="1:15">
      <c r="A70" s="150">
        <v>62</v>
      </c>
      <c r="B70" s="149" t="str">
        <f>+BPJS!B71</f>
        <v>NOLA WILANDA</v>
      </c>
      <c r="C70" s="410"/>
      <c r="D70" s="412"/>
      <c r="E70" s="412"/>
      <c r="F70" s="412"/>
      <c r="G70" s="410"/>
      <c r="H70" s="410"/>
      <c r="I70" s="410"/>
      <c r="J70" s="410"/>
      <c r="K70" s="205">
        <v>77532</v>
      </c>
      <c r="L70" s="205">
        <v>77532</v>
      </c>
      <c r="M70" s="205">
        <v>77532</v>
      </c>
      <c r="N70" s="205">
        <v>77532</v>
      </c>
      <c r="O70" s="152">
        <f t="shared" si="4"/>
        <v>310128</v>
      </c>
    </row>
    <row r="71" spans="1:15">
      <c r="A71" s="150">
        <v>63</v>
      </c>
      <c r="B71" s="149" t="str">
        <f>+BPJS!B72</f>
        <v>AGUSTIAN</v>
      </c>
      <c r="C71" s="410"/>
      <c r="D71" s="410"/>
      <c r="E71" s="410"/>
      <c r="F71" s="410"/>
      <c r="G71" s="410"/>
      <c r="H71" s="410"/>
      <c r="I71" s="410"/>
      <c r="J71" s="410"/>
      <c r="K71" s="205">
        <v>77532</v>
      </c>
      <c r="L71" s="205">
        <v>77532</v>
      </c>
      <c r="M71" s="205">
        <v>77532</v>
      </c>
      <c r="N71" s="205">
        <v>77532</v>
      </c>
      <c r="O71" s="152">
        <f t="shared" si="4"/>
        <v>310128</v>
      </c>
    </row>
    <row r="72" spans="1:15">
      <c r="A72" s="150">
        <v>64</v>
      </c>
      <c r="B72" s="149" t="str">
        <f>+BPJS!B73</f>
        <v>DWI MARZETI</v>
      </c>
      <c r="C72" s="410"/>
      <c r="D72" s="410"/>
      <c r="E72" s="410"/>
      <c r="F72" s="410"/>
      <c r="G72" s="410"/>
      <c r="H72" s="410"/>
      <c r="I72" s="410"/>
      <c r="J72" s="410"/>
      <c r="K72" s="205">
        <v>77532</v>
      </c>
      <c r="L72" s="205">
        <v>77532</v>
      </c>
      <c r="M72" s="205">
        <v>77532</v>
      </c>
      <c r="N72" s="205">
        <v>77532</v>
      </c>
      <c r="O72" s="152">
        <f t="shared" si="4"/>
        <v>310128</v>
      </c>
    </row>
    <row r="73" spans="1:15">
      <c r="A73" s="150">
        <v>65</v>
      </c>
      <c r="B73" s="149" t="str">
        <f>+BPJS!B74</f>
        <v>SUTRA PRAYOGI</v>
      </c>
      <c r="C73" s="410"/>
      <c r="D73" s="410"/>
      <c r="E73" s="410"/>
      <c r="F73" s="410"/>
      <c r="G73" s="410"/>
      <c r="H73" s="410"/>
      <c r="I73" s="410"/>
      <c r="J73" s="410"/>
      <c r="K73" s="410"/>
      <c r="L73" s="205">
        <v>77532</v>
      </c>
      <c r="M73" s="205">
        <v>77532</v>
      </c>
      <c r="N73" s="205">
        <v>77532</v>
      </c>
      <c r="O73" s="152">
        <f t="shared" si="4"/>
        <v>232596</v>
      </c>
    </row>
    <row r="74" spans="1:15">
      <c r="A74" s="150">
        <v>66</v>
      </c>
      <c r="B74" s="149" t="str">
        <f>+BPJS!B75</f>
        <v>SAHARUDIN</v>
      </c>
      <c r="C74" s="161">
        <f t="shared" ref="C74:H74" si="7">3876600*2%</f>
        <v>77532</v>
      </c>
      <c r="D74" s="161">
        <f t="shared" si="7"/>
        <v>77532</v>
      </c>
      <c r="E74" s="161">
        <f t="shared" si="7"/>
        <v>77532</v>
      </c>
      <c r="F74" s="161">
        <f t="shared" si="7"/>
        <v>77532</v>
      </c>
      <c r="G74" s="161">
        <f t="shared" si="7"/>
        <v>77532</v>
      </c>
      <c r="H74" s="161">
        <f t="shared" si="7"/>
        <v>77532</v>
      </c>
      <c r="I74" s="161">
        <v>78132</v>
      </c>
      <c r="J74" s="161">
        <v>78132</v>
      </c>
      <c r="K74" s="161">
        <v>78132</v>
      </c>
      <c r="L74" s="161">
        <v>78192</v>
      </c>
      <c r="M74" s="161">
        <v>78192</v>
      </c>
      <c r="N74" s="161">
        <v>78192</v>
      </c>
      <c r="O74" s="152">
        <f t="shared" si="4"/>
        <v>934164</v>
      </c>
    </row>
    <row r="75" spans="1:15">
      <c r="A75" s="150">
        <v>67</v>
      </c>
      <c r="B75" s="149">
        <f>+BPJS!B76</f>
        <v>0</v>
      </c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152">
        <f t="shared" si="4"/>
        <v>0</v>
      </c>
    </row>
    <row r="76" spans="1:15">
      <c r="A76" s="150">
        <v>68</v>
      </c>
      <c r="B76" s="149">
        <f>+BPJS!B77</f>
        <v>0</v>
      </c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152">
        <f t="shared" si="4"/>
        <v>0</v>
      </c>
    </row>
    <row r="77" spans="1:15">
      <c r="A77" s="150">
        <v>69</v>
      </c>
      <c r="B77" s="149">
        <f>+BPJS!B78</f>
        <v>0</v>
      </c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152">
        <f t="shared" si="4"/>
        <v>0</v>
      </c>
    </row>
    <row r="78" spans="1:15">
      <c r="A78" s="150">
        <v>70</v>
      </c>
      <c r="B78" s="149">
        <f>+BPJS!B79</f>
        <v>0</v>
      </c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152">
        <f t="shared" si="4"/>
        <v>0</v>
      </c>
    </row>
    <row r="79" spans="1:15">
      <c r="A79" s="208"/>
      <c r="B79" s="209"/>
      <c r="C79" s="210">
        <f>SUM(C9:C78)</f>
        <v>4651920</v>
      </c>
      <c r="D79" s="210">
        <f t="shared" ref="D79:O79" si="8">SUM(D9:D78)</f>
        <v>4496856</v>
      </c>
      <c r="E79" s="210">
        <f t="shared" si="8"/>
        <v>4574388</v>
      </c>
      <c r="F79" s="210">
        <f t="shared" si="8"/>
        <v>4031664</v>
      </c>
      <c r="G79" s="210">
        <f t="shared" si="8"/>
        <v>3954132</v>
      </c>
      <c r="H79" s="210">
        <f t="shared" si="8"/>
        <v>3954132</v>
      </c>
      <c r="I79" s="210">
        <f t="shared" si="8"/>
        <v>3984782</v>
      </c>
      <c r="J79" s="210">
        <f t="shared" si="8"/>
        <v>3985022</v>
      </c>
      <c r="K79" s="210">
        <f t="shared" si="8"/>
        <v>4218088</v>
      </c>
      <c r="L79" s="210">
        <f t="shared" si="8"/>
        <v>4218208</v>
      </c>
      <c r="M79" s="210">
        <f t="shared" si="8"/>
        <v>4218428</v>
      </c>
      <c r="N79" s="210">
        <f t="shared" si="8"/>
        <v>4218688</v>
      </c>
      <c r="O79" s="210">
        <f t="shared" si="8"/>
        <v>50506308</v>
      </c>
    </row>
    <row r="81" spans="1:15" hidden="1">
      <c r="A81" s="150">
        <v>29</v>
      </c>
      <c r="B81" s="149" t="str">
        <f>+BPJS!B86</f>
        <v>MUSNI</v>
      </c>
      <c r="C81" s="204">
        <f t="shared" si="3"/>
        <v>77532</v>
      </c>
      <c r="D81" s="204">
        <f t="shared" si="3"/>
        <v>77532</v>
      </c>
      <c r="E81" s="204">
        <f t="shared" si="3"/>
        <v>77532</v>
      </c>
      <c r="F81" s="204">
        <f t="shared" si="3"/>
        <v>77532</v>
      </c>
      <c r="G81" s="204">
        <f t="shared" si="3"/>
        <v>77532</v>
      </c>
      <c r="H81" s="204">
        <f t="shared" si="3"/>
        <v>77532</v>
      </c>
      <c r="I81" s="205">
        <v>77952</v>
      </c>
      <c r="J81" s="205"/>
      <c r="K81" s="205"/>
      <c r="L81" s="205"/>
      <c r="M81" s="205"/>
      <c r="N81" s="205"/>
      <c r="O81" s="152">
        <f t="shared" ref="O81:O87" si="9">SUM(C81:N81)</f>
        <v>543144</v>
      </c>
    </row>
    <row r="82" spans="1:15" hidden="1">
      <c r="A82" s="150">
        <v>31</v>
      </c>
      <c r="B82" s="149" t="str">
        <f>+BPJS!B87</f>
        <v>ARPANDI</v>
      </c>
      <c r="C82" s="204">
        <f t="shared" si="3"/>
        <v>77532</v>
      </c>
      <c r="D82" s="204">
        <f t="shared" si="3"/>
        <v>77532</v>
      </c>
      <c r="E82" s="204">
        <f t="shared" si="3"/>
        <v>77532</v>
      </c>
      <c r="F82" s="204">
        <f t="shared" si="3"/>
        <v>77532</v>
      </c>
      <c r="G82" s="204">
        <f t="shared" si="3"/>
        <v>77532</v>
      </c>
      <c r="H82" s="204">
        <f t="shared" si="3"/>
        <v>77532</v>
      </c>
      <c r="I82" s="205">
        <v>77952</v>
      </c>
      <c r="J82" s="205"/>
      <c r="K82" s="205"/>
      <c r="L82" s="205"/>
      <c r="M82" s="205"/>
      <c r="N82" s="205"/>
      <c r="O82" s="152">
        <f t="shared" si="9"/>
        <v>543144</v>
      </c>
    </row>
    <row r="83" spans="1:15" hidden="1">
      <c r="A83" s="150">
        <v>32</v>
      </c>
      <c r="B83" s="149" t="str">
        <f>+BPJS!B88</f>
        <v>MASRI</v>
      </c>
      <c r="C83" s="204">
        <f t="shared" si="3"/>
        <v>77532</v>
      </c>
      <c r="D83" s="204">
        <f t="shared" si="3"/>
        <v>77532</v>
      </c>
      <c r="E83" s="204">
        <f t="shared" si="3"/>
        <v>77532</v>
      </c>
      <c r="F83" s="204">
        <f t="shared" si="3"/>
        <v>77532</v>
      </c>
      <c r="G83" s="204">
        <f t="shared" si="3"/>
        <v>77532</v>
      </c>
      <c r="H83" s="204">
        <f t="shared" si="3"/>
        <v>77532</v>
      </c>
      <c r="I83" s="205">
        <v>78072</v>
      </c>
      <c r="J83" s="205"/>
      <c r="K83" s="205"/>
      <c r="L83" s="205"/>
      <c r="M83" s="205"/>
      <c r="N83" s="205"/>
      <c r="O83" s="152">
        <f t="shared" si="9"/>
        <v>543264</v>
      </c>
    </row>
    <row r="84" spans="1:15" hidden="1">
      <c r="A84" s="150">
        <v>35</v>
      </c>
      <c r="B84" s="149" t="str">
        <f>+BPJS!B89</f>
        <v>HARDIANSYAH</v>
      </c>
      <c r="C84" s="204">
        <f t="shared" si="5"/>
        <v>77532</v>
      </c>
      <c r="D84" s="204">
        <f t="shared" si="5"/>
        <v>77532</v>
      </c>
      <c r="E84" s="204">
        <f t="shared" si="5"/>
        <v>77532</v>
      </c>
      <c r="F84" s="204">
        <f t="shared" si="5"/>
        <v>77532</v>
      </c>
      <c r="G84" s="204">
        <f t="shared" si="5"/>
        <v>77532</v>
      </c>
      <c r="H84" s="204">
        <f t="shared" si="5"/>
        <v>77532</v>
      </c>
      <c r="I84" s="205">
        <v>77782</v>
      </c>
      <c r="J84" s="205"/>
      <c r="K84" s="205"/>
      <c r="L84" s="205"/>
      <c r="M84" s="205"/>
      <c r="N84" s="205"/>
      <c r="O84" s="152">
        <f t="shared" si="9"/>
        <v>542974</v>
      </c>
    </row>
    <row r="85" spans="1:15" hidden="1">
      <c r="A85" s="150">
        <v>41</v>
      </c>
      <c r="B85" s="149" t="str">
        <f>+BPJS!B90</f>
        <v>SALEH</v>
      </c>
      <c r="C85" s="204">
        <f t="shared" si="5"/>
        <v>77532</v>
      </c>
      <c r="D85" s="204">
        <f t="shared" si="5"/>
        <v>77532</v>
      </c>
      <c r="E85" s="204">
        <f t="shared" si="5"/>
        <v>77532</v>
      </c>
      <c r="F85" s="204">
        <f t="shared" si="5"/>
        <v>77532</v>
      </c>
      <c r="G85" s="204">
        <f t="shared" si="5"/>
        <v>77532</v>
      </c>
      <c r="H85" s="204">
        <f t="shared" si="5"/>
        <v>77532</v>
      </c>
      <c r="I85" s="205">
        <v>77582</v>
      </c>
      <c r="J85" s="205"/>
      <c r="K85" s="205"/>
      <c r="L85" s="205"/>
      <c r="M85" s="205"/>
      <c r="N85" s="205"/>
      <c r="O85" s="152">
        <f t="shared" si="9"/>
        <v>542774</v>
      </c>
    </row>
    <row r="86" spans="1:15" hidden="1">
      <c r="A86" s="150">
        <v>48</v>
      </c>
      <c r="B86" s="149" t="str">
        <f>+BPJS!B91</f>
        <v>JUFRI</v>
      </c>
      <c r="C86" s="204">
        <f t="shared" si="5"/>
        <v>77532</v>
      </c>
      <c r="D86" s="204">
        <f t="shared" si="5"/>
        <v>77532</v>
      </c>
      <c r="E86" s="204">
        <f t="shared" si="5"/>
        <v>77532</v>
      </c>
      <c r="F86" s="204">
        <f t="shared" si="5"/>
        <v>77532</v>
      </c>
      <c r="G86" s="204">
        <f t="shared" si="5"/>
        <v>77532</v>
      </c>
      <c r="H86" s="204">
        <f t="shared" si="5"/>
        <v>77532</v>
      </c>
      <c r="I86" s="205">
        <v>77732</v>
      </c>
      <c r="J86" s="205"/>
      <c r="K86" s="205"/>
      <c r="L86" s="205"/>
      <c r="M86" s="205"/>
      <c r="N86" s="205"/>
      <c r="O86" s="152">
        <f t="shared" si="9"/>
        <v>542924</v>
      </c>
    </row>
    <row r="87" spans="1:15" hidden="1">
      <c r="A87" s="150">
        <v>50</v>
      </c>
      <c r="B87" s="149" t="str">
        <f>+BPJS!B92</f>
        <v>ZAMALUDIN</v>
      </c>
      <c r="C87" s="204">
        <f t="shared" si="6"/>
        <v>77532</v>
      </c>
      <c r="D87" s="204">
        <f t="shared" si="6"/>
        <v>77532</v>
      </c>
      <c r="E87" s="204">
        <f t="shared" si="6"/>
        <v>77532</v>
      </c>
      <c r="F87" s="204">
        <f t="shared" si="6"/>
        <v>77532</v>
      </c>
      <c r="G87" s="204">
        <f t="shared" si="6"/>
        <v>77532</v>
      </c>
      <c r="H87" s="204">
        <f t="shared" si="6"/>
        <v>77532</v>
      </c>
      <c r="I87" s="205">
        <v>77532</v>
      </c>
      <c r="J87" s="205"/>
      <c r="K87" s="205"/>
      <c r="L87" s="205"/>
      <c r="M87" s="205"/>
      <c r="N87" s="205"/>
      <c r="O87" s="152">
        <f t="shared" si="9"/>
        <v>542724</v>
      </c>
    </row>
    <row r="90" spans="1:15" ht="15.75" thickBot="1">
      <c r="B90" s="444" t="s">
        <v>548</v>
      </c>
      <c r="E90" s="195"/>
      <c r="F90" s="195"/>
      <c r="G90" s="195"/>
      <c r="H90" s="195"/>
      <c r="I90" s="195"/>
      <c r="J90" s="195"/>
      <c r="K90" s="194"/>
      <c r="L90" s="196"/>
      <c r="M90" s="196"/>
      <c r="N90" s="195"/>
      <c r="O90" s="195"/>
    </row>
    <row r="91" spans="1:15">
      <c r="A91" s="601" t="s">
        <v>0</v>
      </c>
      <c r="B91" s="603" t="s">
        <v>366</v>
      </c>
      <c r="C91" s="605"/>
      <c r="D91" s="606"/>
      <c r="E91" s="606"/>
      <c r="F91" s="606"/>
      <c r="G91" s="606"/>
      <c r="H91" s="606"/>
      <c r="I91" s="606"/>
      <c r="J91" s="606"/>
      <c r="K91" s="606"/>
      <c r="L91" s="606"/>
      <c r="M91" s="606"/>
      <c r="N91" s="607"/>
      <c r="O91" s="614" t="s">
        <v>370</v>
      </c>
    </row>
    <row r="92" spans="1:15">
      <c r="A92" s="602"/>
      <c r="B92" s="604"/>
      <c r="C92" s="608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10"/>
      <c r="O92" s="614"/>
    </row>
    <row r="93" spans="1:15">
      <c r="A93" s="602"/>
      <c r="B93" s="604"/>
      <c r="C93" s="611"/>
      <c r="D93" s="612"/>
      <c r="E93" s="612"/>
      <c r="F93" s="612"/>
      <c r="G93" s="612"/>
      <c r="H93" s="612"/>
      <c r="I93" s="612"/>
      <c r="J93" s="612"/>
      <c r="K93" s="612"/>
      <c r="L93" s="612"/>
      <c r="M93" s="612"/>
      <c r="N93" s="613"/>
      <c r="O93" s="614"/>
    </row>
    <row r="94" spans="1:15">
      <c r="A94" s="602"/>
      <c r="B94" s="604"/>
      <c r="C94" s="198" t="s">
        <v>374</v>
      </c>
      <c r="D94" s="198" t="s">
        <v>375</v>
      </c>
      <c r="E94" s="198" t="s">
        <v>376</v>
      </c>
      <c r="F94" s="198" t="s">
        <v>377</v>
      </c>
      <c r="G94" s="198" t="s">
        <v>378</v>
      </c>
      <c r="H94" s="198" t="s">
        <v>379</v>
      </c>
      <c r="I94" s="198" t="s">
        <v>380</v>
      </c>
      <c r="J94" s="199" t="s">
        <v>381</v>
      </c>
      <c r="K94" s="441" t="s">
        <v>382</v>
      </c>
      <c r="L94" s="201" t="s">
        <v>383</v>
      </c>
      <c r="M94" s="201" t="s">
        <v>384</v>
      </c>
      <c r="N94" s="202" t="s">
        <v>385</v>
      </c>
      <c r="O94" s="614"/>
    </row>
    <row r="95" spans="1:15">
      <c r="A95" s="150">
        <v>1</v>
      </c>
      <c r="B95" s="149" t="str">
        <f t="shared" ref="B95:B126" si="10">+B9</f>
        <v>GUNAWAN</v>
      </c>
      <c r="C95" s="204">
        <f>3876600*1%</f>
        <v>38766</v>
      </c>
      <c r="D95" s="204">
        <f t="shared" ref="D95:H110" si="11">3876600*1%</f>
        <v>38766</v>
      </c>
      <c r="E95" s="204">
        <f t="shared" si="11"/>
        <v>38766</v>
      </c>
      <c r="F95" s="204">
        <f t="shared" si="11"/>
        <v>38766</v>
      </c>
      <c r="G95" s="204">
        <f t="shared" si="11"/>
        <v>38766</v>
      </c>
      <c r="H95" s="204">
        <f t="shared" si="11"/>
        <v>38766</v>
      </c>
      <c r="I95" s="205">
        <v>39066</v>
      </c>
      <c r="J95" s="205">
        <v>39066</v>
      </c>
      <c r="K95" s="205">
        <v>39096</v>
      </c>
      <c r="L95" s="205">
        <v>39096</v>
      </c>
      <c r="M95" s="205">
        <v>39096</v>
      </c>
      <c r="N95" s="205">
        <v>39096</v>
      </c>
      <c r="O95" s="152">
        <f>SUM(C95:N95)</f>
        <v>467112</v>
      </c>
    </row>
    <row r="96" spans="1:15">
      <c r="A96" s="150">
        <v>2</v>
      </c>
      <c r="B96" s="149" t="str">
        <f t="shared" si="10"/>
        <v>RILYANI</v>
      </c>
      <c r="C96" s="204">
        <f t="shared" ref="C96:H111" si="12">3876600*1%</f>
        <v>38766</v>
      </c>
      <c r="D96" s="204">
        <f t="shared" si="11"/>
        <v>38766</v>
      </c>
      <c r="E96" s="204">
        <f t="shared" si="11"/>
        <v>38766</v>
      </c>
      <c r="F96" s="204">
        <f t="shared" si="11"/>
        <v>38766</v>
      </c>
      <c r="G96" s="204">
        <f t="shared" si="11"/>
        <v>38766</v>
      </c>
      <c r="H96" s="204">
        <f t="shared" si="11"/>
        <v>38766</v>
      </c>
      <c r="I96" s="205">
        <v>39656</v>
      </c>
      <c r="J96" s="205">
        <v>39656</v>
      </c>
      <c r="K96" s="205">
        <v>39656</v>
      </c>
      <c r="L96" s="205">
        <v>39656</v>
      </c>
      <c r="M96" s="205">
        <v>39656</v>
      </c>
      <c r="N96" s="205">
        <v>39656</v>
      </c>
      <c r="O96" s="152">
        <f t="shared" ref="O96:O122" si="13">SUM(C96:N96)</f>
        <v>470532</v>
      </c>
    </row>
    <row r="97" spans="1:15">
      <c r="A97" s="150">
        <v>3</v>
      </c>
      <c r="B97" s="149" t="str">
        <f t="shared" si="10"/>
        <v>JUNAIDI</v>
      </c>
      <c r="C97" s="204">
        <f t="shared" si="12"/>
        <v>38766</v>
      </c>
      <c r="D97" s="204">
        <f t="shared" si="11"/>
        <v>38766</v>
      </c>
      <c r="E97" s="204">
        <f t="shared" si="11"/>
        <v>38766</v>
      </c>
      <c r="F97" s="204">
        <f t="shared" si="11"/>
        <v>38766</v>
      </c>
      <c r="G97" s="204">
        <f t="shared" si="11"/>
        <v>38766</v>
      </c>
      <c r="H97" s="204">
        <f t="shared" si="11"/>
        <v>38766</v>
      </c>
      <c r="I97" s="205">
        <v>39691</v>
      </c>
      <c r="J97" s="205">
        <v>39691</v>
      </c>
      <c r="K97" s="205">
        <v>39691</v>
      </c>
      <c r="L97" s="205">
        <v>39691</v>
      </c>
      <c r="M97" s="205">
        <v>39691</v>
      </c>
      <c r="N97" s="205">
        <v>39691</v>
      </c>
      <c r="O97" s="152">
        <f t="shared" si="13"/>
        <v>470742</v>
      </c>
    </row>
    <row r="98" spans="1:15">
      <c r="A98" s="150">
        <v>4</v>
      </c>
      <c r="B98" s="149" t="str">
        <f t="shared" si="10"/>
        <v>UMIYATI</v>
      </c>
      <c r="C98" s="204">
        <f t="shared" si="12"/>
        <v>38766</v>
      </c>
      <c r="D98" s="204">
        <f t="shared" si="11"/>
        <v>38766</v>
      </c>
      <c r="E98" s="204">
        <f t="shared" si="11"/>
        <v>38766</v>
      </c>
      <c r="F98" s="204">
        <f t="shared" si="11"/>
        <v>38766</v>
      </c>
      <c r="G98" s="410"/>
      <c r="H98" s="410"/>
      <c r="I98" s="410"/>
      <c r="J98" s="410"/>
      <c r="K98" s="410"/>
      <c r="L98" s="410"/>
      <c r="M98" s="410"/>
      <c r="N98" s="410"/>
      <c r="O98" s="152">
        <f t="shared" si="13"/>
        <v>155064</v>
      </c>
    </row>
    <row r="99" spans="1:15">
      <c r="A99" s="150">
        <v>5</v>
      </c>
      <c r="B99" s="149" t="str">
        <f t="shared" si="10"/>
        <v>ASUNTI</v>
      </c>
      <c r="C99" s="204">
        <f t="shared" si="12"/>
        <v>38766</v>
      </c>
      <c r="D99" s="204">
        <f t="shared" si="11"/>
        <v>38766</v>
      </c>
      <c r="E99" s="204">
        <f t="shared" si="11"/>
        <v>38766</v>
      </c>
      <c r="F99" s="204">
        <f t="shared" si="11"/>
        <v>38766</v>
      </c>
      <c r="G99" s="204">
        <f t="shared" si="11"/>
        <v>38766</v>
      </c>
      <c r="H99" s="204">
        <f t="shared" si="11"/>
        <v>38766</v>
      </c>
      <c r="I99" s="205">
        <v>39236</v>
      </c>
      <c r="J99" s="205">
        <v>39271</v>
      </c>
      <c r="K99" s="205">
        <v>39271</v>
      </c>
      <c r="L99" s="205">
        <v>39271</v>
      </c>
      <c r="M99" s="205">
        <v>39271</v>
      </c>
      <c r="N99" s="205">
        <v>39271</v>
      </c>
      <c r="O99" s="152">
        <f t="shared" si="13"/>
        <v>468187</v>
      </c>
    </row>
    <row r="100" spans="1:15">
      <c r="A100" s="150">
        <v>6</v>
      </c>
      <c r="B100" s="149" t="str">
        <f t="shared" si="10"/>
        <v>JONI</v>
      </c>
      <c r="C100" s="204">
        <f t="shared" si="12"/>
        <v>38766</v>
      </c>
      <c r="D100" s="204">
        <f t="shared" si="11"/>
        <v>38766</v>
      </c>
      <c r="E100" s="204">
        <f t="shared" si="11"/>
        <v>38766</v>
      </c>
      <c r="F100" s="204">
        <f t="shared" si="11"/>
        <v>38766</v>
      </c>
      <c r="G100" s="204">
        <f t="shared" si="11"/>
        <v>38766</v>
      </c>
      <c r="H100" s="204">
        <f t="shared" si="11"/>
        <v>38766</v>
      </c>
      <c r="I100" s="205">
        <v>39306</v>
      </c>
      <c r="J100" s="205">
        <v>39306</v>
      </c>
      <c r="K100" s="205">
        <v>39306</v>
      </c>
      <c r="L100" s="205">
        <v>39306</v>
      </c>
      <c r="M100" s="205">
        <v>39306</v>
      </c>
      <c r="N100" s="205">
        <v>39306</v>
      </c>
      <c r="O100" s="152">
        <f t="shared" si="13"/>
        <v>468432</v>
      </c>
    </row>
    <row r="101" spans="1:15">
      <c r="A101" s="150">
        <v>7</v>
      </c>
      <c r="B101" s="149" t="str">
        <f t="shared" si="10"/>
        <v>THAHA.S</v>
      </c>
      <c r="C101" s="204">
        <f t="shared" si="12"/>
        <v>38766</v>
      </c>
      <c r="D101" s="204">
        <f t="shared" si="11"/>
        <v>38766</v>
      </c>
      <c r="E101" s="204">
        <f t="shared" si="11"/>
        <v>38766</v>
      </c>
      <c r="F101" s="204">
        <f t="shared" si="11"/>
        <v>38766</v>
      </c>
      <c r="G101" s="204">
        <f t="shared" si="11"/>
        <v>38766</v>
      </c>
      <c r="H101" s="204">
        <f t="shared" si="11"/>
        <v>38766</v>
      </c>
      <c r="I101" s="205">
        <v>39306</v>
      </c>
      <c r="J101" s="205">
        <v>39306</v>
      </c>
      <c r="K101" s="205">
        <v>39306</v>
      </c>
      <c r="L101" s="205">
        <v>39306</v>
      </c>
      <c r="M101" s="205">
        <v>39306</v>
      </c>
      <c r="N101" s="205">
        <v>39306</v>
      </c>
      <c r="O101" s="152">
        <f t="shared" si="13"/>
        <v>468432</v>
      </c>
    </row>
    <row r="102" spans="1:15">
      <c r="A102" s="150">
        <v>8</v>
      </c>
      <c r="B102" s="149" t="str">
        <f t="shared" si="10"/>
        <v>ALEX</v>
      </c>
      <c r="C102" s="204">
        <f t="shared" si="12"/>
        <v>38766</v>
      </c>
      <c r="D102" s="204">
        <f t="shared" si="11"/>
        <v>38766</v>
      </c>
      <c r="E102" s="204">
        <f t="shared" si="11"/>
        <v>38766</v>
      </c>
      <c r="F102" s="204">
        <f t="shared" si="11"/>
        <v>38766</v>
      </c>
      <c r="G102" s="204">
        <f t="shared" si="11"/>
        <v>38766</v>
      </c>
      <c r="H102" s="204">
        <f t="shared" si="11"/>
        <v>38766</v>
      </c>
      <c r="I102" s="205">
        <v>39066</v>
      </c>
      <c r="J102" s="205">
        <v>39066</v>
      </c>
      <c r="K102" s="205">
        <v>39096</v>
      </c>
      <c r="L102" s="205">
        <v>39096</v>
      </c>
      <c r="M102" s="205">
        <v>39096</v>
      </c>
      <c r="N102" s="205">
        <v>39096</v>
      </c>
      <c r="O102" s="152">
        <f t="shared" si="13"/>
        <v>467112</v>
      </c>
    </row>
    <row r="103" spans="1:15">
      <c r="A103" s="150">
        <v>9</v>
      </c>
      <c r="B103" s="149" t="str">
        <f t="shared" si="10"/>
        <v>SANDY</v>
      </c>
      <c r="C103" s="204">
        <f t="shared" si="12"/>
        <v>38766</v>
      </c>
      <c r="D103" s="204">
        <f t="shared" si="11"/>
        <v>38766</v>
      </c>
      <c r="E103" s="204">
        <f t="shared" si="11"/>
        <v>38766</v>
      </c>
      <c r="F103" s="204">
        <f t="shared" si="11"/>
        <v>38766</v>
      </c>
      <c r="G103" s="204">
        <f t="shared" si="11"/>
        <v>38766</v>
      </c>
      <c r="H103" s="204">
        <f t="shared" si="11"/>
        <v>38766</v>
      </c>
      <c r="I103" s="205">
        <v>39066</v>
      </c>
      <c r="J103" s="205">
        <v>39066</v>
      </c>
      <c r="K103" s="205">
        <v>39096</v>
      </c>
      <c r="L103" s="205">
        <v>39096</v>
      </c>
      <c r="M103" s="205">
        <v>39096</v>
      </c>
      <c r="N103" s="205">
        <v>39096</v>
      </c>
      <c r="O103" s="152">
        <f t="shared" si="13"/>
        <v>467112</v>
      </c>
    </row>
    <row r="104" spans="1:15">
      <c r="A104" s="150">
        <v>10</v>
      </c>
      <c r="B104" s="149" t="str">
        <f t="shared" si="10"/>
        <v>ANTON</v>
      </c>
      <c r="C104" s="204">
        <f t="shared" si="12"/>
        <v>38766</v>
      </c>
      <c r="D104" s="204">
        <f t="shared" si="11"/>
        <v>38766</v>
      </c>
      <c r="E104" s="204">
        <f t="shared" si="11"/>
        <v>38766</v>
      </c>
      <c r="F104" s="204">
        <f t="shared" si="11"/>
        <v>38766</v>
      </c>
      <c r="G104" s="204">
        <f t="shared" si="11"/>
        <v>38766</v>
      </c>
      <c r="H104" s="204">
        <f t="shared" si="11"/>
        <v>38766</v>
      </c>
      <c r="I104" s="205">
        <v>39306</v>
      </c>
      <c r="J104" s="205">
        <v>39306</v>
      </c>
      <c r="K104" s="205">
        <v>39306</v>
      </c>
      <c r="L104" s="205">
        <v>39306</v>
      </c>
      <c r="M104" s="205">
        <v>39306</v>
      </c>
      <c r="N104" s="205">
        <v>39306</v>
      </c>
      <c r="O104" s="152">
        <f t="shared" si="13"/>
        <v>468432</v>
      </c>
    </row>
    <row r="105" spans="1:15">
      <c r="A105" s="150">
        <v>11</v>
      </c>
      <c r="B105" s="149" t="str">
        <f t="shared" si="10"/>
        <v>EKA NOPIYANTI</v>
      </c>
      <c r="C105" s="204">
        <f t="shared" si="12"/>
        <v>38766</v>
      </c>
      <c r="D105" s="204">
        <f t="shared" si="11"/>
        <v>38766</v>
      </c>
      <c r="E105" s="204">
        <f t="shared" si="11"/>
        <v>38766</v>
      </c>
      <c r="F105" s="204">
        <f t="shared" si="11"/>
        <v>38766</v>
      </c>
      <c r="G105" s="204">
        <f t="shared" si="11"/>
        <v>38766</v>
      </c>
      <c r="H105" s="204">
        <f t="shared" si="11"/>
        <v>38766</v>
      </c>
      <c r="I105" s="205">
        <v>39271</v>
      </c>
      <c r="J105" s="205">
        <v>39271</v>
      </c>
      <c r="K105" s="205">
        <v>39271</v>
      </c>
      <c r="L105" s="205">
        <v>39271</v>
      </c>
      <c r="M105" s="205">
        <v>39271</v>
      </c>
      <c r="N105" s="205">
        <v>39271</v>
      </c>
      <c r="O105" s="152">
        <f t="shared" si="13"/>
        <v>468222</v>
      </c>
    </row>
    <row r="106" spans="1:15">
      <c r="A106" s="150">
        <v>12</v>
      </c>
      <c r="B106" s="149" t="str">
        <f t="shared" si="10"/>
        <v>JUMIATI</v>
      </c>
      <c r="C106" s="204">
        <f t="shared" si="12"/>
        <v>38766</v>
      </c>
      <c r="D106" s="204">
        <f t="shared" si="11"/>
        <v>38766</v>
      </c>
      <c r="E106" s="204">
        <f t="shared" si="11"/>
        <v>38766</v>
      </c>
      <c r="F106" s="204">
        <f t="shared" si="11"/>
        <v>38766</v>
      </c>
      <c r="G106" s="204">
        <f t="shared" si="11"/>
        <v>38766</v>
      </c>
      <c r="H106" s="204">
        <f t="shared" si="11"/>
        <v>38766</v>
      </c>
      <c r="I106" s="205">
        <v>39306</v>
      </c>
      <c r="J106" s="205">
        <v>39306</v>
      </c>
      <c r="K106" s="205">
        <v>39306</v>
      </c>
      <c r="L106" s="205">
        <v>39306</v>
      </c>
      <c r="M106" s="205">
        <v>39306</v>
      </c>
      <c r="N106" s="205">
        <v>39306</v>
      </c>
      <c r="O106" s="152">
        <f t="shared" si="13"/>
        <v>468432</v>
      </c>
    </row>
    <row r="107" spans="1:15">
      <c r="A107" s="150">
        <v>13</v>
      </c>
      <c r="B107" s="149" t="str">
        <f t="shared" si="10"/>
        <v>SUPARDI</v>
      </c>
      <c r="C107" s="204">
        <f t="shared" si="12"/>
        <v>38766</v>
      </c>
      <c r="D107" s="204">
        <f t="shared" si="11"/>
        <v>38766</v>
      </c>
      <c r="E107" s="204">
        <f t="shared" si="11"/>
        <v>38766</v>
      </c>
      <c r="F107" s="204">
        <f t="shared" si="11"/>
        <v>38766</v>
      </c>
      <c r="G107" s="204">
        <f t="shared" si="11"/>
        <v>38766</v>
      </c>
      <c r="H107" s="204">
        <f t="shared" si="11"/>
        <v>38766</v>
      </c>
      <c r="I107" s="205">
        <v>39096</v>
      </c>
      <c r="J107" s="205">
        <v>39096</v>
      </c>
      <c r="K107" s="205">
        <v>39096</v>
      </c>
      <c r="L107" s="205">
        <v>39096</v>
      </c>
      <c r="M107" s="205">
        <v>39096</v>
      </c>
      <c r="N107" s="205">
        <v>39096</v>
      </c>
      <c r="O107" s="152">
        <f t="shared" si="13"/>
        <v>467172</v>
      </c>
    </row>
    <row r="108" spans="1:15">
      <c r="A108" s="150">
        <v>14</v>
      </c>
      <c r="B108" s="149" t="str">
        <f t="shared" si="10"/>
        <v>PARDI</v>
      </c>
      <c r="C108" s="204">
        <f t="shared" si="12"/>
        <v>38766</v>
      </c>
      <c r="D108" s="204">
        <f t="shared" si="11"/>
        <v>38766</v>
      </c>
      <c r="E108" s="204">
        <f t="shared" si="11"/>
        <v>38766</v>
      </c>
      <c r="F108" s="204">
        <f t="shared" si="11"/>
        <v>38766</v>
      </c>
      <c r="G108" s="410"/>
      <c r="H108" s="410"/>
      <c r="I108" s="410"/>
      <c r="J108" s="410"/>
      <c r="K108" s="410"/>
      <c r="L108" s="410"/>
      <c r="M108" s="410"/>
      <c r="N108" s="410"/>
      <c r="O108" s="152">
        <f t="shared" si="13"/>
        <v>155064</v>
      </c>
    </row>
    <row r="109" spans="1:15">
      <c r="A109" s="150">
        <v>15</v>
      </c>
      <c r="B109" s="149" t="str">
        <f t="shared" si="10"/>
        <v>SUMARDI</v>
      </c>
      <c r="C109" s="204">
        <f t="shared" si="12"/>
        <v>38766</v>
      </c>
      <c r="D109" s="204">
        <f t="shared" si="11"/>
        <v>38766</v>
      </c>
      <c r="E109" s="204">
        <f t="shared" si="11"/>
        <v>38766</v>
      </c>
      <c r="F109" s="204">
        <f t="shared" si="11"/>
        <v>38766</v>
      </c>
      <c r="G109" s="204">
        <f t="shared" si="11"/>
        <v>38766</v>
      </c>
      <c r="H109" s="204">
        <f t="shared" si="11"/>
        <v>38766</v>
      </c>
      <c r="I109" s="205">
        <v>39271</v>
      </c>
      <c r="J109" s="205">
        <v>39271</v>
      </c>
      <c r="K109" s="205">
        <v>39271</v>
      </c>
      <c r="L109" s="205">
        <v>39271</v>
      </c>
      <c r="M109" s="205">
        <v>39271</v>
      </c>
      <c r="N109" s="205">
        <v>39271</v>
      </c>
      <c r="O109" s="152">
        <f t="shared" si="13"/>
        <v>468222</v>
      </c>
    </row>
    <row r="110" spans="1:15">
      <c r="A110" s="150">
        <v>16</v>
      </c>
      <c r="B110" s="149" t="str">
        <f t="shared" si="10"/>
        <v>WIDODO JP</v>
      </c>
      <c r="C110" s="204">
        <f t="shared" si="12"/>
        <v>38766</v>
      </c>
      <c r="D110" s="204">
        <f t="shared" si="11"/>
        <v>38766</v>
      </c>
      <c r="E110" s="204">
        <f t="shared" si="11"/>
        <v>38766</v>
      </c>
      <c r="F110" s="204">
        <f t="shared" si="11"/>
        <v>38766</v>
      </c>
      <c r="G110" s="204">
        <f t="shared" si="11"/>
        <v>38766</v>
      </c>
      <c r="H110" s="204">
        <f t="shared" si="11"/>
        <v>38766</v>
      </c>
      <c r="I110" s="205">
        <v>39271</v>
      </c>
      <c r="J110" s="205">
        <v>39271</v>
      </c>
      <c r="K110" s="205">
        <v>39271</v>
      </c>
      <c r="L110" s="205">
        <v>39271</v>
      </c>
      <c r="M110" s="205">
        <v>39271</v>
      </c>
      <c r="N110" s="205">
        <v>39271</v>
      </c>
      <c r="O110" s="152">
        <f t="shared" si="13"/>
        <v>468222</v>
      </c>
    </row>
    <row r="111" spans="1:15">
      <c r="A111" s="150">
        <v>17</v>
      </c>
      <c r="B111" s="149" t="str">
        <f t="shared" si="10"/>
        <v>ASBI ALGIFARI</v>
      </c>
      <c r="C111" s="204">
        <f t="shared" si="12"/>
        <v>38766</v>
      </c>
      <c r="D111" s="204">
        <f t="shared" si="12"/>
        <v>38766</v>
      </c>
      <c r="E111" s="204">
        <f t="shared" si="12"/>
        <v>38766</v>
      </c>
      <c r="F111" s="204">
        <f t="shared" si="12"/>
        <v>38766</v>
      </c>
      <c r="G111" s="204">
        <f t="shared" si="12"/>
        <v>38766</v>
      </c>
      <c r="H111" s="204">
        <f t="shared" si="12"/>
        <v>38766</v>
      </c>
      <c r="I111" s="205">
        <v>38976</v>
      </c>
      <c r="J111" s="205">
        <v>38976</v>
      </c>
      <c r="K111" s="205">
        <v>38976</v>
      </c>
      <c r="L111" s="205">
        <v>38976</v>
      </c>
      <c r="M111" s="205">
        <v>38976</v>
      </c>
      <c r="N111" s="205">
        <v>38976</v>
      </c>
      <c r="O111" s="152">
        <f t="shared" si="13"/>
        <v>466452</v>
      </c>
    </row>
    <row r="112" spans="1:15">
      <c r="A112" s="150">
        <v>18</v>
      </c>
      <c r="B112" s="149" t="str">
        <f t="shared" si="10"/>
        <v>YANDI</v>
      </c>
      <c r="C112" s="204">
        <f t="shared" ref="C112:H170" si="14">3876600*1%</f>
        <v>38766</v>
      </c>
      <c r="D112" s="204">
        <f t="shared" si="14"/>
        <v>38766</v>
      </c>
      <c r="E112" s="204">
        <f t="shared" si="14"/>
        <v>38766</v>
      </c>
      <c r="F112" s="204">
        <f t="shared" si="14"/>
        <v>38766</v>
      </c>
      <c r="G112" s="204">
        <f t="shared" si="14"/>
        <v>38766</v>
      </c>
      <c r="H112" s="204">
        <f t="shared" si="14"/>
        <v>38766</v>
      </c>
      <c r="I112" s="205">
        <v>39096</v>
      </c>
      <c r="J112" s="205">
        <v>39096</v>
      </c>
      <c r="K112" s="205">
        <v>39096</v>
      </c>
      <c r="L112" s="205">
        <v>39096</v>
      </c>
      <c r="M112" s="205">
        <v>39096</v>
      </c>
      <c r="N112" s="205">
        <v>39096</v>
      </c>
      <c r="O112" s="152">
        <f t="shared" si="13"/>
        <v>467172</v>
      </c>
    </row>
    <row r="113" spans="1:15">
      <c r="A113" s="150">
        <v>19</v>
      </c>
      <c r="B113" s="149" t="str">
        <f t="shared" si="10"/>
        <v>RIDHO AFRIZAL</v>
      </c>
      <c r="C113" s="204">
        <f t="shared" si="14"/>
        <v>38766</v>
      </c>
      <c r="D113" s="204">
        <f t="shared" si="14"/>
        <v>38766</v>
      </c>
      <c r="E113" s="204">
        <f t="shared" si="14"/>
        <v>38766</v>
      </c>
      <c r="F113" s="204">
        <f t="shared" si="14"/>
        <v>38766</v>
      </c>
      <c r="G113" s="204">
        <f t="shared" si="14"/>
        <v>38766</v>
      </c>
      <c r="H113" s="204">
        <f t="shared" si="14"/>
        <v>38766</v>
      </c>
      <c r="I113" s="205">
        <v>39066</v>
      </c>
      <c r="J113" s="205">
        <v>39066</v>
      </c>
      <c r="K113" s="205">
        <v>39096</v>
      </c>
      <c r="L113" s="205">
        <v>39096</v>
      </c>
      <c r="M113" s="205">
        <v>39096</v>
      </c>
      <c r="N113" s="205">
        <v>39096</v>
      </c>
      <c r="O113" s="152">
        <f t="shared" si="13"/>
        <v>467112</v>
      </c>
    </row>
    <row r="114" spans="1:15">
      <c r="A114" s="150">
        <v>20</v>
      </c>
      <c r="B114" s="149" t="str">
        <f t="shared" si="10"/>
        <v>APRIZAL</v>
      </c>
      <c r="C114" s="204">
        <f t="shared" si="14"/>
        <v>38766</v>
      </c>
      <c r="D114" s="204">
        <f t="shared" si="14"/>
        <v>38766</v>
      </c>
      <c r="E114" s="204">
        <f t="shared" si="14"/>
        <v>38766</v>
      </c>
      <c r="F114" s="204">
        <f t="shared" si="14"/>
        <v>38766</v>
      </c>
      <c r="G114" s="204">
        <f t="shared" si="14"/>
        <v>38766</v>
      </c>
      <c r="H114" s="204">
        <f t="shared" si="14"/>
        <v>38766</v>
      </c>
      <c r="I114" s="205">
        <v>39066</v>
      </c>
      <c r="J114" s="205">
        <v>39066</v>
      </c>
      <c r="K114" s="205">
        <v>39096</v>
      </c>
      <c r="L114" s="205">
        <v>39096</v>
      </c>
      <c r="M114" s="205">
        <v>39096</v>
      </c>
      <c r="N114" s="205">
        <v>39096</v>
      </c>
      <c r="O114" s="152">
        <f t="shared" si="13"/>
        <v>467112</v>
      </c>
    </row>
    <row r="115" spans="1:15">
      <c r="A115" s="150">
        <v>21</v>
      </c>
      <c r="B115" s="149" t="str">
        <f t="shared" si="10"/>
        <v>ERRY SAPUTRA</v>
      </c>
      <c r="C115" s="204">
        <f t="shared" si="14"/>
        <v>38766</v>
      </c>
      <c r="D115" s="204">
        <f t="shared" si="14"/>
        <v>38766</v>
      </c>
      <c r="E115" s="204">
        <f t="shared" si="14"/>
        <v>38766</v>
      </c>
      <c r="F115" s="204">
        <f t="shared" si="14"/>
        <v>38766</v>
      </c>
      <c r="G115" s="204">
        <f t="shared" si="14"/>
        <v>38766</v>
      </c>
      <c r="H115" s="204">
        <f t="shared" si="14"/>
        <v>38766</v>
      </c>
      <c r="I115" s="205">
        <v>39271</v>
      </c>
      <c r="J115" s="205">
        <v>39271</v>
      </c>
      <c r="K115" s="205">
        <v>39271</v>
      </c>
      <c r="L115" s="205">
        <v>39271</v>
      </c>
      <c r="M115" s="205">
        <v>39271</v>
      </c>
      <c r="N115" s="205">
        <v>39306</v>
      </c>
      <c r="O115" s="152">
        <f t="shared" si="13"/>
        <v>468257</v>
      </c>
    </row>
    <row r="116" spans="1:15">
      <c r="A116" s="150">
        <v>22</v>
      </c>
      <c r="B116" s="149" t="str">
        <f t="shared" si="10"/>
        <v>ARWANDI</v>
      </c>
      <c r="C116" s="204">
        <f t="shared" si="14"/>
        <v>38766</v>
      </c>
      <c r="D116" s="204">
        <f t="shared" si="14"/>
        <v>38766</v>
      </c>
      <c r="E116" s="204">
        <f t="shared" si="14"/>
        <v>38766</v>
      </c>
      <c r="F116" s="204">
        <f t="shared" si="14"/>
        <v>38766</v>
      </c>
      <c r="G116" s="204">
        <f t="shared" si="14"/>
        <v>38766</v>
      </c>
      <c r="H116" s="204">
        <f t="shared" si="14"/>
        <v>38766</v>
      </c>
      <c r="I116" s="205">
        <v>39691</v>
      </c>
      <c r="J116" s="205">
        <v>39691</v>
      </c>
      <c r="K116" s="205">
        <v>39691</v>
      </c>
      <c r="L116" s="205">
        <v>39691</v>
      </c>
      <c r="M116" s="205">
        <v>39691</v>
      </c>
      <c r="N116" s="205">
        <v>39691</v>
      </c>
      <c r="O116" s="152">
        <f t="shared" si="13"/>
        <v>470742</v>
      </c>
    </row>
    <row r="117" spans="1:15">
      <c r="A117" s="150">
        <v>23</v>
      </c>
      <c r="B117" s="149" t="str">
        <f t="shared" si="10"/>
        <v>RENDI PERJAYA</v>
      </c>
      <c r="C117" s="204">
        <f t="shared" si="14"/>
        <v>38766</v>
      </c>
      <c r="D117" s="204">
        <f t="shared" si="14"/>
        <v>38766</v>
      </c>
      <c r="E117" s="204">
        <f t="shared" si="14"/>
        <v>38766</v>
      </c>
      <c r="F117" s="204">
        <f t="shared" si="14"/>
        <v>38766</v>
      </c>
      <c r="G117" s="204">
        <f t="shared" si="14"/>
        <v>38766</v>
      </c>
      <c r="H117" s="204">
        <f t="shared" si="14"/>
        <v>38766</v>
      </c>
      <c r="I117" s="205">
        <v>39066</v>
      </c>
      <c r="J117" s="205">
        <v>39066</v>
      </c>
      <c r="K117" s="205">
        <v>39096</v>
      </c>
      <c r="L117" s="205">
        <v>39096</v>
      </c>
      <c r="M117" s="205">
        <v>39096</v>
      </c>
      <c r="N117" s="205">
        <v>39096</v>
      </c>
      <c r="O117" s="152">
        <f t="shared" si="13"/>
        <v>467112</v>
      </c>
    </row>
    <row r="118" spans="1:15">
      <c r="A118" s="150">
        <v>24</v>
      </c>
      <c r="B118" s="149" t="str">
        <f t="shared" si="10"/>
        <v>ANDI</v>
      </c>
      <c r="C118" s="204">
        <f t="shared" si="14"/>
        <v>38766</v>
      </c>
      <c r="D118" s="204">
        <f t="shared" si="14"/>
        <v>38766</v>
      </c>
      <c r="E118" s="204">
        <f t="shared" si="14"/>
        <v>38766</v>
      </c>
      <c r="F118" s="204">
        <f t="shared" si="14"/>
        <v>38766</v>
      </c>
      <c r="G118" s="204">
        <f t="shared" si="14"/>
        <v>38766</v>
      </c>
      <c r="H118" s="204">
        <f t="shared" si="14"/>
        <v>38766</v>
      </c>
      <c r="I118" s="205">
        <v>39656</v>
      </c>
      <c r="J118" s="205">
        <v>39656</v>
      </c>
      <c r="K118" s="205">
        <v>39656</v>
      </c>
      <c r="L118" s="205">
        <v>39656</v>
      </c>
      <c r="M118" s="205">
        <v>39656</v>
      </c>
      <c r="N118" s="205">
        <v>39656</v>
      </c>
      <c r="O118" s="152">
        <f t="shared" si="13"/>
        <v>470532</v>
      </c>
    </row>
    <row r="119" spans="1:15">
      <c r="A119" s="150">
        <v>25</v>
      </c>
      <c r="B119" s="149" t="str">
        <f t="shared" si="10"/>
        <v>JULI</v>
      </c>
      <c r="C119" s="204">
        <f t="shared" si="14"/>
        <v>38766</v>
      </c>
      <c r="D119" s="204">
        <f t="shared" si="14"/>
        <v>38766</v>
      </c>
      <c r="E119" s="204">
        <f t="shared" si="14"/>
        <v>38766</v>
      </c>
      <c r="F119" s="204">
        <f t="shared" si="14"/>
        <v>38766</v>
      </c>
      <c r="G119" s="204">
        <f t="shared" si="14"/>
        <v>38766</v>
      </c>
      <c r="H119" s="204">
        <f t="shared" si="14"/>
        <v>38766</v>
      </c>
      <c r="I119" s="205">
        <v>39691</v>
      </c>
      <c r="J119" s="205">
        <v>39691</v>
      </c>
      <c r="K119" s="205">
        <v>39691</v>
      </c>
      <c r="L119" s="205">
        <v>39691</v>
      </c>
      <c r="M119" s="205">
        <v>39691</v>
      </c>
      <c r="N119" s="205">
        <v>39691</v>
      </c>
      <c r="O119" s="152">
        <f t="shared" si="13"/>
        <v>470742</v>
      </c>
    </row>
    <row r="120" spans="1:15">
      <c r="A120" s="150">
        <v>26</v>
      </c>
      <c r="B120" s="149" t="str">
        <f t="shared" si="10"/>
        <v>DICKY PRATAMA</v>
      </c>
      <c r="C120" s="204">
        <f t="shared" si="14"/>
        <v>38766</v>
      </c>
      <c r="D120" s="204">
        <f t="shared" si="14"/>
        <v>38766</v>
      </c>
      <c r="E120" s="204">
        <f t="shared" si="14"/>
        <v>38766</v>
      </c>
      <c r="F120" s="204">
        <f t="shared" si="14"/>
        <v>38766</v>
      </c>
      <c r="G120" s="204">
        <f t="shared" si="14"/>
        <v>38766</v>
      </c>
      <c r="H120" s="204">
        <f t="shared" si="14"/>
        <v>38766</v>
      </c>
      <c r="I120" s="205">
        <v>38816</v>
      </c>
      <c r="J120" s="205">
        <v>38816</v>
      </c>
      <c r="K120" s="205">
        <v>38816</v>
      </c>
      <c r="L120" s="205">
        <v>38816</v>
      </c>
      <c r="M120" s="205">
        <v>38816</v>
      </c>
      <c r="N120" s="205">
        <v>38816</v>
      </c>
      <c r="O120" s="152">
        <f t="shared" si="13"/>
        <v>465492</v>
      </c>
    </row>
    <row r="121" spans="1:15">
      <c r="A121" s="150">
        <v>27</v>
      </c>
      <c r="B121" s="149" t="str">
        <f t="shared" si="10"/>
        <v>SUIP</v>
      </c>
      <c r="C121" s="204">
        <f t="shared" si="14"/>
        <v>38766</v>
      </c>
      <c r="D121" s="204">
        <f t="shared" si="14"/>
        <v>38766</v>
      </c>
      <c r="E121" s="204">
        <f t="shared" si="14"/>
        <v>38766</v>
      </c>
      <c r="F121" s="204">
        <f t="shared" si="14"/>
        <v>38766</v>
      </c>
      <c r="G121" s="204">
        <f t="shared" si="14"/>
        <v>38766</v>
      </c>
      <c r="H121" s="204">
        <f t="shared" si="14"/>
        <v>38766</v>
      </c>
      <c r="I121" s="205">
        <v>38976</v>
      </c>
      <c r="J121" s="205">
        <v>38976</v>
      </c>
      <c r="K121" s="205">
        <v>38976</v>
      </c>
      <c r="L121" s="205">
        <v>38976</v>
      </c>
      <c r="M121" s="205">
        <v>39006</v>
      </c>
      <c r="N121" s="205">
        <v>39006</v>
      </c>
      <c r="O121" s="152">
        <f t="shared" si="13"/>
        <v>466512</v>
      </c>
    </row>
    <row r="122" spans="1:15">
      <c r="A122" s="150">
        <v>28</v>
      </c>
      <c r="B122" s="149" t="str">
        <f t="shared" si="10"/>
        <v>ROBIN DINATA</v>
      </c>
      <c r="C122" s="204">
        <f t="shared" si="14"/>
        <v>38766</v>
      </c>
      <c r="D122" s="204">
        <f t="shared" si="14"/>
        <v>38766</v>
      </c>
      <c r="E122" s="204">
        <f t="shared" si="14"/>
        <v>38766</v>
      </c>
      <c r="F122" s="204">
        <f t="shared" si="14"/>
        <v>38766</v>
      </c>
      <c r="G122" s="204">
        <f t="shared" si="14"/>
        <v>38766</v>
      </c>
      <c r="H122" s="204">
        <f t="shared" si="14"/>
        <v>38766</v>
      </c>
      <c r="I122" s="205">
        <v>38976</v>
      </c>
      <c r="J122" s="205">
        <v>38976</v>
      </c>
      <c r="K122" s="205">
        <v>38976</v>
      </c>
      <c r="L122" s="205">
        <v>38976</v>
      </c>
      <c r="M122" s="205">
        <v>39006</v>
      </c>
      <c r="N122" s="205">
        <v>39006</v>
      </c>
      <c r="O122" s="152">
        <f t="shared" si="13"/>
        <v>466512</v>
      </c>
    </row>
    <row r="123" spans="1:15">
      <c r="A123" s="150">
        <v>29</v>
      </c>
      <c r="B123" s="149" t="str">
        <f t="shared" si="10"/>
        <v>SAPARUDIN</v>
      </c>
      <c r="C123" s="204">
        <f t="shared" si="14"/>
        <v>38766</v>
      </c>
      <c r="D123" s="204">
        <f t="shared" si="14"/>
        <v>38766</v>
      </c>
      <c r="E123" s="204">
        <f t="shared" si="14"/>
        <v>38766</v>
      </c>
      <c r="F123" s="204">
        <f t="shared" si="14"/>
        <v>38766</v>
      </c>
      <c r="G123" s="204">
        <f t="shared" si="14"/>
        <v>38766</v>
      </c>
      <c r="H123" s="204">
        <f t="shared" si="14"/>
        <v>38766</v>
      </c>
      <c r="I123" s="205">
        <v>38976</v>
      </c>
      <c r="J123" s="205">
        <v>38976</v>
      </c>
      <c r="K123" s="205">
        <v>38976</v>
      </c>
      <c r="L123" s="205">
        <v>38976</v>
      </c>
      <c r="M123" s="205">
        <v>38976</v>
      </c>
      <c r="N123" s="205">
        <v>38976</v>
      </c>
      <c r="O123" s="152">
        <f t="shared" ref="O123:O164" si="15">SUM(C123:N123)</f>
        <v>466452</v>
      </c>
    </row>
    <row r="124" spans="1:15">
      <c r="A124" s="150">
        <v>30</v>
      </c>
      <c r="B124" s="149" t="str">
        <f t="shared" si="10"/>
        <v>SULTAN</v>
      </c>
      <c r="C124" s="204">
        <f t="shared" si="14"/>
        <v>38766</v>
      </c>
      <c r="D124" s="204">
        <f t="shared" si="14"/>
        <v>38766</v>
      </c>
      <c r="E124" s="204">
        <f t="shared" si="14"/>
        <v>38766</v>
      </c>
      <c r="F124" s="204">
        <f t="shared" si="14"/>
        <v>38766</v>
      </c>
      <c r="G124" s="204">
        <f t="shared" si="14"/>
        <v>38766</v>
      </c>
      <c r="H124" s="204">
        <f t="shared" si="14"/>
        <v>38766</v>
      </c>
      <c r="I124" s="205">
        <v>38946</v>
      </c>
      <c r="J124" s="205">
        <v>38976</v>
      </c>
      <c r="K124" s="205">
        <v>38976</v>
      </c>
      <c r="L124" s="205">
        <v>38976</v>
      </c>
      <c r="M124" s="205">
        <v>38976</v>
      </c>
      <c r="N124" s="205">
        <v>38976</v>
      </c>
      <c r="O124" s="152">
        <f t="shared" si="15"/>
        <v>466422</v>
      </c>
    </row>
    <row r="125" spans="1:15">
      <c r="A125" s="150">
        <v>31</v>
      </c>
      <c r="B125" s="149" t="str">
        <f t="shared" si="10"/>
        <v>MANSUR</v>
      </c>
      <c r="C125" s="204">
        <f t="shared" ref="C125:H173" si="16">3876600*1%</f>
        <v>38766</v>
      </c>
      <c r="D125" s="204">
        <f t="shared" si="16"/>
        <v>38766</v>
      </c>
      <c r="E125" s="204">
        <f t="shared" si="16"/>
        <v>38766</v>
      </c>
      <c r="F125" s="204">
        <f t="shared" si="16"/>
        <v>38766</v>
      </c>
      <c r="G125" s="204">
        <f t="shared" si="16"/>
        <v>38766</v>
      </c>
      <c r="H125" s="204">
        <f t="shared" si="16"/>
        <v>38766</v>
      </c>
      <c r="I125" s="205">
        <v>38891</v>
      </c>
      <c r="J125" s="205">
        <v>38891</v>
      </c>
      <c r="K125" s="205">
        <v>38891</v>
      </c>
      <c r="L125" s="205">
        <v>38891</v>
      </c>
      <c r="M125" s="205">
        <v>38891</v>
      </c>
      <c r="N125" s="205">
        <v>38916</v>
      </c>
      <c r="O125" s="152">
        <f t="shared" si="15"/>
        <v>465967</v>
      </c>
    </row>
    <row r="126" spans="1:15">
      <c r="A126" s="150">
        <v>32</v>
      </c>
      <c r="B126" s="149" t="str">
        <f t="shared" si="10"/>
        <v>RIDUAN</v>
      </c>
      <c r="C126" s="204">
        <f t="shared" si="16"/>
        <v>38766</v>
      </c>
      <c r="D126" s="204">
        <f t="shared" si="16"/>
        <v>38766</v>
      </c>
      <c r="E126" s="204">
        <f t="shared" si="16"/>
        <v>38766</v>
      </c>
      <c r="F126" s="204">
        <f t="shared" si="16"/>
        <v>38766</v>
      </c>
      <c r="G126" s="204">
        <f t="shared" si="16"/>
        <v>38766</v>
      </c>
      <c r="H126" s="204">
        <f t="shared" si="16"/>
        <v>38766</v>
      </c>
      <c r="I126" s="205">
        <v>38866</v>
      </c>
      <c r="J126" s="205">
        <v>38891</v>
      </c>
      <c r="K126" s="205">
        <v>38891</v>
      </c>
      <c r="L126" s="205">
        <v>38891</v>
      </c>
      <c r="M126" s="205">
        <v>38891</v>
      </c>
      <c r="N126" s="205">
        <v>38891</v>
      </c>
      <c r="O126" s="152">
        <f t="shared" si="15"/>
        <v>465917</v>
      </c>
    </row>
    <row r="127" spans="1:15">
      <c r="A127" s="150">
        <v>33</v>
      </c>
      <c r="B127" s="149" t="str">
        <f t="shared" ref="B127:B158" si="17">+B41</f>
        <v>SONJA PRIYOGA</v>
      </c>
      <c r="C127" s="204">
        <f t="shared" si="16"/>
        <v>38766</v>
      </c>
      <c r="D127" s="204">
        <f t="shared" si="16"/>
        <v>38766</v>
      </c>
      <c r="E127" s="204">
        <f t="shared" si="16"/>
        <v>38766</v>
      </c>
      <c r="F127" s="204">
        <f t="shared" si="16"/>
        <v>38766</v>
      </c>
      <c r="G127" s="204">
        <f t="shared" si="16"/>
        <v>38766</v>
      </c>
      <c r="H127" s="204">
        <f t="shared" si="16"/>
        <v>38766</v>
      </c>
      <c r="I127" s="205">
        <v>38866</v>
      </c>
      <c r="J127" s="205">
        <v>38866</v>
      </c>
      <c r="K127" s="205">
        <v>38866</v>
      </c>
      <c r="L127" s="205">
        <v>38866</v>
      </c>
      <c r="M127" s="205">
        <v>38866</v>
      </c>
      <c r="N127" s="205">
        <v>38866</v>
      </c>
      <c r="O127" s="152">
        <f t="shared" si="15"/>
        <v>465792</v>
      </c>
    </row>
    <row r="128" spans="1:15">
      <c r="A128" s="150">
        <v>34</v>
      </c>
      <c r="B128" s="149" t="str">
        <f t="shared" si="17"/>
        <v>M.FAUZI</v>
      </c>
      <c r="C128" s="204">
        <f t="shared" si="16"/>
        <v>38766</v>
      </c>
      <c r="D128" s="204">
        <f t="shared" si="16"/>
        <v>38766</v>
      </c>
      <c r="E128" s="204">
        <f t="shared" si="16"/>
        <v>38766</v>
      </c>
      <c r="F128" s="410"/>
      <c r="G128" s="410"/>
      <c r="H128" s="410"/>
      <c r="I128" s="410"/>
      <c r="J128" s="410"/>
      <c r="K128" s="410"/>
      <c r="L128" s="410"/>
      <c r="M128" s="410"/>
      <c r="N128" s="410"/>
      <c r="O128" s="152">
        <f t="shared" si="15"/>
        <v>116298</v>
      </c>
    </row>
    <row r="129" spans="1:15">
      <c r="A129" s="150">
        <v>35</v>
      </c>
      <c r="B129" s="149" t="str">
        <f t="shared" si="17"/>
        <v>DANI</v>
      </c>
      <c r="C129" s="204">
        <f t="shared" si="16"/>
        <v>38766</v>
      </c>
      <c r="D129" s="204">
        <f t="shared" si="16"/>
        <v>38766</v>
      </c>
      <c r="E129" s="204">
        <f t="shared" si="16"/>
        <v>38766</v>
      </c>
      <c r="F129" s="410"/>
      <c r="G129" s="410"/>
      <c r="H129" s="410"/>
      <c r="I129" s="410"/>
      <c r="J129" s="410"/>
      <c r="K129" s="410"/>
      <c r="L129" s="410"/>
      <c r="M129" s="410"/>
      <c r="N129" s="410"/>
      <c r="O129" s="152">
        <f t="shared" si="15"/>
        <v>116298</v>
      </c>
    </row>
    <row r="130" spans="1:15">
      <c r="A130" s="150">
        <v>36</v>
      </c>
      <c r="B130" s="149" t="str">
        <f t="shared" si="17"/>
        <v>AHAP</v>
      </c>
      <c r="C130" s="204">
        <f t="shared" si="16"/>
        <v>38766</v>
      </c>
      <c r="D130" s="204">
        <f t="shared" si="16"/>
        <v>38766</v>
      </c>
      <c r="E130" s="204">
        <f t="shared" si="16"/>
        <v>38766</v>
      </c>
      <c r="F130" s="204">
        <f t="shared" si="16"/>
        <v>38766</v>
      </c>
      <c r="G130" s="204">
        <f t="shared" si="16"/>
        <v>38766</v>
      </c>
      <c r="H130" s="204">
        <f t="shared" si="16"/>
        <v>38766</v>
      </c>
      <c r="I130" s="205">
        <v>38816</v>
      </c>
      <c r="J130" s="205">
        <v>38816</v>
      </c>
      <c r="K130" s="205">
        <v>38816</v>
      </c>
      <c r="L130" s="205">
        <v>38816</v>
      </c>
      <c r="M130" s="205">
        <v>38816</v>
      </c>
      <c r="N130" s="205">
        <v>38816</v>
      </c>
      <c r="O130" s="152">
        <f t="shared" si="15"/>
        <v>465492</v>
      </c>
    </row>
    <row r="131" spans="1:15">
      <c r="A131" s="150">
        <v>37</v>
      </c>
      <c r="B131" s="149" t="str">
        <f t="shared" si="17"/>
        <v>IHSAN</v>
      </c>
      <c r="C131" s="204">
        <f t="shared" si="16"/>
        <v>38766</v>
      </c>
      <c r="D131" s="204">
        <f t="shared" si="16"/>
        <v>38766</v>
      </c>
      <c r="E131" s="204">
        <f t="shared" si="16"/>
        <v>38766</v>
      </c>
      <c r="F131" s="204">
        <f t="shared" si="16"/>
        <v>38766</v>
      </c>
      <c r="G131" s="204">
        <f t="shared" si="16"/>
        <v>38766</v>
      </c>
      <c r="H131" s="204">
        <f t="shared" si="16"/>
        <v>38766</v>
      </c>
      <c r="I131" s="205">
        <v>38791</v>
      </c>
      <c r="J131" s="205">
        <v>38791</v>
      </c>
      <c r="K131" s="205">
        <v>38791</v>
      </c>
      <c r="L131" s="205">
        <v>38791</v>
      </c>
      <c r="M131" s="205">
        <v>38791</v>
      </c>
      <c r="N131" s="205">
        <v>38791</v>
      </c>
      <c r="O131" s="152">
        <f t="shared" si="15"/>
        <v>465342</v>
      </c>
    </row>
    <row r="132" spans="1:15">
      <c r="A132" s="150">
        <v>38</v>
      </c>
      <c r="B132" s="149" t="str">
        <f t="shared" si="17"/>
        <v>BAGUSTIN</v>
      </c>
      <c r="C132" s="204">
        <f t="shared" si="16"/>
        <v>38766</v>
      </c>
      <c r="D132" s="204">
        <f t="shared" si="16"/>
        <v>38766</v>
      </c>
      <c r="E132" s="204">
        <f t="shared" si="16"/>
        <v>38766</v>
      </c>
      <c r="F132" s="410"/>
      <c r="G132" s="410"/>
      <c r="H132" s="410"/>
      <c r="I132" s="410"/>
      <c r="J132" s="410"/>
      <c r="K132" s="410"/>
      <c r="L132" s="410"/>
      <c r="M132" s="410"/>
      <c r="N132" s="410"/>
      <c r="O132" s="152">
        <f t="shared" si="15"/>
        <v>116298</v>
      </c>
    </row>
    <row r="133" spans="1:15">
      <c r="A133" s="150">
        <v>39</v>
      </c>
      <c r="B133" s="149" t="str">
        <f t="shared" si="17"/>
        <v>HELDI SAPUTRA</v>
      </c>
      <c r="C133" s="204">
        <f t="shared" si="16"/>
        <v>38766</v>
      </c>
      <c r="D133" s="204">
        <f t="shared" si="16"/>
        <v>38766</v>
      </c>
      <c r="E133" s="204">
        <f t="shared" si="16"/>
        <v>38766</v>
      </c>
      <c r="F133" s="410"/>
      <c r="G133" s="410"/>
      <c r="H133" s="410"/>
      <c r="I133" s="410"/>
      <c r="J133" s="410"/>
      <c r="K133" s="410"/>
      <c r="L133" s="410"/>
      <c r="M133" s="410"/>
      <c r="N133" s="410"/>
      <c r="O133" s="152">
        <f t="shared" si="15"/>
        <v>116298</v>
      </c>
    </row>
    <row r="134" spans="1:15">
      <c r="A134" s="150">
        <v>40</v>
      </c>
      <c r="B134" s="149" t="str">
        <f t="shared" si="17"/>
        <v>HARTONO</v>
      </c>
      <c r="C134" s="204">
        <f t="shared" si="16"/>
        <v>38766</v>
      </c>
      <c r="D134" s="204">
        <f t="shared" si="16"/>
        <v>38766</v>
      </c>
      <c r="E134" s="204">
        <f t="shared" si="16"/>
        <v>38766</v>
      </c>
      <c r="F134" s="410"/>
      <c r="G134" s="410"/>
      <c r="H134" s="410"/>
      <c r="I134" s="410"/>
      <c r="J134" s="410"/>
      <c r="K134" s="410"/>
      <c r="L134" s="410"/>
      <c r="M134" s="410"/>
      <c r="N134" s="410"/>
      <c r="O134" s="152">
        <f t="shared" si="15"/>
        <v>116298</v>
      </c>
    </row>
    <row r="135" spans="1:15">
      <c r="A135" s="150">
        <v>41</v>
      </c>
      <c r="B135" s="149" t="str">
        <f t="shared" si="17"/>
        <v>QISTAHAM</v>
      </c>
      <c r="C135" s="204">
        <f t="shared" si="16"/>
        <v>38766</v>
      </c>
      <c r="D135" s="204">
        <f t="shared" si="16"/>
        <v>38766</v>
      </c>
      <c r="E135" s="204">
        <f t="shared" si="16"/>
        <v>38766</v>
      </c>
      <c r="F135" s="204">
        <f t="shared" si="16"/>
        <v>38766</v>
      </c>
      <c r="G135" s="204">
        <f t="shared" si="16"/>
        <v>38766</v>
      </c>
      <c r="H135" s="204">
        <f t="shared" si="16"/>
        <v>38766</v>
      </c>
      <c r="I135" s="205">
        <v>38791</v>
      </c>
      <c r="J135" s="205">
        <v>38791</v>
      </c>
      <c r="K135" s="205">
        <v>38791</v>
      </c>
      <c r="L135" s="205">
        <v>38791</v>
      </c>
      <c r="M135" s="205">
        <v>38791</v>
      </c>
      <c r="N135" s="205">
        <v>38791</v>
      </c>
      <c r="O135" s="152">
        <f t="shared" si="15"/>
        <v>465342</v>
      </c>
    </row>
    <row r="136" spans="1:15">
      <c r="A136" s="150">
        <v>42</v>
      </c>
      <c r="B136" s="149" t="str">
        <f t="shared" si="17"/>
        <v>JAYADI</v>
      </c>
      <c r="C136" s="204">
        <f t="shared" si="16"/>
        <v>38766</v>
      </c>
      <c r="D136" s="204">
        <f t="shared" si="16"/>
        <v>38766</v>
      </c>
      <c r="E136" s="204">
        <f t="shared" si="16"/>
        <v>38766</v>
      </c>
      <c r="F136" s="204">
        <f t="shared" si="16"/>
        <v>38766</v>
      </c>
      <c r="G136" s="204">
        <f t="shared" si="16"/>
        <v>38766</v>
      </c>
      <c r="H136" s="204">
        <f t="shared" si="16"/>
        <v>38766</v>
      </c>
      <c r="I136" s="205">
        <v>38791</v>
      </c>
      <c r="J136" s="205">
        <v>38791</v>
      </c>
      <c r="K136" s="205">
        <v>38791</v>
      </c>
      <c r="L136" s="205">
        <v>38791</v>
      </c>
      <c r="M136" s="205">
        <v>38791</v>
      </c>
      <c r="N136" s="205">
        <v>38791</v>
      </c>
      <c r="O136" s="152">
        <f t="shared" si="15"/>
        <v>465342</v>
      </c>
    </row>
    <row r="137" spans="1:15">
      <c r="A137" s="150">
        <v>43</v>
      </c>
      <c r="B137" s="149" t="str">
        <f t="shared" si="17"/>
        <v>MUHAMAD AMIN</v>
      </c>
      <c r="C137" s="204">
        <f t="shared" si="16"/>
        <v>38766</v>
      </c>
      <c r="D137" s="204">
        <f t="shared" si="16"/>
        <v>38766</v>
      </c>
      <c r="E137" s="204">
        <f t="shared" si="16"/>
        <v>38766</v>
      </c>
      <c r="F137" s="204">
        <f t="shared" si="16"/>
        <v>38766</v>
      </c>
      <c r="G137" s="204">
        <f t="shared" si="16"/>
        <v>38766</v>
      </c>
      <c r="H137" s="204">
        <f t="shared" si="16"/>
        <v>38766</v>
      </c>
      <c r="I137" s="205">
        <v>38791</v>
      </c>
      <c r="J137" s="205">
        <v>38791</v>
      </c>
      <c r="K137" s="205">
        <v>38791</v>
      </c>
      <c r="L137" s="205">
        <v>38791</v>
      </c>
      <c r="M137" s="205">
        <v>38791</v>
      </c>
      <c r="N137" s="205">
        <v>38791</v>
      </c>
      <c r="O137" s="152">
        <f t="shared" si="15"/>
        <v>465342</v>
      </c>
    </row>
    <row r="138" spans="1:15">
      <c r="A138" s="150">
        <v>44</v>
      </c>
      <c r="B138" s="149" t="str">
        <f t="shared" si="17"/>
        <v>SAMSUL HADI</v>
      </c>
      <c r="C138" s="204">
        <f t="shared" ref="C138:H174" si="18">3876600*1%</f>
        <v>38766</v>
      </c>
      <c r="D138" s="204">
        <f t="shared" si="18"/>
        <v>38766</v>
      </c>
      <c r="E138" s="204">
        <f t="shared" si="18"/>
        <v>38766</v>
      </c>
      <c r="F138" s="204">
        <f t="shared" si="18"/>
        <v>38766</v>
      </c>
      <c r="G138" s="204">
        <f t="shared" si="18"/>
        <v>38766</v>
      </c>
      <c r="H138" s="204">
        <f t="shared" si="18"/>
        <v>38766</v>
      </c>
      <c r="I138" s="205">
        <v>38766</v>
      </c>
      <c r="J138" s="205">
        <v>38766</v>
      </c>
      <c r="K138" s="205">
        <v>38766</v>
      </c>
      <c r="L138" s="205">
        <v>38766</v>
      </c>
      <c r="M138" s="205">
        <v>38791</v>
      </c>
      <c r="N138" s="205">
        <v>38791</v>
      </c>
      <c r="O138" s="152">
        <f t="shared" si="15"/>
        <v>465242</v>
      </c>
    </row>
    <row r="139" spans="1:15">
      <c r="A139" s="150">
        <v>45</v>
      </c>
      <c r="B139" s="149" t="str">
        <f t="shared" si="17"/>
        <v>SAPARUDIN</v>
      </c>
      <c r="C139" s="204">
        <f t="shared" si="18"/>
        <v>38766</v>
      </c>
      <c r="D139" s="204">
        <f t="shared" si="18"/>
        <v>38766</v>
      </c>
      <c r="E139" s="204">
        <f t="shared" si="18"/>
        <v>38766</v>
      </c>
      <c r="F139" s="204">
        <f t="shared" si="18"/>
        <v>38766</v>
      </c>
      <c r="G139" s="204">
        <f t="shared" si="18"/>
        <v>38766</v>
      </c>
      <c r="H139" s="204">
        <f t="shared" si="18"/>
        <v>38766</v>
      </c>
      <c r="I139" s="205">
        <v>38766</v>
      </c>
      <c r="J139" s="205">
        <v>38766</v>
      </c>
      <c r="K139" s="205">
        <v>38766</v>
      </c>
      <c r="L139" s="205">
        <v>38766</v>
      </c>
      <c r="M139" s="205">
        <v>38791</v>
      </c>
      <c r="N139" s="205">
        <v>38791</v>
      </c>
      <c r="O139" s="152">
        <f t="shared" si="15"/>
        <v>465242</v>
      </c>
    </row>
    <row r="140" spans="1:15">
      <c r="A140" s="150">
        <v>46</v>
      </c>
      <c r="B140" s="149" t="str">
        <f t="shared" si="17"/>
        <v>MUHAMAD FAUZI</v>
      </c>
      <c r="C140" s="204">
        <f t="shared" si="18"/>
        <v>38766</v>
      </c>
      <c r="D140" s="204">
        <f t="shared" si="18"/>
        <v>38766</v>
      </c>
      <c r="E140" s="204">
        <f t="shared" si="18"/>
        <v>38766</v>
      </c>
      <c r="F140" s="410"/>
      <c r="G140" s="410"/>
      <c r="H140" s="410"/>
      <c r="I140" s="410"/>
      <c r="J140" s="410"/>
      <c r="K140" s="410"/>
      <c r="L140" s="410"/>
      <c r="M140" s="410"/>
      <c r="N140" s="410"/>
      <c r="O140" s="152">
        <f t="shared" si="15"/>
        <v>116298</v>
      </c>
    </row>
    <row r="141" spans="1:15">
      <c r="A141" s="150">
        <v>47</v>
      </c>
      <c r="B141" s="149" t="str">
        <f t="shared" si="17"/>
        <v>MAHYUDIN</v>
      </c>
      <c r="C141" s="204">
        <f t="shared" si="18"/>
        <v>38766</v>
      </c>
      <c r="D141" s="204">
        <f t="shared" si="18"/>
        <v>38766</v>
      </c>
      <c r="E141" s="204">
        <f t="shared" si="18"/>
        <v>38766</v>
      </c>
      <c r="F141" s="410"/>
      <c r="G141" s="410"/>
      <c r="H141" s="410"/>
      <c r="I141" s="410"/>
      <c r="J141" s="410"/>
      <c r="K141" s="410"/>
      <c r="L141" s="410"/>
      <c r="M141" s="410"/>
      <c r="N141" s="410"/>
      <c r="O141" s="152">
        <f t="shared" si="15"/>
        <v>116298</v>
      </c>
    </row>
    <row r="142" spans="1:15">
      <c r="A142" s="150">
        <v>48</v>
      </c>
      <c r="B142" s="149" t="str">
        <f t="shared" si="17"/>
        <v>ASRI</v>
      </c>
      <c r="C142" s="204">
        <f t="shared" si="18"/>
        <v>38766</v>
      </c>
      <c r="D142" s="204">
        <f t="shared" si="18"/>
        <v>38766</v>
      </c>
      <c r="E142" s="204">
        <f t="shared" si="18"/>
        <v>38766</v>
      </c>
      <c r="F142" s="204">
        <f t="shared" si="18"/>
        <v>38766</v>
      </c>
      <c r="G142" s="204">
        <f t="shared" si="18"/>
        <v>38766</v>
      </c>
      <c r="H142" s="204">
        <f t="shared" si="18"/>
        <v>38766</v>
      </c>
      <c r="I142" s="204">
        <v>38766</v>
      </c>
      <c r="J142" s="204">
        <v>38766</v>
      </c>
      <c r="K142" s="204">
        <v>38766</v>
      </c>
      <c r="L142" s="412"/>
      <c r="M142" s="410"/>
      <c r="N142" s="410"/>
      <c r="O142" s="152">
        <f t="shared" si="15"/>
        <v>348894</v>
      </c>
    </row>
    <row r="143" spans="1:15">
      <c r="A143" s="150">
        <v>49</v>
      </c>
      <c r="B143" s="149" t="str">
        <f t="shared" si="17"/>
        <v>RUSDIANTO</v>
      </c>
      <c r="C143" s="204">
        <f t="shared" si="18"/>
        <v>38766</v>
      </c>
      <c r="D143" s="410"/>
      <c r="E143" s="410"/>
      <c r="F143" s="410"/>
      <c r="G143" s="410"/>
      <c r="H143" s="410"/>
      <c r="I143" s="411"/>
      <c r="J143" s="405"/>
      <c r="K143" s="406"/>
      <c r="L143" s="412"/>
      <c r="M143" s="410"/>
      <c r="N143" s="410"/>
      <c r="O143" s="152">
        <f t="shared" si="15"/>
        <v>38766</v>
      </c>
    </row>
    <row r="144" spans="1:15">
      <c r="A144" s="150">
        <v>50</v>
      </c>
      <c r="B144" s="149" t="str">
        <f t="shared" si="17"/>
        <v>LALU MUHAMAD HADI</v>
      </c>
      <c r="C144" s="204">
        <f t="shared" si="18"/>
        <v>38766</v>
      </c>
      <c r="D144" s="412"/>
      <c r="E144" s="412"/>
      <c r="F144" s="410"/>
      <c r="G144" s="410"/>
      <c r="H144" s="410"/>
      <c r="I144" s="410"/>
      <c r="J144" s="410"/>
      <c r="K144" s="410"/>
      <c r="L144" s="410"/>
      <c r="M144" s="410"/>
      <c r="N144" s="410"/>
      <c r="O144" s="152">
        <f t="shared" si="15"/>
        <v>38766</v>
      </c>
    </row>
    <row r="145" spans="1:15">
      <c r="A145" s="150">
        <v>51</v>
      </c>
      <c r="B145" s="149" t="str">
        <f t="shared" si="17"/>
        <v>RIJAL</v>
      </c>
      <c r="C145" s="204">
        <f t="shared" si="18"/>
        <v>38766</v>
      </c>
      <c r="D145" s="204">
        <f t="shared" si="18"/>
        <v>38766</v>
      </c>
      <c r="E145" s="204">
        <f t="shared" si="18"/>
        <v>38766</v>
      </c>
      <c r="F145" s="204">
        <f t="shared" si="18"/>
        <v>38766</v>
      </c>
      <c r="G145" s="204">
        <f t="shared" si="18"/>
        <v>38766</v>
      </c>
      <c r="H145" s="204">
        <f t="shared" si="18"/>
        <v>38766</v>
      </c>
      <c r="I145" s="205">
        <v>38866</v>
      </c>
      <c r="J145" s="205">
        <v>38866</v>
      </c>
      <c r="K145" s="205">
        <v>38891</v>
      </c>
      <c r="L145" s="205">
        <v>38891</v>
      </c>
      <c r="M145" s="205">
        <v>38891</v>
      </c>
      <c r="N145" s="205">
        <v>38891</v>
      </c>
      <c r="O145" s="152">
        <f t="shared" si="15"/>
        <v>465892</v>
      </c>
    </row>
    <row r="146" spans="1:15">
      <c r="A146" s="150">
        <v>52</v>
      </c>
      <c r="B146" s="149" t="str">
        <f t="shared" si="17"/>
        <v>FAHRUDIN</v>
      </c>
      <c r="C146" s="410"/>
      <c r="D146" s="412"/>
      <c r="E146" s="204">
        <f t="shared" si="18"/>
        <v>38766</v>
      </c>
      <c r="F146" s="204">
        <f t="shared" si="18"/>
        <v>38766</v>
      </c>
      <c r="G146" s="204">
        <f t="shared" si="18"/>
        <v>38766</v>
      </c>
      <c r="H146" s="204">
        <f t="shared" si="18"/>
        <v>38766</v>
      </c>
      <c r="I146" s="205">
        <v>38766</v>
      </c>
      <c r="J146" s="205">
        <v>38766</v>
      </c>
      <c r="K146" s="205">
        <v>38766</v>
      </c>
      <c r="L146" s="205">
        <v>38766</v>
      </c>
      <c r="M146" s="205">
        <v>38766</v>
      </c>
      <c r="N146" s="205">
        <v>38766</v>
      </c>
      <c r="O146" s="152">
        <f t="shared" si="15"/>
        <v>387660</v>
      </c>
    </row>
    <row r="147" spans="1:15">
      <c r="A147" s="150">
        <v>53</v>
      </c>
      <c r="B147" s="149" t="str">
        <f t="shared" si="17"/>
        <v>HERIANTO ARBI</v>
      </c>
      <c r="C147" s="410"/>
      <c r="D147" s="412"/>
      <c r="E147" s="412"/>
      <c r="F147" s="410"/>
      <c r="G147" s="204">
        <f t="shared" si="18"/>
        <v>38766</v>
      </c>
      <c r="H147" s="204">
        <f t="shared" si="18"/>
        <v>38766</v>
      </c>
      <c r="I147" s="205">
        <v>38766</v>
      </c>
      <c r="J147" s="205">
        <v>38766</v>
      </c>
      <c r="K147" s="205">
        <v>38766</v>
      </c>
      <c r="L147" s="205">
        <v>38766</v>
      </c>
      <c r="M147" s="205">
        <v>38766</v>
      </c>
      <c r="N147" s="205">
        <v>38766</v>
      </c>
      <c r="O147" s="152">
        <f t="shared" si="15"/>
        <v>310128</v>
      </c>
    </row>
    <row r="148" spans="1:15">
      <c r="A148" s="150">
        <v>54</v>
      </c>
      <c r="B148" s="149" t="str">
        <f t="shared" si="17"/>
        <v>EKO SUMANJAYA</v>
      </c>
      <c r="C148" s="205">
        <v>38766</v>
      </c>
      <c r="D148" s="204">
        <v>38766</v>
      </c>
      <c r="E148" s="204">
        <v>38766</v>
      </c>
      <c r="F148" s="205">
        <v>38766</v>
      </c>
      <c r="G148" s="205">
        <v>38766</v>
      </c>
      <c r="H148" s="205">
        <v>38766</v>
      </c>
      <c r="I148" s="205">
        <v>39066</v>
      </c>
      <c r="J148" s="205">
        <v>39066</v>
      </c>
      <c r="K148" s="205">
        <v>39066</v>
      </c>
      <c r="L148" s="205">
        <v>39096</v>
      </c>
      <c r="M148" s="205">
        <v>39096</v>
      </c>
      <c r="N148" s="205">
        <v>39096</v>
      </c>
      <c r="O148" s="152">
        <f t="shared" si="15"/>
        <v>467082</v>
      </c>
    </row>
    <row r="149" spans="1:15">
      <c r="A149" s="150">
        <v>55</v>
      </c>
      <c r="B149" s="149" t="str">
        <f t="shared" si="17"/>
        <v>DEKY FRANZA</v>
      </c>
      <c r="C149" s="205">
        <v>38766</v>
      </c>
      <c r="D149" s="204">
        <v>38766</v>
      </c>
      <c r="E149" s="204">
        <v>38766</v>
      </c>
      <c r="F149" s="205">
        <v>38766</v>
      </c>
      <c r="G149" s="205">
        <v>38766</v>
      </c>
      <c r="H149" s="222">
        <v>38766</v>
      </c>
      <c r="I149" s="204">
        <v>38791</v>
      </c>
      <c r="J149" s="205">
        <v>38791</v>
      </c>
      <c r="K149" s="205">
        <v>38791</v>
      </c>
      <c r="L149" s="205">
        <v>38791</v>
      </c>
      <c r="M149" s="205">
        <v>38791</v>
      </c>
      <c r="N149" s="205">
        <v>38791</v>
      </c>
      <c r="O149" s="152">
        <f t="shared" si="15"/>
        <v>465342</v>
      </c>
    </row>
    <row r="150" spans="1:15">
      <c r="A150" s="150">
        <v>56</v>
      </c>
      <c r="B150" s="149" t="str">
        <f t="shared" si="17"/>
        <v>SUMARDI</v>
      </c>
      <c r="C150" s="205">
        <v>38766</v>
      </c>
      <c r="D150" s="204">
        <v>38766</v>
      </c>
      <c r="E150" s="204">
        <v>38766</v>
      </c>
      <c r="F150" s="205">
        <v>38766</v>
      </c>
      <c r="G150" s="205">
        <v>38766</v>
      </c>
      <c r="H150" s="205">
        <v>38766</v>
      </c>
      <c r="I150" s="205">
        <v>39006</v>
      </c>
      <c r="J150" s="205">
        <v>39036</v>
      </c>
      <c r="K150" s="205">
        <v>39036</v>
      </c>
      <c r="L150" s="205">
        <v>39036</v>
      </c>
      <c r="M150" s="205">
        <v>39036</v>
      </c>
      <c r="N150" s="205">
        <v>39036</v>
      </c>
      <c r="O150" s="152">
        <f t="shared" si="15"/>
        <v>466782</v>
      </c>
    </row>
    <row r="151" spans="1:15">
      <c r="A151" s="150">
        <v>57</v>
      </c>
      <c r="B151" s="149" t="str">
        <f t="shared" si="17"/>
        <v>SUKARDI</v>
      </c>
      <c r="C151" s="205">
        <v>38766</v>
      </c>
      <c r="D151" s="204">
        <v>38766</v>
      </c>
      <c r="E151" s="204">
        <v>38766</v>
      </c>
      <c r="F151" s="205">
        <v>38766</v>
      </c>
      <c r="G151" s="205">
        <v>38766</v>
      </c>
      <c r="H151" s="205">
        <v>38766</v>
      </c>
      <c r="I151" s="205">
        <v>38791</v>
      </c>
      <c r="J151" s="205">
        <v>38791</v>
      </c>
      <c r="K151" s="205">
        <v>38791</v>
      </c>
      <c r="L151" s="205">
        <v>38791</v>
      </c>
      <c r="M151" s="205">
        <v>38791</v>
      </c>
      <c r="N151" s="162">
        <v>38791</v>
      </c>
      <c r="O151" s="152">
        <f t="shared" si="15"/>
        <v>465342</v>
      </c>
    </row>
    <row r="152" spans="1:15">
      <c r="A152" s="150">
        <v>58</v>
      </c>
      <c r="B152" s="149" t="str">
        <f t="shared" si="17"/>
        <v>YANTI NOVITA</v>
      </c>
      <c r="C152" s="205">
        <v>38766</v>
      </c>
      <c r="D152" s="204">
        <v>38766</v>
      </c>
      <c r="E152" s="204">
        <v>38766</v>
      </c>
      <c r="F152" s="204">
        <v>38766</v>
      </c>
      <c r="G152" s="205">
        <v>38766</v>
      </c>
      <c r="H152" s="205">
        <v>38766</v>
      </c>
      <c r="I152" s="205">
        <v>39236</v>
      </c>
      <c r="J152" s="205">
        <v>39236</v>
      </c>
      <c r="K152" s="205">
        <v>39236</v>
      </c>
      <c r="L152" s="205">
        <v>39236</v>
      </c>
      <c r="M152" s="205">
        <v>39236</v>
      </c>
      <c r="N152" s="205">
        <v>39271</v>
      </c>
      <c r="O152" s="152">
        <f t="shared" si="15"/>
        <v>468047</v>
      </c>
    </row>
    <row r="153" spans="1:15">
      <c r="A153" s="150">
        <v>59</v>
      </c>
      <c r="B153" s="149" t="str">
        <f t="shared" si="17"/>
        <v>FRANSISCO GAUTAMA</v>
      </c>
      <c r="C153" s="205">
        <v>38766</v>
      </c>
      <c r="D153" s="204">
        <v>38766</v>
      </c>
      <c r="E153" s="204">
        <v>38766</v>
      </c>
      <c r="F153" s="204">
        <v>38766</v>
      </c>
      <c r="G153" s="205">
        <v>38766</v>
      </c>
      <c r="H153" s="205">
        <v>38766</v>
      </c>
      <c r="I153" s="205">
        <v>39131</v>
      </c>
      <c r="J153" s="205">
        <v>39131</v>
      </c>
      <c r="K153" s="205">
        <v>39131</v>
      </c>
      <c r="L153" s="205">
        <v>39131</v>
      </c>
      <c r="M153" s="205">
        <v>39131</v>
      </c>
      <c r="N153" s="205">
        <v>39166</v>
      </c>
      <c r="O153" s="152">
        <f t="shared" si="15"/>
        <v>467417</v>
      </c>
    </row>
    <row r="154" spans="1:15">
      <c r="A154" s="150">
        <v>60</v>
      </c>
      <c r="B154" s="149" t="str">
        <f t="shared" si="17"/>
        <v>MUSDI</v>
      </c>
      <c r="C154" s="205">
        <v>38766</v>
      </c>
      <c r="D154" s="205">
        <v>38766</v>
      </c>
      <c r="E154" s="205">
        <v>38766</v>
      </c>
      <c r="F154" s="205">
        <v>38766</v>
      </c>
      <c r="G154" s="205">
        <v>38766</v>
      </c>
      <c r="H154" s="205">
        <v>38766</v>
      </c>
      <c r="I154" s="205">
        <v>39006</v>
      </c>
      <c r="J154" s="205">
        <v>39006</v>
      </c>
      <c r="K154" s="205">
        <v>39036</v>
      </c>
      <c r="L154" s="205">
        <v>39036</v>
      </c>
      <c r="M154" s="205">
        <v>39036</v>
      </c>
      <c r="N154" s="205">
        <v>39036</v>
      </c>
      <c r="O154" s="152">
        <f t="shared" si="15"/>
        <v>466752</v>
      </c>
    </row>
    <row r="155" spans="1:15">
      <c r="A155" s="150">
        <v>61</v>
      </c>
      <c r="B155" s="149" t="str">
        <f t="shared" si="17"/>
        <v>M.IDRIS PRATAMA</v>
      </c>
      <c r="C155" s="205">
        <v>38766</v>
      </c>
      <c r="D155" s="205">
        <v>38766</v>
      </c>
      <c r="E155" s="205">
        <v>38766</v>
      </c>
      <c r="F155" s="205">
        <v>38766</v>
      </c>
      <c r="G155" s="205">
        <v>38766</v>
      </c>
      <c r="H155" s="205">
        <v>38766</v>
      </c>
      <c r="I155" s="205">
        <v>38816</v>
      </c>
      <c r="J155" s="205">
        <v>38816</v>
      </c>
      <c r="K155" s="205">
        <v>38816</v>
      </c>
      <c r="L155" s="205">
        <v>38816</v>
      </c>
      <c r="M155" s="205">
        <v>38816</v>
      </c>
      <c r="N155" s="205">
        <v>38816</v>
      </c>
      <c r="O155" s="152">
        <f t="shared" si="15"/>
        <v>465492</v>
      </c>
    </row>
    <row r="156" spans="1:15">
      <c r="A156" s="150">
        <v>62</v>
      </c>
      <c r="B156" s="149" t="str">
        <f t="shared" si="17"/>
        <v>NOLA WILANDA</v>
      </c>
      <c r="C156" s="410"/>
      <c r="D156" s="412"/>
      <c r="E156" s="412"/>
      <c r="F156" s="412"/>
      <c r="G156" s="410"/>
      <c r="H156" s="410"/>
      <c r="I156" s="410"/>
      <c r="J156" s="410"/>
      <c r="K156" s="205">
        <v>38766</v>
      </c>
      <c r="L156" s="205">
        <v>38766</v>
      </c>
      <c r="M156" s="205">
        <v>38766</v>
      </c>
      <c r="N156" s="205">
        <v>38766</v>
      </c>
      <c r="O156" s="152">
        <f t="shared" si="15"/>
        <v>155064</v>
      </c>
    </row>
    <row r="157" spans="1:15">
      <c r="A157" s="150">
        <v>63</v>
      </c>
      <c r="B157" s="149" t="str">
        <f t="shared" si="17"/>
        <v>AGUSTIAN</v>
      </c>
      <c r="C157" s="410"/>
      <c r="D157" s="410"/>
      <c r="E157" s="410"/>
      <c r="F157" s="410"/>
      <c r="G157" s="410"/>
      <c r="H157" s="410"/>
      <c r="I157" s="410"/>
      <c r="J157" s="410"/>
      <c r="K157" s="205">
        <v>38766</v>
      </c>
      <c r="L157" s="205">
        <v>38766</v>
      </c>
      <c r="M157" s="205">
        <v>38766</v>
      </c>
      <c r="N157" s="205">
        <v>38766</v>
      </c>
      <c r="O157" s="152">
        <f t="shared" si="15"/>
        <v>155064</v>
      </c>
    </row>
    <row r="158" spans="1:15">
      <c r="A158" s="150">
        <v>64</v>
      </c>
      <c r="B158" s="149" t="str">
        <f t="shared" si="17"/>
        <v>DWI MARZETI</v>
      </c>
      <c r="C158" s="410"/>
      <c r="D158" s="410"/>
      <c r="E158" s="410"/>
      <c r="F158" s="410"/>
      <c r="G158" s="410"/>
      <c r="H158" s="410"/>
      <c r="I158" s="410"/>
      <c r="J158" s="410"/>
      <c r="K158" s="205">
        <v>38766</v>
      </c>
      <c r="L158" s="205">
        <v>38766</v>
      </c>
      <c r="M158" s="205">
        <v>38766</v>
      </c>
      <c r="N158" s="205">
        <v>38766</v>
      </c>
      <c r="O158" s="152">
        <f t="shared" si="15"/>
        <v>155064</v>
      </c>
    </row>
    <row r="159" spans="1:15">
      <c r="A159" s="150">
        <v>65</v>
      </c>
      <c r="B159" s="149" t="str">
        <f t="shared" ref="B159:B164" si="19">+B73</f>
        <v>SUTRA PRAYOGI</v>
      </c>
      <c r="C159" s="410"/>
      <c r="D159" s="410"/>
      <c r="E159" s="410"/>
      <c r="F159" s="410"/>
      <c r="G159" s="410"/>
      <c r="H159" s="410"/>
      <c r="I159" s="410"/>
      <c r="J159" s="410"/>
      <c r="K159" s="410"/>
      <c r="L159" s="205">
        <v>38766</v>
      </c>
      <c r="M159" s="205">
        <v>38766</v>
      </c>
      <c r="N159" s="205">
        <v>38766</v>
      </c>
      <c r="O159" s="152">
        <f t="shared" si="15"/>
        <v>116298</v>
      </c>
    </row>
    <row r="160" spans="1:15">
      <c r="A160" s="150">
        <v>66</v>
      </c>
      <c r="B160" s="149" t="str">
        <f t="shared" si="19"/>
        <v>SAHARUDIN</v>
      </c>
      <c r="C160" s="161">
        <f t="shared" ref="C160:H160" si="20">3876600*1%</f>
        <v>38766</v>
      </c>
      <c r="D160" s="161">
        <f t="shared" si="20"/>
        <v>38766</v>
      </c>
      <c r="E160" s="161">
        <f t="shared" si="20"/>
        <v>38766</v>
      </c>
      <c r="F160" s="161">
        <f t="shared" si="20"/>
        <v>38766</v>
      </c>
      <c r="G160" s="161">
        <f t="shared" si="20"/>
        <v>38766</v>
      </c>
      <c r="H160" s="161">
        <f t="shared" si="20"/>
        <v>38766</v>
      </c>
      <c r="I160" s="161">
        <v>39066</v>
      </c>
      <c r="J160" s="161">
        <v>39066</v>
      </c>
      <c r="K160" s="161">
        <v>39066</v>
      </c>
      <c r="L160" s="161">
        <v>39096</v>
      </c>
      <c r="M160" s="161">
        <v>39096</v>
      </c>
      <c r="N160" s="205">
        <v>39096</v>
      </c>
      <c r="O160" s="152">
        <f t="shared" si="15"/>
        <v>467082</v>
      </c>
    </row>
    <row r="161" spans="1:16">
      <c r="A161" s="150">
        <v>67</v>
      </c>
      <c r="B161" s="149">
        <f t="shared" si="19"/>
        <v>0</v>
      </c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152">
        <f t="shared" si="15"/>
        <v>0</v>
      </c>
    </row>
    <row r="162" spans="1:16">
      <c r="A162" s="150">
        <v>68</v>
      </c>
      <c r="B162" s="149">
        <f t="shared" si="19"/>
        <v>0</v>
      </c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152">
        <f t="shared" si="15"/>
        <v>0</v>
      </c>
    </row>
    <row r="163" spans="1:16">
      <c r="A163" s="150">
        <v>69</v>
      </c>
      <c r="B163" s="149">
        <f t="shared" si="19"/>
        <v>0</v>
      </c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152">
        <f t="shared" si="15"/>
        <v>0</v>
      </c>
    </row>
    <row r="164" spans="1:16">
      <c r="A164" s="150">
        <v>70</v>
      </c>
      <c r="B164" s="149">
        <f t="shared" si="19"/>
        <v>0</v>
      </c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152">
        <f t="shared" si="15"/>
        <v>0</v>
      </c>
    </row>
    <row r="165" spans="1:16">
      <c r="A165" s="208"/>
      <c r="B165" s="209"/>
      <c r="C165" s="210">
        <f>SUM(C95:C164)</f>
        <v>2325960</v>
      </c>
      <c r="D165" s="210">
        <f t="shared" ref="D165:O165" si="21">SUM(D95:D164)</f>
        <v>2248428</v>
      </c>
      <c r="E165" s="210">
        <f t="shared" si="21"/>
        <v>2287194</v>
      </c>
      <c r="F165" s="210">
        <f t="shared" si="21"/>
        <v>2015832</v>
      </c>
      <c r="G165" s="210">
        <f t="shared" si="21"/>
        <v>1977066</v>
      </c>
      <c r="H165" s="210">
        <f t="shared" si="21"/>
        <v>1977066</v>
      </c>
      <c r="I165" s="210">
        <f t="shared" si="21"/>
        <v>1992391</v>
      </c>
      <c r="J165" s="210">
        <f t="shared" si="21"/>
        <v>1992511</v>
      </c>
      <c r="K165" s="210">
        <f t="shared" si="21"/>
        <v>2109044</v>
      </c>
      <c r="L165" s="210">
        <f t="shared" si="21"/>
        <v>2109104</v>
      </c>
      <c r="M165" s="210">
        <f t="shared" si="21"/>
        <v>2109214</v>
      </c>
      <c r="N165" s="210">
        <f t="shared" si="21"/>
        <v>2109344</v>
      </c>
      <c r="O165" s="210">
        <f t="shared" si="21"/>
        <v>25253154</v>
      </c>
      <c r="P165" s="212">
        <f>O165+O79</f>
        <v>75759462</v>
      </c>
    </row>
    <row r="168" spans="1:16" hidden="1">
      <c r="A168" s="150">
        <v>29</v>
      </c>
      <c r="B168" s="149" t="str">
        <f t="shared" ref="B168:B174" si="22">+B81</f>
        <v>MUSNI</v>
      </c>
      <c r="C168" s="204">
        <f t="shared" si="14"/>
        <v>38766</v>
      </c>
      <c r="D168" s="204">
        <f t="shared" si="14"/>
        <v>38766</v>
      </c>
      <c r="E168" s="204">
        <f t="shared" si="14"/>
        <v>38766</v>
      </c>
      <c r="F168" s="204">
        <f t="shared" si="14"/>
        <v>38766</v>
      </c>
      <c r="G168" s="204">
        <f t="shared" si="14"/>
        <v>38766</v>
      </c>
      <c r="H168" s="204">
        <f t="shared" si="14"/>
        <v>38766</v>
      </c>
      <c r="I168" s="205">
        <v>38976</v>
      </c>
      <c r="J168" s="205"/>
      <c r="K168" s="205"/>
      <c r="L168" s="205"/>
      <c r="M168" s="205"/>
      <c r="N168" s="205"/>
      <c r="O168" s="152">
        <f t="shared" ref="O168:O174" si="23">SUM(C168:N168)</f>
        <v>271572</v>
      </c>
    </row>
    <row r="169" spans="1:16" hidden="1">
      <c r="A169" s="150">
        <v>31</v>
      </c>
      <c r="B169" s="149" t="str">
        <f t="shared" si="22"/>
        <v>ARPANDI</v>
      </c>
      <c r="C169" s="204">
        <f t="shared" si="14"/>
        <v>38766</v>
      </c>
      <c r="D169" s="204">
        <f t="shared" si="14"/>
        <v>38766</v>
      </c>
      <c r="E169" s="204">
        <f t="shared" si="14"/>
        <v>38766</v>
      </c>
      <c r="F169" s="204">
        <f t="shared" si="14"/>
        <v>38766</v>
      </c>
      <c r="G169" s="204">
        <f t="shared" si="14"/>
        <v>38766</v>
      </c>
      <c r="H169" s="204">
        <f t="shared" si="14"/>
        <v>38766</v>
      </c>
      <c r="I169" s="205">
        <v>38976</v>
      </c>
      <c r="J169" s="205"/>
      <c r="K169" s="205"/>
      <c r="L169" s="205"/>
      <c r="M169" s="205"/>
      <c r="N169" s="205"/>
      <c r="O169" s="152">
        <f t="shared" si="23"/>
        <v>271572</v>
      </c>
    </row>
    <row r="170" spans="1:16" hidden="1">
      <c r="A170" s="150">
        <v>32</v>
      </c>
      <c r="B170" s="149" t="str">
        <f t="shared" si="22"/>
        <v>MASRI</v>
      </c>
      <c r="C170" s="204">
        <f t="shared" si="14"/>
        <v>38766</v>
      </c>
      <c r="D170" s="204">
        <f t="shared" si="14"/>
        <v>38766</v>
      </c>
      <c r="E170" s="204">
        <f t="shared" si="14"/>
        <v>38766</v>
      </c>
      <c r="F170" s="204">
        <f t="shared" si="14"/>
        <v>38766</v>
      </c>
      <c r="G170" s="204">
        <f t="shared" si="14"/>
        <v>38766</v>
      </c>
      <c r="H170" s="204">
        <f t="shared" si="14"/>
        <v>38766</v>
      </c>
      <c r="I170" s="205">
        <v>39036</v>
      </c>
      <c r="J170" s="205"/>
      <c r="K170" s="205"/>
      <c r="L170" s="205"/>
      <c r="M170" s="205"/>
      <c r="N170" s="205"/>
      <c r="O170" s="152">
        <f t="shared" si="23"/>
        <v>271632</v>
      </c>
    </row>
    <row r="171" spans="1:16" hidden="1">
      <c r="A171" s="150">
        <v>35</v>
      </c>
      <c r="B171" s="149" t="str">
        <f t="shared" si="22"/>
        <v>HARDIANSYAH</v>
      </c>
      <c r="C171" s="204">
        <f t="shared" si="16"/>
        <v>38766</v>
      </c>
      <c r="D171" s="204">
        <f t="shared" si="16"/>
        <v>38766</v>
      </c>
      <c r="E171" s="204">
        <f t="shared" si="16"/>
        <v>38766</v>
      </c>
      <c r="F171" s="204">
        <f t="shared" si="16"/>
        <v>38766</v>
      </c>
      <c r="G171" s="204">
        <f t="shared" si="16"/>
        <v>38766</v>
      </c>
      <c r="H171" s="204">
        <f t="shared" si="16"/>
        <v>38766</v>
      </c>
      <c r="I171" s="205">
        <v>38891</v>
      </c>
      <c r="J171" s="205"/>
      <c r="K171" s="205"/>
      <c r="L171" s="205"/>
      <c r="M171" s="205"/>
      <c r="N171" s="205"/>
      <c r="O171" s="152">
        <f t="shared" si="23"/>
        <v>271487</v>
      </c>
    </row>
    <row r="172" spans="1:16" hidden="1">
      <c r="A172" s="150">
        <v>41</v>
      </c>
      <c r="B172" s="149" t="str">
        <f t="shared" si="22"/>
        <v>SALEH</v>
      </c>
      <c r="C172" s="204">
        <f t="shared" si="16"/>
        <v>38766</v>
      </c>
      <c r="D172" s="204">
        <f t="shared" si="16"/>
        <v>38766</v>
      </c>
      <c r="E172" s="204">
        <f t="shared" si="16"/>
        <v>38766</v>
      </c>
      <c r="F172" s="204">
        <f t="shared" si="16"/>
        <v>38766</v>
      </c>
      <c r="G172" s="204">
        <f t="shared" si="16"/>
        <v>38766</v>
      </c>
      <c r="H172" s="204">
        <f t="shared" si="16"/>
        <v>38766</v>
      </c>
      <c r="I172" s="205">
        <v>38791</v>
      </c>
      <c r="J172" s="205"/>
      <c r="K172" s="205"/>
      <c r="L172" s="205"/>
      <c r="M172" s="205"/>
      <c r="N172" s="205"/>
      <c r="O172" s="152">
        <f t="shared" si="23"/>
        <v>271387</v>
      </c>
    </row>
    <row r="173" spans="1:16" hidden="1">
      <c r="A173" s="150">
        <v>48</v>
      </c>
      <c r="B173" s="149" t="str">
        <f t="shared" si="22"/>
        <v>JUFRI</v>
      </c>
      <c r="C173" s="204">
        <f t="shared" si="16"/>
        <v>38766</v>
      </c>
      <c r="D173" s="204">
        <f t="shared" si="16"/>
        <v>38766</v>
      </c>
      <c r="E173" s="204">
        <f t="shared" si="16"/>
        <v>38766</v>
      </c>
      <c r="F173" s="204">
        <f t="shared" si="16"/>
        <v>38766</v>
      </c>
      <c r="G173" s="204">
        <f t="shared" si="16"/>
        <v>38766</v>
      </c>
      <c r="H173" s="204">
        <f t="shared" si="16"/>
        <v>38766</v>
      </c>
      <c r="I173" s="205">
        <v>38866</v>
      </c>
      <c r="J173" s="205"/>
      <c r="K173" s="205"/>
      <c r="L173" s="205"/>
      <c r="M173" s="205"/>
      <c r="N173" s="205"/>
      <c r="O173" s="152">
        <f t="shared" si="23"/>
        <v>271462</v>
      </c>
    </row>
    <row r="174" spans="1:16" hidden="1">
      <c r="A174" s="150">
        <v>50</v>
      </c>
      <c r="B174" s="149" t="str">
        <f t="shared" si="22"/>
        <v>ZAMALUDIN</v>
      </c>
      <c r="C174" s="204">
        <f t="shared" si="18"/>
        <v>38766</v>
      </c>
      <c r="D174" s="204">
        <f t="shared" si="18"/>
        <v>38766</v>
      </c>
      <c r="E174" s="204">
        <f t="shared" si="18"/>
        <v>38766</v>
      </c>
      <c r="F174" s="204">
        <f t="shared" si="18"/>
        <v>38766</v>
      </c>
      <c r="G174" s="204">
        <f t="shared" si="18"/>
        <v>38766</v>
      </c>
      <c r="H174" s="204">
        <f t="shared" si="18"/>
        <v>38766</v>
      </c>
      <c r="I174" s="205">
        <v>38766</v>
      </c>
      <c r="J174" s="205"/>
      <c r="K174" s="205"/>
      <c r="L174" s="205"/>
      <c r="M174" s="205"/>
      <c r="N174" s="205"/>
      <c r="O174" s="152">
        <f t="shared" si="23"/>
        <v>271362</v>
      </c>
    </row>
  </sheetData>
  <mergeCells count="8">
    <mergeCell ref="A91:A94"/>
    <mergeCell ref="B91:B94"/>
    <mergeCell ref="C91:N93"/>
    <mergeCell ref="O91:O94"/>
    <mergeCell ref="A5:A8"/>
    <mergeCell ref="B5:B8"/>
    <mergeCell ref="C5:N7"/>
    <mergeCell ref="O5:O8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X507"/>
  <sheetViews>
    <sheetView zoomScaleNormal="100" workbookViewId="0">
      <selection activeCell="W19" sqref="W19"/>
    </sheetView>
  </sheetViews>
  <sheetFormatPr defaultColWidth="9.28515625" defaultRowHeight="12.75" outlineLevelCol="1"/>
  <cols>
    <col min="1" max="1" width="1.5703125" style="372" customWidth="1"/>
    <col min="2" max="2" width="5.7109375" style="136" customWidth="1"/>
    <col min="3" max="3" width="15.5703125" style="28" customWidth="1"/>
    <col min="4" max="4" width="17.42578125" style="464" hidden="1" customWidth="1" outlineLevel="1"/>
    <col min="5" max="5" width="17.85546875" style="29" hidden="1" customWidth="1" outlineLevel="1"/>
    <col min="6" max="6" width="21.42578125" style="28" hidden="1" customWidth="1" outlineLevel="1"/>
    <col min="7" max="7" width="16.5703125" style="338" hidden="1" customWidth="1" outlineLevel="1"/>
    <col min="8" max="8" width="5" style="339" hidden="1" customWidth="1" outlineLevel="1"/>
    <col min="9" max="9" width="6.7109375" style="339" hidden="1" customWidth="1" outlineLevel="1"/>
    <col min="10" max="10" width="7.85546875" style="339" hidden="1" customWidth="1" outlineLevel="1"/>
    <col min="11" max="12" width="5.28515625" style="339" hidden="1" customWidth="1" outlineLevel="1"/>
    <col min="13" max="13" width="12.7109375" style="28" customWidth="1" collapsed="1"/>
    <col min="14" max="16" width="12.7109375" style="28" customWidth="1"/>
    <col min="17" max="26" width="13.5703125" style="28" customWidth="1"/>
    <col min="27" max="27" width="14.5703125" style="28" customWidth="1"/>
    <col min="28" max="29" width="13.5703125" style="28" customWidth="1"/>
    <col min="30" max="30" width="15.42578125" style="28" customWidth="1"/>
    <col min="31" max="34" width="14.7109375" style="28" customWidth="1"/>
    <col min="35" max="36" width="14.7109375" style="31" customWidth="1"/>
    <col min="37" max="37" width="12.28515625" style="32" customWidth="1"/>
    <col min="38" max="38" width="12.28515625" style="33" customWidth="1"/>
    <col min="39" max="39" width="9.7109375" style="32" customWidth="1"/>
    <col min="40" max="40" width="12" style="33" customWidth="1"/>
    <col min="41" max="42" width="9.28515625" style="32" customWidth="1"/>
    <col min="43" max="54" width="9.28515625" style="136"/>
    <col min="55" max="16384" width="9.28515625" style="372"/>
  </cols>
  <sheetData>
    <row r="1" spans="2:42" s="136" customFormat="1" ht="13.5" thickBot="1">
      <c r="C1" s="337" t="s">
        <v>40</v>
      </c>
      <c r="D1" s="464"/>
      <c r="E1" s="29"/>
      <c r="F1" s="28"/>
      <c r="G1" s="338"/>
      <c r="H1" s="339"/>
      <c r="I1" s="339"/>
      <c r="J1" s="339"/>
      <c r="K1" s="339"/>
      <c r="L1" s="339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1"/>
      <c r="AJ1" s="31"/>
      <c r="AK1" s="32"/>
      <c r="AL1" s="33"/>
      <c r="AM1" s="32"/>
      <c r="AN1" s="33"/>
      <c r="AO1" s="32"/>
      <c r="AP1" s="32"/>
    </row>
    <row r="2" spans="2:42" s="136" customFormat="1" ht="15.75" thickBot="1">
      <c r="B2" s="486" t="s">
        <v>24</v>
      </c>
      <c r="C2" s="489" t="s">
        <v>25</v>
      </c>
      <c r="D2" s="492" t="s">
        <v>26</v>
      </c>
      <c r="E2" s="493" t="s">
        <v>27</v>
      </c>
      <c r="F2" s="489" t="s">
        <v>28</v>
      </c>
      <c r="G2" s="484" t="s">
        <v>29</v>
      </c>
      <c r="H2" s="502" t="s">
        <v>46</v>
      </c>
      <c r="I2" s="503"/>
      <c r="J2" s="503"/>
      <c r="K2" s="503"/>
      <c r="L2" s="503"/>
      <c r="M2" s="506" t="s">
        <v>31</v>
      </c>
      <c r="N2" s="507"/>
      <c r="O2" s="507"/>
      <c r="P2" s="507"/>
      <c r="Q2" s="507"/>
      <c r="R2" s="516" t="s">
        <v>173</v>
      </c>
      <c r="S2" s="517"/>
      <c r="T2" s="517"/>
      <c r="U2" s="524" t="s">
        <v>177</v>
      </c>
      <c r="V2" s="499" t="s">
        <v>178</v>
      </c>
      <c r="W2" s="495" t="s">
        <v>179</v>
      </c>
      <c r="X2" s="495" t="s">
        <v>180</v>
      </c>
      <c r="Y2" s="495" t="s">
        <v>181</v>
      </c>
      <c r="Z2" s="495" t="s">
        <v>182</v>
      </c>
      <c r="AA2" s="498" t="s">
        <v>183</v>
      </c>
      <c r="AB2" s="526" t="s">
        <v>184</v>
      </c>
      <c r="AC2" s="527"/>
      <c r="AD2" s="530" t="s">
        <v>185</v>
      </c>
      <c r="AE2" s="495" t="s">
        <v>32</v>
      </c>
      <c r="AF2" s="494" t="s">
        <v>33</v>
      </c>
      <c r="AG2" s="498" t="s">
        <v>55</v>
      </c>
      <c r="AH2" s="499"/>
      <c r="AI2" s="494" t="s">
        <v>34</v>
      </c>
      <c r="AJ2" s="615" t="s">
        <v>35</v>
      </c>
      <c r="AK2" s="32"/>
      <c r="AL2" s="33"/>
      <c r="AM2" s="32"/>
      <c r="AN2" s="33"/>
      <c r="AO2" s="32"/>
      <c r="AP2" s="32"/>
    </row>
    <row r="3" spans="2:42" s="136" customFormat="1" ht="13.5" thickBot="1">
      <c r="B3" s="487"/>
      <c r="C3" s="490"/>
      <c r="D3" s="490"/>
      <c r="E3" s="493"/>
      <c r="F3" s="490"/>
      <c r="G3" s="484"/>
      <c r="H3" s="504"/>
      <c r="I3" s="505"/>
      <c r="J3" s="505"/>
      <c r="K3" s="505"/>
      <c r="L3" s="505"/>
      <c r="M3" s="508" t="s">
        <v>36</v>
      </c>
      <c r="N3" s="510" t="s">
        <v>43</v>
      </c>
      <c r="O3" s="510" t="s">
        <v>45</v>
      </c>
      <c r="P3" s="512" t="s">
        <v>44</v>
      </c>
      <c r="Q3" s="510" t="s">
        <v>41</v>
      </c>
      <c r="R3" s="518" t="s">
        <v>174</v>
      </c>
      <c r="S3" s="520" t="s">
        <v>175</v>
      </c>
      <c r="T3" s="522" t="s">
        <v>176</v>
      </c>
      <c r="U3" s="524"/>
      <c r="V3" s="531"/>
      <c r="W3" s="496"/>
      <c r="X3" s="496"/>
      <c r="Y3" s="496"/>
      <c r="Z3" s="496"/>
      <c r="AA3" s="525"/>
      <c r="AB3" s="528"/>
      <c r="AC3" s="529"/>
      <c r="AD3" s="530"/>
      <c r="AE3" s="496"/>
      <c r="AF3" s="494"/>
      <c r="AG3" s="500"/>
      <c r="AH3" s="501"/>
      <c r="AI3" s="494"/>
      <c r="AJ3" s="615"/>
      <c r="AK3" s="32"/>
      <c r="AL3" s="33"/>
      <c r="AM3" s="32"/>
      <c r="AN3" s="33"/>
      <c r="AO3" s="32"/>
      <c r="AP3" s="32"/>
    </row>
    <row r="4" spans="2:42" s="136" customFormat="1" ht="26.25" thickBot="1">
      <c r="B4" s="488"/>
      <c r="C4" s="491"/>
      <c r="D4" s="491"/>
      <c r="E4" s="493"/>
      <c r="F4" s="491"/>
      <c r="G4" s="485"/>
      <c r="H4" s="340" t="s">
        <v>37</v>
      </c>
      <c r="I4" s="340" t="s">
        <v>6</v>
      </c>
      <c r="J4" s="341" t="s">
        <v>15</v>
      </c>
      <c r="K4" s="514" t="s">
        <v>30</v>
      </c>
      <c r="L4" s="515"/>
      <c r="M4" s="509"/>
      <c r="N4" s="511"/>
      <c r="O4" s="511"/>
      <c r="P4" s="513"/>
      <c r="Q4" s="511"/>
      <c r="R4" s="519"/>
      <c r="S4" s="521"/>
      <c r="T4" s="523"/>
      <c r="U4" s="524"/>
      <c r="V4" s="501"/>
      <c r="W4" s="497"/>
      <c r="X4" s="497"/>
      <c r="Y4" s="497"/>
      <c r="Z4" s="497"/>
      <c r="AA4" s="497"/>
      <c r="AB4" s="463" t="s">
        <v>186</v>
      </c>
      <c r="AC4" s="463" t="s">
        <v>187</v>
      </c>
      <c r="AD4" s="494"/>
      <c r="AE4" s="497"/>
      <c r="AF4" s="494"/>
      <c r="AG4" s="462" t="s">
        <v>54</v>
      </c>
      <c r="AH4" s="462" t="s">
        <v>53</v>
      </c>
      <c r="AI4" s="494"/>
      <c r="AJ4" s="615"/>
      <c r="AK4" s="32"/>
      <c r="AL4" s="33"/>
      <c r="AM4" s="32"/>
      <c r="AN4" s="33"/>
      <c r="AO4" s="32"/>
      <c r="AP4" s="32"/>
    </row>
    <row r="5" spans="2:42" s="346" customFormat="1" thickBot="1">
      <c r="B5" s="344">
        <v>1</v>
      </c>
      <c r="C5" s="345">
        <v>2</v>
      </c>
      <c r="D5" s="344">
        <v>3</v>
      </c>
      <c r="E5" s="345">
        <v>4</v>
      </c>
      <c r="F5" s="344">
        <v>5</v>
      </c>
      <c r="G5" s="345">
        <v>6</v>
      </c>
      <c r="H5" s="344">
        <v>7</v>
      </c>
      <c r="I5" s="345">
        <v>8</v>
      </c>
      <c r="J5" s="344">
        <v>9</v>
      </c>
      <c r="K5" s="345">
        <v>10</v>
      </c>
      <c r="L5" s="344">
        <v>11</v>
      </c>
      <c r="M5" s="345">
        <v>12</v>
      </c>
      <c r="N5" s="344">
        <v>13</v>
      </c>
      <c r="O5" s="345">
        <v>14</v>
      </c>
      <c r="P5" s="344">
        <v>15</v>
      </c>
      <c r="Q5" s="345">
        <v>16</v>
      </c>
      <c r="R5" s="344">
        <v>17</v>
      </c>
      <c r="S5" s="345">
        <v>18</v>
      </c>
      <c r="T5" s="344">
        <v>19</v>
      </c>
      <c r="U5" s="345">
        <v>20</v>
      </c>
      <c r="V5" s="344">
        <v>21</v>
      </c>
      <c r="W5" s="345">
        <v>22</v>
      </c>
      <c r="X5" s="344">
        <v>23</v>
      </c>
      <c r="Y5" s="345">
        <v>24</v>
      </c>
      <c r="Z5" s="344">
        <v>25</v>
      </c>
      <c r="AA5" s="345">
        <v>26</v>
      </c>
      <c r="AB5" s="344">
        <v>27</v>
      </c>
      <c r="AC5" s="345">
        <v>27</v>
      </c>
      <c r="AD5" s="344">
        <v>29</v>
      </c>
      <c r="AE5" s="345">
        <v>30</v>
      </c>
      <c r="AF5" s="344">
        <v>31</v>
      </c>
      <c r="AG5" s="345">
        <v>32</v>
      </c>
      <c r="AH5" s="344">
        <v>33</v>
      </c>
      <c r="AI5" s="345">
        <v>34</v>
      </c>
      <c r="AJ5" s="344">
        <v>35</v>
      </c>
      <c r="AK5" s="53"/>
      <c r="AL5" s="54"/>
      <c r="AM5" s="53"/>
      <c r="AN5" s="54"/>
      <c r="AO5" s="53"/>
      <c r="AP5" s="53"/>
    </row>
    <row r="6" spans="2:42" s="136" customFormat="1">
      <c r="B6" s="131">
        <v>1</v>
      </c>
      <c r="C6" s="347" t="str">
        <f>+PERBULAN!B6</f>
        <v>GUNAWAN</v>
      </c>
      <c r="D6" s="348" t="s">
        <v>249</v>
      </c>
      <c r="E6" s="349" t="s">
        <v>426</v>
      </c>
      <c r="F6" s="83" t="s">
        <v>316</v>
      </c>
      <c r="G6" s="350" t="s">
        <v>81</v>
      </c>
      <c r="H6" s="351" t="s">
        <v>39</v>
      </c>
      <c r="I6" s="352" t="s">
        <v>11</v>
      </c>
      <c r="J6" s="147" t="str">
        <f>IF(ISBLANK(I6),"",IF(OR(I6="TK/0",I6="TK/1",I6="K/0"),"TER A",IF(I6="K/3","TER C","TER B")))</f>
        <v>TER B</v>
      </c>
      <c r="K6" s="393">
        <v>1</v>
      </c>
      <c r="L6" s="393">
        <v>12</v>
      </c>
      <c r="M6" s="138">
        <f>31*129220</f>
        <v>4005820</v>
      </c>
      <c r="N6" s="138">
        <v>3740804.06</v>
      </c>
      <c r="O6" s="138">
        <v>189224.64</v>
      </c>
      <c r="P6" s="138">
        <v>0</v>
      </c>
      <c r="Q6" s="138">
        <f t="shared" ref="Q6:Q7" si="0">SUM(M6:P6)</f>
        <v>7935848.7000000002</v>
      </c>
      <c r="R6" s="138">
        <f>+SETAHUN!H7</f>
        <v>4073100</v>
      </c>
      <c r="S6" s="138">
        <f>+SETAHUN!K7</f>
        <v>900000</v>
      </c>
      <c r="T6" s="138">
        <v>0</v>
      </c>
      <c r="U6" s="138">
        <f>+SETAHUN!F7+M6+N6</f>
        <v>88602847.620000005</v>
      </c>
      <c r="V6" s="138">
        <v>0</v>
      </c>
      <c r="W6" s="138">
        <f>+SETAHUN!U7+O6</f>
        <v>2268022.08</v>
      </c>
      <c r="X6" s="138">
        <v>0</v>
      </c>
      <c r="Y6" s="138">
        <v>0</v>
      </c>
      <c r="Z6" s="138">
        <f>SUM(R6:T6)</f>
        <v>4973100</v>
      </c>
      <c r="AA6" s="138">
        <f>SUM(U6:Z6)</f>
        <v>95843969.700000003</v>
      </c>
      <c r="AB6" s="138">
        <f t="shared" ref="AB6:AB58" si="1">ROUND(IF((AA6)*5%&gt;6000000,6000000,(AA6)*5%),0)</f>
        <v>4792198</v>
      </c>
      <c r="AC6" s="138">
        <f>('ASTEK+PENSIUN-DIISI SMPAI DES'!O95+'ASTEK+PENSIUN-DIISI SMPAI DES'!O9)</f>
        <v>1401336</v>
      </c>
      <c r="AD6" s="138">
        <f>AA6-AB6-AC6</f>
        <v>89650435.700000003</v>
      </c>
      <c r="AE6" s="139">
        <f t="shared" ref="AE6:AE58" si="2">IFERROR(VLOOKUP(I6,TARIF,3,FALSE),0)</f>
        <v>67500000</v>
      </c>
      <c r="AF6" s="139">
        <f>ROUNDDOWN(IF(AD6&lt;=AE6,0,IF(AD6&gt;AE6,AD6-AE6)),-3)</f>
        <v>22150000</v>
      </c>
      <c r="AG6" s="140">
        <f>IF(AF6&gt;5000000000,AF6*35%-306000000,IF(AF6&gt;500000000,AF6*30%-56000000,IF(AF6&gt;250000000,AF6*25%-31000000,IF(AF6&gt;60000000,AF6*15%-6000000,AF6*5%))))</f>
        <v>1107500</v>
      </c>
      <c r="AH6" s="140">
        <f>ROUND(IF(E6=0,AG6*120%,AG6),0)</f>
        <v>1107500</v>
      </c>
      <c r="AI6" s="67">
        <f>+'PAJAK JAN-NOV'!R3</f>
        <v>999664</v>
      </c>
      <c r="AJ6" s="141">
        <f>IF(AG6&lt;=AI6,0,IF(AG6&gt;AI6,AG6-AI6))</f>
        <v>107836</v>
      </c>
      <c r="AK6" s="32" t="str">
        <f>+'PAJAK JAN-NOV'!B3</f>
        <v>GUNAWAN</v>
      </c>
      <c r="AL6" s="33">
        <f>AI6-AH6</f>
        <v>-107836</v>
      </c>
      <c r="AM6" s="32"/>
      <c r="AN6" s="33"/>
      <c r="AO6" s="32"/>
      <c r="AP6" s="32"/>
    </row>
    <row r="7" spans="2:42" s="136" customFormat="1">
      <c r="B7" s="131">
        <v>2</v>
      </c>
      <c r="C7" s="132" t="str">
        <f>+PERBULAN!B7</f>
        <v>RILYANI</v>
      </c>
      <c r="D7" s="133" t="s">
        <v>250</v>
      </c>
      <c r="E7" s="146" t="s">
        <v>427</v>
      </c>
      <c r="F7" s="143" t="s">
        <v>198</v>
      </c>
      <c r="G7" s="350" t="s">
        <v>525</v>
      </c>
      <c r="H7" s="134" t="s">
        <v>39</v>
      </c>
      <c r="I7" s="135" t="s">
        <v>17</v>
      </c>
      <c r="J7" s="147" t="str">
        <f t="shared" ref="J7:J59" si="3">IF(ISBLANK(I7),"",IF(OR(I7="TK/0",I7="TK/1",I7="K/0"),"TER A",IF(I7="K/3","TER C","TER B")))</f>
        <v>TER A</v>
      </c>
      <c r="K7" s="393">
        <v>1</v>
      </c>
      <c r="L7" s="393">
        <v>12</v>
      </c>
      <c r="M7" s="138">
        <f>31*129220</f>
        <v>4005820</v>
      </c>
      <c r="N7" s="138">
        <v>273750</v>
      </c>
      <c r="O7" s="138">
        <v>191935.04</v>
      </c>
      <c r="P7" s="138">
        <v>0</v>
      </c>
      <c r="Q7" s="138">
        <f t="shared" si="0"/>
        <v>4471505.04</v>
      </c>
      <c r="R7" s="138">
        <f>+SETAHUN!H8</f>
        <v>4063100</v>
      </c>
      <c r="S7" s="138">
        <f>+SETAHUN!K8</f>
        <v>600000</v>
      </c>
      <c r="T7" s="138">
        <v>0</v>
      </c>
      <c r="U7" s="138">
        <f>+SETAHUN!F8+M7+N7</f>
        <v>50377447.159999996</v>
      </c>
      <c r="V7" s="138">
        <v>0</v>
      </c>
      <c r="W7" s="138">
        <f>+SETAHUN!U8+O7</f>
        <v>2297614.88</v>
      </c>
      <c r="X7" s="138">
        <v>0</v>
      </c>
      <c r="Y7" s="138">
        <v>0</v>
      </c>
      <c r="Z7" s="138">
        <f t="shared" ref="Z7:Z59" si="4">SUM(R7:T7)</f>
        <v>4663100</v>
      </c>
      <c r="AA7" s="138">
        <f t="shared" ref="AA7:AA58" si="5">SUM(U7:Z7)</f>
        <v>57338162.039999999</v>
      </c>
      <c r="AB7" s="138">
        <f t="shared" si="1"/>
        <v>2866908</v>
      </c>
      <c r="AC7" s="138">
        <f>('ASTEK+PENSIUN-DIISI SMPAI DES'!O96+'ASTEK+PENSIUN-DIISI SMPAI DES'!O10)</f>
        <v>1411596</v>
      </c>
      <c r="AD7" s="138">
        <f>AA7-AB7-AC7</f>
        <v>53059658.039999999</v>
      </c>
      <c r="AE7" s="139">
        <f t="shared" si="2"/>
        <v>58500000</v>
      </c>
      <c r="AF7" s="139">
        <f>ROUNDDOWN(IF(AD7&lt;=AE7,0,IF(AD7&gt;AE7,AD7-AE7)),-3)</f>
        <v>0</v>
      </c>
      <c r="AG7" s="140">
        <f>IF(AF7&gt;5000000000,AF7*35%-306000000,IF(AF7&gt;500000000,AF7*30%-56000000,IF(AF7&gt;250000000,AF7*25%-31000000,IF(AF7&gt;60000000,AF7*15%-6000000,AF7*5%))))</f>
        <v>0</v>
      </c>
      <c r="AH7" s="140">
        <f>ROUND(IF(E7=0,AG7*120%,AG7),0)</f>
        <v>0</v>
      </c>
      <c r="AI7" s="67">
        <f>+'PAJAK JAN-NOV'!R4</f>
        <v>128008</v>
      </c>
      <c r="AJ7" s="141">
        <f t="shared" ref="AJ7:AJ59" si="6">IF(AG7&lt;=AI7,0,IF(AG7&gt;AI7,AG7-AI7))</f>
        <v>0</v>
      </c>
      <c r="AK7" s="32" t="str">
        <f>+'PAJAK JAN-NOV'!B4</f>
        <v>RILYANI</v>
      </c>
      <c r="AL7" s="33">
        <f t="shared" ref="AL7:AL59" si="7">AI7-AH7</f>
        <v>128008</v>
      </c>
      <c r="AM7" s="32"/>
      <c r="AN7" s="33"/>
      <c r="AO7" s="32"/>
      <c r="AP7" s="32"/>
    </row>
    <row r="8" spans="2:42" s="136" customFormat="1">
      <c r="B8" s="131">
        <v>3</v>
      </c>
      <c r="C8" s="132" t="str">
        <f>+PERBULAN!B8</f>
        <v>JUNAIDI</v>
      </c>
      <c r="D8" s="133" t="s">
        <v>251</v>
      </c>
      <c r="E8" s="146" t="s">
        <v>428</v>
      </c>
      <c r="F8" s="143" t="s">
        <v>317</v>
      </c>
      <c r="G8" s="350" t="s">
        <v>530</v>
      </c>
      <c r="H8" s="134" t="s">
        <v>39</v>
      </c>
      <c r="I8" s="135" t="s">
        <v>17</v>
      </c>
      <c r="J8" s="147" t="str">
        <f t="shared" si="3"/>
        <v>TER A</v>
      </c>
      <c r="K8" s="393">
        <v>1</v>
      </c>
      <c r="L8" s="393">
        <v>12</v>
      </c>
      <c r="M8" s="138">
        <f>31*129220</f>
        <v>4005820</v>
      </c>
      <c r="N8" s="138">
        <v>1380878.8599999999</v>
      </c>
      <c r="O8" s="138">
        <v>192104.44</v>
      </c>
      <c r="P8" s="138">
        <v>0</v>
      </c>
      <c r="Q8" s="138">
        <f t="shared" ref="Q8:Q44" si="8">SUM(M8:P8)</f>
        <v>5578803.2999999998</v>
      </c>
      <c r="R8" s="138">
        <f>+SETAHUN!H9</f>
        <v>4066600</v>
      </c>
      <c r="S8" s="138">
        <f>+SETAHUN!K9</f>
        <v>900000</v>
      </c>
      <c r="T8" s="138">
        <v>0</v>
      </c>
      <c r="U8" s="138">
        <f>+SETAHUN!F9+M8+N8</f>
        <v>51438406.020000003</v>
      </c>
      <c r="V8" s="138">
        <v>0</v>
      </c>
      <c r="W8" s="138">
        <f>+SETAHUN!U9+O8</f>
        <v>2299331.2799999998</v>
      </c>
      <c r="X8" s="138">
        <v>0</v>
      </c>
      <c r="Y8" s="138">
        <v>0</v>
      </c>
      <c r="Z8" s="138">
        <f t="shared" si="4"/>
        <v>4966600</v>
      </c>
      <c r="AA8" s="138">
        <f t="shared" si="5"/>
        <v>58704337.300000004</v>
      </c>
      <c r="AB8" s="138">
        <f t="shared" si="1"/>
        <v>2935217</v>
      </c>
      <c r="AC8" s="138">
        <f>('ASTEK+PENSIUN-DIISI SMPAI DES'!O97+'ASTEK+PENSIUN-DIISI SMPAI DES'!O11)</f>
        <v>1412226</v>
      </c>
      <c r="AD8" s="138">
        <f t="shared" ref="AD8:AD59" si="9">AA8-AB8-AC8</f>
        <v>54356894.300000004</v>
      </c>
      <c r="AE8" s="139">
        <f t="shared" si="2"/>
        <v>58500000</v>
      </c>
      <c r="AF8" s="139">
        <f t="shared" ref="AF8:AF59" si="10">ROUNDDOWN(IF(AD8&lt;=AE8,0,IF(AD8&gt;AE8,AD8-AE8)),-3)</f>
        <v>0</v>
      </c>
      <c r="AG8" s="140">
        <f t="shared" ref="AG8:AG59" si="11">IF(AF8&gt;5000000000,AF8*35%-306000000,IF(AF8&gt;500000000,AF8*30%-56000000,IF(AF8&gt;250000000,AF8*25%-31000000,IF(AF8&gt;60000000,AF8*15%-6000000,AF8*5%))))</f>
        <v>0</v>
      </c>
      <c r="AH8" s="140">
        <f>ROUND(IF(E8=0,AG8*120%,AG8),0)</f>
        <v>0</v>
      </c>
      <c r="AI8" s="67">
        <f>+'PAJAK JAN-NOV'!R5</f>
        <v>126855</v>
      </c>
      <c r="AJ8" s="141">
        <f t="shared" si="6"/>
        <v>0</v>
      </c>
      <c r="AK8" s="32" t="str">
        <f>+'PAJAK JAN-NOV'!B5</f>
        <v>JUNAIDI</v>
      </c>
      <c r="AL8" s="33">
        <f t="shared" si="7"/>
        <v>126855</v>
      </c>
      <c r="AM8" s="32"/>
      <c r="AN8" s="33"/>
      <c r="AO8" s="32"/>
      <c r="AP8" s="32"/>
    </row>
    <row r="9" spans="2:42" s="136" customFormat="1">
      <c r="B9" s="131">
        <v>4</v>
      </c>
      <c r="C9" s="132" t="str">
        <f>+PERBULAN!B10</f>
        <v>ASUNTI</v>
      </c>
      <c r="D9" s="133" t="s">
        <v>253</v>
      </c>
      <c r="E9" s="146" t="s">
        <v>430</v>
      </c>
      <c r="F9" s="143" t="s">
        <v>194</v>
      </c>
      <c r="G9" s="350" t="s">
        <v>530</v>
      </c>
      <c r="H9" s="134" t="s">
        <v>38</v>
      </c>
      <c r="I9" s="135" t="s">
        <v>7</v>
      </c>
      <c r="J9" s="147" t="str">
        <f t="shared" si="3"/>
        <v>TER A</v>
      </c>
      <c r="K9" s="393">
        <v>1</v>
      </c>
      <c r="L9" s="393">
        <v>12</v>
      </c>
      <c r="M9" s="138">
        <f t="shared" ref="M9:M16" si="12">31*129220</f>
        <v>4005820</v>
      </c>
      <c r="N9" s="138">
        <v>120250</v>
      </c>
      <c r="O9" s="138">
        <v>190071.64</v>
      </c>
      <c r="P9" s="138">
        <v>0</v>
      </c>
      <c r="Q9" s="138">
        <f t="shared" si="8"/>
        <v>4316141.6399999997</v>
      </c>
      <c r="R9" s="138">
        <f>+SETAHUN!H11</f>
        <v>3991100</v>
      </c>
      <c r="S9" s="138">
        <f>+SETAHUN!K11</f>
        <v>200000</v>
      </c>
      <c r="T9" s="138">
        <v>0</v>
      </c>
      <c r="U9" s="138">
        <f>+SETAHUN!F11+M9+N9</f>
        <v>48436578.559999995</v>
      </c>
      <c r="V9" s="138">
        <v>0</v>
      </c>
      <c r="W9" s="138">
        <f>+SETAHUN!U11+O9</f>
        <v>2277305.08</v>
      </c>
      <c r="X9" s="138">
        <v>0</v>
      </c>
      <c r="Y9" s="138">
        <v>0</v>
      </c>
      <c r="Z9" s="138">
        <f t="shared" si="4"/>
        <v>4191100</v>
      </c>
      <c r="AA9" s="138">
        <f t="shared" si="5"/>
        <v>54904983.639999993</v>
      </c>
      <c r="AB9" s="138">
        <f t="shared" si="1"/>
        <v>2745249</v>
      </c>
      <c r="AC9" s="138">
        <f>('ASTEK+PENSIUN-DIISI SMPAI DES'!O99+'ASTEK+PENSIUN-DIISI SMPAI DES'!O13)</f>
        <v>1404561</v>
      </c>
      <c r="AD9" s="138">
        <f t="shared" si="9"/>
        <v>50755173.639999993</v>
      </c>
      <c r="AE9" s="139">
        <f t="shared" si="2"/>
        <v>54000000</v>
      </c>
      <c r="AF9" s="139">
        <f t="shared" si="10"/>
        <v>0</v>
      </c>
      <c r="AG9" s="140">
        <f t="shared" si="11"/>
        <v>0</v>
      </c>
      <c r="AH9" s="140">
        <f t="shared" ref="AH9:AH61" si="13">ROUND(IF(E9=0,AG9*120%,AG9),0)</f>
        <v>0</v>
      </c>
      <c r="AI9" s="67">
        <f>+'PAJAK JAN-NOV'!R7</f>
        <v>124548</v>
      </c>
      <c r="AJ9" s="142">
        <f t="shared" si="6"/>
        <v>0</v>
      </c>
      <c r="AK9" s="32" t="str">
        <f>+'PAJAK JAN-NOV'!B7</f>
        <v>ASUNTI</v>
      </c>
      <c r="AL9" s="33">
        <f t="shared" si="7"/>
        <v>124548</v>
      </c>
      <c r="AM9" s="32"/>
      <c r="AN9" s="33"/>
      <c r="AO9" s="32"/>
      <c r="AP9" s="32"/>
    </row>
    <row r="10" spans="2:42" s="136" customFormat="1">
      <c r="B10" s="131">
        <v>5</v>
      </c>
      <c r="C10" s="132" t="str">
        <f>+PERBULAN!B11</f>
        <v>JONI</v>
      </c>
      <c r="D10" s="133" t="s">
        <v>255</v>
      </c>
      <c r="E10" s="146" t="s">
        <v>431</v>
      </c>
      <c r="F10" s="143" t="s">
        <v>320</v>
      </c>
      <c r="G10" s="350" t="s">
        <v>530</v>
      </c>
      <c r="H10" s="134" t="s">
        <v>39</v>
      </c>
      <c r="I10" s="135" t="s">
        <v>9</v>
      </c>
      <c r="J10" s="147" t="str">
        <f t="shared" si="3"/>
        <v>TER B</v>
      </c>
      <c r="K10" s="393">
        <v>1</v>
      </c>
      <c r="L10" s="393">
        <v>12</v>
      </c>
      <c r="M10" s="138">
        <f>30*129220</f>
        <v>3876600</v>
      </c>
      <c r="N10" s="138">
        <v>193500</v>
      </c>
      <c r="O10" s="138">
        <v>190241.04</v>
      </c>
      <c r="P10" s="138">
        <v>0</v>
      </c>
      <c r="Q10" s="138">
        <f t="shared" si="8"/>
        <v>4260341.04</v>
      </c>
      <c r="R10" s="138">
        <f>+SETAHUN!H12</f>
        <v>4066600</v>
      </c>
      <c r="S10" s="138">
        <f>+SETAHUN!K12</f>
        <v>600000</v>
      </c>
      <c r="T10" s="138">
        <v>0</v>
      </c>
      <c r="U10" s="138">
        <f>+SETAHUN!F12+M10+N10</f>
        <v>48949417.159999996</v>
      </c>
      <c r="V10" s="138">
        <v>0</v>
      </c>
      <c r="W10" s="138">
        <f>+SETAHUN!U12+O10</f>
        <v>2279330.88</v>
      </c>
      <c r="X10" s="138">
        <v>0</v>
      </c>
      <c r="Y10" s="138">
        <v>0</v>
      </c>
      <c r="Z10" s="138">
        <f t="shared" si="4"/>
        <v>4666600</v>
      </c>
      <c r="AA10" s="138">
        <f t="shared" si="5"/>
        <v>55895348.039999999</v>
      </c>
      <c r="AB10" s="138">
        <f t="shared" si="1"/>
        <v>2794767</v>
      </c>
      <c r="AC10" s="138">
        <f>('ASTEK+PENSIUN-DIISI SMPAI DES'!O100+'ASTEK+PENSIUN-DIISI SMPAI DES'!O14)</f>
        <v>1405296</v>
      </c>
      <c r="AD10" s="138">
        <f t="shared" si="9"/>
        <v>51695285.039999999</v>
      </c>
      <c r="AE10" s="139">
        <f t="shared" si="2"/>
        <v>63000000</v>
      </c>
      <c r="AF10" s="139">
        <f t="shared" si="10"/>
        <v>0</v>
      </c>
      <c r="AG10" s="140">
        <f t="shared" si="11"/>
        <v>0</v>
      </c>
      <c r="AH10" s="140">
        <f t="shared" si="13"/>
        <v>0</v>
      </c>
      <c r="AI10" s="67">
        <f>+'PAJAK JAN-NOV'!R8</f>
        <v>84567</v>
      </c>
      <c r="AJ10" s="142">
        <f t="shared" si="6"/>
        <v>0</v>
      </c>
      <c r="AK10" s="32" t="str">
        <f>+'PAJAK JAN-NOV'!B8</f>
        <v>JONI</v>
      </c>
      <c r="AL10" s="33">
        <f t="shared" si="7"/>
        <v>84567</v>
      </c>
      <c r="AM10" s="32"/>
      <c r="AN10" s="33"/>
      <c r="AO10" s="32"/>
      <c r="AP10" s="32"/>
    </row>
    <row r="11" spans="2:42" s="136" customFormat="1">
      <c r="B11" s="131">
        <v>6</v>
      </c>
      <c r="C11" s="132" t="str">
        <f>+PERBULAN!B12</f>
        <v>THAHA.S</v>
      </c>
      <c r="D11" s="133" t="s">
        <v>256</v>
      </c>
      <c r="E11" s="146" t="s">
        <v>432</v>
      </c>
      <c r="F11" s="143" t="s">
        <v>193</v>
      </c>
      <c r="G11" s="350" t="s">
        <v>530</v>
      </c>
      <c r="H11" s="134" t="s">
        <v>39</v>
      </c>
      <c r="I11" s="135" t="s">
        <v>9</v>
      </c>
      <c r="J11" s="147" t="str">
        <f t="shared" si="3"/>
        <v>TER B</v>
      </c>
      <c r="K11" s="393">
        <v>1</v>
      </c>
      <c r="L11" s="393">
        <v>12</v>
      </c>
      <c r="M11" s="138">
        <f t="shared" si="12"/>
        <v>4005820</v>
      </c>
      <c r="N11" s="138">
        <v>198150</v>
      </c>
      <c r="O11" s="138">
        <v>190241.04</v>
      </c>
      <c r="P11" s="138">
        <v>0</v>
      </c>
      <c r="Q11" s="138">
        <f t="shared" si="8"/>
        <v>4394211.04</v>
      </c>
      <c r="R11" s="138">
        <f>+SETAHUN!H13</f>
        <v>4066600</v>
      </c>
      <c r="S11" s="138">
        <f>+SETAHUN!K13</f>
        <v>200000</v>
      </c>
      <c r="T11" s="138">
        <v>0</v>
      </c>
      <c r="U11" s="138">
        <f>+SETAHUN!F13+M11+N11</f>
        <v>49484897.159999996</v>
      </c>
      <c r="V11" s="138">
        <v>0</v>
      </c>
      <c r="W11" s="138">
        <f>+SETAHUN!U13+O11</f>
        <v>2279330.88</v>
      </c>
      <c r="X11" s="138">
        <v>0</v>
      </c>
      <c r="Y11" s="138">
        <v>0</v>
      </c>
      <c r="Z11" s="138">
        <f t="shared" si="4"/>
        <v>4266600</v>
      </c>
      <c r="AA11" s="138">
        <f t="shared" si="5"/>
        <v>56030828.039999999</v>
      </c>
      <c r="AB11" s="138">
        <f t="shared" si="1"/>
        <v>2801541</v>
      </c>
      <c r="AC11" s="138">
        <f>('ASTEK+PENSIUN-DIISI SMPAI DES'!O101+'ASTEK+PENSIUN-DIISI SMPAI DES'!O15)</f>
        <v>1405296</v>
      </c>
      <c r="AD11" s="138">
        <f t="shared" si="9"/>
        <v>51823991.039999999</v>
      </c>
      <c r="AE11" s="139">
        <f t="shared" si="2"/>
        <v>63000000</v>
      </c>
      <c r="AF11" s="139">
        <f t="shared" si="10"/>
        <v>0</v>
      </c>
      <c r="AG11" s="140">
        <f t="shared" si="11"/>
        <v>0</v>
      </c>
      <c r="AH11" s="140">
        <f t="shared" si="13"/>
        <v>0</v>
      </c>
      <c r="AI11" s="67">
        <f>+'PAJAK JAN-NOV'!R9</f>
        <v>84567</v>
      </c>
      <c r="AJ11" s="142">
        <f t="shared" si="6"/>
        <v>0</v>
      </c>
      <c r="AK11" s="32" t="str">
        <f>+'PAJAK JAN-NOV'!B9</f>
        <v>THAHA.S</v>
      </c>
      <c r="AL11" s="33">
        <f t="shared" si="7"/>
        <v>84567</v>
      </c>
      <c r="AM11" s="32"/>
      <c r="AN11" s="33"/>
      <c r="AO11" s="32"/>
      <c r="AP11" s="32"/>
    </row>
    <row r="12" spans="2:42" s="136" customFormat="1">
      <c r="B12" s="131">
        <v>7</v>
      </c>
      <c r="C12" s="132" t="str">
        <f>+PERBULAN!B13</f>
        <v>ALEX</v>
      </c>
      <c r="D12" s="133" t="s">
        <v>257</v>
      </c>
      <c r="E12" s="146" t="s">
        <v>433</v>
      </c>
      <c r="F12" s="143" t="s">
        <v>321</v>
      </c>
      <c r="G12" s="350" t="s">
        <v>530</v>
      </c>
      <c r="H12" s="134" t="s">
        <v>39</v>
      </c>
      <c r="I12" s="135" t="s">
        <v>11</v>
      </c>
      <c r="J12" s="147" t="str">
        <f t="shared" si="3"/>
        <v>TER B</v>
      </c>
      <c r="K12" s="393">
        <v>1</v>
      </c>
      <c r="L12" s="393">
        <v>12</v>
      </c>
      <c r="M12" s="138">
        <f>30*129220</f>
        <v>3876600</v>
      </c>
      <c r="N12" s="138">
        <v>199500</v>
      </c>
      <c r="O12" s="138">
        <v>189224.64</v>
      </c>
      <c r="P12" s="138">
        <v>0</v>
      </c>
      <c r="Q12" s="138">
        <f t="shared" si="8"/>
        <v>4265324.6399999997</v>
      </c>
      <c r="R12" s="138">
        <f>+SETAHUN!H14</f>
        <v>4073100</v>
      </c>
      <c r="S12" s="138">
        <f>+SETAHUN!K14</f>
        <v>200000</v>
      </c>
      <c r="T12" s="138">
        <v>0</v>
      </c>
      <c r="U12" s="138">
        <f>+SETAHUN!F14+M12+N12</f>
        <v>48749777.559999995</v>
      </c>
      <c r="V12" s="138">
        <v>0</v>
      </c>
      <c r="W12" s="138">
        <f>+SETAHUN!U14+O12</f>
        <v>2268022.08</v>
      </c>
      <c r="X12" s="138">
        <v>0</v>
      </c>
      <c r="Y12" s="138">
        <v>0</v>
      </c>
      <c r="Z12" s="138">
        <f t="shared" si="4"/>
        <v>4273100</v>
      </c>
      <c r="AA12" s="138">
        <f t="shared" si="5"/>
        <v>55290899.639999993</v>
      </c>
      <c r="AB12" s="138">
        <f t="shared" si="1"/>
        <v>2764545</v>
      </c>
      <c r="AC12" s="138">
        <f>('ASTEK+PENSIUN-DIISI SMPAI DES'!O102+'ASTEK+PENSIUN-DIISI SMPAI DES'!O16)</f>
        <v>1401336</v>
      </c>
      <c r="AD12" s="138">
        <f t="shared" si="9"/>
        <v>51125018.639999993</v>
      </c>
      <c r="AE12" s="139">
        <f t="shared" si="2"/>
        <v>67500000</v>
      </c>
      <c r="AF12" s="139">
        <f t="shared" si="10"/>
        <v>0</v>
      </c>
      <c r="AG12" s="140">
        <f t="shared" si="11"/>
        <v>0</v>
      </c>
      <c r="AH12" s="140">
        <f t="shared" si="13"/>
        <v>0</v>
      </c>
      <c r="AI12" s="67">
        <f>+'PAJAK JAN-NOV'!R10</f>
        <v>84698</v>
      </c>
      <c r="AJ12" s="142">
        <f t="shared" si="6"/>
        <v>0</v>
      </c>
      <c r="AK12" s="32" t="str">
        <f>+'PAJAK JAN-NOV'!B10</f>
        <v>ALEX</v>
      </c>
      <c r="AL12" s="33">
        <f t="shared" si="7"/>
        <v>84698</v>
      </c>
      <c r="AM12" s="32"/>
      <c r="AN12" s="33"/>
      <c r="AO12" s="32"/>
      <c r="AP12" s="32"/>
    </row>
    <row r="13" spans="2:42" s="136" customFormat="1">
      <c r="B13" s="131">
        <v>8</v>
      </c>
      <c r="C13" s="132" t="str">
        <f>+PERBULAN!B14</f>
        <v>SANDY</v>
      </c>
      <c r="D13" s="133" t="s">
        <v>258</v>
      </c>
      <c r="E13" s="146" t="s">
        <v>434</v>
      </c>
      <c r="F13" s="143" t="s">
        <v>322</v>
      </c>
      <c r="G13" s="350" t="s">
        <v>530</v>
      </c>
      <c r="H13" s="134" t="s">
        <v>39</v>
      </c>
      <c r="I13" s="135" t="s">
        <v>9</v>
      </c>
      <c r="J13" s="147" t="str">
        <f t="shared" si="3"/>
        <v>TER B</v>
      </c>
      <c r="K13" s="393">
        <v>1</v>
      </c>
      <c r="L13" s="393">
        <v>12</v>
      </c>
      <c r="M13" s="138">
        <f>28*129220</f>
        <v>3618160</v>
      </c>
      <c r="N13" s="138">
        <v>163200</v>
      </c>
      <c r="O13" s="138">
        <v>189224.64</v>
      </c>
      <c r="P13" s="138">
        <v>0</v>
      </c>
      <c r="Q13" s="138">
        <f t="shared" si="8"/>
        <v>3970584.64</v>
      </c>
      <c r="R13" s="138">
        <f>+SETAHUN!H15</f>
        <v>4046100</v>
      </c>
      <c r="S13" s="138">
        <f>+SETAHUN!K15</f>
        <v>200000</v>
      </c>
      <c r="T13" s="138">
        <v>0</v>
      </c>
      <c r="U13" s="138">
        <f>+SETAHUN!F15+M13+N13</f>
        <v>48158937.559999995</v>
      </c>
      <c r="V13" s="138">
        <v>0</v>
      </c>
      <c r="W13" s="138">
        <f>+SETAHUN!U15+O13</f>
        <v>2268022.08</v>
      </c>
      <c r="X13" s="138">
        <v>0</v>
      </c>
      <c r="Y13" s="138">
        <v>0</v>
      </c>
      <c r="Z13" s="138">
        <f t="shared" si="4"/>
        <v>4246100</v>
      </c>
      <c r="AA13" s="138">
        <f t="shared" si="5"/>
        <v>54673059.639999993</v>
      </c>
      <c r="AB13" s="138">
        <f t="shared" si="1"/>
        <v>2733653</v>
      </c>
      <c r="AC13" s="138">
        <f>('ASTEK+PENSIUN-DIISI SMPAI DES'!O103+'ASTEK+PENSIUN-DIISI SMPAI DES'!O17)</f>
        <v>1401336</v>
      </c>
      <c r="AD13" s="138">
        <f t="shared" si="9"/>
        <v>50538070.639999993</v>
      </c>
      <c r="AE13" s="139">
        <f t="shared" si="2"/>
        <v>63000000</v>
      </c>
      <c r="AF13" s="139">
        <f t="shared" si="10"/>
        <v>0</v>
      </c>
      <c r="AG13" s="140">
        <f t="shared" si="11"/>
        <v>0</v>
      </c>
      <c r="AH13" s="140">
        <f t="shared" si="13"/>
        <v>0</v>
      </c>
      <c r="AI13" s="67">
        <f>+'PAJAK JAN-NOV'!R11</f>
        <v>84149</v>
      </c>
      <c r="AJ13" s="142">
        <f t="shared" si="6"/>
        <v>0</v>
      </c>
      <c r="AK13" s="32" t="str">
        <f>+'PAJAK JAN-NOV'!B11</f>
        <v>SANDY</v>
      </c>
      <c r="AL13" s="33">
        <f t="shared" si="7"/>
        <v>84149</v>
      </c>
      <c r="AM13" s="32"/>
      <c r="AN13" s="33"/>
      <c r="AO13" s="32"/>
      <c r="AP13" s="32"/>
    </row>
    <row r="14" spans="2:42" s="136" customFormat="1">
      <c r="B14" s="131">
        <v>9</v>
      </c>
      <c r="C14" s="132" t="str">
        <f>+PERBULAN!B15</f>
        <v>ANTON</v>
      </c>
      <c r="D14" s="133" t="s">
        <v>259</v>
      </c>
      <c r="E14" s="146" t="s">
        <v>435</v>
      </c>
      <c r="F14" s="143" t="s">
        <v>190</v>
      </c>
      <c r="G14" s="350" t="s">
        <v>530</v>
      </c>
      <c r="H14" s="134" t="s">
        <v>39</v>
      </c>
      <c r="I14" s="135" t="s">
        <v>9</v>
      </c>
      <c r="J14" s="147" t="str">
        <f t="shared" si="3"/>
        <v>TER B</v>
      </c>
      <c r="K14" s="393">
        <v>1</v>
      </c>
      <c r="L14" s="393">
        <v>12</v>
      </c>
      <c r="M14" s="138">
        <f>30*129220</f>
        <v>3876600</v>
      </c>
      <c r="N14" s="138">
        <v>193500</v>
      </c>
      <c r="O14" s="138">
        <v>190241.04</v>
      </c>
      <c r="P14" s="138">
        <v>0</v>
      </c>
      <c r="Q14" s="138">
        <f t="shared" si="8"/>
        <v>4260341.04</v>
      </c>
      <c r="R14" s="138">
        <f>+SETAHUN!H16</f>
        <v>4066600</v>
      </c>
      <c r="S14" s="138">
        <f>+SETAHUN!K16</f>
        <v>200000</v>
      </c>
      <c r="T14" s="138">
        <v>0</v>
      </c>
      <c r="U14" s="138">
        <f>+SETAHUN!F16+M14+N14</f>
        <v>49083287.159999996</v>
      </c>
      <c r="V14" s="138">
        <v>0</v>
      </c>
      <c r="W14" s="138">
        <f>+SETAHUN!U16+O14</f>
        <v>2279330.88</v>
      </c>
      <c r="X14" s="138">
        <v>0</v>
      </c>
      <c r="Y14" s="138">
        <v>0</v>
      </c>
      <c r="Z14" s="138">
        <f t="shared" si="4"/>
        <v>4266600</v>
      </c>
      <c r="AA14" s="138">
        <f t="shared" si="5"/>
        <v>55629218.039999999</v>
      </c>
      <c r="AB14" s="138">
        <f t="shared" si="1"/>
        <v>2781461</v>
      </c>
      <c r="AC14" s="138">
        <f>('ASTEK+PENSIUN-DIISI SMPAI DES'!O104+'ASTEK+PENSIUN-DIISI SMPAI DES'!O18)</f>
        <v>1405296</v>
      </c>
      <c r="AD14" s="138">
        <f t="shared" si="9"/>
        <v>51442461.039999999</v>
      </c>
      <c r="AE14" s="139">
        <f t="shared" si="2"/>
        <v>63000000</v>
      </c>
      <c r="AF14" s="139">
        <f t="shared" si="10"/>
        <v>0</v>
      </c>
      <c r="AG14" s="140">
        <f t="shared" si="11"/>
        <v>0</v>
      </c>
      <c r="AH14" s="140">
        <f t="shared" si="13"/>
        <v>0</v>
      </c>
      <c r="AI14" s="67">
        <f>+'PAJAK JAN-NOV'!R12</f>
        <v>84567</v>
      </c>
      <c r="AJ14" s="142">
        <f t="shared" si="6"/>
        <v>0</v>
      </c>
      <c r="AK14" s="32" t="str">
        <f>+'PAJAK JAN-NOV'!B12</f>
        <v>ANTON</v>
      </c>
      <c r="AL14" s="33">
        <f t="shared" si="7"/>
        <v>84567</v>
      </c>
      <c r="AM14" s="32"/>
      <c r="AN14" s="33"/>
      <c r="AO14" s="32"/>
      <c r="AP14" s="32"/>
    </row>
    <row r="15" spans="2:42" s="136" customFormat="1">
      <c r="B15" s="131">
        <v>10</v>
      </c>
      <c r="C15" s="132" t="str">
        <f>+PERBULAN!B16</f>
        <v>EKA NOPIYANTI</v>
      </c>
      <c r="D15" s="133" t="s">
        <v>261</v>
      </c>
      <c r="E15" s="146" t="s">
        <v>436</v>
      </c>
      <c r="F15" s="143" t="s">
        <v>324</v>
      </c>
      <c r="G15" s="350" t="s">
        <v>530</v>
      </c>
      <c r="H15" s="134" t="s">
        <v>38</v>
      </c>
      <c r="I15" s="135" t="s">
        <v>7</v>
      </c>
      <c r="J15" s="147" t="str">
        <f t="shared" si="3"/>
        <v>TER A</v>
      </c>
      <c r="K15" s="393">
        <v>1</v>
      </c>
      <c r="L15" s="393">
        <v>12</v>
      </c>
      <c r="M15" s="138">
        <f t="shared" si="12"/>
        <v>4005820</v>
      </c>
      <c r="N15" s="138">
        <v>180700</v>
      </c>
      <c r="O15" s="138">
        <v>190071.64</v>
      </c>
      <c r="P15" s="138">
        <v>0</v>
      </c>
      <c r="Q15" s="138">
        <f t="shared" si="8"/>
        <v>4376591.6399999997</v>
      </c>
      <c r="R15" s="138">
        <f>+SETAHUN!H17</f>
        <v>3991100</v>
      </c>
      <c r="S15" s="138">
        <f>+SETAHUN!K17</f>
        <v>600000</v>
      </c>
      <c r="T15" s="138">
        <v>0</v>
      </c>
      <c r="U15" s="138">
        <f>+SETAHUN!F17+M15+N15</f>
        <v>48974379.159999996</v>
      </c>
      <c r="V15" s="138">
        <v>0</v>
      </c>
      <c r="W15" s="138">
        <f>+SETAHUN!U17+O15</f>
        <v>2277474.48</v>
      </c>
      <c r="X15" s="138">
        <v>0</v>
      </c>
      <c r="Y15" s="138">
        <v>0</v>
      </c>
      <c r="Z15" s="138">
        <f t="shared" si="4"/>
        <v>4591100</v>
      </c>
      <c r="AA15" s="138">
        <f t="shared" si="5"/>
        <v>55842953.639999993</v>
      </c>
      <c r="AB15" s="138">
        <f t="shared" si="1"/>
        <v>2792148</v>
      </c>
      <c r="AC15" s="138">
        <f>('ASTEK+PENSIUN-DIISI SMPAI DES'!O105+'ASTEK+PENSIUN-DIISI SMPAI DES'!O19)</f>
        <v>1404666</v>
      </c>
      <c r="AD15" s="138">
        <f t="shared" si="9"/>
        <v>51646139.639999993</v>
      </c>
      <c r="AE15" s="139">
        <f t="shared" si="2"/>
        <v>54000000</v>
      </c>
      <c r="AF15" s="139">
        <f t="shared" si="10"/>
        <v>0</v>
      </c>
      <c r="AG15" s="140">
        <f t="shared" si="11"/>
        <v>0</v>
      </c>
      <c r="AH15" s="140">
        <f t="shared" si="13"/>
        <v>0</v>
      </c>
      <c r="AI15" s="67">
        <f>+'PAJAK JAN-NOV'!R13</f>
        <v>124548</v>
      </c>
      <c r="AJ15" s="142">
        <f t="shared" si="6"/>
        <v>0</v>
      </c>
      <c r="AK15" s="32" t="str">
        <f>+'PAJAK JAN-NOV'!B13</f>
        <v>EKA NOPIYANTI</v>
      </c>
      <c r="AL15" s="33">
        <f t="shared" si="7"/>
        <v>124548</v>
      </c>
      <c r="AM15" s="32"/>
      <c r="AN15" s="33"/>
      <c r="AO15" s="32"/>
      <c r="AP15" s="32"/>
    </row>
    <row r="16" spans="2:42" s="136" customFormat="1">
      <c r="B16" s="131">
        <v>11</v>
      </c>
      <c r="C16" s="132" t="str">
        <f>+PERBULAN!B17</f>
        <v>JUMIATI</v>
      </c>
      <c r="D16" s="133" t="s">
        <v>263</v>
      </c>
      <c r="E16" s="146" t="s">
        <v>438</v>
      </c>
      <c r="F16" s="143" t="s">
        <v>140</v>
      </c>
      <c r="G16" s="350" t="s">
        <v>530</v>
      </c>
      <c r="H16" s="134" t="s">
        <v>38</v>
      </c>
      <c r="I16" s="135" t="s">
        <v>7</v>
      </c>
      <c r="J16" s="147" t="str">
        <f t="shared" si="3"/>
        <v>TER A</v>
      </c>
      <c r="K16" s="393">
        <v>1</v>
      </c>
      <c r="L16" s="393">
        <v>12</v>
      </c>
      <c r="M16" s="138">
        <f t="shared" si="12"/>
        <v>4005820</v>
      </c>
      <c r="N16" s="138">
        <v>123750</v>
      </c>
      <c r="O16" s="138">
        <v>190241.04</v>
      </c>
      <c r="P16" s="138">
        <v>0</v>
      </c>
      <c r="Q16" s="138">
        <f t="shared" si="8"/>
        <v>4319811.04</v>
      </c>
      <c r="R16" s="138">
        <f>+SETAHUN!H18</f>
        <v>3994600</v>
      </c>
      <c r="S16" s="138">
        <f>+SETAHUN!K18</f>
        <v>600000</v>
      </c>
      <c r="T16" s="138">
        <v>0</v>
      </c>
      <c r="U16" s="138">
        <f>+SETAHUN!F18+M16+N16</f>
        <v>48613547.160000004</v>
      </c>
      <c r="V16" s="138">
        <v>0</v>
      </c>
      <c r="W16" s="138">
        <f>+SETAHUN!U18+O16</f>
        <v>2279330.88</v>
      </c>
      <c r="X16" s="138">
        <v>0</v>
      </c>
      <c r="Y16" s="138">
        <v>0</v>
      </c>
      <c r="Z16" s="138">
        <f t="shared" si="4"/>
        <v>4594600</v>
      </c>
      <c r="AA16" s="138">
        <f t="shared" si="5"/>
        <v>55487478.040000007</v>
      </c>
      <c r="AB16" s="138">
        <f t="shared" si="1"/>
        <v>2774374</v>
      </c>
      <c r="AC16" s="138">
        <f>('ASTEK+PENSIUN-DIISI SMPAI DES'!O106+'ASTEK+PENSIUN-DIISI SMPAI DES'!O20)</f>
        <v>1405296</v>
      </c>
      <c r="AD16" s="138">
        <f t="shared" si="9"/>
        <v>51307808.040000007</v>
      </c>
      <c r="AE16" s="139">
        <f t="shared" si="2"/>
        <v>54000000</v>
      </c>
      <c r="AF16" s="139">
        <f t="shared" si="10"/>
        <v>0</v>
      </c>
      <c r="AG16" s="140">
        <f t="shared" si="11"/>
        <v>0</v>
      </c>
      <c r="AH16" s="140">
        <f t="shared" si="13"/>
        <v>0</v>
      </c>
      <c r="AI16" s="67">
        <f>+'PAJAK JAN-NOV'!R14</f>
        <v>124655</v>
      </c>
      <c r="AJ16" s="142">
        <f t="shared" si="6"/>
        <v>0</v>
      </c>
      <c r="AK16" s="32" t="str">
        <f>+'PAJAK JAN-NOV'!B14</f>
        <v>JUMIATI</v>
      </c>
      <c r="AL16" s="33">
        <f t="shared" si="7"/>
        <v>124655</v>
      </c>
      <c r="AM16" s="32"/>
      <c r="AN16" s="33"/>
      <c r="AO16" s="32"/>
      <c r="AP16" s="32"/>
    </row>
    <row r="17" spans="2:42" s="136" customFormat="1">
      <c r="B17" s="131">
        <v>12</v>
      </c>
      <c r="C17" s="132" t="str">
        <f>+PERBULAN!B18</f>
        <v>SUPARDI</v>
      </c>
      <c r="D17" s="133" t="s">
        <v>264</v>
      </c>
      <c r="E17" s="146" t="s">
        <v>439</v>
      </c>
      <c r="F17" s="143" t="s">
        <v>326</v>
      </c>
      <c r="G17" s="350" t="s">
        <v>530</v>
      </c>
      <c r="H17" s="134" t="s">
        <v>39</v>
      </c>
      <c r="I17" s="135" t="s">
        <v>11</v>
      </c>
      <c r="J17" s="147" t="str">
        <f t="shared" si="3"/>
        <v>TER B</v>
      </c>
      <c r="K17" s="393">
        <v>1</v>
      </c>
      <c r="L17" s="393">
        <v>12</v>
      </c>
      <c r="M17" s="138">
        <f>28*129220</f>
        <v>3618160</v>
      </c>
      <c r="N17" s="138">
        <v>188400</v>
      </c>
      <c r="O17" s="138">
        <v>189224.64</v>
      </c>
      <c r="P17" s="138">
        <v>0</v>
      </c>
      <c r="Q17" s="138">
        <f t="shared" si="8"/>
        <v>3995784.64</v>
      </c>
      <c r="R17" s="138">
        <f>+SETAHUN!H19</f>
        <v>4076100</v>
      </c>
      <c r="S17" s="138">
        <f>+SETAHUN!K19</f>
        <v>600000</v>
      </c>
      <c r="T17" s="138">
        <v>0</v>
      </c>
      <c r="U17" s="138">
        <f>+SETAHUN!F19+M17+N17</f>
        <v>49883945.159999996</v>
      </c>
      <c r="V17" s="138">
        <v>0</v>
      </c>
      <c r="W17" s="138">
        <f>+SETAHUN!U19+O17</f>
        <v>2269032.48</v>
      </c>
      <c r="X17" s="138">
        <v>0</v>
      </c>
      <c r="Y17" s="138">
        <v>0</v>
      </c>
      <c r="Z17" s="138">
        <f t="shared" si="4"/>
        <v>4676100</v>
      </c>
      <c r="AA17" s="138">
        <f t="shared" si="5"/>
        <v>56829077.639999993</v>
      </c>
      <c r="AB17" s="138">
        <f t="shared" si="1"/>
        <v>2841454</v>
      </c>
      <c r="AC17" s="138">
        <f>('ASTEK+PENSIUN-DIISI SMPAI DES'!O107+'ASTEK+PENSIUN-DIISI SMPAI DES'!O21)</f>
        <v>1401516</v>
      </c>
      <c r="AD17" s="138">
        <f t="shared" si="9"/>
        <v>52586107.639999993</v>
      </c>
      <c r="AE17" s="139">
        <f t="shared" si="2"/>
        <v>67500000</v>
      </c>
      <c r="AF17" s="139">
        <f t="shared" si="10"/>
        <v>0</v>
      </c>
      <c r="AG17" s="140">
        <f t="shared" si="11"/>
        <v>0</v>
      </c>
      <c r="AH17" s="140">
        <f t="shared" si="13"/>
        <v>0</v>
      </c>
      <c r="AI17" s="67">
        <f>+'PAJAK JAN-NOV'!R15</f>
        <v>86328</v>
      </c>
      <c r="AJ17" s="142">
        <f t="shared" si="6"/>
        <v>0</v>
      </c>
      <c r="AK17" s="32" t="str">
        <f>+'PAJAK JAN-NOV'!B15</f>
        <v>SUPARDI</v>
      </c>
      <c r="AL17" s="33">
        <f t="shared" si="7"/>
        <v>86328</v>
      </c>
      <c r="AM17" s="32"/>
      <c r="AN17" s="33"/>
      <c r="AO17" s="32"/>
      <c r="AP17" s="32"/>
    </row>
    <row r="18" spans="2:42" s="136" customFormat="1">
      <c r="B18" s="131">
        <v>13</v>
      </c>
      <c r="C18" s="132" t="str">
        <f>+PERBULAN!B20</f>
        <v>SUMARDI</v>
      </c>
      <c r="D18" s="133" t="s">
        <v>266</v>
      </c>
      <c r="E18" s="146" t="s">
        <v>441</v>
      </c>
      <c r="F18" s="143" t="s">
        <v>320</v>
      </c>
      <c r="G18" s="350" t="s">
        <v>530</v>
      </c>
      <c r="H18" s="354" t="s">
        <v>39</v>
      </c>
      <c r="I18" s="353" t="s">
        <v>11</v>
      </c>
      <c r="J18" s="147" t="str">
        <f t="shared" si="3"/>
        <v>TER B</v>
      </c>
      <c r="K18" s="393">
        <v>1</v>
      </c>
      <c r="L18" s="393">
        <v>12</v>
      </c>
      <c r="M18" s="138">
        <f t="shared" ref="M18:M55" si="14">31*129220</f>
        <v>4005820</v>
      </c>
      <c r="N18" s="138">
        <v>222550</v>
      </c>
      <c r="O18" s="138">
        <v>190071.64</v>
      </c>
      <c r="P18" s="138">
        <v>0</v>
      </c>
      <c r="Q18" s="138">
        <f t="shared" si="8"/>
        <v>4418441.6399999997</v>
      </c>
      <c r="R18" s="138">
        <f>+SETAHUN!H21</f>
        <v>4090100</v>
      </c>
      <c r="S18" s="138">
        <f>+SETAHUN!K21</f>
        <v>600000</v>
      </c>
      <c r="T18" s="138">
        <v>0</v>
      </c>
      <c r="U18" s="138">
        <f>+SETAHUN!F21+M18+N18</f>
        <v>49774899.159999996</v>
      </c>
      <c r="V18" s="138">
        <v>0</v>
      </c>
      <c r="W18" s="138">
        <f>+SETAHUN!U21+O18</f>
        <v>2277614.48</v>
      </c>
      <c r="X18" s="138">
        <v>0</v>
      </c>
      <c r="Y18" s="138">
        <v>0</v>
      </c>
      <c r="Z18" s="138">
        <f t="shared" si="4"/>
        <v>4690100</v>
      </c>
      <c r="AA18" s="138">
        <f t="shared" si="5"/>
        <v>56742613.639999993</v>
      </c>
      <c r="AB18" s="138">
        <f t="shared" si="1"/>
        <v>2837131</v>
      </c>
      <c r="AC18" s="138">
        <f>('ASTEK+PENSIUN-DIISI SMPAI DES'!O109+'ASTEK+PENSIUN-DIISI SMPAI DES'!O23)</f>
        <v>1404666</v>
      </c>
      <c r="AD18" s="138">
        <f t="shared" si="9"/>
        <v>52500816.639999993</v>
      </c>
      <c r="AE18" s="139">
        <f t="shared" si="2"/>
        <v>67500000</v>
      </c>
      <c r="AF18" s="139">
        <f t="shared" si="10"/>
        <v>0</v>
      </c>
      <c r="AG18" s="140">
        <f t="shared" si="11"/>
        <v>0</v>
      </c>
      <c r="AH18" s="140">
        <f t="shared" si="13"/>
        <v>0</v>
      </c>
      <c r="AI18" s="67">
        <f>+'PAJAK JAN-NOV'!R17</f>
        <v>85045</v>
      </c>
      <c r="AJ18" s="142">
        <f t="shared" si="6"/>
        <v>0</v>
      </c>
      <c r="AK18" s="32" t="str">
        <f>+'PAJAK JAN-NOV'!B17</f>
        <v>SUMARDI</v>
      </c>
      <c r="AL18" s="33">
        <f t="shared" si="7"/>
        <v>85045</v>
      </c>
      <c r="AM18" s="32"/>
      <c r="AN18" s="33"/>
      <c r="AO18" s="32"/>
      <c r="AP18" s="32"/>
    </row>
    <row r="19" spans="2:42" s="136" customFormat="1">
      <c r="B19" s="131">
        <v>14</v>
      </c>
      <c r="C19" s="132" t="str">
        <f>+PERBULAN!B22</f>
        <v>ASBI ALGIFARI</v>
      </c>
      <c r="D19" s="356" t="s">
        <v>268</v>
      </c>
      <c r="E19" s="357" t="s">
        <v>69</v>
      </c>
      <c r="F19" s="143" t="s">
        <v>328</v>
      </c>
      <c r="G19" s="350" t="s">
        <v>530</v>
      </c>
      <c r="H19" s="354" t="s">
        <v>39</v>
      </c>
      <c r="I19" s="353" t="s">
        <v>9</v>
      </c>
      <c r="J19" s="147" t="str">
        <f t="shared" si="3"/>
        <v>TER B</v>
      </c>
      <c r="K19" s="393">
        <v>1</v>
      </c>
      <c r="L19" s="393">
        <v>12</v>
      </c>
      <c r="M19" s="138">
        <f>28*129220</f>
        <v>3618160</v>
      </c>
      <c r="N19" s="138">
        <v>151200</v>
      </c>
      <c r="O19" s="138">
        <v>188643.84</v>
      </c>
      <c r="P19" s="138">
        <v>0</v>
      </c>
      <c r="Q19" s="138">
        <f t="shared" si="8"/>
        <v>3958003.84</v>
      </c>
      <c r="R19" s="138">
        <f>+SETAHUN!H23</f>
        <v>4034100</v>
      </c>
      <c r="S19" s="138">
        <f>+SETAHUN!K23</f>
        <v>200000</v>
      </c>
      <c r="T19" s="138">
        <v>0</v>
      </c>
      <c r="U19" s="138">
        <f>+SETAHUN!F23+M19+N19</f>
        <v>48534590.159999996</v>
      </c>
      <c r="V19" s="138">
        <v>0</v>
      </c>
      <c r="W19" s="138">
        <f>+SETAHUN!U23+O19</f>
        <v>2261947.6799999997</v>
      </c>
      <c r="X19" s="138">
        <v>0</v>
      </c>
      <c r="Y19" s="138">
        <v>0</v>
      </c>
      <c r="Z19" s="138">
        <f t="shared" si="4"/>
        <v>4234100</v>
      </c>
      <c r="AA19" s="138">
        <f t="shared" si="5"/>
        <v>55030637.839999996</v>
      </c>
      <c r="AB19" s="138">
        <f t="shared" si="1"/>
        <v>2751532</v>
      </c>
      <c r="AC19" s="138">
        <f>('ASTEK+PENSIUN-DIISI SMPAI DES'!O111+'ASTEK+PENSIUN-DIISI SMPAI DES'!O25)</f>
        <v>1399356</v>
      </c>
      <c r="AD19" s="138">
        <f t="shared" si="9"/>
        <v>50879749.839999996</v>
      </c>
      <c r="AE19" s="139">
        <f t="shared" si="2"/>
        <v>63000000</v>
      </c>
      <c r="AF19" s="139">
        <f t="shared" si="10"/>
        <v>0</v>
      </c>
      <c r="AG19" s="140">
        <f t="shared" si="11"/>
        <v>0</v>
      </c>
      <c r="AH19" s="140">
        <f t="shared" si="13"/>
        <v>0</v>
      </c>
      <c r="AI19" s="67">
        <f>+'PAJAK JAN-NOV'!R19</f>
        <v>84688</v>
      </c>
      <c r="AJ19" s="142">
        <f t="shared" si="6"/>
        <v>0</v>
      </c>
      <c r="AK19" s="32" t="str">
        <f>+'PAJAK JAN-NOV'!B19</f>
        <v>ASBI ALGIFARI</v>
      </c>
      <c r="AL19" s="33">
        <f t="shared" si="7"/>
        <v>84688</v>
      </c>
      <c r="AM19" s="32"/>
      <c r="AN19" s="33"/>
      <c r="AO19" s="32"/>
      <c r="AP19" s="32"/>
    </row>
    <row r="20" spans="2:42" s="136" customFormat="1">
      <c r="B20" s="131">
        <v>15</v>
      </c>
      <c r="C20" s="132" t="str">
        <f>+PERBULAN!B23</f>
        <v>YANDI</v>
      </c>
      <c r="D20" s="133" t="s">
        <v>271</v>
      </c>
      <c r="E20" s="146" t="s">
        <v>69</v>
      </c>
      <c r="F20" s="143" t="s">
        <v>330</v>
      </c>
      <c r="G20" s="350" t="s">
        <v>530</v>
      </c>
      <c r="H20" s="134" t="s">
        <v>39</v>
      </c>
      <c r="I20" s="135" t="s">
        <v>17</v>
      </c>
      <c r="J20" s="147" t="str">
        <f t="shared" si="3"/>
        <v>TER A</v>
      </c>
      <c r="K20" s="393">
        <v>1</v>
      </c>
      <c r="L20" s="393">
        <v>12</v>
      </c>
      <c r="M20" s="138">
        <f>30*129220</f>
        <v>3876600</v>
      </c>
      <c r="N20" s="138">
        <v>144000</v>
      </c>
      <c r="O20" s="138">
        <v>189224.64</v>
      </c>
      <c r="P20" s="138">
        <v>0</v>
      </c>
      <c r="Q20" s="138">
        <f t="shared" si="8"/>
        <v>4209824.6399999997</v>
      </c>
      <c r="R20" s="138">
        <f>+SETAHUN!H24</f>
        <v>4020600</v>
      </c>
      <c r="S20" s="138">
        <f>+SETAHUN!K24</f>
        <v>200000</v>
      </c>
      <c r="T20" s="138">
        <v>0</v>
      </c>
      <c r="U20" s="138">
        <f>+SETAHUN!F24+M20+N20</f>
        <v>48509939.159999996</v>
      </c>
      <c r="V20" s="138">
        <v>0</v>
      </c>
      <c r="W20" s="138">
        <f>+SETAHUN!U24+O20</f>
        <v>2269032.48</v>
      </c>
      <c r="X20" s="138">
        <v>0</v>
      </c>
      <c r="Y20" s="138">
        <v>0</v>
      </c>
      <c r="Z20" s="138">
        <f t="shared" si="4"/>
        <v>4220600</v>
      </c>
      <c r="AA20" s="138">
        <f t="shared" si="5"/>
        <v>54999571.639999993</v>
      </c>
      <c r="AB20" s="138">
        <f t="shared" si="1"/>
        <v>2749979</v>
      </c>
      <c r="AC20" s="138">
        <f>('ASTEK+PENSIUN-DIISI SMPAI DES'!O112+'ASTEK+PENSIUN-DIISI SMPAI DES'!O26)</f>
        <v>1401516</v>
      </c>
      <c r="AD20" s="138">
        <f t="shared" si="9"/>
        <v>50848076.639999993</v>
      </c>
      <c r="AE20" s="139">
        <f t="shared" si="2"/>
        <v>58500000</v>
      </c>
      <c r="AF20" s="139">
        <f t="shared" si="10"/>
        <v>0</v>
      </c>
      <c r="AG20" s="140">
        <f t="shared" si="11"/>
        <v>0</v>
      </c>
      <c r="AH20" s="140">
        <f t="shared" si="13"/>
        <v>0</v>
      </c>
      <c r="AI20" s="67">
        <f>+'PAJAK JAN-NOV'!R20</f>
        <v>125446</v>
      </c>
      <c r="AJ20" s="142">
        <f t="shared" si="6"/>
        <v>0</v>
      </c>
      <c r="AK20" s="32" t="str">
        <f>+'PAJAK JAN-NOV'!B20</f>
        <v>YANDI</v>
      </c>
      <c r="AL20" s="33">
        <f t="shared" si="7"/>
        <v>125446</v>
      </c>
      <c r="AM20" s="32"/>
      <c r="AN20" s="33"/>
      <c r="AO20" s="32"/>
      <c r="AP20" s="32"/>
    </row>
    <row r="21" spans="2:42" s="136" customFormat="1">
      <c r="B21" s="131">
        <v>16</v>
      </c>
      <c r="C21" s="132" t="str">
        <f>+PERBULAN!B25</f>
        <v>APRIZAL</v>
      </c>
      <c r="D21" s="133" t="s">
        <v>273</v>
      </c>
      <c r="E21" s="146" t="s">
        <v>69</v>
      </c>
      <c r="F21" s="143" t="s">
        <v>332</v>
      </c>
      <c r="G21" s="350" t="s">
        <v>530</v>
      </c>
      <c r="H21" s="354" t="s">
        <v>39</v>
      </c>
      <c r="I21" s="353" t="s">
        <v>9</v>
      </c>
      <c r="J21" s="147" t="str">
        <f t="shared" si="3"/>
        <v>TER B</v>
      </c>
      <c r="K21" s="393">
        <v>1</v>
      </c>
      <c r="L21" s="393">
        <v>12</v>
      </c>
      <c r="M21" s="138">
        <f t="shared" si="14"/>
        <v>4005820</v>
      </c>
      <c r="N21" s="138">
        <v>177150</v>
      </c>
      <c r="O21" s="138">
        <v>189224.64</v>
      </c>
      <c r="P21" s="138">
        <v>0</v>
      </c>
      <c r="Q21" s="138">
        <f t="shared" si="8"/>
        <v>4372194.6399999997</v>
      </c>
      <c r="R21" s="138">
        <f>+SETAHUN!H26</f>
        <v>4046100</v>
      </c>
      <c r="S21" s="138">
        <f>+SETAHUN!K26</f>
        <v>600000</v>
      </c>
      <c r="T21" s="138">
        <v>0</v>
      </c>
      <c r="U21" s="138">
        <f>+SETAHUN!F26+M21+N21</f>
        <v>49386753.559999995</v>
      </c>
      <c r="V21" s="138">
        <v>0</v>
      </c>
      <c r="W21" s="138">
        <f>+SETAHUN!U26+O21</f>
        <v>2268022.08</v>
      </c>
      <c r="X21" s="138">
        <v>0</v>
      </c>
      <c r="Y21" s="138">
        <v>0</v>
      </c>
      <c r="Z21" s="138">
        <f t="shared" si="4"/>
        <v>4646100</v>
      </c>
      <c r="AA21" s="138">
        <f t="shared" si="5"/>
        <v>56300875.639999993</v>
      </c>
      <c r="AB21" s="138">
        <f t="shared" si="1"/>
        <v>2815044</v>
      </c>
      <c r="AC21" s="138">
        <f>('ASTEK+PENSIUN-DIISI SMPAI DES'!O114+'ASTEK+PENSIUN-DIISI SMPAI DES'!O28)</f>
        <v>1401336</v>
      </c>
      <c r="AD21" s="138">
        <f t="shared" si="9"/>
        <v>52084495.639999993</v>
      </c>
      <c r="AE21" s="139">
        <f t="shared" si="2"/>
        <v>63000000</v>
      </c>
      <c r="AF21" s="139">
        <f t="shared" si="10"/>
        <v>0</v>
      </c>
      <c r="AG21" s="140">
        <f t="shared" si="11"/>
        <v>0</v>
      </c>
      <c r="AH21" s="140">
        <f t="shared" si="13"/>
        <v>0</v>
      </c>
      <c r="AI21" s="67">
        <f>+'PAJAK JAN-NOV'!R22</f>
        <v>84149</v>
      </c>
      <c r="AJ21" s="142">
        <f t="shared" si="6"/>
        <v>0</v>
      </c>
      <c r="AK21" s="32" t="str">
        <f>+'PAJAK JAN-NOV'!B22</f>
        <v>APRIZAL</v>
      </c>
      <c r="AL21" s="33">
        <f t="shared" si="7"/>
        <v>84149</v>
      </c>
      <c r="AM21" s="32"/>
      <c r="AN21" s="33"/>
      <c r="AO21" s="32"/>
      <c r="AP21" s="32"/>
    </row>
    <row r="22" spans="2:42" s="136" customFormat="1">
      <c r="B22" s="131">
        <v>17</v>
      </c>
      <c r="C22" s="132" t="str">
        <f>+PERBULAN!B26</f>
        <v>ERRY SAPUTRA</v>
      </c>
      <c r="D22" s="133" t="s">
        <v>274</v>
      </c>
      <c r="E22" s="146" t="s">
        <v>69</v>
      </c>
      <c r="F22" s="143" t="s">
        <v>333</v>
      </c>
      <c r="G22" s="350" t="s">
        <v>530</v>
      </c>
      <c r="H22" s="354" t="s">
        <v>39</v>
      </c>
      <c r="I22" s="353" t="s">
        <v>9</v>
      </c>
      <c r="J22" s="147" t="str">
        <f t="shared" si="3"/>
        <v>TER B</v>
      </c>
      <c r="K22" s="393">
        <v>1</v>
      </c>
      <c r="L22" s="393">
        <v>12</v>
      </c>
      <c r="M22" s="138">
        <f>30*129220</f>
        <v>3876600</v>
      </c>
      <c r="N22" s="138">
        <v>193500</v>
      </c>
      <c r="O22" s="138">
        <v>190241.04</v>
      </c>
      <c r="P22" s="138">
        <v>0</v>
      </c>
      <c r="Q22" s="138">
        <f t="shared" si="8"/>
        <v>4260341.04</v>
      </c>
      <c r="R22" s="138">
        <f>+SETAHUN!H27</f>
        <v>4066600</v>
      </c>
      <c r="S22" s="138">
        <f>+SETAHUN!K27</f>
        <v>600000</v>
      </c>
      <c r="T22" s="138">
        <v>0</v>
      </c>
      <c r="U22" s="138">
        <f>+SETAHUN!F27+M22+N22</f>
        <v>49065789.159999996</v>
      </c>
      <c r="V22" s="138">
        <v>0</v>
      </c>
      <c r="W22" s="138">
        <f>+SETAHUN!U27+O22</f>
        <v>2278483.88</v>
      </c>
      <c r="X22" s="138">
        <v>0</v>
      </c>
      <c r="Y22" s="138">
        <v>0</v>
      </c>
      <c r="Z22" s="138">
        <f t="shared" si="4"/>
        <v>4666600</v>
      </c>
      <c r="AA22" s="138">
        <f t="shared" si="5"/>
        <v>56010873.039999999</v>
      </c>
      <c r="AB22" s="138">
        <f t="shared" si="1"/>
        <v>2800544</v>
      </c>
      <c r="AC22" s="138">
        <f>('ASTEK+PENSIUN-DIISI SMPAI DES'!O115+'ASTEK+PENSIUN-DIISI SMPAI DES'!O29)</f>
        <v>1404771</v>
      </c>
      <c r="AD22" s="138">
        <f t="shared" si="9"/>
        <v>51805558.039999999</v>
      </c>
      <c r="AE22" s="139">
        <f t="shared" si="2"/>
        <v>63000000</v>
      </c>
      <c r="AF22" s="139">
        <f t="shared" si="10"/>
        <v>0</v>
      </c>
      <c r="AG22" s="140">
        <f t="shared" si="11"/>
        <v>0</v>
      </c>
      <c r="AH22" s="140">
        <f t="shared" si="13"/>
        <v>0</v>
      </c>
      <c r="AI22" s="67">
        <f>+'PAJAK JAN-NOV'!R23</f>
        <v>84567</v>
      </c>
      <c r="AJ22" s="142">
        <f t="shared" si="6"/>
        <v>0</v>
      </c>
      <c r="AK22" s="32" t="str">
        <f>+'PAJAK JAN-NOV'!B23</f>
        <v>ERRY SAPUTRA</v>
      </c>
      <c r="AL22" s="33">
        <f t="shared" si="7"/>
        <v>84567</v>
      </c>
      <c r="AM22" s="32"/>
      <c r="AN22" s="33"/>
      <c r="AO22" s="32"/>
      <c r="AP22" s="32"/>
    </row>
    <row r="23" spans="2:42" s="136" customFormat="1">
      <c r="B23" s="131">
        <v>18</v>
      </c>
      <c r="C23" s="132" t="str">
        <f>+PERBULAN!B21</f>
        <v>WIDODO JP</v>
      </c>
      <c r="D23" s="133" t="s">
        <v>267</v>
      </c>
      <c r="E23" s="355" t="s">
        <v>442</v>
      </c>
      <c r="F23" s="143" t="s">
        <v>327</v>
      </c>
      <c r="G23" s="350" t="s">
        <v>530</v>
      </c>
      <c r="H23" s="354" t="s">
        <v>39</v>
      </c>
      <c r="I23" s="353" t="s">
        <v>7</v>
      </c>
      <c r="J23" s="147" t="str">
        <f t="shared" ref="J23:J35" si="15">IF(ISBLANK(I23),"",IF(OR(I23="TK/0",I23="TK/1",I23="K/0"),"TER A",IF(I23="K/3","TER C","TER B")))</f>
        <v>TER A</v>
      </c>
      <c r="K23" s="393">
        <v>1</v>
      </c>
      <c r="L23" s="393">
        <v>12</v>
      </c>
      <c r="M23" s="138">
        <f t="shared" si="14"/>
        <v>4005820</v>
      </c>
      <c r="N23" s="138">
        <v>546003.74</v>
      </c>
      <c r="O23" s="138">
        <v>190071.64</v>
      </c>
      <c r="P23" s="138">
        <v>0</v>
      </c>
      <c r="Q23" s="138">
        <f t="shared" ref="Q23:Q35" si="16">SUM(M23:P23)</f>
        <v>4741895.38</v>
      </c>
      <c r="R23" s="138">
        <f>+SETAHUN!H22</f>
        <v>3991100</v>
      </c>
      <c r="S23" s="138">
        <f>+SETAHUN!K22</f>
        <v>600000</v>
      </c>
      <c r="T23" s="138">
        <v>0</v>
      </c>
      <c r="U23" s="138">
        <f>+SETAHUN!F22+M23+N23</f>
        <v>67584501.899999991</v>
      </c>
      <c r="V23" s="138">
        <v>0</v>
      </c>
      <c r="W23" s="138">
        <f>+SETAHUN!U22+O23</f>
        <v>2277614.48</v>
      </c>
      <c r="X23" s="138">
        <v>0</v>
      </c>
      <c r="Y23" s="138">
        <v>0</v>
      </c>
      <c r="Z23" s="138">
        <f t="shared" ref="Z23:Z35" si="17">SUM(R23:T23)</f>
        <v>4591100</v>
      </c>
      <c r="AA23" s="138">
        <f t="shared" ref="AA23:AA35" si="18">SUM(U23:Z23)</f>
        <v>74453216.379999995</v>
      </c>
      <c r="AB23" s="138">
        <f t="shared" ref="AB23:AB35" si="19">ROUND(IF((AA23)*5%&gt;6000000,6000000,(AA23)*5%),0)</f>
        <v>3722661</v>
      </c>
      <c r="AC23" s="138">
        <f>('ASTEK+PENSIUN-DIISI SMPAI DES'!O110+'ASTEK+PENSIUN-DIISI SMPAI DES'!O24)</f>
        <v>1404666</v>
      </c>
      <c r="AD23" s="138">
        <f t="shared" ref="AD23:AD35" si="20">AA23-AB23-AC23</f>
        <v>69325889.379999995</v>
      </c>
      <c r="AE23" s="139">
        <f t="shared" ref="AE23:AE35" si="21">IFERROR(VLOOKUP(I23,TARIF,3,FALSE),0)</f>
        <v>54000000</v>
      </c>
      <c r="AF23" s="139">
        <f t="shared" ref="AF23:AF35" si="22">ROUNDDOWN(IF(AD23&lt;=AE23,0,IF(AD23&gt;AE23,AD23-AE23)),-3)</f>
        <v>15325000</v>
      </c>
      <c r="AG23" s="140">
        <f t="shared" ref="AG23:AG36" si="23">IF(AF23&gt;5000000000,AF23*35%-306000000,IF(AF23&gt;500000000,AF23*30%-56000000,IF(AF23&gt;250000000,AF23*25%-31000000,IF(AF23&gt;60000000,AF23*15%-6000000,AF23*5%))))</f>
        <v>766250</v>
      </c>
      <c r="AH23" s="140">
        <f t="shared" ref="AH23:AH35" si="24">ROUND(IF(E23=0,AG23*120%,AG23),0)</f>
        <v>766250</v>
      </c>
      <c r="AI23" s="67">
        <f>+'PAJAK JAN-NOV'!R18</f>
        <v>619855</v>
      </c>
      <c r="AJ23" s="142">
        <f t="shared" ref="AJ23:AJ35" si="25">IF(AG23&lt;=AI23,0,IF(AG23&gt;AI23,AG23-AI23))</f>
        <v>146395</v>
      </c>
      <c r="AK23" s="32" t="str">
        <f>+'PAJAK JAN-NOV'!B18</f>
        <v>WIDODO JP</v>
      </c>
      <c r="AL23" s="33">
        <f t="shared" ref="AL23:AL35" si="26">AI23-AH23</f>
        <v>-146395</v>
      </c>
      <c r="AM23" s="32"/>
      <c r="AN23" s="33"/>
      <c r="AO23" s="32"/>
      <c r="AP23" s="32"/>
    </row>
    <row r="24" spans="2:42" s="136" customFormat="1">
      <c r="B24" s="131">
        <v>19</v>
      </c>
      <c r="C24" s="132" t="str">
        <f>+PERBULAN!B63</f>
        <v>YANTI NOVITA</v>
      </c>
      <c r="D24" s="137" t="s">
        <v>262</v>
      </c>
      <c r="E24" s="37" t="s">
        <v>565</v>
      </c>
      <c r="F24" s="366" t="s">
        <v>566</v>
      </c>
      <c r="G24" s="350" t="s">
        <v>83</v>
      </c>
      <c r="H24" s="362" t="s">
        <v>38</v>
      </c>
      <c r="I24" s="353" t="s">
        <v>7</v>
      </c>
      <c r="J24" s="147" t="str">
        <f t="shared" si="15"/>
        <v>TER A</v>
      </c>
      <c r="K24" s="393">
        <v>1</v>
      </c>
      <c r="L24" s="393">
        <v>12</v>
      </c>
      <c r="M24" s="138">
        <f t="shared" ref="M24:M59" si="27">31*129220</f>
        <v>4005820</v>
      </c>
      <c r="N24" s="139">
        <v>120250</v>
      </c>
      <c r="O24" s="139">
        <v>190071.64</v>
      </c>
      <c r="P24" s="138">
        <v>0</v>
      </c>
      <c r="Q24" s="138">
        <f t="shared" si="16"/>
        <v>4316141.6399999997</v>
      </c>
      <c r="R24" s="138">
        <f>+SETAHUN!H64</f>
        <v>3991100</v>
      </c>
      <c r="S24" s="138">
        <f>+SETAHUN!K64</f>
        <v>200000</v>
      </c>
      <c r="T24" s="138">
        <v>0</v>
      </c>
      <c r="U24" s="138">
        <f>+SETAHUN!F64+M24+N24</f>
        <v>48019941.159999989</v>
      </c>
      <c r="V24" s="138">
        <v>0</v>
      </c>
      <c r="W24" s="138">
        <f>+SETAHUN!U64+O24</f>
        <v>2274747.48</v>
      </c>
      <c r="X24" s="138">
        <v>0</v>
      </c>
      <c r="Y24" s="138">
        <v>0</v>
      </c>
      <c r="Z24" s="138">
        <f t="shared" si="17"/>
        <v>4191100</v>
      </c>
      <c r="AA24" s="138">
        <f t="shared" si="18"/>
        <v>54485788.639999986</v>
      </c>
      <c r="AB24" s="138">
        <f t="shared" si="19"/>
        <v>2724289</v>
      </c>
      <c r="AC24" s="138">
        <f>('ASTEK+PENSIUN-DIISI SMPAI DES'!O152+'ASTEK+PENSIUN-DIISI SMPAI DES'!O66)</f>
        <v>1404141</v>
      </c>
      <c r="AD24" s="138">
        <f t="shared" si="20"/>
        <v>50357358.639999986</v>
      </c>
      <c r="AE24" s="139">
        <f t="shared" si="21"/>
        <v>54000000</v>
      </c>
      <c r="AF24" s="139">
        <f t="shared" si="22"/>
        <v>0</v>
      </c>
      <c r="AG24" s="140">
        <f t="shared" si="23"/>
        <v>0</v>
      </c>
      <c r="AH24" s="140">
        <f t="shared" si="24"/>
        <v>0</v>
      </c>
      <c r="AI24" s="67">
        <f>+'PAJAK JAN-NOV'!R60</f>
        <v>124548</v>
      </c>
      <c r="AJ24" s="142">
        <f t="shared" si="25"/>
        <v>0</v>
      </c>
      <c r="AK24" s="32" t="str">
        <f>+'PAJAK JAN-NOV'!B60</f>
        <v>YANTI NOVITA</v>
      </c>
      <c r="AL24" s="33">
        <f t="shared" si="26"/>
        <v>124548</v>
      </c>
      <c r="AM24" s="32"/>
      <c r="AN24" s="33"/>
      <c r="AO24" s="32"/>
      <c r="AP24" s="32"/>
    </row>
    <row r="25" spans="2:42" s="136" customFormat="1">
      <c r="B25" s="131">
        <v>20</v>
      </c>
      <c r="C25" s="132" t="str">
        <f>+PERBULAN!B36</f>
        <v>MANSUR</v>
      </c>
      <c r="D25" s="137" t="s">
        <v>288</v>
      </c>
      <c r="E25" s="37" t="s">
        <v>69</v>
      </c>
      <c r="F25" s="366" t="s">
        <v>345</v>
      </c>
      <c r="G25" s="350" t="s">
        <v>526</v>
      </c>
      <c r="H25" s="362" t="s">
        <v>39</v>
      </c>
      <c r="I25" s="353" t="s">
        <v>9</v>
      </c>
      <c r="J25" s="147" t="str">
        <f t="shared" si="15"/>
        <v>TER B</v>
      </c>
      <c r="K25" s="393">
        <v>1</v>
      </c>
      <c r="L25" s="393">
        <v>12</v>
      </c>
      <c r="M25" s="138">
        <f>30*129220</f>
        <v>3876600</v>
      </c>
      <c r="N25" s="139">
        <v>404500</v>
      </c>
      <c r="O25" s="139">
        <v>188353.44</v>
      </c>
      <c r="P25" s="138">
        <v>0</v>
      </c>
      <c r="Q25" s="138">
        <f t="shared" si="16"/>
        <v>4469453.4400000004</v>
      </c>
      <c r="R25" s="138">
        <f>+SETAHUN!H37</f>
        <v>4028600</v>
      </c>
      <c r="S25" s="138">
        <f>+SETAHUN!K37</f>
        <v>900000</v>
      </c>
      <c r="T25" s="138">
        <v>0</v>
      </c>
      <c r="U25" s="138">
        <f>+SETAHUN!F37+M25+N25</f>
        <v>58236384.160000004</v>
      </c>
      <c r="V25" s="138">
        <v>0</v>
      </c>
      <c r="W25" s="138">
        <f>+SETAHUN!U37+O25</f>
        <v>2258280.2799999998</v>
      </c>
      <c r="X25" s="138">
        <v>0</v>
      </c>
      <c r="Y25" s="138">
        <v>0</v>
      </c>
      <c r="Z25" s="138">
        <f t="shared" si="17"/>
        <v>4928600</v>
      </c>
      <c r="AA25" s="138">
        <f t="shared" si="18"/>
        <v>65423264.440000005</v>
      </c>
      <c r="AB25" s="138">
        <f t="shared" si="19"/>
        <v>3271163</v>
      </c>
      <c r="AC25" s="138">
        <f>('ASTEK+PENSIUN-DIISI SMPAI DES'!O125+'ASTEK+PENSIUN-DIISI SMPAI DES'!O39)</f>
        <v>1397901</v>
      </c>
      <c r="AD25" s="138">
        <f t="shared" si="20"/>
        <v>60754200.440000005</v>
      </c>
      <c r="AE25" s="139">
        <f t="shared" si="21"/>
        <v>63000000</v>
      </c>
      <c r="AF25" s="139">
        <f t="shared" si="22"/>
        <v>0</v>
      </c>
      <c r="AG25" s="140">
        <f t="shared" si="23"/>
        <v>0</v>
      </c>
      <c r="AH25" s="140">
        <f t="shared" si="24"/>
        <v>0</v>
      </c>
      <c r="AI25" s="67">
        <f>+'PAJAK JAN-NOV'!R33</f>
        <v>190495</v>
      </c>
      <c r="AJ25" s="142">
        <f t="shared" si="25"/>
        <v>0</v>
      </c>
      <c r="AK25" s="32" t="str">
        <f>+'PAJAK JAN-NOV'!B33</f>
        <v>MANSUR</v>
      </c>
      <c r="AL25" s="33">
        <f t="shared" si="26"/>
        <v>190495</v>
      </c>
      <c r="AM25" s="32"/>
      <c r="AN25" s="33"/>
      <c r="AO25" s="32"/>
      <c r="AP25" s="32"/>
    </row>
    <row r="26" spans="2:42" s="136" customFormat="1">
      <c r="B26" s="131">
        <v>21</v>
      </c>
      <c r="C26" s="132" t="str">
        <f>+PERBULAN!B56</f>
        <v>RIJAL</v>
      </c>
      <c r="D26" s="452" t="s">
        <v>584</v>
      </c>
      <c r="E26" s="37" t="s">
        <v>69</v>
      </c>
      <c r="F26" s="366" t="s">
        <v>537</v>
      </c>
      <c r="G26" s="350" t="s">
        <v>526</v>
      </c>
      <c r="H26" s="362" t="s">
        <v>39</v>
      </c>
      <c r="I26" s="353" t="s">
        <v>9</v>
      </c>
      <c r="J26" s="147" t="str">
        <f t="shared" si="15"/>
        <v>TER B</v>
      </c>
      <c r="K26" s="393">
        <v>1</v>
      </c>
      <c r="L26" s="393">
        <v>12</v>
      </c>
      <c r="M26" s="138">
        <f>30*129220</f>
        <v>3876600</v>
      </c>
      <c r="N26" s="139">
        <v>179000</v>
      </c>
      <c r="O26" s="139">
        <v>188232.44</v>
      </c>
      <c r="P26" s="138">
        <v>0</v>
      </c>
      <c r="Q26" s="138">
        <f t="shared" si="16"/>
        <v>4243832.4400000004</v>
      </c>
      <c r="R26" s="138">
        <f>+SETAHUN!H57</f>
        <v>4026100</v>
      </c>
      <c r="S26" s="138">
        <f>+SETAHUN!K57</f>
        <v>200000</v>
      </c>
      <c r="T26" s="138">
        <v>0</v>
      </c>
      <c r="U26" s="138">
        <f>+SETAHUN!F57+M26+N26</f>
        <v>49786089.599999994</v>
      </c>
      <c r="V26" s="138">
        <v>0</v>
      </c>
      <c r="W26" s="138">
        <f>+SETAHUN!U57+O26</f>
        <v>2257317.2799999998</v>
      </c>
      <c r="X26" s="138">
        <v>0</v>
      </c>
      <c r="Y26" s="138">
        <v>0</v>
      </c>
      <c r="Z26" s="138">
        <f t="shared" si="17"/>
        <v>4226100</v>
      </c>
      <c r="AA26" s="138">
        <f t="shared" si="18"/>
        <v>56269506.879999995</v>
      </c>
      <c r="AB26" s="138">
        <f t="shared" si="19"/>
        <v>2813475</v>
      </c>
      <c r="AC26" s="138">
        <f>('ASTEK+PENSIUN-DIISI SMPAI DES'!O145+'ASTEK+PENSIUN-DIISI SMPAI DES'!O59)</f>
        <v>1397676</v>
      </c>
      <c r="AD26" s="138">
        <f t="shared" si="20"/>
        <v>52058355.879999995</v>
      </c>
      <c r="AE26" s="139">
        <f t="shared" si="21"/>
        <v>63000000</v>
      </c>
      <c r="AF26" s="139">
        <f t="shared" si="22"/>
        <v>0</v>
      </c>
      <c r="AG26" s="140">
        <f t="shared" si="23"/>
        <v>0</v>
      </c>
      <c r="AH26" s="140">
        <f t="shared" si="24"/>
        <v>0</v>
      </c>
      <c r="AI26" s="67">
        <f>+'PAJAK JAN-NOV'!R53</f>
        <v>84012</v>
      </c>
      <c r="AJ26" s="142">
        <f t="shared" si="25"/>
        <v>0</v>
      </c>
      <c r="AK26" s="32" t="str">
        <f>+'PAJAK JAN-NOV'!B53</f>
        <v>RIJAL</v>
      </c>
      <c r="AL26" s="33">
        <f t="shared" si="26"/>
        <v>84012</v>
      </c>
      <c r="AM26" s="32"/>
      <c r="AN26" s="33"/>
      <c r="AO26" s="32"/>
      <c r="AP26" s="32"/>
    </row>
    <row r="27" spans="2:42" s="136" customFormat="1">
      <c r="B27" s="131">
        <v>22</v>
      </c>
      <c r="C27" s="132" t="str">
        <f>+PERBULAN!B35</f>
        <v>SULTAN</v>
      </c>
      <c r="D27" s="137" t="s">
        <v>287</v>
      </c>
      <c r="E27" s="37" t="s">
        <v>69</v>
      </c>
      <c r="F27" s="366" t="s">
        <v>344</v>
      </c>
      <c r="G27" s="350" t="s">
        <v>526</v>
      </c>
      <c r="H27" s="362" t="s">
        <v>39</v>
      </c>
      <c r="I27" s="353" t="s">
        <v>11</v>
      </c>
      <c r="J27" s="147" t="str">
        <f t="shared" si="15"/>
        <v>TER B</v>
      </c>
      <c r="K27" s="393">
        <v>1</v>
      </c>
      <c r="L27" s="393">
        <v>12</v>
      </c>
      <c r="M27" s="138">
        <f t="shared" si="14"/>
        <v>4005820</v>
      </c>
      <c r="N27" s="139">
        <v>165150</v>
      </c>
      <c r="O27" s="139">
        <v>188643.84</v>
      </c>
      <c r="P27" s="138">
        <v>0</v>
      </c>
      <c r="Q27" s="138">
        <f t="shared" si="16"/>
        <v>4359613.84</v>
      </c>
      <c r="R27" s="138">
        <f>+SETAHUN!H36</f>
        <v>4061100</v>
      </c>
      <c r="S27" s="138">
        <f>+SETAHUN!K36</f>
        <v>200000</v>
      </c>
      <c r="T27" s="138">
        <v>0</v>
      </c>
      <c r="U27" s="138">
        <f>+SETAHUN!F36+M27+N27</f>
        <v>53392578.359999985</v>
      </c>
      <c r="V27" s="138">
        <v>0</v>
      </c>
      <c r="W27" s="138">
        <f>+SETAHUN!U36+O27</f>
        <v>2261802.48</v>
      </c>
      <c r="X27" s="138">
        <v>0</v>
      </c>
      <c r="Y27" s="138">
        <v>0</v>
      </c>
      <c r="Z27" s="138">
        <f t="shared" si="17"/>
        <v>4261100</v>
      </c>
      <c r="AA27" s="138">
        <f t="shared" si="18"/>
        <v>59915480.839999981</v>
      </c>
      <c r="AB27" s="138">
        <f t="shared" si="19"/>
        <v>2995774</v>
      </c>
      <c r="AC27" s="138">
        <f>('ASTEK+PENSIUN-DIISI SMPAI DES'!O124+'ASTEK+PENSIUN-DIISI SMPAI DES'!O38)</f>
        <v>1399266</v>
      </c>
      <c r="AD27" s="138">
        <f t="shared" si="20"/>
        <v>55520440.839999981</v>
      </c>
      <c r="AE27" s="139">
        <f t="shared" si="21"/>
        <v>67500000</v>
      </c>
      <c r="AF27" s="139">
        <f t="shared" si="22"/>
        <v>0</v>
      </c>
      <c r="AG27" s="140">
        <f t="shared" si="23"/>
        <v>0</v>
      </c>
      <c r="AH27" s="140">
        <f t="shared" si="24"/>
        <v>0</v>
      </c>
      <c r="AI27" s="67">
        <f>+'PAJAK JAN-NOV'!R32</f>
        <v>89541</v>
      </c>
      <c r="AJ27" s="142">
        <f t="shared" si="25"/>
        <v>0</v>
      </c>
      <c r="AK27" s="32" t="str">
        <f>+'PAJAK JAN-NOV'!B32</f>
        <v>SULTAN</v>
      </c>
      <c r="AL27" s="33">
        <f t="shared" si="26"/>
        <v>89541</v>
      </c>
      <c r="AM27" s="32"/>
      <c r="AN27" s="33"/>
      <c r="AO27" s="32"/>
      <c r="AP27" s="32"/>
    </row>
    <row r="28" spans="2:42" s="136" customFormat="1">
      <c r="B28" s="131">
        <v>23</v>
      </c>
      <c r="C28" s="132" t="str">
        <f>+PERBULAN!B59</f>
        <v>EKO SUMANJAYA</v>
      </c>
      <c r="D28" s="137" t="s">
        <v>552</v>
      </c>
      <c r="E28" s="37" t="s">
        <v>553</v>
      </c>
      <c r="F28" s="366" t="s">
        <v>554</v>
      </c>
      <c r="G28" s="350" t="s">
        <v>83</v>
      </c>
      <c r="H28" s="362" t="s">
        <v>39</v>
      </c>
      <c r="I28" s="353" t="s">
        <v>9</v>
      </c>
      <c r="J28" s="147" t="str">
        <f t="shared" si="15"/>
        <v>TER B</v>
      </c>
      <c r="K28" s="393">
        <v>1</v>
      </c>
      <c r="L28" s="393">
        <v>12</v>
      </c>
      <c r="M28" s="138">
        <f>29*129220</f>
        <v>3747380</v>
      </c>
      <c r="N28" s="139">
        <v>167850</v>
      </c>
      <c r="O28" s="139">
        <v>189224.64</v>
      </c>
      <c r="P28" s="138">
        <v>0</v>
      </c>
      <c r="Q28" s="138">
        <f t="shared" si="16"/>
        <v>4104454.64</v>
      </c>
      <c r="R28" s="138">
        <f>+SETAHUN!H60</f>
        <v>4046100</v>
      </c>
      <c r="S28" s="138">
        <f>+SETAHUN!K60</f>
        <v>200000</v>
      </c>
      <c r="T28" s="138">
        <v>0</v>
      </c>
      <c r="U28" s="138">
        <f>+SETAHUN!F60+M28+N28</f>
        <v>49382672.199999996</v>
      </c>
      <c r="V28" s="138">
        <v>0</v>
      </c>
      <c r="W28" s="138">
        <f>+SETAHUN!U60+O28</f>
        <v>2267636.88</v>
      </c>
      <c r="X28" s="138">
        <v>0</v>
      </c>
      <c r="Y28" s="138">
        <v>0</v>
      </c>
      <c r="Z28" s="138">
        <f t="shared" si="17"/>
        <v>4246100</v>
      </c>
      <c r="AA28" s="138">
        <f t="shared" si="18"/>
        <v>55896409.079999998</v>
      </c>
      <c r="AB28" s="138">
        <f t="shared" si="19"/>
        <v>2794820</v>
      </c>
      <c r="AC28" s="138">
        <f>('ASTEK+PENSIUN-DIISI SMPAI DES'!O148+'ASTEK+PENSIUN-DIISI SMPAI DES'!O62)</f>
        <v>1401246</v>
      </c>
      <c r="AD28" s="138">
        <f t="shared" si="20"/>
        <v>51700343.079999998</v>
      </c>
      <c r="AE28" s="139">
        <f t="shared" si="21"/>
        <v>63000000</v>
      </c>
      <c r="AF28" s="139">
        <f t="shared" si="22"/>
        <v>0</v>
      </c>
      <c r="AG28" s="140">
        <f t="shared" si="23"/>
        <v>0</v>
      </c>
      <c r="AH28" s="140">
        <f t="shared" si="24"/>
        <v>0</v>
      </c>
      <c r="AI28" s="67">
        <f>+'PAJAK JAN-NOV'!R56</f>
        <v>87005</v>
      </c>
      <c r="AJ28" s="142">
        <f t="shared" si="25"/>
        <v>0</v>
      </c>
      <c r="AK28" s="32" t="str">
        <f>+'PAJAK JAN-NOV'!B56</f>
        <v>EKO SUMANJAYA</v>
      </c>
      <c r="AL28" s="33">
        <f t="shared" si="26"/>
        <v>87005</v>
      </c>
      <c r="AM28" s="32"/>
      <c r="AN28" s="33"/>
      <c r="AO28" s="32"/>
      <c r="AP28" s="32"/>
    </row>
    <row r="29" spans="2:42" s="136" customFormat="1">
      <c r="B29" s="131">
        <v>24</v>
      </c>
      <c r="C29" s="132" t="str">
        <f>+PERBULAN!B61</f>
        <v>SUMARDI</v>
      </c>
      <c r="D29" s="137" t="s">
        <v>557</v>
      </c>
      <c r="E29" s="37" t="s">
        <v>558</v>
      </c>
      <c r="F29" s="366" t="s">
        <v>559</v>
      </c>
      <c r="G29" s="350" t="s">
        <v>83</v>
      </c>
      <c r="H29" s="362" t="s">
        <v>39</v>
      </c>
      <c r="I29" s="353" t="s">
        <v>9</v>
      </c>
      <c r="J29" s="147" t="str">
        <f t="shared" si="15"/>
        <v>TER B</v>
      </c>
      <c r="K29" s="393">
        <v>1</v>
      </c>
      <c r="L29" s="393">
        <v>12</v>
      </c>
      <c r="M29" s="138">
        <f>27*129220</f>
        <v>3488940</v>
      </c>
      <c r="N29" s="139">
        <v>140400</v>
      </c>
      <c r="O29" s="139">
        <v>188934.24</v>
      </c>
      <c r="P29" s="138">
        <v>0</v>
      </c>
      <c r="Q29" s="138">
        <f t="shared" si="16"/>
        <v>3818274.24</v>
      </c>
      <c r="R29" s="138">
        <f>+SETAHUN!H62</f>
        <v>4026600</v>
      </c>
      <c r="S29" s="138">
        <f>+SETAHUN!K62</f>
        <v>200000</v>
      </c>
      <c r="T29" s="138">
        <v>0</v>
      </c>
      <c r="U29" s="138">
        <f>+SETAHUN!F62+M29+N29</f>
        <v>48886875.79999999</v>
      </c>
      <c r="V29" s="138">
        <v>0</v>
      </c>
      <c r="W29" s="138">
        <f>+SETAHUN!U62+O29</f>
        <v>2264984.88</v>
      </c>
      <c r="X29" s="138">
        <v>0</v>
      </c>
      <c r="Y29" s="138">
        <v>0</v>
      </c>
      <c r="Z29" s="138">
        <f t="shared" si="17"/>
        <v>4226600</v>
      </c>
      <c r="AA29" s="138">
        <f t="shared" si="18"/>
        <v>55378460.679999992</v>
      </c>
      <c r="AB29" s="138">
        <f t="shared" si="19"/>
        <v>2768923</v>
      </c>
      <c r="AC29" s="138">
        <f>('ASTEK+PENSIUN-DIISI SMPAI DES'!O150+'ASTEK+PENSIUN-DIISI SMPAI DES'!O64)</f>
        <v>1400346</v>
      </c>
      <c r="AD29" s="138">
        <f t="shared" si="20"/>
        <v>51209191.679999992</v>
      </c>
      <c r="AE29" s="139">
        <f t="shared" si="21"/>
        <v>63000000</v>
      </c>
      <c r="AF29" s="139">
        <f t="shared" si="22"/>
        <v>0</v>
      </c>
      <c r="AG29" s="140">
        <f t="shared" si="23"/>
        <v>0</v>
      </c>
      <c r="AH29" s="140">
        <f t="shared" si="24"/>
        <v>0</v>
      </c>
      <c r="AI29" s="67">
        <f>+'PAJAK JAN-NOV'!R58</f>
        <v>86898</v>
      </c>
      <c r="AJ29" s="142">
        <f t="shared" si="25"/>
        <v>0</v>
      </c>
      <c r="AK29" s="32" t="str">
        <f>+'PAJAK JAN-NOV'!B58</f>
        <v>SUMARDI</v>
      </c>
      <c r="AL29" s="33">
        <f t="shared" si="26"/>
        <v>86898</v>
      </c>
      <c r="AM29" s="32"/>
      <c r="AN29" s="33"/>
      <c r="AO29" s="32"/>
      <c r="AP29" s="32"/>
    </row>
    <row r="30" spans="2:42" s="136" customFormat="1">
      <c r="B30" s="131">
        <v>25</v>
      </c>
      <c r="C30" s="132" t="str">
        <f>+PERBULAN!B62</f>
        <v>SUKARDI</v>
      </c>
      <c r="D30" s="451" t="s">
        <v>560</v>
      </c>
      <c r="E30" s="37" t="s">
        <v>69</v>
      </c>
      <c r="F30" s="366" t="s">
        <v>561</v>
      </c>
      <c r="G30" s="350" t="s">
        <v>83</v>
      </c>
      <c r="H30" s="362" t="s">
        <v>39</v>
      </c>
      <c r="I30" s="353" t="s">
        <v>17</v>
      </c>
      <c r="J30" s="147" t="str">
        <f t="shared" si="15"/>
        <v>TER A</v>
      </c>
      <c r="K30" s="393">
        <v>1</v>
      </c>
      <c r="L30" s="393">
        <v>12</v>
      </c>
      <c r="M30" s="138">
        <f>29*129220</f>
        <v>3747380</v>
      </c>
      <c r="N30" s="139">
        <v>109800</v>
      </c>
      <c r="O30" s="139">
        <v>187748.44</v>
      </c>
      <c r="P30" s="138">
        <v>0</v>
      </c>
      <c r="Q30" s="138">
        <f t="shared" si="16"/>
        <v>4044928.44</v>
      </c>
      <c r="R30" s="138">
        <f>+SETAHUN!H63</f>
        <v>3655300</v>
      </c>
      <c r="S30" s="138">
        <f>+SETAHUN!K63</f>
        <v>133333</v>
      </c>
      <c r="T30" s="138">
        <v>0</v>
      </c>
      <c r="U30" s="138">
        <f>+SETAHUN!F63+M30+N30</f>
        <v>49909542.160000004</v>
      </c>
      <c r="V30" s="138">
        <v>0</v>
      </c>
      <c r="W30" s="138">
        <f>+SETAHUN!U63+O30</f>
        <v>2252555.2799999998</v>
      </c>
      <c r="X30" s="138">
        <v>0</v>
      </c>
      <c r="Y30" s="138">
        <v>0</v>
      </c>
      <c r="Z30" s="138">
        <f t="shared" si="17"/>
        <v>3788633</v>
      </c>
      <c r="AA30" s="138">
        <f t="shared" si="18"/>
        <v>55950730.440000005</v>
      </c>
      <c r="AB30" s="138">
        <f t="shared" si="19"/>
        <v>2797537</v>
      </c>
      <c r="AC30" s="138">
        <f>('ASTEK+PENSIUN-DIISI SMPAI DES'!O151+'ASTEK+PENSIUN-DIISI SMPAI DES'!O65)</f>
        <v>1396026</v>
      </c>
      <c r="AD30" s="138">
        <f t="shared" si="20"/>
        <v>51757167.440000005</v>
      </c>
      <c r="AE30" s="139">
        <f t="shared" si="21"/>
        <v>58500000</v>
      </c>
      <c r="AF30" s="139">
        <f t="shared" si="22"/>
        <v>0</v>
      </c>
      <c r="AG30" s="140">
        <f t="shared" si="23"/>
        <v>0</v>
      </c>
      <c r="AH30" s="140">
        <f t="shared" si="24"/>
        <v>0</v>
      </c>
      <c r="AI30" s="67">
        <f>+'PAJAK JAN-NOV'!R59</f>
        <v>126195</v>
      </c>
      <c r="AJ30" s="142">
        <f t="shared" si="25"/>
        <v>0</v>
      </c>
      <c r="AK30" s="32" t="str">
        <f>+'PAJAK JAN-NOV'!B59</f>
        <v>SUKARDI</v>
      </c>
      <c r="AL30" s="33">
        <f t="shared" si="26"/>
        <v>126195</v>
      </c>
      <c r="AM30" s="32"/>
      <c r="AN30" s="33"/>
      <c r="AO30" s="32"/>
      <c r="AP30" s="32"/>
    </row>
    <row r="31" spans="2:42" s="136" customFormat="1">
      <c r="B31" s="131">
        <v>26</v>
      </c>
      <c r="C31" s="132" t="str">
        <f>+PERBULAN!B65</f>
        <v>MUSDI</v>
      </c>
      <c r="D31" s="137" t="s">
        <v>570</v>
      </c>
      <c r="E31" s="37" t="s">
        <v>571</v>
      </c>
      <c r="F31" s="366" t="s">
        <v>342</v>
      </c>
      <c r="G31" s="350" t="s">
        <v>83</v>
      </c>
      <c r="H31" s="362" t="s">
        <v>39</v>
      </c>
      <c r="I31" s="353" t="s">
        <v>11</v>
      </c>
      <c r="J31" s="147" t="str">
        <f t="shared" si="15"/>
        <v>TER B</v>
      </c>
      <c r="K31" s="393">
        <v>1</v>
      </c>
      <c r="L31" s="393">
        <v>12</v>
      </c>
      <c r="M31" s="138">
        <f>30*129220</f>
        <v>3876600</v>
      </c>
      <c r="N31" s="139">
        <v>193500</v>
      </c>
      <c r="O31" s="139">
        <v>188934.24</v>
      </c>
      <c r="P31" s="138">
        <v>0</v>
      </c>
      <c r="Q31" s="138">
        <f t="shared" si="16"/>
        <v>4259034.24</v>
      </c>
      <c r="R31" s="138">
        <f>+SETAHUN!H66</f>
        <v>4067100</v>
      </c>
      <c r="S31" s="138">
        <f>+SETAHUN!K66</f>
        <v>200000</v>
      </c>
      <c r="T31" s="138">
        <v>0</v>
      </c>
      <c r="U31" s="138">
        <f>+SETAHUN!F66+M31+N31</f>
        <v>51756508.559999987</v>
      </c>
      <c r="V31" s="138">
        <v>0</v>
      </c>
      <c r="W31" s="138">
        <f>+SETAHUN!U66+O31</f>
        <v>2264839.6799999997</v>
      </c>
      <c r="X31" s="138">
        <v>0</v>
      </c>
      <c r="Y31" s="138">
        <v>0</v>
      </c>
      <c r="Z31" s="138">
        <f t="shared" si="17"/>
        <v>4267100</v>
      </c>
      <c r="AA31" s="138">
        <f t="shared" si="18"/>
        <v>58288448.239999987</v>
      </c>
      <c r="AB31" s="138">
        <f t="shared" si="19"/>
        <v>2914422</v>
      </c>
      <c r="AC31" s="138">
        <f>('ASTEK+PENSIUN-DIISI SMPAI DES'!O154+'ASTEK+PENSIUN-DIISI SMPAI DES'!O68)</f>
        <v>1400256</v>
      </c>
      <c r="AD31" s="138">
        <f t="shared" si="20"/>
        <v>53973770.239999987</v>
      </c>
      <c r="AE31" s="139">
        <f t="shared" si="21"/>
        <v>67500000</v>
      </c>
      <c r="AF31" s="139">
        <f t="shared" si="22"/>
        <v>0</v>
      </c>
      <c r="AG31" s="140">
        <f t="shared" si="23"/>
        <v>0</v>
      </c>
      <c r="AH31" s="140">
        <f t="shared" si="24"/>
        <v>0</v>
      </c>
      <c r="AI31" s="67">
        <f>+'PAJAK JAN-NOV'!R62</f>
        <v>85882</v>
      </c>
      <c r="AJ31" s="142">
        <f t="shared" si="25"/>
        <v>0</v>
      </c>
      <c r="AK31" s="32" t="str">
        <f>+'PAJAK JAN-NOV'!B62</f>
        <v>MUSDI</v>
      </c>
      <c r="AL31" s="33">
        <f t="shared" si="26"/>
        <v>85882</v>
      </c>
      <c r="AM31" s="32"/>
      <c r="AN31" s="33"/>
      <c r="AO31" s="32"/>
      <c r="AP31" s="32"/>
    </row>
    <row r="32" spans="2:42" s="136" customFormat="1">
      <c r="B32" s="131">
        <v>27</v>
      </c>
      <c r="C32" s="132" t="str">
        <f>+PERBULAN!B67</f>
        <v>NOLA WILANDA</v>
      </c>
      <c r="D32" s="451" t="s">
        <v>576</v>
      </c>
      <c r="E32" s="37" t="s">
        <v>69</v>
      </c>
      <c r="F32" s="366" t="s">
        <v>577</v>
      </c>
      <c r="G32" s="350" t="s">
        <v>83</v>
      </c>
      <c r="H32" s="362" t="s">
        <v>38</v>
      </c>
      <c r="I32" s="353" t="s">
        <v>7</v>
      </c>
      <c r="J32" s="147" t="str">
        <f t="shared" si="15"/>
        <v>TER A</v>
      </c>
      <c r="K32" s="393">
        <v>9</v>
      </c>
      <c r="L32" s="393">
        <v>12</v>
      </c>
      <c r="M32" s="138">
        <f t="shared" si="27"/>
        <v>4005820</v>
      </c>
      <c r="N32" s="139">
        <v>69750</v>
      </c>
      <c r="O32" s="139">
        <v>187627.44</v>
      </c>
      <c r="P32" s="138">
        <v>0</v>
      </c>
      <c r="Q32" s="138">
        <f t="shared" si="16"/>
        <v>4263197.4400000004</v>
      </c>
      <c r="R32" s="138">
        <f>+SETAHUN!H68</f>
        <v>0</v>
      </c>
      <c r="S32" s="138">
        <f>+SETAHUN!K68</f>
        <v>0</v>
      </c>
      <c r="T32" s="138">
        <v>0</v>
      </c>
      <c r="U32" s="138">
        <f>+SETAHUN!F68+M32+N32</f>
        <v>15834588.68</v>
      </c>
      <c r="V32" s="138">
        <v>0</v>
      </c>
      <c r="W32" s="138">
        <f>+SETAHUN!U68+O32</f>
        <v>750509.76</v>
      </c>
      <c r="X32" s="138">
        <v>0</v>
      </c>
      <c r="Y32" s="138">
        <v>0</v>
      </c>
      <c r="Z32" s="138">
        <f t="shared" si="17"/>
        <v>0</v>
      </c>
      <c r="AA32" s="138">
        <f t="shared" si="18"/>
        <v>16585098.439999999</v>
      </c>
      <c r="AB32" s="138">
        <f t="shared" si="19"/>
        <v>829255</v>
      </c>
      <c r="AC32" s="138">
        <f>('ASTEK+PENSIUN-DIISI SMPAI DES'!O156+'ASTEK+PENSIUN-DIISI SMPAI DES'!O70)</f>
        <v>465192</v>
      </c>
      <c r="AD32" s="138">
        <f t="shared" si="20"/>
        <v>15290651.439999999</v>
      </c>
      <c r="AE32" s="139">
        <f t="shared" si="21"/>
        <v>54000000</v>
      </c>
      <c r="AF32" s="139">
        <f t="shared" si="22"/>
        <v>0</v>
      </c>
      <c r="AG32" s="140">
        <f t="shared" si="23"/>
        <v>0</v>
      </c>
      <c r="AH32" s="140">
        <f t="shared" si="24"/>
        <v>0</v>
      </c>
      <c r="AI32" s="67">
        <f>+'PAJAK JAN-NOV'!R64</f>
        <v>0</v>
      </c>
      <c r="AJ32" s="142">
        <f t="shared" si="25"/>
        <v>0</v>
      </c>
      <c r="AK32" s="32" t="str">
        <f>+'PAJAK JAN-NOV'!B64</f>
        <v>NOLA WILANDA</v>
      </c>
      <c r="AL32" s="33">
        <f t="shared" si="26"/>
        <v>0</v>
      </c>
      <c r="AM32" s="32"/>
      <c r="AN32" s="33"/>
      <c r="AO32" s="32"/>
      <c r="AP32" s="32"/>
    </row>
    <row r="33" spans="2:42" s="136" customFormat="1">
      <c r="B33" s="131">
        <v>28</v>
      </c>
      <c r="C33" s="132" t="str">
        <f>+PERBULAN!B68</f>
        <v>AGUSTIAN</v>
      </c>
      <c r="D33" s="451" t="s">
        <v>578</v>
      </c>
      <c r="E33" s="37" t="s">
        <v>69</v>
      </c>
      <c r="F33" s="366" t="s">
        <v>579</v>
      </c>
      <c r="G33" s="350" t="s">
        <v>83</v>
      </c>
      <c r="H33" s="362" t="s">
        <v>39</v>
      </c>
      <c r="I33" s="353" t="s">
        <v>7</v>
      </c>
      <c r="J33" s="147" t="str">
        <f t="shared" si="15"/>
        <v>TER A</v>
      </c>
      <c r="K33" s="393">
        <v>9</v>
      </c>
      <c r="L33" s="393">
        <v>12</v>
      </c>
      <c r="M33" s="138">
        <f>29*129220</f>
        <v>3747380</v>
      </c>
      <c r="N33" s="139">
        <v>65250</v>
      </c>
      <c r="O33" s="139">
        <v>187627.44</v>
      </c>
      <c r="P33" s="138">
        <v>0</v>
      </c>
      <c r="Q33" s="138">
        <f t="shared" si="16"/>
        <v>4000257.44</v>
      </c>
      <c r="R33" s="138">
        <f>+SETAHUN!H69</f>
        <v>0</v>
      </c>
      <c r="S33" s="138">
        <f>+SETAHUN!K69</f>
        <v>0</v>
      </c>
      <c r="T33" s="138">
        <v>0</v>
      </c>
      <c r="U33" s="138">
        <f>+SETAHUN!F69+M33+N33</f>
        <v>15571648.68</v>
      </c>
      <c r="V33" s="138">
        <v>0</v>
      </c>
      <c r="W33" s="138">
        <f>+SETAHUN!U69+O33</f>
        <v>750509.76</v>
      </c>
      <c r="X33" s="138">
        <v>0</v>
      </c>
      <c r="Y33" s="138">
        <v>0</v>
      </c>
      <c r="Z33" s="138">
        <f t="shared" si="17"/>
        <v>0</v>
      </c>
      <c r="AA33" s="138">
        <f t="shared" si="18"/>
        <v>16322158.439999999</v>
      </c>
      <c r="AB33" s="138">
        <f t="shared" si="19"/>
        <v>816108</v>
      </c>
      <c r="AC33" s="138">
        <f>('ASTEK+PENSIUN-DIISI SMPAI DES'!O157+'ASTEK+PENSIUN-DIISI SMPAI DES'!O71)</f>
        <v>465192</v>
      </c>
      <c r="AD33" s="138">
        <f t="shared" si="20"/>
        <v>15040858.439999999</v>
      </c>
      <c r="AE33" s="139">
        <f t="shared" si="21"/>
        <v>54000000</v>
      </c>
      <c r="AF33" s="139">
        <f t="shared" si="22"/>
        <v>0</v>
      </c>
      <c r="AG33" s="140">
        <f t="shared" si="23"/>
        <v>0</v>
      </c>
      <c r="AH33" s="140">
        <f t="shared" si="24"/>
        <v>0</v>
      </c>
      <c r="AI33" s="67">
        <f>+'PAJAK JAN-NOV'!R65</f>
        <v>0</v>
      </c>
      <c r="AJ33" s="142">
        <f t="shared" si="25"/>
        <v>0</v>
      </c>
      <c r="AK33" s="32" t="str">
        <f>+'PAJAK JAN-NOV'!B65</f>
        <v>AGUSTIAN</v>
      </c>
      <c r="AL33" s="33">
        <f t="shared" si="26"/>
        <v>0</v>
      </c>
      <c r="AM33" s="32"/>
      <c r="AN33" s="33"/>
      <c r="AO33" s="32"/>
      <c r="AP33" s="32"/>
    </row>
    <row r="34" spans="2:42" s="136" customFormat="1">
      <c r="B34" s="131">
        <v>29</v>
      </c>
      <c r="C34" s="132" t="str">
        <f>+PERBULAN!B69</f>
        <v>DWI MARZETI</v>
      </c>
      <c r="D34" s="451" t="s">
        <v>580</v>
      </c>
      <c r="E34" s="37" t="s">
        <v>69</v>
      </c>
      <c r="F34" s="366" t="s">
        <v>581</v>
      </c>
      <c r="G34" s="350" t="s">
        <v>83</v>
      </c>
      <c r="H34" s="362" t="s">
        <v>38</v>
      </c>
      <c r="I34" s="353" t="s">
        <v>7</v>
      </c>
      <c r="J34" s="147" t="str">
        <f t="shared" si="15"/>
        <v>TER A</v>
      </c>
      <c r="K34" s="393">
        <v>9</v>
      </c>
      <c r="L34" s="393">
        <v>12</v>
      </c>
      <c r="M34" s="138">
        <f t="shared" si="27"/>
        <v>4005820</v>
      </c>
      <c r="N34" s="139">
        <v>69750</v>
      </c>
      <c r="O34" s="139">
        <v>187627.44</v>
      </c>
      <c r="P34" s="138">
        <v>0</v>
      </c>
      <c r="Q34" s="138">
        <f t="shared" si="16"/>
        <v>4263197.4400000004</v>
      </c>
      <c r="R34" s="138">
        <f>+SETAHUN!H70</f>
        <v>0</v>
      </c>
      <c r="S34" s="138">
        <f>+SETAHUN!K70</f>
        <v>0</v>
      </c>
      <c r="T34" s="138">
        <v>0</v>
      </c>
      <c r="U34" s="138">
        <f>+SETAHUN!F70+M34+N34</f>
        <v>15705368.68</v>
      </c>
      <c r="V34" s="138">
        <v>0</v>
      </c>
      <c r="W34" s="138">
        <f>+SETAHUN!U70+O34</f>
        <v>750509.76</v>
      </c>
      <c r="X34" s="138">
        <v>0</v>
      </c>
      <c r="Y34" s="138">
        <v>0</v>
      </c>
      <c r="Z34" s="138">
        <f t="shared" si="17"/>
        <v>0</v>
      </c>
      <c r="AA34" s="138">
        <f t="shared" si="18"/>
        <v>16455878.439999999</v>
      </c>
      <c r="AB34" s="138">
        <f t="shared" si="19"/>
        <v>822794</v>
      </c>
      <c r="AC34" s="138">
        <f>('ASTEK+PENSIUN-DIISI SMPAI DES'!O158+'ASTEK+PENSIUN-DIISI SMPAI DES'!O72)</f>
        <v>465192</v>
      </c>
      <c r="AD34" s="138">
        <f t="shared" si="20"/>
        <v>15167892.439999999</v>
      </c>
      <c r="AE34" s="139">
        <f t="shared" si="21"/>
        <v>54000000</v>
      </c>
      <c r="AF34" s="139">
        <f t="shared" si="22"/>
        <v>0</v>
      </c>
      <c r="AG34" s="140">
        <f t="shared" si="23"/>
        <v>0</v>
      </c>
      <c r="AH34" s="140">
        <f t="shared" si="24"/>
        <v>0</v>
      </c>
      <c r="AI34" s="67">
        <f>+'PAJAK JAN-NOV'!R66</f>
        <v>0</v>
      </c>
      <c r="AJ34" s="142">
        <f t="shared" si="25"/>
        <v>0</v>
      </c>
      <c r="AK34" s="32" t="str">
        <f>+'PAJAK JAN-NOV'!B66</f>
        <v>DWI MARZETI</v>
      </c>
      <c r="AL34" s="33">
        <f t="shared" si="26"/>
        <v>0</v>
      </c>
      <c r="AM34" s="32"/>
      <c r="AN34" s="33"/>
      <c r="AO34" s="32"/>
      <c r="AP34" s="32"/>
    </row>
    <row r="35" spans="2:42" s="136" customFormat="1">
      <c r="B35" s="131">
        <v>30</v>
      </c>
      <c r="C35" s="132" t="str">
        <f>+PERBULAN!B71</f>
        <v>SAHARUDIN</v>
      </c>
      <c r="D35" s="461" t="s">
        <v>587</v>
      </c>
      <c r="E35" s="37" t="s">
        <v>586</v>
      </c>
      <c r="F35" s="366" t="s">
        <v>588</v>
      </c>
      <c r="G35" s="350" t="s">
        <v>83</v>
      </c>
      <c r="H35" s="362" t="s">
        <v>39</v>
      </c>
      <c r="I35" s="353" t="s">
        <v>17</v>
      </c>
      <c r="J35" s="147" t="str">
        <f t="shared" si="15"/>
        <v>TER A</v>
      </c>
      <c r="K35" s="393">
        <v>1</v>
      </c>
      <c r="L35" s="393">
        <v>12</v>
      </c>
      <c r="M35" s="138">
        <f>29*129220</f>
        <v>3747380</v>
      </c>
      <c r="N35" s="139">
        <v>140300</v>
      </c>
      <c r="O35" s="139">
        <v>189224.64</v>
      </c>
      <c r="P35" s="138">
        <v>0</v>
      </c>
      <c r="Q35" s="138">
        <f t="shared" si="16"/>
        <v>4076904.64</v>
      </c>
      <c r="R35" s="138">
        <f>+SETAHUN!H72</f>
        <v>4017600</v>
      </c>
      <c r="S35" s="138">
        <f>+SETAHUN!K72</f>
        <v>200000</v>
      </c>
      <c r="T35" s="138">
        <v>0</v>
      </c>
      <c r="U35" s="138">
        <f>+SETAHUN!F72+M35+N35</f>
        <v>47818436.759999998</v>
      </c>
      <c r="V35" s="138">
        <v>0</v>
      </c>
      <c r="W35" s="138">
        <f>+SETAHUN!U72+O35</f>
        <v>2267876.88</v>
      </c>
      <c r="X35" s="138">
        <v>0</v>
      </c>
      <c r="Y35" s="138">
        <v>0</v>
      </c>
      <c r="Z35" s="138">
        <f t="shared" si="17"/>
        <v>4217600</v>
      </c>
      <c r="AA35" s="138">
        <f t="shared" si="18"/>
        <v>54303913.640000001</v>
      </c>
      <c r="AB35" s="138">
        <f t="shared" si="19"/>
        <v>2715196</v>
      </c>
      <c r="AC35" s="138">
        <f>('ASTEK+PENSIUN-DIISI SMPAI DES'!O160+'ASTEK+PENSIUN-DIISI SMPAI DES'!O74)</f>
        <v>1401246</v>
      </c>
      <c r="AD35" s="138">
        <f t="shared" si="20"/>
        <v>50187471.640000001</v>
      </c>
      <c r="AE35" s="139">
        <f t="shared" si="21"/>
        <v>58500000</v>
      </c>
      <c r="AF35" s="139">
        <f t="shared" si="22"/>
        <v>0</v>
      </c>
      <c r="AG35" s="140">
        <f t="shared" si="23"/>
        <v>0</v>
      </c>
      <c r="AH35" s="140">
        <f t="shared" si="24"/>
        <v>0</v>
      </c>
      <c r="AI35" s="67">
        <f>+'PAJAK JAN-NOV'!R68</f>
        <v>123360</v>
      </c>
      <c r="AJ35" s="142">
        <f t="shared" si="25"/>
        <v>0</v>
      </c>
      <c r="AK35" s="32" t="str">
        <f>+'PAJAK JAN-NOV'!B68</f>
        <v>SAHARUDIN</v>
      </c>
      <c r="AL35" s="33">
        <f t="shared" si="26"/>
        <v>123360</v>
      </c>
      <c r="AM35" s="32"/>
      <c r="AN35" s="33"/>
      <c r="AO35" s="32"/>
      <c r="AP35" s="32"/>
    </row>
    <row r="36" spans="2:42" s="136" customFormat="1">
      <c r="B36" s="131">
        <v>31</v>
      </c>
      <c r="C36" s="132" t="str">
        <f>+PERBULAN!B27</f>
        <v>ARWANDI</v>
      </c>
      <c r="D36" s="133" t="s">
        <v>275</v>
      </c>
      <c r="E36" s="146" t="s">
        <v>445</v>
      </c>
      <c r="F36" s="143" t="s">
        <v>334</v>
      </c>
      <c r="G36" s="350" t="s">
        <v>82</v>
      </c>
      <c r="H36" s="354" t="s">
        <v>39</v>
      </c>
      <c r="I36" s="353" t="s">
        <v>9</v>
      </c>
      <c r="J36" s="147" t="str">
        <f t="shared" si="3"/>
        <v>TER B</v>
      </c>
      <c r="K36" s="393">
        <v>1</v>
      </c>
      <c r="L36" s="393">
        <v>12</v>
      </c>
      <c r="M36" s="138">
        <f t="shared" si="14"/>
        <v>4005820</v>
      </c>
      <c r="N36" s="138">
        <v>3229137.2199999997</v>
      </c>
      <c r="O36" s="138">
        <v>192104.44</v>
      </c>
      <c r="P36" s="138">
        <v>0</v>
      </c>
      <c r="Q36" s="138">
        <f t="shared" si="8"/>
        <v>7427061.6600000001</v>
      </c>
      <c r="R36" s="138">
        <f>+SETAHUN!H28</f>
        <v>4091600</v>
      </c>
      <c r="S36" s="138">
        <f>+SETAHUN!K28</f>
        <v>900000</v>
      </c>
      <c r="T36" s="138">
        <v>0</v>
      </c>
      <c r="U36" s="138">
        <f>+SETAHUN!F28+M36+N36</f>
        <v>94178256.38000001</v>
      </c>
      <c r="V36" s="138">
        <v>0</v>
      </c>
      <c r="W36" s="138">
        <f>+SETAHUN!U28+O36</f>
        <v>2299051.2799999998</v>
      </c>
      <c r="X36" s="138">
        <v>0</v>
      </c>
      <c r="Y36" s="138">
        <v>0</v>
      </c>
      <c r="Z36" s="138">
        <f t="shared" si="4"/>
        <v>4991600</v>
      </c>
      <c r="AA36" s="138">
        <f t="shared" si="5"/>
        <v>101468907.66000001</v>
      </c>
      <c r="AB36" s="138">
        <f t="shared" si="1"/>
        <v>5073445</v>
      </c>
      <c r="AC36" s="138">
        <f>('ASTEK+PENSIUN-DIISI SMPAI DES'!O116+'ASTEK+PENSIUN-DIISI SMPAI DES'!O30)</f>
        <v>1412226</v>
      </c>
      <c r="AD36" s="138">
        <f t="shared" si="9"/>
        <v>94983236.660000011</v>
      </c>
      <c r="AE36" s="139">
        <f t="shared" si="2"/>
        <v>63000000</v>
      </c>
      <c r="AF36" s="139">
        <f t="shared" si="10"/>
        <v>31983000</v>
      </c>
      <c r="AG36" s="140">
        <f t="shared" si="23"/>
        <v>1599150</v>
      </c>
      <c r="AH36" s="140">
        <f t="shared" si="13"/>
        <v>1599150</v>
      </c>
      <c r="AI36" s="67">
        <f>+'PAJAK JAN-NOV'!R24</f>
        <v>1256040</v>
      </c>
      <c r="AJ36" s="142">
        <f t="shared" si="6"/>
        <v>343110</v>
      </c>
      <c r="AK36" s="32" t="str">
        <f>+'PAJAK JAN-NOV'!B24</f>
        <v>ARWANDI</v>
      </c>
      <c r="AL36" s="33">
        <f t="shared" si="7"/>
        <v>-343110</v>
      </c>
      <c r="AM36" s="32"/>
      <c r="AN36" s="33"/>
      <c r="AO36" s="32"/>
      <c r="AP36" s="32"/>
    </row>
    <row r="37" spans="2:42" s="136" customFormat="1">
      <c r="B37" s="131">
        <v>32</v>
      </c>
      <c r="C37" s="132" t="str">
        <f>+PERBULAN!B28</f>
        <v>RENDI PERJAYA</v>
      </c>
      <c r="D37" s="133" t="s">
        <v>276</v>
      </c>
      <c r="E37" s="146" t="s">
        <v>446</v>
      </c>
      <c r="F37" s="143" t="s">
        <v>335</v>
      </c>
      <c r="G37" s="350" t="s">
        <v>188</v>
      </c>
      <c r="H37" s="354" t="s">
        <v>39</v>
      </c>
      <c r="I37" s="353" t="s">
        <v>9</v>
      </c>
      <c r="J37" s="147" t="str">
        <f t="shared" si="3"/>
        <v>TER B</v>
      </c>
      <c r="K37" s="393">
        <v>1</v>
      </c>
      <c r="L37" s="393">
        <v>12</v>
      </c>
      <c r="M37" s="138">
        <f t="shared" si="14"/>
        <v>4005820</v>
      </c>
      <c r="N37" s="138">
        <v>3274935.44</v>
      </c>
      <c r="O37" s="138">
        <v>189224.64</v>
      </c>
      <c r="P37" s="138">
        <v>0</v>
      </c>
      <c r="Q37" s="138">
        <f t="shared" si="8"/>
        <v>7469980.0799999991</v>
      </c>
      <c r="R37" s="138">
        <f>+SETAHUN!H29</f>
        <v>4032600</v>
      </c>
      <c r="S37" s="138">
        <f>+SETAHUN!K29</f>
        <v>600000</v>
      </c>
      <c r="T37" s="138">
        <v>0</v>
      </c>
      <c r="U37" s="138">
        <f>+SETAHUN!F29+M37+N37</f>
        <v>89596834</v>
      </c>
      <c r="V37" s="138">
        <v>0</v>
      </c>
      <c r="W37" s="138">
        <f>+SETAHUN!U29+O37</f>
        <v>2268022.08</v>
      </c>
      <c r="X37" s="138">
        <v>0</v>
      </c>
      <c r="Y37" s="138">
        <v>0</v>
      </c>
      <c r="Z37" s="138">
        <f t="shared" si="4"/>
        <v>4632600</v>
      </c>
      <c r="AA37" s="138">
        <f t="shared" si="5"/>
        <v>96497456.079999998</v>
      </c>
      <c r="AB37" s="138">
        <f t="shared" si="1"/>
        <v>4824873</v>
      </c>
      <c r="AC37" s="138">
        <f>('ASTEK+PENSIUN-DIISI SMPAI DES'!O117+'ASTEK+PENSIUN-DIISI SMPAI DES'!O31)</f>
        <v>1401336</v>
      </c>
      <c r="AD37" s="138">
        <f t="shared" si="9"/>
        <v>90271247.079999998</v>
      </c>
      <c r="AE37" s="139">
        <f t="shared" si="2"/>
        <v>63000000</v>
      </c>
      <c r="AF37" s="139">
        <f t="shared" si="10"/>
        <v>27271000</v>
      </c>
      <c r="AG37" s="140">
        <f t="shared" si="11"/>
        <v>1363550</v>
      </c>
      <c r="AH37" s="140">
        <f t="shared" si="13"/>
        <v>1363550</v>
      </c>
      <c r="AI37" s="67">
        <f>+'PAJAK JAN-NOV'!R25</f>
        <v>1074158</v>
      </c>
      <c r="AJ37" s="142">
        <f t="shared" si="6"/>
        <v>289392</v>
      </c>
      <c r="AK37" s="32" t="str">
        <f>+'PAJAK JAN-NOV'!B25</f>
        <v>RENDI PERJAYA</v>
      </c>
      <c r="AL37" s="33">
        <f t="shared" si="7"/>
        <v>-289392</v>
      </c>
      <c r="AM37" s="32"/>
      <c r="AN37" s="33"/>
      <c r="AO37" s="32"/>
      <c r="AP37" s="32"/>
    </row>
    <row r="38" spans="2:42" s="136" customFormat="1">
      <c r="B38" s="131">
        <v>33</v>
      </c>
      <c r="C38" s="132" t="str">
        <f>+PERBULAN!B29</f>
        <v>ANDI</v>
      </c>
      <c r="D38" s="359" t="s">
        <v>277</v>
      </c>
      <c r="E38" s="360" t="s">
        <v>447</v>
      </c>
      <c r="F38" s="361" t="s">
        <v>189</v>
      </c>
      <c r="G38" s="350" t="s">
        <v>82</v>
      </c>
      <c r="H38" s="362" t="s">
        <v>39</v>
      </c>
      <c r="I38" s="145" t="s">
        <v>9</v>
      </c>
      <c r="J38" s="147" t="str">
        <f t="shared" si="3"/>
        <v>TER B</v>
      </c>
      <c r="K38" s="393">
        <v>1</v>
      </c>
      <c r="L38" s="393">
        <v>12</v>
      </c>
      <c r="M38" s="138">
        <f t="shared" si="14"/>
        <v>4005820</v>
      </c>
      <c r="N38" s="394">
        <v>2657567.16</v>
      </c>
      <c r="O38" s="394">
        <v>191935.04</v>
      </c>
      <c r="P38" s="138">
        <v>0</v>
      </c>
      <c r="Q38" s="138">
        <f t="shared" ref="Q38:Q39" si="28">SUM(M38:P38)</f>
        <v>6855322.2000000002</v>
      </c>
      <c r="R38" s="138">
        <f>+SETAHUN!H30</f>
        <v>4101600</v>
      </c>
      <c r="S38" s="138">
        <f>+SETAHUN!K30</f>
        <v>900000</v>
      </c>
      <c r="T38" s="138">
        <v>0</v>
      </c>
      <c r="U38" s="138">
        <f>+SETAHUN!F30+M38+N38</f>
        <v>86272572.319999993</v>
      </c>
      <c r="V38" s="138">
        <v>0</v>
      </c>
      <c r="W38" s="138">
        <f>+SETAHUN!U30+O38</f>
        <v>2297054.88</v>
      </c>
      <c r="X38" s="138">
        <v>0</v>
      </c>
      <c r="Y38" s="138">
        <v>0</v>
      </c>
      <c r="Z38" s="138">
        <f t="shared" si="4"/>
        <v>5001600</v>
      </c>
      <c r="AA38" s="138">
        <f t="shared" si="5"/>
        <v>93571227.199999988</v>
      </c>
      <c r="AB38" s="138">
        <f t="shared" si="1"/>
        <v>4678561</v>
      </c>
      <c r="AC38" s="138">
        <f>('ASTEK+PENSIUN-DIISI SMPAI DES'!O118+'ASTEK+PENSIUN-DIISI SMPAI DES'!O32)</f>
        <v>1411596</v>
      </c>
      <c r="AD38" s="138">
        <f t="shared" si="9"/>
        <v>87481070.199999988</v>
      </c>
      <c r="AE38" s="139">
        <f t="shared" si="2"/>
        <v>63000000</v>
      </c>
      <c r="AF38" s="139">
        <f t="shared" si="10"/>
        <v>24481000</v>
      </c>
      <c r="AG38" s="140">
        <f t="shared" si="11"/>
        <v>1224050</v>
      </c>
      <c r="AH38" s="140">
        <f t="shared" si="13"/>
        <v>1224050</v>
      </c>
      <c r="AI38" s="67">
        <f>+'PAJAK JAN-NOV'!R26</f>
        <v>975428</v>
      </c>
      <c r="AJ38" s="142">
        <f t="shared" si="6"/>
        <v>248622</v>
      </c>
      <c r="AK38" s="32" t="str">
        <f>+'PAJAK JAN-NOV'!B26</f>
        <v>ANDI</v>
      </c>
      <c r="AL38" s="33">
        <f t="shared" si="7"/>
        <v>-248622</v>
      </c>
      <c r="AM38" s="32"/>
      <c r="AN38" s="33"/>
      <c r="AO38" s="32"/>
      <c r="AP38" s="32"/>
    </row>
    <row r="39" spans="2:42" s="136" customFormat="1">
      <c r="B39" s="131">
        <v>34</v>
      </c>
      <c r="C39" s="132" t="str">
        <f>+PERBULAN!B30</f>
        <v>JULI</v>
      </c>
      <c r="D39" s="359" t="s">
        <v>278</v>
      </c>
      <c r="E39" s="146" t="s">
        <v>448</v>
      </c>
      <c r="F39" s="361" t="s">
        <v>336</v>
      </c>
      <c r="G39" s="350" t="s">
        <v>188</v>
      </c>
      <c r="H39" s="362" t="s">
        <v>39</v>
      </c>
      <c r="I39" s="363" t="s">
        <v>11</v>
      </c>
      <c r="J39" s="147" t="str">
        <f t="shared" si="3"/>
        <v>TER B</v>
      </c>
      <c r="K39" s="393">
        <v>1</v>
      </c>
      <c r="L39" s="393">
        <v>12</v>
      </c>
      <c r="M39" s="138">
        <f t="shared" si="14"/>
        <v>4005820</v>
      </c>
      <c r="N39" s="394">
        <v>3320969</v>
      </c>
      <c r="O39" s="394">
        <v>192104.44</v>
      </c>
      <c r="P39" s="138">
        <v>0</v>
      </c>
      <c r="Q39" s="138">
        <f t="shared" si="28"/>
        <v>7518893.4400000004</v>
      </c>
      <c r="R39" s="138">
        <f>+SETAHUN!H31</f>
        <v>4135600</v>
      </c>
      <c r="S39" s="138">
        <f>+SETAHUN!K31</f>
        <v>900000</v>
      </c>
      <c r="T39" s="138">
        <v>0</v>
      </c>
      <c r="U39" s="138">
        <f>+SETAHUN!F31+M39+N39</f>
        <v>88243416.160000011</v>
      </c>
      <c r="V39" s="138">
        <v>0</v>
      </c>
      <c r="W39" s="138">
        <f>+SETAHUN!U31+O39</f>
        <v>2299331.2799999998</v>
      </c>
      <c r="X39" s="138">
        <v>0</v>
      </c>
      <c r="Y39" s="138">
        <v>0</v>
      </c>
      <c r="Z39" s="138">
        <f t="shared" si="4"/>
        <v>5035600</v>
      </c>
      <c r="AA39" s="138">
        <f t="shared" si="5"/>
        <v>95578347.440000013</v>
      </c>
      <c r="AB39" s="138">
        <f t="shared" si="1"/>
        <v>4778917</v>
      </c>
      <c r="AC39" s="138">
        <f>('ASTEK+PENSIUN-DIISI SMPAI DES'!O119+'ASTEK+PENSIUN-DIISI SMPAI DES'!O33)</f>
        <v>1412226</v>
      </c>
      <c r="AD39" s="138">
        <f t="shared" si="9"/>
        <v>89387204.440000013</v>
      </c>
      <c r="AE39" s="139">
        <f t="shared" si="2"/>
        <v>67500000</v>
      </c>
      <c r="AF39" s="139">
        <f t="shared" si="10"/>
        <v>21887000</v>
      </c>
      <c r="AG39" s="140">
        <f t="shared" si="11"/>
        <v>1094350</v>
      </c>
      <c r="AH39" s="140">
        <f t="shared" si="13"/>
        <v>1094350</v>
      </c>
      <c r="AI39" s="67">
        <f>+'PAJAK JAN-NOV'!R27</f>
        <v>1059558</v>
      </c>
      <c r="AJ39" s="142">
        <f t="shared" si="6"/>
        <v>34792</v>
      </c>
      <c r="AK39" s="32" t="str">
        <f>+'PAJAK JAN-NOV'!B27</f>
        <v>JULI</v>
      </c>
      <c r="AL39" s="33">
        <f t="shared" si="7"/>
        <v>-34792</v>
      </c>
      <c r="AM39" s="32"/>
      <c r="AN39" s="33"/>
      <c r="AO39" s="32"/>
      <c r="AP39" s="32"/>
    </row>
    <row r="40" spans="2:42" s="136" customFormat="1">
      <c r="B40" s="131">
        <v>35</v>
      </c>
      <c r="C40" s="132" t="str">
        <f>+PERBULAN!B31</f>
        <v>DICKY PRATAMA</v>
      </c>
      <c r="D40" s="55" t="s">
        <v>280</v>
      </c>
      <c r="E40" s="56" t="s">
        <v>69</v>
      </c>
      <c r="F40" s="364" t="s">
        <v>338</v>
      </c>
      <c r="G40" s="350" t="s">
        <v>363</v>
      </c>
      <c r="H40" s="362" t="s">
        <v>39</v>
      </c>
      <c r="I40" s="365" t="s">
        <v>17</v>
      </c>
      <c r="J40" s="395" t="str">
        <f t="shared" si="3"/>
        <v>TER A</v>
      </c>
      <c r="K40" s="393">
        <v>1</v>
      </c>
      <c r="L40" s="393">
        <v>12</v>
      </c>
      <c r="M40" s="138">
        <f t="shared" si="14"/>
        <v>4005820</v>
      </c>
      <c r="N40" s="396">
        <v>986085</v>
      </c>
      <c r="O40" s="396">
        <v>187869.44</v>
      </c>
      <c r="P40" s="138">
        <v>0</v>
      </c>
      <c r="Q40" s="138">
        <f t="shared" si="8"/>
        <v>5179774.4400000004</v>
      </c>
      <c r="R40" s="138">
        <f>+SETAHUN!H32</f>
        <v>3990100</v>
      </c>
      <c r="S40" s="138">
        <f>+SETAHUN!K32</f>
        <v>200000</v>
      </c>
      <c r="T40" s="138">
        <v>0</v>
      </c>
      <c r="U40" s="138">
        <f>+SETAHUN!F32+M40+N40</f>
        <v>68136916.160000011</v>
      </c>
      <c r="V40" s="138">
        <v>0</v>
      </c>
      <c r="W40" s="138">
        <f>+SETAHUN!U32+O40</f>
        <v>2253881.2799999998</v>
      </c>
      <c r="X40" s="138">
        <v>0</v>
      </c>
      <c r="Y40" s="138">
        <v>0</v>
      </c>
      <c r="Z40" s="138">
        <f t="shared" si="4"/>
        <v>4190100</v>
      </c>
      <c r="AA40" s="138">
        <f t="shared" si="5"/>
        <v>74580897.440000013</v>
      </c>
      <c r="AB40" s="138">
        <f t="shared" si="1"/>
        <v>3729045</v>
      </c>
      <c r="AC40" s="138">
        <f>('ASTEK+PENSIUN-DIISI SMPAI DES'!O120+'ASTEK+PENSIUN-DIISI SMPAI DES'!O34)</f>
        <v>1396476</v>
      </c>
      <c r="AD40" s="138">
        <f t="shared" si="9"/>
        <v>69455376.440000013</v>
      </c>
      <c r="AE40" s="139">
        <f t="shared" si="2"/>
        <v>58500000</v>
      </c>
      <c r="AF40" s="139">
        <f t="shared" si="10"/>
        <v>10955000</v>
      </c>
      <c r="AG40" s="397">
        <f t="shared" si="11"/>
        <v>547750</v>
      </c>
      <c r="AH40" s="140">
        <f t="shared" si="13"/>
        <v>547750</v>
      </c>
      <c r="AI40" s="67">
        <f>+'PAJAK JAN-NOV'!R28</f>
        <v>540900</v>
      </c>
      <c r="AJ40" s="142">
        <f t="shared" si="6"/>
        <v>6850</v>
      </c>
      <c r="AK40" s="32" t="str">
        <f>+'PAJAK JAN-NOV'!B28</f>
        <v>DICKY PRATAMA</v>
      </c>
      <c r="AL40" s="33">
        <f t="shared" si="7"/>
        <v>-6850</v>
      </c>
      <c r="AM40" s="32"/>
      <c r="AN40" s="33"/>
      <c r="AO40" s="32"/>
      <c r="AP40" s="32"/>
    </row>
    <row r="41" spans="2:42" s="136" customFormat="1">
      <c r="B41" s="131">
        <v>36</v>
      </c>
      <c r="C41" s="132" t="str">
        <f>+PERBULAN!B24</f>
        <v>RIDHO AFRIZAL</v>
      </c>
      <c r="D41" s="133" t="s">
        <v>272</v>
      </c>
      <c r="E41" s="146" t="s">
        <v>69</v>
      </c>
      <c r="F41" s="143" t="s">
        <v>331</v>
      </c>
      <c r="G41" s="350" t="s">
        <v>530</v>
      </c>
      <c r="H41" s="134" t="s">
        <v>39</v>
      </c>
      <c r="I41" s="135" t="s">
        <v>9</v>
      </c>
      <c r="J41" s="147" t="str">
        <f>IF(ISBLANK(I41),"",IF(OR(I41="TK/0",I41="TK/1",I41="K/0"),"TER A",IF(I41="K/3","TER C","TER B")))</f>
        <v>TER B</v>
      </c>
      <c r="K41" s="393">
        <v>1</v>
      </c>
      <c r="L41" s="393">
        <v>12</v>
      </c>
      <c r="M41" s="138">
        <f t="shared" si="14"/>
        <v>4005820</v>
      </c>
      <c r="N41" s="138">
        <v>1810227</v>
      </c>
      <c r="O41" s="138">
        <v>189224.64</v>
      </c>
      <c r="P41" s="138">
        <v>0</v>
      </c>
      <c r="Q41" s="138">
        <f>SUM(M41:P41)</f>
        <v>6005271.6399999997</v>
      </c>
      <c r="R41" s="138">
        <f>+SETAHUN!H25</f>
        <v>4046100</v>
      </c>
      <c r="S41" s="138">
        <f>+SETAHUN!K25</f>
        <v>600000</v>
      </c>
      <c r="T41" s="138">
        <v>0</v>
      </c>
      <c r="U41" s="138">
        <f>+SETAHUN!F25+M41+N41</f>
        <v>67473968.560000002</v>
      </c>
      <c r="V41" s="138">
        <v>0</v>
      </c>
      <c r="W41" s="138">
        <f>+SETAHUN!U25+O41</f>
        <v>2268022.08</v>
      </c>
      <c r="X41" s="138">
        <v>0</v>
      </c>
      <c r="Y41" s="138">
        <v>0</v>
      </c>
      <c r="Z41" s="138">
        <f>SUM(R41:T41)</f>
        <v>4646100</v>
      </c>
      <c r="AA41" s="138">
        <f>SUM(U41:Z41)</f>
        <v>74388090.640000001</v>
      </c>
      <c r="AB41" s="138">
        <f>ROUND(IF((AA41)*5%&gt;6000000,6000000,(AA41)*5%),0)</f>
        <v>3719405</v>
      </c>
      <c r="AC41" s="138">
        <f>('ASTEK+PENSIUN-DIISI SMPAI DES'!O113+'ASTEK+PENSIUN-DIISI SMPAI DES'!O27)</f>
        <v>1401336</v>
      </c>
      <c r="AD41" s="138">
        <f>AA41-AB41-AC41</f>
        <v>69267349.640000001</v>
      </c>
      <c r="AE41" s="139">
        <f>IFERROR(VLOOKUP(I41,TARIF,3,FALSE),0)</f>
        <v>63000000</v>
      </c>
      <c r="AF41" s="139">
        <f>ROUNDDOWN(IF(AD41&lt;=AE41,0,IF(AD41&gt;AE41,AD41-AE41)),-3)</f>
        <v>6267000</v>
      </c>
      <c r="AG41" s="140">
        <f>IF(AF41&gt;5000000000,AF41*35%-306000000,IF(AF41&gt;500000000,AF41*30%-56000000,IF(AF41&gt;250000000,AF41*25%-31000000,IF(AF41&gt;60000000,AF41*15%-6000000,AF41*5%))))</f>
        <v>313350</v>
      </c>
      <c r="AH41" s="140">
        <f>ROUND(IF(E41=0,AG41*120%,AG41),0)</f>
        <v>313350</v>
      </c>
      <c r="AI41" s="67">
        <f>+'PAJAK JAN-NOV'!R21</f>
        <v>288231</v>
      </c>
      <c r="AJ41" s="142">
        <f>IF(AG41&lt;=AI41,0,IF(AG41&gt;AI41,AG41-AI41))</f>
        <v>25119</v>
      </c>
      <c r="AK41" s="32" t="str">
        <f>+'PAJAK JAN-NOV'!B21</f>
        <v>RIDHO AFRIZAL</v>
      </c>
      <c r="AL41" s="33">
        <f>AI41-AH41</f>
        <v>-25119</v>
      </c>
      <c r="AM41" s="32"/>
      <c r="AN41" s="33"/>
      <c r="AO41" s="32"/>
      <c r="AP41" s="32"/>
    </row>
    <row r="42" spans="2:42" s="136" customFormat="1">
      <c r="B42" s="131">
        <v>37</v>
      </c>
      <c r="C42" s="132" t="str">
        <f>+PERBULAN!B32</f>
        <v>SUIP</v>
      </c>
      <c r="D42" s="55" t="s">
        <v>281</v>
      </c>
      <c r="E42" s="56" t="s">
        <v>69</v>
      </c>
      <c r="F42" s="364" t="s">
        <v>339</v>
      </c>
      <c r="G42" s="350" t="s">
        <v>526</v>
      </c>
      <c r="H42" s="362" t="s">
        <v>39</v>
      </c>
      <c r="I42" s="365" t="s">
        <v>9</v>
      </c>
      <c r="J42" s="395" t="str">
        <f t="shared" si="3"/>
        <v>TER B</v>
      </c>
      <c r="K42" s="393">
        <v>1</v>
      </c>
      <c r="L42" s="393">
        <v>12</v>
      </c>
      <c r="M42" s="138">
        <f>30*129220</f>
        <v>3876600</v>
      </c>
      <c r="N42" s="396">
        <v>609048.17543859652</v>
      </c>
      <c r="O42" s="396">
        <v>188789.04</v>
      </c>
      <c r="P42" s="138">
        <v>0</v>
      </c>
      <c r="Q42" s="138">
        <f t="shared" si="8"/>
        <v>4674437.2154385969</v>
      </c>
      <c r="R42" s="138">
        <f>+SETAHUN!H33</f>
        <v>4037100</v>
      </c>
      <c r="S42" s="138">
        <f>+SETAHUN!K33</f>
        <v>900000</v>
      </c>
      <c r="T42" s="138">
        <v>0</v>
      </c>
      <c r="U42" s="138">
        <f>+SETAHUN!F33+M42+N42</f>
        <v>57389357.135438584</v>
      </c>
      <c r="V42" s="138">
        <v>0</v>
      </c>
      <c r="W42" s="138">
        <f>+SETAHUN!U33+O42</f>
        <v>2262958.0800000001</v>
      </c>
      <c r="X42" s="138">
        <v>0</v>
      </c>
      <c r="Y42" s="138">
        <v>0</v>
      </c>
      <c r="Z42" s="138">
        <f t="shared" si="4"/>
        <v>4937100</v>
      </c>
      <c r="AA42" s="138">
        <f t="shared" si="5"/>
        <v>64589415.215438582</v>
      </c>
      <c r="AB42" s="138">
        <f t="shared" si="1"/>
        <v>3229471</v>
      </c>
      <c r="AC42" s="138">
        <f>('ASTEK+PENSIUN-DIISI SMPAI DES'!O121+'ASTEK+PENSIUN-DIISI SMPAI DES'!O35)</f>
        <v>1399536</v>
      </c>
      <c r="AD42" s="138">
        <f t="shared" si="9"/>
        <v>59960408.215438582</v>
      </c>
      <c r="AE42" s="139">
        <f t="shared" si="2"/>
        <v>63000000</v>
      </c>
      <c r="AF42" s="139">
        <f t="shared" si="10"/>
        <v>0</v>
      </c>
      <c r="AG42" s="397">
        <f t="shared" si="11"/>
        <v>0</v>
      </c>
      <c r="AH42" s="140">
        <f t="shared" si="13"/>
        <v>0</v>
      </c>
      <c r="AI42" s="67">
        <f>+'PAJAK JAN-NOV'!R29</f>
        <v>142479</v>
      </c>
      <c r="AJ42" s="142">
        <f t="shared" si="6"/>
        <v>0</v>
      </c>
      <c r="AK42" s="32" t="str">
        <f>+'PAJAK JAN-NOV'!B29</f>
        <v>SUIP</v>
      </c>
      <c r="AL42" s="33">
        <f t="shared" si="7"/>
        <v>142479</v>
      </c>
      <c r="AM42" s="32"/>
      <c r="AN42" s="33"/>
      <c r="AO42" s="32"/>
      <c r="AP42" s="32"/>
    </row>
    <row r="43" spans="2:42" s="136" customFormat="1">
      <c r="B43" s="131">
        <v>38</v>
      </c>
      <c r="C43" s="132" t="str">
        <f>+PERBULAN!B33</f>
        <v>ROBIN DINATA</v>
      </c>
      <c r="D43" s="55" t="s">
        <v>282</v>
      </c>
      <c r="E43" s="56" t="s">
        <v>69</v>
      </c>
      <c r="F43" s="364" t="s">
        <v>340</v>
      </c>
      <c r="G43" s="350" t="s">
        <v>526</v>
      </c>
      <c r="H43" s="362" t="s">
        <v>39</v>
      </c>
      <c r="I43" s="365" t="s">
        <v>11</v>
      </c>
      <c r="J43" s="395" t="str">
        <f t="shared" si="3"/>
        <v>TER B</v>
      </c>
      <c r="K43" s="393">
        <v>1</v>
      </c>
      <c r="L43" s="393">
        <v>12</v>
      </c>
      <c r="M43" s="138">
        <f t="shared" si="14"/>
        <v>4005820</v>
      </c>
      <c r="N43" s="396">
        <v>568147.5555555555</v>
      </c>
      <c r="O43" s="396">
        <v>188789.04</v>
      </c>
      <c r="P43" s="138">
        <v>0</v>
      </c>
      <c r="Q43" s="138">
        <f t="shared" si="8"/>
        <v>4762756.595555556</v>
      </c>
      <c r="R43" s="138">
        <f>+SETAHUN!H34</f>
        <v>4064100</v>
      </c>
      <c r="S43" s="138">
        <f>+SETAHUN!K34</f>
        <v>900000</v>
      </c>
      <c r="T43" s="138">
        <v>0</v>
      </c>
      <c r="U43" s="138">
        <f>+SETAHUN!F34+M43+N43</f>
        <v>60296918.515555538</v>
      </c>
      <c r="V43" s="138">
        <v>0</v>
      </c>
      <c r="W43" s="138">
        <f>+SETAHUN!U34+O43</f>
        <v>2262958.0800000001</v>
      </c>
      <c r="X43" s="138">
        <v>0</v>
      </c>
      <c r="Y43" s="138">
        <v>0</v>
      </c>
      <c r="Z43" s="138">
        <f t="shared" si="4"/>
        <v>4964100</v>
      </c>
      <c r="AA43" s="138">
        <f t="shared" si="5"/>
        <v>67523976.595555544</v>
      </c>
      <c r="AB43" s="138">
        <f t="shared" si="1"/>
        <v>3376199</v>
      </c>
      <c r="AC43" s="138">
        <f>('ASTEK+PENSIUN-DIISI SMPAI DES'!O122+'ASTEK+PENSIUN-DIISI SMPAI DES'!O36)</f>
        <v>1399536</v>
      </c>
      <c r="AD43" s="138">
        <f t="shared" si="9"/>
        <v>62748241.595555544</v>
      </c>
      <c r="AE43" s="139">
        <f t="shared" si="2"/>
        <v>67500000</v>
      </c>
      <c r="AF43" s="139">
        <f t="shared" si="10"/>
        <v>0</v>
      </c>
      <c r="AG43" s="397">
        <f t="shared" si="11"/>
        <v>0</v>
      </c>
      <c r="AH43" s="140">
        <f t="shared" si="13"/>
        <v>0</v>
      </c>
      <c r="AI43" s="67">
        <f>+'PAJAK JAN-NOV'!R30</f>
        <v>178300</v>
      </c>
      <c r="AJ43" s="142">
        <f t="shared" si="6"/>
        <v>0</v>
      </c>
      <c r="AK43" s="32" t="str">
        <f>+'PAJAK JAN-NOV'!B30</f>
        <v>ROBIN DINATA</v>
      </c>
      <c r="AL43" s="33">
        <f t="shared" si="7"/>
        <v>178300</v>
      </c>
      <c r="AM43" s="32"/>
      <c r="AN43" s="33"/>
      <c r="AO43" s="32"/>
      <c r="AP43" s="32"/>
    </row>
    <row r="44" spans="2:42" s="136" customFormat="1">
      <c r="B44" s="131">
        <v>39</v>
      </c>
      <c r="C44" s="132" t="str">
        <f>+PERBULAN!B34</f>
        <v>SAPARUDIN</v>
      </c>
      <c r="D44" s="55" t="s">
        <v>284</v>
      </c>
      <c r="E44" s="56" t="s">
        <v>69</v>
      </c>
      <c r="F44" s="364" t="s">
        <v>341</v>
      </c>
      <c r="G44" s="350" t="s">
        <v>526</v>
      </c>
      <c r="H44" s="362" t="s">
        <v>39</v>
      </c>
      <c r="I44" s="365" t="s">
        <v>11</v>
      </c>
      <c r="J44" s="395" t="str">
        <f t="shared" si="3"/>
        <v>TER B</v>
      </c>
      <c r="K44" s="393">
        <v>1</v>
      </c>
      <c r="L44" s="393">
        <v>12</v>
      </c>
      <c r="M44" s="138">
        <f t="shared" si="14"/>
        <v>4005820</v>
      </c>
      <c r="N44" s="396">
        <v>991017.68421052629</v>
      </c>
      <c r="O44" s="396">
        <v>188643.84</v>
      </c>
      <c r="P44" s="138">
        <v>0</v>
      </c>
      <c r="Q44" s="138">
        <f t="shared" si="8"/>
        <v>5185481.5242105257</v>
      </c>
      <c r="R44" s="138">
        <f>+SETAHUN!H35</f>
        <v>4061100</v>
      </c>
      <c r="S44" s="138">
        <f>+SETAHUN!K35</f>
        <v>200000</v>
      </c>
      <c r="T44" s="138">
        <v>0</v>
      </c>
      <c r="U44" s="138">
        <f>+SETAHUN!F35+M44+N44</f>
        <v>61322459.844210505</v>
      </c>
      <c r="V44" s="138">
        <v>0</v>
      </c>
      <c r="W44" s="138">
        <f>+SETAHUN!U35+O44</f>
        <v>2262067.6799999997</v>
      </c>
      <c r="X44" s="138">
        <v>0</v>
      </c>
      <c r="Y44" s="138">
        <v>0</v>
      </c>
      <c r="Z44" s="138">
        <f t="shared" si="4"/>
        <v>4261100</v>
      </c>
      <c r="AA44" s="138">
        <f t="shared" si="5"/>
        <v>67845627.524210513</v>
      </c>
      <c r="AB44" s="138">
        <f t="shared" si="1"/>
        <v>3392281</v>
      </c>
      <c r="AC44" s="138">
        <f>('ASTEK+PENSIUN-DIISI SMPAI DES'!O123+'ASTEK+PENSIUN-DIISI SMPAI DES'!O37)</f>
        <v>1399356</v>
      </c>
      <c r="AD44" s="138">
        <f t="shared" si="9"/>
        <v>63053990.524210513</v>
      </c>
      <c r="AE44" s="139">
        <f t="shared" si="2"/>
        <v>67500000</v>
      </c>
      <c r="AF44" s="139">
        <f t="shared" si="10"/>
        <v>0</v>
      </c>
      <c r="AG44" s="397">
        <f t="shared" si="11"/>
        <v>0</v>
      </c>
      <c r="AH44" s="140">
        <f t="shared" si="13"/>
        <v>0</v>
      </c>
      <c r="AI44" s="67">
        <f>+'PAJAK JAN-NOV'!R31</f>
        <v>141756</v>
      </c>
      <c r="AJ44" s="142">
        <f t="shared" si="6"/>
        <v>0</v>
      </c>
      <c r="AK44" s="32" t="str">
        <f>+'PAJAK JAN-NOV'!B31</f>
        <v>SAPARUDIN</v>
      </c>
      <c r="AL44" s="33">
        <f t="shared" si="7"/>
        <v>141756</v>
      </c>
      <c r="AM44" s="32"/>
      <c r="AN44" s="33"/>
      <c r="AO44" s="32"/>
      <c r="AP44" s="32"/>
    </row>
    <row r="45" spans="2:42" s="136" customFormat="1">
      <c r="B45" s="131">
        <v>41</v>
      </c>
      <c r="C45" s="132" t="str">
        <f>+PERBULAN!B38</f>
        <v>SONJA PRIYOGA</v>
      </c>
      <c r="D45" s="137" t="s">
        <v>292</v>
      </c>
      <c r="E45" s="37" t="s">
        <v>69</v>
      </c>
      <c r="F45" s="366" t="s">
        <v>346</v>
      </c>
      <c r="G45" s="350" t="s">
        <v>526</v>
      </c>
      <c r="H45" s="362" t="s">
        <v>39</v>
      </c>
      <c r="I45" s="353" t="s">
        <v>9</v>
      </c>
      <c r="J45" s="147" t="str">
        <f t="shared" si="3"/>
        <v>TER B</v>
      </c>
      <c r="K45" s="393">
        <v>1</v>
      </c>
      <c r="L45" s="393">
        <v>12</v>
      </c>
      <c r="M45" s="138">
        <f t="shared" si="14"/>
        <v>4005820</v>
      </c>
      <c r="N45" s="139">
        <v>705180</v>
      </c>
      <c r="O45" s="139">
        <v>188111.44</v>
      </c>
      <c r="P45" s="138">
        <v>0</v>
      </c>
      <c r="Q45" s="138">
        <f t="shared" ref="Q45:Q63" si="29">SUM(M45:P45)</f>
        <v>4899111.4400000004</v>
      </c>
      <c r="R45" s="138">
        <f>+SETAHUN!H39</f>
        <v>4023600</v>
      </c>
      <c r="S45" s="138">
        <f>+SETAHUN!K39</f>
        <v>900000</v>
      </c>
      <c r="T45" s="138">
        <v>0</v>
      </c>
      <c r="U45" s="138">
        <f>+SETAHUN!F39+M45+N45</f>
        <v>63842756.160000011</v>
      </c>
      <c r="V45" s="138">
        <v>0</v>
      </c>
      <c r="W45" s="138">
        <f>+SETAHUN!U39+O45</f>
        <v>2256433.2799999998</v>
      </c>
      <c r="X45" s="138">
        <v>0</v>
      </c>
      <c r="Y45" s="138">
        <v>0</v>
      </c>
      <c r="Z45" s="138">
        <f t="shared" si="4"/>
        <v>4923600</v>
      </c>
      <c r="AA45" s="138">
        <f t="shared" si="5"/>
        <v>71022789.440000013</v>
      </c>
      <c r="AB45" s="138">
        <f t="shared" si="1"/>
        <v>3551139</v>
      </c>
      <c r="AC45" s="138">
        <f>('ASTEK+PENSIUN-DIISI SMPAI DES'!O127+'ASTEK+PENSIUN-DIISI SMPAI DES'!O41)</f>
        <v>1397376</v>
      </c>
      <c r="AD45" s="138">
        <f t="shared" si="9"/>
        <v>66074274.440000013</v>
      </c>
      <c r="AE45" s="139">
        <f t="shared" si="2"/>
        <v>63000000</v>
      </c>
      <c r="AF45" s="139">
        <f>ROUNDDOWN(IF(AD45&lt;=AE45,0,IF(AD45&gt;AE45,AD45-AE45)),-3)</f>
        <v>3074000</v>
      </c>
      <c r="AG45" s="140">
        <f t="shared" si="11"/>
        <v>153700</v>
      </c>
      <c r="AH45" s="140">
        <f t="shared" si="13"/>
        <v>153700</v>
      </c>
      <c r="AI45" s="67">
        <f>+'PAJAK JAN-NOV'!R35</f>
        <v>250470</v>
      </c>
      <c r="AJ45" s="142">
        <f t="shared" si="6"/>
        <v>0</v>
      </c>
      <c r="AK45" s="32" t="str">
        <f>+'PAJAK JAN-NOV'!B35</f>
        <v>SONJA PRIYOGA</v>
      </c>
      <c r="AL45" s="33">
        <f t="shared" si="7"/>
        <v>96770</v>
      </c>
      <c r="AM45" s="32"/>
      <c r="AN45" s="33"/>
      <c r="AO45" s="32"/>
      <c r="AP45" s="32"/>
    </row>
    <row r="46" spans="2:42" s="136" customFormat="1">
      <c r="B46" s="131">
        <v>42</v>
      </c>
      <c r="C46" s="132" t="str">
        <f>+PERBULAN!B41</f>
        <v>AHAP</v>
      </c>
      <c r="D46" s="137" t="s">
        <v>296</v>
      </c>
      <c r="E46" s="37" t="s">
        <v>69</v>
      </c>
      <c r="F46" s="366" t="s">
        <v>350</v>
      </c>
      <c r="G46" s="350" t="s">
        <v>526</v>
      </c>
      <c r="H46" s="362" t="s">
        <v>39</v>
      </c>
      <c r="I46" s="353" t="s">
        <v>9</v>
      </c>
      <c r="J46" s="147" t="str">
        <f t="shared" si="3"/>
        <v>TER B</v>
      </c>
      <c r="K46" s="393">
        <v>1</v>
      </c>
      <c r="L46" s="393">
        <v>12</v>
      </c>
      <c r="M46" s="138">
        <f t="shared" ref="M46:M47" si="30">31*129220</f>
        <v>4005820</v>
      </c>
      <c r="N46" s="139">
        <v>909465</v>
      </c>
      <c r="O46" s="139">
        <v>187869.44</v>
      </c>
      <c r="P46" s="138">
        <v>0</v>
      </c>
      <c r="Q46" s="138">
        <f t="shared" si="29"/>
        <v>5103154.4400000004</v>
      </c>
      <c r="R46" s="138">
        <f>+SETAHUN!H42</f>
        <v>4021100</v>
      </c>
      <c r="S46" s="138">
        <f>+SETAHUN!K42</f>
        <v>900000</v>
      </c>
      <c r="T46" s="138">
        <v>0</v>
      </c>
      <c r="U46" s="138">
        <f>+SETAHUN!F42+M46+N46</f>
        <v>64605297.160000011</v>
      </c>
      <c r="V46" s="138">
        <v>0</v>
      </c>
      <c r="W46" s="138">
        <f>+SETAHUN!U42+O46</f>
        <v>2254181.2799999998</v>
      </c>
      <c r="X46" s="138">
        <v>0</v>
      </c>
      <c r="Y46" s="138">
        <v>0</v>
      </c>
      <c r="Z46" s="138">
        <f t="shared" si="4"/>
        <v>4921100</v>
      </c>
      <c r="AA46" s="138">
        <f t="shared" si="5"/>
        <v>71780578.440000013</v>
      </c>
      <c r="AB46" s="138">
        <f t="shared" si="1"/>
        <v>3589029</v>
      </c>
      <c r="AC46" s="138">
        <f>('ASTEK+PENSIUN-DIISI SMPAI DES'!O130+'ASTEK+PENSIUN-DIISI SMPAI DES'!O44)</f>
        <v>1396476</v>
      </c>
      <c r="AD46" s="138">
        <f t="shared" si="9"/>
        <v>66795073.440000013</v>
      </c>
      <c r="AE46" s="139">
        <f t="shared" si="2"/>
        <v>63000000</v>
      </c>
      <c r="AF46" s="139">
        <f t="shared" si="10"/>
        <v>3795000</v>
      </c>
      <c r="AG46" s="140">
        <f t="shared" si="11"/>
        <v>189750</v>
      </c>
      <c r="AH46" s="140">
        <f t="shared" si="13"/>
        <v>189750</v>
      </c>
      <c r="AI46" s="67">
        <f>+'PAJAK JAN-NOV'!R38</f>
        <v>222068</v>
      </c>
      <c r="AJ46" s="142">
        <f t="shared" si="6"/>
        <v>0</v>
      </c>
      <c r="AK46" s="32" t="str">
        <f>+'PAJAK JAN-NOV'!B38</f>
        <v>AHAP</v>
      </c>
      <c r="AL46" s="33">
        <f t="shared" si="7"/>
        <v>32318</v>
      </c>
      <c r="AM46" s="32"/>
      <c r="AN46" s="33"/>
      <c r="AO46" s="32"/>
      <c r="AP46" s="32"/>
    </row>
    <row r="47" spans="2:42" s="136" customFormat="1">
      <c r="B47" s="131">
        <v>43</v>
      </c>
      <c r="C47" s="132" t="str">
        <f>+PERBULAN!B42</f>
        <v>IHSAN</v>
      </c>
      <c r="D47" s="451" t="s">
        <v>303</v>
      </c>
      <c r="E47" s="37" t="s">
        <v>69</v>
      </c>
      <c r="F47" s="366" t="s">
        <v>354</v>
      </c>
      <c r="G47" s="350" t="s">
        <v>526</v>
      </c>
      <c r="H47" s="362" t="s">
        <v>39</v>
      </c>
      <c r="I47" s="353" t="s">
        <v>7</v>
      </c>
      <c r="J47" s="147" t="str">
        <f t="shared" si="3"/>
        <v>TER A</v>
      </c>
      <c r="K47" s="393">
        <v>1</v>
      </c>
      <c r="L47" s="393">
        <v>12</v>
      </c>
      <c r="M47" s="138">
        <f t="shared" si="30"/>
        <v>4005820</v>
      </c>
      <c r="N47" s="139">
        <v>384365.44444444444</v>
      </c>
      <c r="O47" s="139">
        <v>187748.44</v>
      </c>
      <c r="P47" s="138">
        <v>0</v>
      </c>
      <c r="Q47" s="138">
        <f t="shared" si="29"/>
        <v>4577933.8844444444</v>
      </c>
      <c r="R47" s="138">
        <f>+SETAHUN!H43</f>
        <v>3946600</v>
      </c>
      <c r="S47" s="138">
        <f>+SETAHUN!K43</f>
        <v>0</v>
      </c>
      <c r="T47" s="138">
        <v>0</v>
      </c>
      <c r="U47" s="138">
        <f>+SETAHUN!F43+M47+N47</f>
        <v>59628647.604444452</v>
      </c>
      <c r="V47" s="138">
        <v>0</v>
      </c>
      <c r="W47" s="138">
        <f>+SETAHUN!U43+O47</f>
        <v>2252855.2799999998</v>
      </c>
      <c r="X47" s="138">
        <v>0</v>
      </c>
      <c r="Y47" s="138">
        <v>0</v>
      </c>
      <c r="Z47" s="138">
        <f t="shared" si="4"/>
        <v>3946600</v>
      </c>
      <c r="AA47" s="138">
        <f t="shared" si="5"/>
        <v>65828102.884444453</v>
      </c>
      <c r="AB47" s="138">
        <f t="shared" si="1"/>
        <v>3291405</v>
      </c>
      <c r="AC47" s="138">
        <f>('ASTEK+PENSIUN-DIISI SMPAI DES'!O131+'ASTEK+PENSIUN-DIISI SMPAI DES'!O45)</f>
        <v>1396026</v>
      </c>
      <c r="AD47" s="138">
        <f t="shared" si="9"/>
        <v>61140671.884444453</v>
      </c>
      <c r="AE47" s="139">
        <f t="shared" si="2"/>
        <v>54000000</v>
      </c>
      <c r="AF47" s="139">
        <f t="shared" si="10"/>
        <v>7140000</v>
      </c>
      <c r="AG47" s="140">
        <f t="shared" si="11"/>
        <v>357000</v>
      </c>
      <c r="AH47" s="140">
        <f t="shared" si="13"/>
        <v>357000</v>
      </c>
      <c r="AI47" s="67">
        <f>+'PAJAK JAN-NOV'!R39</f>
        <v>339162</v>
      </c>
      <c r="AJ47" s="142">
        <f t="shared" si="6"/>
        <v>17838</v>
      </c>
      <c r="AK47" s="32" t="str">
        <f>+'PAJAK JAN-NOV'!B39</f>
        <v>IHSAN</v>
      </c>
      <c r="AL47" s="33">
        <f t="shared" si="7"/>
        <v>-17838</v>
      </c>
      <c r="AM47" s="32"/>
      <c r="AN47" s="33"/>
      <c r="AO47" s="32"/>
      <c r="AP47" s="32"/>
    </row>
    <row r="48" spans="2:42" s="136" customFormat="1">
      <c r="B48" s="131">
        <v>44</v>
      </c>
      <c r="C48" s="132" t="str">
        <f>+PERBULAN!B46</f>
        <v>QISTAHAM</v>
      </c>
      <c r="D48" s="451" t="s">
        <v>310</v>
      </c>
      <c r="E48" s="37" t="s">
        <v>69</v>
      </c>
      <c r="F48" s="366" t="s">
        <v>354</v>
      </c>
      <c r="G48" s="350" t="s">
        <v>526</v>
      </c>
      <c r="H48" s="362" t="s">
        <v>39</v>
      </c>
      <c r="I48" s="353" t="s">
        <v>12</v>
      </c>
      <c r="J48" s="147" t="str">
        <f t="shared" si="3"/>
        <v>TER C</v>
      </c>
      <c r="K48" s="393">
        <v>1</v>
      </c>
      <c r="L48" s="393">
        <v>12</v>
      </c>
      <c r="M48" s="138">
        <f t="shared" ref="M48:M52" si="31">31*129220</f>
        <v>4005820</v>
      </c>
      <c r="N48" s="139">
        <v>1154852</v>
      </c>
      <c r="O48" s="139">
        <v>187748.44</v>
      </c>
      <c r="P48" s="138">
        <v>0</v>
      </c>
      <c r="Q48" s="138">
        <f t="shared" si="29"/>
        <v>5348420.4400000004</v>
      </c>
      <c r="R48" s="138">
        <f>+SETAHUN!H47</f>
        <v>4045600</v>
      </c>
      <c r="S48" s="138">
        <f>+SETAHUN!K47</f>
        <v>750000</v>
      </c>
      <c r="T48" s="138">
        <v>0</v>
      </c>
      <c r="U48" s="138">
        <f>+SETAHUN!F47+M48+N48</f>
        <v>94226863.160000011</v>
      </c>
      <c r="V48" s="138">
        <v>0</v>
      </c>
      <c r="W48" s="138">
        <f>+SETAHUN!U47+O48</f>
        <v>2252755.2799999998</v>
      </c>
      <c r="X48" s="138">
        <v>0</v>
      </c>
      <c r="Y48" s="138">
        <v>0</v>
      </c>
      <c r="Z48" s="138">
        <f t="shared" si="4"/>
        <v>4795600</v>
      </c>
      <c r="AA48" s="138">
        <f t="shared" si="5"/>
        <v>101275218.44000001</v>
      </c>
      <c r="AB48" s="138">
        <f t="shared" si="1"/>
        <v>5063761</v>
      </c>
      <c r="AC48" s="138">
        <f>('ASTEK+PENSIUN-DIISI SMPAI DES'!O135+'ASTEK+PENSIUN-DIISI SMPAI DES'!O49)</f>
        <v>1396026</v>
      </c>
      <c r="AD48" s="138">
        <f t="shared" si="9"/>
        <v>94815431.440000013</v>
      </c>
      <c r="AE48" s="139">
        <f t="shared" si="2"/>
        <v>72000000</v>
      </c>
      <c r="AF48" s="139">
        <f t="shared" si="10"/>
        <v>22815000</v>
      </c>
      <c r="AG48" s="140">
        <f t="shared" si="11"/>
        <v>1140750</v>
      </c>
      <c r="AH48" s="140">
        <f t="shared" si="13"/>
        <v>1140750</v>
      </c>
      <c r="AI48" s="67">
        <f>+'PAJAK JAN-NOV'!R43</f>
        <v>1500621</v>
      </c>
      <c r="AJ48" s="142">
        <f t="shared" si="6"/>
        <v>0</v>
      </c>
      <c r="AK48" s="32" t="str">
        <f>+'PAJAK JAN-NOV'!B43</f>
        <v>QISTAHAM</v>
      </c>
      <c r="AL48" s="33">
        <f t="shared" si="7"/>
        <v>359871</v>
      </c>
      <c r="AM48" s="32"/>
      <c r="AN48" s="33"/>
      <c r="AO48" s="32"/>
      <c r="AP48" s="32"/>
    </row>
    <row r="49" spans="2:54" s="136" customFormat="1">
      <c r="B49" s="131">
        <v>45</v>
      </c>
      <c r="C49" s="132" t="str">
        <f>+PERBULAN!B47</f>
        <v>JAYADI</v>
      </c>
      <c r="D49" s="137" t="s">
        <v>527</v>
      </c>
      <c r="E49" s="37" t="s">
        <v>69</v>
      </c>
      <c r="F49" s="366" t="s">
        <v>354</v>
      </c>
      <c r="G49" s="350" t="s">
        <v>526</v>
      </c>
      <c r="H49" s="362" t="s">
        <v>39</v>
      </c>
      <c r="I49" s="353" t="s">
        <v>11</v>
      </c>
      <c r="J49" s="147" t="str">
        <f t="shared" si="3"/>
        <v>TER B</v>
      </c>
      <c r="K49" s="393">
        <v>1</v>
      </c>
      <c r="L49" s="393">
        <v>12</v>
      </c>
      <c r="M49" s="138">
        <f t="shared" si="31"/>
        <v>4005820</v>
      </c>
      <c r="N49" s="139">
        <v>1444290</v>
      </c>
      <c r="O49" s="139">
        <v>187748.44</v>
      </c>
      <c r="P49" s="138">
        <v>0</v>
      </c>
      <c r="Q49" s="138">
        <f t="shared" si="29"/>
        <v>5637858.4400000004</v>
      </c>
      <c r="R49" s="138">
        <f>+SETAHUN!H48</f>
        <v>4045600</v>
      </c>
      <c r="S49" s="138">
        <f>+SETAHUN!K48</f>
        <v>450000</v>
      </c>
      <c r="T49" s="138">
        <v>0</v>
      </c>
      <c r="U49" s="138">
        <f>+SETAHUN!F48+M49+N49</f>
        <v>66687898.160000011</v>
      </c>
      <c r="V49" s="138">
        <v>0</v>
      </c>
      <c r="W49" s="138">
        <f>+SETAHUN!U48+O49</f>
        <v>2252655.2799999998</v>
      </c>
      <c r="X49" s="138">
        <v>0</v>
      </c>
      <c r="Y49" s="138">
        <v>0</v>
      </c>
      <c r="Z49" s="138">
        <f t="shared" si="4"/>
        <v>4495600</v>
      </c>
      <c r="AA49" s="138">
        <f t="shared" si="5"/>
        <v>73436153.440000013</v>
      </c>
      <c r="AB49" s="138">
        <f t="shared" si="1"/>
        <v>3671808</v>
      </c>
      <c r="AC49" s="138">
        <f>('ASTEK+PENSIUN-DIISI SMPAI DES'!O136+'ASTEK+PENSIUN-DIISI SMPAI DES'!O50)</f>
        <v>1396026</v>
      </c>
      <c r="AD49" s="138">
        <f t="shared" si="9"/>
        <v>68368319.440000013</v>
      </c>
      <c r="AE49" s="139">
        <f t="shared" si="2"/>
        <v>67500000</v>
      </c>
      <c r="AF49" s="139">
        <f t="shared" si="10"/>
        <v>868000</v>
      </c>
      <c r="AG49" s="140">
        <f t="shared" si="11"/>
        <v>43400</v>
      </c>
      <c r="AH49" s="140">
        <f t="shared" si="13"/>
        <v>43400</v>
      </c>
      <c r="AI49" s="67">
        <f>+'PAJAK JAN-NOV'!R44</f>
        <v>396326</v>
      </c>
      <c r="AJ49" s="142">
        <f t="shared" si="6"/>
        <v>0</v>
      </c>
      <c r="AK49" s="32" t="str">
        <f>+'PAJAK JAN-NOV'!B44</f>
        <v>JAYADI</v>
      </c>
      <c r="AL49" s="33">
        <f t="shared" si="7"/>
        <v>352926</v>
      </c>
      <c r="AM49" s="32"/>
      <c r="AN49" s="33"/>
      <c r="AO49" s="32"/>
      <c r="AP49" s="32"/>
    </row>
    <row r="50" spans="2:54" s="136" customFormat="1">
      <c r="B50" s="131">
        <v>46</v>
      </c>
      <c r="C50" s="132" t="str">
        <f>+PERBULAN!B48</f>
        <v>MUHAMAD AMIN</v>
      </c>
      <c r="D50" s="137" t="s">
        <v>313</v>
      </c>
      <c r="E50" s="37" t="s">
        <v>69</v>
      </c>
      <c r="F50" s="366" t="s">
        <v>360</v>
      </c>
      <c r="G50" s="350" t="s">
        <v>526</v>
      </c>
      <c r="H50" s="362" t="s">
        <v>39</v>
      </c>
      <c r="I50" s="353" t="s">
        <v>12</v>
      </c>
      <c r="J50" s="147" t="str">
        <f t="shared" si="3"/>
        <v>TER C</v>
      </c>
      <c r="K50" s="393">
        <v>1</v>
      </c>
      <c r="L50" s="393">
        <v>12</v>
      </c>
      <c r="M50" s="138">
        <f t="shared" si="31"/>
        <v>4005820</v>
      </c>
      <c r="N50" s="139">
        <v>740307</v>
      </c>
      <c r="O50" s="139">
        <v>187748.44</v>
      </c>
      <c r="P50" s="138">
        <v>0</v>
      </c>
      <c r="Q50" s="138">
        <f t="shared" si="29"/>
        <v>4933875.4400000004</v>
      </c>
      <c r="R50" s="138">
        <f>+SETAHUN!H49</f>
        <v>3369250</v>
      </c>
      <c r="S50" s="138">
        <f>+SETAHUN!K49</f>
        <v>525000</v>
      </c>
      <c r="T50" s="138">
        <v>0</v>
      </c>
      <c r="U50" s="138">
        <f>+SETAHUN!F49+M50+N50</f>
        <v>61739458.160000004</v>
      </c>
      <c r="V50" s="138">
        <v>0</v>
      </c>
      <c r="W50" s="138">
        <f>+SETAHUN!U49+O50</f>
        <v>2252455.2799999998</v>
      </c>
      <c r="X50" s="138">
        <v>0</v>
      </c>
      <c r="Y50" s="138">
        <v>0</v>
      </c>
      <c r="Z50" s="138">
        <f t="shared" si="4"/>
        <v>3894250</v>
      </c>
      <c r="AA50" s="138">
        <f t="shared" si="5"/>
        <v>67886163.439999998</v>
      </c>
      <c r="AB50" s="138">
        <f t="shared" si="1"/>
        <v>3394308</v>
      </c>
      <c r="AC50" s="138">
        <f>('ASTEK+PENSIUN-DIISI SMPAI DES'!O137+'ASTEK+PENSIUN-DIISI SMPAI DES'!O51)</f>
        <v>1396026</v>
      </c>
      <c r="AD50" s="138">
        <f t="shared" si="9"/>
        <v>63095829.439999998</v>
      </c>
      <c r="AE50" s="139">
        <f t="shared" si="2"/>
        <v>72000000</v>
      </c>
      <c r="AF50" s="139">
        <f t="shared" si="10"/>
        <v>0</v>
      </c>
      <c r="AG50" s="140">
        <f t="shared" si="11"/>
        <v>0</v>
      </c>
      <c r="AH50" s="140">
        <f t="shared" si="13"/>
        <v>0</v>
      </c>
      <c r="AI50" s="67">
        <f>+'PAJAK JAN-NOV'!R45</f>
        <v>120667</v>
      </c>
      <c r="AJ50" s="142">
        <f t="shared" si="6"/>
        <v>0</v>
      </c>
      <c r="AK50" s="32" t="str">
        <f>+'PAJAK JAN-NOV'!B45</f>
        <v>MUHAMAD AMIN</v>
      </c>
      <c r="AL50" s="33">
        <f t="shared" si="7"/>
        <v>120667</v>
      </c>
      <c r="AM50" s="32"/>
      <c r="AN50" s="33"/>
      <c r="AO50" s="32"/>
      <c r="AP50" s="32"/>
    </row>
    <row r="51" spans="2:54" s="136" customFormat="1">
      <c r="B51" s="131">
        <v>47</v>
      </c>
      <c r="C51" s="132" t="str">
        <f>+PERBULAN!B49</f>
        <v>SAMSUL HADI</v>
      </c>
      <c r="D51" s="137" t="s">
        <v>510</v>
      </c>
      <c r="E51" s="37" t="s">
        <v>69</v>
      </c>
      <c r="F51" s="366" t="s">
        <v>513</v>
      </c>
      <c r="G51" s="350" t="s">
        <v>526</v>
      </c>
      <c r="H51" s="362" t="s">
        <v>39</v>
      </c>
      <c r="I51" s="353" t="s">
        <v>11</v>
      </c>
      <c r="J51" s="147" t="str">
        <f t="shared" si="3"/>
        <v>TER B</v>
      </c>
      <c r="K51" s="393">
        <v>1</v>
      </c>
      <c r="L51" s="393">
        <v>12</v>
      </c>
      <c r="M51" s="138">
        <f t="shared" si="31"/>
        <v>4005820</v>
      </c>
      <c r="N51" s="139">
        <v>2188996</v>
      </c>
      <c r="O51" s="139">
        <v>187748.44</v>
      </c>
      <c r="P51" s="138">
        <v>0</v>
      </c>
      <c r="Q51" s="138">
        <f t="shared" si="29"/>
        <v>6382564.4400000004</v>
      </c>
      <c r="R51" s="138">
        <f>+SETAHUN!H50</f>
        <v>1347700</v>
      </c>
      <c r="S51" s="138">
        <f>+SETAHUN!K50</f>
        <v>150000</v>
      </c>
      <c r="T51" s="138">
        <v>0</v>
      </c>
      <c r="U51" s="138">
        <f>+SETAHUN!F50+M51+N51</f>
        <v>95786613.160000011</v>
      </c>
      <c r="V51" s="138">
        <v>0</v>
      </c>
      <c r="W51" s="138">
        <f>+SETAHUN!U50+O51</f>
        <v>2251771.2799999998</v>
      </c>
      <c r="X51" s="138">
        <v>0</v>
      </c>
      <c r="Y51" s="138">
        <v>0</v>
      </c>
      <c r="Z51" s="138">
        <f t="shared" si="4"/>
        <v>1497700</v>
      </c>
      <c r="AA51" s="138">
        <f t="shared" si="5"/>
        <v>99536084.440000013</v>
      </c>
      <c r="AB51" s="138">
        <f t="shared" si="1"/>
        <v>4976804</v>
      </c>
      <c r="AC51" s="138">
        <f>('ASTEK+PENSIUN-DIISI SMPAI DES'!O138+'ASTEK+PENSIUN-DIISI SMPAI DES'!O52)</f>
        <v>1395726</v>
      </c>
      <c r="AD51" s="138">
        <f t="shared" si="9"/>
        <v>93163554.440000013</v>
      </c>
      <c r="AE51" s="139">
        <f t="shared" si="2"/>
        <v>67500000</v>
      </c>
      <c r="AF51" s="139">
        <f t="shared" si="10"/>
        <v>25663000</v>
      </c>
      <c r="AG51" s="140">
        <f t="shared" si="11"/>
        <v>1283150</v>
      </c>
      <c r="AH51" s="140">
        <f t="shared" si="13"/>
        <v>1283150</v>
      </c>
      <c r="AI51" s="67">
        <f>+'PAJAK JAN-NOV'!R46</f>
        <v>1473975</v>
      </c>
      <c r="AJ51" s="142">
        <f t="shared" si="6"/>
        <v>0</v>
      </c>
      <c r="AK51" s="32" t="str">
        <f>+'PAJAK JAN-NOV'!B46</f>
        <v>SAMSUL HADI</v>
      </c>
      <c r="AL51" s="33">
        <f t="shared" si="7"/>
        <v>190825</v>
      </c>
      <c r="AM51" s="32"/>
      <c r="AN51" s="33"/>
      <c r="AO51" s="32"/>
      <c r="AP51" s="32"/>
    </row>
    <row r="52" spans="2:54" s="136" customFormat="1">
      <c r="B52" s="131">
        <v>48</v>
      </c>
      <c r="C52" s="132" t="str">
        <f>+PERBULAN!B50</f>
        <v>SAPARUDIN</v>
      </c>
      <c r="D52" s="137" t="s">
        <v>511</v>
      </c>
      <c r="E52" s="37" t="s">
        <v>69</v>
      </c>
      <c r="F52" s="366" t="s">
        <v>514</v>
      </c>
      <c r="G52" s="350" t="s">
        <v>526</v>
      </c>
      <c r="H52" s="362" t="s">
        <v>39</v>
      </c>
      <c r="I52" s="353" t="s">
        <v>12</v>
      </c>
      <c r="J52" s="147" t="str">
        <f t="shared" si="3"/>
        <v>TER C</v>
      </c>
      <c r="K52" s="393">
        <v>1</v>
      </c>
      <c r="L52" s="393">
        <v>12</v>
      </c>
      <c r="M52" s="138">
        <f t="shared" si="31"/>
        <v>4005820</v>
      </c>
      <c r="N52" s="139">
        <v>920872</v>
      </c>
      <c r="O52" s="139">
        <v>187748.44</v>
      </c>
      <c r="P52" s="138">
        <v>0</v>
      </c>
      <c r="Q52" s="138">
        <f t="shared" si="29"/>
        <v>5114440.4400000004</v>
      </c>
      <c r="R52" s="138">
        <f>+SETAHUN!H51</f>
        <v>1347700</v>
      </c>
      <c r="S52" s="138">
        <f>+SETAHUN!K51</f>
        <v>150000</v>
      </c>
      <c r="T52" s="138">
        <v>0</v>
      </c>
      <c r="U52" s="138">
        <f>+SETAHUN!F51+M52+N52</f>
        <v>63846028.160000004</v>
      </c>
      <c r="V52" s="138">
        <v>0</v>
      </c>
      <c r="W52" s="138">
        <f>+SETAHUN!U51+O52</f>
        <v>2251771.2799999998</v>
      </c>
      <c r="X52" s="138">
        <v>0</v>
      </c>
      <c r="Y52" s="138">
        <v>0</v>
      </c>
      <c r="Z52" s="138">
        <f t="shared" si="4"/>
        <v>1497700</v>
      </c>
      <c r="AA52" s="138">
        <f t="shared" si="5"/>
        <v>67595499.439999998</v>
      </c>
      <c r="AB52" s="138">
        <f t="shared" si="1"/>
        <v>3379775</v>
      </c>
      <c r="AC52" s="138">
        <f>('ASTEK+PENSIUN-DIISI SMPAI DES'!O139+'ASTEK+PENSIUN-DIISI SMPAI DES'!O53)</f>
        <v>1395726</v>
      </c>
      <c r="AD52" s="138">
        <f t="shared" si="9"/>
        <v>62819998.439999998</v>
      </c>
      <c r="AE52" s="139">
        <f t="shared" si="2"/>
        <v>72000000</v>
      </c>
      <c r="AF52" s="139">
        <f t="shared" si="10"/>
        <v>0</v>
      </c>
      <c r="AG52" s="140">
        <f t="shared" si="11"/>
        <v>0</v>
      </c>
      <c r="AH52" s="140">
        <f t="shared" si="13"/>
        <v>0</v>
      </c>
      <c r="AI52" s="67">
        <f>+'PAJAK JAN-NOV'!R47</f>
        <v>52843</v>
      </c>
      <c r="AJ52" s="142">
        <f t="shared" si="6"/>
        <v>0</v>
      </c>
      <c r="AK52" s="32" t="str">
        <f>+'PAJAK JAN-NOV'!B47</f>
        <v>SAPARUDIN</v>
      </c>
      <c r="AL52" s="33">
        <f t="shared" si="7"/>
        <v>52843</v>
      </c>
      <c r="AM52" s="32"/>
      <c r="AN52" s="33"/>
      <c r="AO52" s="32"/>
      <c r="AP52" s="32"/>
    </row>
    <row r="53" spans="2:54" s="136" customFormat="1">
      <c r="B53" s="131">
        <v>49</v>
      </c>
      <c r="C53" s="132" t="str">
        <f>+PERBULAN!B57</f>
        <v>FAHRUDIN</v>
      </c>
      <c r="D53" s="137" t="s">
        <v>540</v>
      </c>
      <c r="E53" s="37" t="s">
        <v>69</v>
      </c>
      <c r="F53" s="366" t="s">
        <v>541</v>
      </c>
      <c r="G53" s="350" t="s">
        <v>526</v>
      </c>
      <c r="H53" s="362" t="s">
        <v>39</v>
      </c>
      <c r="I53" s="353" t="s">
        <v>7</v>
      </c>
      <c r="J53" s="147" t="str">
        <f t="shared" si="3"/>
        <v>TER A</v>
      </c>
      <c r="K53" s="393">
        <v>3</v>
      </c>
      <c r="L53" s="393">
        <v>12</v>
      </c>
      <c r="M53" s="138">
        <f t="shared" si="27"/>
        <v>4005820</v>
      </c>
      <c r="N53" s="139">
        <v>1455820</v>
      </c>
      <c r="O53" s="139">
        <v>187627.44</v>
      </c>
      <c r="P53" s="138">
        <v>0</v>
      </c>
      <c r="Q53" s="138">
        <f t="shared" si="29"/>
        <v>5649267.4400000004</v>
      </c>
      <c r="R53" s="138">
        <f>+SETAHUN!H58</f>
        <v>0</v>
      </c>
      <c r="S53" s="138">
        <f>+SETAHUN!K58</f>
        <v>0</v>
      </c>
      <c r="T53" s="138">
        <v>0</v>
      </c>
      <c r="U53" s="138">
        <f>+SETAHUN!F58+M53+N53</f>
        <v>53314341.039999999</v>
      </c>
      <c r="V53" s="138">
        <v>0</v>
      </c>
      <c r="W53" s="138">
        <f>+SETAHUN!U58+O53</f>
        <v>1876274.4</v>
      </c>
      <c r="X53" s="138">
        <v>0</v>
      </c>
      <c r="Y53" s="138">
        <v>0</v>
      </c>
      <c r="Z53" s="138">
        <f t="shared" si="4"/>
        <v>0</v>
      </c>
      <c r="AA53" s="138">
        <f t="shared" si="5"/>
        <v>55190615.439999998</v>
      </c>
      <c r="AB53" s="138">
        <f t="shared" si="1"/>
        <v>2759531</v>
      </c>
      <c r="AC53" s="138">
        <f>('ASTEK+PENSIUN-DIISI SMPAI DES'!O146+'ASTEK+PENSIUN-DIISI SMPAI DES'!O60)</f>
        <v>1162980</v>
      </c>
      <c r="AD53" s="138">
        <f t="shared" si="9"/>
        <v>51268104.439999998</v>
      </c>
      <c r="AE53" s="139">
        <f t="shared" si="2"/>
        <v>54000000</v>
      </c>
      <c r="AF53" s="139">
        <f t="shared" si="10"/>
        <v>0</v>
      </c>
      <c r="AG53" s="140">
        <f t="shared" si="11"/>
        <v>0</v>
      </c>
      <c r="AH53" s="140">
        <f t="shared" si="13"/>
        <v>0</v>
      </c>
      <c r="AI53" s="67">
        <f>+'PAJAK JAN-NOV'!R54</f>
        <v>284296</v>
      </c>
      <c r="AJ53" s="142">
        <f t="shared" si="6"/>
        <v>0</v>
      </c>
      <c r="AK53" s="32" t="str">
        <f>+'PAJAK JAN-NOV'!B54</f>
        <v>FAHRUDIN</v>
      </c>
      <c r="AL53" s="33">
        <f t="shared" si="7"/>
        <v>284296</v>
      </c>
      <c r="AM53" s="32"/>
      <c r="AN53" s="33"/>
      <c r="AO53" s="32"/>
      <c r="AP53" s="32"/>
    </row>
    <row r="54" spans="2:54" s="136" customFormat="1">
      <c r="B54" s="131">
        <v>50</v>
      </c>
      <c r="C54" s="132" t="str">
        <f>+PERBULAN!B58</f>
        <v>HERIANTO ARBI</v>
      </c>
      <c r="D54" s="451" t="s">
        <v>544</v>
      </c>
      <c r="E54" s="37" t="s">
        <v>69</v>
      </c>
      <c r="F54" s="366" t="s">
        <v>545</v>
      </c>
      <c r="G54" s="350" t="s">
        <v>526</v>
      </c>
      <c r="H54" s="362" t="s">
        <v>39</v>
      </c>
      <c r="I54" s="353" t="s">
        <v>7</v>
      </c>
      <c r="J54" s="147" t="str">
        <f t="shared" si="3"/>
        <v>TER A</v>
      </c>
      <c r="K54" s="393">
        <v>5</v>
      </c>
      <c r="L54" s="393">
        <v>12</v>
      </c>
      <c r="M54" s="138">
        <f t="shared" si="27"/>
        <v>4005820</v>
      </c>
      <c r="N54" s="139">
        <v>858020</v>
      </c>
      <c r="O54" s="139">
        <v>187627.44</v>
      </c>
      <c r="P54" s="138">
        <v>0</v>
      </c>
      <c r="Q54" s="138">
        <f t="shared" si="29"/>
        <v>5051467.4400000004</v>
      </c>
      <c r="R54" s="138">
        <f>+SETAHUN!H59</f>
        <v>0</v>
      </c>
      <c r="S54" s="138">
        <f>+SETAHUN!K59</f>
        <v>0</v>
      </c>
      <c r="T54" s="138">
        <v>0</v>
      </c>
      <c r="U54" s="138">
        <f>+SETAHUN!F59+M54+N54</f>
        <v>39972718.919999994</v>
      </c>
      <c r="V54" s="138">
        <v>0</v>
      </c>
      <c r="W54" s="138">
        <f>+SETAHUN!U59+O54</f>
        <v>1501019.52</v>
      </c>
      <c r="X54" s="138">
        <v>0</v>
      </c>
      <c r="Y54" s="138">
        <v>0</v>
      </c>
      <c r="Z54" s="138">
        <f t="shared" si="4"/>
        <v>0</v>
      </c>
      <c r="AA54" s="138">
        <f t="shared" si="5"/>
        <v>41473738.439999998</v>
      </c>
      <c r="AB54" s="138">
        <f t="shared" si="1"/>
        <v>2073687</v>
      </c>
      <c r="AC54" s="138">
        <f>('ASTEK+PENSIUN-DIISI SMPAI DES'!O147+'ASTEK+PENSIUN-DIISI SMPAI DES'!O61)</f>
        <v>930384</v>
      </c>
      <c r="AD54" s="138">
        <f t="shared" si="9"/>
        <v>38469667.439999998</v>
      </c>
      <c r="AE54" s="139">
        <f t="shared" si="2"/>
        <v>54000000</v>
      </c>
      <c r="AF54" s="139">
        <f t="shared" si="10"/>
        <v>0</v>
      </c>
      <c r="AG54" s="140">
        <f t="shared" si="11"/>
        <v>0</v>
      </c>
      <c r="AH54" s="140">
        <f t="shared" si="13"/>
        <v>0</v>
      </c>
      <c r="AI54" s="67">
        <f>+'PAJAK JAN-NOV'!R55</f>
        <v>60502</v>
      </c>
      <c r="AJ54" s="142">
        <f t="shared" si="6"/>
        <v>0</v>
      </c>
      <c r="AK54" s="32" t="str">
        <f>+'PAJAK JAN-NOV'!B55</f>
        <v>HERIANTO ARBI</v>
      </c>
      <c r="AL54" s="33">
        <f t="shared" si="7"/>
        <v>60502</v>
      </c>
      <c r="AM54" s="32"/>
      <c r="AN54" s="33"/>
      <c r="AO54" s="32"/>
      <c r="AP54" s="32"/>
    </row>
    <row r="55" spans="2:54" s="136" customFormat="1">
      <c r="B55" s="131">
        <v>40</v>
      </c>
      <c r="C55" s="132" t="str">
        <f>+PERBULAN!B37</f>
        <v>RIDUAN</v>
      </c>
      <c r="D55" s="137" t="s">
        <v>290</v>
      </c>
      <c r="E55" s="37" t="s">
        <v>69</v>
      </c>
      <c r="F55" s="366" t="s">
        <v>191</v>
      </c>
      <c r="G55" s="350" t="s">
        <v>526</v>
      </c>
      <c r="H55" s="362" t="s">
        <v>39</v>
      </c>
      <c r="I55" s="353" t="s">
        <v>9</v>
      </c>
      <c r="J55" s="147" t="str">
        <f>IF(ISBLANK(I55),"",IF(OR(I55="TK/0",I55="TK/1",I55="K/0"),"TER A",IF(I55="K/3","TER C","TER B")))</f>
        <v>TER B</v>
      </c>
      <c r="K55" s="393">
        <v>1</v>
      </c>
      <c r="L55" s="393">
        <v>12</v>
      </c>
      <c r="M55" s="138">
        <f t="shared" si="14"/>
        <v>4005820</v>
      </c>
      <c r="N55" s="139">
        <v>579057.66666666663</v>
      </c>
      <c r="O55" s="139">
        <v>188232.44</v>
      </c>
      <c r="P55" s="138">
        <v>0</v>
      </c>
      <c r="Q55" s="138">
        <f>SUM(M55:P55)</f>
        <v>4773110.1066666674</v>
      </c>
      <c r="R55" s="138">
        <f>+SETAHUN!H38</f>
        <v>4026100</v>
      </c>
      <c r="S55" s="138">
        <f>+SETAHUN!K38</f>
        <v>900000</v>
      </c>
      <c r="T55" s="138">
        <v>0</v>
      </c>
      <c r="U55" s="138">
        <f>+SETAHUN!F38+M55+N55</f>
        <v>54547408.826666668</v>
      </c>
      <c r="V55" s="138">
        <v>0</v>
      </c>
      <c r="W55" s="138">
        <f>+SETAHUN!U38+O55</f>
        <v>2257438.2799999998</v>
      </c>
      <c r="X55" s="138">
        <v>0</v>
      </c>
      <c r="Y55" s="138">
        <v>0</v>
      </c>
      <c r="Z55" s="138">
        <f>SUM(R55:T55)</f>
        <v>4926100</v>
      </c>
      <c r="AA55" s="138">
        <f>SUM(U55:Z55)</f>
        <v>61730947.106666669</v>
      </c>
      <c r="AB55" s="138">
        <f>ROUND(IF((AA55)*5%&gt;6000000,6000000,(AA55)*5%),0)</f>
        <v>3086547</v>
      </c>
      <c r="AC55" s="138">
        <f>('ASTEK+PENSIUN-DIISI SMPAI DES'!O126+'ASTEK+PENSIUN-DIISI SMPAI DES'!O40)</f>
        <v>1397751</v>
      </c>
      <c r="AD55" s="138">
        <f>AA55-AB55-AC55</f>
        <v>57246649.106666669</v>
      </c>
      <c r="AE55" s="139">
        <f>IFERROR(VLOOKUP(I55,TARIF,3,FALSE),0)</f>
        <v>63000000</v>
      </c>
      <c r="AF55" s="139">
        <f>ROUNDDOWN(IF(AD55&lt;=AE55,0,IF(AD55&gt;AE55,AD55-AE55)),-3)</f>
        <v>0</v>
      </c>
      <c r="AG55" s="140">
        <f>IF(AF55&gt;5000000000,AF55*35%-306000000,IF(AF55&gt;500000000,AF55*30%-56000000,IF(AF55&gt;250000000,AF55*25%-31000000,IF(AF55&gt;60000000,AF55*15%-6000000,AF55*5%))))</f>
        <v>0</v>
      </c>
      <c r="AH55" s="140">
        <f>ROUND(IF(E55=0,AG55*120%,AG55),0)</f>
        <v>0</v>
      </c>
      <c r="AI55" s="67">
        <f>+'PAJAK JAN-NOV'!R34</f>
        <v>91417</v>
      </c>
      <c r="AJ55" s="142">
        <f>IF(AG55&lt;=AI55,0,IF(AG55&gt;AI55,AG55-AI55))</f>
        <v>0</v>
      </c>
      <c r="AK55" s="32" t="str">
        <f>+'PAJAK JAN-NOV'!B34</f>
        <v>RIDUAN</v>
      </c>
      <c r="AL55" s="33">
        <f>AI55-AH55</f>
        <v>91417</v>
      </c>
      <c r="AM55" s="32"/>
      <c r="AN55" s="33"/>
      <c r="AO55" s="32"/>
      <c r="AP55" s="32"/>
    </row>
    <row r="56" spans="2:54" s="136" customFormat="1">
      <c r="B56" s="131">
        <v>51</v>
      </c>
      <c r="C56" s="132" t="str">
        <f>+PERBULAN!B60</f>
        <v>DEKY FRANZA</v>
      </c>
      <c r="D56" s="137" t="s">
        <v>555</v>
      </c>
      <c r="E56" s="37" t="s">
        <v>69</v>
      </c>
      <c r="F56" s="366" t="s">
        <v>556</v>
      </c>
      <c r="G56" s="350" t="s">
        <v>83</v>
      </c>
      <c r="H56" s="362" t="s">
        <v>39</v>
      </c>
      <c r="I56" s="353" t="s">
        <v>7</v>
      </c>
      <c r="J56" s="147" t="str">
        <f t="shared" si="3"/>
        <v>TER A</v>
      </c>
      <c r="K56" s="393">
        <v>1</v>
      </c>
      <c r="L56" s="393">
        <v>12</v>
      </c>
      <c r="M56" s="138">
        <f>26*129220</f>
        <v>3359720</v>
      </c>
      <c r="N56" s="139">
        <v>189287.27723840345</v>
      </c>
      <c r="O56" s="139">
        <v>187748.44</v>
      </c>
      <c r="P56" s="138">
        <v>0</v>
      </c>
      <c r="Q56" s="138">
        <f t="shared" si="29"/>
        <v>3736755.7172384034</v>
      </c>
      <c r="R56" s="138">
        <f>+SETAHUN!H61</f>
        <v>3286750</v>
      </c>
      <c r="S56" s="138">
        <f>+SETAHUN!K61</f>
        <v>116667</v>
      </c>
      <c r="T56" s="138">
        <v>0</v>
      </c>
      <c r="U56" s="138">
        <f>+SETAHUN!F61+M56+N56</f>
        <v>47670740.43723841</v>
      </c>
      <c r="V56" s="138">
        <v>0</v>
      </c>
      <c r="W56" s="138">
        <f>+SETAHUN!U61+O56</f>
        <v>2252455.2799999998</v>
      </c>
      <c r="X56" s="138">
        <v>0</v>
      </c>
      <c r="Y56" s="138">
        <v>0</v>
      </c>
      <c r="Z56" s="138">
        <f t="shared" si="4"/>
        <v>3403417</v>
      </c>
      <c r="AA56" s="138">
        <f t="shared" si="5"/>
        <v>53326612.717238411</v>
      </c>
      <c r="AB56" s="138">
        <f t="shared" si="1"/>
        <v>2666331</v>
      </c>
      <c r="AC56" s="138">
        <f>('ASTEK+PENSIUN-DIISI SMPAI DES'!O149+'ASTEK+PENSIUN-DIISI SMPAI DES'!O63)</f>
        <v>1396026</v>
      </c>
      <c r="AD56" s="138">
        <f t="shared" si="9"/>
        <v>49264255.717238411</v>
      </c>
      <c r="AE56" s="139">
        <f t="shared" si="2"/>
        <v>54000000</v>
      </c>
      <c r="AF56" s="139">
        <f t="shared" si="10"/>
        <v>0</v>
      </c>
      <c r="AG56" s="140">
        <f t="shared" si="11"/>
        <v>0</v>
      </c>
      <c r="AH56" s="140">
        <f t="shared" si="13"/>
        <v>0</v>
      </c>
      <c r="AI56" s="67">
        <f>+'PAJAK JAN-NOV'!R57</f>
        <v>113237</v>
      </c>
      <c r="AJ56" s="142">
        <f t="shared" si="6"/>
        <v>0</v>
      </c>
      <c r="AK56" s="32" t="str">
        <f>+'PAJAK JAN-NOV'!B57</f>
        <v>DEKY FRANZA</v>
      </c>
      <c r="AL56" s="33">
        <f t="shared" si="7"/>
        <v>113237</v>
      </c>
      <c r="AM56" s="32"/>
      <c r="AN56" s="33"/>
      <c r="AO56" s="32"/>
      <c r="AP56" s="32"/>
    </row>
    <row r="57" spans="2:54" s="136" customFormat="1">
      <c r="B57" s="131">
        <v>52</v>
      </c>
      <c r="C57" s="132" t="str">
        <f>+PERBULAN!B64</f>
        <v>FRANSISCO GAUTAMA</v>
      </c>
      <c r="D57" s="137" t="s">
        <v>567</v>
      </c>
      <c r="E57" s="37" t="s">
        <v>568</v>
      </c>
      <c r="F57" s="366" t="s">
        <v>569</v>
      </c>
      <c r="G57" s="350" t="s">
        <v>83</v>
      </c>
      <c r="H57" s="362" t="s">
        <v>39</v>
      </c>
      <c r="I57" s="353" t="s">
        <v>9</v>
      </c>
      <c r="J57" s="147" t="str">
        <f t="shared" si="3"/>
        <v>TER B</v>
      </c>
      <c r="K57" s="393">
        <v>1</v>
      </c>
      <c r="L57" s="393">
        <v>12</v>
      </c>
      <c r="M57" s="138">
        <f>30*129220</f>
        <v>3876600</v>
      </c>
      <c r="N57" s="139">
        <v>475659.39766081871</v>
      </c>
      <c r="O57" s="139">
        <v>189563.44</v>
      </c>
      <c r="P57" s="138">
        <v>0</v>
      </c>
      <c r="Q57" s="138">
        <f t="shared" si="29"/>
        <v>4541822.8376608193</v>
      </c>
      <c r="R57" s="138">
        <f>+SETAHUN!H65</f>
        <v>4052600</v>
      </c>
      <c r="S57" s="138">
        <f>+SETAHUN!K65</f>
        <v>200000</v>
      </c>
      <c r="T57" s="138">
        <v>0</v>
      </c>
      <c r="U57" s="138">
        <f>+SETAHUN!F65+M57+N57</f>
        <v>51323420.997660816</v>
      </c>
      <c r="V57" s="138">
        <v>0</v>
      </c>
      <c r="W57" s="138">
        <f>+SETAHUN!U65+O57</f>
        <v>2271058.2799999998</v>
      </c>
      <c r="X57" s="138">
        <v>0</v>
      </c>
      <c r="Y57" s="138">
        <v>0</v>
      </c>
      <c r="Z57" s="138">
        <f t="shared" si="4"/>
        <v>4252600</v>
      </c>
      <c r="AA57" s="138">
        <f t="shared" si="5"/>
        <v>57847079.277660817</v>
      </c>
      <c r="AB57" s="138">
        <f t="shared" si="1"/>
        <v>2892354</v>
      </c>
      <c r="AC57" s="138">
        <f>('ASTEK+PENSIUN-DIISI SMPAI DES'!O153+'ASTEK+PENSIUN-DIISI SMPAI DES'!O67)</f>
        <v>1402251</v>
      </c>
      <c r="AD57" s="138">
        <f t="shared" si="9"/>
        <v>53552474.277660817</v>
      </c>
      <c r="AE57" s="139">
        <f t="shared" si="2"/>
        <v>63000000</v>
      </c>
      <c r="AF57" s="139">
        <f t="shared" si="10"/>
        <v>0</v>
      </c>
      <c r="AG57" s="140">
        <f t="shared" si="11"/>
        <v>0</v>
      </c>
      <c r="AH57" s="140">
        <f t="shared" si="13"/>
        <v>0</v>
      </c>
      <c r="AI57" s="67">
        <f>+'PAJAK JAN-NOV'!R61</f>
        <v>85072</v>
      </c>
      <c r="AJ57" s="142">
        <f t="shared" si="6"/>
        <v>0</v>
      </c>
      <c r="AK57" s="32" t="str">
        <f>+'PAJAK JAN-NOV'!B61</f>
        <v>FRANSISCO GAUTAMA</v>
      </c>
      <c r="AL57" s="33">
        <f t="shared" si="7"/>
        <v>85072</v>
      </c>
      <c r="AM57" s="32"/>
      <c r="AN57" s="33"/>
      <c r="AO57" s="32"/>
      <c r="AP57" s="32"/>
    </row>
    <row r="58" spans="2:54" s="136" customFormat="1">
      <c r="B58" s="131">
        <v>53</v>
      </c>
      <c r="C58" s="132" t="str">
        <f>+PERBULAN!B66</f>
        <v>M.IDRIS PRATAMA</v>
      </c>
      <c r="D58" s="452" t="s">
        <v>589</v>
      </c>
      <c r="E58" s="37" t="s">
        <v>69</v>
      </c>
      <c r="F58" s="366" t="s">
        <v>572</v>
      </c>
      <c r="G58" s="350" t="s">
        <v>83</v>
      </c>
      <c r="H58" s="362" t="s">
        <v>39</v>
      </c>
      <c r="I58" s="353" t="s">
        <v>7</v>
      </c>
      <c r="J58" s="147" t="str">
        <f t="shared" si="3"/>
        <v>TER A</v>
      </c>
      <c r="K58" s="393">
        <v>1</v>
      </c>
      <c r="L58" s="393">
        <v>12</v>
      </c>
      <c r="M58" s="138">
        <f>28*129220</f>
        <v>3618160</v>
      </c>
      <c r="N58" s="139">
        <v>51250.204394481349</v>
      </c>
      <c r="O58" s="139">
        <v>187869.44</v>
      </c>
      <c r="P58" s="138">
        <v>0</v>
      </c>
      <c r="Q58" s="138">
        <f t="shared" si="29"/>
        <v>3857279.6443944811</v>
      </c>
      <c r="R58" s="138">
        <f>+SETAHUN!H67</f>
        <v>3946600</v>
      </c>
      <c r="S58" s="138">
        <f>+SETAHUN!K67</f>
        <v>200000</v>
      </c>
      <c r="T58" s="138">
        <v>0</v>
      </c>
      <c r="U58" s="138">
        <f>+SETAHUN!F67+M58+N58</f>
        <v>51007807.364394486</v>
      </c>
      <c r="V58" s="138">
        <v>0</v>
      </c>
      <c r="W58" s="138">
        <f>+SETAHUN!U67+O58</f>
        <v>2253781.2799999998</v>
      </c>
      <c r="X58" s="138">
        <v>0</v>
      </c>
      <c r="Y58" s="138">
        <v>0</v>
      </c>
      <c r="Z58" s="138">
        <f t="shared" si="4"/>
        <v>4146600</v>
      </c>
      <c r="AA58" s="138">
        <f t="shared" si="5"/>
        <v>57408188.644394487</v>
      </c>
      <c r="AB58" s="138">
        <f t="shared" si="1"/>
        <v>2870409</v>
      </c>
      <c r="AC58" s="138">
        <f>('ASTEK+PENSIUN-DIISI SMPAI DES'!O155+'ASTEK+PENSIUN-DIISI SMPAI DES'!O69)</f>
        <v>1396476</v>
      </c>
      <c r="AD58" s="138">
        <f t="shared" si="9"/>
        <v>53141303.644394487</v>
      </c>
      <c r="AE58" s="139">
        <f t="shared" si="2"/>
        <v>54000000</v>
      </c>
      <c r="AF58" s="139">
        <f t="shared" si="10"/>
        <v>0</v>
      </c>
      <c r="AG58" s="140">
        <f t="shared" si="11"/>
        <v>0</v>
      </c>
      <c r="AH58" s="140">
        <f t="shared" si="13"/>
        <v>0</v>
      </c>
      <c r="AI58" s="67">
        <f>+'PAJAK JAN-NOV'!R63</f>
        <v>193365</v>
      </c>
      <c r="AJ58" s="142">
        <f t="shared" si="6"/>
        <v>0</v>
      </c>
      <c r="AK58" s="32" t="str">
        <f>+'PAJAK JAN-NOV'!B63</f>
        <v>M.IDRIS PRATAMA</v>
      </c>
      <c r="AL58" s="33">
        <f t="shared" si="7"/>
        <v>193365</v>
      </c>
      <c r="AM58" s="32"/>
      <c r="AN58" s="33"/>
      <c r="AO58" s="32"/>
      <c r="AP58" s="32"/>
    </row>
    <row r="59" spans="2:54" s="136" customFormat="1">
      <c r="B59" s="131">
        <v>54</v>
      </c>
      <c r="C59" s="132" t="str">
        <f>+PERBULAN!B70</f>
        <v>SUTRA PRAYOGI</v>
      </c>
      <c r="D59" s="137" t="s">
        <v>583</v>
      </c>
      <c r="E59" s="37" t="s">
        <v>69</v>
      </c>
      <c r="F59" s="366" t="s">
        <v>346</v>
      </c>
      <c r="G59" s="350" t="s">
        <v>526</v>
      </c>
      <c r="H59" s="362" t="s">
        <v>39</v>
      </c>
      <c r="I59" s="353" t="s">
        <v>7</v>
      </c>
      <c r="J59" s="147" t="str">
        <f t="shared" si="3"/>
        <v>TER A</v>
      </c>
      <c r="K59" s="393">
        <v>10</v>
      </c>
      <c r="L59" s="393">
        <v>12</v>
      </c>
      <c r="M59" s="138">
        <f t="shared" si="27"/>
        <v>4005820</v>
      </c>
      <c r="N59" s="139">
        <v>912428.66666666663</v>
      </c>
      <c r="O59" s="139">
        <v>187627.44</v>
      </c>
      <c r="P59" s="138">
        <v>0</v>
      </c>
      <c r="Q59" s="138">
        <f t="shared" si="29"/>
        <v>5105876.1066666674</v>
      </c>
      <c r="R59" s="138">
        <f>+SETAHUN!H71</f>
        <v>0</v>
      </c>
      <c r="S59" s="138">
        <f>+SETAHUN!K71</f>
        <v>0</v>
      </c>
      <c r="T59" s="138">
        <v>0</v>
      </c>
      <c r="U59" s="138">
        <f>+SETAHUN!F71+M59+N59</f>
        <v>14924027.786666665</v>
      </c>
      <c r="V59" s="138">
        <v>0</v>
      </c>
      <c r="W59" s="138">
        <f>+SETAHUN!U71+O59</f>
        <v>562882.32000000007</v>
      </c>
      <c r="X59" s="138">
        <v>0</v>
      </c>
      <c r="Y59" s="138">
        <v>0</v>
      </c>
      <c r="Z59" s="138">
        <f t="shared" si="4"/>
        <v>0</v>
      </c>
      <c r="AA59" s="138">
        <f>SUM(U59:Z59)</f>
        <v>15486910.106666666</v>
      </c>
      <c r="AB59" s="138">
        <f t="shared" ref="AB59:AB63" si="32">ROUND(IF((AA59)*5%&gt;6000000,6000000,(AA59)*5%),0)</f>
        <v>774346</v>
      </c>
      <c r="AC59" s="138">
        <f>('ASTEK+PENSIUN-DIISI SMPAI DES'!O159+'ASTEK+PENSIUN-DIISI SMPAI DES'!O73)</f>
        <v>348894</v>
      </c>
      <c r="AD59" s="138">
        <f t="shared" si="9"/>
        <v>14363670.106666666</v>
      </c>
      <c r="AE59" s="139">
        <f t="shared" ref="AE59:AE63" si="33">IFERROR(VLOOKUP(I59,TARIF,3,FALSE),0)</f>
        <v>54000000</v>
      </c>
      <c r="AF59" s="139">
        <f t="shared" si="10"/>
        <v>0</v>
      </c>
      <c r="AG59" s="140">
        <f t="shared" si="11"/>
        <v>0</v>
      </c>
      <c r="AH59" s="140">
        <f t="shared" si="13"/>
        <v>0</v>
      </c>
      <c r="AI59" s="67">
        <f>+'PAJAK JAN-NOV'!R67</f>
        <v>0</v>
      </c>
      <c r="AJ59" s="142">
        <f t="shared" si="6"/>
        <v>0</v>
      </c>
      <c r="AK59" s="32" t="str">
        <f>+'PAJAK JAN-NOV'!B67</f>
        <v>SUTRA PRAYOGI</v>
      </c>
      <c r="AL59" s="33">
        <f t="shared" si="7"/>
        <v>0</v>
      </c>
      <c r="AM59" s="32"/>
      <c r="AN59" s="33"/>
      <c r="AO59" s="32"/>
      <c r="AP59" s="32"/>
    </row>
    <row r="60" spans="2:54" s="136" customFormat="1">
      <c r="B60" s="131">
        <v>55</v>
      </c>
      <c r="C60" s="132">
        <f>+PERBULAN!B72</f>
        <v>0</v>
      </c>
      <c r="D60" s="137"/>
      <c r="E60" s="37"/>
      <c r="F60" s="366"/>
      <c r="G60" s="350"/>
      <c r="H60" s="362"/>
      <c r="I60" s="353"/>
      <c r="J60" s="147" t="str">
        <f t="shared" ref="J60:J63" si="34">IF(ISBLANK(I60),"",IF(OR(I60="TK/0",I60="TK/1",I60="K/0"),"TER A",IF(I60="K/3","TER C","TER B")))</f>
        <v/>
      </c>
      <c r="K60" s="393"/>
      <c r="L60" s="393"/>
      <c r="M60" s="139"/>
      <c r="N60" s="139"/>
      <c r="O60" s="139"/>
      <c r="P60" s="138">
        <v>0</v>
      </c>
      <c r="Q60" s="138">
        <f t="shared" si="29"/>
        <v>0</v>
      </c>
      <c r="R60" s="138">
        <f>+SETAHUN!H73</f>
        <v>0</v>
      </c>
      <c r="S60" s="138">
        <f>+SETAHUN!K73</f>
        <v>0</v>
      </c>
      <c r="T60" s="138">
        <v>0</v>
      </c>
      <c r="U60" s="138">
        <f>+SETAHUN!F73+M60+N60</f>
        <v>0</v>
      </c>
      <c r="V60" s="138">
        <v>0</v>
      </c>
      <c r="W60" s="138">
        <f>+SETAHUN!U73+O60</f>
        <v>0</v>
      </c>
      <c r="X60" s="138">
        <v>0</v>
      </c>
      <c r="Y60" s="138">
        <v>0</v>
      </c>
      <c r="Z60" s="138">
        <f t="shared" ref="Z60:Z63" si="35">SUM(R60:T60)</f>
        <v>0</v>
      </c>
      <c r="AA60" s="138">
        <f t="shared" ref="AA60:AA63" si="36">SUM(U60:Z60)</f>
        <v>0</v>
      </c>
      <c r="AB60" s="138">
        <f t="shared" si="32"/>
        <v>0</v>
      </c>
      <c r="AC60" s="138">
        <f>('ASTEK+PENSIUN-DIISI SMPAI DES'!O161+'ASTEK+PENSIUN-DIISI SMPAI DES'!O75)</f>
        <v>0</v>
      </c>
      <c r="AD60" s="138">
        <f t="shared" ref="AD60:AD63" si="37">AA60-AB60-AC60</f>
        <v>0</v>
      </c>
      <c r="AE60" s="139">
        <f t="shared" si="33"/>
        <v>0</v>
      </c>
      <c r="AF60" s="139">
        <f t="shared" ref="AF60:AF63" si="38">ROUNDDOWN(IF(AD60&lt;=AE60,0,IF(AD60&gt;AE60,AD60-AE60)),-3)</f>
        <v>0</v>
      </c>
      <c r="AG60" s="140">
        <f t="shared" ref="AG60:AG63" si="39">IF(AF60&gt;5000000000,AF60*35%-306000000,IF(AF60&gt;500000000,AF60*30%-56000000,IF(AF60&gt;250000000,AF60*25%-31000000,IF(AF60&gt;60000000,AF60*15%-6000000,AF60*5%))))</f>
        <v>0</v>
      </c>
      <c r="AH60" s="140">
        <f t="shared" si="13"/>
        <v>0</v>
      </c>
      <c r="AI60" s="67">
        <f>+'PAJAK JAN-NOV'!R69</f>
        <v>0</v>
      </c>
      <c r="AJ60" s="142">
        <f t="shared" ref="AJ60:AJ63" si="40">IF(AG60&lt;=AI60,0,IF(AG60&gt;AI60,AG60-AI60))</f>
        <v>0</v>
      </c>
      <c r="AK60" s="32">
        <f>+'PAJAK JAN-NOV'!B69</f>
        <v>0</v>
      </c>
      <c r="AL60" s="33">
        <f t="shared" ref="AL60:AL63" si="41">AI60-AH60</f>
        <v>0</v>
      </c>
      <c r="AM60" s="32"/>
      <c r="AN60" s="33"/>
      <c r="AO60" s="32"/>
      <c r="AP60" s="32"/>
    </row>
    <row r="61" spans="2:54" s="136" customFormat="1">
      <c r="B61" s="131">
        <v>56</v>
      </c>
      <c r="C61" s="132">
        <f>+PERBULAN!B73</f>
        <v>0</v>
      </c>
      <c r="D61" s="137"/>
      <c r="E61" s="37"/>
      <c r="F61" s="366"/>
      <c r="G61" s="350"/>
      <c r="H61" s="362"/>
      <c r="I61" s="353"/>
      <c r="J61" s="147" t="str">
        <f t="shared" si="34"/>
        <v/>
      </c>
      <c r="K61" s="393"/>
      <c r="L61" s="393"/>
      <c r="M61" s="139"/>
      <c r="N61" s="139"/>
      <c r="O61" s="139"/>
      <c r="P61" s="138">
        <v>0</v>
      </c>
      <c r="Q61" s="138">
        <f t="shared" si="29"/>
        <v>0</v>
      </c>
      <c r="R61" s="138">
        <f>+SETAHUN!H74</f>
        <v>0</v>
      </c>
      <c r="S61" s="138">
        <f>+SETAHUN!K74</f>
        <v>0</v>
      </c>
      <c r="T61" s="138">
        <v>0</v>
      </c>
      <c r="U61" s="138">
        <f>+SETAHUN!F74+M61+N61</f>
        <v>0</v>
      </c>
      <c r="V61" s="138">
        <v>0</v>
      </c>
      <c r="W61" s="138">
        <f>+SETAHUN!U74+O61</f>
        <v>0</v>
      </c>
      <c r="X61" s="138">
        <v>0</v>
      </c>
      <c r="Y61" s="138">
        <v>0</v>
      </c>
      <c r="Z61" s="138">
        <f t="shared" si="35"/>
        <v>0</v>
      </c>
      <c r="AA61" s="138">
        <f t="shared" si="36"/>
        <v>0</v>
      </c>
      <c r="AB61" s="138">
        <f t="shared" si="32"/>
        <v>0</v>
      </c>
      <c r="AC61" s="138">
        <f>('ASTEK+PENSIUN-DIISI SMPAI DES'!O162+'ASTEK+PENSIUN-DIISI SMPAI DES'!O76)</f>
        <v>0</v>
      </c>
      <c r="AD61" s="138">
        <f t="shared" si="37"/>
        <v>0</v>
      </c>
      <c r="AE61" s="139">
        <f t="shared" si="33"/>
        <v>0</v>
      </c>
      <c r="AF61" s="139">
        <f t="shared" si="38"/>
        <v>0</v>
      </c>
      <c r="AG61" s="140">
        <f t="shared" si="39"/>
        <v>0</v>
      </c>
      <c r="AH61" s="140">
        <f t="shared" si="13"/>
        <v>0</v>
      </c>
      <c r="AI61" s="67">
        <f>+'PAJAK JAN-NOV'!R70</f>
        <v>0</v>
      </c>
      <c r="AJ61" s="142">
        <f t="shared" si="40"/>
        <v>0</v>
      </c>
      <c r="AK61" s="32">
        <f>+'PAJAK JAN-NOV'!B70</f>
        <v>0</v>
      </c>
      <c r="AL61" s="33">
        <f t="shared" si="41"/>
        <v>0</v>
      </c>
      <c r="AM61" s="32"/>
      <c r="AN61" s="33"/>
      <c r="AO61" s="32"/>
      <c r="AP61" s="32"/>
    </row>
    <row r="62" spans="2:54" s="136" customFormat="1">
      <c r="B62" s="131">
        <v>57</v>
      </c>
      <c r="C62" s="132">
        <f>+PERBULAN!B74</f>
        <v>0</v>
      </c>
      <c r="D62" s="137"/>
      <c r="E62" s="37"/>
      <c r="F62" s="366"/>
      <c r="G62" s="350"/>
      <c r="H62" s="362"/>
      <c r="I62" s="353"/>
      <c r="J62" s="147" t="str">
        <f t="shared" si="34"/>
        <v/>
      </c>
      <c r="K62" s="393"/>
      <c r="L62" s="393"/>
      <c r="M62" s="139"/>
      <c r="N62" s="139"/>
      <c r="O62" s="139"/>
      <c r="P62" s="138">
        <v>0</v>
      </c>
      <c r="Q62" s="138">
        <f t="shared" si="29"/>
        <v>0</v>
      </c>
      <c r="R62" s="138">
        <f>+SETAHUN!H75</f>
        <v>0</v>
      </c>
      <c r="S62" s="138">
        <f>+SETAHUN!K75</f>
        <v>0</v>
      </c>
      <c r="T62" s="138">
        <v>0</v>
      </c>
      <c r="U62" s="138">
        <f>+SETAHUN!F75+M62+N62</f>
        <v>0</v>
      </c>
      <c r="V62" s="138">
        <v>0</v>
      </c>
      <c r="W62" s="138">
        <f>+SETAHUN!U75+O62</f>
        <v>0</v>
      </c>
      <c r="X62" s="138">
        <v>0</v>
      </c>
      <c r="Y62" s="138">
        <v>0</v>
      </c>
      <c r="Z62" s="138">
        <f t="shared" si="35"/>
        <v>0</v>
      </c>
      <c r="AA62" s="138">
        <f t="shared" si="36"/>
        <v>0</v>
      </c>
      <c r="AB62" s="138">
        <f t="shared" si="32"/>
        <v>0</v>
      </c>
      <c r="AC62" s="138">
        <f>('ASTEK+PENSIUN-DIISI SMPAI DES'!O163+'ASTEK+PENSIUN-DIISI SMPAI DES'!O77)</f>
        <v>0</v>
      </c>
      <c r="AD62" s="138">
        <f t="shared" si="37"/>
        <v>0</v>
      </c>
      <c r="AE62" s="139">
        <f t="shared" si="33"/>
        <v>0</v>
      </c>
      <c r="AF62" s="139">
        <f t="shared" si="38"/>
        <v>0</v>
      </c>
      <c r="AG62" s="140">
        <f t="shared" si="39"/>
        <v>0</v>
      </c>
      <c r="AH62" s="140">
        <f t="shared" ref="AH62:AH63" si="42">ROUND(IF(E62=0,AG62*120%,AG62),0)</f>
        <v>0</v>
      </c>
      <c r="AI62" s="67">
        <f>+'PAJAK JAN-NOV'!R71</f>
        <v>0</v>
      </c>
      <c r="AJ62" s="142">
        <f t="shared" si="40"/>
        <v>0</v>
      </c>
      <c r="AK62" s="32">
        <f>+'PAJAK JAN-NOV'!B71</f>
        <v>0</v>
      </c>
      <c r="AL62" s="33">
        <f t="shared" si="41"/>
        <v>0</v>
      </c>
      <c r="AM62" s="32"/>
      <c r="AN62" s="33"/>
      <c r="AO62" s="32"/>
      <c r="AP62" s="32"/>
    </row>
    <row r="63" spans="2:54" s="136" customFormat="1" ht="13.5" thickBot="1">
      <c r="B63" s="131">
        <v>58</v>
      </c>
      <c r="C63" s="132">
        <f>+PERBULAN!B75</f>
        <v>0</v>
      </c>
      <c r="D63" s="137"/>
      <c r="E63" s="37"/>
      <c r="F63" s="366"/>
      <c r="G63" s="350"/>
      <c r="H63" s="362"/>
      <c r="I63" s="353"/>
      <c r="J63" s="147" t="str">
        <f t="shared" si="34"/>
        <v/>
      </c>
      <c r="K63" s="393"/>
      <c r="L63" s="393"/>
      <c r="M63" s="139"/>
      <c r="N63" s="139"/>
      <c r="O63" s="139"/>
      <c r="P63" s="138">
        <v>0</v>
      </c>
      <c r="Q63" s="138">
        <f t="shared" si="29"/>
        <v>0</v>
      </c>
      <c r="R63" s="138">
        <f>+SETAHUN!H76</f>
        <v>0</v>
      </c>
      <c r="S63" s="138">
        <f>+SETAHUN!K76</f>
        <v>0</v>
      </c>
      <c r="T63" s="138">
        <v>0</v>
      </c>
      <c r="U63" s="138">
        <f>+SETAHUN!F76+M63+N63</f>
        <v>0</v>
      </c>
      <c r="V63" s="138">
        <v>0</v>
      </c>
      <c r="W63" s="138">
        <f>+SETAHUN!U76+O63</f>
        <v>0</v>
      </c>
      <c r="X63" s="138">
        <v>0</v>
      </c>
      <c r="Y63" s="138">
        <v>0</v>
      </c>
      <c r="Z63" s="138">
        <f t="shared" si="35"/>
        <v>0</v>
      </c>
      <c r="AA63" s="138">
        <f t="shared" si="36"/>
        <v>0</v>
      </c>
      <c r="AB63" s="138">
        <f t="shared" si="32"/>
        <v>0</v>
      </c>
      <c r="AC63" s="138">
        <f>('ASTEK+PENSIUN-DIISI SMPAI DES'!O164+'ASTEK+PENSIUN-DIISI SMPAI DES'!O78)</f>
        <v>0</v>
      </c>
      <c r="AD63" s="138">
        <f t="shared" si="37"/>
        <v>0</v>
      </c>
      <c r="AE63" s="139">
        <f t="shared" si="33"/>
        <v>0</v>
      </c>
      <c r="AF63" s="139">
        <f t="shared" si="38"/>
        <v>0</v>
      </c>
      <c r="AG63" s="140">
        <f t="shared" si="39"/>
        <v>0</v>
      </c>
      <c r="AH63" s="140">
        <f t="shared" si="42"/>
        <v>0</v>
      </c>
      <c r="AI63" s="67">
        <f>+'PAJAK JAN-NOV'!R72</f>
        <v>0</v>
      </c>
      <c r="AJ63" s="142">
        <f t="shared" si="40"/>
        <v>0</v>
      </c>
      <c r="AK63" s="32">
        <f>+'PAJAK JAN-NOV'!B72</f>
        <v>0</v>
      </c>
      <c r="AL63" s="33">
        <f t="shared" si="41"/>
        <v>0</v>
      </c>
      <c r="AM63" s="32"/>
      <c r="AN63" s="33"/>
      <c r="AO63" s="32"/>
      <c r="AP63" s="32"/>
    </row>
    <row r="64" spans="2:54" s="371" customFormat="1" ht="13.5" thickBot="1">
      <c r="B64" s="367"/>
      <c r="C64" s="367"/>
      <c r="D64" s="367"/>
      <c r="E64" s="367"/>
      <c r="F64" s="367"/>
      <c r="G64" s="367"/>
      <c r="H64" s="367"/>
      <c r="I64" s="367"/>
      <c r="J64" s="367"/>
      <c r="K64" s="367"/>
      <c r="L64" s="368"/>
      <c r="M64" s="369">
        <f t="shared" ref="M64:AJ64" si="43">SUM(M6:M63)</f>
        <v>211274700</v>
      </c>
      <c r="N64" s="369">
        <f t="shared" si="43"/>
        <v>40633271.552276164</v>
      </c>
      <c r="O64" s="369">
        <f t="shared" si="43"/>
        <v>10209224.960000001</v>
      </c>
      <c r="P64" s="369">
        <f t="shared" si="43"/>
        <v>0</v>
      </c>
      <c r="Q64" s="369">
        <f t="shared" si="43"/>
        <v>262117196.51227605</v>
      </c>
      <c r="R64" s="369">
        <f t="shared" si="43"/>
        <v>186762000</v>
      </c>
      <c r="S64" s="369">
        <f t="shared" si="43"/>
        <v>22375000</v>
      </c>
      <c r="T64" s="369">
        <f t="shared" si="43"/>
        <v>0</v>
      </c>
      <c r="U64" s="369">
        <f t="shared" si="43"/>
        <v>3003945301.5122752</v>
      </c>
      <c r="V64" s="369">
        <f t="shared" si="43"/>
        <v>0</v>
      </c>
      <c r="W64" s="369">
        <f t="shared" si="43"/>
        <v>115069567.76000001</v>
      </c>
      <c r="X64" s="369">
        <f t="shared" si="43"/>
        <v>0</v>
      </c>
      <c r="Y64" s="369">
        <f t="shared" si="43"/>
        <v>0</v>
      </c>
      <c r="Z64" s="369">
        <f t="shared" si="43"/>
        <v>209137000</v>
      </c>
      <c r="AA64" s="369">
        <f t="shared" si="43"/>
        <v>3328151869.2722759</v>
      </c>
      <c r="AB64" s="369">
        <f t="shared" si="43"/>
        <v>166407593</v>
      </c>
      <c r="AC64" s="369">
        <f t="shared" si="43"/>
        <v>71107542</v>
      </c>
      <c r="AD64" s="369">
        <f t="shared" si="43"/>
        <v>3090636734.2722769</v>
      </c>
      <c r="AE64" s="369">
        <f t="shared" si="43"/>
        <v>3325500000</v>
      </c>
      <c r="AF64" s="369">
        <f t="shared" si="43"/>
        <v>223674000</v>
      </c>
      <c r="AG64" s="369">
        <f t="shared" si="43"/>
        <v>11183700</v>
      </c>
      <c r="AH64" s="369">
        <f t="shared" si="43"/>
        <v>11183700</v>
      </c>
      <c r="AI64" s="369">
        <f t="shared" si="43"/>
        <v>15059711</v>
      </c>
      <c r="AJ64" s="369">
        <f t="shared" si="43"/>
        <v>1219954</v>
      </c>
      <c r="AK64" s="42"/>
      <c r="AL64" s="43">
        <f>SUM(AL6:AL63)</f>
        <v>3876011</v>
      </c>
      <c r="AM64" s="42"/>
      <c r="AN64" s="43"/>
      <c r="AO64" s="42"/>
      <c r="AP64" s="42"/>
      <c r="AQ64" s="370"/>
      <c r="AR64" s="370"/>
      <c r="AS64" s="370"/>
      <c r="AT64" s="370"/>
      <c r="AU64" s="370"/>
      <c r="AV64" s="370"/>
      <c r="AW64" s="370"/>
      <c r="AX64" s="370"/>
      <c r="AY64" s="370"/>
      <c r="AZ64" s="370"/>
      <c r="BA64" s="370"/>
      <c r="BB64" s="370"/>
    </row>
    <row r="65" spans="2:76" ht="13.5" thickTop="1">
      <c r="AI65" s="67"/>
    </row>
    <row r="66" spans="2:76">
      <c r="B66" s="370" t="s">
        <v>47</v>
      </c>
      <c r="O66" s="373"/>
      <c r="AG66" s="60"/>
      <c r="AI66" s="41"/>
    </row>
    <row r="67" spans="2:76">
      <c r="B67" s="136" t="s">
        <v>48</v>
      </c>
      <c r="O67" s="373"/>
      <c r="AG67" s="60"/>
    </row>
    <row r="68" spans="2:76">
      <c r="B68" s="136" t="s">
        <v>56</v>
      </c>
      <c r="M68" s="28">
        <f>'[4]PANEN 1'!$G$30+'[4]PANEN 1'!$I$30+'[4]PANEN 1'!$K$30+'[4]PANEN 1'!$M$30+'[4]PANEN 1'!$O$30</f>
        <v>78824200</v>
      </c>
      <c r="N68" s="28">
        <f>SUM(O40:O59)</f>
        <v>3762083.5999999992</v>
      </c>
      <c r="O68" s="465">
        <f>SUM(N6:N35)</f>
        <v>10216286.66</v>
      </c>
      <c r="AG68" s="60"/>
    </row>
    <row r="69" spans="2:76" ht="15" customHeight="1">
      <c r="B69" s="136" t="s">
        <v>49</v>
      </c>
      <c r="M69" s="28">
        <f>SUM(M40:M59)</f>
        <v>78824200</v>
      </c>
      <c r="N69" s="28">
        <f>SUM([5]DESEMBER!$AM$40:$AM$59)</f>
        <v>3762083.5999999992</v>
      </c>
      <c r="O69" s="466">
        <f>SUM('[4]GAJI MAINTENANCE AJ'!$BH$10:$BH$39)</f>
        <v>10301327.119999999</v>
      </c>
      <c r="Q69" s="28">
        <f>SUM([5]DESEMBER!$AN$6:$AN$35)</f>
        <v>132325279.45999998</v>
      </c>
      <c r="AG69" s="60"/>
    </row>
    <row r="70" spans="2:76" s="31" customFormat="1" ht="15" customHeight="1">
      <c r="B70" s="136" t="s">
        <v>57</v>
      </c>
      <c r="C70" s="28"/>
      <c r="D70" s="464"/>
      <c r="E70" s="29"/>
      <c r="F70" s="28"/>
      <c r="G70" s="338"/>
      <c r="H70" s="339"/>
      <c r="I70" s="339"/>
      <c r="J70" s="339"/>
      <c r="K70" s="339"/>
      <c r="L70" s="339"/>
      <c r="M70" s="28">
        <f>SUM(M6:M35)</f>
        <v>116427220</v>
      </c>
      <c r="N70" s="28">
        <f>SUM(O6:O35)</f>
        <v>5681772.8000000026</v>
      </c>
      <c r="O70" s="465">
        <f>SUM(N40:N59)</f>
        <v>17934376.07227616</v>
      </c>
      <c r="P70" s="28"/>
      <c r="Q70" s="28">
        <f>SUM(Q6:Q35)</f>
        <v>132325279.45999998</v>
      </c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60"/>
      <c r="AH70" s="28"/>
      <c r="AK70" s="32"/>
      <c r="AL70" s="33"/>
      <c r="AM70" s="32"/>
      <c r="AN70" s="33"/>
      <c r="AO70" s="32"/>
      <c r="AP70" s="32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372"/>
      <c r="BD70" s="372"/>
      <c r="BE70" s="372"/>
      <c r="BF70" s="372"/>
      <c r="BG70" s="372"/>
      <c r="BH70" s="372"/>
      <c r="BI70" s="372"/>
      <c r="BJ70" s="372"/>
      <c r="BK70" s="372"/>
      <c r="BL70" s="372"/>
      <c r="BM70" s="372"/>
      <c r="BN70" s="372"/>
      <c r="BO70" s="372"/>
      <c r="BP70" s="372"/>
      <c r="BQ70" s="372"/>
      <c r="BR70" s="372"/>
      <c r="BS70" s="372"/>
      <c r="BT70" s="372"/>
      <c r="BU70" s="372"/>
      <c r="BV70" s="372"/>
      <c r="BW70" s="372"/>
      <c r="BX70" s="372"/>
    </row>
    <row r="71" spans="2:76" s="31" customFormat="1" ht="15" customHeight="1">
      <c r="B71" s="136" t="s">
        <v>50</v>
      </c>
      <c r="C71" s="28"/>
      <c r="D71" s="464"/>
      <c r="E71" s="29"/>
      <c r="F71" s="28"/>
      <c r="G71" s="338"/>
      <c r="H71" s="339"/>
      <c r="I71" s="339"/>
      <c r="J71" s="339"/>
      <c r="K71" s="339"/>
      <c r="L71" s="339"/>
      <c r="M71" s="28">
        <f>'[4]GAJI MAINTENANCE AJ'!$G$40+'[4]GAJI MAINTENANCE AJ'!$I$40+'[4]GAJI MAINTENANCE AJ'!$K$40+'[4]GAJI MAINTENANCE AJ'!$M$40+'[4]GAJI MAINTENANCE AJ'!$O$40+'[4]GAJI MAINTENANCE AJ'!$Q$40</f>
        <v>116427220</v>
      </c>
      <c r="N71" s="28">
        <f>SUM([5]DESEMBER!$AM$6:$AM$35)</f>
        <v>5681772.8000000026</v>
      </c>
      <c r="O71" s="466">
        <f>SUM('[4]PANEN 1'!$BM$10:$BM$29)</f>
        <v>17906476.07227616</v>
      </c>
      <c r="P71" s="28"/>
      <c r="Q71" s="28">
        <f>Q70-Q69</f>
        <v>0</v>
      </c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>
        <f>SUM(AH66:AH70)</f>
        <v>0</v>
      </c>
      <c r="AK71" s="32"/>
      <c r="AL71" s="33"/>
      <c r="AM71" s="32"/>
      <c r="AN71" s="33"/>
      <c r="AO71" s="32"/>
      <c r="AP71" s="32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372"/>
      <c r="BD71" s="372"/>
      <c r="BE71" s="372"/>
      <c r="BF71" s="372"/>
      <c r="BG71" s="372"/>
      <c r="BH71" s="372"/>
      <c r="BI71" s="372"/>
      <c r="BJ71" s="372"/>
      <c r="BK71" s="372"/>
      <c r="BL71" s="372"/>
      <c r="BM71" s="372"/>
      <c r="BN71" s="372"/>
      <c r="BO71" s="372"/>
      <c r="BP71" s="372"/>
      <c r="BQ71" s="372"/>
      <c r="BR71" s="372"/>
      <c r="BS71" s="372"/>
      <c r="BT71" s="372"/>
      <c r="BU71" s="372"/>
      <c r="BV71" s="372"/>
      <c r="BW71" s="372"/>
      <c r="BX71" s="372"/>
    </row>
    <row r="72" spans="2:76" s="31" customFormat="1" ht="15" customHeight="1">
      <c r="B72" s="136" t="s">
        <v>51</v>
      </c>
      <c r="C72" s="28"/>
      <c r="D72" s="464"/>
      <c r="E72" s="29"/>
      <c r="F72" s="28"/>
      <c r="G72" s="338"/>
      <c r="H72" s="339"/>
      <c r="I72" s="339"/>
      <c r="J72" s="339"/>
      <c r="K72" s="339"/>
      <c r="L72" s="339"/>
      <c r="M72" s="28">
        <f>M36+M37+M38+M39</f>
        <v>16023280</v>
      </c>
      <c r="N72" s="28">
        <f>SUM(O36:O39)</f>
        <v>765368.56</v>
      </c>
      <c r="O72" s="465">
        <f>SUM(N36:N39)</f>
        <v>12482608.82</v>
      </c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K72" s="32"/>
      <c r="AL72" s="33"/>
      <c r="AM72" s="32"/>
      <c r="AN72" s="33"/>
      <c r="AO72" s="32"/>
      <c r="AP72" s="32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372"/>
      <c r="BD72" s="372"/>
      <c r="BE72" s="372"/>
      <c r="BF72" s="372"/>
      <c r="BG72" s="372"/>
      <c r="BH72" s="372"/>
      <c r="BI72" s="372"/>
      <c r="BJ72" s="372"/>
      <c r="BK72" s="372"/>
      <c r="BL72" s="372"/>
      <c r="BM72" s="372"/>
      <c r="BN72" s="372"/>
      <c r="BO72" s="372"/>
      <c r="BP72" s="372"/>
      <c r="BQ72" s="372"/>
      <c r="BR72" s="372"/>
      <c r="BS72" s="372"/>
      <c r="BT72" s="372"/>
      <c r="BU72" s="372"/>
      <c r="BV72" s="372"/>
      <c r="BW72" s="372"/>
      <c r="BX72" s="372"/>
    </row>
    <row r="73" spans="2:76" s="31" customFormat="1" ht="15" customHeight="1">
      <c r="B73" s="136" t="s">
        <v>52</v>
      </c>
      <c r="C73" s="28"/>
      <c r="D73" s="464"/>
      <c r="E73" s="29"/>
      <c r="F73" s="28"/>
      <c r="G73" s="338"/>
      <c r="H73" s="339"/>
      <c r="I73" s="339"/>
      <c r="J73" s="339"/>
      <c r="K73" s="339"/>
      <c r="L73" s="339"/>
      <c r="M73" s="28">
        <f>[4]OPERATOR!$G$15+[4]OPERATOR!$I$15+[4]OPERATOR!$K$15+[4]OPERATOR!$O$15+[4]OPERATOR!$Q$15</f>
        <v>16023280</v>
      </c>
      <c r="N73" s="28">
        <f>SUM([5]DESEMBER!$AM$36:$AM$39)</f>
        <v>765368.56</v>
      </c>
      <c r="O73" s="466">
        <f>SUM([4]OPERATOR!$BF$11:$BF$14)</f>
        <v>12992262.82</v>
      </c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K73" s="32"/>
      <c r="AL73" s="33"/>
      <c r="AM73" s="32"/>
      <c r="AN73" s="33"/>
      <c r="AO73" s="32"/>
      <c r="AP73" s="32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372"/>
      <c r="BD73" s="372"/>
      <c r="BE73" s="372"/>
      <c r="BF73" s="372"/>
      <c r="BG73" s="372"/>
      <c r="BH73" s="372"/>
      <c r="BI73" s="372"/>
      <c r="BJ73" s="372"/>
      <c r="BK73" s="372"/>
      <c r="BL73" s="372"/>
      <c r="BM73" s="372"/>
      <c r="BN73" s="372"/>
      <c r="BO73" s="372"/>
      <c r="BP73" s="372"/>
      <c r="BQ73" s="372"/>
      <c r="BR73" s="372"/>
      <c r="BS73" s="372"/>
      <c r="BT73" s="372"/>
      <c r="BU73" s="372"/>
      <c r="BV73" s="372"/>
      <c r="BW73" s="372"/>
      <c r="BX73" s="372"/>
    </row>
    <row r="74" spans="2:76" s="31" customFormat="1" ht="15" customHeight="1">
      <c r="B74" s="136" t="s">
        <v>65</v>
      </c>
      <c r="C74" s="28"/>
      <c r="D74" s="464"/>
      <c r="E74" s="29"/>
      <c r="F74" s="28"/>
      <c r="G74" s="338"/>
      <c r="H74" s="339"/>
      <c r="I74" s="339"/>
      <c r="J74" s="339"/>
      <c r="K74" s="339"/>
      <c r="L74" s="339"/>
      <c r="M74" s="28"/>
      <c r="N74" s="28"/>
      <c r="O74" s="373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K74" s="32"/>
      <c r="AL74" s="33"/>
      <c r="AM74" s="32"/>
      <c r="AN74" s="33"/>
      <c r="AO74" s="32"/>
      <c r="AP74" s="32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372"/>
      <c r="BD74" s="372"/>
      <c r="BE74" s="372"/>
      <c r="BF74" s="372"/>
      <c r="BG74" s="372"/>
      <c r="BH74" s="372"/>
      <c r="BI74" s="372"/>
      <c r="BJ74" s="372"/>
      <c r="BK74" s="372"/>
      <c r="BL74" s="372"/>
      <c r="BM74" s="372"/>
      <c r="BN74" s="372"/>
      <c r="BO74" s="372"/>
      <c r="BP74" s="372"/>
      <c r="BQ74" s="372"/>
      <c r="BR74" s="372"/>
      <c r="BS74" s="372"/>
      <c r="BT74" s="372"/>
      <c r="BU74" s="372"/>
      <c r="BV74" s="372"/>
      <c r="BW74" s="372"/>
      <c r="BX74" s="372"/>
    </row>
    <row r="75" spans="2:76" s="31" customFormat="1" ht="15" customHeight="1">
      <c r="B75" s="136"/>
      <c r="C75" s="28"/>
      <c r="D75" s="464"/>
      <c r="E75" s="29"/>
      <c r="F75" s="28"/>
      <c r="G75" s="338"/>
      <c r="H75" s="339"/>
      <c r="I75" s="339"/>
      <c r="J75" s="339"/>
      <c r="K75" s="339"/>
      <c r="L75" s="339"/>
      <c r="M75" s="28">
        <f>M69+M71+M73</f>
        <v>211274700</v>
      </c>
      <c r="N75" s="28">
        <f>N68+N70+N72</f>
        <v>10209224.960000003</v>
      </c>
      <c r="O75" s="465">
        <f>O68+O70+O72</f>
        <v>40633271.552276164</v>
      </c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K75" s="32"/>
      <c r="AL75" s="33"/>
      <c r="AM75" s="32"/>
      <c r="AN75" s="33"/>
      <c r="AO75" s="32"/>
      <c r="AP75" s="32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372"/>
      <c r="BD75" s="372"/>
      <c r="BE75" s="372"/>
      <c r="BF75" s="372"/>
      <c r="BG75" s="372"/>
      <c r="BH75" s="372"/>
      <c r="BI75" s="372"/>
      <c r="BJ75" s="372"/>
      <c r="BK75" s="372"/>
      <c r="BL75" s="372"/>
      <c r="BM75" s="372"/>
      <c r="BN75" s="372"/>
      <c r="BO75" s="372"/>
      <c r="BP75" s="372"/>
      <c r="BQ75" s="372"/>
      <c r="BR75" s="372"/>
      <c r="BS75" s="372"/>
      <c r="BT75" s="372"/>
      <c r="BU75" s="372"/>
      <c r="BV75" s="372"/>
      <c r="BW75" s="372"/>
      <c r="BX75" s="372"/>
    </row>
    <row r="76" spans="2:76" s="31" customFormat="1" ht="15" customHeight="1">
      <c r="B76" s="136"/>
      <c r="C76" s="28"/>
      <c r="D76" s="464"/>
      <c r="E76" s="29"/>
      <c r="F76" s="28"/>
      <c r="G76" s="338"/>
      <c r="H76" s="339"/>
      <c r="I76" s="339"/>
      <c r="J76" s="339"/>
      <c r="K76" s="339"/>
      <c r="L76" s="339"/>
      <c r="M76" s="28"/>
      <c r="N76" s="28"/>
      <c r="O76" s="373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K76" s="32"/>
      <c r="AL76" s="33"/>
      <c r="AM76" s="32"/>
      <c r="AN76" s="33"/>
      <c r="AO76" s="32"/>
      <c r="AP76" s="32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372"/>
      <c r="BD76" s="372"/>
      <c r="BE76" s="372"/>
      <c r="BF76" s="372"/>
      <c r="BG76" s="372"/>
      <c r="BH76" s="372"/>
      <c r="BI76" s="372"/>
      <c r="BJ76" s="372"/>
      <c r="BK76" s="372"/>
      <c r="BL76" s="372"/>
      <c r="BM76" s="372"/>
      <c r="BN76" s="372"/>
      <c r="BO76" s="372"/>
      <c r="BP76" s="372"/>
      <c r="BQ76" s="372"/>
      <c r="BR76" s="372"/>
      <c r="BS76" s="372"/>
      <c r="BT76" s="372"/>
      <c r="BU76" s="372"/>
      <c r="BV76" s="372"/>
      <c r="BW76" s="372"/>
      <c r="BX76" s="372"/>
    </row>
    <row r="77" spans="2:76" s="31" customFormat="1" ht="15" customHeight="1">
      <c r="B77" s="136"/>
      <c r="C77" s="28"/>
      <c r="D77" s="464"/>
      <c r="E77" s="29"/>
      <c r="F77" s="28"/>
      <c r="G77" s="338"/>
      <c r="H77" s="339"/>
      <c r="I77" s="339"/>
      <c r="J77" s="339"/>
      <c r="K77" s="339"/>
      <c r="L77" s="339"/>
      <c r="M77" s="28"/>
      <c r="N77" s="28"/>
      <c r="O77" s="373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K77" s="32"/>
      <c r="AL77" s="33"/>
      <c r="AM77" s="32"/>
      <c r="AN77" s="33"/>
      <c r="AO77" s="32"/>
      <c r="AP77" s="32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372"/>
      <c r="BD77" s="372"/>
      <c r="BE77" s="372"/>
      <c r="BF77" s="372"/>
      <c r="BG77" s="372"/>
      <c r="BH77" s="372"/>
      <c r="BI77" s="372"/>
      <c r="BJ77" s="372"/>
      <c r="BK77" s="372"/>
      <c r="BL77" s="372"/>
      <c r="BM77" s="372"/>
      <c r="BN77" s="372"/>
      <c r="BO77" s="372"/>
      <c r="BP77" s="372"/>
      <c r="BQ77" s="372"/>
      <c r="BR77" s="372"/>
      <c r="BS77" s="372"/>
      <c r="BT77" s="372"/>
      <c r="BU77" s="372"/>
      <c r="BV77" s="372"/>
      <c r="BW77" s="372"/>
      <c r="BX77" s="372"/>
    </row>
    <row r="78" spans="2:76" s="31" customFormat="1" ht="15" customHeight="1">
      <c r="B78" s="136"/>
      <c r="C78" s="28"/>
      <c r="D78" s="464"/>
      <c r="E78" s="29"/>
      <c r="F78" s="28"/>
      <c r="G78" s="338"/>
      <c r="H78" s="339"/>
      <c r="I78" s="339"/>
      <c r="J78" s="339"/>
      <c r="K78" s="339"/>
      <c r="L78" s="339"/>
      <c r="M78" s="28"/>
      <c r="N78" s="28"/>
      <c r="O78" s="373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K78" s="32"/>
      <c r="AL78" s="33"/>
      <c r="AM78" s="32"/>
      <c r="AN78" s="33"/>
      <c r="AO78" s="32"/>
      <c r="AP78" s="32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372"/>
      <c r="BD78" s="372"/>
      <c r="BE78" s="372"/>
      <c r="BF78" s="372"/>
      <c r="BG78" s="372"/>
      <c r="BH78" s="372"/>
      <c r="BI78" s="372"/>
      <c r="BJ78" s="372"/>
      <c r="BK78" s="372"/>
      <c r="BL78" s="372"/>
      <c r="BM78" s="372"/>
      <c r="BN78" s="372"/>
      <c r="BO78" s="372"/>
      <c r="BP78" s="372"/>
      <c r="BQ78" s="372"/>
      <c r="BR78" s="372"/>
      <c r="BS78" s="372"/>
      <c r="BT78" s="372"/>
      <c r="BU78" s="372"/>
      <c r="BV78" s="372"/>
      <c r="BW78" s="372"/>
      <c r="BX78" s="372"/>
    </row>
    <row r="79" spans="2:76" s="136" customFormat="1" ht="15" customHeight="1">
      <c r="B79" s="358">
        <v>27</v>
      </c>
      <c r="C79" s="132" t="str">
        <f>+PERBULAN!B79</f>
        <v>RIO RESFATI</v>
      </c>
      <c r="D79" s="55" t="s">
        <v>279</v>
      </c>
      <c r="E79" s="144" t="s">
        <v>69</v>
      </c>
      <c r="F79" s="364" t="s">
        <v>337</v>
      </c>
      <c r="G79" s="350" t="s">
        <v>362</v>
      </c>
      <c r="H79" s="362" t="s">
        <v>39</v>
      </c>
      <c r="I79" s="365" t="s">
        <v>9</v>
      </c>
      <c r="J79" s="395" t="str">
        <f t="shared" ref="J79:J89" si="44">IF(ISBLANK(I79),"",IF(OR(I79="TK/0",I79="TK/1",I79="K/0"),"TER A",IF(I79="K/3","TER C","TER B")))</f>
        <v>TER B</v>
      </c>
      <c r="K79" s="393"/>
      <c r="L79" s="393"/>
      <c r="M79" s="396"/>
      <c r="N79" s="396"/>
      <c r="O79" s="396"/>
      <c r="P79" s="138">
        <v>0</v>
      </c>
      <c r="Q79" s="138">
        <f t="shared" ref="Q79:Q89" si="45">SUM(M79:P79)</f>
        <v>0</v>
      </c>
      <c r="R79" s="138">
        <f>+SETAHUN!H208</f>
        <v>4035600</v>
      </c>
      <c r="S79" s="138">
        <f>+SETAHUN!K208</f>
        <v>0</v>
      </c>
      <c r="T79" s="138">
        <v>0</v>
      </c>
      <c r="U79" s="138">
        <f>+SETAHUN!F208+M79+N79</f>
        <v>9991495.1199999992</v>
      </c>
      <c r="V79" s="138">
        <v>0</v>
      </c>
      <c r="W79" s="138">
        <f>+SETAHUN!U208+O79</f>
        <v>377894.88</v>
      </c>
      <c r="X79" s="138">
        <v>0</v>
      </c>
      <c r="Y79" s="138">
        <v>0</v>
      </c>
      <c r="Z79" s="138">
        <f t="shared" ref="Z79:Z89" si="46">SUM(R79:T79)</f>
        <v>4035600</v>
      </c>
      <c r="AA79" s="138">
        <f t="shared" ref="AA79:AA89" si="47">SUM(U79:Z79)</f>
        <v>14404990</v>
      </c>
      <c r="AB79" s="138">
        <f t="shared" ref="AB79:AB89" si="48">ROUND(IF((AA79)*5%&gt;6000000,6000000,(AA79)*5%),0)</f>
        <v>720250</v>
      </c>
      <c r="AC79" s="138">
        <f>((3876600*3%)*(L79-K79+1))</f>
        <v>116298</v>
      </c>
      <c r="AD79" s="138">
        <f t="shared" ref="AD79:AD89" si="49">AA79-AB79-AC79</f>
        <v>13568442</v>
      </c>
      <c r="AE79" s="139">
        <f t="shared" ref="AE79:AE89" si="50">IFERROR(VLOOKUP(I79,TARIF,3,FALSE),0)</f>
        <v>63000000</v>
      </c>
      <c r="AF79" s="139">
        <f t="shared" ref="AF79:AF89" si="51">ROUNDDOWN(IF(AD79&lt;=AE79,0,IF(AD79&gt;AE79,AD79-AE79)),-3)</f>
        <v>0</v>
      </c>
      <c r="AG79" s="397">
        <f t="shared" ref="AG79:AG89" si="52">IF(AF79&gt;5000000000,AF79*35%-306000000,IF(AF79&gt;500000000,AF79*30%-56000000,IF(AF79&gt;250000000,AF79*25%-31000000,IF(AF79&gt;60000000,AF79*15%-6000000,AF79*5%))))</f>
        <v>0</v>
      </c>
      <c r="AH79" s="140">
        <f t="shared" ref="AH79:AH89" si="53">ROUND(IF(E79=0,AG79*120%,AG79),0)</f>
        <v>0</v>
      </c>
      <c r="AI79" s="67">
        <f>+'PAJAK JAN-NOV'!R78</f>
        <v>0</v>
      </c>
      <c r="AJ79" s="142">
        <f t="shared" ref="AJ79:AJ89" si="54">IF(AG79&lt;=AI79,0,IF(AG79&gt;AI79,AG79-AI79))</f>
        <v>0</v>
      </c>
      <c r="AK79" s="32"/>
      <c r="AL79" s="33">
        <f t="shared" ref="AL79:AL89" si="55">AI79-AH79</f>
        <v>0</v>
      </c>
      <c r="AM79" s="32"/>
      <c r="AN79" s="33"/>
      <c r="AO79" s="32"/>
      <c r="AP79" s="32"/>
    </row>
    <row r="80" spans="2:76" s="136" customFormat="1" ht="15" customHeight="1">
      <c r="B80" s="131">
        <v>12</v>
      </c>
      <c r="C80" s="132" t="str">
        <f>+PERBULAN!B80</f>
        <v>YANTI NOVITA</v>
      </c>
      <c r="D80" s="133" t="s">
        <v>262</v>
      </c>
      <c r="E80" s="146" t="s">
        <v>437</v>
      </c>
      <c r="F80" s="143" t="s">
        <v>325</v>
      </c>
      <c r="G80" s="350" t="s">
        <v>530</v>
      </c>
      <c r="H80" s="134" t="s">
        <v>38</v>
      </c>
      <c r="I80" s="135" t="s">
        <v>7</v>
      </c>
      <c r="J80" s="147" t="str">
        <f t="shared" si="44"/>
        <v>TER A</v>
      </c>
      <c r="K80" s="393">
        <v>1</v>
      </c>
      <c r="L80" s="393"/>
      <c r="M80" s="138"/>
      <c r="N80" s="138"/>
      <c r="O80" s="138"/>
      <c r="P80" s="138">
        <v>0</v>
      </c>
      <c r="Q80" s="138">
        <f t="shared" si="45"/>
        <v>0</v>
      </c>
      <c r="R80" s="138">
        <f>+SETAHUN!H209</f>
        <v>3991100</v>
      </c>
      <c r="S80" s="138">
        <f>+SETAHUN!K209</f>
        <v>0</v>
      </c>
      <c r="T80" s="138">
        <v>0</v>
      </c>
      <c r="U80" s="138">
        <f>+SETAHUN!F209+M80+N80</f>
        <v>11973298.68</v>
      </c>
      <c r="V80" s="138">
        <v>0</v>
      </c>
      <c r="W80" s="138">
        <f>+SETAHUN!U209+O80</f>
        <v>568522.31999999995</v>
      </c>
      <c r="X80" s="138">
        <v>0</v>
      </c>
      <c r="Y80" s="138">
        <v>0</v>
      </c>
      <c r="Z80" s="138">
        <f t="shared" si="46"/>
        <v>3991100</v>
      </c>
      <c r="AA80" s="138">
        <f t="shared" si="47"/>
        <v>16532921</v>
      </c>
      <c r="AB80" s="138">
        <f t="shared" si="48"/>
        <v>826646</v>
      </c>
      <c r="AC80" s="138">
        <f>((3876600*3%)*(L80-K80+1))</f>
        <v>0</v>
      </c>
      <c r="AD80" s="138">
        <f t="shared" si="49"/>
        <v>15706275</v>
      </c>
      <c r="AE80" s="139">
        <f t="shared" si="50"/>
        <v>54000000</v>
      </c>
      <c r="AF80" s="139">
        <f t="shared" si="51"/>
        <v>0</v>
      </c>
      <c r="AG80" s="140">
        <f t="shared" si="52"/>
        <v>0</v>
      </c>
      <c r="AH80" s="140">
        <f t="shared" si="53"/>
        <v>0</v>
      </c>
      <c r="AI80" s="67">
        <f>+'PAJAK JAN-NOV'!R79</f>
        <v>124548</v>
      </c>
      <c r="AJ80" s="142">
        <f t="shared" si="54"/>
        <v>0</v>
      </c>
      <c r="AK80" s="32"/>
      <c r="AL80" s="33">
        <f t="shared" si="55"/>
        <v>124548</v>
      </c>
      <c r="AM80" s="32"/>
      <c r="AN80" s="33"/>
      <c r="AO80" s="32"/>
      <c r="AP80" s="32"/>
    </row>
    <row r="81" spans="2:76" s="136" customFormat="1" ht="15" customHeight="1">
      <c r="B81" s="131">
        <v>60</v>
      </c>
      <c r="C81" s="132" t="str">
        <f>+PERBULAN!B81</f>
        <v>EDI ZULKARNADI</v>
      </c>
      <c r="D81" s="137" t="s">
        <v>538</v>
      </c>
      <c r="E81" s="37" t="s">
        <v>542</v>
      </c>
      <c r="F81" s="366" t="s">
        <v>539</v>
      </c>
      <c r="G81" s="350" t="s">
        <v>526</v>
      </c>
      <c r="H81" s="362" t="s">
        <v>39</v>
      </c>
      <c r="I81" s="353" t="s">
        <v>9</v>
      </c>
      <c r="J81" s="147" t="str">
        <f t="shared" si="44"/>
        <v>TER B</v>
      </c>
      <c r="K81" s="393">
        <v>1</v>
      </c>
      <c r="L81" s="393"/>
      <c r="M81" s="139"/>
      <c r="N81" s="139"/>
      <c r="O81" s="139"/>
      <c r="P81" s="138">
        <v>0</v>
      </c>
      <c r="Q81" s="138">
        <f t="shared" si="45"/>
        <v>0</v>
      </c>
      <c r="R81" s="138">
        <f>+SETAHUN!H210</f>
        <v>3998100</v>
      </c>
      <c r="S81" s="138">
        <f>+SETAHUN!K210</f>
        <v>600000</v>
      </c>
      <c r="T81" s="138">
        <v>0</v>
      </c>
      <c r="U81" s="138">
        <f>+SETAHUN!F210+M81+N81</f>
        <v>25387320.799999993</v>
      </c>
      <c r="V81" s="138">
        <v>0</v>
      </c>
      <c r="W81" s="138">
        <f>+SETAHUN!U210+O81</f>
        <v>1131764.6399999999</v>
      </c>
      <c r="X81" s="138">
        <v>0</v>
      </c>
      <c r="Y81" s="138">
        <v>0</v>
      </c>
      <c r="Z81" s="138">
        <f t="shared" si="46"/>
        <v>4598100</v>
      </c>
      <c r="AA81" s="138">
        <f t="shared" si="47"/>
        <v>31117185.439999994</v>
      </c>
      <c r="AB81" s="138">
        <f t="shared" si="48"/>
        <v>1555859</v>
      </c>
      <c r="AC81" s="138">
        <f>((3876600*3%)*(L81-K81+1))</f>
        <v>0</v>
      </c>
      <c r="AD81" s="138">
        <f t="shared" si="49"/>
        <v>29561326.439999994</v>
      </c>
      <c r="AE81" s="139">
        <f t="shared" si="50"/>
        <v>63000000</v>
      </c>
      <c r="AF81" s="139">
        <f t="shared" si="51"/>
        <v>0</v>
      </c>
      <c r="AG81" s="140">
        <f t="shared" si="52"/>
        <v>0</v>
      </c>
      <c r="AH81" s="140">
        <f t="shared" si="53"/>
        <v>0</v>
      </c>
      <c r="AI81" s="67">
        <f>+'PAJAK JAN-NOV'!R80</f>
        <v>85203</v>
      </c>
      <c r="AJ81" s="142">
        <f t="shared" si="54"/>
        <v>0</v>
      </c>
      <c r="AK81" s="32"/>
      <c r="AL81" s="33">
        <f t="shared" si="55"/>
        <v>85203</v>
      </c>
      <c r="AM81" s="32"/>
      <c r="AN81" s="33"/>
      <c r="AO81" s="32"/>
      <c r="AP81" s="32"/>
    </row>
    <row r="82" spans="2:76" s="136" customFormat="1" ht="15" customHeight="1">
      <c r="B82" s="131">
        <v>37</v>
      </c>
      <c r="C82" s="132" t="str">
        <f>+PERBULAN!B82</f>
        <v>SUNARDI</v>
      </c>
      <c r="D82" s="137" t="s">
        <v>291</v>
      </c>
      <c r="E82" s="37" t="s">
        <v>69</v>
      </c>
      <c r="F82" s="366" t="s">
        <v>191</v>
      </c>
      <c r="G82" s="350" t="s">
        <v>526</v>
      </c>
      <c r="H82" s="362" t="s">
        <v>39</v>
      </c>
      <c r="I82" s="353" t="s">
        <v>11</v>
      </c>
      <c r="J82" s="147" t="str">
        <f t="shared" si="44"/>
        <v>TER B</v>
      </c>
      <c r="K82" s="393">
        <v>1</v>
      </c>
      <c r="L82" s="393"/>
      <c r="M82" s="139"/>
      <c r="N82" s="139"/>
      <c r="O82" s="139"/>
      <c r="P82" s="138">
        <v>0</v>
      </c>
      <c r="Q82" s="138">
        <f t="shared" si="45"/>
        <v>0</v>
      </c>
      <c r="R82" s="138">
        <f>+SETAHUN!H211</f>
        <v>4053100</v>
      </c>
      <c r="S82" s="138">
        <f>+SETAHUN!K211</f>
        <v>200000</v>
      </c>
      <c r="T82" s="138">
        <v>0</v>
      </c>
      <c r="U82" s="138">
        <f>+SETAHUN!F211+M82+N82</f>
        <v>27063209.359999996</v>
      </c>
      <c r="V82" s="138">
        <v>0</v>
      </c>
      <c r="W82" s="138">
        <f>+SETAHUN!U211+O82</f>
        <v>1127964.6399999999</v>
      </c>
      <c r="X82" s="138">
        <v>0</v>
      </c>
      <c r="Y82" s="138">
        <v>0</v>
      </c>
      <c r="Z82" s="138">
        <f t="shared" si="46"/>
        <v>4253100</v>
      </c>
      <c r="AA82" s="138">
        <f t="shared" si="47"/>
        <v>32444273.999999996</v>
      </c>
      <c r="AB82" s="138">
        <f t="shared" si="48"/>
        <v>1622214</v>
      </c>
      <c r="AC82" s="138">
        <f>((3876600*3%)*(L82-K82+1))</f>
        <v>0</v>
      </c>
      <c r="AD82" s="138">
        <f t="shared" si="49"/>
        <v>30822059.999999996</v>
      </c>
      <c r="AE82" s="139">
        <f t="shared" si="50"/>
        <v>67500000</v>
      </c>
      <c r="AF82" s="139">
        <f t="shared" si="51"/>
        <v>0</v>
      </c>
      <c r="AG82" s="140">
        <f t="shared" si="52"/>
        <v>0</v>
      </c>
      <c r="AH82" s="140">
        <f t="shared" si="53"/>
        <v>0</v>
      </c>
      <c r="AI82" s="67">
        <f>+'PAJAK JAN-NOV'!R81</f>
        <v>87096</v>
      </c>
      <c r="AJ82" s="142">
        <f t="shared" si="54"/>
        <v>0</v>
      </c>
      <c r="AK82" s="32"/>
      <c r="AL82" s="33">
        <f t="shared" si="55"/>
        <v>87096</v>
      </c>
      <c r="AM82" s="32"/>
      <c r="AN82" s="33"/>
      <c r="AO82" s="32"/>
      <c r="AP82" s="32"/>
    </row>
    <row r="83" spans="2:76" s="136" customFormat="1" ht="15" customHeight="1">
      <c r="B83" s="131">
        <v>29</v>
      </c>
      <c r="C83" s="132" t="str">
        <f>+PERBULAN!B83</f>
        <v>MUSNI</v>
      </c>
      <c r="D83" s="55" t="s">
        <v>283</v>
      </c>
      <c r="E83" s="56" t="s">
        <v>69</v>
      </c>
      <c r="F83" s="364" t="s">
        <v>196</v>
      </c>
      <c r="G83" s="350" t="s">
        <v>526</v>
      </c>
      <c r="H83" s="362" t="s">
        <v>39</v>
      </c>
      <c r="I83" s="365" t="s">
        <v>17</v>
      </c>
      <c r="J83" s="395" t="str">
        <f t="shared" si="44"/>
        <v>TER A</v>
      </c>
      <c r="K83" s="393">
        <v>1</v>
      </c>
      <c r="L83" s="393"/>
      <c r="M83" s="139"/>
      <c r="N83" s="396"/>
      <c r="O83" s="396"/>
      <c r="P83" s="138">
        <v>0</v>
      </c>
      <c r="Q83" s="138">
        <f t="shared" si="45"/>
        <v>0</v>
      </c>
      <c r="R83" s="138">
        <f>+SETAHUN!H212</f>
        <v>4008600</v>
      </c>
      <c r="S83" s="138">
        <f>+SETAHUN!K212</f>
        <v>900000</v>
      </c>
      <c r="T83" s="138">
        <v>0</v>
      </c>
      <c r="U83" s="138">
        <f>+SETAHUN!F212+M83+N83</f>
        <v>33018563.519999996</v>
      </c>
      <c r="V83" s="138">
        <v>0</v>
      </c>
      <c r="W83" s="138">
        <f>+SETAHUN!U212+O83</f>
        <v>1319448.48</v>
      </c>
      <c r="X83" s="138">
        <v>0</v>
      </c>
      <c r="Y83" s="138">
        <v>0</v>
      </c>
      <c r="Z83" s="138">
        <f t="shared" si="46"/>
        <v>4908600</v>
      </c>
      <c r="AA83" s="138">
        <f t="shared" si="47"/>
        <v>39246611.999999993</v>
      </c>
      <c r="AB83" s="138">
        <f t="shared" si="48"/>
        <v>1962331</v>
      </c>
      <c r="AC83" s="138">
        <f>('ASTEK+PENSIUN-DIISI SMPAI DES'!O168+'ASTEK+PENSIUN-DIISI SMPAI DES'!O81)</f>
        <v>814716</v>
      </c>
      <c r="AD83" s="138">
        <f t="shared" si="49"/>
        <v>36469564.999999993</v>
      </c>
      <c r="AE83" s="139">
        <f t="shared" si="50"/>
        <v>58500000</v>
      </c>
      <c r="AF83" s="139">
        <f t="shared" si="51"/>
        <v>0</v>
      </c>
      <c r="AG83" s="397">
        <f t="shared" si="52"/>
        <v>0</v>
      </c>
      <c r="AH83" s="140">
        <f t="shared" si="53"/>
        <v>0</v>
      </c>
      <c r="AI83" s="67">
        <f>+'PAJAK JAN-NOV'!R82</f>
        <v>220221</v>
      </c>
      <c r="AJ83" s="142">
        <f t="shared" si="54"/>
        <v>0</v>
      </c>
      <c r="AK83" s="32" t="str">
        <f>+'PAJAK JAN-NOV'!B82</f>
        <v>MUSNI</v>
      </c>
      <c r="AL83" s="33">
        <f t="shared" si="55"/>
        <v>220221</v>
      </c>
      <c r="AM83" s="32"/>
      <c r="AN83" s="33"/>
      <c r="AO83" s="32"/>
      <c r="AP83" s="32"/>
    </row>
    <row r="84" spans="2:76" s="136" customFormat="1" ht="15" customHeight="1">
      <c r="B84" s="131">
        <v>31</v>
      </c>
      <c r="C84" s="132" t="str">
        <f>+PERBULAN!B84</f>
        <v>ARPANDI</v>
      </c>
      <c r="D84" s="55" t="s">
        <v>285</v>
      </c>
      <c r="E84" s="56" t="s">
        <v>69</v>
      </c>
      <c r="F84" s="364" t="s">
        <v>342</v>
      </c>
      <c r="G84" s="350" t="s">
        <v>526</v>
      </c>
      <c r="H84" s="362" t="s">
        <v>39</v>
      </c>
      <c r="I84" s="365" t="s">
        <v>9</v>
      </c>
      <c r="J84" s="395" t="str">
        <f t="shared" si="44"/>
        <v>TER B</v>
      </c>
      <c r="K84" s="393">
        <v>1</v>
      </c>
      <c r="L84" s="393"/>
      <c r="M84" s="139"/>
      <c r="N84" s="396"/>
      <c r="O84" s="396"/>
      <c r="P84" s="138">
        <v>0</v>
      </c>
      <c r="Q84" s="138">
        <f t="shared" si="45"/>
        <v>0</v>
      </c>
      <c r="R84" s="138">
        <f>+SETAHUN!H213</f>
        <v>4034100</v>
      </c>
      <c r="S84" s="138">
        <f>+SETAHUN!K213</f>
        <v>200000</v>
      </c>
      <c r="T84" s="138">
        <v>0</v>
      </c>
      <c r="U84" s="138">
        <f>+SETAHUN!F213+M84+N84</f>
        <v>33863773.519999996</v>
      </c>
      <c r="V84" s="138">
        <v>0</v>
      </c>
      <c r="W84" s="138">
        <f>+SETAHUN!U213+O84</f>
        <v>1318728.48</v>
      </c>
      <c r="X84" s="138">
        <v>0</v>
      </c>
      <c r="Y84" s="138">
        <v>0</v>
      </c>
      <c r="Z84" s="138">
        <f t="shared" si="46"/>
        <v>4234100</v>
      </c>
      <c r="AA84" s="138">
        <f t="shared" si="47"/>
        <v>39416601.999999993</v>
      </c>
      <c r="AB84" s="138">
        <f t="shared" si="48"/>
        <v>1970830</v>
      </c>
      <c r="AC84" s="138">
        <f>('ASTEK+PENSIUN-DIISI SMPAI DES'!O169+'ASTEK+PENSIUN-DIISI SMPAI DES'!O82)</f>
        <v>814716</v>
      </c>
      <c r="AD84" s="138">
        <f t="shared" si="49"/>
        <v>36631055.999999993</v>
      </c>
      <c r="AE84" s="139">
        <f t="shared" si="50"/>
        <v>63000000</v>
      </c>
      <c r="AF84" s="139">
        <f t="shared" si="51"/>
        <v>0</v>
      </c>
      <c r="AG84" s="397">
        <f t="shared" si="52"/>
        <v>0</v>
      </c>
      <c r="AH84" s="140">
        <f t="shared" si="53"/>
        <v>0</v>
      </c>
      <c r="AI84" s="67">
        <f>+'PAJAK JAN-NOV'!R83</f>
        <v>139353</v>
      </c>
      <c r="AJ84" s="142">
        <f t="shared" si="54"/>
        <v>0</v>
      </c>
      <c r="AK84" s="32" t="str">
        <f>+'PAJAK JAN-NOV'!B83</f>
        <v>ARPANDI</v>
      </c>
      <c r="AL84" s="33">
        <f t="shared" si="55"/>
        <v>139353</v>
      </c>
      <c r="AM84" s="32"/>
      <c r="AN84" s="33"/>
      <c r="AO84" s="32"/>
      <c r="AP84" s="32"/>
    </row>
    <row r="85" spans="2:76" s="136" customFormat="1" ht="15" customHeight="1">
      <c r="B85" s="131">
        <v>32</v>
      </c>
      <c r="C85" s="132" t="str">
        <f>+PERBULAN!B85</f>
        <v>MASRI</v>
      </c>
      <c r="D85" s="55" t="s">
        <v>286</v>
      </c>
      <c r="E85" s="56" t="s">
        <v>69</v>
      </c>
      <c r="F85" s="364" t="s">
        <v>343</v>
      </c>
      <c r="G85" s="350" t="s">
        <v>526</v>
      </c>
      <c r="H85" s="362" t="s">
        <v>39</v>
      </c>
      <c r="I85" s="365" t="s">
        <v>9</v>
      </c>
      <c r="J85" s="395" t="str">
        <f t="shared" si="44"/>
        <v>TER B</v>
      </c>
      <c r="K85" s="393">
        <v>1</v>
      </c>
      <c r="L85" s="393"/>
      <c r="M85" s="139"/>
      <c r="N85" s="396"/>
      <c r="O85" s="396"/>
      <c r="P85" s="138">
        <v>0</v>
      </c>
      <c r="Q85" s="138">
        <f t="shared" si="45"/>
        <v>0</v>
      </c>
      <c r="R85" s="138">
        <f>+SETAHUN!H214</f>
        <v>4040100</v>
      </c>
      <c r="S85" s="138">
        <f>+SETAHUN!K214</f>
        <v>200000</v>
      </c>
      <c r="T85" s="138">
        <v>0</v>
      </c>
      <c r="U85" s="138">
        <f>+SETAHUN!F214+M85+N85</f>
        <v>32895812.119999997</v>
      </c>
      <c r="V85" s="138">
        <v>0</v>
      </c>
      <c r="W85" s="138">
        <f>+SETAHUN!U214+O85</f>
        <v>1320818.8799999999</v>
      </c>
      <c r="X85" s="138">
        <v>0</v>
      </c>
      <c r="Y85" s="138">
        <v>0</v>
      </c>
      <c r="Z85" s="138">
        <f t="shared" si="46"/>
        <v>4240100</v>
      </c>
      <c r="AA85" s="138">
        <f t="shared" si="47"/>
        <v>38456731</v>
      </c>
      <c r="AB85" s="138">
        <f t="shared" si="48"/>
        <v>1922837</v>
      </c>
      <c r="AC85" s="138">
        <f>('ASTEK+PENSIUN-DIISI SMPAI DES'!O170+'ASTEK+PENSIUN-DIISI SMPAI DES'!O83)</f>
        <v>814896</v>
      </c>
      <c r="AD85" s="138">
        <f t="shared" si="49"/>
        <v>35718998</v>
      </c>
      <c r="AE85" s="139">
        <f t="shared" si="50"/>
        <v>63000000</v>
      </c>
      <c r="AF85" s="139">
        <f t="shared" si="51"/>
        <v>0</v>
      </c>
      <c r="AG85" s="397">
        <f t="shared" si="52"/>
        <v>0</v>
      </c>
      <c r="AH85" s="140">
        <f t="shared" si="53"/>
        <v>0</v>
      </c>
      <c r="AI85" s="67">
        <f>+'PAJAK JAN-NOV'!R84</f>
        <v>88787</v>
      </c>
      <c r="AJ85" s="142">
        <f t="shared" si="54"/>
        <v>0</v>
      </c>
      <c r="AK85" s="32" t="str">
        <f>+'PAJAK JAN-NOV'!B84</f>
        <v>MASRI</v>
      </c>
      <c r="AL85" s="33">
        <f t="shared" si="55"/>
        <v>88787</v>
      </c>
      <c r="AM85" s="32"/>
      <c r="AN85" s="33"/>
      <c r="AO85" s="32"/>
      <c r="AP85" s="32"/>
    </row>
    <row r="86" spans="2:76" s="136" customFormat="1" ht="15" customHeight="1">
      <c r="B86" s="131">
        <v>35</v>
      </c>
      <c r="C86" s="132" t="str">
        <f>+PERBULAN!B86</f>
        <v>HARDIANSYAH</v>
      </c>
      <c r="D86" s="137" t="s">
        <v>289</v>
      </c>
      <c r="E86" s="37" t="s">
        <v>69</v>
      </c>
      <c r="F86" s="366" t="s">
        <v>195</v>
      </c>
      <c r="G86" s="350" t="s">
        <v>526</v>
      </c>
      <c r="H86" s="362" t="s">
        <v>39</v>
      </c>
      <c r="I86" s="353" t="s">
        <v>11</v>
      </c>
      <c r="J86" s="147" t="str">
        <f t="shared" si="44"/>
        <v>TER B</v>
      </c>
      <c r="K86" s="393">
        <v>1</v>
      </c>
      <c r="L86" s="393"/>
      <c r="M86" s="139"/>
      <c r="N86" s="139"/>
      <c r="O86" s="139"/>
      <c r="P86" s="138">
        <v>0</v>
      </c>
      <c r="Q86" s="138">
        <f t="shared" si="45"/>
        <v>0</v>
      </c>
      <c r="R86" s="138">
        <f>+SETAHUN!H215</f>
        <v>4053100</v>
      </c>
      <c r="S86" s="138">
        <f>+SETAHUN!K215</f>
        <v>600000</v>
      </c>
      <c r="T86" s="138">
        <v>0</v>
      </c>
      <c r="U86" s="138">
        <f>+SETAHUN!F215+M86+N86</f>
        <v>33102182.919999994</v>
      </c>
      <c r="V86" s="138">
        <v>0</v>
      </c>
      <c r="W86" s="138">
        <f>+SETAHUN!U215+O86</f>
        <v>1316497.08</v>
      </c>
      <c r="X86" s="138">
        <v>0</v>
      </c>
      <c r="Y86" s="138">
        <v>0</v>
      </c>
      <c r="Z86" s="138">
        <f t="shared" si="46"/>
        <v>4653100</v>
      </c>
      <c r="AA86" s="138">
        <f t="shared" si="47"/>
        <v>39071779.999999993</v>
      </c>
      <c r="AB86" s="138">
        <f t="shared" si="48"/>
        <v>1953589</v>
      </c>
      <c r="AC86" s="138">
        <f>('ASTEK+PENSIUN-DIISI SMPAI DES'!O171+'ASTEK+PENSIUN-DIISI SMPAI DES'!O84)</f>
        <v>814461</v>
      </c>
      <c r="AD86" s="138">
        <f t="shared" si="49"/>
        <v>36303729.999999993</v>
      </c>
      <c r="AE86" s="139">
        <f t="shared" si="50"/>
        <v>67500000</v>
      </c>
      <c r="AF86" s="139">
        <f t="shared" si="51"/>
        <v>0</v>
      </c>
      <c r="AG86" s="140">
        <f t="shared" si="52"/>
        <v>0</v>
      </c>
      <c r="AH86" s="140">
        <f t="shared" si="53"/>
        <v>0</v>
      </c>
      <c r="AI86" s="67">
        <f>+'PAJAK JAN-NOV'!R85</f>
        <v>88930</v>
      </c>
      <c r="AJ86" s="142">
        <f t="shared" si="54"/>
        <v>0</v>
      </c>
      <c r="AK86" s="32" t="str">
        <f>+'PAJAK JAN-NOV'!B85</f>
        <v>HARDIANSYAH</v>
      </c>
      <c r="AL86" s="33">
        <f t="shared" si="55"/>
        <v>88930</v>
      </c>
      <c r="AM86" s="32"/>
      <c r="AN86" s="33"/>
      <c r="AO86" s="32"/>
      <c r="AP86" s="32"/>
    </row>
    <row r="87" spans="2:76" s="136" customFormat="1" ht="15" customHeight="1">
      <c r="B87" s="131">
        <v>41</v>
      </c>
      <c r="C87" s="132" t="str">
        <f>+PERBULAN!B87</f>
        <v>SALEH</v>
      </c>
      <c r="D87" s="137" t="s">
        <v>302</v>
      </c>
      <c r="E87" s="37" t="s">
        <v>69</v>
      </c>
      <c r="F87" s="366" t="s">
        <v>354</v>
      </c>
      <c r="G87" s="350" t="s">
        <v>526</v>
      </c>
      <c r="H87" s="362" t="s">
        <v>39</v>
      </c>
      <c r="I87" s="353" t="s">
        <v>17</v>
      </c>
      <c r="J87" s="147" t="str">
        <f t="shared" si="44"/>
        <v>TER A</v>
      </c>
      <c r="K87" s="393">
        <v>1</v>
      </c>
      <c r="L87" s="393"/>
      <c r="M87" s="139"/>
      <c r="N87" s="139"/>
      <c r="O87" s="139"/>
      <c r="P87" s="138">
        <v>0</v>
      </c>
      <c r="Q87" s="138">
        <f t="shared" si="45"/>
        <v>0</v>
      </c>
      <c r="R87" s="138">
        <f>+SETAHUN!H216</f>
        <v>3990100</v>
      </c>
      <c r="S87" s="138">
        <f>+SETAHUN!K216</f>
        <v>200000</v>
      </c>
      <c r="T87" s="138">
        <v>0</v>
      </c>
      <c r="U87" s="138">
        <f>+SETAHUN!F216+M87+N87</f>
        <v>33525064.919999994</v>
      </c>
      <c r="V87" s="138">
        <v>0</v>
      </c>
      <c r="W87" s="138">
        <f>+SETAHUN!U216+O87</f>
        <v>1314113.08</v>
      </c>
      <c r="X87" s="138">
        <v>0</v>
      </c>
      <c r="Y87" s="138">
        <v>0</v>
      </c>
      <c r="Z87" s="138">
        <f t="shared" si="46"/>
        <v>4190100</v>
      </c>
      <c r="AA87" s="138">
        <f t="shared" si="47"/>
        <v>39029277.999999993</v>
      </c>
      <c r="AB87" s="138">
        <f t="shared" si="48"/>
        <v>1951464</v>
      </c>
      <c r="AC87" s="138">
        <f>('ASTEK+PENSIUN-DIISI SMPAI DES'!O172+'ASTEK+PENSIUN-DIISI SMPAI DES'!O85)</f>
        <v>814161</v>
      </c>
      <c r="AD87" s="138">
        <f t="shared" si="49"/>
        <v>36263652.999999993</v>
      </c>
      <c r="AE87" s="139">
        <f t="shared" si="50"/>
        <v>58500000</v>
      </c>
      <c r="AF87" s="139">
        <f t="shared" si="51"/>
        <v>0</v>
      </c>
      <c r="AG87" s="140">
        <f t="shared" si="52"/>
        <v>0</v>
      </c>
      <c r="AH87" s="140">
        <f t="shared" si="53"/>
        <v>0</v>
      </c>
      <c r="AI87" s="67">
        <f>+'PAJAK JAN-NOV'!R86</f>
        <v>246332</v>
      </c>
      <c r="AJ87" s="142">
        <f t="shared" si="54"/>
        <v>0</v>
      </c>
      <c r="AK87" s="32" t="str">
        <f>+'PAJAK JAN-NOV'!B86</f>
        <v>SALEH</v>
      </c>
      <c r="AL87" s="33">
        <f t="shared" si="55"/>
        <v>246332</v>
      </c>
      <c r="AM87" s="32"/>
      <c r="AN87" s="33"/>
      <c r="AO87" s="32"/>
      <c r="AP87" s="32"/>
    </row>
    <row r="88" spans="2:76" s="136" customFormat="1" ht="15" customHeight="1">
      <c r="B88" s="131">
        <v>48</v>
      </c>
      <c r="C88" s="132" t="str">
        <f>+PERBULAN!B88</f>
        <v>JUFRI</v>
      </c>
      <c r="D88" s="137" t="s">
        <v>315</v>
      </c>
      <c r="E88" s="37" t="s">
        <v>69</v>
      </c>
      <c r="F88" s="366" t="s">
        <v>361</v>
      </c>
      <c r="G88" s="350" t="s">
        <v>526</v>
      </c>
      <c r="H88" s="362" t="s">
        <v>39</v>
      </c>
      <c r="I88" s="353" t="s">
        <v>11</v>
      </c>
      <c r="J88" s="147" t="str">
        <f t="shared" si="44"/>
        <v>TER B</v>
      </c>
      <c r="K88" s="393">
        <v>1</v>
      </c>
      <c r="L88" s="393"/>
      <c r="M88" s="139"/>
      <c r="N88" s="139"/>
      <c r="O88" s="139"/>
      <c r="P88" s="138">
        <v>0</v>
      </c>
      <c r="Q88" s="138">
        <f t="shared" si="45"/>
        <v>0</v>
      </c>
      <c r="R88" s="138">
        <f>+SETAHUN!H217</f>
        <v>4050600</v>
      </c>
      <c r="S88" s="138">
        <f>+SETAHUN!K217</f>
        <v>200000</v>
      </c>
      <c r="T88" s="138">
        <v>0</v>
      </c>
      <c r="U88" s="138">
        <f>+SETAHUN!F217+M88+N88</f>
        <v>31572635.919999994</v>
      </c>
      <c r="V88" s="138">
        <v>0</v>
      </c>
      <c r="W88" s="138">
        <f>+SETAHUN!U217+O88</f>
        <v>1315776.08</v>
      </c>
      <c r="X88" s="138">
        <v>0</v>
      </c>
      <c r="Y88" s="138">
        <v>0</v>
      </c>
      <c r="Z88" s="138">
        <f t="shared" si="46"/>
        <v>4250600</v>
      </c>
      <c r="AA88" s="138">
        <f t="shared" si="47"/>
        <v>37139011.999999993</v>
      </c>
      <c r="AB88" s="138">
        <f t="shared" si="48"/>
        <v>1856951</v>
      </c>
      <c r="AC88" s="138">
        <f>('ASTEK+PENSIUN-DIISI SMPAI DES'!O173+'ASTEK+PENSIUN-DIISI SMPAI DES'!O86)</f>
        <v>814386</v>
      </c>
      <c r="AD88" s="138">
        <f t="shared" si="49"/>
        <v>34467674.999999993</v>
      </c>
      <c r="AE88" s="139">
        <f t="shared" si="50"/>
        <v>67500000</v>
      </c>
      <c r="AF88" s="139">
        <f t="shared" si="51"/>
        <v>0</v>
      </c>
      <c r="AG88" s="140">
        <f t="shared" si="52"/>
        <v>0</v>
      </c>
      <c r="AH88" s="140">
        <f t="shared" si="53"/>
        <v>0</v>
      </c>
      <c r="AI88" s="67">
        <f>+'PAJAK JAN-NOV'!R87</f>
        <v>85964</v>
      </c>
      <c r="AJ88" s="142">
        <f t="shared" si="54"/>
        <v>0</v>
      </c>
      <c r="AK88" s="32" t="str">
        <f>+'PAJAK JAN-NOV'!B87</f>
        <v>JUFRI</v>
      </c>
      <c r="AL88" s="33">
        <f t="shared" si="55"/>
        <v>85964</v>
      </c>
      <c r="AM88" s="32"/>
      <c r="AN88" s="33"/>
      <c r="AO88" s="32"/>
      <c r="AP88" s="32"/>
    </row>
    <row r="89" spans="2:76" s="136" customFormat="1" ht="15" customHeight="1">
      <c r="B89" s="131">
        <v>50</v>
      </c>
      <c r="C89" s="132" t="str">
        <f>+PERBULAN!B89</f>
        <v>ZAMALUDIN</v>
      </c>
      <c r="D89" s="137" t="s">
        <v>364</v>
      </c>
      <c r="E89" s="37" t="s">
        <v>69</v>
      </c>
      <c r="F89" s="366" t="s">
        <v>365</v>
      </c>
      <c r="G89" s="350" t="s">
        <v>526</v>
      </c>
      <c r="H89" s="362" t="s">
        <v>39</v>
      </c>
      <c r="I89" s="353" t="s">
        <v>9</v>
      </c>
      <c r="J89" s="147" t="str">
        <f t="shared" si="44"/>
        <v>TER B</v>
      </c>
      <c r="K89" s="393">
        <v>1</v>
      </c>
      <c r="L89" s="393"/>
      <c r="M89" s="139"/>
      <c r="N89" s="139"/>
      <c r="O89" s="139"/>
      <c r="P89" s="138">
        <v>0</v>
      </c>
      <c r="Q89" s="138">
        <f t="shared" si="45"/>
        <v>0</v>
      </c>
      <c r="R89" s="138">
        <f>+SETAHUN!H218</f>
        <v>2008050</v>
      </c>
      <c r="S89" s="138">
        <f>+SETAHUN!K218</f>
        <v>150000</v>
      </c>
      <c r="T89" s="138">
        <v>0</v>
      </c>
      <c r="U89" s="138">
        <f>+SETAHUN!F218+M89+N89</f>
        <v>32385173.919999994</v>
      </c>
      <c r="V89" s="138">
        <v>0</v>
      </c>
      <c r="W89" s="138">
        <f>+SETAHUN!U218+O89</f>
        <v>1313392.08</v>
      </c>
      <c r="X89" s="138">
        <v>0</v>
      </c>
      <c r="Y89" s="138">
        <v>0</v>
      </c>
      <c r="Z89" s="138">
        <f t="shared" si="46"/>
        <v>2158050</v>
      </c>
      <c r="AA89" s="138">
        <f t="shared" si="47"/>
        <v>35856615.999999993</v>
      </c>
      <c r="AB89" s="138">
        <f t="shared" si="48"/>
        <v>1792831</v>
      </c>
      <c r="AC89" s="138">
        <f>('ASTEK+PENSIUN-DIISI SMPAI DES'!O174+'ASTEK+PENSIUN-DIISI SMPAI DES'!O87)</f>
        <v>814086</v>
      </c>
      <c r="AD89" s="138">
        <f t="shared" si="49"/>
        <v>33249698.999999993</v>
      </c>
      <c r="AE89" s="139">
        <f t="shared" si="50"/>
        <v>63000000</v>
      </c>
      <c r="AF89" s="139">
        <f t="shared" si="51"/>
        <v>0</v>
      </c>
      <c r="AG89" s="140">
        <f t="shared" si="52"/>
        <v>0</v>
      </c>
      <c r="AH89" s="140">
        <f t="shared" si="53"/>
        <v>0</v>
      </c>
      <c r="AI89" s="67">
        <f>+'PAJAK JAN-NOV'!R88</f>
        <v>34167</v>
      </c>
      <c r="AJ89" s="142">
        <f t="shared" si="54"/>
        <v>0</v>
      </c>
      <c r="AK89" s="32" t="str">
        <f>+'PAJAK JAN-NOV'!B88</f>
        <v>ZAMALUDIN</v>
      </c>
      <c r="AL89" s="33">
        <f t="shared" si="55"/>
        <v>34167</v>
      </c>
      <c r="AM89" s="32"/>
      <c r="AN89" s="33"/>
      <c r="AO89" s="32"/>
      <c r="AP89" s="32"/>
    </row>
    <row r="90" spans="2:76" s="28" customFormat="1">
      <c r="B90" s="136"/>
      <c r="D90" s="464"/>
      <c r="E90" s="29"/>
      <c r="G90" s="338"/>
      <c r="H90" s="339"/>
      <c r="I90" s="339"/>
      <c r="J90" s="339"/>
      <c r="K90" s="339"/>
      <c r="L90" s="339"/>
      <c r="O90" s="373"/>
      <c r="AI90" s="31"/>
      <c r="AJ90" s="31"/>
      <c r="AK90" s="32"/>
      <c r="AL90" s="33"/>
      <c r="AM90" s="32"/>
      <c r="AN90" s="33"/>
      <c r="AO90" s="32"/>
      <c r="AP90" s="32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372"/>
      <c r="BD90" s="372"/>
      <c r="BE90" s="372"/>
      <c r="BF90" s="372"/>
      <c r="BG90" s="372"/>
      <c r="BH90" s="372"/>
      <c r="BI90" s="372"/>
      <c r="BJ90" s="372"/>
      <c r="BK90" s="372"/>
      <c r="BL90" s="372"/>
      <c r="BM90" s="372"/>
      <c r="BN90" s="372"/>
      <c r="BO90" s="372"/>
      <c r="BP90" s="372"/>
      <c r="BQ90" s="372"/>
      <c r="BR90" s="372"/>
      <c r="BS90" s="372"/>
      <c r="BT90" s="372"/>
      <c r="BU90" s="372"/>
      <c r="BV90" s="372"/>
      <c r="BW90" s="372"/>
      <c r="BX90" s="372"/>
    </row>
    <row r="91" spans="2:76" s="28" customFormat="1">
      <c r="B91" s="136"/>
      <c r="D91" s="464"/>
      <c r="E91" s="29"/>
      <c r="G91" s="338"/>
      <c r="H91" s="339"/>
      <c r="I91" s="339"/>
      <c r="J91" s="339"/>
      <c r="K91" s="339"/>
      <c r="L91" s="339"/>
      <c r="O91" s="373"/>
      <c r="AI91" s="31"/>
      <c r="AJ91" s="31"/>
      <c r="AK91" s="32"/>
      <c r="AL91" s="33"/>
      <c r="AM91" s="32"/>
      <c r="AN91" s="33"/>
      <c r="AO91" s="32"/>
      <c r="AP91" s="32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372"/>
      <c r="BD91" s="372"/>
      <c r="BE91" s="372"/>
      <c r="BF91" s="372"/>
      <c r="BG91" s="372"/>
      <c r="BH91" s="372"/>
      <c r="BI91" s="372"/>
      <c r="BJ91" s="372"/>
      <c r="BK91" s="372"/>
      <c r="BL91" s="372"/>
      <c r="BM91" s="372"/>
      <c r="BN91" s="372"/>
      <c r="BO91" s="372"/>
      <c r="BP91" s="372"/>
      <c r="BQ91" s="372"/>
      <c r="BR91" s="372"/>
      <c r="BS91" s="372"/>
      <c r="BT91" s="372"/>
      <c r="BU91" s="372"/>
      <c r="BV91" s="372"/>
      <c r="BW91" s="372"/>
      <c r="BX91" s="372"/>
    </row>
    <row r="92" spans="2:76" s="28" customFormat="1">
      <c r="B92" s="136"/>
      <c r="D92" s="464"/>
      <c r="E92" s="29"/>
      <c r="G92" s="338"/>
      <c r="H92" s="339"/>
      <c r="I92" s="339"/>
      <c r="J92" s="339"/>
      <c r="K92" s="339"/>
      <c r="L92" s="339"/>
      <c r="O92" s="373"/>
      <c r="AI92" s="31"/>
      <c r="AJ92" s="31"/>
      <c r="AK92" s="32"/>
      <c r="AL92" s="33"/>
      <c r="AM92" s="32"/>
      <c r="AN92" s="33"/>
      <c r="AO92" s="32"/>
      <c r="AP92" s="32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372"/>
      <c r="BD92" s="372"/>
      <c r="BE92" s="372"/>
      <c r="BF92" s="372"/>
      <c r="BG92" s="372"/>
      <c r="BH92" s="372"/>
      <c r="BI92" s="372"/>
      <c r="BJ92" s="372"/>
      <c r="BK92" s="372"/>
      <c r="BL92" s="372"/>
      <c r="BM92" s="372"/>
      <c r="BN92" s="372"/>
      <c r="BO92" s="372"/>
      <c r="BP92" s="372"/>
      <c r="BQ92" s="372"/>
      <c r="BR92" s="372"/>
      <c r="BS92" s="372"/>
      <c r="BT92" s="372"/>
      <c r="BU92" s="372"/>
      <c r="BV92" s="372"/>
      <c r="BW92" s="372"/>
      <c r="BX92" s="372"/>
    </row>
    <row r="93" spans="2:76" s="28" customFormat="1">
      <c r="B93" s="136"/>
      <c r="D93" s="464"/>
      <c r="E93" s="29"/>
      <c r="G93" s="338"/>
      <c r="H93" s="339"/>
      <c r="I93" s="339"/>
      <c r="J93" s="339"/>
      <c r="K93" s="339"/>
      <c r="L93" s="339"/>
      <c r="O93" s="373"/>
      <c r="AI93" s="31"/>
      <c r="AJ93" s="31"/>
      <c r="AK93" s="32"/>
      <c r="AL93" s="33"/>
      <c r="AM93" s="32"/>
      <c r="AN93" s="33"/>
      <c r="AO93" s="32"/>
      <c r="AP93" s="32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372"/>
      <c r="BD93" s="372"/>
      <c r="BE93" s="372"/>
      <c r="BF93" s="372"/>
      <c r="BG93" s="372"/>
      <c r="BH93" s="372"/>
      <c r="BI93" s="372"/>
      <c r="BJ93" s="372"/>
      <c r="BK93" s="372"/>
      <c r="BL93" s="372"/>
      <c r="BM93" s="372"/>
      <c r="BN93" s="372"/>
      <c r="BO93" s="372"/>
      <c r="BP93" s="372"/>
      <c r="BQ93" s="372"/>
      <c r="BR93" s="372"/>
      <c r="BS93" s="372"/>
      <c r="BT93" s="372"/>
      <c r="BU93" s="372"/>
      <c r="BV93" s="372"/>
      <c r="BW93" s="372"/>
      <c r="BX93" s="372"/>
    </row>
    <row r="94" spans="2:76" s="28" customFormat="1">
      <c r="B94" s="136"/>
      <c r="D94" s="464"/>
      <c r="E94" s="29"/>
      <c r="G94" s="338"/>
      <c r="H94" s="339"/>
      <c r="I94" s="339"/>
      <c r="J94" s="339"/>
      <c r="K94" s="339"/>
      <c r="L94" s="339"/>
      <c r="O94" s="373"/>
      <c r="AI94" s="31"/>
      <c r="AJ94" s="31"/>
      <c r="AK94" s="32"/>
      <c r="AL94" s="33"/>
      <c r="AM94" s="32"/>
      <c r="AN94" s="33"/>
      <c r="AO94" s="32"/>
      <c r="AP94" s="32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372"/>
      <c r="BD94" s="372"/>
      <c r="BE94" s="372"/>
      <c r="BF94" s="372"/>
      <c r="BG94" s="372"/>
      <c r="BH94" s="372"/>
      <c r="BI94" s="372"/>
      <c r="BJ94" s="372"/>
      <c r="BK94" s="372"/>
      <c r="BL94" s="372"/>
      <c r="BM94" s="372"/>
      <c r="BN94" s="372"/>
      <c r="BO94" s="372"/>
      <c r="BP94" s="372"/>
      <c r="BQ94" s="372"/>
      <c r="BR94" s="372"/>
      <c r="BS94" s="372"/>
      <c r="BT94" s="372"/>
      <c r="BU94" s="372"/>
      <c r="BV94" s="372"/>
      <c r="BW94" s="372"/>
      <c r="BX94" s="372"/>
    </row>
    <row r="95" spans="2:76" s="28" customFormat="1">
      <c r="B95" s="136"/>
      <c r="D95" s="464"/>
      <c r="E95" s="29"/>
      <c r="G95" s="338"/>
      <c r="H95" s="339"/>
      <c r="I95" s="339"/>
      <c r="J95" s="339"/>
      <c r="K95" s="339"/>
      <c r="L95" s="339"/>
      <c r="O95" s="373"/>
      <c r="AI95" s="31"/>
      <c r="AJ95" s="31"/>
      <c r="AK95" s="32"/>
      <c r="AL95" s="33"/>
      <c r="AM95" s="32"/>
      <c r="AN95" s="33"/>
      <c r="AO95" s="32"/>
      <c r="AP95" s="32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372"/>
      <c r="BD95" s="372"/>
      <c r="BE95" s="372"/>
      <c r="BF95" s="372"/>
      <c r="BG95" s="372"/>
      <c r="BH95" s="372"/>
      <c r="BI95" s="372"/>
      <c r="BJ95" s="372"/>
      <c r="BK95" s="372"/>
      <c r="BL95" s="372"/>
      <c r="BM95" s="372"/>
      <c r="BN95" s="372"/>
      <c r="BO95" s="372"/>
      <c r="BP95" s="372"/>
      <c r="BQ95" s="372"/>
      <c r="BR95" s="372"/>
      <c r="BS95" s="372"/>
      <c r="BT95" s="372"/>
      <c r="BU95" s="372"/>
      <c r="BV95" s="372"/>
      <c r="BW95" s="372"/>
      <c r="BX95" s="372"/>
    </row>
    <row r="96" spans="2:76" s="28" customFormat="1">
      <c r="B96" s="136"/>
      <c r="D96" s="464"/>
      <c r="E96" s="29"/>
      <c r="G96" s="338"/>
      <c r="H96" s="339"/>
      <c r="I96" s="339"/>
      <c r="J96" s="339"/>
      <c r="K96" s="339"/>
      <c r="L96" s="339"/>
      <c r="O96" s="373"/>
      <c r="AI96" s="31"/>
      <c r="AJ96" s="31"/>
      <c r="AK96" s="32"/>
      <c r="AL96" s="33"/>
      <c r="AM96" s="32"/>
      <c r="AN96" s="33"/>
      <c r="AO96" s="32"/>
      <c r="AP96" s="32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372"/>
      <c r="BD96" s="372"/>
      <c r="BE96" s="372"/>
      <c r="BF96" s="372"/>
      <c r="BG96" s="372"/>
      <c r="BH96" s="372"/>
      <c r="BI96" s="372"/>
      <c r="BJ96" s="372"/>
      <c r="BK96" s="372"/>
      <c r="BL96" s="372"/>
      <c r="BM96" s="372"/>
      <c r="BN96" s="372"/>
      <c r="BO96" s="372"/>
      <c r="BP96" s="372"/>
      <c r="BQ96" s="372"/>
      <c r="BR96" s="372"/>
      <c r="BS96" s="372"/>
      <c r="BT96" s="372"/>
      <c r="BU96" s="372"/>
      <c r="BV96" s="372"/>
      <c r="BW96" s="372"/>
      <c r="BX96" s="372"/>
    </row>
    <row r="97" spans="2:76" s="28" customFormat="1">
      <c r="B97" s="136"/>
      <c r="D97" s="464"/>
      <c r="E97" s="29"/>
      <c r="G97" s="338"/>
      <c r="H97" s="339"/>
      <c r="I97" s="339"/>
      <c r="J97" s="339"/>
      <c r="K97" s="339"/>
      <c r="L97" s="339"/>
      <c r="O97" s="373"/>
      <c r="AI97" s="31"/>
      <c r="AJ97" s="31"/>
      <c r="AK97" s="32"/>
      <c r="AL97" s="33"/>
      <c r="AM97" s="32"/>
      <c r="AN97" s="33"/>
      <c r="AO97" s="32"/>
      <c r="AP97" s="32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372"/>
      <c r="BD97" s="372"/>
      <c r="BE97" s="372"/>
      <c r="BF97" s="372"/>
      <c r="BG97" s="372"/>
      <c r="BH97" s="372"/>
      <c r="BI97" s="372"/>
      <c r="BJ97" s="372"/>
      <c r="BK97" s="372"/>
      <c r="BL97" s="372"/>
      <c r="BM97" s="372"/>
      <c r="BN97" s="372"/>
      <c r="BO97" s="372"/>
      <c r="BP97" s="372"/>
      <c r="BQ97" s="372"/>
      <c r="BR97" s="372"/>
      <c r="BS97" s="372"/>
      <c r="BT97" s="372"/>
      <c r="BU97" s="372"/>
      <c r="BV97" s="372"/>
      <c r="BW97" s="372"/>
      <c r="BX97" s="372"/>
    </row>
    <row r="98" spans="2:76" s="28" customFormat="1">
      <c r="B98" s="136"/>
      <c r="D98" s="464"/>
      <c r="E98" s="29"/>
      <c r="G98" s="338"/>
      <c r="H98" s="339"/>
      <c r="I98" s="339"/>
      <c r="J98" s="339"/>
      <c r="K98" s="339"/>
      <c r="L98" s="339"/>
      <c r="O98" s="373"/>
      <c r="AI98" s="31"/>
      <c r="AJ98" s="31"/>
      <c r="AK98" s="32"/>
      <c r="AL98" s="33"/>
      <c r="AM98" s="32"/>
      <c r="AN98" s="33"/>
      <c r="AO98" s="32"/>
      <c r="AP98" s="32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372"/>
      <c r="BD98" s="372"/>
      <c r="BE98" s="372"/>
      <c r="BF98" s="372"/>
      <c r="BG98" s="372"/>
      <c r="BH98" s="372"/>
      <c r="BI98" s="372"/>
      <c r="BJ98" s="372"/>
      <c r="BK98" s="372"/>
      <c r="BL98" s="372"/>
      <c r="BM98" s="372"/>
      <c r="BN98" s="372"/>
      <c r="BO98" s="372"/>
      <c r="BP98" s="372"/>
      <c r="BQ98" s="372"/>
      <c r="BR98" s="372"/>
      <c r="BS98" s="372"/>
      <c r="BT98" s="372"/>
      <c r="BU98" s="372"/>
      <c r="BV98" s="372"/>
      <c r="BW98" s="372"/>
      <c r="BX98" s="372"/>
    </row>
    <row r="99" spans="2:76" s="28" customFormat="1">
      <c r="B99" s="136"/>
      <c r="D99" s="464"/>
      <c r="E99" s="29"/>
      <c r="G99" s="338"/>
      <c r="H99" s="339"/>
      <c r="I99" s="339"/>
      <c r="J99" s="339"/>
      <c r="K99" s="339"/>
      <c r="L99" s="339"/>
      <c r="O99" s="373"/>
      <c r="AI99" s="31"/>
      <c r="AJ99" s="31"/>
      <c r="AK99" s="32"/>
      <c r="AL99" s="33"/>
      <c r="AM99" s="32"/>
      <c r="AN99" s="33"/>
      <c r="AO99" s="32"/>
      <c r="AP99" s="32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372"/>
      <c r="BD99" s="372"/>
      <c r="BE99" s="372"/>
      <c r="BF99" s="372"/>
      <c r="BG99" s="372"/>
      <c r="BH99" s="372"/>
      <c r="BI99" s="372"/>
      <c r="BJ99" s="372"/>
      <c r="BK99" s="372"/>
      <c r="BL99" s="372"/>
      <c r="BM99" s="372"/>
      <c r="BN99" s="372"/>
      <c r="BO99" s="372"/>
      <c r="BP99" s="372"/>
      <c r="BQ99" s="372"/>
      <c r="BR99" s="372"/>
      <c r="BS99" s="372"/>
      <c r="BT99" s="372"/>
      <c r="BU99" s="372"/>
      <c r="BV99" s="372"/>
      <c r="BW99" s="372"/>
      <c r="BX99" s="372"/>
    </row>
    <row r="100" spans="2:76" s="28" customFormat="1">
      <c r="B100" s="136"/>
      <c r="D100" s="464"/>
      <c r="E100" s="29"/>
      <c r="G100" s="338"/>
      <c r="H100" s="339"/>
      <c r="I100" s="339"/>
      <c r="J100" s="339"/>
      <c r="K100" s="339"/>
      <c r="L100" s="339"/>
      <c r="O100" s="373"/>
      <c r="AI100" s="31"/>
      <c r="AJ100" s="31"/>
      <c r="AK100" s="32"/>
      <c r="AL100" s="33"/>
      <c r="AM100" s="32"/>
      <c r="AN100" s="33"/>
      <c r="AO100" s="32"/>
      <c r="AP100" s="32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372"/>
      <c r="BD100" s="372"/>
      <c r="BE100" s="372"/>
      <c r="BF100" s="372"/>
      <c r="BG100" s="372"/>
      <c r="BH100" s="372"/>
      <c r="BI100" s="372"/>
      <c r="BJ100" s="372"/>
      <c r="BK100" s="372"/>
      <c r="BL100" s="372"/>
      <c r="BM100" s="372"/>
      <c r="BN100" s="372"/>
      <c r="BO100" s="372"/>
      <c r="BP100" s="372"/>
      <c r="BQ100" s="372"/>
      <c r="BR100" s="372"/>
      <c r="BS100" s="372"/>
      <c r="BT100" s="372"/>
      <c r="BU100" s="372"/>
      <c r="BV100" s="372"/>
      <c r="BW100" s="372"/>
      <c r="BX100" s="372"/>
    </row>
    <row r="101" spans="2:76" s="28" customFormat="1">
      <c r="B101" s="136"/>
      <c r="D101" s="464"/>
      <c r="E101" s="29"/>
      <c r="G101" s="338"/>
      <c r="H101" s="339"/>
      <c r="I101" s="339"/>
      <c r="J101" s="339"/>
      <c r="K101" s="339"/>
      <c r="L101" s="339"/>
      <c r="O101" s="373"/>
      <c r="AI101" s="31"/>
      <c r="AJ101" s="31"/>
      <c r="AK101" s="32"/>
      <c r="AL101" s="33"/>
      <c r="AM101" s="32"/>
      <c r="AN101" s="33"/>
      <c r="AO101" s="32"/>
      <c r="AP101" s="32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372"/>
      <c r="BD101" s="372"/>
      <c r="BE101" s="372"/>
      <c r="BF101" s="372"/>
      <c r="BG101" s="372"/>
      <c r="BH101" s="372"/>
      <c r="BI101" s="372"/>
      <c r="BJ101" s="372"/>
      <c r="BK101" s="372"/>
      <c r="BL101" s="372"/>
      <c r="BM101" s="372"/>
      <c r="BN101" s="372"/>
      <c r="BO101" s="372"/>
      <c r="BP101" s="372"/>
      <c r="BQ101" s="372"/>
      <c r="BR101" s="372"/>
      <c r="BS101" s="372"/>
      <c r="BT101" s="372"/>
      <c r="BU101" s="372"/>
      <c r="BV101" s="372"/>
      <c r="BW101" s="372"/>
      <c r="BX101" s="372"/>
    </row>
    <row r="102" spans="2:76" s="28" customFormat="1">
      <c r="B102" s="136"/>
      <c r="D102" s="464"/>
      <c r="E102" s="29"/>
      <c r="G102" s="338"/>
      <c r="H102" s="339"/>
      <c r="I102" s="339"/>
      <c r="J102" s="339"/>
      <c r="K102" s="339"/>
      <c r="L102" s="339"/>
      <c r="O102" s="373"/>
      <c r="AI102" s="31"/>
      <c r="AJ102" s="31"/>
      <c r="AK102" s="32"/>
      <c r="AL102" s="33"/>
      <c r="AM102" s="32"/>
      <c r="AN102" s="33"/>
      <c r="AO102" s="32"/>
      <c r="AP102" s="32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372"/>
      <c r="BD102" s="372"/>
      <c r="BE102" s="372"/>
      <c r="BF102" s="372"/>
      <c r="BG102" s="372"/>
      <c r="BH102" s="372"/>
      <c r="BI102" s="372"/>
      <c r="BJ102" s="372"/>
      <c r="BK102" s="372"/>
      <c r="BL102" s="372"/>
      <c r="BM102" s="372"/>
      <c r="BN102" s="372"/>
      <c r="BO102" s="372"/>
      <c r="BP102" s="372"/>
      <c r="BQ102" s="372"/>
      <c r="BR102" s="372"/>
      <c r="BS102" s="372"/>
      <c r="BT102" s="372"/>
      <c r="BU102" s="372"/>
      <c r="BV102" s="372"/>
      <c r="BW102" s="372"/>
      <c r="BX102" s="372"/>
    </row>
    <row r="103" spans="2:76" s="28" customFormat="1">
      <c r="B103" s="136"/>
      <c r="D103" s="464"/>
      <c r="E103" s="29"/>
      <c r="G103" s="338"/>
      <c r="H103" s="339"/>
      <c r="I103" s="339"/>
      <c r="J103" s="339"/>
      <c r="K103" s="339"/>
      <c r="L103" s="339"/>
      <c r="O103" s="373"/>
      <c r="AI103" s="31"/>
      <c r="AJ103" s="31"/>
      <c r="AK103" s="32"/>
      <c r="AL103" s="33"/>
      <c r="AM103" s="32"/>
      <c r="AN103" s="33"/>
      <c r="AO103" s="32"/>
      <c r="AP103" s="32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372"/>
      <c r="BD103" s="372"/>
      <c r="BE103" s="372"/>
      <c r="BF103" s="372"/>
      <c r="BG103" s="372"/>
      <c r="BH103" s="372"/>
      <c r="BI103" s="372"/>
      <c r="BJ103" s="372"/>
      <c r="BK103" s="372"/>
      <c r="BL103" s="372"/>
      <c r="BM103" s="372"/>
      <c r="BN103" s="372"/>
      <c r="BO103" s="372"/>
      <c r="BP103" s="372"/>
      <c r="BQ103" s="372"/>
      <c r="BR103" s="372"/>
      <c r="BS103" s="372"/>
      <c r="BT103" s="372"/>
      <c r="BU103" s="372"/>
      <c r="BV103" s="372"/>
      <c r="BW103" s="372"/>
      <c r="BX103" s="372"/>
    </row>
    <row r="104" spans="2:76" s="28" customFormat="1">
      <c r="B104" s="136"/>
      <c r="D104" s="464"/>
      <c r="E104" s="29"/>
      <c r="G104" s="338"/>
      <c r="H104" s="339"/>
      <c r="I104" s="339"/>
      <c r="J104" s="339"/>
      <c r="K104" s="339"/>
      <c r="L104" s="339"/>
      <c r="O104" s="373"/>
      <c r="AI104" s="31"/>
      <c r="AJ104" s="31"/>
      <c r="AK104" s="32"/>
      <c r="AL104" s="33"/>
      <c r="AM104" s="32"/>
      <c r="AN104" s="33"/>
      <c r="AO104" s="32"/>
      <c r="AP104" s="32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372"/>
      <c r="BD104" s="372"/>
      <c r="BE104" s="372"/>
      <c r="BF104" s="372"/>
      <c r="BG104" s="372"/>
      <c r="BH104" s="372"/>
      <c r="BI104" s="372"/>
      <c r="BJ104" s="372"/>
      <c r="BK104" s="372"/>
      <c r="BL104" s="372"/>
      <c r="BM104" s="372"/>
      <c r="BN104" s="372"/>
      <c r="BO104" s="372"/>
      <c r="BP104" s="372"/>
      <c r="BQ104" s="372"/>
      <c r="BR104" s="372"/>
      <c r="BS104" s="372"/>
      <c r="BT104" s="372"/>
      <c r="BU104" s="372"/>
      <c r="BV104" s="372"/>
      <c r="BW104" s="372"/>
      <c r="BX104" s="372"/>
    </row>
    <row r="105" spans="2:76" s="28" customFormat="1">
      <c r="B105" s="136"/>
      <c r="D105" s="464"/>
      <c r="E105" s="29"/>
      <c r="G105" s="338"/>
      <c r="H105" s="339"/>
      <c r="I105" s="339"/>
      <c r="J105" s="339"/>
      <c r="K105" s="339"/>
      <c r="L105" s="339"/>
      <c r="O105" s="373"/>
      <c r="AI105" s="31"/>
      <c r="AJ105" s="31"/>
      <c r="AK105" s="32"/>
      <c r="AL105" s="33"/>
      <c r="AM105" s="32"/>
      <c r="AN105" s="33"/>
      <c r="AO105" s="32"/>
      <c r="AP105" s="32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372"/>
      <c r="BD105" s="372"/>
      <c r="BE105" s="372"/>
      <c r="BF105" s="372"/>
      <c r="BG105" s="372"/>
      <c r="BH105" s="372"/>
      <c r="BI105" s="372"/>
      <c r="BJ105" s="372"/>
      <c r="BK105" s="372"/>
      <c r="BL105" s="372"/>
      <c r="BM105" s="372"/>
      <c r="BN105" s="372"/>
      <c r="BO105" s="372"/>
      <c r="BP105" s="372"/>
      <c r="BQ105" s="372"/>
      <c r="BR105" s="372"/>
      <c r="BS105" s="372"/>
      <c r="BT105" s="372"/>
      <c r="BU105" s="372"/>
      <c r="BV105" s="372"/>
      <c r="BW105" s="372"/>
      <c r="BX105" s="372"/>
    </row>
    <row r="106" spans="2:76" s="28" customFormat="1">
      <c r="B106" s="136"/>
      <c r="D106" s="464"/>
      <c r="E106" s="29"/>
      <c r="G106" s="338"/>
      <c r="H106" s="339"/>
      <c r="I106" s="339"/>
      <c r="J106" s="339"/>
      <c r="K106" s="339"/>
      <c r="L106" s="339"/>
      <c r="O106" s="373"/>
      <c r="AI106" s="31"/>
      <c r="AJ106" s="31"/>
      <c r="AK106" s="32"/>
      <c r="AL106" s="33"/>
      <c r="AM106" s="32"/>
      <c r="AN106" s="33"/>
      <c r="AO106" s="32"/>
      <c r="AP106" s="32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372"/>
      <c r="BD106" s="372"/>
      <c r="BE106" s="372"/>
      <c r="BF106" s="372"/>
      <c r="BG106" s="372"/>
      <c r="BH106" s="372"/>
      <c r="BI106" s="372"/>
      <c r="BJ106" s="372"/>
      <c r="BK106" s="372"/>
      <c r="BL106" s="372"/>
      <c r="BM106" s="372"/>
      <c r="BN106" s="372"/>
      <c r="BO106" s="372"/>
      <c r="BP106" s="372"/>
      <c r="BQ106" s="372"/>
      <c r="BR106" s="372"/>
      <c r="BS106" s="372"/>
      <c r="BT106" s="372"/>
      <c r="BU106" s="372"/>
      <c r="BV106" s="372"/>
      <c r="BW106" s="372"/>
      <c r="BX106" s="372"/>
    </row>
    <row r="107" spans="2:76" s="28" customFormat="1">
      <c r="B107" s="136"/>
      <c r="D107" s="464"/>
      <c r="E107" s="29"/>
      <c r="G107" s="338"/>
      <c r="H107" s="339"/>
      <c r="I107" s="339"/>
      <c r="J107" s="339"/>
      <c r="K107" s="339"/>
      <c r="L107" s="339"/>
      <c r="O107" s="373"/>
      <c r="AI107" s="31"/>
      <c r="AJ107" s="31"/>
      <c r="AK107" s="32"/>
      <c r="AL107" s="33"/>
      <c r="AM107" s="32"/>
      <c r="AN107" s="33"/>
      <c r="AO107" s="32"/>
      <c r="AP107" s="32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372"/>
      <c r="BD107" s="372"/>
      <c r="BE107" s="372"/>
      <c r="BF107" s="372"/>
      <c r="BG107" s="372"/>
      <c r="BH107" s="372"/>
      <c r="BI107" s="372"/>
      <c r="BJ107" s="372"/>
      <c r="BK107" s="372"/>
      <c r="BL107" s="372"/>
      <c r="BM107" s="372"/>
      <c r="BN107" s="372"/>
      <c r="BO107" s="372"/>
      <c r="BP107" s="372"/>
      <c r="BQ107" s="372"/>
      <c r="BR107" s="372"/>
      <c r="BS107" s="372"/>
      <c r="BT107" s="372"/>
      <c r="BU107" s="372"/>
      <c r="BV107" s="372"/>
      <c r="BW107" s="372"/>
      <c r="BX107" s="372"/>
    </row>
    <row r="108" spans="2:76" s="28" customFormat="1">
      <c r="B108" s="136"/>
      <c r="D108" s="464"/>
      <c r="E108" s="29"/>
      <c r="G108" s="338"/>
      <c r="H108" s="339"/>
      <c r="I108" s="339"/>
      <c r="J108" s="339"/>
      <c r="K108" s="339"/>
      <c r="L108" s="339"/>
      <c r="O108" s="373"/>
      <c r="AI108" s="31"/>
      <c r="AJ108" s="31"/>
      <c r="AK108" s="32"/>
      <c r="AL108" s="33"/>
      <c r="AM108" s="32"/>
      <c r="AN108" s="33"/>
      <c r="AO108" s="32"/>
      <c r="AP108" s="32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372"/>
      <c r="BD108" s="372"/>
      <c r="BE108" s="372"/>
      <c r="BF108" s="372"/>
      <c r="BG108" s="372"/>
      <c r="BH108" s="372"/>
      <c r="BI108" s="372"/>
      <c r="BJ108" s="372"/>
      <c r="BK108" s="372"/>
      <c r="BL108" s="372"/>
      <c r="BM108" s="372"/>
      <c r="BN108" s="372"/>
      <c r="BO108" s="372"/>
      <c r="BP108" s="372"/>
      <c r="BQ108" s="372"/>
      <c r="BR108" s="372"/>
      <c r="BS108" s="372"/>
      <c r="BT108" s="372"/>
      <c r="BU108" s="372"/>
      <c r="BV108" s="372"/>
      <c r="BW108" s="372"/>
      <c r="BX108" s="372"/>
    </row>
    <row r="109" spans="2:76" s="28" customFormat="1">
      <c r="B109" s="136"/>
      <c r="D109" s="464"/>
      <c r="E109" s="29"/>
      <c r="G109" s="338"/>
      <c r="H109" s="339"/>
      <c r="I109" s="339"/>
      <c r="J109" s="339"/>
      <c r="K109" s="339"/>
      <c r="L109" s="339"/>
      <c r="O109" s="373"/>
      <c r="AI109" s="31"/>
      <c r="AJ109" s="31"/>
      <c r="AK109" s="32"/>
      <c r="AL109" s="33"/>
      <c r="AM109" s="32"/>
      <c r="AN109" s="33"/>
      <c r="AO109" s="32"/>
      <c r="AP109" s="32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372"/>
      <c r="BD109" s="372"/>
      <c r="BE109" s="372"/>
      <c r="BF109" s="372"/>
      <c r="BG109" s="372"/>
      <c r="BH109" s="372"/>
      <c r="BI109" s="372"/>
      <c r="BJ109" s="372"/>
      <c r="BK109" s="372"/>
      <c r="BL109" s="372"/>
      <c r="BM109" s="372"/>
      <c r="BN109" s="372"/>
      <c r="BO109" s="372"/>
      <c r="BP109" s="372"/>
      <c r="BQ109" s="372"/>
      <c r="BR109" s="372"/>
      <c r="BS109" s="372"/>
      <c r="BT109" s="372"/>
      <c r="BU109" s="372"/>
      <c r="BV109" s="372"/>
      <c r="BW109" s="372"/>
      <c r="BX109" s="372"/>
    </row>
    <row r="110" spans="2:76" s="28" customFormat="1">
      <c r="B110" s="136"/>
      <c r="D110" s="464"/>
      <c r="E110" s="29"/>
      <c r="G110" s="338"/>
      <c r="H110" s="339"/>
      <c r="I110" s="339"/>
      <c r="J110" s="339"/>
      <c r="K110" s="339"/>
      <c r="L110" s="339"/>
      <c r="O110" s="373"/>
      <c r="AI110" s="31"/>
      <c r="AJ110" s="31"/>
      <c r="AK110" s="32"/>
      <c r="AL110" s="33"/>
      <c r="AM110" s="32"/>
      <c r="AN110" s="33"/>
      <c r="AO110" s="32"/>
      <c r="AP110" s="32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372"/>
      <c r="BD110" s="372"/>
      <c r="BE110" s="372"/>
      <c r="BF110" s="372"/>
      <c r="BG110" s="372"/>
      <c r="BH110" s="372"/>
      <c r="BI110" s="372"/>
      <c r="BJ110" s="372"/>
      <c r="BK110" s="372"/>
      <c r="BL110" s="372"/>
      <c r="BM110" s="372"/>
      <c r="BN110" s="372"/>
      <c r="BO110" s="372"/>
      <c r="BP110" s="372"/>
      <c r="BQ110" s="372"/>
      <c r="BR110" s="372"/>
      <c r="BS110" s="372"/>
      <c r="BT110" s="372"/>
      <c r="BU110" s="372"/>
      <c r="BV110" s="372"/>
      <c r="BW110" s="372"/>
      <c r="BX110" s="372"/>
    </row>
    <row r="111" spans="2:76" s="28" customFormat="1">
      <c r="B111" s="136"/>
      <c r="D111" s="464"/>
      <c r="E111" s="29"/>
      <c r="G111" s="338"/>
      <c r="H111" s="339"/>
      <c r="I111" s="339"/>
      <c r="J111" s="339"/>
      <c r="K111" s="339"/>
      <c r="L111" s="339"/>
      <c r="O111" s="373"/>
      <c r="AI111" s="31"/>
      <c r="AJ111" s="31"/>
      <c r="AK111" s="32"/>
      <c r="AL111" s="33"/>
      <c r="AM111" s="32"/>
      <c r="AN111" s="33"/>
      <c r="AO111" s="32"/>
      <c r="AP111" s="32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372"/>
      <c r="BD111" s="372"/>
      <c r="BE111" s="372"/>
      <c r="BF111" s="372"/>
      <c r="BG111" s="372"/>
      <c r="BH111" s="372"/>
      <c r="BI111" s="372"/>
      <c r="BJ111" s="372"/>
      <c r="BK111" s="372"/>
      <c r="BL111" s="372"/>
      <c r="BM111" s="372"/>
      <c r="BN111" s="372"/>
      <c r="BO111" s="372"/>
      <c r="BP111" s="372"/>
      <c r="BQ111" s="372"/>
      <c r="BR111" s="372"/>
      <c r="BS111" s="372"/>
      <c r="BT111" s="372"/>
      <c r="BU111" s="372"/>
      <c r="BV111" s="372"/>
      <c r="BW111" s="372"/>
      <c r="BX111" s="372"/>
    </row>
    <row r="112" spans="2:76" s="28" customFormat="1">
      <c r="B112" s="136"/>
      <c r="D112" s="464"/>
      <c r="E112" s="29"/>
      <c r="G112" s="338"/>
      <c r="H112" s="339"/>
      <c r="I112" s="339"/>
      <c r="J112" s="339"/>
      <c r="K112" s="339"/>
      <c r="L112" s="339"/>
      <c r="O112" s="373"/>
      <c r="AI112" s="31"/>
      <c r="AJ112" s="31"/>
      <c r="AK112" s="32"/>
      <c r="AL112" s="33"/>
      <c r="AM112" s="32"/>
      <c r="AN112" s="33"/>
      <c r="AO112" s="32"/>
      <c r="AP112" s="32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372"/>
      <c r="BD112" s="372"/>
      <c r="BE112" s="372"/>
      <c r="BF112" s="372"/>
      <c r="BG112" s="372"/>
      <c r="BH112" s="372"/>
      <c r="BI112" s="372"/>
      <c r="BJ112" s="372"/>
      <c r="BK112" s="372"/>
      <c r="BL112" s="372"/>
      <c r="BM112" s="372"/>
      <c r="BN112" s="372"/>
      <c r="BO112" s="372"/>
      <c r="BP112" s="372"/>
      <c r="BQ112" s="372"/>
      <c r="BR112" s="372"/>
      <c r="BS112" s="372"/>
      <c r="BT112" s="372"/>
      <c r="BU112" s="372"/>
      <c r="BV112" s="372"/>
      <c r="BW112" s="372"/>
      <c r="BX112" s="372"/>
    </row>
    <row r="113" spans="2:76" s="28" customFormat="1">
      <c r="B113" s="136"/>
      <c r="D113" s="464"/>
      <c r="E113" s="29"/>
      <c r="G113" s="338"/>
      <c r="H113" s="339"/>
      <c r="I113" s="339"/>
      <c r="J113" s="339"/>
      <c r="K113" s="339"/>
      <c r="L113" s="339"/>
      <c r="O113" s="373"/>
      <c r="AI113" s="31"/>
      <c r="AJ113" s="31"/>
      <c r="AK113" s="32"/>
      <c r="AL113" s="33"/>
      <c r="AM113" s="32"/>
      <c r="AN113" s="33"/>
      <c r="AO113" s="32"/>
      <c r="AP113" s="32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372"/>
      <c r="BD113" s="372"/>
      <c r="BE113" s="372"/>
      <c r="BF113" s="372"/>
      <c r="BG113" s="372"/>
      <c r="BH113" s="372"/>
      <c r="BI113" s="372"/>
      <c r="BJ113" s="372"/>
      <c r="BK113" s="372"/>
      <c r="BL113" s="372"/>
      <c r="BM113" s="372"/>
      <c r="BN113" s="372"/>
      <c r="BO113" s="372"/>
      <c r="BP113" s="372"/>
      <c r="BQ113" s="372"/>
      <c r="BR113" s="372"/>
      <c r="BS113" s="372"/>
      <c r="BT113" s="372"/>
      <c r="BU113" s="372"/>
      <c r="BV113" s="372"/>
      <c r="BW113" s="372"/>
      <c r="BX113" s="372"/>
    </row>
    <row r="114" spans="2:76" s="28" customFormat="1">
      <c r="B114" s="136"/>
      <c r="D114" s="464"/>
      <c r="E114" s="29"/>
      <c r="G114" s="338"/>
      <c r="H114" s="339"/>
      <c r="I114" s="339"/>
      <c r="J114" s="339"/>
      <c r="K114" s="339"/>
      <c r="L114" s="339"/>
      <c r="O114" s="373"/>
      <c r="AI114" s="31"/>
      <c r="AJ114" s="31"/>
      <c r="AK114" s="32"/>
      <c r="AL114" s="33"/>
      <c r="AM114" s="32"/>
      <c r="AN114" s="33"/>
      <c r="AO114" s="32"/>
      <c r="AP114" s="32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372"/>
      <c r="BD114" s="372"/>
      <c r="BE114" s="372"/>
      <c r="BF114" s="372"/>
      <c r="BG114" s="372"/>
      <c r="BH114" s="372"/>
      <c r="BI114" s="372"/>
      <c r="BJ114" s="372"/>
      <c r="BK114" s="372"/>
      <c r="BL114" s="372"/>
      <c r="BM114" s="372"/>
      <c r="BN114" s="372"/>
      <c r="BO114" s="372"/>
      <c r="BP114" s="372"/>
      <c r="BQ114" s="372"/>
      <c r="BR114" s="372"/>
      <c r="BS114" s="372"/>
      <c r="BT114" s="372"/>
      <c r="BU114" s="372"/>
      <c r="BV114" s="372"/>
      <c r="BW114" s="372"/>
      <c r="BX114" s="372"/>
    </row>
    <row r="115" spans="2:76" s="28" customFormat="1">
      <c r="B115" s="136"/>
      <c r="D115" s="464"/>
      <c r="E115" s="29"/>
      <c r="G115" s="338"/>
      <c r="H115" s="339"/>
      <c r="I115" s="339"/>
      <c r="J115" s="339"/>
      <c r="K115" s="339"/>
      <c r="L115" s="339"/>
      <c r="O115" s="373"/>
      <c r="AI115" s="31"/>
      <c r="AJ115" s="31"/>
      <c r="AK115" s="32"/>
      <c r="AL115" s="33"/>
      <c r="AM115" s="32"/>
      <c r="AN115" s="33"/>
      <c r="AO115" s="32"/>
      <c r="AP115" s="32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372"/>
      <c r="BD115" s="372"/>
      <c r="BE115" s="372"/>
      <c r="BF115" s="372"/>
      <c r="BG115" s="372"/>
      <c r="BH115" s="372"/>
      <c r="BI115" s="372"/>
      <c r="BJ115" s="372"/>
      <c r="BK115" s="372"/>
      <c r="BL115" s="372"/>
      <c r="BM115" s="372"/>
      <c r="BN115" s="372"/>
      <c r="BO115" s="372"/>
      <c r="BP115" s="372"/>
      <c r="BQ115" s="372"/>
      <c r="BR115" s="372"/>
      <c r="BS115" s="372"/>
      <c r="BT115" s="372"/>
      <c r="BU115" s="372"/>
      <c r="BV115" s="372"/>
      <c r="BW115" s="372"/>
      <c r="BX115" s="372"/>
    </row>
    <row r="116" spans="2:76" s="28" customFormat="1">
      <c r="B116" s="136"/>
      <c r="D116" s="464"/>
      <c r="E116" s="29"/>
      <c r="G116" s="338"/>
      <c r="H116" s="339"/>
      <c r="I116" s="339"/>
      <c r="J116" s="339"/>
      <c r="K116" s="339"/>
      <c r="L116" s="339"/>
      <c r="O116" s="373"/>
      <c r="AI116" s="31"/>
      <c r="AJ116" s="31"/>
      <c r="AK116" s="32"/>
      <c r="AL116" s="33"/>
      <c r="AM116" s="32"/>
      <c r="AN116" s="33"/>
      <c r="AO116" s="32"/>
      <c r="AP116" s="32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372"/>
      <c r="BD116" s="372"/>
      <c r="BE116" s="372"/>
      <c r="BF116" s="372"/>
      <c r="BG116" s="372"/>
      <c r="BH116" s="372"/>
      <c r="BI116" s="372"/>
      <c r="BJ116" s="372"/>
      <c r="BK116" s="372"/>
      <c r="BL116" s="372"/>
      <c r="BM116" s="372"/>
      <c r="BN116" s="372"/>
      <c r="BO116" s="372"/>
      <c r="BP116" s="372"/>
      <c r="BQ116" s="372"/>
      <c r="BR116" s="372"/>
      <c r="BS116" s="372"/>
      <c r="BT116" s="372"/>
      <c r="BU116" s="372"/>
      <c r="BV116" s="372"/>
      <c r="BW116" s="372"/>
      <c r="BX116" s="372"/>
    </row>
    <row r="117" spans="2:76" s="28" customFormat="1">
      <c r="B117" s="136"/>
      <c r="D117" s="464"/>
      <c r="E117" s="29"/>
      <c r="G117" s="338"/>
      <c r="H117" s="339"/>
      <c r="I117" s="339"/>
      <c r="J117" s="339"/>
      <c r="K117" s="339"/>
      <c r="L117" s="339"/>
      <c r="O117" s="374"/>
      <c r="AI117" s="31"/>
      <c r="AJ117" s="31"/>
      <c r="AK117" s="32"/>
      <c r="AL117" s="33"/>
      <c r="AM117" s="32"/>
      <c r="AN117" s="33"/>
      <c r="AO117" s="32"/>
      <c r="AP117" s="32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372"/>
      <c r="BD117" s="372"/>
      <c r="BE117" s="372"/>
      <c r="BF117" s="372"/>
      <c r="BG117" s="372"/>
      <c r="BH117" s="372"/>
      <c r="BI117" s="372"/>
      <c r="BJ117" s="372"/>
      <c r="BK117" s="372"/>
      <c r="BL117" s="372"/>
      <c r="BM117" s="372"/>
      <c r="BN117" s="372"/>
      <c r="BO117" s="372"/>
      <c r="BP117" s="372"/>
      <c r="BQ117" s="372"/>
      <c r="BR117" s="372"/>
      <c r="BS117" s="372"/>
      <c r="BT117" s="372"/>
      <c r="BU117" s="372"/>
      <c r="BV117" s="372"/>
      <c r="BW117" s="372"/>
      <c r="BX117" s="372"/>
    </row>
    <row r="118" spans="2:76" s="28" customFormat="1">
      <c r="B118" s="136"/>
      <c r="D118" s="464"/>
      <c r="E118" s="29"/>
      <c r="G118" s="338"/>
      <c r="H118" s="339"/>
      <c r="I118" s="339"/>
      <c r="J118" s="339"/>
      <c r="K118" s="339"/>
      <c r="L118" s="339"/>
      <c r="O118" s="373"/>
      <c r="AI118" s="31"/>
      <c r="AJ118" s="31"/>
      <c r="AK118" s="32"/>
      <c r="AL118" s="33"/>
      <c r="AM118" s="32"/>
      <c r="AN118" s="33"/>
      <c r="AO118" s="32"/>
      <c r="AP118" s="32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372"/>
      <c r="BD118" s="372"/>
      <c r="BE118" s="372"/>
      <c r="BF118" s="372"/>
      <c r="BG118" s="372"/>
      <c r="BH118" s="372"/>
      <c r="BI118" s="372"/>
      <c r="BJ118" s="372"/>
      <c r="BK118" s="372"/>
      <c r="BL118" s="372"/>
      <c r="BM118" s="372"/>
      <c r="BN118" s="372"/>
      <c r="BO118" s="372"/>
      <c r="BP118" s="372"/>
      <c r="BQ118" s="372"/>
      <c r="BR118" s="372"/>
      <c r="BS118" s="372"/>
      <c r="BT118" s="372"/>
      <c r="BU118" s="372"/>
      <c r="BV118" s="372"/>
      <c r="BW118" s="372"/>
      <c r="BX118" s="372"/>
    </row>
    <row r="119" spans="2:76" s="28" customFormat="1">
      <c r="B119" s="136"/>
      <c r="D119" s="464"/>
      <c r="E119" s="29"/>
      <c r="G119" s="338"/>
      <c r="H119" s="339"/>
      <c r="I119" s="339"/>
      <c r="J119" s="339"/>
      <c r="K119" s="339"/>
      <c r="L119" s="339"/>
      <c r="O119" s="373"/>
      <c r="AI119" s="31"/>
      <c r="AJ119" s="31"/>
      <c r="AK119" s="32"/>
      <c r="AL119" s="33"/>
      <c r="AM119" s="32"/>
      <c r="AN119" s="33"/>
      <c r="AO119" s="32"/>
      <c r="AP119" s="32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372"/>
      <c r="BD119" s="372"/>
      <c r="BE119" s="372"/>
      <c r="BF119" s="372"/>
      <c r="BG119" s="372"/>
      <c r="BH119" s="372"/>
      <c r="BI119" s="372"/>
      <c r="BJ119" s="372"/>
      <c r="BK119" s="372"/>
      <c r="BL119" s="372"/>
      <c r="BM119" s="372"/>
      <c r="BN119" s="372"/>
      <c r="BO119" s="372"/>
      <c r="BP119" s="372"/>
      <c r="BQ119" s="372"/>
      <c r="BR119" s="372"/>
      <c r="BS119" s="372"/>
      <c r="BT119" s="372"/>
      <c r="BU119" s="372"/>
      <c r="BV119" s="372"/>
      <c r="BW119" s="372"/>
      <c r="BX119" s="372"/>
    </row>
    <row r="120" spans="2:76" s="28" customFormat="1">
      <c r="B120" s="136"/>
      <c r="D120" s="464"/>
      <c r="E120" s="29"/>
      <c r="G120" s="338"/>
      <c r="H120" s="339"/>
      <c r="I120" s="339"/>
      <c r="J120" s="339"/>
      <c r="K120" s="339"/>
      <c r="L120" s="339"/>
      <c r="O120" s="373"/>
      <c r="AI120" s="31"/>
      <c r="AJ120" s="31"/>
      <c r="AK120" s="32"/>
      <c r="AL120" s="33"/>
      <c r="AM120" s="32"/>
      <c r="AN120" s="33"/>
      <c r="AO120" s="32"/>
      <c r="AP120" s="32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372"/>
      <c r="BD120" s="372"/>
      <c r="BE120" s="372"/>
      <c r="BF120" s="372"/>
      <c r="BG120" s="372"/>
      <c r="BH120" s="372"/>
      <c r="BI120" s="372"/>
      <c r="BJ120" s="372"/>
      <c r="BK120" s="372"/>
      <c r="BL120" s="372"/>
      <c r="BM120" s="372"/>
      <c r="BN120" s="372"/>
      <c r="BO120" s="372"/>
      <c r="BP120" s="372"/>
      <c r="BQ120" s="372"/>
      <c r="BR120" s="372"/>
      <c r="BS120" s="372"/>
      <c r="BT120" s="372"/>
      <c r="BU120" s="372"/>
      <c r="BV120" s="372"/>
      <c r="BW120" s="372"/>
      <c r="BX120" s="372"/>
    </row>
    <row r="121" spans="2:76" s="28" customFormat="1">
      <c r="B121" s="136"/>
      <c r="D121" s="464"/>
      <c r="E121" s="29"/>
      <c r="G121" s="338"/>
      <c r="H121" s="339"/>
      <c r="I121" s="339"/>
      <c r="J121" s="339"/>
      <c r="K121" s="339"/>
      <c r="L121" s="339"/>
      <c r="O121" s="373"/>
      <c r="AI121" s="31"/>
      <c r="AJ121" s="31"/>
      <c r="AK121" s="32"/>
      <c r="AL121" s="33"/>
      <c r="AM121" s="32"/>
      <c r="AN121" s="33"/>
      <c r="AO121" s="32"/>
      <c r="AP121" s="32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372"/>
      <c r="BD121" s="372"/>
      <c r="BE121" s="372"/>
      <c r="BF121" s="372"/>
      <c r="BG121" s="372"/>
      <c r="BH121" s="372"/>
      <c r="BI121" s="372"/>
      <c r="BJ121" s="372"/>
      <c r="BK121" s="372"/>
      <c r="BL121" s="372"/>
      <c r="BM121" s="372"/>
      <c r="BN121" s="372"/>
      <c r="BO121" s="372"/>
      <c r="BP121" s="372"/>
      <c r="BQ121" s="372"/>
      <c r="BR121" s="372"/>
      <c r="BS121" s="372"/>
      <c r="BT121" s="372"/>
      <c r="BU121" s="372"/>
      <c r="BV121" s="372"/>
      <c r="BW121" s="372"/>
      <c r="BX121" s="372"/>
    </row>
    <row r="122" spans="2:76" s="28" customFormat="1">
      <c r="B122" s="136"/>
      <c r="D122" s="464"/>
      <c r="E122" s="29"/>
      <c r="G122" s="338"/>
      <c r="H122" s="339"/>
      <c r="I122" s="339"/>
      <c r="J122" s="339"/>
      <c r="K122" s="339"/>
      <c r="L122" s="339"/>
      <c r="O122" s="373"/>
      <c r="AI122" s="31"/>
      <c r="AJ122" s="31"/>
      <c r="AK122" s="32"/>
      <c r="AL122" s="33"/>
      <c r="AM122" s="32"/>
      <c r="AN122" s="33"/>
      <c r="AO122" s="32"/>
      <c r="AP122" s="32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372"/>
      <c r="BD122" s="372"/>
      <c r="BE122" s="372"/>
      <c r="BF122" s="372"/>
      <c r="BG122" s="372"/>
      <c r="BH122" s="372"/>
      <c r="BI122" s="372"/>
      <c r="BJ122" s="372"/>
      <c r="BK122" s="372"/>
      <c r="BL122" s="372"/>
      <c r="BM122" s="372"/>
      <c r="BN122" s="372"/>
      <c r="BO122" s="372"/>
      <c r="BP122" s="372"/>
      <c r="BQ122" s="372"/>
      <c r="BR122" s="372"/>
      <c r="BS122" s="372"/>
      <c r="BT122" s="372"/>
      <c r="BU122" s="372"/>
      <c r="BV122" s="372"/>
      <c r="BW122" s="372"/>
      <c r="BX122" s="372"/>
    </row>
    <row r="123" spans="2:76" s="28" customFormat="1">
      <c r="B123" s="136"/>
      <c r="D123" s="464"/>
      <c r="E123" s="29"/>
      <c r="G123" s="338"/>
      <c r="H123" s="339"/>
      <c r="I123" s="339"/>
      <c r="J123" s="339"/>
      <c r="K123" s="339"/>
      <c r="L123" s="339"/>
      <c r="O123" s="373"/>
      <c r="AI123" s="31"/>
      <c r="AJ123" s="31"/>
      <c r="AK123" s="32"/>
      <c r="AL123" s="33"/>
      <c r="AM123" s="32"/>
      <c r="AN123" s="33"/>
      <c r="AO123" s="32"/>
      <c r="AP123" s="32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372"/>
      <c r="BD123" s="372"/>
      <c r="BE123" s="372"/>
      <c r="BF123" s="372"/>
      <c r="BG123" s="372"/>
      <c r="BH123" s="372"/>
      <c r="BI123" s="372"/>
      <c r="BJ123" s="372"/>
      <c r="BK123" s="372"/>
      <c r="BL123" s="372"/>
      <c r="BM123" s="372"/>
      <c r="BN123" s="372"/>
      <c r="BO123" s="372"/>
      <c r="BP123" s="372"/>
      <c r="BQ123" s="372"/>
      <c r="BR123" s="372"/>
      <c r="BS123" s="372"/>
      <c r="BT123" s="372"/>
      <c r="BU123" s="372"/>
      <c r="BV123" s="372"/>
      <c r="BW123" s="372"/>
      <c r="BX123" s="372"/>
    </row>
    <row r="124" spans="2:76" s="28" customFormat="1">
      <c r="B124" s="136"/>
      <c r="D124" s="464"/>
      <c r="E124" s="29"/>
      <c r="G124" s="338"/>
      <c r="H124" s="339"/>
      <c r="I124" s="339"/>
      <c r="J124" s="339"/>
      <c r="K124" s="339"/>
      <c r="L124" s="339"/>
      <c r="O124" s="373"/>
      <c r="AI124" s="31"/>
      <c r="AJ124" s="31"/>
      <c r="AK124" s="32"/>
      <c r="AL124" s="33"/>
      <c r="AM124" s="32"/>
      <c r="AN124" s="33"/>
      <c r="AO124" s="32"/>
      <c r="AP124" s="32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372"/>
      <c r="BD124" s="372"/>
      <c r="BE124" s="372"/>
      <c r="BF124" s="372"/>
      <c r="BG124" s="372"/>
      <c r="BH124" s="372"/>
      <c r="BI124" s="372"/>
      <c r="BJ124" s="372"/>
      <c r="BK124" s="372"/>
      <c r="BL124" s="372"/>
      <c r="BM124" s="372"/>
      <c r="BN124" s="372"/>
      <c r="BO124" s="372"/>
      <c r="BP124" s="372"/>
      <c r="BQ124" s="372"/>
      <c r="BR124" s="372"/>
      <c r="BS124" s="372"/>
      <c r="BT124" s="372"/>
      <c r="BU124" s="372"/>
      <c r="BV124" s="372"/>
      <c r="BW124" s="372"/>
      <c r="BX124" s="372"/>
    </row>
    <row r="125" spans="2:76" s="28" customFormat="1">
      <c r="B125" s="136"/>
      <c r="D125" s="464"/>
      <c r="E125" s="29"/>
      <c r="G125" s="338"/>
      <c r="H125" s="339"/>
      <c r="I125" s="339"/>
      <c r="J125" s="339"/>
      <c r="K125" s="339"/>
      <c r="L125" s="339"/>
      <c r="O125" s="373"/>
      <c r="AI125" s="31"/>
      <c r="AJ125" s="31"/>
      <c r="AK125" s="32"/>
      <c r="AL125" s="33"/>
      <c r="AM125" s="32"/>
      <c r="AN125" s="33"/>
      <c r="AO125" s="32"/>
      <c r="AP125" s="32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372"/>
      <c r="BD125" s="372"/>
      <c r="BE125" s="372"/>
      <c r="BF125" s="372"/>
      <c r="BG125" s="372"/>
      <c r="BH125" s="372"/>
      <c r="BI125" s="372"/>
      <c r="BJ125" s="372"/>
      <c r="BK125" s="372"/>
      <c r="BL125" s="372"/>
      <c r="BM125" s="372"/>
      <c r="BN125" s="372"/>
      <c r="BO125" s="372"/>
      <c r="BP125" s="372"/>
      <c r="BQ125" s="372"/>
      <c r="BR125" s="372"/>
      <c r="BS125" s="372"/>
      <c r="BT125" s="372"/>
      <c r="BU125" s="372"/>
      <c r="BV125" s="372"/>
      <c r="BW125" s="372"/>
      <c r="BX125" s="372"/>
    </row>
    <row r="126" spans="2:76" s="28" customFormat="1">
      <c r="B126" s="136"/>
      <c r="D126" s="464"/>
      <c r="E126" s="29"/>
      <c r="G126" s="338"/>
      <c r="H126" s="339"/>
      <c r="I126" s="339"/>
      <c r="J126" s="339"/>
      <c r="K126" s="339"/>
      <c r="L126" s="339"/>
      <c r="O126" s="373"/>
      <c r="AI126" s="31"/>
      <c r="AJ126" s="31"/>
      <c r="AK126" s="32"/>
      <c r="AL126" s="33"/>
      <c r="AM126" s="32"/>
      <c r="AN126" s="33"/>
      <c r="AO126" s="32"/>
      <c r="AP126" s="32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372"/>
      <c r="BD126" s="372"/>
      <c r="BE126" s="372"/>
      <c r="BF126" s="372"/>
      <c r="BG126" s="372"/>
      <c r="BH126" s="372"/>
      <c r="BI126" s="372"/>
      <c r="BJ126" s="372"/>
      <c r="BK126" s="372"/>
      <c r="BL126" s="372"/>
      <c r="BM126" s="372"/>
      <c r="BN126" s="372"/>
      <c r="BO126" s="372"/>
      <c r="BP126" s="372"/>
      <c r="BQ126" s="372"/>
      <c r="BR126" s="372"/>
      <c r="BS126" s="372"/>
      <c r="BT126" s="372"/>
      <c r="BU126" s="372"/>
      <c r="BV126" s="372"/>
      <c r="BW126" s="372"/>
      <c r="BX126" s="372"/>
    </row>
    <row r="127" spans="2:76" s="28" customFormat="1">
      <c r="B127" s="136"/>
      <c r="D127" s="464"/>
      <c r="E127" s="29"/>
      <c r="G127" s="338"/>
      <c r="H127" s="339"/>
      <c r="I127" s="339"/>
      <c r="J127" s="339"/>
      <c r="K127" s="339"/>
      <c r="L127" s="339"/>
      <c r="O127" s="374"/>
      <c r="AI127" s="31"/>
      <c r="AJ127" s="31"/>
      <c r="AK127" s="32"/>
      <c r="AL127" s="33"/>
      <c r="AM127" s="32"/>
      <c r="AN127" s="33"/>
      <c r="AO127" s="32"/>
      <c r="AP127" s="32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372"/>
      <c r="BD127" s="372"/>
      <c r="BE127" s="372"/>
      <c r="BF127" s="372"/>
      <c r="BG127" s="372"/>
      <c r="BH127" s="372"/>
      <c r="BI127" s="372"/>
      <c r="BJ127" s="372"/>
      <c r="BK127" s="372"/>
      <c r="BL127" s="372"/>
      <c r="BM127" s="372"/>
      <c r="BN127" s="372"/>
      <c r="BO127" s="372"/>
      <c r="BP127" s="372"/>
      <c r="BQ127" s="372"/>
      <c r="BR127" s="372"/>
      <c r="BS127" s="372"/>
      <c r="BT127" s="372"/>
      <c r="BU127" s="372"/>
      <c r="BV127" s="372"/>
      <c r="BW127" s="372"/>
      <c r="BX127" s="372"/>
    </row>
    <row r="128" spans="2:76" s="28" customFormat="1">
      <c r="B128" s="136"/>
      <c r="D128" s="464"/>
      <c r="E128" s="29"/>
      <c r="G128" s="338"/>
      <c r="H128" s="339"/>
      <c r="I128" s="339"/>
      <c r="J128" s="339"/>
      <c r="K128" s="339"/>
      <c r="L128" s="339"/>
      <c r="O128" s="373"/>
      <c r="AI128" s="31"/>
      <c r="AJ128" s="31"/>
      <c r="AK128" s="32"/>
      <c r="AL128" s="33"/>
      <c r="AM128" s="32"/>
      <c r="AN128" s="33"/>
      <c r="AO128" s="32"/>
      <c r="AP128" s="32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372"/>
      <c r="BD128" s="372"/>
      <c r="BE128" s="372"/>
      <c r="BF128" s="372"/>
      <c r="BG128" s="372"/>
      <c r="BH128" s="372"/>
      <c r="BI128" s="372"/>
      <c r="BJ128" s="372"/>
      <c r="BK128" s="372"/>
      <c r="BL128" s="372"/>
      <c r="BM128" s="372"/>
      <c r="BN128" s="372"/>
      <c r="BO128" s="372"/>
      <c r="BP128" s="372"/>
      <c r="BQ128" s="372"/>
      <c r="BR128" s="372"/>
      <c r="BS128" s="372"/>
      <c r="BT128" s="372"/>
      <c r="BU128" s="372"/>
      <c r="BV128" s="372"/>
      <c r="BW128" s="372"/>
      <c r="BX128" s="372"/>
    </row>
    <row r="129" spans="2:76" s="28" customFormat="1">
      <c r="B129" s="136"/>
      <c r="D129" s="464"/>
      <c r="E129" s="29"/>
      <c r="G129" s="338"/>
      <c r="H129" s="339"/>
      <c r="I129" s="339"/>
      <c r="J129" s="339"/>
      <c r="K129" s="339"/>
      <c r="L129" s="339"/>
      <c r="O129" s="373"/>
      <c r="AI129" s="31"/>
      <c r="AJ129" s="31"/>
      <c r="AK129" s="32"/>
      <c r="AL129" s="33"/>
      <c r="AM129" s="32"/>
      <c r="AN129" s="33"/>
      <c r="AO129" s="32"/>
      <c r="AP129" s="32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372"/>
      <c r="BD129" s="372"/>
      <c r="BE129" s="372"/>
      <c r="BF129" s="372"/>
      <c r="BG129" s="372"/>
      <c r="BH129" s="372"/>
      <c r="BI129" s="372"/>
      <c r="BJ129" s="372"/>
      <c r="BK129" s="372"/>
      <c r="BL129" s="372"/>
      <c r="BM129" s="372"/>
      <c r="BN129" s="372"/>
      <c r="BO129" s="372"/>
      <c r="BP129" s="372"/>
      <c r="BQ129" s="372"/>
      <c r="BR129" s="372"/>
      <c r="BS129" s="372"/>
      <c r="BT129" s="372"/>
      <c r="BU129" s="372"/>
      <c r="BV129" s="372"/>
      <c r="BW129" s="372"/>
      <c r="BX129" s="372"/>
    </row>
    <row r="130" spans="2:76" s="28" customFormat="1">
      <c r="B130" s="136"/>
      <c r="D130" s="464"/>
      <c r="E130" s="29"/>
      <c r="G130" s="338"/>
      <c r="H130" s="339"/>
      <c r="I130" s="339"/>
      <c r="J130" s="339"/>
      <c r="K130" s="339"/>
      <c r="L130" s="339"/>
      <c r="O130" s="373"/>
      <c r="AI130" s="31"/>
      <c r="AJ130" s="31"/>
      <c r="AK130" s="32"/>
      <c r="AL130" s="33"/>
      <c r="AM130" s="32"/>
      <c r="AN130" s="33"/>
      <c r="AO130" s="32"/>
      <c r="AP130" s="32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372"/>
      <c r="BD130" s="372"/>
      <c r="BE130" s="372"/>
      <c r="BF130" s="372"/>
      <c r="BG130" s="372"/>
      <c r="BH130" s="372"/>
      <c r="BI130" s="372"/>
      <c r="BJ130" s="372"/>
      <c r="BK130" s="372"/>
      <c r="BL130" s="372"/>
      <c r="BM130" s="372"/>
      <c r="BN130" s="372"/>
      <c r="BO130" s="372"/>
      <c r="BP130" s="372"/>
      <c r="BQ130" s="372"/>
      <c r="BR130" s="372"/>
      <c r="BS130" s="372"/>
      <c r="BT130" s="372"/>
      <c r="BU130" s="372"/>
      <c r="BV130" s="372"/>
      <c r="BW130" s="372"/>
      <c r="BX130" s="372"/>
    </row>
    <row r="131" spans="2:76" s="28" customFormat="1">
      <c r="B131" s="136"/>
      <c r="D131" s="464"/>
      <c r="E131" s="29"/>
      <c r="G131" s="338"/>
      <c r="H131" s="339"/>
      <c r="I131" s="339"/>
      <c r="J131" s="339"/>
      <c r="K131" s="339"/>
      <c r="L131" s="339"/>
      <c r="O131" s="373"/>
      <c r="AI131" s="31"/>
      <c r="AJ131" s="31"/>
      <c r="AK131" s="32"/>
      <c r="AL131" s="33"/>
      <c r="AM131" s="32"/>
      <c r="AN131" s="33"/>
      <c r="AO131" s="32"/>
      <c r="AP131" s="32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372"/>
      <c r="BD131" s="372"/>
      <c r="BE131" s="372"/>
      <c r="BF131" s="372"/>
      <c r="BG131" s="372"/>
      <c r="BH131" s="372"/>
      <c r="BI131" s="372"/>
      <c r="BJ131" s="372"/>
      <c r="BK131" s="372"/>
      <c r="BL131" s="372"/>
      <c r="BM131" s="372"/>
      <c r="BN131" s="372"/>
      <c r="BO131" s="372"/>
      <c r="BP131" s="372"/>
      <c r="BQ131" s="372"/>
      <c r="BR131" s="372"/>
      <c r="BS131" s="372"/>
      <c r="BT131" s="372"/>
      <c r="BU131" s="372"/>
      <c r="BV131" s="372"/>
      <c r="BW131" s="372"/>
      <c r="BX131" s="372"/>
    </row>
    <row r="132" spans="2:76" s="28" customFormat="1">
      <c r="B132" s="136"/>
      <c r="D132" s="464"/>
      <c r="E132" s="29"/>
      <c r="G132" s="338"/>
      <c r="H132" s="339"/>
      <c r="I132" s="339"/>
      <c r="J132" s="339"/>
      <c r="K132" s="339"/>
      <c r="L132" s="339"/>
      <c r="O132" s="373"/>
      <c r="AI132" s="31"/>
      <c r="AJ132" s="31"/>
      <c r="AK132" s="32"/>
      <c r="AL132" s="33"/>
      <c r="AM132" s="32"/>
      <c r="AN132" s="33"/>
      <c r="AO132" s="32"/>
      <c r="AP132" s="32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372"/>
      <c r="BD132" s="372"/>
      <c r="BE132" s="372"/>
      <c r="BF132" s="372"/>
      <c r="BG132" s="372"/>
      <c r="BH132" s="372"/>
      <c r="BI132" s="372"/>
      <c r="BJ132" s="372"/>
      <c r="BK132" s="372"/>
      <c r="BL132" s="372"/>
      <c r="BM132" s="372"/>
      <c r="BN132" s="372"/>
      <c r="BO132" s="372"/>
      <c r="BP132" s="372"/>
      <c r="BQ132" s="372"/>
      <c r="BR132" s="372"/>
      <c r="BS132" s="372"/>
      <c r="BT132" s="372"/>
      <c r="BU132" s="372"/>
      <c r="BV132" s="372"/>
      <c r="BW132" s="372"/>
      <c r="BX132" s="372"/>
    </row>
    <row r="133" spans="2:76" s="28" customFormat="1">
      <c r="B133" s="136"/>
      <c r="D133" s="464"/>
      <c r="E133" s="29"/>
      <c r="G133" s="338"/>
      <c r="H133" s="339"/>
      <c r="I133" s="339"/>
      <c r="J133" s="339"/>
      <c r="K133" s="339"/>
      <c r="L133" s="339"/>
      <c r="O133" s="373"/>
      <c r="AI133" s="31"/>
      <c r="AJ133" s="31"/>
      <c r="AK133" s="32"/>
      <c r="AL133" s="33"/>
      <c r="AM133" s="32"/>
      <c r="AN133" s="33"/>
      <c r="AO133" s="32"/>
      <c r="AP133" s="32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372"/>
      <c r="BD133" s="372"/>
      <c r="BE133" s="372"/>
      <c r="BF133" s="372"/>
      <c r="BG133" s="372"/>
      <c r="BH133" s="372"/>
      <c r="BI133" s="372"/>
      <c r="BJ133" s="372"/>
      <c r="BK133" s="372"/>
      <c r="BL133" s="372"/>
      <c r="BM133" s="372"/>
      <c r="BN133" s="372"/>
      <c r="BO133" s="372"/>
      <c r="BP133" s="372"/>
      <c r="BQ133" s="372"/>
      <c r="BR133" s="372"/>
      <c r="BS133" s="372"/>
      <c r="BT133" s="372"/>
      <c r="BU133" s="372"/>
      <c r="BV133" s="372"/>
      <c r="BW133" s="372"/>
      <c r="BX133" s="372"/>
    </row>
    <row r="134" spans="2:76" s="28" customFormat="1">
      <c r="B134" s="136"/>
      <c r="D134" s="464"/>
      <c r="E134" s="29"/>
      <c r="G134" s="338"/>
      <c r="H134" s="339"/>
      <c r="I134" s="339"/>
      <c r="J134" s="339"/>
      <c r="K134" s="339"/>
      <c r="L134" s="339"/>
      <c r="O134" s="373"/>
      <c r="AI134" s="31"/>
      <c r="AJ134" s="31"/>
      <c r="AK134" s="32"/>
      <c r="AL134" s="33"/>
      <c r="AM134" s="32"/>
      <c r="AN134" s="33"/>
      <c r="AO134" s="32"/>
      <c r="AP134" s="32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372"/>
      <c r="BD134" s="372"/>
      <c r="BE134" s="372"/>
      <c r="BF134" s="372"/>
      <c r="BG134" s="372"/>
      <c r="BH134" s="372"/>
      <c r="BI134" s="372"/>
      <c r="BJ134" s="372"/>
      <c r="BK134" s="372"/>
      <c r="BL134" s="372"/>
      <c r="BM134" s="372"/>
      <c r="BN134" s="372"/>
      <c r="BO134" s="372"/>
      <c r="BP134" s="372"/>
      <c r="BQ134" s="372"/>
      <c r="BR134" s="372"/>
      <c r="BS134" s="372"/>
      <c r="BT134" s="372"/>
      <c r="BU134" s="372"/>
      <c r="BV134" s="372"/>
      <c r="BW134" s="372"/>
      <c r="BX134" s="372"/>
    </row>
    <row r="135" spans="2:76" s="28" customFormat="1">
      <c r="B135" s="136"/>
      <c r="D135" s="464"/>
      <c r="E135" s="29"/>
      <c r="G135" s="338"/>
      <c r="H135" s="339"/>
      <c r="I135" s="339"/>
      <c r="J135" s="339"/>
      <c r="K135" s="339"/>
      <c r="L135" s="339"/>
      <c r="O135" s="373"/>
      <c r="AI135" s="31"/>
      <c r="AJ135" s="31"/>
      <c r="AK135" s="32"/>
      <c r="AL135" s="33"/>
      <c r="AM135" s="32"/>
      <c r="AN135" s="33"/>
      <c r="AO135" s="32"/>
      <c r="AP135" s="32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372"/>
      <c r="BD135" s="372"/>
      <c r="BE135" s="372"/>
      <c r="BF135" s="372"/>
      <c r="BG135" s="372"/>
      <c r="BH135" s="372"/>
      <c r="BI135" s="372"/>
      <c r="BJ135" s="372"/>
      <c r="BK135" s="372"/>
      <c r="BL135" s="372"/>
      <c r="BM135" s="372"/>
      <c r="BN135" s="372"/>
      <c r="BO135" s="372"/>
      <c r="BP135" s="372"/>
      <c r="BQ135" s="372"/>
      <c r="BR135" s="372"/>
      <c r="BS135" s="372"/>
      <c r="BT135" s="372"/>
      <c r="BU135" s="372"/>
      <c r="BV135" s="372"/>
      <c r="BW135" s="372"/>
      <c r="BX135" s="372"/>
    </row>
    <row r="136" spans="2:76" s="28" customFormat="1">
      <c r="B136" s="136"/>
      <c r="D136" s="464"/>
      <c r="E136" s="29"/>
      <c r="G136" s="338"/>
      <c r="H136" s="339"/>
      <c r="I136" s="339"/>
      <c r="J136" s="339"/>
      <c r="K136" s="339"/>
      <c r="L136" s="339"/>
      <c r="O136" s="373"/>
      <c r="AI136" s="31"/>
      <c r="AJ136" s="31"/>
      <c r="AK136" s="32"/>
      <c r="AL136" s="33"/>
      <c r="AM136" s="32"/>
      <c r="AN136" s="33"/>
      <c r="AO136" s="32"/>
      <c r="AP136" s="32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372"/>
      <c r="BD136" s="372"/>
      <c r="BE136" s="372"/>
      <c r="BF136" s="372"/>
      <c r="BG136" s="372"/>
      <c r="BH136" s="372"/>
      <c r="BI136" s="372"/>
      <c r="BJ136" s="372"/>
      <c r="BK136" s="372"/>
      <c r="BL136" s="372"/>
      <c r="BM136" s="372"/>
      <c r="BN136" s="372"/>
      <c r="BO136" s="372"/>
      <c r="BP136" s="372"/>
      <c r="BQ136" s="372"/>
      <c r="BR136" s="372"/>
      <c r="BS136" s="372"/>
      <c r="BT136" s="372"/>
      <c r="BU136" s="372"/>
      <c r="BV136" s="372"/>
      <c r="BW136" s="372"/>
      <c r="BX136" s="372"/>
    </row>
    <row r="137" spans="2:76" s="28" customFormat="1">
      <c r="B137" s="136"/>
      <c r="D137" s="464"/>
      <c r="E137" s="29"/>
      <c r="G137" s="338"/>
      <c r="H137" s="339"/>
      <c r="I137" s="339"/>
      <c r="J137" s="339"/>
      <c r="K137" s="339"/>
      <c r="L137" s="339"/>
      <c r="O137" s="373"/>
      <c r="AI137" s="31"/>
      <c r="AJ137" s="31"/>
      <c r="AK137" s="32"/>
      <c r="AL137" s="33"/>
      <c r="AM137" s="32"/>
      <c r="AN137" s="33"/>
      <c r="AO137" s="32"/>
      <c r="AP137" s="32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372"/>
      <c r="BD137" s="372"/>
      <c r="BE137" s="372"/>
      <c r="BF137" s="372"/>
      <c r="BG137" s="372"/>
      <c r="BH137" s="372"/>
      <c r="BI137" s="372"/>
      <c r="BJ137" s="372"/>
      <c r="BK137" s="372"/>
      <c r="BL137" s="372"/>
      <c r="BM137" s="372"/>
      <c r="BN137" s="372"/>
      <c r="BO137" s="372"/>
      <c r="BP137" s="372"/>
      <c r="BQ137" s="372"/>
      <c r="BR137" s="372"/>
      <c r="BS137" s="372"/>
      <c r="BT137" s="372"/>
      <c r="BU137" s="372"/>
      <c r="BV137" s="372"/>
      <c r="BW137" s="372"/>
      <c r="BX137" s="372"/>
    </row>
    <row r="138" spans="2:76" s="28" customFormat="1">
      <c r="B138" s="136"/>
      <c r="D138" s="464"/>
      <c r="E138" s="29"/>
      <c r="G138" s="338"/>
      <c r="H138" s="339"/>
      <c r="I138" s="339"/>
      <c r="J138" s="339"/>
      <c r="K138" s="339"/>
      <c r="L138" s="339"/>
      <c r="O138" s="373"/>
      <c r="AI138" s="31"/>
      <c r="AJ138" s="31"/>
      <c r="AK138" s="32"/>
      <c r="AL138" s="33"/>
      <c r="AM138" s="32"/>
      <c r="AN138" s="33"/>
      <c r="AO138" s="32"/>
      <c r="AP138" s="32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372"/>
      <c r="BD138" s="372"/>
      <c r="BE138" s="372"/>
      <c r="BF138" s="372"/>
      <c r="BG138" s="372"/>
      <c r="BH138" s="372"/>
      <c r="BI138" s="372"/>
      <c r="BJ138" s="372"/>
      <c r="BK138" s="372"/>
      <c r="BL138" s="372"/>
      <c r="BM138" s="372"/>
      <c r="BN138" s="372"/>
      <c r="BO138" s="372"/>
      <c r="BP138" s="372"/>
      <c r="BQ138" s="372"/>
      <c r="BR138" s="372"/>
      <c r="BS138" s="372"/>
      <c r="BT138" s="372"/>
      <c r="BU138" s="372"/>
      <c r="BV138" s="372"/>
      <c r="BW138" s="372"/>
      <c r="BX138" s="372"/>
    </row>
    <row r="139" spans="2:76" s="28" customFormat="1">
      <c r="B139" s="136"/>
      <c r="D139" s="464"/>
      <c r="E139" s="29"/>
      <c r="G139" s="338"/>
      <c r="H139" s="339"/>
      <c r="I139" s="339"/>
      <c r="J139" s="339"/>
      <c r="K139" s="339"/>
      <c r="L139" s="339"/>
      <c r="O139" s="374"/>
      <c r="AI139" s="31"/>
      <c r="AJ139" s="31"/>
      <c r="AK139" s="32"/>
      <c r="AL139" s="33"/>
      <c r="AM139" s="32"/>
      <c r="AN139" s="33"/>
      <c r="AO139" s="32"/>
      <c r="AP139" s="32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372"/>
      <c r="BD139" s="372"/>
      <c r="BE139" s="372"/>
      <c r="BF139" s="372"/>
      <c r="BG139" s="372"/>
      <c r="BH139" s="372"/>
      <c r="BI139" s="372"/>
      <c r="BJ139" s="372"/>
      <c r="BK139" s="372"/>
      <c r="BL139" s="372"/>
      <c r="BM139" s="372"/>
      <c r="BN139" s="372"/>
      <c r="BO139" s="372"/>
      <c r="BP139" s="372"/>
      <c r="BQ139" s="372"/>
      <c r="BR139" s="372"/>
      <c r="BS139" s="372"/>
      <c r="BT139" s="372"/>
      <c r="BU139" s="372"/>
      <c r="BV139" s="372"/>
      <c r="BW139" s="372"/>
      <c r="BX139" s="372"/>
    </row>
    <row r="140" spans="2:76" s="28" customFormat="1">
      <c r="B140" s="136"/>
      <c r="D140" s="464"/>
      <c r="E140" s="29"/>
      <c r="G140" s="338"/>
      <c r="H140" s="339"/>
      <c r="I140" s="339"/>
      <c r="J140" s="339"/>
      <c r="K140" s="339"/>
      <c r="L140" s="339"/>
      <c r="O140" s="373"/>
      <c r="AI140" s="31"/>
      <c r="AJ140" s="31"/>
      <c r="AK140" s="32"/>
      <c r="AL140" s="33"/>
      <c r="AM140" s="32"/>
      <c r="AN140" s="33"/>
      <c r="AO140" s="32"/>
      <c r="AP140" s="32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372"/>
      <c r="BD140" s="372"/>
      <c r="BE140" s="372"/>
      <c r="BF140" s="372"/>
      <c r="BG140" s="372"/>
      <c r="BH140" s="372"/>
      <c r="BI140" s="372"/>
      <c r="BJ140" s="372"/>
      <c r="BK140" s="372"/>
      <c r="BL140" s="372"/>
      <c r="BM140" s="372"/>
      <c r="BN140" s="372"/>
      <c r="BO140" s="372"/>
      <c r="BP140" s="372"/>
      <c r="BQ140" s="372"/>
      <c r="BR140" s="372"/>
      <c r="BS140" s="372"/>
      <c r="BT140" s="372"/>
      <c r="BU140" s="372"/>
      <c r="BV140" s="372"/>
      <c r="BW140" s="372"/>
      <c r="BX140" s="372"/>
    </row>
    <row r="141" spans="2:76" s="28" customFormat="1">
      <c r="B141" s="136"/>
      <c r="D141" s="464"/>
      <c r="E141" s="29"/>
      <c r="G141" s="338"/>
      <c r="H141" s="339"/>
      <c r="I141" s="339"/>
      <c r="J141" s="339"/>
      <c r="K141" s="339"/>
      <c r="L141" s="339"/>
      <c r="O141" s="373"/>
      <c r="AI141" s="31"/>
      <c r="AJ141" s="31"/>
      <c r="AK141" s="32"/>
      <c r="AL141" s="33"/>
      <c r="AM141" s="32"/>
      <c r="AN141" s="33"/>
      <c r="AO141" s="32"/>
      <c r="AP141" s="32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372"/>
      <c r="BD141" s="372"/>
      <c r="BE141" s="372"/>
      <c r="BF141" s="372"/>
      <c r="BG141" s="372"/>
      <c r="BH141" s="372"/>
      <c r="BI141" s="372"/>
      <c r="BJ141" s="372"/>
      <c r="BK141" s="372"/>
      <c r="BL141" s="372"/>
      <c r="BM141" s="372"/>
      <c r="BN141" s="372"/>
      <c r="BO141" s="372"/>
      <c r="BP141" s="372"/>
      <c r="BQ141" s="372"/>
      <c r="BR141" s="372"/>
      <c r="BS141" s="372"/>
      <c r="BT141" s="372"/>
      <c r="BU141" s="372"/>
      <c r="BV141" s="372"/>
      <c r="BW141" s="372"/>
      <c r="BX141" s="372"/>
    </row>
    <row r="142" spans="2:76" s="28" customFormat="1">
      <c r="B142" s="136"/>
      <c r="D142" s="464"/>
      <c r="E142" s="29"/>
      <c r="G142" s="338"/>
      <c r="H142" s="339"/>
      <c r="I142" s="339"/>
      <c r="J142" s="339"/>
      <c r="K142" s="339"/>
      <c r="L142" s="339"/>
      <c r="O142" s="373"/>
      <c r="AI142" s="31"/>
      <c r="AJ142" s="31"/>
      <c r="AK142" s="32"/>
      <c r="AL142" s="33"/>
      <c r="AM142" s="32"/>
      <c r="AN142" s="33"/>
      <c r="AO142" s="32"/>
      <c r="AP142" s="32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372"/>
      <c r="BD142" s="372"/>
      <c r="BE142" s="372"/>
      <c r="BF142" s="372"/>
      <c r="BG142" s="372"/>
      <c r="BH142" s="372"/>
      <c r="BI142" s="372"/>
      <c r="BJ142" s="372"/>
      <c r="BK142" s="372"/>
      <c r="BL142" s="372"/>
      <c r="BM142" s="372"/>
      <c r="BN142" s="372"/>
      <c r="BO142" s="372"/>
      <c r="BP142" s="372"/>
      <c r="BQ142" s="372"/>
      <c r="BR142" s="372"/>
      <c r="BS142" s="372"/>
      <c r="BT142" s="372"/>
      <c r="BU142" s="372"/>
      <c r="BV142" s="372"/>
      <c r="BW142" s="372"/>
      <c r="BX142" s="372"/>
    </row>
    <row r="143" spans="2:76" s="28" customFormat="1">
      <c r="B143" s="136"/>
      <c r="D143" s="464"/>
      <c r="E143" s="29"/>
      <c r="G143" s="338"/>
      <c r="H143" s="339"/>
      <c r="I143" s="339"/>
      <c r="J143" s="339"/>
      <c r="K143" s="339"/>
      <c r="L143" s="339"/>
      <c r="O143" s="373"/>
      <c r="AI143" s="31"/>
      <c r="AJ143" s="31"/>
      <c r="AK143" s="32"/>
      <c r="AL143" s="33"/>
      <c r="AM143" s="32"/>
      <c r="AN143" s="33"/>
      <c r="AO143" s="32"/>
      <c r="AP143" s="32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372"/>
      <c r="BD143" s="372"/>
      <c r="BE143" s="372"/>
      <c r="BF143" s="372"/>
      <c r="BG143" s="372"/>
      <c r="BH143" s="372"/>
      <c r="BI143" s="372"/>
      <c r="BJ143" s="372"/>
      <c r="BK143" s="372"/>
      <c r="BL143" s="372"/>
      <c r="BM143" s="372"/>
      <c r="BN143" s="372"/>
      <c r="BO143" s="372"/>
      <c r="BP143" s="372"/>
      <c r="BQ143" s="372"/>
      <c r="BR143" s="372"/>
      <c r="BS143" s="372"/>
      <c r="BT143" s="372"/>
      <c r="BU143" s="372"/>
      <c r="BV143" s="372"/>
      <c r="BW143" s="372"/>
      <c r="BX143" s="372"/>
    </row>
    <row r="144" spans="2:76" s="28" customFormat="1">
      <c r="B144" s="136"/>
      <c r="D144" s="464"/>
      <c r="E144" s="29"/>
      <c r="G144" s="338"/>
      <c r="H144" s="339"/>
      <c r="I144" s="339"/>
      <c r="J144" s="339"/>
      <c r="K144" s="339"/>
      <c r="L144" s="339"/>
      <c r="O144" s="373"/>
      <c r="AI144" s="31"/>
      <c r="AJ144" s="31"/>
      <c r="AK144" s="32"/>
      <c r="AL144" s="33"/>
      <c r="AM144" s="32"/>
      <c r="AN144" s="33"/>
      <c r="AO144" s="32"/>
      <c r="AP144" s="32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372"/>
      <c r="BD144" s="372"/>
      <c r="BE144" s="372"/>
      <c r="BF144" s="372"/>
      <c r="BG144" s="372"/>
      <c r="BH144" s="372"/>
      <c r="BI144" s="372"/>
      <c r="BJ144" s="372"/>
      <c r="BK144" s="372"/>
      <c r="BL144" s="372"/>
      <c r="BM144" s="372"/>
      <c r="BN144" s="372"/>
      <c r="BO144" s="372"/>
      <c r="BP144" s="372"/>
      <c r="BQ144" s="372"/>
      <c r="BR144" s="372"/>
      <c r="BS144" s="372"/>
      <c r="BT144" s="372"/>
      <c r="BU144" s="372"/>
      <c r="BV144" s="372"/>
      <c r="BW144" s="372"/>
      <c r="BX144" s="372"/>
    </row>
    <row r="145" spans="2:76" s="28" customFormat="1">
      <c r="B145" s="136"/>
      <c r="D145" s="464"/>
      <c r="E145" s="29"/>
      <c r="G145" s="338"/>
      <c r="H145" s="339"/>
      <c r="I145" s="339"/>
      <c r="J145" s="339"/>
      <c r="K145" s="339"/>
      <c r="L145" s="339"/>
      <c r="O145" s="375"/>
      <c r="AI145" s="31"/>
      <c r="AJ145" s="31"/>
      <c r="AK145" s="32"/>
      <c r="AL145" s="33"/>
      <c r="AM145" s="32"/>
      <c r="AN145" s="33"/>
      <c r="AO145" s="32"/>
      <c r="AP145" s="32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372"/>
      <c r="BD145" s="372"/>
      <c r="BE145" s="372"/>
      <c r="BF145" s="372"/>
      <c r="BG145" s="372"/>
      <c r="BH145" s="372"/>
      <c r="BI145" s="372"/>
      <c r="BJ145" s="372"/>
      <c r="BK145" s="372"/>
      <c r="BL145" s="372"/>
      <c r="BM145" s="372"/>
      <c r="BN145" s="372"/>
      <c r="BO145" s="372"/>
      <c r="BP145" s="372"/>
      <c r="BQ145" s="372"/>
      <c r="BR145" s="372"/>
      <c r="BS145" s="372"/>
      <c r="BT145" s="372"/>
      <c r="BU145" s="372"/>
      <c r="BV145" s="372"/>
      <c r="BW145" s="372"/>
      <c r="BX145" s="372"/>
    </row>
    <row r="146" spans="2:76" s="28" customFormat="1">
      <c r="B146" s="136"/>
      <c r="D146" s="464"/>
      <c r="E146" s="29"/>
      <c r="G146" s="338"/>
      <c r="H146" s="339"/>
      <c r="I146" s="339"/>
      <c r="J146" s="339"/>
      <c r="K146" s="339"/>
      <c r="L146" s="339"/>
      <c r="O146" s="373"/>
      <c r="AI146" s="31"/>
      <c r="AJ146" s="31"/>
      <c r="AK146" s="32"/>
      <c r="AL146" s="33"/>
      <c r="AM146" s="32"/>
      <c r="AN146" s="33"/>
      <c r="AO146" s="32"/>
      <c r="AP146" s="32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372"/>
      <c r="BD146" s="372"/>
      <c r="BE146" s="372"/>
      <c r="BF146" s="372"/>
      <c r="BG146" s="372"/>
      <c r="BH146" s="372"/>
      <c r="BI146" s="372"/>
      <c r="BJ146" s="372"/>
      <c r="BK146" s="372"/>
      <c r="BL146" s="372"/>
      <c r="BM146" s="372"/>
      <c r="BN146" s="372"/>
      <c r="BO146" s="372"/>
      <c r="BP146" s="372"/>
      <c r="BQ146" s="372"/>
      <c r="BR146" s="372"/>
      <c r="BS146" s="372"/>
      <c r="BT146" s="372"/>
      <c r="BU146" s="372"/>
      <c r="BV146" s="372"/>
      <c r="BW146" s="372"/>
      <c r="BX146" s="372"/>
    </row>
    <row r="147" spans="2:76" s="28" customFormat="1">
      <c r="B147" s="136"/>
      <c r="D147" s="464"/>
      <c r="E147" s="29"/>
      <c r="G147" s="338"/>
      <c r="H147" s="339"/>
      <c r="I147" s="339"/>
      <c r="J147" s="339"/>
      <c r="K147" s="339"/>
      <c r="L147" s="339"/>
      <c r="O147" s="373"/>
      <c r="AI147" s="31"/>
      <c r="AJ147" s="31"/>
      <c r="AK147" s="32"/>
      <c r="AL147" s="33"/>
      <c r="AM147" s="32"/>
      <c r="AN147" s="33"/>
      <c r="AO147" s="32"/>
      <c r="AP147" s="32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372"/>
      <c r="BD147" s="372"/>
      <c r="BE147" s="372"/>
      <c r="BF147" s="372"/>
      <c r="BG147" s="372"/>
      <c r="BH147" s="372"/>
      <c r="BI147" s="372"/>
      <c r="BJ147" s="372"/>
      <c r="BK147" s="372"/>
      <c r="BL147" s="372"/>
      <c r="BM147" s="372"/>
      <c r="BN147" s="372"/>
      <c r="BO147" s="372"/>
      <c r="BP147" s="372"/>
      <c r="BQ147" s="372"/>
      <c r="BR147" s="372"/>
      <c r="BS147" s="372"/>
      <c r="BT147" s="372"/>
      <c r="BU147" s="372"/>
      <c r="BV147" s="372"/>
      <c r="BW147" s="372"/>
      <c r="BX147" s="372"/>
    </row>
    <row r="148" spans="2:76" s="28" customFormat="1">
      <c r="B148" s="136"/>
      <c r="D148" s="464"/>
      <c r="E148" s="29"/>
      <c r="G148" s="338"/>
      <c r="H148" s="339"/>
      <c r="I148" s="339"/>
      <c r="J148" s="339"/>
      <c r="K148" s="339"/>
      <c r="L148" s="339"/>
      <c r="O148" s="373"/>
      <c r="AI148" s="31"/>
      <c r="AJ148" s="31"/>
      <c r="AK148" s="32"/>
      <c r="AL148" s="33"/>
      <c r="AM148" s="32"/>
      <c r="AN148" s="33"/>
      <c r="AO148" s="32"/>
      <c r="AP148" s="32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372"/>
      <c r="BD148" s="372"/>
      <c r="BE148" s="372"/>
      <c r="BF148" s="372"/>
      <c r="BG148" s="372"/>
      <c r="BH148" s="372"/>
      <c r="BI148" s="372"/>
      <c r="BJ148" s="372"/>
      <c r="BK148" s="372"/>
      <c r="BL148" s="372"/>
      <c r="BM148" s="372"/>
      <c r="BN148" s="372"/>
      <c r="BO148" s="372"/>
      <c r="BP148" s="372"/>
      <c r="BQ148" s="372"/>
      <c r="BR148" s="372"/>
      <c r="BS148" s="372"/>
      <c r="BT148" s="372"/>
      <c r="BU148" s="372"/>
      <c r="BV148" s="372"/>
      <c r="BW148" s="372"/>
      <c r="BX148" s="372"/>
    </row>
    <row r="149" spans="2:76" s="28" customFormat="1">
      <c r="B149" s="136"/>
      <c r="D149" s="464"/>
      <c r="E149" s="29"/>
      <c r="G149" s="338"/>
      <c r="H149" s="339"/>
      <c r="I149" s="339"/>
      <c r="J149" s="339"/>
      <c r="K149" s="339"/>
      <c r="L149" s="339"/>
      <c r="O149" s="373"/>
      <c r="AI149" s="31"/>
      <c r="AJ149" s="31"/>
      <c r="AK149" s="32"/>
      <c r="AL149" s="33"/>
      <c r="AM149" s="32"/>
      <c r="AN149" s="33"/>
      <c r="AO149" s="32"/>
      <c r="AP149" s="32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372"/>
      <c r="BD149" s="372"/>
      <c r="BE149" s="372"/>
      <c r="BF149" s="372"/>
      <c r="BG149" s="372"/>
      <c r="BH149" s="372"/>
      <c r="BI149" s="372"/>
      <c r="BJ149" s="372"/>
      <c r="BK149" s="372"/>
      <c r="BL149" s="372"/>
      <c r="BM149" s="372"/>
      <c r="BN149" s="372"/>
      <c r="BO149" s="372"/>
      <c r="BP149" s="372"/>
      <c r="BQ149" s="372"/>
      <c r="BR149" s="372"/>
      <c r="BS149" s="372"/>
      <c r="BT149" s="372"/>
      <c r="BU149" s="372"/>
      <c r="BV149" s="372"/>
      <c r="BW149" s="372"/>
      <c r="BX149" s="372"/>
    </row>
    <row r="150" spans="2:76" s="28" customFormat="1">
      <c r="B150" s="136"/>
      <c r="D150" s="464"/>
      <c r="E150" s="29"/>
      <c r="G150" s="338"/>
      <c r="H150" s="339"/>
      <c r="I150" s="339"/>
      <c r="J150" s="339"/>
      <c r="K150" s="339"/>
      <c r="L150" s="339"/>
      <c r="O150" s="373"/>
      <c r="AI150" s="31"/>
      <c r="AJ150" s="31"/>
      <c r="AK150" s="32"/>
      <c r="AL150" s="33"/>
      <c r="AM150" s="32"/>
      <c r="AN150" s="33"/>
      <c r="AO150" s="32"/>
      <c r="AP150" s="32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372"/>
      <c r="BD150" s="372"/>
      <c r="BE150" s="372"/>
      <c r="BF150" s="372"/>
      <c r="BG150" s="372"/>
      <c r="BH150" s="372"/>
      <c r="BI150" s="372"/>
      <c r="BJ150" s="372"/>
      <c r="BK150" s="372"/>
      <c r="BL150" s="372"/>
      <c r="BM150" s="372"/>
      <c r="BN150" s="372"/>
      <c r="BO150" s="372"/>
      <c r="BP150" s="372"/>
      <c r="BQ150" s="372"/>
      <c r="BR150" s="372"/>
      <c r="BS150" s="372"/>
      <c r="BT150" s="372"/>
      <c r="BU150" s="372"/>
      <c r="BV150" s="372"/>
      <c r="BW150" s="372"/>
      <c r="BX150" s="372"/>
    </row>
    <row r="151" spans="2:76" s="28" customFormat="1">
      <c r="B151" s="136"/>
      <c r="D151" s="464"/>
      <c r="E151" s="29"/>
      <c r="G151" s="338"/>
      <c r="H151" s="339"/>
      <c r="I151" s="339"/>
      <c r="J151" s="339"/>
      <c r="K151" s="339"/>
      <c r="L151" s="339"/>
      <c r="O151" s="374"/>
      <c r="AI151" s="31"/>
      <c r="AJ151" s="31"/>
      <c r="AK151" s="32"/>
      <c r="AL151" s="33"/>
      <c r="AM151" s="32"/>
      <c r="AN151" s="33"/>
      <c r="AO151" s="32"/>
      <c r="AP151" s="32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372"/>
      <c r="BD151" s="372"/>
      <c r="BE151" s="372"/>
      <c r="BF151" s="372"/>
      <c r="BG151" s="372"/>
      <c r="BH151" s="372"/>
      <c r="BI151" s="372"/>
      <c r="BJ151" s="372"/>
      <c r="BK151" s="372"/>
      <c r="BL151" s="372"/>
      <c r="BM151" s="372"/>
      <c r="BN151" s="372"/>
      <c r="BO151" s="372"/>
      <c r="BP151" s="372"/>
      <c r="BQ151" s="372"/>
      <c r="BR151" s="372"/>
      <c r="BS151" s="372"/>
      <c r="BT151" s="372"/>
      <c r="BU151" s="372"/>
      <c r="BV151" s="372"/>
      <c r="BW151" s="372"/>
      <c r="BX151" s="372"/>
    </row>
    <row r="152" spans="2:76" s="28" customFormat="1">
      <c r="B152" s="136"/>
      <c r="D152" s="464"/>
      <c r="E152" s="29"/>
      <c r="G152" s="338"/>
      <c r="H152" s="339"/>
      <c r="I152" s="339"/>
      <c r="J152" s="339"/>
      <c r="K152" s="339"/>
      <c r="L152" s="339"/>
      <c r="O152" s="373"/>
      <c r="AI152" s="31"/>
      <c r="AJ152" s="31"/>
      <c r="AK152" s="32"/>
      <c r="AL152" s="33"/>
      <c r="AM152" s="32"/>
      <c r="AN152" s="33"/>
      <c r="AO152" s="32"/>
      <c r="AP152" s="32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372"/>
      <c r="BD152" s="372"/>
      <c r="BE152" s="372"/>
      <c r="BF152" s="372"/>
      <c r="BG152" s="372"/>
      <c r="BH152" s="372"/>
      <c r="BI152" s="372"/>
      <c r="BJ152" s="372"/>
      <c r="BK152" s="372"/>
      <c r="BL152" s="372"/>
      <c r="BM152" s="372"/>
      <c r="BN152" s="372"/>
      <c r="BO152" s="372"/>
      <c r="BP152" s="372"/>
      <c r="BQ152" s="372"/>
      <c r="BR152" s="372"/>
      <c r="BS152" s="372"/>
      <c r="BT152" s="372"/>
      <c r="BU152" s="372"/>
      <c r="BV152" s="372"/>
      <c r="BW152" s="372"/>
      <c r="BX152" s="372"/>
    </row>
    <row r="153" spans="2:76" s="28" customFormat="1">
      <c r="B153" s="136"/>
      <c r="D153" s="464"/>
      <c r="E153" s="29"/>
      <c r="G153" s="338"/>
      <c r="H153" s="339"/>
      <c r="I153" s="339"/>
      <c r="J153" s="339"/>
      <c r="K153" s="339"/>
      <c r="L153" s="339"/>
      <c r="O153" s="373"/>
      <c r="AI153" s="31"/>
      <c r="AJ153" s="31"/>
      <c r="AK153" s="32"/>
      <c r="AL153" s="33"/>
      <c r="AM153" s="32"/>
      <c r="AN153" s="33"/>
      <c r="AO153" s="32"/>
      <c r="AP153" s="32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372"/>
      <c r="BD153" s="372"/>
      <c r="BE153" s="372"/>
      <c r="BF153" s="372"/>
      <c r="BG153" s="372"/>
      <c r="BH153" s="372"/>
      <c r="BI153" s="372"/>
      <c r="BJ153" s="372"/>
      <c r="BK153" s="372"/>
      <c r="BL153" s="372"/>
      <c r="BM153" s="372"/>
      <c r="BN153" s="372"/>
      <c r="BO153" s="372"/>
      <c r="BP153" s="372"/>
      <c r="BQ153" s="372"/>
      <c r="BR153" s="372"/>
      <c r="BS153" s="372"/>
      <c r="BT153" s="372"/>
      <c r="BU153" s="372"/>
      <c r="BV153" s="372"/>
      <c r="BW153" s="372"/>
      <c r="BX153" s="372"/>
    </row>
    <row r="154" spans="2:76" s="28" customFormat="1">
      <c r="B154" s="136"/>
      <c r="D154" s="464"/>
      <c r="E154" s="29"/>
      <c r="G154" s="338"/>
      <c r="H154" s="339"/>
      <c r="I154" s="339"/>
      <c r="J154" s="339"/>
      <c r="K154" s="339"/>
      <c r="L154" s="339"/>
      <c r="O154" s="373"/>
      <c r="AI154" s="31"/>
      <c r="AJ154" s="31"/>
      <c r="AK154" s="32"/>
      <c r="AL154" s="33"/>
      <c r="AM154" s="32"/>
      <c r="AN154" s="33"/>
      <c r="AO154" s="32"/>
      <c r="AP154" s="32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372"/>
      <c r="BD154" s="372"/>
      <c r="BE154" s="372"/>
      <c r="BF154" s="372"/>
      <c r="BG154" s="372"/>
      <c r="BH154" s="372"/>
      <c r="BI154" s="372"/>
      <c r="BJ154" s="372"/>
      <c r="BK154" s="372"/>
      <c r="BL154" s="372"/>
      <c r="BM154" s="372"/>
      <c r="BN154" s="372"/>
      <c r="BO154" s="372"/>
      <c r="BP154" s="372"/>
      <c r="BQ154" s="372"/>
      <c r="BR154" s="372"/>
      <c r="BS154" s="372"/>
      <c r="BT154" s="372"/>
      <c r="BU154" s="372"/>
      <c r="BV154" s="372"/>
      <c r="BW154" s="372"/>
      <c r="BX154" s="372"/>
    </row>
    <row r="155" spans="2:76" s="28" customFormat="1">
      <c r="B155" s="136"/>
      <c r="D155" s="464"/>
      <c r="E155" s="29"/>
      <c r="G155" s="338"/>
      <c r="H155" s="339"/>
      <c r="I155" s="339"/>
      <c r="J155" s="339"/>
      <c r="K155" s="339"/>
      <c r="L155" s="339"/>
      <c r="O155" s="373"/>
      <c r="AI155" s="31"/>
      <c r="AJ155" s="31"/>
      <c r="AK155" s="32"/>
      <c r="AL155" s="33"/>
      <c r="AM155" s="32"/>
      <c r="AN155" s="33"/>
      <c r="AO155" s="32"/>
      <c r="AP155" s="32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372"/>
      <c r="BD155" s="372"/>
      <c r="BE155" s="372"/>
      <c r="BF155" s="372"/>
      <c r="BG155" s="372"/>
      <c r="BH155" s="372"/>
      <c r="BI155" s="372"/>
      <c r="BJ155" s="372"/>
      <c r="BK155" s="372"/>
      <c r="BL155" s="372"/>
      <c r="BM155" s="372"/>
      <c r="BN155" s="372"/>
      <c r="BO155" s="372"/>
      <c r="BP155" s="372"/>
      <c r="BQ155" s="372"/>
      <c r="BR155" s="372"/>
      <c r="BS155" s="372"/>
      <c r="BT155" s="372"/>
      <c r="BU155" s="372"/>
      <c r="BV155" s="372"/>
      <c r="BW155" s="372"/>
      <c r="BX155" s="372"/>
    </row>
    <row r="156" spans="2:76" s="28" customFormat="1">
      <c r="B156" s="136"/>
      <c r="D156" s="464"/>
      <c r="E156" s="29"/>
      <c r="G156" s="338"/>
      <c r="H156" s="339"/>
      <c r="I156" s="339"/>
      <c r="J156" s="339"/>
      <c r="K156" s="339"/>
      <c r="L156" s="339"/>
      <c r="O156" s="373"/>
      <c r="AI156" s="31"/>
      <c r="AJ156" s="31"/>
      <c r="AK156" s="32"/>
      <c r="AL156" s="33"/>
      <c r="AM156" s="32"/>
      <c r="AN156" s="33"/>
      <c r="AO156" s="32"/>
      <c r="AP156" s="32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372"/>
      <c r="BD156" s="372"/>
      <c r="BE156" s="372"/>
      <c r="BF156" s="372"/>
      <c r="BG156" s="372"/>
      <c r="BH156" s="372"/>
      <c r="BI156" s="372"/>
      <c r="BJ156" s="372"/>
      <c r="BK156" s="372"/>
      <c r="BL156" s="372"/>
      <c r="BM156" s="372"/>
      <c r="BN156" s="372"/>
      <c r="BO156" s="372"/>
      <c r="BP156" s="372"/>
      <c r="BQ156" s="372"/>
      <c r="BR156" s="372"/>
      <c r="BS156" s="372"/>
      <c r="BT156" s="372"/>
      <c r="BU156" s="372"/>
      <c r="BV156" s="372"/>
      <c r="BW156" s="372"/>
      <c r="BX156" s="372"/>
    </row>
    <row r="157" spans="2:76" s="28" customFormat="1">
      <c r="B157" s="136"/>
      <c r="D157" s="464"/>
      <c r="E157" s="29"/>
      <c r="G157" s="338"/>
      <c r="H157" s="339"/>
      <c r="I157" s="339"/>
      <c r="J157" s="339"/>
      <c r="K157" s="339"/>
      <c r="L157" s="339"/>
      <c r="O157" s="373"/>
      <c r="AI157" s="31"/>
      <c r="AJ157" s="31"/>
      <c r="AK157" s="32"/>
      <c r="AL157" s="33"/>
      <c r="AM157" s="32"/>
      <c r="AN157" s="33"/>
      <c r="AO157" s="32"/>
      <c r="AP157" s="32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372"/>
      <c r="BD157" s="372"/>
      <c r="BE157" s="372"/>
      <c r="BF157" s="372"/>
      <c r="BG157" s="372"/>
      <c r="BH157" s="372"/>
      <c r="BI157" s="372"/>
      <c r="BJ157" s="372"/>
      <c r="BK157" s="372"/>
      <c r="BL157" s="372"/>
      <c r="BM157" s="372"/>
      <c r="BN157" s="372"/>
      <c r="BO157" s="372"/>
      <c r="BP157" s="372"/>
      <c r="BQ157" s="372"/>
      <c r="BR157" s="372"/>
      <c r="BS157" s="372"/>
      <c r="BT157" s="372"/>
      <c r="BU157" s="372"/>
      <c r="BV157" s="372"/>
      <c r="BW157" s="372"/>
      <c r="BX157" s="372"/>
    </row>
    <row r="158" spans="2:76" s="28" customFormat="1">
      <c r="B158" s="136"/>
      <c r="D158" s="464"/>
      <c r="E158" s="29"/>
      <c r="G158" s="338"/>
      <c r="H158" s="339"/>
      <c r="I158" s="339"/>
      <c r="J158" s="339"/>
      <c r="K158" s="339"/>
      <c r="L158" s="339"/>
      <c r="O158" s="373"/>
      <c r="AI158" s="31"/>
      <c r="AJ158" s="31"/>
      <c r="AK158" s="32"/>
      <c r="AL158" s="33"/>
      <c r="AM158" s="32"/>
      <c r="AN158" s="33"/>
      <c r="AO158" s="32"/>
      <c r="AP158" s="32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372"/>
      <c r="BD158" s="372"/>
      <c r="BE158" s="372"/>
      <c r="BF158" s="372"/>
      <c r="BG158" s="372"/>
      <c r="BH158" s="372"/>
      <c r="BI158" s="372"/>
      <c r="BJ158" s="372"/>
      <c r="BK158" s="372"/>
      <c r="BL158" s="372"/>
      <c r="BM158" s="372"/>
      <c r="BN158" s="372"/>
      <c r="BO158" s="372"/>
      <c r="BP158" s="372"/>
      <c r="BQ158" s="372"/>
      <c r="BR158" s="372"/>
      <c r="BS158" s="372"/>
      <c r="BT158" s="372"/>
      <c r="BU158" s="372"/>
      <c r="BV158" s="372"/>
      <c r="BW158" s="372"/>
      <c r="BX158" s="372"/>
    </row>
    <row r="159" spans="2:76" s="28" customFormat="1">
      <c r="B159" s="136"/>
      <c r="D159" s="464"/>
      <c r="E159" s="29"/>
      <c r="G159" s="338"/>
      <c r="H159" s="339"/>
      <c r="I159" s="339"/>
      <c r="J159" s="339"/>
      <c r="K159" s="339"/>
      <c r="L159" s="339"/>
      <c r="O159" s="373"/>
      <c r="AI159" s="31"/>
      <c r="AJ159" s="31"/>
      <c r="AK159" s="32"/>
      <c r="AL159" s="33"/>
      <c r="AM159" s="32"/>
      <c r="AN159" s="33"/>
      <c r="AO159" s="32"/>
      <c r="AP159" s="32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372"/>
      <c r="BD159" s="372"/>
      <c r="BE159" s="372"/>
      <c r="BF159" s="372"/>
      <c r="BG159" s="372"/>
      <c r="BH159" s="372"/>
      <c r="BI159" s="372"/>
      <c r="BJ159" s="372"/>
      <c r="BK159" s="372"/>
      <c r="BL159" s="372"/>
      <c r="BM159" s="372"/>
      <c r="BN159" s="372"/>
      <c r="BO159" s="372"/>
      <c r="BP159" s="372"/>
      <c r="BQ159" s="372"/>
      <c r="BR159" s="372"/>
      <c r="BS159" s="372"/>
      <c r="BT159" s="372"/>
      <c r="BU159" s="372"/>
      <c r="BV159" s="372"/>
      <c r="BW159" s="372"/>
      <c r="BX159" s="372"/>
    </row>
    <row r="160" spans="2:76" s="28" customFormat="1">
      <c r="B160" s="136"/>
      <c r="D160" s="464"/>
      <c r="E160" s="29"/>
      <c r="G160" s="338"/>
      <c r="H160" s="339"/>
      <c r="I160" s="339"/>
      <c r="J160" s="339"/>
      <c r="K160" s="339"/>
      <c r="L160" s="339"/>
      <c r="O160" s="373"/>
      <c r="AI160" s="31"/>
      <c r="AJ160" s="31"/>
      <c r="AK160" s="32"/>
      <c r="AL160" s="33"/>
      <c r="AM160" s="32"/>
      <c r="AN160" s="33"/>
      <c r="AO160" s="32"/>
      <c r="AP160" s="32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372"/>
      <c r="BD160" s="372"/>
      <c r="BE160" s="372"/>
      <c r="BF160" s="372"/>
      <c r="BG160" s="372"/>
      <c r="BH160" s="372"/>
      <c r="BI160" s="372"/>
      <c r="BJ160" s="372"/>
      <c r="BK160" s="372"/>
      <c r="BL160" s="372"/>
      <c r="BM160" s="372"/>
      <c r="BN160" s="372"/>
      <c r="BO160" s="372"/>
      <c r="BP160" s="372"/>
      <c r="BQ160" s="372"/>
      <c r="BR160" s="372"/>
      <c r="BS160" s="372"/>
      <c r="BT160" s="372"/>
      <c r="BU160" s="372"/>
      <c r="BV160" s="372"/>
      <c r="BW160" s="372"/>
      <c r="BX160" s="372"/>
    </row>
    <row r="161" spans="2:76" s="28" customFormat="1">
      <c r="B161" s="136"/>
      <c r="D161" s="464"/>
      <c r="E161" s="29"/>
      <c r="G161" s="338"/>
      <c r="H161" s="339"/>
      <c r="I161" s="339"/>
      <c r="J161" s="339"/>
      <c r="K161" s="339"/>
      <c r="L161" s="339"/>
      <c r="O161" s="373"/>
      <c r="AI161" s="31"/>
      <c r="AJ161" s="31"/>
      <c r="AK161" s="32"/>
      <c r="AL161" s="33"/>
      <c r="AM161" s="32"/>
      <c r="AN161" s="33"/>
      <c r="AO161" s="32"/>
      <c r="AP161" s="32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372"/>
      <c r="BD161" s="372"/>
      <c r="BE161" s="372"/>
      <c r="BF161" s="372"/>
      <c r="BG161" s="372"/>
      <c r="BH161" s="372"/>
      <c r="BI161" s="372"/>
      <c r="BJ161" s="372"/>
      <c r="BK161" s="372"/>
      <c r="BL161" s="372"/>
      <c r="BM161" s="372"/>
      <c r="BN161" s="372"/>
      <c r="BO161" s="372"/>
      <c r="BP161" s="372"/>
      <c r="BQ161" s="372"/>
      <c r="BR161" s="372"/>
      <c r="BS161" s="372"/>
      <c r="BT161" s="372"/>
      <c r="BU161" s="372"/>
      <c r="BV161" s="372"/>
      <c r="BW161" s="372"/>
      <c r="BX161" s="372"/>
    </row>
    <row r="162" spans="2:76" s="28" customFormat="1">
      <c r="B162" s="136"/>
      <c r="D162" s="464"/>
      <c r="E162" s="29"/>
      <c r="G162" s="338"/>
      <c r="H162" s="339"/>
      <c r="I162" s="339"/>
      <c r="J162" s="339"/>
      <c r="K162" s="339"/>
      <c r="L162" s="339"/>
      <c r="O162" s="373"/>
      <c r="AI162" s="31"/>
      <c r="AJ162" s="31"/>
      <c r="AK162" s="32"/>
      <c r="AL162" s="33"/>
      <c r="AM162" s="32"/>
      <c r="AN162" s="33"/>
      <c r="AO162" s="32"/>
      <c r="AP162" s="32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372"/>
      <c r="BD162" s="372"/>
      <c r="BE162" s="372"/>
      <c r="BF162" s="372"/>
      <c r="BG162" s="372"/>
      <c r="BH162" s="372"/>
      <c r="BI162" s="372"/>
      <c r="BJ162" s="372"/>
      <c r="BK162" s="372"/>
      <c r="BL162" s="372"/>
      <c r="BM162" s="372"/>
      <c r="BN162" s="372"/>
      <c r="BO162" s="372"/>
      <c r="BP162" s="372"/>
      <c r="BQ162" s="372"/>
      <c r="BR162" s="372"/>
      <c r="BS162" s="372"/>
      <c r="BT162" s="372"/>
      <c r="BU162" s="372"/>
      <c r="BV162" s="372"/>
      <c r="BW162" s="372"/>
      <c r="BX162" s="372"/>
    </row>
    <row r="163" spans="2:76" s="28" customFormat="1">
      <c r="B163" s="136"/>
      <c r="D163" s="464"/>
      <c r="E163" s="29"/>
      <c r="G163" s="338"/>
      <c r="H163" s="339"/>
      <c r="I163" s="339"/>
      <c r="J163" s="339"/>
      <c r="K163" s="339"/>
      <c r="L163" s="339"/>
      <c r="O163" s="373"/>
      <c r="AI163" s="31"/>
      <c r="AJ163" s="31"/>
      <c r="AK163" s="32"/>
      <c r="AL163" s="33"/>
      <c r="AM163" s="32"/>
      <c r="AN163" s="33"/>
      <c r="AO163" s="32"/>
      <c r="AP163" s="32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372"/>
      <c r="BD163" s="372"/>
      <c r="BE163" s="372"/>
      <c r="BF163" s="372"/>
      <c r="BG163" s="372"/>
      <c r="BH163" s="372"/>
      <c r="BI163" s="372"/>
      <c r="BJ163" s="372"/>
      <c r="BK163" s="372"/>
      <c r="BL163" s="372"/>
      <c r="BM163" s="372"/>
      <c r="BN163" s="372"/>
      <c r="BO163" s="372"/>
      <c r="BP163" s="372"/>
      <c r="BQ163" s="372"/>
      <c r="BR163" s="372"/>
      <c r="BS163" s="372"/>
      <c r="BT163" s="372"/>
      <c r="BU163" s="372"/>
      <c r="BV163" s="372"/>
      <c r="BW163" s="372"/>
      <c r="BX163" s="372"/>
    </row>
    <row r="164" spans="2:76" s="28" customFormat="1">
      <c r="B164" s="136"/>
      <c r="D164" s="464"/>
      <c r="E164" s="29"/>
      <c r="G164" s="338"/>
      <c r="H164" s="339"/>
      <c r="I164" s="339"/>
      <c r="J164" s="339"/>
      <c r="K164" s="339"/>
      <c r="L164" s="339"/>
      <c r="O164" s="373"/>
      <c r="AI164" s="31"/>
      <c r="AJ164" s="31"/>
      <c r="AK164" s="32"/>
      <c r="AL164" s="33"/>
      <c r="AM164" s="32"/>
      <c r="AN164" s="33"/>
      <c r="AO164" s="32"/>
      <c r="AP164" s="32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372"/>
      <c r="BD164" s="372"/>
      <c r="BE164" s="372"/>
      <c r="BF164" s="372"/>
      <c r="BG164" s="372"/>
      <c r="BH164" s="372"/>
      <c r="BI164" s="372"/>
      <c r="BJ164" s="372"/>
      <c r="BK164" s="372"/>
      <c r="BL164" s="372"/>
      <c r="BM164" s="372"/>
      <c r="BN164" s="372"/>
      <c r="BO164" s="372"/>
      <c r="BP164" s="372"/>
      <c r="BQ164" s="372"/>
      <c r="BR164" s="372"/>
      <c r="BS164" s="372"/>
      <c r="BT164" s="372"/>
      <c r="BU164" s="372"/>
      <c r="BV164" s="372"/>
      <c r="BW164" s="372"/>
      <c r="BX164" s="372"/>
    </row>
    <row r="165" spans="2:76" s="28" customFormat="1">
      <c r="B165" s="136"/>
      <c r="D165" s="464"/>
      <c r="E165" s="29"/>
      <c r="G165" s="338"/>
      <c r="H165" s="339"/>
      <c r="I165" s="339"/>
      <c r="J165" s="339"/>
      <c r="K165" s="339"/>
      <c r="L165" s="339"/>
      <c r="O165" s="373"/>
      <c r="AI165" s="31"/>
      <c r="AJ165" s="31"/>
      <c r="AK165" s="32"/>
      <c r="AL165" s="33"/>
      <c r="AM165" s="32"/>
      <c r="AN165" s="33"/>
      <c r="AO165" s="32"/>
      <c r="AP165" s="32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372"/>
      <c r="BD165" s="372"/>
      <c r="BE165" s="372"/>
      <c r="BF165" s="372"/>
      <c r="BG165" s="372"/>
      <c r="BH165" s="372"/>
      <c r="BI165" s="372"/>
      <c r="BJ165" s="372"/>
      <c r="BK165" s="372"/>
      <c r="BL165" s="372"/>
      <c r="BM165" s="372"/>
      <c r="BN165" s="372"/>
      <c r="BO165" s="372"/>
      <c r="BP165" s="372"/>
      <c r="BQ165" s="372"/>
      <c r="BR165" s="372"/>
      <c r="BS165" s="372"/>
      <c r="BT165" s="372"/>
      <c r="BU165" s="372"/>
      <c r="BV165" s="372"/>
      <c r="BW165" s="372"/>
      <c r="BX165" s="372"/>
    </row>
    <row r="166" spans="2:76" s="28" customFormat="1">
      <c r="B166" s="136"/>
      <c r="D166" s="464"/>
      <c r="E166" s="29"/>
      <c r="G166" s="338"/>
      <c r="H166" s="339"/>
      <c r="I166" s="339"/>
      <c r="J166" s="339"/>
      <c r="K166" s="339"/>
      <c r="L166" s="339"/>
      <c r="O166" s="373"/>
      <c r="AI166" s="31"/>
      <c r="AJ166" s="31"/>
      <c r="AK166" s="32"/>
      <c r="AL166" s="33"/>
      <c r="AM166" s="32"/>
      <c r="AN166" s="33"/>
      <c r="AO166" s="32"/>
      <c r="AP166" s="32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372"/>
      <c r="BD166" s="372"/>
      <c r="BE166" s="372"/>
      <c r="BF166" s="372"/>
      <c r="BG166" s="372"/>
      <c r="BH166" s="372"/>
      <c r="BI166" s="372"/>
      <c r="BJ166" s="372"/>
      <c r="BK166" s="372"/>
      <c r="BL166" s="372"/>
      <c r="BM166" s="372"/>
      <c r="BN166" s="372"/>
      <c r="BO166" s="372"/>
      <c r="BP166" s="372"/>
      <c r="BQ166" s="372"/>
      <c r="BR166" s="372"/>
      <c r="BS166" s="372"/>
      <c r="BT166" s="372"/>
      <c r="BU166" s="372"/>
      <c r="BV166" s="372"/>
      <c r="BW166" s="372"/>
      <c r="BX166" s="372"/>
    </row>
    <row r="167" spans="2:76" s="28" customFormat="1">
      <c r="B167" s="136"/>
      <c r="D167" s="464"/>
      <c r="E167" s="29"/>
      <c r="G167" s="338"/>
      <c r="H167" s="339"/>
      <c r="I167" s="339"/>
      <c r="J167" s="339"/>
      <c r="K167" s="339"/>
      <c r="L167" s="339"/>
      <c r="O167" s="373"/>
      <c r="AI167" s="31"/>
      <c r="AJ167" s="31"/>
      <c r="AK167" s="32"/>
      <c r="AL167" s="33"/>
      <c r="AM167" s="32"/>
      <c r="AN167" s="33"/>
      <c r="AO167" s="32"/>
      <c r="AP167" s="32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372"/>
      <c r="BD167" s="372"/>
      <c r="BE167" s="372"/>
      <c r="BF167" s="372"/>
      <c r="BG167" s="372"/>
      <c r="BH167" s="372"/>
      <c r="BI167" s="372"/>
      <c r="BJ167" s="372"/>
      <c r="BK167" s="372"/>
      <c r="BL167" s="372"/>
      <c r="BM167" s="372"/>
      <c r="BN167" s="372"/>
      <c r="BO167" s="372"/>
      <c r="BP167" s="372"/>
      <c r="BQ167" s="372"/>
      <c r="BR167" s="372"/>
      <c r="BS167" s="372"/>
      <c r="BT167" s="372"/>
      <c r="BU167" s="372"/>
      <c r="BV167" s="372"/>
      <c r="BW167" s="372"/>
      <c r="BX167" s="372"/>
    </row>
    <row r="168" spans="2:76" s="28" customFormat="1">
      <c r="B168" s="136"/>
      <c r="D168" s="464"/>
      <c r="E168" s="29"/>
      <c r="G168" s="338"/>
      <c r="H168" s="339"/>
      <c r="I168" s="339"/>
      <c r="J168" s="339"/>
      <c r="K168" s="339"/>
      <c r="L168" s="339"/>
      <c r="O168" s="373"/>
      <c r="AI168" s="31"/>
      <c r="AJ168" s="31"/>
      <c r="AK168" s="32"/>
      <c r="AL168" s="33"/>
      <c r="AM168" s="32"/>
      <c r="AN168" s="33"/>
      <c r="AO168" s="32"/>
      <c r="AP168" s="32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372"/>
      <c r="BD168" s="372"/>
      <c r="BE168" s="372"/>
      <c r="BF168" s="372"/>
      <c r="BG168" s="372"/>
      <c r="BH168" s="372"/>
      <c r="BI168" s="372"/>
      <c r="BJ168" s="372"/>
      <c r="BK168" s="372"/>
      <c r="BL168" s="372"/>
      <c r="BM168" s="372"/>
      <c r="BN168" s="372"/>
      <c r="BO168" s="372"/>
      <c r="BP168" s="372"/>
      <c r="BQ168" s="372"/>
      <c r="BR168" s="372"/>
      <c r="BS168" s="372"/>
      <c r="BT168" s="372"/>
      <c r="BU168" s="372"/>
      <c r="BV168" s="372"/>
      <c r="BW168" s="372"/>
      <c r="BX168" s="372"/>
    </row>
    <row r="169" spans="2:76" s="28" customFormat="1">
      <c r="B169" s="136"/>
      <c r="D169" s="464"/>
      <c r="E169" s="29"/>
      <c r="G169" s="338"/>
      <c r="H169" s="339"/>
      <c r="I169" s="339"/>
      <c r="J169" s="339"/>
      <c r="K169" s="339"/>
      <c r="L169" s="339"/>
      <c r="O169" s="373"/>
      <c r="AI169" s="31"/>
      <c r="AJ169" s="31"/>
      <c r="AK169" s="32"/>
      <c r="AL169" s="33"/>
      <c r="AM169" s="32"/>
      <c r="AN169" s="33"/>
      <c r="AO169" s="32"/>
      <c r="AP169" s="32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372"/>
      <c r="BD169" s="372"/>
      <c r="BE169" s="372"/>
      <c r="BF169" s="372"/>
      <c r="BG169" s="372"/>
      <c r="BH169" s="372"/>
      <c r="BI169" s="372"/>
      <c r="BJ169" s="372"/>
      <c r="BK169" s="372"/>
      <c r="BL169" s="372"/>
      <c r="BM169" s="372"/>
      <c r="BN169" s="372"/>
      <c r="BO169" s="372"/>
      <c r="BP169" s="372"/>
      <c r="BQ169" s="372"/>
      <c r="BR169" s="372"/>
      <c r="BS169" s="372"/>
      <c r="BT169" s="372"/>
      <c r="BU169" s="372"/>
      <c r="BV169" s="372"/>
      <c r="BW169" s="372"/>
      <c r="BX169" s="372"/>
    </row>
    <row r="170" spans="2:76" s="28" customFormat="1">
      <c r="B170" s="136"/>
      <c r="D170" s="464"/>
      <c r="E170" s="29"/>
      <c r="G170" s="338"/>
      <c r="H170" s="339"/>
      <c r="I170" s="339"/>
      <c r="J170" s="339"/>
      <c r="K170" s="339"/>
      <c r="L170" s="339"/>
      <c r="O170" s="373"/>
      <c r="AI170" s="31"/>
      <c r="AJ170" s="31"/>
      <c r="AK170" s="32"/>
      <c r="AL170" s="33"/>
      <c r="AM170" s="32"/>
      <c r="AN170" s="33"/>
      <c r="AO170" s="32"/>
      <c r="AP170" s="32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372"/>
      <c r="BD170" s="372"/>
      <c r="BE170" s="372"/>
      <c r="BF170" s="372"/>
      <c r="BG170" s="372"/>
      <c r="BH170" s="372"/>
      <c r="BI170" s="372"/>
      <c r="BJ170" s="372"/>
      <c r="BK170" s="372"/>
      <c r="BL170" s="372"/>
      <c r="BM170" s="372"/>
      <c r="BN170" s="372"/>
      <c r="BO170" s="372"/>
      <c r="BP170" s="372"/>
      <c r="BQ170" s="372"/>
      <c r="BR170" s="372"/>
      <c r="BS170" s="372"/>
      <c r="BT170" s="372"/>
      <c r="BU170" s="372"/>
      <c r="BV170" s="372"/>
      <c r="BW170" s="372"/>
      <c r="BX170" s="372"/>
    </row>
    <row r="171" spans="2:76" s="28" customFormat="1">
      <c r="B171" s="136"/>
      <c r="D171" s="464"/>
      <c r="E171" s="29"/>
      <c r="G171" s="338"/>
      <c r="H171" s="339"/>
      <c r="I171" s="339"/>
      <c r="J171" s="339"/>
      <c r="K171" s="339"/>
      <c r="L171" s="339"/>
      <c r="O171" s="373"/>
      <c r="AI171" s="31"/>
      <c r="AJ171" s="31"/>
      <c r="AK171" s="32"/>
      <c r="AL171" s="33"/>
      <c r="AM171" s="32"/>
      <c r="AN171" s="33"/>
      <c r="AO171" s="32"/>
      <c r="AP171" s="32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372"/>
      <c r="BD171" s="372"/>
      <c r="BE171" s="372"/>
      <c r="BF171" s="372"/>
      <c r="BG171" s="372"/>
      <c r="BH171" s="372"/>
      <c r="BI171" s="372"/>
      <c r="BJ171" s="372"/>
      <c r="BK171" s="372"/>
      <c r="BL171" s="372"/>
      <c r="BM171" s="372"/>
      <c r="BN171" s="372"/>
      <c r="BO171" s="372"/>
      <c r="BP171" s="372"/>
      <c r="BQ171" s="372"/>
      <c r="BR171" s="372"/>
      <c r="BS171" s="372"/>
      <c r="BT171" s="372"/>
      <c r="BU171" s="372"/>
      <c r="BV171" s="372"/>
      <c r="BW171" s="372"/>
      <c r="BX171" s="372"/>
    </row>
    <row r="172" spans="2:76" s="28" customFormat="1">
      <c r="B172" s="136"/>
      <c r="D172" s="464"/>
      <c r="E172" s="29"/>
      <c r="G172" s="338"/>
      <c r="H172" s="339"/>
      <c r="I172" s="339"/>
      <c r="J172" s="339"/>
      <c r="K172" s="339"/>
      <c r="L172" s="339"/>
      <c r="O172" s="373"/>
      <c r="AI172" s="31"/>
      <c r="AJ172" s="31"/>
      <c r="AK172" s="32"/>
      <c r="AL172" s="33"/>
      <c r="AM172" s="32"/>
      <c r="AN172" s="33"/>
      <c r="AO172" s="32"/>
      <c r="AP172" s="32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372"/>
      <c r="BD172" s="372"/>
      <c r="BE172" s="372"/>
      <c r="BF172" s="372"/>
      <c r="BG172" s="372"/>
      <c r="BH172" s="372"/>
      <c r="BI172" s="372"/>
      <c r="BJ172" s="372"/>
      <c r="BK172" s="372"/>
      <c r="BL172" s="372"/>
      <c r="BM172" s="372"/>
      <c r="BN172" s="372"/>
      <c r="BO172" s="372"/>
      <c r="BP172" s="372"/>
      <c r="BQ172" s="372"/>
      <c r="BR172" s="372"/>
      <c r="BS172" s="372"/>
      <c r="BT172" s="372"/>
      <c r="BU172" s="372"/>
      <c r="BV172" s="372"/>
      <c r="BW172" s="372"/>
      <c r="BX172" s="372"/>
    </row>
    <row r="173" spans="2:76" s="28" customFormat="1">
      <c r="B173" s="136"/>
      <c r="D173" s="464"/>
      <c r="E173" s="29"/>
      <c r="G173" s="338"/>
      <c r="H173" s="339"/>
      <c r="I173" s="339"/>
      <c r="J173" s="339"/>
      <c r="K173" s="339"/>
      <c r="L173" s="339"/>
      <c r="O173" s="373"/>
      <c r="AI173" s="31"/>
      <c r="AJ173" s="31"/>
      <c r="AK173" s="32"/>
      <c r="AL173" s="33"/>
      <c r="AM173" s="32"/>
      <c r="AN173" s="33"/>
      <c r="AO173" s="32"/>
      <c r="AP173" s="32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372"/>
      <c r="BD173" s="372"/>
      <c r="BE173" s="372"/>
      <c r="BF173" s="372"/>
      <c r="BG173" s="372"/>
      <c r="BH173" s="372"/>
      <c r="BI173" s="372"/>
      <c r="BJ173" s="372"/>
      <c r="BK173" s="372"/>
      <c r="BL173" s="372"/>
      <c r="BM173" s="372"/>
      <c r="BN173" s="372"/>
      <c r="BO173" s="372"/>
      <c r="BP173" s="372"/>
      <c r="BQ173" s="372"/>
      <c r="BR173" s="372"/>
      <c r="BS173" s="372"/>
      <c r="BT173" s="372"/>
      <c r="BU173" s="372"/>
      <c r="BV173" s="372"/>
      <c r="BW173" s="372"/>
      <c r="BX173" s="372"/>
    </row>
    <row r="174" spans="2:76" s="28" customFormat="1">
      <c r="B174" s="136"/>
      <c r="D174" s="464"/>
      <c r="E174" s="29"/>
      <c r="G174" s="338"/>
      <c r="H174" s="339"/>
      <c r="I174" s="339"/>
      <c r="J174" s="339"/>
      <c r="K174" s="339"/>
      <c r="L174" s="339"/>
      <c r="O174" s="373"/>
      <c r="AI174" s="31"/>
      <c r="AJ174" s="31"/>
      <c r="AK174" s="32"/>
      <c r="AL174" s="33"/>
      <c r="AM174" s="32"/>
      <c r="AN174" s="33"/>
      <c r="AO174" s="32"/>
      <c r="AP174" s="32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372"/>
      <c r="BD174" s="372"/>
      <c r="BE174" s="372"/>
      <c r="BF174" s="372"/>
      <c r="BG174" s="372"/>
      <c r="BH174" s="372"/>
      <c r="BI174" s="372"/>
      <c r="BJ174" s="372"/>
      <c r="BK174" s="372"/>
      <c r="BL174" s="372"/>
      <c r="BM174" s="372"/>
      <c r="BN174" s="372"/>
      <c r="BO174" s="372"/>
      <c r="BP174" s="372"/>
      <c r="BQ174" s="372"/>
      <c r="BR174" s="372"/>
      <c r="BS174" s="372"/>
      <c r="BT174" s="372"/>
      <c r="BU174" s="372"/>
      <c r="BV174" s="372"/>
      <c r="BW174" s="372"/>
      <c r="BX174" s="372"/>
    </row>
    <row r="175" spans="2:76" s="28" customFormat="1">
      <c r="B175" s="136"/>
      <c r="D175" s="464"/>
      <c r="E175" s="29"/>
      <c r="G175" s="338"/>
      <c r="H175" s="339"/>
      <c r="I175" s="339"/>
      <c r="J175" s="339"/>
      <c r="K175" s="339"/>
      <c r="L175" s="339"/>
      <c r="O175" s="373"/>
      <c r="AI175" s="31"/>
      <c r="AJ175" s="31"/>
      <c r="AK175" s="32"/>
      <c r="AL175" s="33"/>
      <c r="AM175" s="32"/>
      <c r="AN175" s="33"/>
      <c r="AO175" s="32"/>
      <c r="AP175" s="32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372"/>
      <c r="BD175" s="372"/>
      <c r="BE175" s="372"/>
      <c r="BF175" s="372"/>
      <c r="BG175" s="372"/>
      <c r="BH175" s="372"/>
      <c r="BI175" s="372"/>
      <c r="BJ175" s="372"/>
      <c r="BK175" s="372"/>
      <c r="BL175" s="372"/>
      <c r="BM175" s="372"/>
      <c r="BN175" s="372"/>
      <c r="BO175" s="372"/>
      <c r="BP175" s="372"/>
      <c r="BQ175" s="372"/>
      <c r="BR175" s="372"/>
      <c r="BS175" s="372"/>
      <c r="BT175" s="372"/>
      <c r="BU175" s="372"/>
      <c r="BV175" s="372"/>
      <c r="BW175" s="372"/>
      <c r="BX175" s="372"/>
    </row>
    <row r="176" spans="2:76" s="28" customFormat="1">
      <c r="B176" s="136"/>
      <c r="D176" s="464"/>
      <c r="E176" s="29"/>
      <c r="G176" s="338"/>
      <c r="H176" s="339"/>
      <c r="I176" s="339"/>
      <c r="J176" s="339"/>
      <c r="K176" s="339"/>
      <c r="L176" s="339"/>
      <c r="O176" s="373"/>
      <c r="AI176" s="31"/>
      <c r="AJ176" s="31"/>
      <c r="AK176" s="32"/>
      <c r="AL176" s="33"/>
      <c r="AM176" s="32"/>
      <c r="AN176" s="33"/>
      <c r="AO176" s="32"/>
      <c r="AP176" s="32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372"/>
      <c r="BD176" s="372"/>
      <c r="BE176" s="372"/>
      <c r="BF176" s="372"/>
      <c r="BG176" s="372"/>
      <c r="BH176" s="372"/>
      <c r="BI176" s="372"/>
      <c r="BJ176" s="372"/>
      <c r="BK176" s="372"/>
      <c r="BL176" s="372"/>
      <c r="BM176" s="372"/>
      <c r="BN176" s="372"/>
      <c r="BO176" s="372"/>
      <c r="BP176" s="372"/>
      <c r="BQ176" s="372"/>
      <c r="BR176" s="372"/>
      <c r="BS176" s="372"/>
      <c r="BT176" s="372"/>
      <c r="BU176" s="372"/>
      <c r="BV176" s="372"/>
      <c r="BW176" s="372"/>
      <c r="BX176" s="372"/>
    </row>
    <row r="177" spans="2:76" s="28" customFormat="1">
      <c r="B177" s="136"/>
      <c r="D177" s="464"/>
      <c r="E177" s="29"/>
      <c r="G177" s="338"/>
      <c r="H177" s="339"/>
      <c r="I177" s="339"/>
      <c r="J177" s="339"/>
      <c r="K177" s="339"/>
      <c r="L177" s="339"/>
      <c r="O177" s="373"/>
      <c r="AI177" s="31"/>
      <c r="AJ177" s="31"/>
      <c r="AK177" s="32"/>
      <c r="AL177" s="33"/>
      <c r="AM177" s="32"/>
      <c r="AN177" s="33"/>
      <c r="AO177" s="32"/>
      <c r="AP177" s="32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372"/>
      <c r="BD177" s="372"/>
      <c r="BE177" s="372"/>
      <c r="BF177" s="372"/>
      <c r="BG177" s="372"/>
      <c r="BH177" s="372"/>
      <c r="BI177" s="372"/>
      <c r="BJ177" s="372"/>
      <c r="BK177" s="372"/>
      <c r="BL177" s="372"/>
      <c r="BM177" s="372"/>
      <c r="BN177" s="372"/>
      <c r="BO177" s="372"/>
      <c r="BP177" s="372"/>
      <c r="BQ177" s="372"/>
      <c r="BR177" s="372"/>
      <c r="BS177" s="372"/>
      <c r="BT177" s="372"/>
      <c r="BU177" s="372"/>
      <c r="BV177" s="372"/>
      <c r="BW177" s="372"/>
      <c r="BX177" s="372"/>
    </row>
    <row r="178" spans="2:76" s="28" customFormat="1">
      <c r="B178" s="136"/>
      <c r="D178" s="464"/>
      <c r="E178" s="29"/>
      <c r="G178" s="338"/>
      <c r="H178" s="339"/>
      <c r="I178" s="339"/>
      <c r="J178" s="339"/>
      <c r="K178" s="339"/>
      <c r="L178" s="339"/>
      <c r="O178" s="373"/>
      <c r="AI178" s="31"/>
      <c r="AJ178" s="31"/>
      <c r="AK178" s="32"/>
      <c r="AL178" s="33"/>
      <c r="AM178" s="32"/>
      <c r="AN178" s="33"/>
      <c r="AO178" s="32"/>
      <c r="AP178" s="32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372"/>
      <c r="BD178" s="372"/>
      <c r="BE178" s="372"/>
      <c r="BF178" s="372"/>
      <c r="BG178" s="372"/>
      <c r="BH178" s="372"/>
      <c r="BI178" s="372"/>
      <c r="BJ178" s="372"/>
      <c r="BK178" s="372"/>
      <c r="BL178" s="372"/>
      <c r="BM178" s="372"/>
      <c r="BN178" s="372"/>
      <c r="BO178" s="372"/>
      <c r="BP178" s="372"/>
      <c r="BQ178" s="372"/>
      <c r="BR178" s="372"/>
      <c r="BS178" s="372"/>
      <c r="BT178" s="372"/>
      <c r="BU178" s="372"/>
      <c r="BV178" s="372"/>
      <c r="BW178" s="372"/>
      <c r="BX178" s="372"/>
    </row>
    <row r="179" spans="2:76" s="28" customFormat="1">
      <c r="B179" s="136"/>
      <c r="D179" s="464"/>
      <c r="E179" s="29"/>
      <c r="G179" s="338"/>
      <c r="H179" s="339"/>
      <c r="I179" s="339"/>
      <c r="J179" s="339"/>
      <c r="K179" s="339"/>
      <c r="L179" s="339"/>
      <c r="O179" s="376"/>
      <c r="AI179" s="31"/>
      <c r="AJ179" s="31"/>
      <c r="AK179" s="32"/>
      <c r="AL179" s="33"/>
      <c r="AM179" s="32"/>
      <c r="AN179" s="33"/>
      <c r="AO179" s="32"/>
      <c r="AP179" s="32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372"/>
      <c r="BD179" s="372"/>
      <c r="BE179" s="372"/>
      <c r="BF179" s="372"/>
      <c r="BG179" s="372"/>
      <c r="BH179" s="372"/>
      <c r="BI179" s="372"/>
      <c r="BJ179" s="372"/>
      <c r="BK179" s="372"/>
      <c r="BL179" s="372"/>
      <c r="BM179" s="372"/>
      <c r="BN179" s="372"/>
      <c r="BO179" s="372"/>
      <c r="BP179" s="372"/>
      <c r="BQ179" s="372"/>
      <c r="BR179" s="372"/>
      <c r="BS179" s="372"/>
      <c r="BT179" s="372"/>
      <c r="BU179" s="372"/>
      <c r="BV179" s="372"/>
      <c r="BW179" s="372"/>
      <c r="BX179" s="372"/>
    </row>
    <row r="180" spans="2:76" s="28" customFormat="1">
      <c r="B180" s="136"/>
      <c r="D180" s="464"/>
      <c r="E180" s="29"/>
      <c r="G180" s="338"/>
      <c r="H180" s="339"/>
      <c r="I180" s="339"/>
      <c r="J180" s="339"/>
      <c r="K180" s="339"/>
      <c r="L180" s="339"/>
      <c r="O180" s="377"/>
      <c r="AI180" s="31"/>
      <c r="AJ180" s="31"/>
      <c r="AK180" s="32"/>
      <c r="AL180" s="33"/>
      <c r="AM180" s="32"/>
      <c r="AN180" s="33"/>
      <c r="AO180" s="32"/>
      <c r="AP180" s="32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372"/>
      <c r="BD180" s="372"/>
      <c r="BE180" s="372"/>
      <c r="BF180" s="372"/>
      <c r="BG180" s="372"/>
      <c r="BH180" s="372"/>
      <c r="BI180" s="372"/>
      <c r="BJ180" s="372"/>
      <c r="BK180" s="372"/>
      <c r="BL180" s="372"/>
      <c r="BM180" s="372"/>
      <c r="BN180" s="372"/>
      <c r="BO180" s="372"/>
      <c r="BP180" s="372"/>
      <c r="BQ180" s="372"/>
      <c r="BR180" s="372"/>
      <c r="BS180" s="372"/>
      <c r="BT180" s="372"/>
      <c r="BU180" s="372"/>
      <c r="BV180" s="372"/>
      <c r="BW180" s="372"/>
      <c r="BX180" s="372"/>
    </row>
    <row r="181" spans="2:76" s="28" customFormat="1">
      <c r="B181" s="136"/>
      <c r="D181" s="464"/>
      <c r="E181" s="29"/>
      <c r="G181" s="338"/>
      <c r="H181" s="339"/>
      <c r="I181" s="339"/>
      <c r="J181" s="339"/>
      <c r="K181" s="339"/>
      <c r="L181" s="339"/>
      <c r="O181" s="377"/>
      <c r="AI181" s="31"/>
      <c r="AJ181" s="31"/>
      <c r="AK181" s="32"/>
      <c r="AL181" s="33"/>
      <c r="AM181" s="32"/>
      <c r="AN181" s="33"/>
      <c r="AO181" s="32"/>
      <c r="AP181" s="32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372"/>
      <c r="BD181" s="372"/>
      <c r="BE181" s="372"/>
      <c r="BF181" s="372"/>
      <c r="BG181" s="372"/>
      <c r="BH181" s="372"/>
      <c r="BI181" s="372"/>
      <c r="BJ181" s="372"/>
      <c r="BK181" s="372"/>
      <c r="BL181" s="372"/>
      <c r="BM181" s="372"/>
      <c r="BN181" s="372"/>
      <c r="BO181" s="372"/>
      <c r="BP181" s="372"/>
      <c r="BQ181" s="372"/>
      <c r="BR181" s="372"/>
      <c r="BS181" s="372"/>
      <c r="BT181" s="372"/>
      <c r="BU181" s="372"/>
      <c r="BV181" s="372"/>
      <c r="BW181" s="372"/>
      <c r="BX181" s="372"/>
    </row>
    <row r="182" spans="2:76" s="28" customFormat="1">
      <c r="B182" s="136"/>
      <c r="D182" s="464"/>
      <c r="E182" s="29"/>
      <c r="G182" s="338"/>
      <c r="H182" s="339"/>
      <c r="I182" s="339"/>
      <c r="J182" s="339"/>
      <c r="K182" s="339"/>
      <c r="L182" s="339"/>
      <c r="O182" s="377"/>
      <c r="AI182" s="31"/>
      <c r="AJ182" s="31"/>
      <c r="AK182" s="32"/>
      <c r="AL182" s="33"/>
      <c r="AM182" s="32"/>
      <c r="AN182" s="33"/>
      <c r="AO182" s="32"/>
      <c r="AP182" s="32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372"/>
      <c r="BD182" s="372"/>
      <c r="BE182" s="372"/>
      <c r="BF182" s="372"/>
      <c r="BG182" s="372"/>
      <c r="BH182" s="372"/>
      <c r="BI182" s="372"/>
      <c r="BJ182" s="372"/>
      <c r="BK182" s="372"/>
      <c r="BL182" s="372"/>
      <c r="BM182" s="372"/>
      <c r="BN182" s="372"/>
      <c r="BO182" s="372"/>
      <c r="BP182" s="372"/>
      <c r="BQ182" s="372"/>
      <c r="BR182" s="372"/>
      <c r="BS182" s="372"/>
      <c r="BT182" s="372"/>
      <c r="BU182" s="372"/>
      <c r="BV182" s="372"/>
      <c r="BW182" s="372"/>
      <c r="BX182" s="372"/>
    </row>
    <row r="183" spans="2:76" s="28" customFormat="1">
      <c r="B183" s="136"/>
      <c r="D183" s="464"/>
      <c r="E183" s="29"/>
      <c r="G183" s="338"/>
      <c r="H183" s="339"/>
      <c r="I183" s="339"/>
      <c r="J183" s="339"/>
      <c r="K183" s="339"/>
      <c r="L183" s="339"/>
      <c r="O183" s="377"/>
      <c r="AI183" s="31"/>
      <c r="AJ183" s="31"/>
      <c r="AK183" s="32"/>
      <c r="AL183" s="33"/>
      <c r="AM183" s="32"/>
      <c r="AN183" s="33"/>
      <c r="AO183" s="32"/>
      <c r="AP183" s="32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372"/>
      <c r="BD183" s="372"/>
      <c r="BE183" s="372"/>
      <c r="BF183" s="372"/>
      <c r="BG183" s="372"/>
      <c r="BH183" s="372"/>
      <c r="BI183" s="372"/>
      <c r="BJ183" s="372"/>
      <c r="BK183" s="372"/>
      <c r="BL183" s="372"/>
      <c r="BM183" s="372"/>
      <c r="BN183" s="372"/>
      <c r="BO183" s="372"/>
      <c r="BP183" s="372"/>
      <c r="BQ183" s="372"/>
      <c r="BR183" s="372"/>
      <c r="BS183" s="372"/>
      <c r="BT183" s="372"/>
      <c r="BU183" s="372"/>
      <c r="BV183" s="372"/>
      <c r="BW183" s="372"/>
      <c r="BX183" s="372"/>
    </row>
    <row r="184" spans="2:76" s="28" customFormat="1">
      <c r="B184" s="136"/>
      <c r="D184" s="464"/>
      <c r="E184" s="29"/>
      <c r="G184" s="338"/>
      <c r="H184" s="339"/>
      <c r="I184" s="339"/>
      <c r="J184" s="339"/>
      <c r="K184" s="339"/>
      <c r="L184" s="339"/>
      <c r="O184" s="378"/>
      <c r="AI184" s="31"/>
      <c r="AJ184" s="31"/>
      <c r="AK184" s="32"/>
      <c r="AL184" s="33"/>
      <c r="AM184" s="32"/>
      <c r="AN184" s="33"/>
      <c r="AO184" s="32"/>
      <c r="AP184" s="32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372"/>
      <c r="BD184" s="372"/>
      <c r="BE184" s="372"/>
      <c r="BF184" s="372"/>
      <c r="BG184" s="372"/>
      <c r="BH184" s="372"/>
      <c r="BI184" s="372"/>
      <c r="BJ184" s="372"/>
      <c r="BK184" s="372"/>
      <c r="BL184" s="372"/>
      <c r="BM184" s="372"/>
      <c r="BN184" s="372"/>
      <c r="BO184" s="372"/>
      <c r="BP184" s="372"/>
      <c r="BQ184" s="372"/>
      <c r="BR184" s="372"/>
      <c r="BS184" s="372"/>
      <c r="BT184" s="372"/>
      <c r="BU184" s="372"/>
      <c r="BV184" s="372"/>
      <c r="BW184" s="372"/>
      <c r="BX184" s="372"/>
    </row>
    <row r="185" spans="2:76" s="28" customFormat="1">
      <c r="B185" s="136"/>
      <c r="D185" s="464"/>
      <c r="E185" s="29"/>
      <c r="G185" s="338"/>
      <c r="H185" s="339"/>
      <c r="I185" s="339"/>
      <c r="J185" s="339"/>
      <c r="K185" s="339"/>
      <c r="L185" s="339"/>
      <c r="O185" s="379"/>
      <c r="AI185" s="31"/>
      <c r="AJ185" s="31"/>
      <c r="AK185" s="32"/>
      <c r="AL185" s="33"/>
      <c r="AM185" s="32"/>
      <c r="AN185" s="33"/>
      <c r="AO185" s="32"/>
      <c r="AP185" s="32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372"/>
      <c r="BD185" s="372"/>
      <c r="BE185" s="372"/>
      <c r="BF185" s="372"/>
      <c r="BG185" s="372"/>
      <c r="BH185" s="372"/>
      <c r="BI185" s="372"/>
      <c r="BJ185" s="372"/>
      <c r="BK185" s="372"/>
      <c r="BL185" s="372"/>
      <c r="BM185" s="372"/>
      <c r="BN185" s="372"/>
      <c r="BO185" s="372"/>
      <c r="BP185" s="372"/>
      <c r="BQ185" s="372"/>
      <c r="BR185" s="372"/>
      <c r="BS185" s="372"/>
      <c r="BT185" s="372"/>
      <c r="BU185" s="372"/>
      <c r="BV185" s="372"/>
      <c r="BW185" s="372"/>
      <c r="BX185" s="372"/>
    </row>
    <row r="186" spans="2:76" s="28" customFormat="1">
      <c r="B186" s="136"/>
      <c r="D186" s="464"/>
      <c r="E186" s="29"/>
      <c r="G186" s="338"/>
      <c r="H186" s="339"/>
      <c r="I186" s="339"/>
      <c r="J186" s="339"/>
      <c r="K186" s="339"/>
      <c r="L186" s="339"/>
      <c r="O186" s="377"/>
      <c r="AI186" s="31"/>
      <c r="AJ186" s="31"/>
      <c r="AK186" s="32"/>
      <c r="AL186" s="33"/>
      <c r="AM186" s="32"/>
      <c r="AN186" s="33"/>
      <c r="AO186" s="32"/>
      <c r="AP186" s="32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372"/>
      <c r="BD186" s="372"/>
      <c r="BE186" s="372"/>
      <c r="BF186" s="372"/>
      <c r="BG186" s="372"/>
      <c r="BH186" s="372"/>
      <c r="BI186" s="372"/>
      <c r="BJ186" s="372"/>
      <c r="BK186" s="372"/>
      <c r="BL186" s="372"/>
      <c r="BM186" s="372"/>
      <c r="BN186" s="372"/>
      <c r="BO186" s="372"/>
      <c r="BP186" s="372"/>
      <c r="BQ186" s="372"/>
      <c r="BR186" s="372"/>
      <c r="BS186" s="372"/>
      <c r="BT186" s="372"/>
      <c r="BU186" s="372"/>
      <c r="BV186" s="372"/>
      <c r="BW186" s="372"/>
      <c r="BX186" s="372"/>
    </row>
    <row r="187" spans="2:76" s="28" customFormat="1">
      <c r="B187" s="136"/>
      <c r="D187" s="464"/>
      <c r="E187" s="29"/>
      <c r="G187" s="338"/>
      <c r="H187" s="339"/>
      <c r="I187" s="339"/>
      <c r="J187" s="339"/>
      <c r="K187" s="339"/>
      <c r="L187" s="339"/>
      <c r="O187" s="378"/>
      <c r="AI187" s="31"/>
      <c r="AJ187" s="31"/>
      <c r="AK187" s="32"/>
      <c r="AL187" s="33"/>
      <c r="AM187" s="32"/>
      <c r="AN187" s="33"/>
      <c r="AO187" s="32"/>
      <c r="AP187" s="32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372"/>
      <c r="BD187" s="372"/>
      <c r="BE187" s="372"/>
      <c r="BF187" s="372"/>
      <c r="BG187" s="372"/>
      <c r="BH187" s="372"/>
      <c r="BI187" s="372"/>
      <c r="BJ187" s="372"/>
      <c r="BK187" s="372"/>
      <c r="BL187" s="372"/>
      <c r="BM187" s="372"/>
      <c r="BN187" s="372"/>
      <c r="BO187" s="372"/>
      <c r="BP187" s="372"/>
      <c r="BQ187" s="372"/>
      <c r="BR187" s="372"/>
      <c r="BS187" s="372"/>
      <c r="BT187" s="372"/>
      <c r="BU187" s="372"/>
      <c r="BV187" s="372"/>
      <c r="BW187" s="372"/>
      <c r="BX187" s="372"/>
    </row>
    <row r="188" spans="2:76" s="28" customFormat="1">
      <c r="B188" s="136"/>
      <c r="D188" s="464"/>
      <c r="E188" s="29"/>
      <c r="G188" s="338"/>
      <c r="H188" s="339"/>
      <c r="I188" s="339"/>
      <c r="J188" s="339"/>
      <c r="K188" s="339"/>
      <c r="L188" s="339"/>
      <c r="O188" s="380"/>
      <c r="AI188" s="31"/>
      <c r="AJ188" s="31"/>
      <c r="AK188" s="32"/>
      <c r="AL188" s="33"/>
      <c r="AM188" s="32"/>
      <c r="AN188" s="33"/>
      <c r="AO188" s="32"/>
      <c r="AP188" s="32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372"/>
      <c r="BD188" s="372"/>
      <c r="BE188" s="372"/>
      <c r="BF188" s="372"/>
      <c r="BG188" s="372"/>
      <c r="BH188" s="372"/>
      <c r="BI188" s="372"/>
      <c r="BJ188" s="372"/>
      <c r="BK188" s="372"/>
      <c r="BL188" s="372"/>
      <c r="BM188" s="372"/>
      <c r="BN188" s="372"/>
      <c r="BO188" s="372"/>
      <c r="BP188" s="372"/>
      <c r="BQ188" s="372"/>
      <c r="BR188" s="372"/>
      <c r="BS188" s="372"/>
      <c r="BT188" s="372"/>
      <c r="BU188" s="372"/>
      <c r="BV188" s="372"/>
      <c r="BW188" s="372"/>
      <c r="BX188" s="372"/>
    </row>
    <row r="189" spans="2:76" s="28" customFormat="1">
      <c r="B189" s="136"/>
      <c r="D189" s="464"/>
      <c r="E189" s="29"/>
      <c r="G189" s="338"/>
      <c r="H189" s="339"/>
      <c r="I189" s="339"/>
      <c r="J189" s="339"/>
      <c r="K189" s="339"/>
      <c r="L189" s="339"/>
      <c r="O189" s="377"/>
      <c r="AI189" s="31"/>
      <c r="AJ189" s="31"/>
      <c r="AK189" s="32"/>
      <c r="AL189" s="33"/>
      <c r="AM189" s="32"/>
      <c r="AN189" s="33"/>
      <c r="AO189" s="32"/>
      <c r="AP189" s="32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372"/>
      <c r="BD189" s="372"/>
      <c r="BE189" s="372"/>
      <c r="BF189" s="372"/>
      <c r="BG189" s="372"/>
      <c r="BH189" s="372"/>
      <c r="BI189" s="372"/>
      <c r="BJ189" s="372"/>
      <c r="BK189" s="372"/>
      <c r="BL189" s="372"/>
      <c r="BM189" s="372"/>
      <c r="BN189" s="372"/>
      <c r="BO189" s="372"/>
      <c r="BP189" s="372"/>
      <c r="BQ189" s="372"/>
      <c r="BR189" s="372"/>
      <c r="BS189" s="372"/>
      <c r="BT189" s="372"/>
      <c r="BU189" s="372"/>
      <c r="BV189" s="372"/>
      <c r="BW189" s="372"/>
      <c r="BX189" s="372"/>
    </row>
    <row r="190" spans="2:76" s="28" customFormat="1">
      <c r="B190" s="136"/>
      <c r="D190" s="464"/>
      <c r="E190" s="29"/>
      <c r="G190" s="338"/>
      <c r="H190" s="339"/>
      <c r="I190" s="339"/>
      <c r="J190" s="339"/>
      <c r="K190" s="339"/>
      <c r="L190" s="339"/>
      <c r="O190" s="377"/>
      <c r="AI190" s="31"/>
      <c r="AJ190" s="31"/>
      <c r="AK190" s="32"/>
      <c r="AL190" s="33"/>
      <c r="AM190" s="32"/>
      <c r="AN190" s="33"/>
      <c r="AO190" s="32"/>
      <c r="AP190" s="32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372"/>
      <c r="BD190" s="372"/>
      <c r="BE190" s="372"/>
      <c r="BF190" s="372"/>
      <c r="BG190" s="372"/>
      <c r="BH190" s="372"/>
      <c r="BI190" s="372"/>
      <c r="BJ190" s="372"/>
      <c r="BK190" s="372"/>
      <c r="BL190" s="372"/>
      <c r="BM190" s="372"/>
      <c r="BN190" s="372"/>
      <c r="BO190" s="372"/>
      <c r="BP190" s="372"/>
      <c r="BQ190" s="372"/>
      <c r="BR190" s="372"/>
      <c r="BS190" s="372"/>
      <c r="BT190" s="372"/>
      <c r="BU190" s="372"/>
      <c r="BV190" s="372"/>
      <c r="BW190" s="372"/>
      <c r="BX190" s="372"/>
    </row>
    <row r="191" spans="2:76" s="28" customFormat="1">
      <c r="B191" s="136"/>
      <c r="D191" s="464"/>
      <c r="E191" s="29"/>
      <c r="G191" s="338"/>
      <c r="H191" s="339"/>
      <c r="I191" s="339"/>
      <c r="J191" s="339"/>
      <c r="K191" s="339"/>
      <c r="L191" s="339"/>
      <c r="O191" s="377"/>
      <c r="AI191" s="31"/>
      <c r="AJ191" s="31"/>
      <c r="AK191" s="32"/>
      <c r="AL191" s="33"/>
      <c r="AM191" s="32"/>
      <c r="AN191" s="33"/>
      <c r="AO191" s="32"/>
      <c r="AP191" s="32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372"/>
      <c r="BD191" s="372"/>
      <c r="BE191" s="372"/>
      <c r="BF191" s="372"/>
      <c r="BG191" s="372"/>
      <c r="BH191" s="372"/>
      <c r="BI191" s="372"/>
      <c r="BJ191" s="372"/>
      <c r="BK191" s="372"/>
      <c r="BL191" s="372"/>
      <c r="BM191" s="372"/>
      <c r="BN191" s="372"/>
      <c r="BO191" s="372"/>
      <c r="BP191" s="372"/>
      <c r="BQ191" s="372"/>
      <c r="BR191" s="372"/>
      <c r="BS191" s="372"/>
      <c r="BT191" s="372"/>
      <c r="BU191" s="372"/>
      <c r="BV191" s="372"/>
      <c r="BW191" s="372"/>
      <c r="BX191" s="372"/>
    </row>
    <row r="192" spans="2:76" s="28" customFormat="1">
      <c r="B192" s="136"/>
      <c r="D192" s="464"/>
      <c r="E192" s="29"/>
      <c r="G192" s="338"/>
      <c r="H192" s="339"/>
      <c r="I192" s="339"/>
      <c r="J192" s="339"/>
      <c r="K192" s="339"/>
      <c r="L192" s="339"/>
      <c r="O192" s="380"/>
      <c r="AI192" s="31"/>
      <c r="AJ192" s="31"/>
      <c r="AK192" s="32"/>
      <c r="AL192" s="33"/>
      <c r="AM192" s="32"/>
      <c r="AN192" s="33"/>
      <c r="AO192" s="32"/>
      <c r="AP192" s="32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372"/>
      <c r="BD192" s="372"/>
      <c r="BE192" s="372"/>
      <c r="BF192" s="372"/>
      <c r="BG192" s="372"/>
      <c r="BH192" s="372"/>
      <c r="BI192" s="372"/>
      <c r="BJ192" s="372"/>
      <c r="BK192" s="372"/>
      <c r="BL192" s="372"/>
      <c r="BM192" s="372"/>
      <c r="BN192" s="372"/>
      <c r="BO192" s="372"/>
      <c r="BP192" s="372"/>
      <c r="BQ192" s="372"/>
      <c r="BR192" s="372"/>
      <c r="BS192" s="372"/>
      <c r="BT192" s="372"/>
      <c r="BU192" s="372"/>
      <c r="BV192" s="372"/>
      <c r="BW192" s="372"/>
      <c r="BX192" s="372"/>
    </row>
    <row r="193" spans="2:76" s="28" customFormat="1">
      <c r="B193" s="136"/>
      <c r="D193" s="464"/>
      <c r="E193" s="29"/>
      <c r="G193" s="338"/>
      <c r="H193" s="339"/>
      <c r="I193" s="339"/>
      <c r="J193" s="339"/>
      <c r="K193" s="339"/>
      <c r="L193" s="339"/>
      <c r="O193" s="376"/>
      <c r="AI193" s="31"/>
      <c r="AJ193" s="31"/>
      <c r="AK193" s="32"/>
      <c r="AL193" s="33"/>
      <c r="AM193" s="32"/>
      <c r="AN193" s="33"/>
      <c r="AO193" s="32"/>
      <c r="AP193" s="32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372"/>
      <c r="BD193" s="372"/>
      <c r="BE193" s="372"/>
      <c r="BF193" s="372"/>
      <c r="BG193" s="372"/>
      <c r="BH193" s="372"/>
      <c r="BI193" s="372"/>
      <c r="BJ193" s="372"/>
      <c r="BK193" s="372"/>
      <c r="BL193" s="372"/>
      <c r="BM193" s="372"/>
      <c r="BN193" s="372"/>
      <c r="BO193" s="372"/>
      <c r="BP193" s="372"/>
      <c r="BQ193" s="372"/>
      <c r="BR193" s="372"/>
      <c r="BS193" s="372"/>
      <c r="BT193" s="372"/>
      <c r="BU193" s="372"/>
      <c r="BV193" s="372"/>
      <c r="BW193" s="372"/>
      <c r="BX193" s="372"/>
    </row>
    <row r="194" spans="2:76" s="28" customFormat="1">
      <c r="B194" s="136"/>
      <c r="D194" s="464"/>
      <c r="E194" s="29"/>
      <c r="G194" s="338"/>
      <c r="H194" s="339"/>
      <c r="I194" s="339"/>
      <c r="J194" s="339"/>
      <c r="K194" s="339"/>
      <c r="L194" s="339"/>
      <c r="O194" s="378"/>
      <c r="AI194" s="31"/>
      <c r="AJ194" s="31"/>
      <c r="AK194" s="32"/>
      <c r="AL194" s="33"/>
      <c r="AM194" s="32"/>
      <c r="AN194" s="33"/>
      <c r="AO194" s="32"/>
      <c r="AP194" s="32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372"/>
      <c r="BD194" s="372"/>
      <c r="BE194" s="372"/>
      <c r="BF194" s="372"/>
      <c r="BG194" s="372"/>
      <c r="BH194" s="372"/>
      <c r="BI194" s="372"/>
      <c r="BJ194" s="372"/>
      <c r="BK194" s="372"/>
      <c r="BL194" s="372"/>
      <c r="BM194" s="372"/>
      <c r="BN194" s="372"/>
      <c r="BO194" s="372"/>
      <c r="BP194" s="372"/>
      <c r="BQ194" s="372"/>
      <c r="BR194" s="372"/>
      <c r="BS194" s="372"/>
      <c r="BT194" s="372"/>
      <c r="BU194" s="372"/>
      <c r="BV194" s="372"/>
      <c r="BW194" s="372"/>
      <c r="BX194" s="372"/>
    </row>
    <row r="195" spans="2:76" s="28" customFormat="1">
      <c r="B195" s="136"/>
      <c r="D195" s="464"/>
      <c r="E195" s="29"/>
      <c r="G195" s="338"/>
      <c r="H195" s="339"/>
      <c r="I195" s="339"/>
      <c r="J195" s="339"/>
      <c r="K195" s="339"/>
      <c r="L195" s="339"/>
      <c r="O195" s="377"/>
      <c r="AI195" s="31"/>
      <c r="AJ195" s="31"/>
      <c r="AK195" s="32"/>
      <c r="AL195" s="33"/>
      <c r="AM195" s="32"/>
      <c r="AN195" s="33"/>
      <c r="AO195" s="32"/>
      <c r="AP195" s="32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372"/>
      <c r="BD195" s="372"/>
      <c r="BE195" s="372"/>
      <c r="BF195" s="372"/>
      <c r="BG195" s="372"/>
      <c r="BH195" s="372"/>
      <c r="BI195" s="372"/>
      <c r="BJ195" s="372"/>
      <c r="BK195" s="372"/>
      <c r="BL195" s="372"/>
      <c r="BM195" s="372"/>
      <c r="BN195" s="372"/>
      <c r="BO195" s="372"/>
      <c r="BP195" s="372"/>
      <c r="BQ195" s="372"/>
      <c r="BR195" s="372"/>
      <c r="BS195" s="372"/>
      <c r="BT195" s="372"/>
      <c r="BU195" s="372"/>
      <c r="BV195" s="372"/>
      <c r="BW195" s="372"/>
      <c r="BX195" s="372"/>
    </row>
    <row r="196" spans="2:76" s="28" customFormat="1">
      <c r="B196" s="136"/>
      <c r="D196" s="464"/>
      <c r="E196" s="29"/>
      <c r="G196" s="338"/>
      <c r="H196" s="339"/>
      <c r="I196" s="339"/>
      <c r="J196" s="339"/>
      <c r="K196" s="339"/>
      <c r="L196" s="339"/>
      <c r="O196" s="377"/>
      <c r="AI196" s="31"/>
      <c r="AJ196" s="31"/>
      <c r="AK196" s="32"/>
      <c r="AL196" s="33"/>
      <c r="AM196" s="32"/>
      <c r="AN196" s="33"/>
      <c r="AO196" s="32"/>
      <c r="AP196" s="32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372"/>
      <c r="BD196" s="372"/>
      <c r="BE196" s="372"/>
      <c r="BF196" s="372"/>
      <c r="BG196" s="372"/>
      <c r="BH196" s="372"/>
      <c r="BI196" s="372"/>
      <c r="BJ196" s="372"/>
      <c r="BK196" s="372"/>
      <c r="BL196" s="372"/>
      <c r="BM196" s="372"/>
      <c r="BN196" s="372"/>
      <c r="BO196" s="372"/>
      <c r="BP196" s="372"/>
      <c r="BQ196" s="372"/>
      <c r="BR196" s="372"/>
      <c r="BS196" s="372"/>
      <c r="BT196" s="372"/>
      <c r="BU196" s="372"/>
      <c r="BV196" s="372"/>
      <c r="BW196" s="372"/>
      <c r="BX196" s="372"/>
    </row>
    <row r="197" spans="2:76" s="28" customFormat="1">
      <c r="B197" s="136"/>
      <c r="D197" s="464"/>
      <c r="E197" s="29"/>
      <c r="G197" s="338"/>
      <c r="H197" s="339"/>
      <c r="I197" s="339"/>
      <c r="J197" s="339"/>
      <c r="K197" s="339"/>
      <c r="L197" s="339"/>
      <c r="O197" s="377"/>
      <c r="AI197" s="31"/>
      <c r="AJ197" s="31"/>
      <c r="AK197" s="32"/>
      <c r="AL197" s="33"/>
      <c r="AM197" s="32"/>
      <c r="AN197" s="33"/>
      <c r="AO197" s="32"/>
      <c r="AP197" s="32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372"/>
      <c r="BD197" s="372"/>
      <c r="BE197" s="372"/>
      <c r="BF197" s="372"/>
      <c r="BG197" s="372"/>
      <c r="BH197" s="372"/>
      <c r="BI197" s="372"/>
      <c r="BJ197" s="372"/>
      <c r="BK197" s="372"/>
      <c r="BL197" s="372"/>
      <c r="BM197" s="372"/>
      <c r="BN197" s="372"/>
      <c r="BO197" s="372"/>
      <c r="BP197" s="372"/>
      <c r="BQ197" s="372"/>
      <c r="BR197" s="372"/>
      <c r="BS197" s="372"/>
      <c r="BT197" s="372"/>
      <c r="BU197" s="372"/>
      <c r="BV197" s="372"/>
      <c r="BW197" s="372"/>
      <c r="BX197" s="372"/>
    </row>
    <row r="198" spans="2:76" s="28" customFormat="1">
      <c r="B198" s="136"/>
      <c r="D198" s="464"/>
      <c r="E198" s="29"/>
      <c r="G198" s="338"/>
      <c r="H198" s="339"/>
      <c r="I198" s="339"/>
      <c r="J198" s="339"/>
      <c r="K198" s="339"/>
      <c r="L198" s="339"/>
      <c r="O198" s="377"/>
      <c r="AI198" s="31"/>
      <c r="AJ198" s="31"/>
      <c r="AK198" s="32"/>
      <c r="AL198" s="33"/>
      <c r="AM198" s="32"/>
      <c r="AN198" s="33"/>
      <c r="AO198" s="32"/>
      <c r="AP198" s="32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372"/>
      <c r="BD198" s="372"/>
      <c r="BE198" s="372"/>
      <c r="BF198" s="372"/>
      <c r="BG198" s="372"/>
      <c r="BH198" s="372"/>
      <c r="BI198" s="372"/>
      <c r="BJ198" s="372"/>
      <c r="BK198" s="372"/>
      <c r="BL198" s="372"/>
      <c r="BM198" s="372"/>
      <c r="BN198" s="372"/>
      <c r="BO198" s="372"/>
      <c r="BP198" s="372"/>
      <c r="BQ198" s="372"/>
      <c r="BR198" s="372"/>
      <c r="BS198" s="372"/>
      <c r="BT198" s="372"/>
      <c r="BU198" s="372"/>
      <c r="BV198" s="372"/>
      <c r="BW198" s="372"/>
      <c r="BX198" s="372"/>
    </row>
    <row r="199" spans="2:76" s="28" customFormat="1">
      <c r="B199" s="136"/>
      <c r="D199" s="464"/>
      <c r="E199" s="29"/>
      <c r="G199" s="338"/>
      <c r="H199" s="339"/>
      <c r="I199" s="339"/>
      <c r="J199" s="339"/>
      <c r="K199" s="339"/>
      <c r="L199" s="339"/>
      <c r="O199" s="377"/>
      <c r="AI199" s="31"/>
      <c r="AJ199" s="31"/>
      <c r="AK199" s="32"/>
      <c r="AL199" s="33"/>
      <c r="AM199" s="32"/>
      <c r="AN199" s="33"/>
      <c r="AO199" s="32"/>
      <c r="AP199" s="32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372"/>
      <c r="BD199" s="372"/>
      <c r="BE199" s="372"/>
      <c r="BF199" s="372"/>
      <c r="BG199" s="372"/>
      <c r="BH199" s="372"/>
      <c r="BI199" s="372"/>
      <c r="BJ199" s="372"/>
      <c r="BK199" s="372"/>
      <c r="BL199" s="372"/>
      <c r="BM199" s="372"/>
      <c r="BN199" s="372"/>
      <c r="BO199" s="372"/>
      <c r="BP199" s="372"/>
      <c r="BQ199" s="372"/>
      <c r="BR199" s="372"/>
      <c r="BS199" s="372"/>
      <c r="BT199" s="372"/>
      <c r="BU199" s="372"/>
      <c r="BV199" s="372"/>
      <c r="BW199" s="372"/>
      <c r="BX199" s="372"/>
    </row>
    <row r="200" spans="2:76" s="28" customFormat="1">
      <c r="B200" s="136"/>
      <c r="D200" s="464"/>
      <c r="E200" s="29"/>
      <c r="G200" s="338"/>
      <c r="H200" s="339"/>
      <c r="I200" s="339"/>
      <c r="J200" s="339"/>
      <c r="K200" s="339"/>
      <c r="L200" s="339"/>
      <c r="O200" s="377"/>
      <c r="AI200" s="31"/>
      <c r="AJ200" s="31"/>
      <c r="AK200" s="32"/>
      <c r="AL200" s="33"/>
      <c r="AM200" s="32"/>
      <c r="AN200" s="33"/>
      <c r="AO200" s="32"/>
      <c r="AP200" s="32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372"/>
      <c r="BD200" s="372"/>
      <c r="BE200" s="372"/>
      <c r="BF200" s="372"/>
      <c r="BG200" s="372"/>
      <c r="BH200" s="372"/>
      <c r="BI200" s="372"/>
      <c r="BJ200" s="372"/>
      <c r="BK200" s="372"/>
      <c r="BL200" s="372"/>
      <c r="BM200" s="372"/>
      <c r="BN200" s="372"/>
      <c r="BO200" s="372"/>
      <c r="BP200" s="372"/>
      <c r="BQ200" s="372"/>
      <c r="BR200" s="372"/>
      <c r="BS200" s="372"/>
      <c r="BT200" s="372"/>
      <c r="BU200" s="372"/>
      <c r="BV200" s="372"/>
      <c r="BW200" s="372"/>
      <c r="BX200" s="372"/>
    </row>
    <row r="201" spans="2:76" s="28" customFormat="1">
      <c r="B201" s="136"/>
      <c r="D201" s="464"/>
      <c r="E201" s="29"/>
      <c r="G201" s="338"/>
      <c r="H201" s="339"/>
      <c r="I201" s="339"/>
      <c r="J201" s="339"/>
      <c r="K201" s="339"/>
      <c r="L201" s="339"/>
      <c r="O201" s="377"/>
      <c r="AI201" s="31"/>
      <c r="AJ201" s="31"/>
      <c r="AK201" s="32"/>
      <c r="AL201" s="33"/>
      <c r="AM201" s="32"/>
      <c r="AN201" s="33"/>
      <c r="AO201" s="32"/>
      <c r="AP201" s="32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372"/>
      <c r="BD201" s="372"/>
      <c r="BE201" s="372"/>
      <c r="BF201" s="372"/>
      <c r="BG201" s="372"/>
      <c r="BH201" s="372"/>
      <c r="BI201" s="372"/>
      <c r="BJ201" s="372"/>
      <c r="BK201" s="372"/>
      <c r="BL201" s="372"/>
      <c r="BM201" s="372"/>
      <c r="BN201" s="372"/>
      <c r="BO201" s="372"/>
      <c r="BP201" s="372"/>
      <c r="BQ201" s="372"/>
      <c r="BR201" s="372"/>
      <c r="BS201" s="372"/>
      <c r="BT201" s="372"/>
      <c r="BU201" s="372"/>
      <c r="BV201" s="372"/>
      <c r="BW201" s="372"/>
      <c r="BX201" s="372"/>
    </row>
    <row r="202" spans="2:76" s="28" customFormat="1">
      <c r="B202" s="136"/>
      <c r="D202" s="464"/>
      <c r="E202" s="29"/>
      <c r="G202" s="338"/>
      <c r="H202" s="339"/>
      <c r="I202" s="339"/>
      <c r="J202" s="339"/>
      <c r="K202" s="339"/>
      <c r="L202" s="339"/>
      <c r="O202" s="377"/>
      <c r="AI202" s="31"/>
      <c r="AJ202" s="31"/>
      <c r="AK202" s="32"/>
      <c r="AL202" s="33"/>
      <c r="AM202" s="32"/>
      <c r="AN202" s="33"/>
      <c r="AO202" s="32"/>
      <c r="AP202" s="32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372"/>
      <c r="BD202" s="372"/>
      <c r="BE202" s="372"/>
      <c r="BF202" s="372"/>
      <c r="BG202" s="372"/>
      <c r="BH202" s="372"/>
      <c r="BI202" s="372"/>
      <c r="BJ202" s="372"/>
      <c r="BK202" s="372"/>
      <c r="BL202" s="372"/>
      <c r="BM202" s="372"/>
      <c r="BN202" s="372"/>
      <c r="BO202" s="372"/>
      <c r="BP202" s="372"/>
      <c r="BQ202" s="372"/>
      <c r="BR202" s="372"/>
      <c r="BS202" s="372"/>
      <c r="BT202" s="372"/>
      <c r="BU202" s="372"/>
      <c r="BV202" s="372"/>
      <c r="BW202" s="372"/>
      <c r="BX202" s="372"/>
    </row>
    <row r="203" spans="2:76" s="28" customFormat="1">
      <c r="B203" s="136"/>
      <c r="D203" s="464"/>
      <c r="E203" s="29"/>
      <c r="G203" s="338"/>
      <c r="H203" s="339"/>
      <c r="I203" s="339"/>
      <c r="J203" s="339"/>
      <c r="K203" s="339"/>
      <c r="L203" s="339"/>
      <c r="O203" s="381"/>
      <c r="AI203" s="31"/>
      <c r="AJ203" s="31"/>
      <c r="AK203" s="32"/>
      <c r="AL203" s="33"/>
      <c r="AM203" s="32"/>
      <c r="AN203" s="33"/>
      <c r="AO203" s="32"/>
      <c r="AP203" s="32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372"/>
      <c r="BD203" s="372"/>
      <c r="BE203" s="372"/>
      <c r="BF203" s="372"/>
      <c r="BG203" s="372"/>
      <c r="BH203" s="372"/>
      <c r="BI203" s="372"/>
      <c r="BJ203" s="372"/>
      <c r="BK203" s="372"/>
      <c r="BL203" s="372"/>
      <c r="BM203" s="372"/>
      <c r="BN203" s="372"/>
      <c r="BO203" s="372"/>
      <c r="BP203" s="372"/>
      <c r="BQ203" s="372"/>
      <c r="BR203" s="372"/>
      <c r="BS203" s="372"/>
      <c r="BT203" s="372"/>
      <c r="BU203" s="372"/>
      <c r="BV203" s="372"/>
      <c r="BW203" s="372"/>
      <c r="BX203" s="372"/>
    </row>
    <row r="204" spans="2:76" s="28" customFormat="1">
      <c r="B204" s="136"/>
      <c r="D204" s="464"/>
      <c r="E204" s="29"/>
      <c r="G204" s="338"/>
      <c r="H204" s="339"/>
      <c r="I204" s="339"/>
      <c r="J204" s="339"/>
      <c r="K204" s="339"/>
      <c r="L204" s="339"/>
      <c r="O204" s="376"/>
      <c r="AI204" s="31"/>
      <c r="AJ204" s="31"/>
      <c r="AK204" s="32"/>
      <c r="AL204" s="33"/>
      <c r="AM204" s="32"/>
      <c r="AN204" s="33"/>
      <c r="AO204" s="32"/>
      <c r="AP204" s="32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372"/>
      <c r="BD204" s="372"/>
      <c r="BE204" s="372"/>
      <c r="BF204" s="372"/>
      <c r="BG204" s="372"/>
      <c r="BH204" s="372"/>
      <c r="BI204" s="372"/>
      <c r="BJ204" s="372"/>
      <c r="BK204" s="372"/>
      <c r="BL204" s="372"/>
      <c r="BM204" s="372"/>
      <c r="BN204" s="372"/>
      <c r="BO204" s="372"/>
      <c r="BP204" s="372"/>
      <c r="BQ204" s="372"/>
      <c r="BR204" s="372"/>
      <c r="BS204" s="372"/>
      <c r="BT204" s="372"/>
      <c r="BU204" s="372"/>
      <c r="BV204" s="372"/>
      <c r="BW204" s="372"/>
      <c r="BX204" s="372"/>
    </row>
    <row r="205" spans="2:76" s="28" customFormat="1">
      <c r="B205" s="136"/>
      <c r="D205" s="464"/>
      <c r="E205" s="29"/>
      <c r="G205" s="338"/>
      <c r="H205" s="339"/>
      <c r="I205" s="339"/>
      <c r="J205" s="339"/>
      <c r="K205" s="339"/>
      <c r="L205" s="339"/>
      <c r="O205" s="380"/>
      <c r="AI205" s="31"/>
      <c r="AJ205" s="31"/>
      <c r="AK205" s="32"/>
      <c r="AL205" s="33"/>
      <c r="AM205" s="32"/>
      <c r="AN205" s="33"/>
      <c r="AO205" s="32"/>
      <c r="AP205" s="32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372"/>
      <c r="BD205" s="372"/>
      <c r="BE205" s="372"/>
      <c r="BF205" s="372"/>
      <c r="BG205" s="372"/>
      <c r="BH205" s="372"/>
      <c r="BI205" s="372"/>
      <c r="BJ205" s="372"/>
      <c r="BK205" s="372"/>
      <c r="BL205" s="372"/>
      <c r="BM205" s="372"/>
      <c r="BN205" s="372"/>
      <c r="BO205" s="372"/>
      <c r="BP205" s="372"/>
      <c r="BQ205" s="372"/>
      <c r="BR205" s="372"/>
      <c r="BS205" s="372"/>
      <c r="BT205" s="372"/>
      <c r="BU205" s="372"/>
      <c r="BV205" s="372"/>
      <c r="BW205" s="372"/>
      <c r="BX205" s="372"/>
    </row>
    <row r="206" spans="2:76" s="28" customFormat="1">
      <c r="B206" s="136"/>
      <c r="D206" s="464"/>
      <c r="E206" s="29"/>
      <c r="G206" s="338"/>
      <c r="H206" s="339"/>
      <c r="I206" s="339"/>
      <c r="J206" s="339"/>
      <c r="K206" s="339"/>
      <c r="L206" s="339"/>
      <c r="O206" s="380"/>
      <c r="AI206" s="31"/>
      <c r="AJ206" s="31"/>
      <c r="AK206" s="32"/>
      <c r="AL206" s="33"/>
      <c r="AM206" s="32"/>
      <c r="AN206" s="33"/>
      <c r="AO206" s="32"/>
      <c r="AP206" s="32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372"/>
      <c r="BD206" s="372"/>
      <c r="BE206" s="372"/>
      <c r="BF206" s="372"/>
      <c r="BG206" s="372"/>
      <c r="BH206" s="372"/>
      <c r="BI206" s="372"/>
      <c r="BJ206" s="372"/>
      <c r="BK206" s="372"/>
      <c r="BL206" s="372"/>
      <c r="BM206" s="372"/>
      <c r="BN206" s="372"/>
      <c r="BO206" s="372"/>
      <c r="BP206" s="372"/>
      <c r="BQ206" s="372"/>
      <c r="BR206" s="372"/>
      <c r="BS206" s="372"/>
      <c r="BT206" s="372"/>
      <c r="BU206" s="372"/>
      <c r="BV206" s="372"/>
      <c r="BW206" s="372"/>
      <c r="BX206" s="372"/>
    </row>
    <row r="207" spans="2:76" s="28" customFormat="1">
      <c r="B207" s="136"/>
      <c r="D207" s="464"/>
      <c r="E207" s="29"/>
      <c r="G207" s="338"/>
      <c r="H207" s="339"/>
      <c r="I207" s="339"/>
      <c r="J207" s="339"/>
      <c r="K207" s="339"/>
      <c r="L207" s="339"/>
      <c r="O207" s="379"/>
      <c r="AI207" s="31"/>
      <c r="AJ207" s="31"/>
      <c r="AK207" s="32"/>
      <c r="AL207" s="33"/>
      <c r="AM207" s="32"/>
      <c r="AN207" s="33"/>
      <c r="AO207" s="32"/>
      <c r="AP207" s="32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372"/>
      <c r="BD207" s="372"/>
      <c r="BE207" s="372"/>
      <c r="BF207" s="372"/>
      <c r="BG207" s="372"/>
      <c r="BH207" s="372"/>
      <c r="BI207" s="372"/>
      <c r="BJ207" s="372"/>
      <c r="BK207" s="372"/>
      <c r="BL207" s="372"/>
      <c r="BM207" s="372"/>
      <c r="BN207" s="372"/>
      <c r="BO207" s="372"/>
      <c r="BP207" s="372"/>
      <c r="BQ207" s="372"/>
      <c r="BR207" s="372"/>
      <c r="BS207" s="372"/>
      <c r="BT207" s="372"/>
      <c r="BU207" s="372"/>
      <c r="BV207" s="372"/>
      <c r="BW207" s="372"/>
      <c r="BX207" s="372"/>
    </row>
    <row r="208" spans="2:76" s="28" customFormat="1">
      <c r="B208" s="136"/>
      <c r="D208" s="464"/>
      <c r="E208" s="29"/>
      <c r="G208" s="338"/>
      <c r="H208" s="339"/>
      <c r="I208" s="339"/>
      <c r="J208" s="339"/>
      <c r="K208" s="339"/>
      <c r="L208" s="339"/>
      <c r="O208" s="380"/>
      <c r="AI208" s="31"/>
      <c r="AJ208" s="31"/>
      <c r="AK208" s="32"/>
      <c r="AL208" s="33"/>
      <c r="AM208" s="32"/>
      <c r="AN208" s="33"/>
      <c r="AO208" s="32"/>
      <c r="AP208" s="32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372"/>
      <c r="BD208" s="372"/>
      <c r="BE208" s="372"/>
      <c r="BF208" s="372"/>
      <c r="BG208" s="372"/>
      <c r="BH208" s="372"/>
      <c r="BI208" s="372"/>
      <c r="BJ208" s="372"/>
      <c r="BK208" s="372"/>
      <c r="BL208" s="372"/>
      <c r="BM208" s="372"/>
      <c r="BN208" s="372"/>
      <c r="BO208" s="372"/>
      <c r="BP208" s="372"/>
      <c r="BQ208" s="372"/>
      <c r="BR208" s="372"/>
      <c r="BS208" s="372"/>
      <c r="BT208" s="372"/>
      <c r="BU208" s="372"/>
      <c r="BV208" s="372"/>
      <c r="BW208" s="372"/>
      <c r="BX208" s="372"/>
    </row>
    <row r="209" spans="2:76" s="28" customFormat="1">
      <c r="B209" s="136"/>
      <c r="D209" s="464"/>
      <c r="E209" s="29"/>
      <c r="G209" s="338"/>
      <c r="H209" s="339"/>
      <c r="I209" s="339"/>
      <c r="J209" s="339"/>
      <c r="K209" s="339"/>
      <c r="L209" s="339"/>
      <c r="O209" s="379"/>
      <c r="AI209" s="31"/>
      <c r="AJ209" s="31"/>
      <c r="AK209" s="32"/>
      <c r="AL209" s="33"/>
      <c r="AM209" s="32"/>
      <c r="AN209" s="33"/>
      <c r="AO209" s="32"/>
      <c r="AP209" s="32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372"/>
      <c r="BD209" s="372"/>
      <c r="BE209" s="372"/>
      <c r="BF209" s="372"/>
      <c r="BG209" s="372"/>
      <c r="BH209" s="372"/>
      <c r="BI209" s="372"/>
      <c r="BJ209" s="372"/>
      <c r="BK209" s="372"/>
      <c r="BL209" s="372"/>
      <c r="BM209" s="372"/>
      <c r="BN209" s="372"/>
      <c r="BO209" s="372"/>
      <c r="BP209" s="372"/>
      <c r="BQ209" s="372"/>
      <c r="BR209" s="372"/>
      <c r="BS209" s="372"/>
      <c r="BT209" s="372"/>
      <c r="BU209" s="372"/>
      <c r="BV209" s="372"/>
      <c r="BW209" s="372"/>
      <c r="BX209" s="372"/>
    </row>
    <row r="210" spans="2:76" s="28" customFormat="1">
      <c r="B210" s="136"/>
      <c r="D210" s="464"/>
      <c r="E210" s="29"/>
      <c r="G210" s="338"/>
      <c r="H210" s="339"/>
      <c r="I210" s="339"/>
      <c r="J210" s="339"/>
      <c r="K210" s="339"/>
      <c r="L210" s="339"/>
      <c r="O210" s="381"/>
      <c r="AI210" s="31"/>
      <c r="AJ210" s="31"/>
      <c r="AK210" s="32"/>
      <c r="AL210" s="33"/>
      <c r="AM210" s="32"/>
      <c r="AN210" s="33"/>
      <c r="AO210" s="32"/>
      <c r="AP210" s="32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372"/>
      <c r="BD210" s="372"/>
      <c r="BE210" s="372"/>
      <c r="BF210" s="372"/>
      <c r="BG210" s="372"/>
      <c r="BH210" s="372"/>
      <c r="BI210" s="372"/>
      <c r="BJ210" s="372"/>
      <c r="BK210" s="372"/>
      <c r="BL210" s="372"/>
      <c r="BM210" s="372"/>
      <c r="BN210" s="372"/>
      <c r="BO210" s="372"/>
      <c r="BP210" s="372"/>
      <c r="BQ210" s="372"/>
      <c r="BR210" s="372"/>
      <c r="BS210" s="372"/>
      <c r="BT210" s="372"/>
      <c r="BU210" s="372"/>
      <c r="BV210" s="372"/>
      <c r="BW210" s="372"/>
      <c r="BX210" s="372"/>
    </row>
    <row r="211" spans="2:76" s="28" customFormat="1">
      <c r="B211" s="136"/>
      <c r="D211" s="464"/>
      <c r="E211" s="29"/>
      <c r="G211" s="338"/>
      <c r="H211" s="339"/>
      <c r="I211" s="339"/>
      <c r="J211" s="339"/>
      <c r="K211" s="339"/>
      <c r="L211" s="339"/>
      <c r="O211" s="381"/>
      <c r="AI211" s="31"/>
      <c r="AJ211" s="31"/>
      <c r="AK211" s="32"/>
      <c r="AL211" s="33"/>
      <c r="AM211" s="32"/>
      <c r="AN211" s="33"/>
      <c r="AO211" s="32"/>
      <c r="AP211" s="32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372"/>
      <c r="BD211" s="372"/>
      <c r="BE211" s="372"/>
      <c r="BF211" s="372"/>
      <c r="BG211" s="372"/>
      <c r="BH211" s="372"/>
      <c r="BI211" s="372"/>
      <c r="BJ211" s="372"/>
      <c r="BK211" s="372"/>
      <c r="BL211" s="372"/>
      <c r="BM211" s="372"/>
      <c r="BN211" s="372"/>
      <c r="BO211" s="372"/>
      <c r="BP211" s="372"/>
      <c r="BQ211" s="372"/>
      <c r="BR211" s="372"/>
      <c r="BS211" s="372"/>
      <c r="BT211" s="372"/>
      <c r="BU211" s="372"/>
      <c r="BV211" s="372"/>
      <c r="BW211" s="372"/>
      <c r="BX211" s="372"/>
    </row>
    <row r="212" spans="2:76" s="28" customFormat="1">
      <c r="B212" s="136"/>
      <c r="D212" s="464"/>
      <c r="E212" s="29"/>
      <c r="G212" s="338"/>
      <c r="H212" s="339"/>
      <c r="I212" s="339"/>
      <c r="J212" s="339"/>
      <c r="K212" s="339"/>
      <c r="L212" s="339"/>
      <c r="O212" s="377"/>
      <c r="AI212" s="31"/>
      <c r="AJ212" s="31"/>
      <c r="AK212" s="32"/>
      <c r="AL212" s="33"/>
      <c r="AM212" s="32"/>
      <c r="AN212" s="33"/>
      <c r="AO212" s="32"/>
      <c r="AP212" s="32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372"/>
      <c r="BD212" s="372"/>
      <c r="BE212" s="372"/>
      <c r="BF212" s="372"/>
      <c r="BG212" s="372"/>
      <c r="BH212" s="372"/>
      <c r="BI212" s="372"/>
      <c r="BJ212" s="372"/>
      <c r="BK212" s="372"/>
      <c r="BL212" s="372"/>
      <c r="BM212" s="372"/>
      <c r="BN212" s="372"/>
      <c r="BO212" s="372"/>
      <c r="BP212" s="372"/>
      <c r="BQ212" s="372"/>
      <c r="BR212" s="372"/>
      <c r="BS212" s="372"/>
      <c r="BT212" s="372"/>
      <c r="BU212" s="372"/>
      <c r="BV212" s="372"/>
      <c r="BW212" s="372"/>
      <c r="BX212" s="372"/>
    </row>
    <row r="213" spans="2:76" s="28" customFormat="1">
      <c r="B213" s="136"/>
      <c r="D213" s="464"/>
      <c r="E213" s="29"/>
      <c r="G213" s="338"/>
      <c r="H213" s="339"/>
      <c r="I213" s="339"/>
      <c r="J213" s="339"/>
      <c r="K213" s="339"/>
      <c r="L213" s="339"/>
      <c r="O213" s="377"/>
      <c r="AI213" s="31"/>
      <c r="AJ213" s="31"/>
      <c r="AK213" s="32"/>
      <c r="AL213" s="33"/>
      <c r="AM213" s="32"/>
      <c r="AN213" s="33"/>
      <c r="AO213" s="32"/>
      <c r="AP213" s="32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372"/>
      <c r="BD213" s="372"/>
      <c r="BE213" s="372"/>
      <c r="BF213" s="372"/>
      <c r="BG213" s="372"/>
      <c r="BH213" s="372"/>
      <c r="BI213" s="372"/>
      <c r="BJ213" s="372"/>
      <c r="BK213" s="372"/>
      <c r="BL213" s="372"/>
      <c r="BM213" s="372"/>
      <c r="BN213" s="372"/>
      <c r="BO213" s="372"/>
      <c r="BP213" s="372"/>
      <c r="BQ213" s="372"/>
      <c r="BR213" s="372"/>
      <c r="BS213" s="372"/>
      <c r="BT213" s="372"/>
      <c r="BU213" s="372"/>
      <c r="BV213" s="372"/>
      <c r="BW213" s="372"/>
      <c r="BX213" s="372"/>
    </row>
    <row r="214" spans="2:76" s="28" customFormat="1">
      <c r="B214" s="136"/>
      <c r="D214" s="464"/>
      <c r="E214" s="29"/>
      <c r="G214" s="338"/>
      <c r="H214" s="339"/>
      <c r="I214" s="339"/>
      <c r="J214" s="339"/>
      <c r="K214" s="339"/>
      <c r="L214" s="339"/>
      <c r="O214" s="380"/>
      <c r="AI214" s="31"/>
      <c r="AJ214" s="31"/>
      <c r="AK214" s="32"/>
      <c r="AL214" s="33"/>
      <c r="AM214" s="32"/>
      <c r="AN214" s="33"/>
      <c r="AO214" s="32"/>
      <c r="AP214" s="32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372"/>
      <c r="BD214" s="372"/>
      <c r="BE214" s="372"/>
      <c r="BF214" s="372"/>
      <c r="BG214" s="372"/>
      <c r="BH214" s="372"/>
      <c r="BI214" s="372"/>
      <c r="BJ214" s="372"/>
      <c r="BK214" s="372"/>
      <c r="BL214" s="372"/>
      <c r="BM214" s="372"/>
      <c r="BN214" s="372"/>
      <c r="BO214" s="372"/>
      <c r="BP214" s="372"/>
      <c r="BQ214" s="372"/>
      <c r="BR214" s="372"/>
      <c r="BS214" s="372"/>
      <c r="BT214" s="372"/>
      <c r="BU214" s="372"/>
      <c r="BV214" s="372"/>
      <c r="BW214" s="372"/>
      <c r="BX214" s="372"/>
    </row>
    <row r="215" spans="2:76" s="28" customFormat="1">
      <c r="B215" s="136"/>
      <c r="D215" s="464"/>
      <c r="E215" s="29"/>
      <c r="G215" s="338"/>
      <c r="H215" s="339"/>
      <c r="I215" s="339"/>
      <c r="J215" s="339"/>
      <c r="K215" s="339"/>
      <c r="L215" s="339"/>
      <c r="O215" s="377"/>
      <c r="AI215" s="31"/>
      <c r="AJ215" s="31"/>
      <c r="AK215" s="32"/>
      <c r="AL215" s="33"/>
      <c r="AM215" s="32"/>
      <c r="AN215" s="33"/>
      <c r="AO215" s="32"/>
      <c r="AP215" s="32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372"/>
      <c r="BD215" s="372"/>
      <c r="BE215" s="372"/>
      <c r="BF215" s="372"/>
      <c r="BG215" s="372"/>
      <c r="BH215" s="372"/>
      <c r="BI215" s="372"/>
      <c r="BJ215" s="372"/>
      <c r="BK215" s="372"/>
      <c r="BL215" s="372"/>
      <c r="BM215" s="372"/>
      <c r="BN215" s="372"/>
      <c r="BO215" s="372"/>
      <c r="BP215" s="372"/>
      <c r="BQ215" s="372"/>
      <c r="BR215" s="372"/>
      <c r="BS215" s="372"/>
      <c r="BT215" s="372"/>
      <c r="BU215" s="372"/>
      <c r="BV215" s="372"/>
      <c r="BW215" s="372"/>
      <c r="BX215" s="372"/>
    </row>
    <row r="216" spans="2:76" s="28" customFormat="1">
      <c r="B216" s="136"/>
      <c r="D216" s="464"/>
      <c r="E216" s="29"/>
      <c r="G216" s="338"/>
      <c r="H216" s="339"/>
      <c r="I216" s="339"/>
      <c r="J216" s="339"/>
      <c r="K216" s="339"/>
      <c r="L216" s="339"/>
      <c r="O216" s="382"/>
      <c r="AI216" s="31"/>
      <c r="AJ216" s="31"/>
      <c r="AK216" s="32"/>
      <c r="AL216" s="33"/>
      <c r="AM216" s="32"/>
      <c r="AN216" s="33"/>
      <c r="AO216" s="32"/>
      <c r="AP216" s="32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372"/>
      <c r="BD216" s="372"/>
      <c r="BE216" s="372"/>
      <c r="BF216" s="372"/>
      <c r="BG216" s="372"/>
      <c r="BH216" s="372"/>
      <c r="BI216" s="372"/>
      <c r="BJ216" s="372"/>
      <c r="BK216" s="372"/>
      <c r="BL216" s="372"/>
      <c r="BM216" s="372"/>
      <c r="BN216" s="372"/>
      <c r="BO216" s="372"/>
      <c r="BP216" s="372"/>
      <c r="BQ216" s="372"/>
      <c r="BR216" s="372"/>
      <c r="BS216" s="372"/>
      <c r="BT216" s="372"/>
      <c r="BU216" s="372"/>
      <c r="BV216" s="372"/>
      <c r="BW216" s="372"/>
      <c r="BX216" s="372"/>
    </row>
    <row r="217" spans="2:76" s="28" customFormat="1">
      <c r="B217" s="136"/>
      <c r="D217" s="464"/>
      <c r="E217" s="29"/>
      <c r="G217" s="338"/>
      <c r="H217" s="339"/>
      <c r="I217" s="339"/>
      <c r="J217" s="339"/>
      <c r="K217" s="339"/>
      <c r="L217" s="339"/>
      <c r="O217" s="378"/>
      <c r="AI217" s="31"/>
      <c r="AJ217" s="31"/>
      <c r="AK217" s="32"/>
      <c r="AL217" s="33"/>
      <c r="AM217" s="32"/>
      <c r="AN217" s="33"/>
      <c r="AO217" s="32"/>
      <c r="AP217" s="32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372"/>
      <c r="BD217" s="372"/>
      <c r="BE217" s="372"/>
      <c r="BF217" s="372"/>
      <c r="BG217" s="372"/>
      <c r="BH217" s="372"/>
      <c r="BI217" s="372"/>
      <c r="BJ217" s="372"/>
      <c r="BK217" s="372"/>
      <c r="BL217" s="372"/>
      <c r="BM217" s="372"/>
      <c r="BN217" s="372"/>
      <c r="BO217" s="372"/>
      <c r="BP217" s="372"/>
      <c r="BQ217" s="372"/>
      <c r="BR217" s="372"/>
      <c r="BS217" s="372"/>
      <c r="BT217" s="372"/>
      <c r="BU217" s="372"/>
      <c r="BV217" s="372"/>
      <c r="BW217" s="372"/>
      <c r="BX217" s="372"/>
    </row>
    <row r="218" spans="2:76" s="28" customFormat="1">
      <c r="B218" s="136"/>
      <c r="D218" s="464"/>
      <c r="E218" s="29"/>
      <c r="G218" s="338"/>
      <c r="H218" s="339"/>
      <c r="I218" s="339"/>
      <c r="J218" s="339"/>
      <c r="K218" s="339"/>
      <c r="L218" s="339"/>
      <c r="O218" s="380"/>
      <c r="AI218" s="31"/>
      <c r="AJ218" s="31"/>
      <c r="AK218" s="32"/>
      <c r="AL218" s="33"/>
      <c r="AM218" s="32"/>
      <c r="AN218" s="33"/>
      <c r="AO218" s="32"/>
      <c r="AP218" s="32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372"/>
      <c r="BD218" s="372"/>
      <c r="BE218" s="372"/>
      <c r="BF218" s="372"/>
      <c r="BG218" s="372"/>
      <c r="BH218" s="372"/>
      <c r="BI218" s="372"/>
      <c r="BJ218" s="372"/>
      <c r="BK218" s="372"/>
      <c r="BL218" s="372"/>
      <c r="BM218" s="372"/>
      <c r="BN218" s="372"/>
      <c r="BO218" s="372"/>
      <c r="BP218" s="372"/>
      <c r="BQ218" s="372"/>
      <c r="BR218" s="372"/>
      <c r="BS218" s="372"/>
      <c r="BT218" s="372"/>
      <c r="BU218" s="372"/>
      <c r="BV218" s="372"/>
      <c r="BW218" s="372"/>
      <c r="BX218" s="372"/>
    </row>
    <row r="219" spans="2:76" s="28" customFormat="1">
      <c r="B219" s="136"/>
      <c r="D219" s="464"/>
      <c r="E219" s="29"/>
      <c r="G219" s="338"/>
      <c r="H219" s="339"/>
      <c r="I219" s="339"/>
      <c r="J219" s="339"/>
      <c r="K219" s="339"/>
      <c r="L219" s="339"/>
      <c r="O219" s="380"/>
      <c r="AI219" s="31"/>
      <c r="AJ219" s="31"/>
      <c r="AK219" s="32"/>
      <c r="AL219" s="33"/>
      <c r="AM219" s="32"/>
      <c r="AN219" s="33"/>
      <c r="AO219" s="32"/>
      <c r="AP219" s="32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372"/>
      <c r="BD219" s="372"/>
      <c r="BE219" s="372"/>
      <c r="BF219" s="372"/>
      <c r="BG219" s="372"/>
      <c r="BH219" s="372"/>
      <c r="BI219" s="372"/>
      <c r="BJ219" s="372"/>
      <c r="BK219" s="372"/>
      <c r="BL219" s="372"/>
      <c r="BM219" s="372"/>
      <c r="BN219" s="372"/>
      <c r="BO219" s="372"/>
      <c r="BP219" s="372"/>
      <c r="BQ219" s="372"/>
      <c r="BR219" s="372"/>
      <c r="BS219" s="372"/>
      <c r="BT219" s="372"/>
      <c r="BU219" s="372"/>
      <c r="BV219" s="372"/>
      <c r="BW219" s="372"/>
      <c r="BX219" s="372"/>
    </row>
    <row r="220" spans="2:76" s="28" customFormat="1">
      <c r="B220" s="136"/>
      <c r="D220" s="464"/>
      <c r="E220" s="29"/>
      <c r="G220" s="338"/>
      <c r="H220" s="339"/>
      <c r="I220" s="339"/>
      <c r="J220" s="339"/>
      <c r="K220" s="339"/>
      <c r="L220" s="339"/>
      <c r="O220" s="377"/>
      <c r="AI220" s="31"/>
      <c r="AJ220" s="31"/>
      <c r="AK220" s="32"/>
      <c r="AL220" s="33"/>
      <c r="AM220" s="32"/>
      <c r="AN220" s="33"/>
      <c r="AO220" s="32"/>
      <c r="AP220" s="32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372"/>
      <c r="BD220" s="372"/>
      <c r="BE220" s="372"/>
      <c r="BF220" s="372"/>
      <c r="BG220" s="372"/>
      <c r="BH220" s="372"/>
      <c r="BI220" s="372"/>
      <c r="BJ220" s="372"/>
      <c r="BK220" s="372"/>
      <c r="BL220" s="372"/>
      <c r="BM220" s="372"/>
      <c r="BN220" s="372"/>
      <c r="BO220" s="372"/>
      <c r="BP220" s="372"/>
      <c r="BQ220" s="372"/>
      <c r="BR220" s="372"/>
      <c r="BS220" s="372"/>
      <c r="BT220" s="372"/>
      <c r="BU220" s="372"/>
      <c r="BV220" s="372"/>
      <c r="BW220" s="372"/>
      <c r="BX220" s="372"/>
    </row>
    <row r="221" spans="2:76" s="28" customFormat="1">
      <c r="B221" s="136"/>
      <c r="D221" s="464"/>
      <c r="E221" s="29"/>
      <c r="G221" s="338"/>
      <c r="H221" s="339"/>
      <c r="I221" s="339"/>
      <c r="J221" s="339"/>
      <c r="K221" s="339"/>
      <c r="L221" s="339"/>
      <c r="O221" s="380"/>
      <c r="AI221" s="31"/>
      <c r="AJ221" s="31"/>
      <c r="AK221" s="32"/>
      <c r="AL221" s="33"/>
      <c r="AM221" s="32"/>
      <c r="AN221" s="33"/>
      <c r="AO221" s="32"/>
      <c r="AP221" s="32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372"/>
      <c r="BD221" s="372"/>
      <c r="BE221" s="372"/>
      <c r="BF221" s="372"/>
      <c r="BG221" s="372"/>
      <c r="BH221" s="372"/>
      <c r="BI221" s="372"/>
      <c r="BJ221" s="372"/>
      <c r="BK221" s="372"/>
      <c r="BL221" s="372"/>
      <c r="BM221" s="372"/>
      <c r="BN221" s="372"/>
      <c r="BO221" s="372"/>
      <c r="BP221" s="372"/>
      <c r="BQ221" s="372"/>
      <c r="BR221" s="372"/>
      <c r="BS221" s="372"/>
      <c r="BT221" s="372"/>
      <c r="BU221" s="372"/>
      <c r="BV221" s="372"/>
      <c r="BW221" s="372"/>
      <c r="BX221" s="372"/>
    </row>
    <row r="222" spans="2:76" s="28" customFormat="1">
      <c r="B222" s="136"/>
      <c r="D222" s="464"/>
      <c r="E222" s="29"/>
      <c r="G222" s="338"/>
      <c r="H222" s="339"/>
      <c r="I222" s="339"/>
      <c r="J222" s="339"/>
      <c r="K222" s="339"/>
      <c r="L222" s="339"/>
      <c r="O222" s="380"/>
      <c r="AI222" s="31"/>
      <c r="AJ222" s="31"/>
      <c r="AK222" s="32"/>
      <c r="AL222" s="33"/>
      <c r="AM222" s="32"/>
      <c r="AN222" s="33"/>
      <c r="AO222" s="32"/>
      <c r="AP222" s="32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372"/>
      <c r="BD222" s="372"/>
      <c r="BE222" s="372"/>
      <c r="BF222" s="372"/>
      <c r="BG222" s="372"/>
      <c r="BH222" s="372"/>
      <c r="BI222" s="372"/>
      <c r="BJ222" s="372"/>
      <c r="BK222" s="372"/>
      <c r="BL222" s="372"/>
      <c r="BM222" s="372"/>
      <c r="BN222" s="372"/>
      <c r="BO222" s="372"/>
      <c r="BP222" s="372"/>
      <c r="BQ222" s="372"/>
      <c r="BR222" s="372"/>
      <c r="BS222" s="372"/>
      <c r="BT222" s="372"/>
      <c r="BU222" s="372"/>
      <c r="BV222" s="372"/>
      <c r="BW222" s="372"/>
      <c r="BX222" s="372"/>
    </row>
    <row r="223" spans="2:76" s="28" customFormat="1">
      <c r="B223" s="136"/>
      <c r="D223" s="464"/>
      <c r="E223" s="29"/>
      <c r="G223" s="338"/>
      <c r="H223" s="339"/>
      <c r="I223" s="339"/>
      <c r="J223" s="339"/>
      <c r="K223" s="339"/>
      <c r="L223" s="339"/>
      <c r="O223" s="377"/>
      <c r="AI223" s="31"/>
      <c r="AJ223" s="31"/>
      <c r="AK223" s="32"/>
      <c r="AL223" s="33"/>
      <c r="AM223" s="32"/>
      <c r="AN223" s="33"/>
      <c r="AO223" s="32"/>
      <c r="AP223" s="32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372"/>
      <c r="BD223" s="372"/>
      <c r="BE223" s="372"/>
      <c r="BF223" s="372"/>
      <c r="BG223" s="372"/>
      <c r="BH223" s="372"/>
      <c r="BI223" s="372"/>
      <c r="BJ223" s="372"/>
      <c r="BK223" s="372"/>
      <c r="BL223" s="372"/>
      <c r="BM223" s="372"/>
      <c r="BN223" s="372"/>
      <c r="BO223" s="372"/>
      <c r="BP223" s="372"/>
      <c r="BQ223" s="372"/>
      <c r="BR223" s="372"/>
      <c r="BS223" s="372"/>
      <c r="BT223" s="372"/>
      <c r="BU223" s="372"/>
      <c r="BV223" s="372"/>
      <c r="BW223" s="372"/>
      <c r="BX223" s="372"/>
    </row>
    <row r="224" spans="2:76" s="28" customFormat="1">
      <c r="B224" s="136"/>
      <c r="D224" s="464"/>
      <c r="E224" s="29"/>
      <c r="G224" s="338"/>
      <c r="H224" s="339"/>
      <c r="I224" s="339"/>
      <c r="J224" s="339"/>
      <c r="K224" s="339"/>
      <c r="L224" s="339"/>
      <c r="O224" s="383"/>
      <c r="AI224" s="31"/>
      <c r="AJ224" s="31"/>
      <c r="AK224" s="32"/>
      <c r="AL224" s="33"/>
      <c r="AM224" s="32"/>
      <c r="AN224" s="33"/>
      <c r="AO224" s="32"/>
      <c r="AP224" s="32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372"/>
      <c r="BD224" s="372"/>
      <c r="BE224" s="372"/>
      <c r="BF224" s="372"/>
      <c r="BG224" s="372"/>
      <c r="BH224" s="372"/>
      <c r="BI224" s="372"/>
      <c r="BJ224" s="372"/>
      <c r="BK224" s="372"/>
      <c r="BL224" s="372"/>
      <c r="BM224" s="372"/>
      <c r="BN224" s="372"/>
      <c r="BO224" s="372"/>
      <c r="BP224" s="372"/>
      <c r="BQ224" s="372"/>
      <c r="BR224" s="372"/>
      <c r="BS224" s="372"/>
      <c r="BT224" s="372"/>
      <c r="BU224" s="372"/>
      <c r="BV224" s="372"/>
      <c r="BW224" s="372"/>
      <c r="BX224" s="372"/>
    </row>
    <row r="225" spans="2:76" s="28" customFormat="1">
      <c r="B225" s="136"/>
      <c r="D225" s="464"/>
      <c r="E225" s="29"/>
      <c r="G225" s="338"/>
      <c r="H225" s="339"/>
      <c r="I225" s="339"/>
      <c r="J225" s="339"/>
      <c r="K225" s="339"/>
      <c r="L225" s="339"/>
      <c r="O225" s="377"/>
      <c r="AI225" s="31"/>
      <c r="AJ225" s="31"/>
      <c r="AK225" s="32"/>
      <c r="AL225" s="33"/>
      <c r="AM225" s="32"/>
      <c r="AN225" s="33"/>
      <c r="AO225" s="32"/>
      <c r="AP225" s="32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372"/>
      <c r="BD225" s="372"/>
      <c r="BE225" s="372"/>
      <c r="BF225" s="372"/>
      <c r="BG225" s="372"/>
      <c r="BH225" s="372"/>
      <c r="BI225" s="372"/>
      <c r="BJ225" s="372"/>
      <c r="BK225" s="372"/>
      <c r="BL225" s="372"/>
      <c r="BM225" s="372"/>
      <c r="BN225" s="372"/>
      <c r="BO225" s="372"/>
      <c r="BP225" s="372"/>
      <c r="BQ225" s="372"/>
      <c r="BR225" s="372"/>
      <c r="BS225" s="372"/>
      <c r="BT225" s="372"/>
      <c r="BU225" s="372"/>
      <c r="BV225" s="372"/>
      <c r="BW225" s="372"/>
      <c r="BX225" s="372"/>
    </row>
    <row r="226" spans="2:76" s="28" customFormat="1">
      <c r="B226" s="136"/>
      <c r="D226" s="464"/>
      <c r="E226" s="29"/>
      <c r="G226" s="338"/>
      <c r="H226" s="339"/>
      <c r="I226" s="339"/>
      <c r="J226" s="339"/>
      <c r="K226" s="339"/>
      <c r="L226" s="339"/>
      <c r="O226" s="380"/>
      <c r="AI226" s="31"/>
      <c r="AJ226" s="31"/>
      <c r="AK226" s="32"/>
      <c r="AL226" s="33"/>
      <c r="AM226" s="32"/>
      <c r="AN226" s="33"/>
      <c r="AO226" s="32"/>
      <c r="AP226" s="32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372"/>
      <c r="BD226" s="372"/>
      <c r="BE226" s="372"/>
      <c r="BF226" s="372"/>
      <c r="BG226" s="372"/>
      <c r="BH226" s="372"/>
      <c r="BI226" s="372"/>
      <c r="BJ226" s="372"/>
      <c r="BK226" s="372"/>
      <c r="BL226" s="372"/>
      <c r="BM226" s="372"/>
      <c r="BN226" s="372"/>
      <c r="BO226" s="372"/>
      <c r="BP226" s="372"/>
      <c r="BQ226" s="372"/>
      <c r="BR226" s="372"/>
      <c r="BS226" s="372"/>
      <c r="BT226" s="372"/>
      <c r="BU226" s="372"/>
      <c r="BV226" s="372"/>
      <c r="BW226" s="372"/>
      <c r="BX226" s="372"/>
    </row>
    <row r="227" spans="2:76" s="28" customFormat="1">
      <c r="B227" s="136"/>
      <c r="D227" s="464"/>
      <c r="E227" s="29"/>
      <c r="G227" s="338"/>
      <c r="H227" s="339"/>
      <c r="I227" s="339"/>
      <c r="J227" s="339"/>
      <c r="K227" s="339"/>
      <c r="L227" s="339"/>
      <c r="O227" s="377"/>
      <c r="AI227" s="31"/>
      <c r="AJ227" s="31"/>
      <c r="AK227" s="32"/>
      <c r="AL227" s="33"/>
      <c r="AM227" s="32"/>
      <c r="AN227" s="33"/>
      <c r="AO227" s="32"/>
      <c r="AP227" s="32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372"/>
      <c r="BD227" s="372"/>
      <c r="BE227" s="372"/>
      <c r="BF227" s="372"/>
      <c r="BG227" s="372"/>
      <c r="BH227" s="372"/>
      <c r="BI227" s="372"/>
      <c r="BJ227" s="372"/>
      <c r="BK227" s="372"/>
      <c r="BL227" s="372"/>
      <c r="BM227" s="372"/>
      <c r="BN227" s="372"/>
      <c r="BO227" s="372"/>
      <c r="BP227" s="372"/>
      <c r="BQ227" s="372"/>
      <c r="BR227" s="372"/>
      <c r="BS227" s="372"/>
      <c r="BT227" s="372"/>
      <c r="BU227" s="372"/>
      <c r="BV227" s="372"/>
      <c r="BW227" s="372"/>
      <c r="BX227" s="372"/>
    </row>
    <row r="228" spans="2:76" s="28" customFormat="1">
      <c r="B228" s="136"/>
      <c r="D228" s="464"/>
      <c r="E228" s="29"/>
      <c r="G228" s="338"/>
      <c r="H228" s="339"/>
      <c r="I228" s="339"/>
      <c r="J228" s="339"/>
      <c r="K228" s="339"/>
      <c r="L228" s="339"/>
      <c r="O228" s="382"/>
      <c r="AI228" s="31"/>
      <c r="AJ228" s="31"/>
      <c r="AK228" s="32"/>
      <c r="AL228" s="33"/>
      <c r="AM228" s="32"/>
      <c r="AN228" s="33"/>
      <c r="AO228" s="32"/>
      <c r="AP228" s="32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372"/>
      <c r="BD228" s="372"/>
      <c r="BE228" s="372"/>
      <c r="BF228" s="372"/>
      <c r="BG228" s="372"/>
      <c r="BH228" s="372"/>
      <c r="BI228" s="372"/>
      <c r="BJ228" s="372"/>
      <c r="BK228" s="372"/>
      <c r="BL228" s="372"/>
      <c r="BM228" s="372"/>
      <c r="BN228" s="372"/>
      <c r="BO228" s="372"/>
      <c r="BP228" s="372"/>
      <c r="BQ228" s="372"/>
      <c r="BR228" s="372"/>
      <c r="BS228" s="372"/>
      <c r="BT228" s="372"/>
      <c r="BU228" s="372"/>
      <c r="BV228" s="372"/>
      <c r="BW228" s="372"/>
      <c r="BX228" s="372"/>
    </row>
    <row r="229" spans="2:76" s="28" customFormat="1">
      <c r="B229" s="136"/>
      <c r="D229" s="464"/>
      <c r="E229" s="29"/>
      <c r="G229" s="338"/>
      <c r="H229" s="339"/>
      <c r="I229" s="339"/>
      <c r="J229" s="339"/>
      <c r="K229" s="339"/>
      <c r="L229" s="339"/>
      <c r="O229" s="380"/>
      <c r="AI229" s="31"/>
      <c r="AJ229" s="31"/>
      <c r="AK229" s="32"/>
      <c r="AL229" s="33"/>
      <c r="AM229" s="32"/>
      <c r="AN229" s="33"/>
      <c r="AO229" s="32"/>
      <c r="AP229" s="32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372"/>
      <c r="BD229" s="372"/>
      <c r="BE229" s="372"/>
      <c r="BF229" s="372"/>
      <c r="BG229" s="372"/>
      <c r="BH229" s="372"/>
      <c r="BI229" s="372"/>
      <c r="BJ229" s="372"/>
      <c r="BK229" s="372"/>
      <c r="BL229" s="372"/>
      <c r="BM229" s="372"/>
      <c r="BN229" s="372"/>
      <c r="BO229" s="372"/>
      <c r="BP229" s="372"/>
      <c r="BQ229" s="372"/>
      <c r="BR229" s="372"/>
      <c r="BS229" s="372"/>
      <c r="BT229" s="372"/>
      <c r="BU229" s="372"/>
      <c r="BV229" s="372"/>
      <c r="BW229" s="372"/>
      <c r="BX229" s="372"/>
    </row>
    <row r="230" spans="2:76" s="28" customFormat="1">
      <c r="B230" s="136"/>
      <c r="D230" s="464"/>
      <c r="E230" s="29"/>
      <c r="G230" s="338"/>
      <c r="H230" s="339"/>
      <c r="I230" s="339"/>
      <c r="J230" s="339"/>
      <c r="K230" s="339"/>
      <c r="L230" s="339"/>
      <c r="O230" s="381"/>
      <c r="AI230" s="31"/>
      <c r="AJ230" s="31"/>
      <c r="AK230" s="32"/>
      <c r="AL230" s="33"/>
      <c r="AM230" s="32"/>
      <c r="AN230" s="33"/>
      <c r="AO230" s="32"/>
      <c r="AP230" s="32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372"/>
      <c r="BD230" s="372"/>
      <c r="BE230" s="372"/>
      <c r="BF230" s="372"/>
      <c r="BG230" s="372"/>
      <c r="BH230" s="372"/>
      <c r="BI230" s="372"/>
      <c r="BJ230" s="372"/>
      <c r="BK230" s="372"/>
      <c r="BL230" s="372"/>
      <c r="BM230" s="372"/>
      <c r="BN230" s="372"/>
      <c r="BO230" s="372"/>
      <c r="BP230" s="372"/>
      <c r="BQ230" s="372"/>
      <c r="BR230" s="372"/>
      <c r="BS230" s="372"/>
      <c r="BT230" s="372"/>
      <c r="BU230" s="372"/>
      <c r="BV230" s="372"/>
      <c r="BW230" s="372"/>
      <c r="BX230" s="372"/>
    </row>
    <row r="231" spans="2:76" s="28" customFormat="1">
      <c r="B231" s="136"/>
      <c r="D231" s="464"/>
      <c r="E231" s="29"/>
      <c r="G231" s="338"/>
      <c r="H231" s="339"/>
      <c r="I231" s="339"/>
      <c r="J231" s="339"/>
      <c r="K231" s="339"/>
      <c r="L231" s="339"/>
      <c r="O231" s="377"/>
      <c r="AI231" s="31"/>
      <c r="AJ231" s="31"/>
      <c r="AK231" s="32"/>
      <c r="AL231" s="33"/>
      <c r="AM231" s="32"/>
      <c r="AN231" s="33"/>
      <c r="AO231" s="32"/>
      <c r="AP231" s="32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372"/>
      <c r="BD231" s="372"/>
      <c r="BE231" s="372"/>
      <c r="BF231" s="372"/>
      <c r="BG231" s="372"/>
      <c r="BH231" s="372"/>
      <c r="BI231" s="372"/>
      <c r="BJ231" s="372"/>
      <c r="BK231" s="372"/>
      <c r="BL231" s="372"/>
      <c r="BM231" s="372"/>
      <c r="BN231" s="372"/>
      <c r="BO231" s="372"/>
      <c r="BP231" s="372"/>
      <c r="BQ231" s="372"/>
      <c r="BR231" s="372"/>
      <c r="BS231" s="372"/>
      <c r="BT231" s="372"/>
      <c r="BU231" s="372"/>
      <c r="BV231" s="372"/>
      <c r="BW231" s="372"/>
      <c r="BX231" s="372"/>
    </row>
    <row r="232" spans="2:76" s="28" customFormat="1">
      <c r="B232" s="136"/>
      <c r="D232" s="464"/>
      <c r="E232" s="29"/>
      <c r="G232" s="338"/>
      <c r="H232" s="339"/>
      <c r="I232" s="339"/>
      <c r="J232" s="339"/>
      <c r="K232" s="339"/>
      <c r="L232" s="339"/>
      <c r="O232" s="380"/>
      <c r="AI232" s="31"/>
      <c r="AJ232" s="31"/>
      <c r="AK232" s="32"/>
      <c r="AL232" s="33"/>
      <c r="AM232" s="32"/>
      <c r="AN232" s="33"/>
      <c r="AO232" s="32"/>
      <c r="AP232" s="32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372"/>
      <c r="BD232" s="372"/>
      <c r="BE232" s="372"/>
      <c r="BF232" s="372"/>
      <c r="BG232" s="372"/>
      <c r="BH232" s="372"/>
      <c r="BI232" s="372"/>
      <c r="BJ232" s="372"/>
      <c r="BK232" s="372"/>
      <c r="BL232" s="372"/>
      <c r="BM232" s="372"/>
      <c r="BN232" s="372"/>
      <c r="BO232" s="372"/>
      <c r="BP232" s="372"/>
      <c r="BQ232" s="372"/>
      <c r="BR232" s="372"/>
      <c r="BS232" s="372"/>
      <c r="BT232" s="372"/>
      <c r="BU232" s="372"/>
      <c r="BV232" s="372"/>
      <c r="BW232" s="372"/>
      <c r="BX232" s="372"/>
    </row>
    <row r="233" spans="2:76" s="28" customFormat="1">
      <c r="B233" s="136"/>
      <c r="D233" s="464"/>
      <c r="E233" s="29"/>
      <c r="G233" s="338"/>
      <c r="H233" s="339"/>
      <c r="I233" s="339"/>
      <c r="J233" s="339"/>
      <c r="K233" s="339"/>
      <c r="L233" s="339"/>
      <c r="O233" s="377"/>
      <c r="AI233" s="31"/>
      <c r="AJ233" s="31"/>
      <c r="AK233" s="32"/>
      <c r="AL233" s="33"/>
      <c r="AM233" s="32"/>
      <c r="AN233" s="33"/>
      <c r="AO233" s="32"/>
      <c r="AP233" s="32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372"/>
      <c r="BD233" s="372"/>
      <c r="BE233" s="372"/>
      <c r="BF233" s="372"/>
      <c r="BG233" s="372"/>
      <c r="BH233" s="372"/>
      <c r="BI233" s="372"/>
      <c r="BJ233" s="372"/>
      <c r="BK233" s="372"/>
      <c r="BL233" s="372"/>
      <c r="BM233" s="372"/>
      <c r="BN233" s="372"/>
      <c r="BO233" s="372"/>
      <c r="BP233" s="372"/>
      <c r="BQ233" s="372"/>
      <c r="BR233" s="372"/>
      <c r="BS233" s="372"/>
      <c r="BT233" s="372"/>
      <c r="BU233" s="372"/>
      <c r="BV233" s="372"/>
      <c r="BW233" s="372"/>
      <c r="BX233" s="372"/>
    </row>
    <row r="234" spans="2:76" s="28" customFormat="1">
      <c r="B234" s="136"/>
      <c r="D234" s="464"/>
      <c r="E234" s="29"/>
      <c r="G234" s="338"/>
      <c r="H234" s="339"/>
      <c r="I234" s="339"/>
      <c r="J234" s="339"/>
      <c r="K234" s="339"/>
      <c r="L234" s="339"/>
      <c r="O234" s="377"/>
      <c r="AI234" s="31"/>
      <c r="AJ234" s="31"/>
      <c r="AK234" s="32"/>
      <c r="AL234" s="33"/>
      <c r="AM234" s="32"/>
      <c r="AN234" s="33"/>
      <c r="AO234" s="32"/>
      <c r="AP234" s="32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372"/>
      <c r="BD234" s="372"/>
      <c r="BE234" s="372"/>
      <c r="BF234" s="372"/>
      <c r="BG234" s="372"/>
      <c r="BH234" s="372"/>
      <c r="BI234" s="372"/>
      <c r="BJ234" s="372"/>
      <c r="BK234" s="372"/>
      <c r="BL234" s="372"/>
      <c r="BM234" s="372"/>
      <c r="BN234" s="372"/>
      <c r="BO234" s="372"/>
      <c r="BP234" s="372"/>
      <c r="BQ234" s="372"/>
      <c r="BR234" s="372"/>
      <c r="BS234" s="372"/>
      <c r="BT234" s="372"/>
      <c r="BU234" s="372"/>
      <c r="BV234" s="372"/>
      <c r="BW234" s="372"/>
      <c r="BX234" s="372"/>
    </row>
    <row r="235" spans="2:76" s="28" customFormat="1">
      <c r="B235" s="136"/>
      <c r="D235" s="464"/>
      <c r="E235" s="29"/>
      <c r="G235" s="338"/>
      <c r="H235" s="339"/>
      <c r="I235" s="339"/>
      <c r="J235" s="339"/>
      <c r="K235" s="339"/>
      <c r="L235" s="339"/>
      <c r="O235" s="377"/>
      <c r="AI235" s="31"/>
      <c r="AJ235" s="31"/>
      <c r="AK235" s="32"/>
      <c r="AL235" s="33"/>
      <c r="AM235" s="32"/>
      <c r="AN235" s="33"/>
      <c r="AO235" s="32"/>
      <c r="AP235" s="32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372"/>
      <c r="BD235" s="372"/>
      <c r="BE235" s="372"/>
      <c r="BF235" s="372"/>
      <c r="BG235" s="372"/>
      <c r="BH235" s="372"/>
      <c r="BI235" s="372"/>
      <c r="BJ235" s="372"/>
      <c r="BK235" s="372"/>
      <c r="BL235" s="372"/>
      <c r="BM235" s="372"/>
      <c r="BN235" s="372"/>
      <c r="BO235" s="372"/>
      <c r="BP235" s="372"/>
      <c r="BQ235" s="372"/>
      <c r="BR235" s="372"/>
      <c r="BS235" s="372"/>
      <c r="BT235" s="372"/>
      <c r="BU235" s="372"/>
      <c r="BV235" s="372"/>
      <c r="BW235" s="372"/>
      <c r="BX235" s="372"/>
    </row>
    <row r="236" spans="2:76" s="28" customFormat="1">
      <c r="B236" s="136"/>
      <c r="D236" s="464"/>
      <c r="E236" s="29"/>
      <c r="G236" s="338"/>
      <c r="H236" s="339"/>
      <c r="I236" s="339"/>
      <c r="J236" s="339"/>
      <c r="K236" s="339"/>
      <c r="L236" s="339"/>
      <c r="O236" s="377"/>
      <c r="AI236" s="31"/>
      <c r="AJ236" s="31"/>
      <c r="AK236" s="32"/>
      <c r="AL236" s="33"/>
      <c r="AM236" s="32"/>
      <c r="AN236" s="33"/>
      <c r="AO236" s="32"/>
      <c r="AP236" s="32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372"/>
      <c r="BD236" s="372"/>
      <c r="BE236" s="372"/>
      <c r="BF236" s="372"/>
      <c r="BG236" s="372"/>
      <c r="BH236" s="372"/>
      <c r="BI236" s="372"/>
      <c r="BJ236" s="372"/>
      <c r="BK236" s="372"/>
      <c r="BL236" s="372"/>
      <c r="BM236" s="372"/>
      <c r="BN236" s="372"/>
      <c r="BO236" s="372"/>
      <c r="BP236" s="372"/>
      <c r="BQ236" s="372"/>
      <c r="BR236" s="372"/>
      <c r="BS236" s="372"/>
      <c r="BT236" s="372"/>
      <c r="BU236" s="372"/>
      <c r="BV236" s="372"/>
      <c r="BW236" s="372"/>
      <c r="BX236" s="372"/>
    </row>
    <row r="237" spans="2:76" s="28" customFormat="1">
      <c r="B237" s="136"/>
      <c r="D237" s="464"/>
      <c r="E237" s="29"/>
      <c r="G237" s="338"/>
      <c r="H237" s="339"/>
      <c r="I237" s="339"/>
      <c r="J237" s="339"/>
      <c r="K237" s="339"/>
      <c r="L237" s="339"/>
      <c r="O237" s="384"/>
      <c r="AI237" s="31"/>
      <c r="AJ237" s="31"/>
      <c r="AK237" s="32"/>
      <c r="AL237" s="33"/>
      <c r="AM237" s="32"/>
      <c r="AN237" s="33"/>
      <c r="AO237" s="32"/>
      <c r="AP237" s="32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372"/>
      <c r="BD237" s="372"/>
      <c r="BE237" s="372"/>
      <c r="BF237" s="372"/>
      <c r="BG237" s="372"/>
      <c r="BH237" s="372"/>
      <c r="BI237" s="372"/>
      <c r="BJ237" s="372"/>
      <c r="BK237" s="372"/>
      <c r="BL237" s="372"/>
      <c r="BM237" s="372"/>
      <c r="BN237" s="372"/>
      <c r="BO237" s="372"/>
      <c r="BP237" s="372"/>
      <c r="BQ237" s="372"/>
      <c r="BR237" s="372"/>
      <c r="BS237" s="372"/>
      <c r="BT237" s="372"/>
      <c r="BU237" s="372"/>
      <c r="BV237" s="372"/>
      <c r="BW237" s="372"/>
      <c r="BX237" s="372"/>
    </row>
    <row r="238" spans="2:76" s="28" customFormat="1">
      <c r="B238" s="136"/>
      <c r="D238" s="464"/>
      <c r="E238" s="29"/>
      <c r="G238" s="338"/>
      <c r="H238" s="339"/>
      <c r="I238" s="339"/>
      <c r="J238" s="339"/>
      <c r="K238" s="339"/>
      <c r="L238" s="339"/>
      <c r="O238" s="377"/>
      <c r="AI238" s="31"/>
      <c r="AJ238" s="31"/>
      <c r="AK238" s="32"/>
      <c r="AL238" s="33"/>
      <c r="AM238" s="32"/>
      <c r="AN238" s="33"/>
      <c r="AO238" s="32"/>
      <c r="AP238" s="32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372"/>
      <c r="BD238" s="372"/>
      <c r="BE238" s="372"/>
      <c r="BF238" s="372"/>
      <c r="BG238" s="372"/>
      <c r="BH238" s="372"/>
      <c r="BI238" s="372"/>
      <c r="BJ238" s="372"/>
      <c r="BK238" s="372"/>
      <c r="BL238" s="372"/>
      <c r="BM238" s="372"/>
      <c r="BN238" s="372"/>
      <c r="BO238" s="372"/>
      <c r="BP238" s="372"/>
      <c r="BQ238" s="372"/>
      <c r="BR238" s="372"/>
      <c r="BS238" s="372"/>
      <c r="BT238" s="372"/>
      <c r="BU238" s="372"/>
      <c r="BV238" s="372"/>
      <c r="BW238" s="372"/>
      <c r="BX238" s="372"/>
    </row>
    <row r="239" spans="2:76" s="28" customFormat="1">
      <c r="B239" s="136"/>
      <c r="D239" s="464"/>
      <c r="E239" s="29"/>
      <c r="G239" s="338"/>
      <c r="H239" s="339"/>
      <c r="I239" s="339"/>
      <c r="J239" s="339"/>
      <c r="K239" s="339"/>
      <c r="L239" s="339"/>
      <c r="O239" s="380"/>
      <c r="AI239" s="31"/>
      <c r="AJ239" s="31"/>
      <c r="AK239" s="32"/>
      <c r="AL239" s="33"/>
      <c r="AM239" s="32"/>
      <c r="AN239" s="33"/>
      <c r="AO239" s="32"/>
      <c r="AP239" s="32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372"/>
      <c r="BD239" s="372"/>
      <c r="BE239" s="372"/>
      <c r="BF239" s="372"/>
      <c r="BG239" s="372"/>
      <c r="BH239" s="372"/>
      <c r="BI239" s="372"/>
      <c r="BJ239" s="372"/>
      <c r="BK239" s="372"/>
      <c r="BL239" s="372"/>
      <c r="BM239" s="372"/>
      <c r="BN239" s="372"/>
      <c r="BO239" s="372"/>
      <c r="BP239" s="372"/>
      <c r="BQ239" s="372"/>
      <c r="BR239" s="372"/>
      <c r="BS239" s="372"/>
      <c r="BT239" s="372"/>
      <c r="BU239" s="372"/>
      <c r="BV239" s="372"/>
      <c r="BW239" s="372"/>
      <c r="BX239" s="372"/>
    </row>
    <row r="240" spans="2:76" s="28" customFormat="1">
      <c r="B240" s="136"/>
      <c r="D240" s="464"/>
      <c r="E240" s="29"/>
      <c r="G240" s="338"/>
      <c r="H240" s="339"/>
      <c r="I240" s="339"/>
      <c r="J240" s="339"/>
      <c r="K240" s="339"/>
      <c r="L240" s="339"/>
      <c r="O240" s="380"/>
      <c r="AI240" s="31"/>
      <c r="AJ240" s="31"/>
      <c r="AK240" s="32"/>
      <c r="AL240" s="33"/>
      <c r="AM240" s="32"/>
      <c r="AN240" s="33"/>
      <c r="AO240" s="32"/>
      <c r="AP240" s="32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372"/>
      <c r="BD240" s="372"/>
      <c r="BE240" s="372"/>
      <c r="BF240" s="372"/>
      <c r="BG240" s="372"/>
      <c r="BH240" s="372"/>
      <c r="BI240" s="372"/>
      <c r="BJ240" s="372"/>
      <c r="BK240" s="372"/>
      <c r="BL240" s="372"/>
      <c r="BM240" s="372"/>
      <c r="BN240" s="372"/>
      <c r="BO240" s="372"/>
      <c r="BP240" s="372"/>
      <c r="BQ240" s="372"/>
      <c r="BR240" s="372"/>
      <c r="BS240" s="372"/>
      <c r="BT240" s="372"/>
      <c r="BU240" s="372"/>
      <c r="BV240" s="372"/>
      <c r="BW240" s="372"/>
      <c r="BX240" s="372"/>
    </row>
    <row r="241" spans="2:76" s="28" customFormat="1">
      <c r="B241" s="136"/>
      <c r="D241" s="464"/>
      <c r="E241" s="29"/>
      <c r="G241" s="338"/>
      <c r="H241" s="339"/>
      <c r="I241" s="339"/>
      <c r="J241" s="339"/>
      <c r="K241" s="339"/>
      <c r="L241" s="339"/>
      <c r="O241" s="377"/>
      <c r="AI241" s="31"/>
      <c r="AJ241" s="31"/>
      <c r="AK241" s="32"/>
      <c r="AL241" s="33"/>
      <c r="AM241" s="32"/>
      <c r="AN241" s="33"/>
      <c r="AO241" s="32"/>
      <c r="AP241" s="32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372"/>
      <c r="BD241" s="372"/>
      <c r="BE241" s="372"/>
      <c r="BF241" s="372"/>
      <c r="BG241" s="372"/>
      <c r="BH241" s="372"/>
      <c r="BI241" s="372"/>
      <c r="BJ241" s="372"/>
      <c r="BK241" s="372"/>
      <c r="BL241" s="372"/>
      <c r="BM241" s="372"/>
      <c r="BN241" s="372"/>
      <c r="BO241" s="372"/>
      <c r="BP241" s="372"/>
      <c r="BQ241" s="372"/>
      <c r="BR241" s="372"/>
      <c r="BS241" s="372"/>
      <c r="BT241" s="372"/>
      <c r="BU241" s="372"/>
      <c r="BV241" s="372"/>
      <c r="BW241" s="372"/>
      <c r="BX241" s="372"/>
    </row>
    <row r="242" spans="2:76" s="28" customFormat="1">
      <c r="B242" s="136"/>
      <c r="D242" s="464"/>
      <c r="E242" s="29"/>
      <c r="G242" s="338"/>
      <c r="H242" s="339"/>
      <c r="I242" s="339"/>
      <c r="J242" s="339"/>
      <c r="K242" s="339"/>
      <c r="L242" s="339"/>
      <c r="O242" s="381"/>
      <c r="AI242" s="31"/>
      <c r="AJ242" s="31"/>
      <c r="AK242" s="32"/>
      <c r="AL242" s="33"/>
      <c r="AM242" s="32"/>
      <c r="AN242" s="33"/>
      <c r="AO242" s="32"/>
      <c r="AP242" s="32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372"/>
      <c r="BD242" s="372"/>
      <c r="BE242" s="372"/>
      <c r="BF242" s="372"/>
      <c r="BG242" s="372"/>
      <c r="BH242" s="372"/>
      <c r="BI242" s="372"/>
      <c r="BJ242" s="372"/>
      <c r="BK242" s="372"/>
      <c r="BL242" s="372"/>
      <c r="BM242" s="372"/>
      <c r="BN242" s="372"/>
      <c r="BO242" s="372"/>
      <c r="BP242" s="372"/>
      <c r="BQ242" s="372"/>
      <c r="BR242" s="372"/>
      <c r="BS242" s="372"/>
      <c r="BT242" s="372"/>
      <c r="BU242" s="372"/>
      <c r="BV242" s="372"/>
      <c r="BW242" s="372"/>
      <c r="BX242" s="372"/>
    </row>
    <row r="243" spans="2:76" s="28" customFormat="1">
      <c r="B243" s="136"/>
      <c r="D243" s="464"/>
      <c r="E243" s="29"/>
      <c r="G243" s="338"/>
      <c r="H243" s="339"/>
      <c r="I243" s="339"/>
      <c r="J243" s="339"/>
      <c r="K243" s="339"/>
      <c r="L243" s="339"/>
      <c r="O243" s="381"/>
      <c r="AI243" s="31"/>
      <c r="AJ243" s="31"/>
      <c r="AK243" s="32"/>
      <c r="AL243" s="33"/>
      <c r="AM243" s="32"/>
      <c r="AN243" s="33"/>
      <c r="AO243" s="32"/>
      <c r="AP243" s="32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372"/>
      <c r="BD243" s="372"/>
      <c r="BE243" s="372"/>
      <c r="BF243" s="372"/>
      <c r="BG243" s="372"/>
      <c r="BH243" s="372"/>
      <c r="BI243" s="372"/>
      <c r="BJ243" s="372"/>
      <c r="BK243" s="372"/>
      <c r="BL243" s="372"/>
      <c r="BM243" s="372"/>
      <c r="BN243" s="372"/>
      <c r="BO243" s="372"/>
      <c r="BP243" s="372"/>
      <c r="BQ243" s="372"/>
      <c r="BR243" s="372"/>
      <c r="BS243" s="372"/>
      <c r="BT243" s="372"/>
      <c r="BU243" s="372"/>
      <c r="BV243" s="372"/>
      <c r="BW243" s="372"/>
      <c r="BX243" s="372"/>
    </row>
    <row r="244" spans="2:76" s="28" customFormat="1">
      <c r="B244" s="136"/>
      <c r="D244" s="464"/>
      <c r="E244" s="29"/>
      <c r="G244" s="338"/>
      <c r="H244" s="339"/>
      <c r="I244" s="339"/>
      <c r="J244" s="339"/>
      <c r="K244" s="339"/>
      <c r="L244" s="339"/>
      <c r="O244" s="377"/>
      <c r="AI244" s="31"/>
      <c r="AJ244" s="31"/>
      <c r="AK244" s="32"/>
      <c r="AL244" s="33"/>
      <c r="AM244" s="32"/>
      <c r="AN244" s="33"/>
      <c r="AO244" s="32"/>
      <c r="AP244" s="32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372"/>
      <c r="BD244" s="372"/>
      <c r="BE244" s="372"/>
      <c r="BF244" s="372"/>
      <c r="BG244" s="372"/>
      <c r="BH244" s="372"/>
      <c r="BI244" s="372"/>
      <c r="BJ244" s="372"/>
      <c r="BK244" s="372"/>
      <c r="BL244" s="372"/>
      <c r="BM244" s="372"/>
      <c r="BN244" s="372"/>
      <c r="BO244" s="372"/>
      <c r="BP244" s="372"/>
      <c r="BQ244" s="372"/>
      <c r="BR244" s="372"/>
      <c r="BS244" s="372"/>
      <c r="BT244" s="372"/>
      <c r="BU244" s="372"/>
      <c r="BV244" s="372"/>
      <c r="BW244" s="372"/>
      <c r="BX244" s="372"/>
    </row>
    <row r="245" spans="2:76" s="28" customFormat="1">
      <c r="B245" s="136"/>
      <c r="D245" s="464"/>
      <c r="E245" s="29"/>
      <c r="G245" s="338"/>
      <c r="H245" s="339"/>
      <c r="I245" s="339"/>
      <c r="J245" s="339"/>
      <c r="K245" s="339"/>
      <c r="L245" s="339"/>
      <c r="O245" s="380"/>
      <c r="AI245" s="31"/>
      <c r="AJ245" s="31"/>
      <c r="AK245" s="32"/>
      <c r="AL245" s="33"/>
      <c r="AM245" s="32"/>
      <c r="AN245" s="33"/>
      <c r="AO245" s="32"/>
      <c r="AP245" s="32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372"/>
      <c r="BD245" s="372"/>
      <c r="BE245" s="372"/>
      <c r="BF245" s="372"/>
      <c r="BG245" s="372"/>
      <c r="BH245" s="372"/>
      <c r="BI245" s="372"/>
      <c r="BJ245" s="372"/>
      <c r="BK245" s="372"/>
      <c r="BL245" s="372"/>
      <c r="BM245" s="372"/>
      <c r="BN245" s="372"/>
      <c r="BO245" s="372"/>
      <c r="BP245" s="372"/>
      <c r="BQ245" s="372"/>
      <c r="BR245" s="372"/>
      <c r="BS245" s="372"/>
      <c r="BT245" s="372"/>
      <c r="BU245" s="372"/>
      <c r="BV245" s="372"/>
      <c r="BW245" s="372"/>
      <c r="BX245" s="372"/>
    </row>
    <row r="246" spans="2:76" s="28" customFormat="1">
      <c r="B246" s="136"/>
      <c r="D246" s="464"/>
      <c r="E246" s="29"/>
      <c r="G246" s="338"/>
      <c r="H246" s="339"/>
      <c r="I246" s="339"/>
      <c r="J246" s="339"/>
      <c r="K246" s="339"/>
      <c r="L246" s="339"/>
      <c r="O246" s="381"/>
      <c r="AI246" s="31"/>
      <c r="AJ246" s="31"/>
      <c r="AK246" s="32"/>
      <c r="AL246" s="33"/>
      <c r="AM246" s="32"/>
      <c r="AN246" s="33"/>
      <c r="AO246" s="32"/>
      <c r="AP246" s="32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372"/>
      <c r="BD246" s="372"/>
      <c r="BE246" s="372"/>
      <c r="BF246" s="372"/>
      <c r="BG246" s="372"/>
      <c r="BH246" s="372"/>
      <c r="BI246" s="372"/>
      <c r="BJ246" s="372"/>
      <c r="BK246" s="372"/>
      <c r="BL246" s="372"/>
      <c r="BM246" s="372"/>
      <c r="BN246" s="372"/>
      <c r="BO246" s="372"/>
      <c r="BP246" s="372"/>
      <c r="BQ246" s="372"/>
      <c r="BR246" s="372"/>
      <c r="BS246" s="372"/>
      <c r="BT246" s="372"/>
      <c r="BU246" s="372"/>
      <c r="BV246" s="372"/>
      <c r="BW246" s="372"/>
      <c r="BX246" s="372"/>
    </row>
    <row r="247" spans="2:76" s="28" customFormat="1">
      <c r="B247" s="136"/>
      <c r="D247" s="464"/>
      <c r="E247" s="29"/>
      <c r="G247" s="338"/>
      <c r="H247" s="339"/>
      <c r="I247" s="339"/>
      <c r="J247" s="339"/>
      <c r="K247" s="339"/>
      <c r="L247" s="339"/>
      <c r="O247" s="377"/>
      <c r="AI247" s="31"/>
      <c r="AJ247" s="31"/>
      <c r="AK247" s="32"/>
      <c r="AL247" s="33"/>
      <c r="AM247" s="32"/>
      <c r="AN247" s="33"/>
      <c r="AO247" s="32"/>
      <c r="AP247" s="32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372"/>
      <c r="BD247" s="372"/>
      <c r="BE247" s="372"/>
      <c r="BF247" s="372"/>
      <c r="BG247" s="372"/>
      <c r="BH247" s="372"/>
      <c r="BI247" s="372"/>
      <c r="BJ247" s="372"/>
      <c r="BK247" s="372"/>
      <c r="BL247" s="372"/>
      <c r="BM247" s="372"/>
      <c r="BN247" s="372"/>
      <c r="BO247" s="372"/>
      <c r="BP247" s="372"/>
      <c r="BQ247" s="372"/>
      <c r="BR247" s="372"/>
      <c r="BS247" s="372"/>
      <c r="BT247" s="372"/>
      <c r="BU247" s="372"/>
      <c r="BV247" s="372"/>
      <c r="BW247" s="372"/>
      <c r="BX247" s="372"/>
    </row>
    <row r="248" spans="2:76" s="28" customFormat="1">
      <c r="B248" s="136"/>
      <c r="D248" s="464"/>
      <c r="E248" s="29"/>
      <c r="G248" s="338"/>
      <c r="H248" s="339"/>
      <c r="I248" s="339"/>
      <c r="J248" s="339"/>
      <c r="K248" s="339"/>
      <c r="L248" s="339"/>
      <c r="O248" s="377"/>
      <c r="AI248" s="31"/>
      <c r="AJ248" s="31"/>
      <c r="AK248" s="32"/>
      <c r="AL248" s="33"/>
      <c r="AM248" s="32"/>
      <c r="AN248" s="33"/>
      <c r="AO248" s="32"/>
      <c r="AP248" s="32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372"/>
      <c r="BD248" s="372"/>
      <c r="BE248" s="372"/>
      <c r="BF248" s="372"/>
      <c r="BG248" s="372"/>
      <c r="BH248" s="372"/>
      <c r="BI248" s="372"/>
      <c r="BJ248" s="372"/>
      <c r="BK248" s="372"/>
      <c r="BL248" s="372"/>
      <c r="BM248" s="372"/>
      <c r="BN248" s="372"/>
      <c r="BO248" s="372"/>
      <c r="BP248" s="372"/>
      <c r="BQ248" s="372"/>
      <c r="BR248" s="372"/>
      <c r="BS248" s="372"/>
      <c r="BT248" s="372"/>
      <c r="BU248" s="372"/>
      <c r="BV248" s="372"/>
      <c r="BW248" s="372"/>
      <c r="BX248" s="372"/>
    </row>
    <row r="249" spans="2:76" s="28" customFormat="1">
      <c r="B249" s="136"/>
      <c r="D249" s="464"/>
      <c r="E249" s="29"/>
      <c r="G249" s="338"/>
      <c r="H249" s="339"/>
      <c r="I249" s="339"/>
      <c r="J249" s="339"/>
      <c r="K249" s="339"/>
      <c r="L249" s="339"/>
      <c r="O249" s="377"/>
      <c r="AI249" s="31"/>
      <c r="AJ249" s="31"/>
      <c r="AK249" s="32"/>
      <c r="AL249" s="33"/>
      <c r="AM249" s="32"/>
      <c r="AN249" s="33"/>
      <c r="AO249" s="32"/>
      <c r="AP249" s="32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372"/>
      <c r="BD249" s="372"/>
      <c r="BE249" s="372"/>
      <c r="BF249" s="372"/>
      <c r="BG249" s="372"/>
      <c r="BH249" s="372"/>
      <c r="BI249" s="372"/>
      <c r="BJ249" s="372"/>
      <c r="BK249" s="372"/>
      <c r="BL249" s="372"/>
      <c r="BM249" s="372"/>
      <c r="BN249" s="372"/>
      <c r="BO249" s="372"/>
      <c r="BP249" s="372"/>
      <c r="BQ249" s="372"/>
      <c r="BR249" s="372"/>
      <c r="BS249" s="372"/>
      <c r="BT249" s="372"/>
      <c r="BU249" s="372"/>
      <c r="BV249" s="372"/>
      <c r="BW249" s="372"/>
      <c r="BX249" s="372"/>
    </row>
    <row r="250" spans="2:76" s="28" customFormat="1">
      <c r="B250" s="136"/>
      <c r="D250" s="464"/>
      <c r="E250" s="29"/>
      <c r="G250" s="338"/>
      <c r="H250" s="339"/>
      <c r="I250" s="339"/>
      <c r="J250" s="339"/>
      <c r="K250" s="339"/>
      <c r="L250" s="339"/>
      <c r="O250" s="377"/>
      <c r="AI250" s="31"/>
      <c r="AJ250" s="31"/>
      <c r="AK250" s="32"/>
      <c r="AL250" s="33"/>
      <c r="AM250" s="32"/>
      <c r="AN250" s="33"/>
      <c r="AO250" s="32"/>
      <c r="AP250" s="32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372"/>
      <c r="BD250" s="372"/>
      <c r="BE250" s="372"/>
      <c r="BF250" s="372"/>
      <c r="BG250" s="372"/>
      <c r="BH250" s="372"/>
      <c r="BI250" s="372"/>
      <c r="BJ250" s="372"/>
      <c r="BK250" s="372"/>
      <c r="BL250" s="372"/>
      <c r="BM250" s="372"/>
      <c r="BN250" s="372"/>
      <c r="BO250" s="372"/>
      <c r="BP250" s="372"/>
      <c r="BQ250" s="372"/>
      <c r="BR250" s="372"/>
      <c r="BS250" s="372"/>
      <c r="BT250" s="372"/>
      <c r="BU250" s="372"/>
      <c r="BV250" s="372"/>
      <c r="BW250" s="372"/>
      <c r="BX250" s="372"/>
    </row>
    <row r="251" spans="2:76" s="28" customFormat="1">
      <c r="B251" s="136"/>
      <c r="D251" s="464"/>
      <c r="E251" s="29"/>
      <c r="G251" s="338"/>
      <c r="H251" s="339"/>
      <c r="I251" s="339"/>
      <c r="J251" s="339"/>
      <c r="K251" s="339"/>
      <c r="L251" s="339"/>
      <c r="O251" s="381"/>
      <c r="AI251" s="31"/>
      <c r="AJ251" s="31"/>
      <c r="AK251" s="32"/>
      <c r="AL251" s="33"/>
      <c r="AM251" s="32"/>
      <c r="AN251" s="33"/>
      <c r="AO251" s="32"/>
      <c r="AP251" s="32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372"/>
      <c r="BD251" s="372"/>
      <c r="BE251" s="372"/>
      <c r="BF251" s="372"/>
      <c r="BG251" s="372"/>
      <c r="BH251" s="372"/>
      <c r="BI251" s="372"/>
      <c r="BJ251" s="372"/>
      <c r="BK251" s="372"/>
      <c r="BL251" s="372"/>
      <c r="BM251" s="372"/>
      <c r="BN251" s="372"/>
      <c r="BO251" s="372"/>
      <c r="BP251" s="372"/>
      <c r="BQ251" s="372"/>
      <c r="BR251" s="372"/>
      <c r="BS251" s="372"/>
      <c r="BT251" s="372"/>
      <c r="BU251" s="372"/>
      <c r="BV251" s="372"/>
      <c r="BW251" s="372"/>
      <c r="BX251" s="372"/>
    </row>
    <row r="252" spans="2:76" s="28" customFormat="1">
      <c r="B252" s="136"/>
      <c r="D252" s="464"/>
      <c r="E252" s="29"/>
      <c r="G252" s="338"/>
      <c r="H252" s="339"/>
      <c r="I252" s="339"/>
      <c r="J252" s="339"/>
      <c r="K252" s="339"/>
      <c r="L252" s="339"/>
      <c r="O252" s="380"/>
      <c r="AI252" s="31"/>
      <c r="AJ252" s="31"/>
      <c r="AK252" s="32"/>
      <c r="AL252" s="33"/>
      <c r="AM252" s="32"/>
      <c r="AN252" s="33"/>
      <c r="AO252" s="32"/>
      <c r="AP252" s="32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372"/>
      <c r="BD252" s="372"/>
      <c r="BE252" s="372"/>
      <c r="BF252" s="372"/>
      <c r="BG252" s="372"/>
      <c r="BH252" s="372"/>
      <c r="BI252" s="372"/>
      <c r="BJ252" s="372"/>
      <c r="BK252" s="372"/>
      <c r="BL252" s="372"/>
      <c r="BM252" s="372"/>
      <c r="BN252" s="372"/>
      <c r="BO252" s="372"/>
      <c r="BP252" s="372"/>
      <c r="BQ252" s="372"/>
      <c r="BR252" s="372"/>
      <c r="BS252" s="372"/>
      <c r="BT252" s="372"/>
      <c r="BU252" s="372"/>
      <c r="BV252" s="372"/>
      <c r="BW252" s="372"/>
      <c r="BX252" s="372"/>
    </row>
    <row r="253" spans="2:76" s="28" customFormat="1">
      <c r="B253" s="136"/>
      <c r="D253" s="464"/>
      <c r="E253" s="29"/>
      <c r="G253" s="338"/>
      <c r="H253" s="339"/>
      <c r="I253" s="339"/>
      <c r="J253" s="339"/>
      <c r="K253" s="339"/>
      <c r="L253" s="339"/>
      <c r="O253" s="380"/>
      <c r="AI253" s="31"/>
      <c r="AJ253" s="31"/>
      <c r="AK253" s="32"/>
      <c r="AL253" s="33"/>
      <c r="AM253" s="32"/>
      <c r="AN253" s="33"/>
      <c r="AO253" s="32"/>
      <c r="AP253" s="32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372"/>
      <c r="BD253" s="372"/>
      <c r="BE253" s="372"/>
      <c r="BF253" s="372"/>
      <c r="BG253" s="372"/>
      <c r="BH253" s="372"/>
      <c r="BI253" s="372"/>
      <c r="BJ253" s="372"/>
      <c r="BK253" s="372"/>
      <c r="BL253" s="372"/>
      <c r="BM253" s="372"/>
      <c r="BN253" s="372"/>
      <c r="BO253" s="372"/>
      <c r="BP253" s="372"/>
      <c r="BQ253" s="372"/>
      <c r="BR253" s="372"/>
      <c r="BS253" s="372"/>
      <c r="BT253" s="372"/>
      <c r="BU253" s="372"/>
      <c r="BV253" s="372"/>
      <c r="BW253" s="372"/>
      <c r="BX253" s="372"/>
    </row>
    <row r="254" spans="2:76" s="28" customFormat="1">
      <c r="B254" s="136"/>
      <c r="D254" s="464"/>
      <c r="E254" s="29"/>
      <c r="G254" s="338"/>
      <c r="H254" s="339"/>
      <c r="I254" s="339"/>
      <c r="J254" s="339"/>
      <c r="K254" s="339"/>
      <c r="L254" s="339"/>
      <c r="O254" s="381"/>
      <c r="AI254" s="31"/>
      <c r="AJ254" s="31"/>
      <c r="AK254" s="32"/>
      <c r="AL254" s="33"/>
      <c r="AM254" s="32"/>
      <c r="AN254" s="33"/>
      <c r="AO254" s="32"/>
      <c r="AP254" s="32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372"/>
      <c r="BD254" s="372"/>
      <c r="BE254" s="372"/>
      <c r="BF254" s="372"/>
      <c r="BG254" s="372"/>
      <c r="BH254" s="372"/>
      <c r="BI254" s="372"/>
      <c r="BJ254" s="372"/>
      <c r="BK254" s="372"/>
      <c r="BL254" s="372"/>
      <c r="BM254" s="372"/>
      <c r="BN254" s="372"/>
      <c r="BO254" s="372"/>
      <c r="BP254" s="372"/>
      <c r="BQ254" s="372"/>
      <c r="BR254" s="372"/>
      <c r="BS254" s="372"/>
      <c r="BT254" s="372"/>
      <c r="BU254" s="372"/>
      <c r="BV254" s="372"/>
      <c r="BW254" s="372"/>
      <c r="BX254" s="372"/>
    </row>
    <row r="255" spans="2:76" s="28" customFormat="1">
      <c r="B255" s="136"/>
      <c r="D255" s="464"/>
      <c r="E255" s="29"/>
      <c r="G255" s="338"/>
      <c r="H255" s="339"/>
      <c r="I255" s="339"/>
      <c r="J255" s="339"/>
      <c r="K255" s="339"/>
      <c r="L255" s="339"/>
      <c r="O255" s="377"/>
      <c r="AI255" s="31"/>
      <c r="AJ255" s="31"/>
      <c r="AK255" s="32"/>
      <c r="AL255" s="33"/>
      <c r="AM255" s="32"/>
      <c r="AN255" s="33"/>
      <c r="AO255" s="32"/>
      <c r="AP255" s="32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372"/>
      <c r="BD255" s="372"/>
      <c r="BE255" s="372"/>
      <c r="BF255" s="372"/>
      <c r="BG255" s="372"/>
      <c r="BH255" s="372"/>
      <c r="BI255" s="372"/>
      <c r="BJ255" s="372"/>
      <c r="BK255" s="372"/>
      <c r="BL255" s="372"/>
      <c r="BM255" s="372"/>
      <c r="BN255" s="372"/>
      <c r="BO255" s="372"/>
      <c r="BP255" s="372"/>
      <c r="BQ255" s="372"/>
      <c r="BR255" s="372"/>
      <c r="BS255" s="372"/>
      <c r="BT255" s="372"/>
      <c r="BU255" s="372"/>
      <c r="BV255" s="372"/>
      <c r="BW255" s="372"/>
      <c r="BX255" s="372"/>
    </row>
    <row r="256" spans="2:76" s="28" customFormat="1">
      <c r="B256" s="136"/>
      <c r="D256" s="464"/>
      <c r="E256" s="29"/>
      <c r="G256" s="338"/>
      <c r="H256" s="339"/>
      <c r="I256" s="339"/>
      <c r="J256" s="339"/>
      <c r="K256" s="339"/>
      <c r="L256" s="339"/>
      <c r="O256" s="377"/>
      <c r="AI256" s="31"/>
      <c r="AJ256" s="31"/>
      <c r="AK256" s="32"/>
      <c r="AL256" s="33"/>
      <c r="AM256" s="32"/>
      <c r="AN256" s="33"/>
      <c r="AO256" s="32"/>
      <c r="AP256" s="32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372"/>
      <c r="BD256" s="372"/>
      <c r="BE256" s="372"/>
      <c r="BF256" s="372"/>
      <c r="BG256" s="372"/>
      <c r="BH256" s="372"/>
      <c r="BI256" s="372"/>
      <c r="BJ256" s="372"/>
      <c r="BK256" s="372"/>
      <c r="BL256" s="372"/>
      <c r="BM256" s="372"/>
      <c r="BN256" s="372"/>
      <c r="BO256" s="372"/>
      <c r="BP256" s="372"/>
      <c r="BQ256" s="372"/>
      <c r="BR256" s="372"/>
      <c r="BS256" s="372"/>
      <c r="BT256" s="372"/>
      <c r="BU256" s="372"/>
      <c r="BV256" s="372"/>
      <c r="BW256" s="372"/>
      <c r="BX256" s="372"/>
    </row>
    <row r="257" spans="2:76" s="28" customFormat="1">
      <c r="B257" s="136"/>
      <c r="D257" s="464"/>
      <c r="E257" s="29"/>
      <c r="G257" s="338"/>
      <c r="H257" s="339"/>
      <c r="I257" s="339"/>
      <c r="J257" s="339"/>
      <c r="K257" s="339"/>
      <c r="L257" s="339"/>
      <c r="O257" s="377"/>
      <c r="AI257" s="31"/>
      <c r="AJ257" s="31"/>
      <c r="AK257" s="32"/>
      <c r="AL257" s="33"/>
      <c r="AM257" s="32"/>
      <c r="AN257" s="33"/>
      <c r="AO257" s="32"/>
      <c r="AP257" s="32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372"/>
      <c r="BD257" s="372"/>
      <c r="BE257" s="372"/>
      <c r="BF257" s="372"/>
      <c r="BG257" s="372"/>
      <c r="BH257" s="372"/>
      <c r="BI257" s="372"/>
      <c r="BJ257" s="372"/>
      <c r="BK257" s="372"/>
      <c r="BL257" s="372"/>
      <c r="BM257" s="372"/>
      <c r="BN257" s="372"/>
      <c r="BO257" s="372"/>
      <c r="BP257" s="372"/>
      <c r="BQ257" s="372"/>
      <c r="BR257" s="372"/>
      <c r="BS257" s="372"/>
      <c r="BT257" s="372"/>
      <c r="BU257" s="372"/>
      <c r="BV257" s="372"/>
      <c r="BW257" s="372"/>
      <c r="BX257" s="372"/>
    </row>
    <row r="258" spans="2:76" s="28" customFormat="1">
      <c r="B258" s="136"/>
      <c r="D258" s="464"/>
      <c r="E258" s="29"/>
      <c r="G258" s="338"/>
      <c r="H258" s="339"/>
      <c r="I258" s="339"/>
      <c r="J258" s="339"/>
      <c r="K258" s="339"/>
      <c r="L258" s="339"/>
      <c r="O258" s="377"/>
      <c r="AI258" s="31"/>
      <c r="AJ258" s="31"/>
      <c r="AK258" s="32"/>
      <c r="AL258" s="33"/>
      <c r="AM258" s="32"/>
      <c r="AN258" s="33"/>
      <c r="AO258" s="32"/>
      <c r="AP258" s="32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372"/>
      <c r="BD258" s="372"/>
      <c r="BE258" s="372"/>
      <c r="BF258" s="372"/>
      <c r="BG258" s="372"/>
      <c r="BH258" s="372"/>
      <c r="BI258" s="372"/>
      <c r="BJ258" s="372"/>
      <c r="BK258" s="372"/>
      <c r="BL258" s="372"/>
      <c r="BM258" s="372"/>
      <c r="BN258" s="372"/>
      <c r="BO258" s="372"/>
      <c r="BP258" s="372"/>
      <c r="BQ258" s="372"/>
      <c r="BR258" s="372"/>
      <c r="BS258" s="372"/>
      <c r="BT258" s="372"/>
      <c r="BU258" s="372"/>
      <c r="BV258" s="372"/>
      <c r="BW258" s="372"/>
      <c r="BX258" s="372"/>
    </row>
    <row r="259" spans="2:76" s="28" customFormat="1">
      <c r="B259" s="136"/>
      <c r="D259" s="464"/>
      <c r="E259" s="29"/>
      <c r="G259" s="338"/>
      <c r="H259" s="339"/>
      <c r="I259" s="339"/>
      <c r="J259" s="339"/>
      <c r="K259" s="339"/>
      <c r="L259" s="339"/>
      <c r="O259" s="377"/>
      <c r="AI259" s="31"/>
      <c r="AJ259" s="31"/>
      <c r="AK259" s="32"/>
      <c r="AL259" s="33"/>
      <c r="AM259" s="32"/>
      <c r="AN259" s="33"/>
      <c r="AO259" s="32"/>
      <c r="AP259" s="32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372"/>
      <c r="BD259" s="372"/>
      <c r="BE259" s="372"/>
      <c r="BF259" s="372"/>
      <c r="BG259" s="372"/>
      <c r="BH259" s="372"/>
      <c r="BI259" s="372"/>
      <c r="BJ259" s="372"/>
      <c r="BK259" s="372"/>
      <c r="BL259" s="372"/>
      <c r="BM259" s="372"/>
      <c r="BN259" s="372"/>
      <c r="BO259" s="372"/>
      <c r="BP259" s="372"/>
      <c r="BQ259" s="372"/>
      <c r="BR259" s="372"/>
      <c r="BS259" s="372"/>
      <c r="BT259" s="372"/>
      <c r="BU259" s="372"/>
      <c r="BV259" s="372"/>
      <c r="BW259" s="372"/>
      <c r="BX259" s="372"/>
    </row>
    <row r="260" spans="2:76" s="28" customFormat="1">
      <c r="B260" s="136"/>
      <c r="D260" s="464"/>
      <c r="E260" s="29"/>
      <c r="G260" s="338"/>
      <c r="H260" s="339"/>
      <c r="I260" s="339"/>
      <c r="J260" s="339"/>
      <c r="K260" s="339"/>
      <c r="L260" s="339"/>
      <c r="O260" s="385"/>
      <c r="AI260" s="31"/>
      <c r="AJ260" s="31"/>
      <c r="AK260" s="32"/>
      <c r="AL260" s="33"/>
      <c r="AM260" s="32"/>
      <c r="AN260" s="33"/>
      <c r="AO260" s="32"/>
      <c r="AP260" s="32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372"/>
      <c r="BD260" s="372"/>
      <c r="BE260" s="372"/>
      <c r="BF260" s="372"/>
      <c r="BG260" s="372"/>
      <c r="BH260" s="372"/>
      <c r="BI260" s="372"/>
      <c r="BJ260" s="372"/>
      <c r="BK260" s="372"/>
      <c r="BL260" s="372"/>
      <c r="BM260" s="372"/>
      <c r="BN260" s="372"/>
      <c r="BO260" s="372"/>
      <c r="BP260" s="372"/>
      <c r="BQ260" s="372"/>
      <c r="BR260" s="372"/>
      <c r="BS260" s="372"/>
      <c r="BT260" s="372"/>
      <c r="BU260" s="372"/>
      <c r="BV260" s="372"/>
      <c r="BW260" s="372"/>
      <c r="BX260" s="372"/>
    </row>
    <row r="261" spans="2:76" s="28" customFormat="1">
      <c r="B261" s="136"/>
      <c r="D261" s="464"/>
      <c r="E261" s="29"/>
      <c r="G261" s="338"/>
      <c r="H261" s="339"/>
      <c r="I261" s="339"/>
      <c r="J261" s="339"/>
      <c r="K261" s="339"/>
      <c r="L261" s="339"/>
      <c r="O261" s="377"/>
      <c r="AI261" s="31"/>
      <c r="AJ261" s="31"/>
      <c r="AK261" s="32"/>
      <c r="AL261" s="33"/>
      <c r="AM261" s="32"/>
      <c r="AN261" s="33"/>
      <c r="AO261" s="32"/>
      <c r="AP261" s="32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372"/>
      <c r="BD261" s="372"/>
      <c r="BE261" s="372"/>
      <c r="BF261" s="372"/>
      <c r="BG261" s="372"/>
      <c r="BH261" s="372"/>
      <c r="BI261" s="372"/>
      <c r="BJ261" s="372"/>
      <c r="BK261" s="372"/>
      <c r="BL261" s="372"/>
      <c r="BM261" s="372"/>
      <c r="BN261" s="372"/>
      <c r="BO261" s="372"/>
      <c r="BP261" s="372"/>
      <c r="BQ261" s="372"/>
      <c r="BR261" s="372"/>
      <c r="BS261" s="372"/>
      <c r="BT261" s="372"/>
      <c r="BU261" s="372"/>
      <c r="BV261" s="372"/>
      <c r="BW261" s="372"/>
      <c r="BX261" s="372"/>
    </row>
    <row r="262" spans="2:76" s="28" customFormat="1">
      <c r="B262" s="136"/>
      <c r="D262" s="464"/>
      <c r="E262" s="29"/>
      <c r="G262" s="338"/>
      <c r="H262" s="339"/>
      <c r="I262" s="339"/>
      <c r="J262" s="339"/>
      <c r="K262" s="339"/>
      <c r="L262" s="339"/>
      <c r="O262" s="380"/>
      <c r="AI262" s="31"/>
      <c r="AJ262" s="31"/>
      <c r="AK262" s="32"/>
      <c r="AL262" s="33"/>
      <c r="AM262" s="32"/>
      <c r="AN262" s="33"/>
      <c r="AO262" s="32"/>
      <c r="AP262" s="32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372"/>
      <c r="BD262" s="372"/>
      <c r="BE262" s="372"/>
      <c r="BF262" s="372"/>
      <c r="BG262" s="372"/>
      <c r="BH262" s="372"/>
      <c r="BI262" s="372"/>
      <c r="BJ262" s="372"/>
      <c r="BK262" s="372"/>
      <c r="BL262" s="372"/>
      <c r="BM262" s="372"/>
      <c r="BN262" s="372"/>
      <c r="BO262" s="372"/>
      <c r="BP262" s="372"/>
      <c r="BQ262" s="372"/>
      <c r="BR262" s="372"/>
      <c r="BS262" s="372"/>
      <c r="BT262" s="372"/>
      <c r="BU262" s="372"/>
      <c r="BV262" s="372"/>
      <c r="BW262" s="372"/>
      <c r="BX262" s="372"/>
    </row>
    <row r="263" spans="2:76" s="28" customFormat="1">
      <c r="B263" s="136"/>
      <c r="D263" s="464"/>
      <c r="E263" s="29"/>
      <c r="G263" s="338"/>
      <c r="H263" s="339"/>
      <c r="I263" s="339"/>
      <c r="J263" s="339"/>
      <c r="K263" s="339"/>
      <c r="L263" s="339"/>
      <c r="O263" s="382"/>
      <c r="AI263" s="31"/>
      <c r="AJ263" s="31"/>
      <c r="AK263" s="32"/>
      <c r="AL263" s="33"/>
      <c r="AM263" s="32"/>
      <c r="AN263" s="33"/>
      <c r="AO263" s="32"/>
      <c r="AP263" s="32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372"/>
      <c r="BD263" s="372"/>
      <c r="BE263" s="372"/>
      <c r="BF263" s="372"/>
      <c r="BG263" s="372"/>
      <c r="BH263" s="372"/>
      <c r="BI263" s="372"/>
      <c r="BJ263" s="372"/>
      <c r="BK263" s="372"/>
      <c r="BL263" s="372"/>
      <c r="BM263" s="372"/>
      <c r="BN263" s="372"/>
      <c r="BO263" s="372"/>
      <c r="BP263" s="372"/>
      <c r="BQ263" s="372"/>
      <c r="BR263" s="372"/>
      <c r="BS263" s="372"/>
      <c r="BT263" s="372"/>
      <c r="BU263" s="372"/>
      <c r="BV263" s="372"/>
      <c r="BW263" s="372"/>
      <c r="BX263" s="372"/>
    </row>
    <row r="264" spans="2:76" s="28" customFormat="1">
      <c r="B264" s="136"/>
      <c r="D264" s="464"/>
      <c r="E264" s="29"/>
      <c r="G264" s="338"/>
      <c r="H264" s="339"/>
      <c r="I264" s="339"/>
      <c r="J264" s="339"/>
      <c r="K264" s="339"/>
      <c r="L264" s="339"/>
      <c r="O264" s="377"/>
      <c r="AI264" s="31"/>
      <c r="AJ264" s="31"/>
      <c r="AK264" s="32"/>
      <c r="AL264" s="33"/>
      <c r="AM264" s="32"/>
      <c r="AN264" s="33"/>
      <c r="AO264" s="32"/>
      <c r="AP264" s="32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372"/>
      <c r="BD264" s="372"/>
      <c r="BE264" s="372"/>
      <c r="BF264" s="372"/>
      <c r="BG264" s="372"/>
      <c r="BH264" s="372"/>
      <c r="BI264" s="372"/>
      <c r="BJ264" s="372"/>
      <c r="BK264" s="372"/>
      <c r="BL264" s="372"/>
      <c r="BM264" s="372"/>
      <c r="BN264" s="372"/>
      <c r="BO264" s="372"/>
      <c r="BP264" s="372"/>
      <c r="BQ264" s="372"/>
      <c r="BR264" s="372"/>
      <c r="BS264" s="372"/>
      <c r="BT264" s="372"/>
      <c r="BU264" s="372"/>
      <c r="BV264" s="372"/>
      <c r="BW264" s="372"/>
      <c r="BX264" s="372"/>
    </row>
    <row r="265" spans="2:76" s="28" customFormat="1">
      <c r="B265" s="136"/>
      <c r="D265" s="464"/>
      <c r="E265" s="29"/>
      <c r="G265" s="338"/>
      <c r="H265" s="339"/>
      <c r="I265" s="339"/>
      <c r="J265" s="339"/>
      <c r="K265" s="339"/>
      <c r="L265" s="339"/>
      <c r="O265" s="377"/>
      <c r="AI265" s="31"/>
      <c r="AJ265" s="31"/>
      <c r="AK265" s="32"/>
      <c r="AL265" s="33"/>
      <c r="AM265" s="32"/>
      <c r="AN265" s="33"/>
      <c r="AO265" s="32"/>
      <c r="AP265" s="32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372"/>
      <c r="BD265" s="372"/>
      <c r="BE265" s="372"/>
      <c r="BF265" s="372"/>
      <c r="BG265" s="372"/>
      <c r="BH265" s="372"/>
      <c r="BI265" s="372"/>
      <c r="BJ265" s="372"/>
      <c r="BK265" s="372"/>
      <c r="BL265" s="372"/>
      <c r="BM265" s="372"/>
      <c r="BN265" s="372"/>
      <c r="BO265" s="372"/>
      <c r="BP265" s="372"/>
      <c r="BQ265" s="372"/>
      <c r="BR265" s="372"/>
      <c r="BS265" s="372"/>
      <c r="BT265" s="372"/>
      <c r="BU265" s="372"/>
      <c r="BV265" s="372"/>
      <c r="BW265" s="372"/>
      <c r="BX265" s="372"/>
    </row>
    <row r="266" spans="2:76" s="28" customFormat="1">
      <c r="B266" s="136"/>
      <c r="D266" s="464"/>
      <c r="E266" s="29"/>
      <c r="G266" s="338"/>
      <c r="H266" s="339"/>
      <c r="I266" s="339"/>
      <c r="J266" s="339"/>
      <c r="K266" s="339"/>
      <c r="L266" s="339"/>
      <c r="O266" s="377"/>
      <c r="AI266" s="31"/>
      <c r="AJ266" s="31"/>
      <c r="AK266" s="32"/>
      <c r="AL266" s="33"/>
      <c r="AM266" s="32"/>
      <c r="AN266" s="33"/>
      <c r="AO266" s="32"/>
      <c r="AP266" s="32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372"/>
      <c r="BD266" s="372"/>
      <c r="BE266" s="372"/>
      <c r="BF266" s="372"/>
      <c r="BG266" s="372"/>
      <c r="BH266" s="372"/>
      <c r="BI266" s="372"/>
      <c r="BJ266" s="372"/>
      <c r="BK266" s="372"/>
      <c r="BL266" s="372"/>
      <c r="BM266" s="372"/>
      <c r="BN266" s="372"/>
      <c r="BO266" s="372"/>
      <c r="BP266" s="372"/>
      <c r="BQ266" s="372"/>
      <c r="BR266" s="372"/>
      <c r="BS266" s="372"/>
      <c r="BT266" s="372"/>
      <c r="BU266" s="372"/>
      <c r="BV266" s="372"/>
      <c r="BW266" s="372"/>
      <c r="BX266" s="372"/>
    </row>
    <row r="267" spans="2:76" s="28" customFormat="1">
      <c r="B267" s="136"/>
      <c r="D267" s="464"/>
      <c r="E267" s="29"/>
      <c r="G267" s="338"/>
      <c r="H267" s="339"/>
      <c r="I267" s="339"/>
      <c r="J267" s="339"/>
      <c r="K267" s="339"/>
      <c r="L267" s="339"/>
      <c r="O267" s="380"/>
      <c r="AI267" s="31"/>
      <c r="AJ267" s="31"/>
      <c r="AK267" s="32"/>
      <c r="AL267" s="33"/>
      <c r="AM267" s="32"/>
      <c r="AN267" s="33"/>
      <c r="AO267" s="32"/>
      <c r="AP267" s="32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372"/>
      <c r="BD267" s="372"/>
      <c r="BE267" s="372"/>
      <c r="BF267" s="372"/>
      <c r="BG267" s="372"/>
      <c r="BH267" s="372"/>
      <c r="BI267" s="372"/>
      <c r="BJ267" s="372"/>
      <c r="BK267" s="372"/>
      <c r="BL267" s="372"/>
      <c r="BM267" s="372"/>
      <c r="BN267" s="372"/>
      <c r="BO267" s="372"/>
      <c r="BP267" s="372"/>
      <c r="BQ267" s="372"/>
      <c r="BR267" s="372"/>
      <c r="BS267" s="372"/>
      <c r="BT267" s="372"/>
      <c r="BU267" s="372"/>
      <c r="BV267" s="372"/>
      <c r="BW267" s="372"/>
      <c r="BX267" s="372"/>
    </row>
    <row r="268" spans="2:76" s="28" customFormat="1">
      <c r="B268" s="136"/>
      <c r="D268" s="464"/>
      <c r="E268" s="29"/>
      <c r="G268" s="338"/>
      <c r="H268" s="339"/>
      <c r="I268" s="339"/>
      <c r="J268" s="339"/>
      <c r="K268" s="339"/>
      <c r="L268" s="339"/>
      <c r="O268" s="383"/>
      <c r="AI268" s="31"/>
      <c r="AJ268" s="31"/>
      <c r="AK268" s="32"/>
      <c r="AL268" s="33"/>
      <c r="AM268" s="32"/>
      <c r="AN268" s="33"/>
      <c r="AO268" s="32"/>
      <c r="AP268" s="32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372"/>
      <c r="BD268" s="372"/>
      <c r="BE268" s="372"/>
      <c r="BF268" s="372"/>
      <c r="BG268" s="372"/>
      <c r="BH268" s="372"/>
      <c r="BI268" s="372"/>
      <c r="BJ268" s="372"/>
      <c r="BK268" s="372"/>
      <c r="BL268" s="372"/>
      <c r="BM268" s="372"/>
      <c r="BN268" s="372"/>
      <c r="BO268" s="372"/>
      <c r="BP268" s="372"/>
      <c r="BQ268" s="372"/>
      <c r="BR268" s="372"/>
      <c r="BS268" s="372"/>
      <c r="BT268" s="372"/>
      <c r="BU268" s="372"/>
      <c r="BV268" s="372"/>
      <c r="BW268" s="372"/>
      <c r="BX268" s="372"/>
    </row>
    <row r="269" spans="2:76" s="28" customFormat="1">
      <c r="B269" s="136"/>
      <c r="D269" s="464"/>
      <c r="E269" s="29"/>
      <c r="G269" s="338"/>
      <c r="H269" s="339"/>
      <c r="I269" s="339"/>
      <c r="J269" s="339"/>
      <c r="K269" s="339"/>
      <c r="L269" s="339"/>
      <c r="O269" s="381"/>
      <c r="AI269" s="31"/>
      <c r="AJ269" s="31"/>
      <c r="AK269" s="32"/>
      <c r="AL269" s="33"/>
      <c r="AM269" s="32"/>
      <c r="AN269" s="33"/>
      <c r="AO269" s="32"/>
      <c r="AP269" s="32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372"/>
      <c r="BD269" s="372"/>
      <c r="BE269" s="372"/>
      <c r="BF269" s="372"/>
      <c r="BG269" s="372"/>
      <c r="BH269" s="372"/>
      <c r="BI269" s="372"/>
      <c r="BJ269" s="372"/>
      <c r="BK269" s="372"/>
      <c r="BL269" s="372"/>
      <c r="BM269" s="372"/>
      <c r="BN269" s="372"/>
      <c r="BO269" s="372"/>
      <c r="BP269" s="372"/>
      <c r="BQ269" s="372"/>
      <c r="BR269" s="372"/>
      <c r="BS269" s="372"/>
      <c r="BT269" s="372"/>
      <c r="BU269" s="372"/>
      <c r="BV269" s="372"/>
      <c r="BW269" s="372"/>
      <c r="BX269" s="372"/>
    </row>
    <row r="270" spans="2:76" s="28" customFormat="1">
      <c r="B270" s="136"/>
      <c r="D270" s="464"/>
      <c r="E270" s="29"/>
      <c r="G270" s="338"/>
      <c r="H270" s="339"/>
      <c r="I270" s="339"/>
      <c r="J270" s="339"/>
      <c r="K270" s="339"/>
      <c r="L270" s="339"/>
      <c r="O270" s="376"/>
      <c r="AI270" s="31"/>
      <c r="AJ270" s="31"/>
      <c r="AK270" s="32"/>
      <c r="AL270" s="33"/>
      <c r="AM270" s="32"/>
      <c r="AN270" s="33"/>
      <c r="AO270" s="32"/>
      <c r="AP270" s="32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372"/>
      <c r="BD270" s="372"/>
      <c r="BE270" s="372"/>
      <c r="BF270" s="372"/>
      <c r="BG270" s="372"/>
      <c r="BH270" s="372"/>
      <c r="BI270" s="372"/>
      <c r="BJ270" s="372"/>
      <c r="BK270" s="372"/>
      <c r="BL270" s="372"/>
      <c r="BM270" s="372"/>
      <c r="BN270" s="372"/>
      <c r="BO270" s="372"/>
      <c r="BP270" s="372"/>
      <c r="BQ270" s="372"/>
      <c r="BR270" s="372"/>
      <c r="BS270" s="372"/>
      <c r="BT270" s="372"/>
      <c r="BU270" s="372"/>
      <c r="BV270" s="372"/>
      <c r="BW270" s="372"/>
      <c r="BX270" s="372"/>
    </row>
    <row r="271" spans="2:76" s="28" customFormat="1">
      <c r="B271" s="136"/>
      <c r="D271" s="464"/>
      <c r="E271" s="29"/>
      <c r="G271" s="338"/>
      <c r="H271" s="339"/>
      <c r="I271" s="339"/>
      <c r="J271" s="339"/>
      <c r="K271" s="339"/>
      <c r="L271" s="339"/>
      <c r="O271" s="379"/>
      <c r="AI271" s="31"/>
      <c r="AJ271" s="31"/>
      <c r="AK271" s="32"/>
      <c r="AL271" s="33"/>
      <c r="AM271" s="32"/>
      <c r="AN271" s="33"/>
      <c r="AO271" s="32"/>
      <c r="AP271" s="32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372"/>
      <c r="BD271" s="372"/>
      <c r="BE271" s="372"/>
      <c r="BF271" s="372"/>
      <c r="BG271" s="372"/>
      <c r="BH271" s="372"/>
      <c r="BI271" s="372"/>
      <c r="BJ271" s="372"/>
      <c r="BK271" s="372"/>
      <c r="BL271" s="372"/>
      <c r="BM271" s="372"/>
      <c r="BN271" s="372"/>
      <c r="BO271" s="372"/>
      <c r="BP271" s="372"/>
      <c r="BQ271" s="372"/>
      <c r="BR271" s="372"/>
      <c r="BS271" s="372"/>
      <c r="BT271" s="372"/>
      <c r="BU271" s="372"/>
      <c r="BV271" s="372"/>
      <c r="BW271" s="372"/>
      <c r="BX271" s="372"/>
    </row>
    <row r="272" spans="2:76" s="28" customFormat="1">
      <c r="B272" s="136"/>
      <c r="D272" s="464"/>
      <c r="E272" s="29"/>
      <c r="G272" s="338"/>
      <c r="H272" s="339"/>
      <c r="I272" s="339"/>
      <c r="J272" s="339"/>
      <c r="K272" s="339"/>
      <c r="L272" s="339"/>
      <c r="O272" s="377"/>
      <c r="AI272" s="31"/>
      <c r="AJ272" s="31"/>
      <c r="AK272" s="32"/>
      <c r="AL272" s="33"/>
      <c r="AM272" s="32"/>
      <c r="AN272" s="33"/>
      <c r="AO272" s="32"/>
      <c r="AP272" s="32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372"/>
      <c r="BD272" s="372"/>
      <c r="BE272" s="372"/>
      <c r="BF272" s="372"/>
      <c r="BG272" s="372"/>
      <c r="BH272" s="372"/>
      <c r="BI272" s="372"/>
      <c r="BJ272" s="372"/>
      <c r="BK272" s="372"/>
      <c r="BL272" s="372"/>
      <c r="BM272" s="372"/>
      <c r="BN272" s="372"/>
      <c r="BO272" s="372"/>
      <c r="BP272" s="372"/>
      <c r="BQ272" s="372"/>
      <c r="BR272" s="372"/>
      <c r="BS272" s="372"/>
      <c r="BT272" s="372"/>
      <c r="BU272" s="372"/>
      <c r="BV272" s="372"/>
      <c r="BW272" s="372"/>
      <c r="BX272" s="372"/>
    </row>
    <row r="273" spans="2:76" s="28" customFormat="1">
      <c r="B273" s="136"/>
      <c r="D273" s="464"/>
      <c r="E273" s="29"/>
      <c r="G273" s="338"/>
      <c r="H273" s="339"/>
      <c r="I273" s="339"/>
      <c r="J273" s="339"/>
      <c r="K273" s="339"/>
      <c r="L273" s="339"/>
      <c r="O273" s="386"/>
      <c r="AI273" s="31"/>
      <c r="AJ273" s="31"/>
      <c r="AK273" s="32"/>
      <c r="AL273" s="33"/>
      <c r="AM273" s="32"/>
      <c r="AN273" s="33"/>
      <c r="AO273" s="32"/>
      <c r="AP273" s="32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372"/>
      <c r="BD273" s="372"/>
      <c r="BE273" s="372"/>
      <c r="BF273" s="372"/>
      <c r="BG273" s="372"/>
      <c r="BH273" s="372"/>
      <c r="BI273" s="372"/>
      <c r="BJ273" s="372"/>
      <c r="BK273" s="372"/>
      <c r="BL273" s="372"/>
      <c r="BM273" s="372"/>
      <c r="BN273" s="372"/>
      <c r="BO273" s="372"/>
      <c r="BP273" s="372"/>
      <c r="BQ273" s="372"/>
      <c r="BR273" s="372"/>
      <c r="BS273" s="372"/>
      <c r="BT273" s="372"/>
      <c r="BU273" s="372"/>
      <c r="BV273" s="372"/>
      <c r="BW273" s="372"/>
      <c r="BX273" s="372"/>
    </row>
    <row r="274" spans="2:76" s="28" customFormat="1">
      <c r="B274" s="136"/>
      <c r="D274" s="464"/>
      <c r="E274" s="29"/>
      <c r="G274" s="338"/>
      <c r="H274" s="339"/>
      <c r="I274" s="339"/>
      <c r="J274" s="339"/>
      <c r="K274" s="339"/>
      <c r="L274" s="339"/>
      <c r="O274" s="376"/>
      <c r="AI274" s="31"/>
      <c r="AJ274" s="31"/>
      <c r="AK274" s="32"/>
      <c r="AL274" s="33"/>
      <c r="AM274" s="32"/>
      <c r="AN274" s="33"/>
      <c r="AO274" s="32"/>
      <c r="AP274" s="32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372"/>
      <c r="BD274" s="372"/>
      <c r="BE274" s="372"/>
      <c r="BF274" s="372"/>
      <c r="BG274" s="372"/>
      <c r="BH274" s="372"/>
      <c r="BI274" s="372"/>
      <c r="BJ274" s="372"/>
      <c r="BK274" s="372"/>
      <c r="BL274" s="372"/>
      <c r="BM274" s="372"/>
      <c r="BN274" s="372"/>
      <c r="BO274" s="372"/>
      <c r="BP274" s="372"/>
      <c r="BQ274" s="372"/>
      <c r="BR274" s="372"/>
      <c r="BS274" s="372"/>
      <c r="BT274" s="372"/>
      <c r="BU274" s="372"/>
      <c r="BV274" s="372"/>
      <c r="BW274" s="372"/>
      <c r="BX274" s="372"/>
    </row>
    <row r="275" spans="2:76" s="28" customFormat="1">
      <c r="B275" s="136"/>
      <c r="D275" s="464"/>
      <c r="E275" s="29"/>
      <c r="G275" s="338"/>
      <c r="H275" s="339"/>
      <c r="I275" s="339"/>
      <c r="J275" s="339"/>
      <c r="K275" s="339"/>
      <c r="L275" s="339"/>
      <c r="O275" s="387"/>
      <c r="AI275" s="31"/>
      <c r="AJ275" s="31"/>
      <c r="AK275" s="32"/>
      <c r="AL275" s="33"/>
      <c r="AM275" s="32"/>
      <c r="AN275" s="33"/>
      <c r="AO275" s="32"/>
      <c r="AP275" s="32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372"/>
      <c r="BD275" s="372"/>
      <c r="BE275" s="372"/>
      <c r="BF275" s="372"/>
      <c r="BG275" s="372"/>
      <c r="BH275" s="372"/>
      <c r="BI275" s="372"/>
      <c r="BJ275" s="372"/>
      <c r="BK275" s="372"/>
      <c r="BL275" s="372"/>
      <c r="BM275" s="372"/>
      <c r="BN275" s="372"/>
      <c r="BO275" s="372"/>
      <c r="BP275" s="372"/>
      <c r="BQ275" s="372"/>
      <c r="BR275" s="372"/>
      <c r="BS275" s="372"/>
      <c r="BT275" s="372"/>
      <c r="BU275" s="372"/>
      <c r="BV275" s="372"/>
      <c r="BW275" s="372"/>
      <c r="BX275" s="372"/>
    </row>
    <row r="276" spans="2:76" s="28" customFormat="1">
      <c r="B276" s="136"/>
      <c r="D276" s="464"/>
      <c r="E276" s="29"/>
      <c r="G276" s="338"/>
      <c r="H276" s="339"/>
      <c r="I276" s="339"/>
      <c r="J276" s="339"/>
      <c r="K276" s="339"/>
      <c r="L276" s="339"/>
      <c r="O276" s="379"/>
      <c r="AI276" s="31"/>
      <c r="AJ276" s="31"/>
      <c r="AK276" s="32"/>
      <c r="AL276" s="33"/>
      <c r="AM276" s="32"/>
      <c r="AN276" s="33"/>
      <c r="AO276" s="32"/>
      <c r="AP276" s="32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372"/>
      <c r="BD276" s="372"/>
      <c r="BE276" s="372"/>
      <c r="BF276" s="372"/>
      <c r="BG276" s="372"/>
      <c r="BH276" s="372"/>
      <c r="BI276" s="372"/>
      <c r="BJ276" s="372"/>
      <c r="BK276" s="372"/>
      <c r="BL276" s="372"/>
      <c r="BM276" s="372"/>
      <c r="BN276" s="372"/>
      <c r="BO276" s="372"/>
      <c r="BP276" s="372"/>
      <c r="BQ276" s="372"/>
      <c r="BR276" s="372"/>
      <c r="BS276" s="372"/>
      <c r="BT276" s="372"/>
      <c r="BU276" s="372"/>
      <c r="BV276" s="372"/>
      <c r="BW276" s="372"/>
      <c r="BX276" s="372"/>
    </row>
    <row r="277" spans="2:76" s="28" customFormat="1">
      <c r="B277" s="136"/>
      <c r="D277" s="464"/>
      <c r="E277" s="29"/>
      <c r="G277" s="338"/>
      <c r="H277" s="339"/>
      <c r="I277" s="339"/>
      <c r="J277" s="339"/>
      <c r="K277" s="339"/>
      <c r="L277" s="339"/>
      <c r="O277" s="376"/>
      <c r="AI277" s="31"/>
      <c r="AJ277" s="31"/>
      <c r="AK277" s="32"/>
      <c r="AL277" s="33"/>
      <c r="AM277" s="32"/>
      <c r="AN277" s="33"/>
      <c r="AO277" s="32"/>
      <c r="AP277" s="32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372"/>
      <c r="BD277" s="372"/>
      <c r="BE277" s="372"/>
      <c r="BF277" s="372"/>
      <c r="BG277" s="372"/>
      <c r="BH277" s="372"/>
      <c r="BI277" s="372"/>
      <c r="BJ277" s="372"/>
      <c r="BK277" s="372"/>
      <c r="BL277" s="372"/>
      <c r="BM277" s="372"/>
      <c r="BN277" s="372"/>
      <c r="BO277" s="372"/>
      <c r="BP277" s="372"/>
      <c r="BQ277" s="372"/>
      <c r="BR277" s="372"/>
      <c r="BS277" s="372"/>
      <c r="BT277" s="372"/>
      <c r="BU277" s="372"/>
      <c r="BV277" s="372"/>
      <c r="BW277" s="372"/>
      <c r="BX277" s="372"/>
    </row>
    <row r="278" spans="2:76" s="28" customFormat="1">
      <c r="B278" s="136"/>
      <c r="D278" s="464"/>
      <c r="E278" s="29"/>
      <c r="G278" s="338"/>
      <c r="H278" s="339"/>
      <c r="I278" s="339"/>
      <c r="J278" s="339"/>
      <c r="K278" s="339"/>
      <c r="L278" s="339"/>
      <c r="O278" s="377"/>
      <c r="AI278" s="31"/>
      <c r="AJ278" s="31"/>
      <c r="AK278" s="32"/>
      <c r="AL278" s="33"/>
      <c r="AM278" s="32"/>
      <c r="AN278" s="33"/>
      <c r="AO278" s="32"/>
      <c r="AP278" s="32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372"/>
      <c r="BD278" s="372"/>
      <c r="BE278" s="372"/>
      <c r="BF278" s="372"/>
      <c r="BG278" s="372"/>
      <c r="BH278" s="372"/>
      <c r="BI278" s="372"/>
      <c r="BJ278" s="372"/>
      <c r="BK278" s="372"/>
      <c r="BL278" s="372"/>
      <c r="BM278" s="372"/>
      <c r="BN278" s="372"/>
      <c r="BO278" s="372"/>
      <c r="BP278" s="372"/>
      <c r="BQ278" s="372"/>
      <c r="BR278" s="372"/>
      <c r="BS278" s="372"/>
      <c r="BT278" s="372"/>
      <c r="BU278" s="372"/>
      <c r="BV278" s="372"/>
      <c r="BW278" s="372"/>
      <c r="BX278" s="372"/>
    </row>
    <row r="279" spans="2:76" s="28" customFormat="1">
      <c r="B279" s="136"/>
      <c r="D279" s="464"/>
      <c r="E279" s="29"/>
      <c r="G279" s="338"/>
      <c r="H279" s="339"/>
      <c r="I279" s="339"/>
      <c r="J279" s="339"/>
      <c r="K279" s="339"/>
      <c r="L279" s="339"/>
      <c r="O279" s="377"/>
      <c r="AI279" s="31"/>
      <c r="AJ279" s="31"/>
      <c r="AK279" s="32"/>
      <c r="AL279" s="33"/>
      <c r="AM279" s="32"/>
      <c r="AN279" s="33"/>
      <c r="AO279" s="32"/>
      <c r="AP279" s="32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372"/>
      <c r="BD279" s="372"/>
      <c r="BE279" s="372"/>
      <c r="BF279" s="372"/>
      <c r="BG279" s="372"/>
      <c r="BH279" s="372"/>
      <c r="BI279" s="372"/>
      <c r="BJ279" s="372"/>
      <c r="BK279" s="372"/>
      <c r="BL279" s="372"/>
      <c r="BM279" s="372"/>
      <c r="BN279" s="372"/>
      <c r="BO279" s="372"/>
      <c r="BP279" s="372"/>
      <c r="BQ279" s="372"/>
      <c r="BR279" s="372"/>
      <c r="BS279" s="372"/>
      <c r="BT279" s="372"/>
      <c r="BU279" s="372"/>
      <c r="BV279" s="372"/>
      <c r="BW279" s="372"/>
      <c r="BX279" s="372"/>
    </row>
    <row r="280" spans="2:76" s="28" customFormat="1">
      <c r="B280" s="136"/>
      <c r="D280" s="464"/>
      <c r="E280" s="29"/>
      <c r="G280" s="338"/>
      <c r="H280" s="339"/>
      <c r="I280" s="339"/>
      <c r="J280" s="339"/>
      <c r="K280" s="339"/>
      <c r="L280" s="339"/>
      <c r="O280" s="377"/>
      <c r="AI280" s="31"/>
      <c r="AJ280" s="31"/>
      <c r="AK280" s="32"/>
      <c r="AL280" s="33"/>
      <c r="AM280" s="32"/>
      <c r="AN280" s="33"/>
      <c r="AO280" s="32"/>
      <c r="AP280" s="32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372"/>
      <c r="BD280" s="372"/>
      <c r="BE280" s="372"/>
      <c r="BF280" s="372"/>
      <c r="BG280" s="372"/>
      <c r="BH280" s="372"/>
      <c r="BI280" s="372"/>
      <c r="BJ280" s="372"/>
      <c r="BK280" s="372"/>
      <c r="BL280" s="372"/>
      <c r="BM280" s="372"/>
      <c r="BN280" s="372"/>
      <c r="BO280" s="372"/>
      <c r="BP280" s="372"/>
      <c r="BQ280" s="372"/>
      <c r="BR280" s="372"/>
      <c r="BS280" s="372"/>
      <c r="BT280" s="372"/>
      <c r="BU280" s="372"/>
      <c r="BV280" s="372"/>
      <c r="BW280" s="372"/>
      <c r="BX280" s="372"/>
    </row>
    <row r="281" spans="2:76" s="28" customFormat="1">
      <c r="B281" s="136"/>
      <c r="D281" s="464"/>
      <c r="E281" s="29"/>
      <c r="G281" s="338"/>
      <c r="H281" s="339"/>
      <c r="I281" s="339"/>
      <c r="J281" s="339"/>
      <c r="K281" s="339"/>
      <c r="L281" s="339"/>
      <c r="O281" s="377"/>
      <c r="AI281" s="31"/>
      <c r="AJ281" s="31"/>
      <c r="AK281" s="32"/>
      <c r="AL281" s="33"/>
      <c r="AM281" s="32"/>
      <c r="AN281" s="33"/>
      <c r="AO281" s="32"/>
      <c r="AP281" s="32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372"/>
      <c r="BD281" s="372"/>
      <c r="BE281" s="372"/>
      <c r="BF281" s="372"/>
      <c r="BG281" s="372"/>
      <c r="BH281" s="372"/>
      <c r="BI281" s="372"/>
      <c r="BJ281" s="372"/>
      <c r="BK281" s="372"/>
      <c r="BL281" s="372"/>
      <c r="BM281" s="372"/>
      <c r="BN281" s="372"/>
      <c r="BO281" s="372"/>
      <c r="BP281" s="372"/>
      <c r="BQ281" s="372"/>
      <c r="BR281" s="372"/>
      <c r="BS281" s="372"/>
      <c r="BT281" s="372"/>
      <c r="BU281" s="372"/>
      <c r="BV281" s="372"/>
      <c r="BW281" s="372"/>
      <c r="BX281" s="372"/>
    </row>
    <row r="282" spans="2:76" s="28" customFormat="1">
      <c r="B282" s="136"/>
      <c r="D282" s="464"/>
      <c r="E282" s="29"/>
      <c r="G282" s="338"/>
      <c r="H282" s="339"/>
      <c r="I282" s="339"/>
      <c r="J282" s="339"/>
      <c r="K282" s="339"/>
      <c r="L282" s="339"/>
      <c r="O282" s="378"/>
      <c r="AI282" s="31"/>
      <c r="AJ282" s="31"/>
      <c r="AK282" s="32"/>
      <c r="AL282" s="33"/>
      <c r="AM282" s="32"/>
      <c r="AN282" s="33"/>
      <c r="AO282" s="32"/>
      <c r="AP282" s="32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372"/>
      <c r="BD282" s="372"/>
      <c r="BE282" s="372"/>
      <c r="BF282" s="372"/>
      <c r="BG282" s="372"/>
      <c r="BH282" s="372"/>
      <c r="BI282" s="372"/>
      <c r="BJ282" s="372"/>
      <c r="BK282" s="372"/>
      <c r="BL282" s="372"/>
      <c r="BM282" s="372"/>
      <c r="BN282" s="372"/>
      <c r="BO282" s="372"/>
      <c r="BP282" s="372"/>
      <c r="BQ282" s="372"/>
      <c r="BR282" s="372"/>
      <c r="BS282" s="372"/>
      <c r="BT282" s="372"/>
      <c r="BU282" s="372"/>
      <c r="BV282" s="372"/>
      <c r="BW282" s="372"/>
      <c r="BX282" s="372"/>
    </row>
    <row r="283" spans="2:76" s="28" customFormat="1">
      <c r="B283" s="136"/>
      <c r="D283" s="464"/>
      <c r="E283" s="29"/>
      <c r="G283" s="338"/>
      <c r="H283" s="339"/>
      <c r="I283" s="339"/>
      <c r="J283" s="339"/>
      <c r="K283" s="339"/>
      <c r="L283" s="339"/>
      <c r="O283" s="380"/>
      <c r="AI283" s="31"/>
      <c r="AJ283" s="31"/>
      <c r="AK283" s="32"/>
      <c r="AL283" s="33"/>
      <c r="AM283" s="32"/>
      <c r="AN283" s="33"/>
      <c r="AO283" s="32"/>
      <c r="AP283" s="32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372"/>
      <c r="BD283" s="372"/>
      <c r="BE283" s="372"/>
      <c r="BF283" s="372"/>
      <c r="BG283" s="372"/>
      <c r="BH283" s="372"/>
      <c r="BI283" s="372"/>
      <c r="BJ283" s="372"/>
      <c r="BK283" s="372"/>
      <c r="BL283" s="372"/>
      <c r="BM283" s="372"/>
      <c r="BN283" s="372"/>
      <c r="BO283" s="372"/>
      <c r="BP283" s="372"/>
      <c r="BQ283" s="372"/>
      <c r="BR283" s="372"/>
      <c r="BS283" s="372"/>
      <c r="BT283" s="372"/>
      <c r="BU283" s="372"/>
      <c r="BV283" s="372"/>
      <c r="BW283" s="372"/>
      <c r="BX283" s="372"/>
    </row>
    <row r="284" spans="2:76" s="28" customFormat="1">
      <c r="B284" s="136"/>
      <c r="D284" s="464"/>
      <c r="E284" s="29"/>
      <c r="G284" s="338"/>
      <c r="H284" s="339"/>
      <c r="I284" s="339"/>
      <c r="J284" s="339"/>
      <c r="K284" s="339"/>
      <c r="L284" s="339"/>
      <c r="O284" s="377"/>
      <c r="AI284" s="31"/>
      <c r="AJ284" s="31"/>
      <c r="AK284" s="32"/>
      <c r="AL284" s="33"/>
      <c r="AM284" s="32"/>
      <c r="AN284" s="33"/>
      <c r="AO284" s="32"/>
      <c r="AP284" s="32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372"/>
      <c r="BD284" s="372"/>
      <c r="BE284" s="372"/>
      <c r="BF284" s="372"/>
      <c r="BG284" s="372"/>
      <c r="BH284" s="372"/>
      <c r="BI284" s="372"/>
      <c r="BJ284" s="372"/>
      <c r="BK284" s="372"/>
      <c r="BL284" s="372"/>
      <c r="BM284" s="372"/>
      <c r="BN284" s="372"/>
      <c r="BO284" s="372"/>
      <c r="BP284" s="372"/>
      <c r="BQ284" s="372"/>
      <c r="BR284" s="372"/>
      <c r="BS284" s="372"/>
      <c r="BT284" s="372"/>
      <c r="BU284" s="372"/>
      <c r="BV284" s="372"/>
      <c r="BW284" s="372"/>
      <c r="BX284" s="372"/>
    </row>
    <row r="285" spans="2:76" s="28" customFormat="1">
      <c r="B285" s="136"/>
      <c r="D285" s="464"/>
      <c r="E285" s="29"/>
      <c r="G285" s="338"/>
      <c r="H285" s="339"/>
      <c r="I285" s="339"/>
      <c r="J285" s="339"/>
      <c r="K285" s="339"/>
      <c r="L285" s="339"/>
      <c r="O285" s="377"/>
      <c r="AI285" s="31"/>
      <c r="AJ285" s="31"/>
      <c r="AK285" s="32"/>
      <c r="AL285" s="33"/>
      <c r="AM285" s="32"/>
      <c r="AN285" s="33"/>
      <c r="AO285" s="32"/>
      <c r="AP285" s="32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372"/>
      <c r="BD285" s="372"/>
      <c r="BE285" s="372"/>
      <c r="BF285" s="372"/>
      <c r="BG285" s="372"/>
      <c r="BH285" s="372"/>
      <c r="BI285" s="372"/>
      <c r="BJ285" s="372"/>
      <c r="BK285" s="372"/>
      <c r="BL285" s="372"/>
      <c r="BM285" s="372"/>
      <c r="BN285" s="372"/>
      <c r="BO285" s="372"/>
      <c r="BP285" s="372"/>
      <c r="BQ285" s="372"/>
      <c r="BR285" s="372"/>
      <c r="BS285" s="372"/>
      <c r="BT285" s="372"/>
      <c r="BU285" s="372"/>
      <c r="BV285" s="372"/>
      <c r="BW285" s="372"/>
      <c r="BX285" s="372"/>
    </row>
    <row r="286" spans="2:76" s="28" customFormat="1">
      <c r="B286" s="136"/>
      <c r="D286" s="464"/>
      <c r="E286" s="29"/>
      <c r="G286" s="338"/>
      <c r="H286" s="339"/>
      <c r="I286" s="339"/>
      <c r="J286" s="339"/>
      <c r="K286" s="339"/>
      <c r="L286" s="339"/>
      <c r="O286" s="381"/>
      <c r="AI286" s="31"/>
      <c r="AJ286" s="31"/>
      <c r="AK286" s="32"/>
      <c r="AL286" s="33"/>
      <c r="AM286" s="32"/>
      <c r="AN286" s="33"/>
      <c r="AO286" s="32"/>
      <c r="AP286" s="32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372"/>
      <c r="BD286" s="372"/>
      <c r="BE286" s="372"/>
      <c r="BF286" s="372"/>
      <c r="BG286" s="372"/>
      <c r="BH286" s="372"/>
      <c r="BI286" s="372"/>
      <c r="BJ286" s="372"/>
      <c r="BK286" s="372"/>
      <c r="BL286" s="372"/>
      <c r="BM286" s="372"/>
      <c r="BN286" s="372"/>
      <c r="BO286" s="372"/>
      <c r="BP286" s="372"/>
      <c r="BQ286" s="372"/>
      <c r="BR286" s="372"/>
      <c r="BS286" s="372"/>
      <c r="BT286" s="372"/>
      <c r="BU286" s="372"/>
      <c r="BV286" s="372"/>
      <c r="BW286" s="372"/>
      <c r="BX286" s="372"/>
    </row>
    <row r="287" spans="2:76" s="28" customFormat="1">
      <c r="B287" s="136"/>
      <c r="D287" s="464"/>
      <c r="E287" s="29"/>
      <c r="G287" s="338"/>
      <c r="H287" s="339"/>
      <c r="I287" s="339"/>
      <c r="J287" s="339"/>
      <c r="K287" s="339"/>
      <c r="L287" s="339"/>
      <c r="O287" s="380"/>
      <c r="AI287" s="31"/>
      <c r="AJ287" s="31"/>
      <c r="AK287" s="32"/>
      <c r="AL287" s="33"/>
      <c r="AM287" s="32"/>
      <c r="AN287" s="33"/>
      <c r="AO287" s="32"/>
      <c r="AP287" s="32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372"/>
      <c r="BD287" s="372"/>
      <c r="BE287" s="372"/>
      <c r="BF287" s="372"/>
      <c r="BG287" s="372"/>
      <c r="BH287" s="372"/>
      <c r="BI287" s="372"/>
      <c r="BJ287" s="372"/>
      <c r="BK287" s="372"/>
      <c r="BL287" s="372"/>
      <c r="BM287" s="372"/>
      <c r="BN287" s="372"/>
      <c r="BO287" s="372"/>
      <c r="BP287" s="372"/>
      <c r="BQ287" s="372"/>
      <c r="BR287" s="372"/>
      <c r="BS287" s="372"/>
      <c r="BT287" s="372"/>
      <c r="BU287" s="372"/>
      <c r="BV287" s="372"/>
      <c r="BW287" s="372"/>
      <c r="BX287" s="372"/>
    </row>
    <row r="288" spans="2:76" s="28" customFormat="1">
      <c r="B288" s="136"/>
      <c r="D288" s="464"/>
      <c r="E288" s="29"/>
      <c r="G288" s="338"/>
      <c r="H288" s="339"/>
      <c r="I288" s="339"/>
      <c r="J288" s="339"/>
      <c r="K288" s="339"/>
      <c r="L288" s="339"/>
      <c r="O288" s="380"/>
      <c r="AI288" s="31"/>
      <c r="AJ288" s="31"/>
      <c r="AK288" s="32"/>
      <c r="AL288" s="33"/>
      <c r="AM288" s="32"/>
      <c r="AN288" s="33"/>
      <c r="AO288" s="32"/>
      <c r="AP288" s="32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372"/>
      <c r="BD288" s="372"/>
      <c r="BE288" s="372"/>
      <c r="BF288" s="372"/>
      <c r="BG288" s="372"/>
      <c r="BH288" s="372"/>
      <c r="BI288" s="372"/>
      <c r="BJ288" s="372"/>
      <c r="BK288" s="372"/>
      <c r="BL288" s="372"/>
      <c r="BM288" s="372"/>
      <c r="BN288" s="372"/>
      <c r="BO288" s="372"/>
      <c r="BP288" s="372"/>
      <c r="BQ288" s="372"/>
      <c r="BR288" s="372"/>
      <c r="BS288" s="372"/>
      <c r="BT288" s="372"/>
      <c r="BU288" s="372"/>
      <c r="BV288" s="372"/>
      <c r="BW288" s="372"/>
      <c r="BX288" s="372"/>
    </row>
    <row r="289" spans="2:76" s="28" customFormat="1">
      <c r="B289" s="136"/>
      <c r="D289" s="464"/>
      <c r="E289" s="29"/>
      <c r="G289" s="338"/>
      <c r="H289" s="339"/>
      <c r="I289" s="339"/>
      <c r="J289" s="339"/>
      <c r="K289" s="339"/>
      <c r="L289" s="339"/>
      <c r="O289" s="377"/>
      <c r="AI289" s="31"/>
      <c r="AJ289" s="31"/>
      <c r="AK289" s="32"/>
      <c r="AL289" s="33"/>
      <c r="AM289" s="32"/>
      <c r="AN289" s="33"/>
      <c r="AO289" s="32"/>
      <c r="AP289" s="32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372"/>
      <c r="BD289" s="372"/>
      <c r="BE289" s="372"/>
      <c r="BF289" s="372"/>
      <c r="BG289" s="372"/>
      <c r="BH289" s="372"/>
      <c r="BI289" s="372"/>
      <c r="BJ289" s="372"/>
      <c r="BK289" s="372"/>
      <c r="BL289" s="372"/>
      <c r="BM289" s="372"/>
      <c r="BN289" s="372"/>
      <c r="BO289" s="372"/>
      <c r="BP289" s="372"/>
      <c r="BQ289" s="372"/>
      <c r="BR289" s="372"/>
      <c r="BS289" s="372"/>
      <c r="BT289" s="372"/>
      <c r="BU289" s="372"/>
      <c r="BV289" s="372"/>
      <c r="BW289" s="372"/>
      <c r="BX289" s="372"/>
    </row>
    <row r="290" spans="2:76" s="28" customFormat="1">
      <c r="B290" s="136"/>
      <c r="D290" s="464"/>
      <c r="E290" s="29"/>
      <c r="G290" s="338"/>
      <c r="H290" s="339"/>
      <c r="I290" s="339"/>
      <c r="J290" s="339"/>
      <c r="K290" s="339"/>
      <c r="L290" s="339"/>
      <c r="O290" s="385"/>
      <c r="AI290" s="31"/>
      <c r="AJ290" s="31"/>
      <c r="AK290" s="32"/>
      <c r="AL290" s="33"/>
      <c r="AM290" s="32"/>
      <c r="AN290" s="33"/>
      <c r="AO290" s="32"/>
      <c r="AP290" s="32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372"/>
      <c r="BD290" s="372"/>
      <c r="BE290" s="372"/>
      <c r="BF290" s="372"/>
      <c r="BG290" s="372"/>
      <c r="BH290" s="372"/>
      <c r="BI290" s="372"/>
      <c r="BJ290" s="372"/>
      <c r="BK290" s="372"/>
      <c r="BL290" s="372"/>
      <c r="BM290" s="372"/>
      <c r="BN290" s="372"/>
      <c r="BO290" s="372"/>
      <c r="BP290" s="372"/>
      <c r="BQ290" s="372"/>
      <c r="BR290" s="372"/>
      <c r="BS290" s="372"/>
      <c r="BT290" s="372"/>
      <c r="BU290" s="372"/>
      <c r="BV290" s="372"/>
      <c r="BW290" s="372"/>
      <c r="BX290" s="372"/>
    </row>
    <row r="291" spans="2:76" s="28" customFormat="1">
      <c r="B291" s="136"/>
      <c r="D291" s="464"/>
      <c r="E291" s="29"/>
      <c r="G291" s="338"/>
      <c r="H291" s="339"/>
      <c r="I291" s="339"/>
      <c r="J291" s="339"/>
      <c r="K291" s="339"/>
      <c r="L291" s="339"/>
      <c r="O291" s="380"/>
      <c r="AI291" s="31"/>
      <c r="AJ291" s="31"/>
      <c r="AK291" s="32"/>
      <c r="AL291" s="33"/>
      <c r="AM291" s="32"/>
      <c r="AN291" s="33"/>
      <c r="AO291" s="32"/>
      <c r="AP291" s="32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372"/>
      <c r="BD291" s="372"/>
      <c r="BE291" s="372"/>
      <c r="BF291" s="372"/>
      <c r="BG291" s="372"/>
      <c r="BH291" s="372"/>
      <c r="BI291" s="372"/>
      <c r="BJ291" s="372"/>
      <c r="BK291" s="372"/>
      <c r="BL291" s="372"/>
      <c r="BM291" s="372"/>
      <c r="BN291" s="372"/>
      <c r="BO291" s="372"/>
      <c r="BP291" s="372"/>
      <c r="BQ291" s="372"/>
      <c r="BR291" s="372"/>
      <c r="BS291" s="372"/>
      <c r="BT291" s="372"/>
      <c r="BU291" s="372"/>
      <c r="BV291" s="372"/>
      <c r="BW291" s="372"/>
      <c r="BX291" s="372"/>
    </row>
    <row r="292" spans="2:76" s="28" customFormat="1">
      <c r="B292" s="136"/>
      <c r="D292" s="464"/>
      <c r="E292" s="29"/>
      <c r="G292" s="338"/>
      <c r="H292" s="339"/>
      <c r="I292" s="339"/>
      <c r="J292" s="339"/>
      <c r="K292" s="339"/>
      <c r="L292" s="339"/>
      <c r="O292" s="377"/>
      <c r="AI292" s="31"/>
      <c r="AJ292" s="31"/>
      <c r="AK292" s="32"/>
      <c r="AL292" s="33"/>
      <c r="AM292" s="32"/>
      <c r="AN292" s="33"/>
      <c r="AO292" s="32"/>
      <c r="AP292" s="32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372"/>
      <c r="BD292" s="372"/>
      <c r="BE292" s="372"/>
      <c r="BF292" s="372"/>
      <c r="BG292" s="372"/>
      <c r="BH292" s="372"/>
      <c r="BI292" s="372"/>
      <c r="BJ292" s="372"/>
      <c r="BK292" s="372"/>
      <c r="BL292" s="372"/>
      <c r="BM292" s="372"/>
      <c r="BN292" s="372"/>
      <c r="BO292" s="372"/>
      <c r="BP292" s="372"/>
      <c r="BQ292" s="372"/>
      <c r="BR292" s="372"/>
      <c r="BS292" s="372"/>
      <c r="BT292" s="372"/>
      <c r="BU292" s="372"/>
      <c r="BV292" s="372"/>
      <c r="BW292" s="372"/>
      <c r="BX292" s="372"/>
    </row>
    <row r="293" spans="2:76" s="28" customFormat="1">
      <c r="B293" s="136"/>
      <c r="D293" s="464"/>
      <c r="E293" s="29"/>
      <c r="G293" s="338"/>
      <c r="H293" s="339"/>
      <c r="I293" s="339"/>
      <c r="J293" s="339"/>
      <c r="K293" s="339"/>
      <c r="L293" s="339"/>
      <c r="O293" s="378"/>
      <c r="AI293" s="31"/>
      <c r="AJ293" s="31"/>
      <c r="AK293" s="32"/>
      <c r="AL293" s="33"/>
      <c r="AM293" s="32"/>
      <c r="AN293" s="33"/>
      <c r="AO293" s="32"/>
      <c r="AP293" s="32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372"/>
      <c r="BD293" s="372"/>
      <c r="BE293" s="372"/>
      <c r="BF293" s="372"/>
      <c r="BG293" s="372"/>
      <c r="BH293" s="372"/>
      <c r="BI293" s="372"/>
      <c r="BJ293" s="372"/>
      <c r="BK293" s="372"/>
      <c r="BL293" s="372"/>
      <c r="BM293" s="372"/>
      <c r="BN293" s="372"/>
      <c r="BO293" s="372"/>
      <c r="BP293" s="372"/>
      <c r="BQ293" s="372"/>
      <c r="BR293" s="372"/>
      <c r="BS293" s="372"/>
      <c r="BT293" s="372"/>
      <c r="BU293" s="372"/>
      <c r="BV293" s="372"/>
      <c r="BW293" s="372"/>
      <c r="BX293" s="372"/>
    </row>
    <row r="294" spans="2:76" s="28" customFormat="1">
      <c r="B294" s="136"/>
      <c r="D294" s="464"/>
      <c r="E294" s="29"/>
      <c r="G294" s="338"/>
      <c r="H294" s="339"/>
      <c r="I294" s="339"/>
      <c r="J294" s="339"/>
      <c r="K294" s="339"/>
      <c r="L294" s="339"/>
      <c r="O294" s="380"/>
      <c r="AI294" s="31"/>
      <c r="AJ294" s="31"/>
      <c r="AK294" s="32"/>
      <c r="AL294" s="33"/>
      <c r="AM294" s="32"/>
      <c r="AN294" s="33"/>
      <c r="AO294" s="32"/>
      <c r="AP294" s="32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372"/>
      <c r="BD294" s="372"/>
      <c r="BE294" s="372"/>
      <c r="BF294" s="372"/>
      <c r="BG294" s="372"/>
      <c r="BH294" s="372"/>
      <c r="BI294" s="372"/>
      <c r="BJ294" s="372"/>
      <c r="BK294" s="372"/>
      <c r="BL294" s="372"/>
      <c r="BM294" s="372"/>
      <c r="BN294" s="372"/>
      <c r="BO294" s="372"/>
      <c r="BP294" s="372"/>
      <c r="BQ294" s="372"/>
      <c r="BR294" s="372"/>
      <c r="BS294" s="372"/>
      <c r="BT294" s="372"/>
      <c r="BU294" s="372"/>
      <c r="BV294" s="372"/>
      <c r="BW294" s="372"/>
      <c r="BX294" s="372"/>
    </row>
    <row r="295" spans="2:76" s="28" customFormat="1">
      <c r="B295" s="136"/>
      <c r="D295" s="464"/>
      <c r="E295" s="29"/>
      <c r="G295" s="338"/>
      <c r="H295" s="339"/>
      <c r="I295" s="339"/>
      <c r="J295" s="339"/>
      <c r="K295" s="339"/>
      <c r="L295" s="339"/>
      <c r="O295" s="388"/>
      <c r="AI295" s="31"/>
      <c r="AJ295" s="31"/>
      <c r="AK295" s="32"/>
      <c r="AL295" s="33"/>
      <c r="AM295" s="32"/>
      <c r="AN295" s="33"/>
      <c r="AO295" s="32"/>
      <c r="AP295" s="32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372"/>
      <c r="BD295" s="372"/>
      <c r="BE295" s="372"/>
      <c r="BF295" s="372"/>
      <c r="BG295" s="372"/>
      <c r="BH295" s="372"/>
      <c r="BI295" s="372"/>
      <c r="BJ295" s="372"/>
      <c r="BK295" s="372"/>
      <c r="BL295" s="372"/>
      <c r="BM295" s="372"/>
      <c r="BN295" s="372"/>
      <c r="BO295" s="372"/>
      <c r="BP295" s="372"/>
      <c r="BQ295" s="372"/>
      <c r="BR295" s="372"/>
      <c r="BS295" s="372"/>
      <c r="BT295" s="372"/>
      <c r="BU295" s="372"/>
      <c r="BV295" s="372"/>
      <c r="BW295" s="372"/>
      <c r="BX295" s="372"/>
    </row>
    <row r="296" spans="2:76" s="28" customFormat="1">
      <c r="B296" s="136"/>
      <c r="D296" s="464"/>
      <c r="E296" s="29"/>
      <c r="G296" s="338"/>
      <c r="H296" s="339"/>
      <c r="I296" s="339"/>
      <c r="J296" s="339"/>
      <c r="K296" s="339"/>
      <c r="L296" s="339"/>
      <c r="O296" s="380"/>
      <c r="AI296" s="31"/>
      <c r="AJ296" s="31"/>
      <c r="AK296" s="32"/>
      <c r="AL296" s="33"/>
      <c r="AM296" s="32"/>
      <c r="AN296" s="33"/>
      <c r="AO296" s="32"/>
      <c r="AP296" s="32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372"/>
      <c r="BD296" s="372"/>
      <c r="BE296" s="372"/>
      <c r="BF296" s="372"/>
      <c r="BG296" s="372"/>
      <c r="BH296" s="372"/>
      <c r="BI296" s="372"/>
      <c r="BJ296" s="372"/>
      <c r="BK296" s="372"/>
      <c r="BL296" s="372"/>
      <c r="BM296" s="372"/>
      <c r="BN296" s="372"/>
      <c r="BO296" s="372"/>
      <c r="BP296" s="372"/>
      <c r="BQ296" s="372"/>
      <c r="BR296" s="372"/>
      <c r="BS296" s="372"/>
      <c r="BT296" s="372"/>
      <c r="BU296" s="372"/>
      <c r="BV296" s="372"/>
      <c r="BW296" s="372"/>
      <c r="BX296" s="372"/>
    </row>
    <row r="297" spans="2:76" s="28" customFormat="1">
      <c r="B297" s="136"/>
      <c r="D297" s="464"/>
      <c r="E297" s="29"/>
      <c r="G297" s="338"/>
      <c r="H297" s="339"/>
      <c r="I297" s="339"/>
      <c r="J297" s="339"/>
      <c r="K297" s="339"/>
      <c r="L297" s="339"/>
      <c r="O297" s="377"/>
      <c r="AI297" s="31"/>
      <c r="AJ297" s="31"/>
      <c r="AK297" s="32"/>
      <c r="AL297" s="33"/>
      <c r="AM297" s="32"/>
      <c r="AN297" s="33"/>
      <c r="AO297" s="32"/>
      <c r="AP297" s="32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372"/>
      <c r="BD297" s="372"/>
      <c r="BE297" s="372"/>
      <c r="BF297" s="372"/>
      <c r="BG297" s="372"/>
      <c r="BH297" s="372"/>
      <c r="BI297" s="372"/>
      <c r="BJ297" s="372"/>
      <c r="BK297" s="372"/>
      <c r="BL297" s="372"/>
      <c r="BM297" s="372"/>
      <c r="BN297" s="372"/>
      <c r="BO297" s="372"/>
      <c r="BP297" s="372"/>
      <c r="BQ297" s="372"/>
      <c r="BR297" s="372"/>
      <c r="BS297" s="372"/>
      <c r="BT297" s="372"/>
      <c r="BU297" s="372"/>
      <c r="BV297" s="372"/>
      <c r="BW297" s="372"/>
      <c r="BX297" s="372"/>
    </row>
    <row r="298" spans="2:76" s="28" customFormat="1">
      <c r="B298" s="136"/>
      <c r="D298" s="464"/>
      <c r="E298" s="29"/>
      <c r="G298" s="338"/>
      <c r="H298" s="339"/>
      <c r="I298" s="339"/>
      <c r="J298" s="339"/>
      <c r="K298" s="339"/>
      <c r="L298" s="339"/>
      <c r="O298" s="388"/>
      <c r="AI298" s="31"/>
      <c r="AJ298" s="31"/>
      <c r="AK298" s="32"/>
      <c r="AL298" s="33"/>
      <c r="AM298" s="32"/>
      <c r="AN298" s="33"/>
      <c r="AO298" s="32"/>
      <c r="AP298" s="32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372"/>
      <c r="BD298" s="372"/>
      <c r="BE298" s="372"/>
      <c r="BF298" s="372"/>
      <c r="BG298" s="372"/>
      <c r="BH298" s="372"/>
      <c r="BI298" s="372"/>
      <c r="BJ298" s="372"/>
      <c r="BK298" s="372"/>
      <c r="BL298" s="372"/>
      <c r="BM298" s="372"/>
      <c r="BN298" s="372"/>
      <c r="BO298" s="372"/>
      <c r="BP298" s="372"/>
      <c r="BQ298" s="372"/>
      <c r="BR298" s="372"/>
      <c r="BS298" s="372"/>
      <c r="BT298" s="372"/>
      <c r="BU298" s="372"/>
      <c r="BV298" s="372"/>
      <c r="BW298" s="372"/>
      <c r="BX298" s="372"/>
    </row>
    <row r="299" spans="2:76" s="28" customFormat="1">
      <c r="B299" s="136"/>
      <c r="D299" s="464"/>
      <c r="E299" s="29"/>
      <c r="G299" s="338"/>
      <c r="H299" s="339"/>
      <c r="I299" s="339"/>
      <c r="J299" s="339"/>
      <c r="K299" s="339"/>
      <c r="L299" s="339"/>
      <c r="O299" s="377"/>
      <c r="AI299" s="31"/>
      <c r="AJ299" s="31"/>
      <c r="AK299" s="32"/>
      <c r="AL299" s="33"/>
      <c r="AM299" s="32"/>
      <c r="AN299" s="33"/>
      <c r="AO299" s="32"/>
      <c r="AP299" s="32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372"/>
      <c r="BD299" s="372"/>
      <c r="BE299" s="372"/>
      <c r="BF299" s="372"/>
      <c r="BG299" s="372"/>
      <c r="BH299" s="372"/>
      <c r="BI299" s="372"/>
      <c r="BJ299" s="372"/>
      <c r="BK299" s="372"/>
      <c r="BL299" s="372"/>
      <c r="BM299" s="372"/>
      <c r="BN299" s="372"/>
      <c r="BO299" s="372"/>
      <c r="BP299" s="372"/>
      <c r="BQ299" s="372"/>
      <c r="BR299" s="372"/>
      <c r="BS299" s="372"/>
      <c r="BT299" s="372"/>
      <c r="BU299" s="372"/>
      <c r="BV299" s="372"/>
      <c r="BW299" s="372"/>
      <c r="BX299" s="372"/>
    </row>
    <row r="300" spans="2:76" s="28" customFormat="1">
      <c r="B300" s="136"/>
      <c r="D300" s="464"/>
      <c r="E300" s="29"/>
      <c r="G300" s="338"/>
      <c r="H300" s="339"/>
      <c r="I300" s="339"/>
      <c r="J300" s="339"/>
      <c r="K300" s="339"/>
      <c r="L300" s="339"/>
      <c r="O300" s="380"/>
      <c r="AI300" s="31"/>
      <c r="AJ300" s="31"/>
      <c r="AK300" s="32"/>
      <c r="AL300" s="33"/>
      <c r="AM300" s="32"/>
      <c r="AN300" s="33"/>
      <c r="AO300" s="32"/>
      <c r="AP300" s="32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372"/>
      <c r="BD300" s="372"/>
      <c r="BE300" s="372"/>
      <c r="BF300" s="372"/>
      <c r="BG300" s="372"/>
      <c r="BH300" s="372"/>
      <c r="BI300" s="372"/>
      <c r="BJ300" s="372"/>
      <c r="BK300" s="372"/>
      <c r="BL300" s="372"/>
      <c r="BM300" s="372"/>
      <c r="BN300" s="372"/>
      <c r="BO300" s="372"/>
      <c r="BP300" s="372"/>
      <c r="BQ300" s="372"/>
      <c r="BR300" s="372"/>
      <c r="BS300" s="372"/>
      <c r="BT300" s="372"/>
      <c r="BU300" s="372"/>
      <c r="BV300" s="372"/>
      <c r="BW300" s="372"/>
      <c r="BX300" s="372"/>
    </row>
    <row r="301" spans="2:76" s="28" customFormat="1">
      <c r="B301" s="136"/>
      <c r="D301" s="464"/>
      <c r="E301" s="29"/>
      <c r="G301" s="338"/>
      <c r="H301" s="339"/>
      <c r="I301" s="339"/>
      <c r="J301" s="339"/>
      <c r="K301" s="339"/>
      <c r="L301" s="339"/>
      <c r="O301" s="384"/>
      <c r="AI301" s="31"/>
      <c r="AJ301" s="31"/>
      <c r="AK301" s="32"/>
      <c r="AL301" s="33"/>
      <c r="AM301" s="32"/>
      <c r="AN301" s="33"/>
      <c r="AO301" s="32"/>
      <c r="AP301" s="32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372"/>
      <c r="BD301" s="372"/>
      <c r="BE301" s="372"/>
      <c r="BF301" s="372"/>
      <c r="BG301" s="372"/>
      <c r="BH301" s="372"/>
      <c r="BI301" s="372"/>
      <c r="BJ301" s="372"/>
      <c r="BK301" s="372"/>
      <c r="BL301" s="372"/>
      <c r="BM301" s="372"/>
      <c r="BN301" s="372"/>
      <c r="BO301" s="372"/>
      <c r="BP301" s="372"/>
      <c r="BQ301" s="372"/>
      <c r="BR301" s="372"/>
      <c r="BS301" s="372"/>
      <c r="BT301" s="372"/>
      <c r="BU301" s="372"/>
      <c r="BV301" s="372"/>
      <c r="BW301" s="372"/>
      <c r="BX301" s="372"/>
    </row>
    <row r="302" spans="2:76" s="28" customFormat="1">
      <c r="B302" s="136"/>
      <c r="D302" s="464"/>
      <c r="E302" s="29"/>
      <c r="G302" s="338"/>
      <c r="H302" s="339"/>
      <c r="I302" s="339"/>
      <c r="J302" s="339"/>
      <c r="K302" s="339"/>
      <c r="L302" s="339"/>
      <c r="O302" s="380"/>
      <c r="AI302" s="31"/>
      <c r="AJ302" s="31"/>
      <c r="AK302" s="32"/>
      <c r="AL302" s="33"/>
      <c r="AM302" s="32"/>
      <c r="AN302" s="33"/>
      <c r="AO302" s="32"/>
      <c r="AP302" s="32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372"/>
      <c r="BD302" s="372"/>
      <c r="BE302" s="372"/>
      <c r="BF302" s="372"/>
      <c r="BG302" s="372"/>
      <c r="BH302" s="372"/>
      <c r="BI302" s="372"/>
      <c r="BJ302" s="372"/>
      <c r="BK302" s="372"/>
      <c r="BL302" s="372"/>
      <c r="BM302" s="372"/>
      <c r="BN302" s="372"/>
      <c r="BO302" s="372"/>
      <c r="BP302" s="372"/>
      <c r="BQ302" s="372"/>
      <c r="BR302" s="372"/>
      <c r="BS302" s="372"/>
      <c r="BT302" s="372"/>
      <c r="BU302" s="372"/>
      <c r="BV302" s="372"/>
      <c r="BW302" s="372"/>
      <c r="BX302" s="372"/>
    </row>
    <row r="303" spans="2:76" s="28" customFormat="1">
      <c r="B303" s="136"/>
      <c r="D303" s="464"/>
      <c r="E303" s="29"/>
      <c r="G303" s="338"/>
      <c r="H303" s="339"/>
      <c r="I303" s="339"/>
      <c r="J303" s="339"/>
      <c r="K303" s="339"/>
      <c r="L303" s="339"/>
      <c r="O303" s="379"/>
      <c r="AI303" s="31"/>
      <c r="AJ303" s="31"/>
      <c r="AK303" s="32"/>
      <c r="AL303" s="33"/>
      <c r="AM303" s="32"/>
      <c r="AN303" s="33"/>
      <c r="AO303" s="32"/>
      <c r="AP303" s="32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372"/>
      <c r="BD303" s="372"/>
      <c r="BE303" s="372"/>
      <c r="BF303" s="372"/>
      <c r="BG303" s="372"/>
      <c r="BH303" s="372"/>
      <c r="BI303" s="372"/>
      <c r="BJ303" s="372"/>
      <c r="BK303" s="372"/>
      <c r="BL303" s="372"/>
      <c r="BM303" s="372"/>
      <c r="BN303" s="372"/>
      <c r="BO303" s="372"/>
      <c r="BP303" s="372"/>
      <c r="BQ303" s="372"/>
      <c r="BR303" s="372"/>
      <c r="BS303" s="372"/>
      <c r="BT303" s="372"/>
      <c r="BU303" s="372"/>
      <c r="BV303" s="372"/>
      <c r="BW303" s="372"/>
      <c r="BX303" s="372"/>
    </row>
    <row r="304" spans="2:76" s="28" customFormat="1">
      <c r="B304" s="136"/>
      <c r="D304" s="464"/>
      <c r="E304" s="29"/>
      <c r="G304" s="338"/>
      <c r="H304" s="339"/>
      <c r="I304" s="339"/>
      <c r="J304" s="339"/>
      <c r="K304" s="339"/>
      <c r="L304" s="339"/>
      <c r="O304" s="377"/>
      <c r="AI304" s="31"/>
      <c r="AJ304" s="31"/>
      <c r="AK304" s="32"/>
      <c r="AL304" s="33"/>
      <c r="AM304" s="32"/>
      <c r="AN304" s="33"/>
      <c r="AO304" s="32"/>
      <c r="AP304" s="32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372"/>
      <c r="BD304" s="372"/>
      <c r="BE304" s="372"/>
      <c r="BF304" s="372"/>
      <c r="BG304" s="372"/>
      <c r="BH304" s="372"/>
      <c r="BI304" s="372"/>
      <c r="BJ304" s="372"/>
      <c r="BK304" s="372"/>
      <c r="BL304" s="372"/>
      <c r="BM304" s="372"/>
      <c r="BN304" s="372"/>
      <c r="BO304" s="372"/>
      <c r="BP304" s="372"/>
      <c r="BQ304" s="372"/>
      <c r="BR304" s="372"/>
      <c r="BS304" s="372"/>
      <c r="BT304" s="372"/>
      <c r="BU304" s="372"/>
      <c r="BV304" s="372"/>
      <c r="BW304" s="372"/>
      <c r="BX304" s="372"/>
    </row>
    <row r="305" spans="2:76" s="28" customFormat="1">
      <c r="B305" s="136"/>
      <c r="D305" s="464"/>
      <c r="E305" s="29"/>
      <c r="G305" s="338"/>
      <c r="H305" s="339"/>
      <c r="I305" s="339"/>
      <c r="J305" s="339"/>
      <c r="K305" s="339"/>
      <c r="L305" s="339"/>
      <c r="O305" s="376"/>
      <c r="AI305" s="31"/>
      <c r="AJ305" s="31"/>
      <c r="AK305" s="32"/>
      <c r="AL305" s="33"/>
      <c r="AM305" s="32"/>
      <c r="AN305" s="33"/>
      <c r="AO305" s="32"/>
      <c r="AP305" s="32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372"/>
      <c r="BD305" s="372"/>
      <c r="BE305" s="372"/>
      <c r="BF305" s="372"/>
      <c r="BG305" s="372"/>
      <c r="BH305" s="372"/>
      <c r="BI305" s="372"/>
      <c r="BJ305" s="372"/>
      <c r="BK305" s="372"/>
      <c r="BL305" s="372"/>
      <c r="BM305" s="372"/>
      <c r="BN305" s="372"/>
      <c r="BO305" s="372"/>
      <c r="BP305" s="372"/>
      <c r="BQ305" s="372"/>
      <c r="BR305" s="372"/>
      <c r="BS305" s="372"/>
      <c r="BT305" s="372"/>
      <c r="BU305" s="372"/>
      <c r="BV305" s="372"/>
      <c r="BW305" s="372"/>
      <c r="BX305" s="372"/>
    </row>
    <row r="306" spans="2:76" s="28" customFormat="1">
      <c r="B306" s="136"/>
      <c r="D306" s="464"/>
      <c r="E306" s="29"/>
      <c r="G306" s="338"/>
      <c r="H306" s="339"/>
      <c r="I306" s="339"/>
      <c r="J306" s="339"/>
      <c r="K306" s="339"/>
      <c r="L306" s="339"/>
      <c r="O306" s="377"/>
      <c r="AI306" s="31"/>
      <c r="AJ306" s="31"/>
      <c r="AK306" s="32"/>
      <c r="AL306" s="33"/>
      <c r="AM306" s="32"/>
      <c r="AN306" s="33"/>
      <c r="AO306" s="32"/>
      <c r="AP306" s="32"/>
      <c r="AQ306" s="136"/>
      <c r="AR306" s="136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372"/>
      <c r="BD306" s="372"/>
      <c r="BE306" s="372"/>
      <c r="BF306" s="372"/>
      <c r="BG306" s="372"/>
      <c r="BH306" s="372"/>
      <c r="BI306" s="372"/>
      <c r="BJ306" s="372"/>
      <c r="BK306" s="372"/>
      <c r="BL306" s="372"/>
      <c r="BM306" s="372"/>
      <c r="BN306" s="372"/>
      <c r="BO306" s="372"/>
      <c r="BP306" s="372"/>
      <c r="BQ306" s="372"/>
      <c r="BR306" s="372"/>
      <c r="BS306" s="372"/>
      <c r="BT306" s="372"/>
      <c r="BU306" s="372"/>
      <c r="BV306" s="372"/>
      <c r="BW306" s="372"/>
      <c r="BX306" s="372"/>
    </row>
    <row r="307" spans="2:76" s="28" customFormat="1">
      <c r="B307" s="136"/>
      <c r="D307" s="464"/>
      <c r="E307" s="29"/>
      <c r="G307" s="338"/>
      <c r="H307" s="339"/>
      <c r="I307" s="339"/>
      <c r="J307" s="339"/>
      <c r="K307" s="339"/>
      <c r="L307" s="339"/>
      <c r="O307" s="377"/>
      <c r="AI307" s="31"/>
      <c r="AJ307" s="31"/>
      <c r="AK307" s="32"/>
      <c r="AL307" s="33"/>
      <c r="AM307" s="32"/>
      <c r="AN307" s="33"/>
      <c r="AO307" s="32"/>
      <c r="AP307" s="32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372"/>
      <c r="BD307" s="372"/>
      <c r="BE307" s="372"/>
      <c r="BF307" s="372"/>
      <c r="BG307" s="372"/>
      <c r="BH307" s="372"/>
      <c r="BI307" s="372"/>
      <c r="BJ307" s="372"/>
      <c r="BK307" s="372"/>
      <c r="BL307" s="372"/>
      <c r="BM307" s="372"/>
      <c r="BN307" s="372"/>
      <c r="BO307" s="372"/>
      <c r="BP307" s="372"/>
      <c r="BQ307" s="372"/>
      <c r="BR307" s="372"/>
      <c r="BS307" s="372"/>
      <c r="BT307" s="372"/>
      <c r="BU307" s="372"/>
      <c r="BV307" s="372"/>
      <c r="BW307" s="372"/>
      <c r="BX307" s="372"/>
    </row>
    <row r="308" spans="2:76" s="28" customFormat="1">
      <c r="B308" s="136"/>
      <c r="D308" s="464"/>
      <c r="E308" s="29"/>
      <c r="G308" s="338"/>
      <c r="H308" s="339"/>
      <c r="I308" s="339"/>
      <c r="J308" s="339"/>
      <c r="K308" s="339"/>
      <c r="L308" s="339"/>
      <c r="O308" s="376"/>
      <c r="AI308" s="31"/>
      <c r="AJ308" s="31"/>
      <c r="AK308" s="32"/>
      <c r="AL308" s="33"/>
      <c r="AM308" s="32"/>
      <c r="AN308" s="33"/>
      <c r="AO308" s="32"/>
      <c r="AP308" s="32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372"/>
      <c r="BD308" s="372"/>
      <c r="BE308" s="372"/>
      <c r="BF308" s="372"/>
      <c r="BG308" s="372"/>
      <c r="BH308" s="372"/>
      <c r="BI308" s="372"/>
      <c r="BJ308" s="372"/>
      <c r="BK308" s="372"/>
      <c r="BL308" s="372"/>
      <c r="BM308" s="372"/>
      <c r="BN308" s="372"/>
      <c r="BO308" s="372"/>
      <c r="BP308" s="372"/>
      <c r="BQ308" s="372"/>
      <c r="BR308" s="372"/>
      <c r="BS308" s="372"/>
      <c r="BT308" s="372"/>
      <c r="BU308" s="372"/>
      <c r="BV308" s="372"/>
      <c r="BW308" s="372"/>
      <c r="BX308" s="372"/>
    </row>
    <row r="309" spans="2:76" s="28" customFormat="1">
      <c r="B309" s="136"/>
      <c r="D309" s="464"/>
      <c r="E309" s="29"/>
      <c r="G309" s="338"/>
      <c r="H309" s="339"/>
      <c r="I309" s="339"/>
      <c r="J309" s="339"/>
      <c r="K309" s="339"/>
      <c r="L309" s="339"/>
      <c r="O309" s="381"/>
      <c r="AI309" s="31"/>
      <c r="AJ309" s="31"/>
      <c r="AK309" s="32"/>
      <c r="AL309" s="33"/>
      <c r="AM309" s="32"/>
      <c r="AN309" s="33"/>
      <c r="AO309" s="32"/>
      <c r="AP309" s="32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372"/>
      <c r="BD309" s="372"/>
      <c r="BE309" s="372"/>
      <c r="BF309" s="372"/>
      <c r="BG309" s="372"/>
      <c r="BH309" s="372"/>
      <c r="BI309" s="372"/>
      <c r="BJ309" s="372"/>
      <c r="BK309" s="372"/>
      <c r="BL309" s="372"/>
      <c r="BM309" s="372"/>
      <c r="BN309" s="372"/>
      <c r="BO309" s="372"/>
      <c r="BP309" s="372"/>
      <c r="BQ309" s="372"/>
      <c r="BR309" s="372"/>
      <c r="BS309" s="372"/>
      <c r="BT309" s="372"/>
      <c r="BU309" s="372"/>
      <c r="BV309" s="372"/>
      <c r="BW309" s="372"/>
      <c r="BX309" s="372"/>
    </row>
    <row r="310" spans="2:76" s="28" customFormat="1">
      <c r="B310" s="136"/>
      <c r="D310" s="464"/>
      <c r="E310" s="29"/>
      <c r="G310" s="338"/>
      <c r="H310" s="339"/>
      <c r="I310" s="339"/>
      <c r="J310" s="339"/>
      <c r="K310" s="339"/>
      <c r="L310" s="339"/>
      <c r="O310" s="377"/>
      <c r="AI310" s="31"/>
      <c r="AJ310" s="31"/>
      <c r="AK310" s="32"/>
      <c r="AL310" s="33"/>
      <c r="AM310" s="32"/>
      <c r="AN310" s="33"/>
      <c r="AO310" s="32"/>
      <c r="AP310" s="32"/>
      <c r="AQ310" s="136"/>
      <c r="AR310" s="136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372"/>
      <c r="BD310" s="372"/>
      <c r="BE310" s="372"/>
      <c r="BF310" s="372"/>
      <c r="BG310" s="372"/>
      <c r="BH310" s="372"/>
      <c r="BI310" s="372"/>
      <c r="BJ310" s="372"/>
      <c r="BK310" s="372"/>
      <c r="BL310" s="372"/>
      <c r="BM310" s="372"/>
      <c r="BN310" s="372"/>
      <c r="BO310" s="372"/>
      <c r="BP310" s="372"/>
      <c r="BQ310" s="372"/>
      <c r="BR310" s="372"/>
      <c r="BS310" s="372"/>
      <c r="BT310" s="372"/>
      <c r="BU310" s="372"/>
      <c r="BV310" s="372"/>
      <c r="BW310" s="372"/>
      <c r="BX310" s="372"/>
    </row>
    <row r="311" spans="2:76" s="28" customFormat="1">
      <c r="B311" s="136"/>
      <c r="D311" s="464"/>
      <c r="E311" s="29"/>
      <c r="G311" s="338"/>
      <c r="H311" s="339"/>
      <c r="I311" s="339"/>
      <c r="J311" s="339"/>
      <c r="K311" s="339"/>
      <c r="L311" s="339"/>
      <c r="O311" s="377"/>
      <c r="AI311" s="31"/>
      <c r="AJ311" s="31"/>
      <c r="AK311" s="32"/>
      <c r="AL311" s="33"/>
      <c r="AM311" s="32"/>
      <c r="AN311" s="33"/>
      <c r="AO311" s="32"/>
      <c r="AP311" s="32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372"/>
      <c r="BD311" s="372"/>
      <c r="BE311" s="372"/>
      <c r="BF311" s="372"/>
      <c r="BG311" s="372"/>
      <c r="BH311" s="372"/>
      <c r="BI311" s="372"/>
      <c r="BJ311" s="372"/>
      <c r="BK311" s="372"/>
      <c r="BL311" s="372"/>
      <c r="BM311" s="372"/>
      <c r="BN311" s="372"/>
      <c r="BO311" s="372"/>
      <c r="BP311" s="372"/>
      <c r="BQ311" s="372"/>
      <c r="BR311" s="372"/>
      <c r="BS311" s="372"/>
      <c r="BT311" s="372"/>
      <c r="BU311" s="372"/>
      <c r="BV311" s="372"/>
      <c r="BW311" s="372"/>
      <c r="BX311" s="372"/>
    </row>
    <row r="312" spans="2:76" s="28" customFormat="1">
      <c r="B312" s="136"/>
      <c r="D312" s="464"/>
      <c r="E312" s="29"/>
      <c r="G312" s="338"/>
      <c r="H312" s="339"/>
      <c r="I312" s="339"/>
      <c r="J312" s="339"/>
      <c r="K312" s="339"/>
      <c r="L312" s="339"/>
      <c r="O312" s="377"/>
      <c r="AI312" s="31"/>
      <c r="AJ312" s="31"/>
      <c r="AK312" s="32"/>
      <c r="AL312" s="33"/>
      <c r="AM312" s="32"/>
      <c r="AN312" s="33"/>
      <c r="AO312" s="32"/>
      <c r="AP312" s="32"/>
      <c r="AQ312" s="136"/>
      <c r="AR312" s="136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372"/>
      <c r="BD312" s="372"/>
      <c r="BE312" s="372"/>
      <c r="BF312" s="372"/>
      <c r="BG312" s="372"/>
      <c r="BH312" s="372"/>
      <c r="BI312" s="372"/>
      <c r="BJ312" s="372"/>
      <c r="BK312" s="372"/>
      <c r="BL312" s="372"/>
      <c r="BM312" s="372"/>
      <c r="BN312" s="372"/>
      <c r="BO312" s="372"/>
      <c r="BP312" s="372"/>
      <c r="BQ312" s="372"/>
      <c r="BR312" s="372"/>
      <c r="BS312" s="372"/>
      <c r="BT312" s="372"/>
      <c r="BU312" s="372"/>
      <c r="BV312" s="372"/>
      <c r="BW312" s="372"/>
      <c r="BX312" s="372"/>
    </row>
    <row r="313" spans="2:76" s="28" customFormat="1">
      <c r="B313" s="136"/>
      <c r="D313" s="464"/>
      <c r="E313" s="29"/>
      <c r="G313" s="338"/>
      <c r="H313" s="339"/>
      <c r="I313" s="339"/>
      <c r="J313" s="339"/>
      <c r="K313" s="339"/>
      <c r="L313" s="339"/>
      <c r="O313" s="380"/>
      <c r="AI313" s="31"/>
      <c r="AJ313" s="31"/>
      <c r="AK313" s="32"/>
      <c r="AL313" s="33"/>
      <c r="AM313" s="32"/>
      <c r="AN313" s="33"/>
      <c r="AO313" s="32"/>
      <c r="AP313" s="32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372"/>
      <c r="BD313" s="372"/>
      <c r="BE313" s="372"/>
      <c r="BF313" s="372"/>
      <c r="BG313" s="372"/>
      <c r="BH313" s="372"/>
      <c r="BI313" s="372"/>
      <c r="BJ313" s="372"/>
      <c r="BK313" s="372"/>
      <c r="BL313" s="372"/>
      <c r="BM313" s="372"/>
      <c r="BN313" s="372"/>
      <c r="BO313" s="372"/>
      <c r="BP313" s="372"/>
      <c r="BQ313" s="372"/>
      <c r="BR313" s="372"/>
      <c r="BS313" s="372"/>
      <c r="BT313" s="372"/>
      <c r="BU313" s="372"/>
      <c r="BV313" s="372"/>
      <c r="BW313" s="372"/>
      <c r="BX313" s="372"/>
    </row>
    <row r="314" spans="2:76" s="28" customFormat="1">
      <c r="B314" s="136"/>
      <c r="D314" s="464"/>
      <c r="E314" s="29"/>
      <c r="G314" s="338"/>
      <c r="H314" s="339"/>
      <c r="I314" s="339"/>
      <c r="J314" s="339"/>
      <c r="K314" s="339"/>
      <c r="L314" s="339"/>
      <c r="O314" s="376"/>
      <c r="AI314" s="31"/>
      <c r="AJ314" s="31"/>
      <c r="AK314" s="32"/>
      <c r="AL314" s="33"/>
      <c r="AM314" s="32"/>
      <c r="AN314" s="33"/>
      <c r="AO314" s="32"/>
      <c r="AP314" s="32"/>
      <c r="AQ314" s="136"/>
      <c r="AR314" s="136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372"/>
      <c r="BD314" s="372"/>
      <c r="BE314" s="372"/>
      <c r="BF314" s="372"/>
      <c r="BG314" s="372"/>
      <c r="BH314" s="372"/>
      <c r="BI314" s="372"/>
      <c r="BJ314" s="372"/>
      <c r="BK314" s="372"/>
      <c r="BL314" s="372"/>
      <c r="BM314" s="372"/>
      <c r="BN314" s="372"/>
      <c r="BO314" s="372"/>
      <c r="BP314" s="372"/>
      <c r="BQ314" s="372"/>
      <c r="BR314" s="372"/>
      <c r="BS314" s="372"/>
      <c r="BT314" s="372"/>
      <c r="BU314" s="372"/>
      <c r="BV314" s="372"/>
      <c r="BW314" s="372"/>
      <c r="BX314" s="372"/>
    </row>
    <row r="315" spans="2:76" s="28" customFormat="1">
      <c r="B315" s="136"/>
      <c r="D315" s="464"/>
      <c r="E315" s="29"/>
      <c r="G315" s="338"/>
      <c r="H315" s="339"/>
      <c r="I315" s="339"/>
      <c r="J315" s="339"/>
      <c r="K315" s="339"/>
      <c r="L315" s="339"/>
      <c r="O315" s="379"/>
      <c r="AI315" s="31"/>
      <c r="AJ315" s="31"/>
      <c r="AK315" s="32"/>
      <c r="AL315" s="33"/>
      <c r="AM315" s="32"/>
      <c r="AN315" s="33"/>
      <c r="AO315" s="32"/>
      <c r="AP315" s="32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372"/>
      <c r="BD315" s="372"/>
      <c r="BE315" s="372"/>
      <c r="BF315" s="372"/>
      <c r="BG315" s="372"/>
      <c r="BH315" s="372"/>
      <c r="BI315" s="372"/>
      <c r="BJ315" s="372"/>
      <c r="BK315" s="372"/>
      <c r="BL315" s="372"/>
      <c r="BM315" s="372"/>
      <c r="BN315" s="372"/>
      <c r="BO315" s="372"/>
      <c r="BP315" s="372"/>
      <c r="BQ315" s="372"/>
      <c r="BR315" s="372"/>
      <c r="BS315" s="372"/>
      <c r="BT315" s="372"/>
      <c r="BU315" s="372"/>
      <c r="BV315" s="372"/>
      <c r="BW315" s="372"/>
      <c r="BX315" s="372"/>
    </row>
    <row r="316" spans="2:76" s="28" customFormat="1">
      <c r="B316" s="136"/>
      <c r="D316" s="464"/>
      <c r="E316" s="29"/>
      <c r="G316" s="338"/>
      <c r="H316" s="339"/>
      <c r="I316" s="339"/>
      <c r="J316" s="339"/>
      <c r="K316" s="339"/>
      <c r="L316" s="339"/>
      <c r="O316" s="377"/>
      <c r="AI316" s="31"/>
      <c r="AJ316" s="31"/>
      <c r="AK316" s="32"/>
      <c r="AL316" s="33"/>
      <c r="AM316" s="32"/>
      <c r="AN316" s="33"/>
      <c r="AO316" s="32"/>
      <c r="AP316" s="32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372"/>
      <c r="BD316" s="372"/>
      <c r="BE316" s="372"/>
      <c r="BF316" s="372"/>
      <c r="BG316" s="372"/>
      <c r="BH316" s="372"/>
      <c r="BI316" s="372"/>
      <c r="BJ316" s="372"/>
      <c r="BK316" s="372"/>
      <c r="BL316" s="372"/>
      <c r="BM316" s="372"/>
      <c r="BN316" s="372"/>
      <c r="BO316" s="372"/>
      <c r="BP316" s="372"/>
      <c r="BQ316" s="372"/>
      <c r="BR316" s="372"/>
      <c r="BS316" s="372"/>
      <c r="BT316" s="372"/>
      <c r="BU316" s="372"/>
      <c r="BV316" s="372"/>
      <c r="BW316" s="372"/>
      <c r="BX316" s="372"/>
    </row>
    <row r="317" spans="2:76" s="28" customFormat="1">
      <c r="B317" s="136"/>
      <c r="D317" s="464"/>
      <c r="E317" s="29"/>
      <c r="G317" s="338"/>
      <c r="H317" s="339"/>
      <c r="I317" s="339"/>
      <c r="J317" s="339"/>
      <c r="K317" s="339"/>
      <c r="L317" s="339"/>
      <c r="O317" s="377"/>
      <c r="AI317" s="31"/>
      <c r="AJ317" s="31"/>
      <c r="AK317" s="32"/>
      <c r="AL317" s="33"/>
      <c r="AM317" s="32"/>
      <c r="AN317" s="33"/>
      <c r="AO317" s="32"/>
      <c r="AP317" s="32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372"/>
      <c r="BD317" s="372"/>
      <c r="BE317" s="372"/>
      <c r="BF317" s="372"/>
      <c r="BG317" s="372"/>
      <c r="BH317" s="372"/>
      <c r="BI317" s="372"/>
      <c r="BJ317" s="372"/>
      <c r="BK317" s="372"/>
      <c r="BL317" s="372"/>
      <c r="BM317" s="372"/>
      <c r="BN317" s="372"/>
      <c r="BO317" s="372"/>
      <c r="BP317" s="372"/>
      <c r="BQ317" s="372"/>
      <c r="BR317" s="372"/>
      <c r="BS317" s="372"/>
      <c r="BT317" s="372"/>
      <c r="BU317" s="372"/>
      <c r="BV317" s="372"/>
      <c r="BW317" s="372"/>
      <c r="BX317" s="372"/>
    </row>
    <row r="318" spans="2:76" s="28" customFormat="1">
      <c r="B318" s="136"/>
      <c r="D318" s="464"/>
      <c r="E318" s="29"/>
      <c r="G318" s="338"/>
      <c r="H318" s="339"/>
      <c r="I318" s="339"/>
      <c r="J318" s="339"/>
      <c r="K318" s="339"/>
      <c r="L318" s="339"/>
      <c r="O318" s="377"/>
      <c r="AI318" s="31"/>
      <c r="AJ318" s="31"/>
      <c r="AK318" s="32"/>
      <c r="AL318" s="33"/>
      <c r="AM318" s="32"/>
      <c r="AN318" s="33"/>
      <c r="AO318" s="32"/>
      <c r="AP318" s="32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372"/>
      <c r="BD318" s="372"/>
      <c r="BE318" s="372"/>
      <c r="BF318" s="372"/>
      <c r="BG318" s="372"/>
      <c r="BH318" s="372"/>
      <c r="BI318" s="372"/>
      <c r="BJ318" s="372"/>
      <c r="BK318" s="372"/>
      <c r="BL318" s="372"/>
      <c r="BM318" s="372"/>
      <c r="BN318" s="372"/>
      <c r="BO318" s="372"/>
      <c r="BP318" s="372"/>
      <c r="BQ318" s="372"/>
      <c r="BR318" s="372"/>
      <c r="BS318" s="372"/>
      <c r="BT318" s="372"/>
      <c r="BU318" s="372"/>
      <c r="BV318" s="372"/>
      <c r="BW318" s="372"/>
      <c r="BX318" s="372"/>
    </row>
    <row r="319" spans="2:76" s="28" customFormat="1">
      <c r="B319" s="136"/>
      <c r="D319" s="464"/>
      <c r="E319" s="29"/>
      <c r="G319" s="338"/>
      <c r="H319" s="339"/>
      <c r="I319" s="339"/>
      <c r="J319" s="339"/>
      <c r="K319" s="339"/>
      <c r="L319" s="339"/>
      <c r="O319" s="377"/>
      <c r="AI319" s="31"/>
      <c r="AJ319" s="31"/>
      <c r="AK319" s="32"/>
      <c r="AL319" s="33"/>
      <c r="AM319" s="32"/>
      <c r="AN319" s="33"/>
      <c r="AO319" s="32"/>
      <c r="AP319" s="32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372"/>
      <c r="BD319" s="372"/>
      <c r="BE319" s="372"/>
      <c r="BF319" s="372"/>
      <c r="BG319" s="372"/>
      <c r="BH319" s="372"/>
      <c r="BI319" s="372"/>
      <c r="BJ319" s="372"/>
      <c r="BK319" s="372"/>
      <c r="BL319" s="372"/>
      <c r="BM319" s="372"/>
      <c r="BN319" s="372"/>
      <c r="BO319" s="372"/>
      <c r="BP319" s="372"/>
      <c r="BQ319" s="372"/>
      <c r="BR319" s="372"/>
      <c r="BS319" s="372"/>
      <c r="BT319" s="372"/>
      <c r="BU319" s="372"/>
      <c r="BV319" s="372"/>
      <c r="BW319" s="372"/>
      <c r="BX319" s="372"/>
    </row>
    <row r="320" spans="2:76" s="28" customFormat="1">
      <c r="B320" s="136"/>
      <c r="D320" s="464"/>
      <c r="E320" s="29"/>
      <c r="G320" s="338"/>
      <c r="H320" s="339"/>
      <c r="I320" s="339"/>
      <c r="J320" s="339"/>
      <c r="K320" s="339"/>
      <c r="L320" s="339"/>
      <c r="O320" s="389"/>
      <c r="AI320" s="31"/>
      <c r="AJ320" s="31"/>
      <c r="AK320" s="32"/>
      <c r="AL320" s="33"/>
      <c r="AM320" s="32"/>
      <c r="AN320" s="33"/>
      <c r="AO320" s="32"/>
      <c r="AP320" s="32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372"/>
      <c r="BD320" s="372"/>
      <c r="BE320" s="372"/>
      <c r="BF320" s="372"/>
      <c r="BG320" s="372"/>
      <c r="BH320" s="372"/>
      <c r="BI320" s="372"/>
      <c r="BJ320" s="372"/>
      <c r="BK320" s="372"/>
      <c r="BL320" s="372"/>
      <c r="BM320" s="372"/>
      <c r="BN320" s="372"/>
      <c r="BO320" s="372"/>
      <c r="BP320" s="372"/>
      <c r="BQ320" s="372"/>
      <c r="BR320" s="372"/>
      <c r="BS320" s="372"/>
      <c r="BT320" s="372"/>
      <c r="BU320" s="372"/>
      <c r="BV320" s="372"/>
      <c r="BW320" s="372"/>
      <c r="BX320" s="372"/>
    </row>
    <row r="321" spans="2:76" s="28" customFormat="1">
      <c r="B321" s="136"/>
      <c r="D321" s="464"/>
      <c r="E321" s="29"/>
      <c r="G321" s="338"/>
      <c r="H321" s="339"/>
      <c r="I321" s="339"/>
      <c r="J321" s="339"/>
      <c r="K321" s="339"/>
      <c r="L321" s="339"/>
      <c r="O321" s="377"/>
      <c r="AI321" s="31"/>
      <c r="AJ321" s="31"/>
      <c r="AK321" s="32"/>
      <c r="AL321" s="33"/>
      <c r="AM321" s="32"/>
      <c r="AN321" s="33"/>
      <c r="AO321" s="32"/>
      <c r="AP321" s="32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372"/>
      <c r="BD321" s="372"/>
      <c r="BE321" s="372"/>
      <c r="BF321" s="372"/>
      <c r="BG321" s="372"/>
      <c r="BH321" s="372"/>
      <c r="BI321" s="372"/>
      <c r="BJ321" s="372"/>
      <c r="BK321" s="372"/>
      <c r="BL321" s="372"/>
      <c r="BM321" s="372"/>
      <c r="BN321" s="372"/>
      <c r="BO321" s="372"/>
      <c r="BP321" s="372"/>
      <c r="BQ321" s="372"/>
      <c r="BR321" s="372"/>
      <c r="BS321" s="372"/>
      <c r="BT321" s="372"/>
      <c r="BU321" s="372"/>
      <c r="BV321" s="372"/>
      <c r="BW321" s="372"/>
      <c r="BX321" s="372"/>
    </row>
    <row r="322" spans="2:76" s="28" customFormat="1">
      <c r="B322" s="136"/>
      <c r="D322" s="464"/>
      <c r="E322" s="29"/>
      <c r="G322" s="338"/>
      <c r="H322" s="339"/>
      <c r="I322" s="339"/>
      <c r="J322" s="339"/>
      <c r="K322" s="339"/>
      <c r="L322" s="339"/>
      <c r="O322" s="377"/>
      <c r="AI322" s="31"/>
      <c r="AJ322" s="31"/>
      <c r="AK322" s="32"/>
      <c r="AL322" s="33"/>
      <c r="AM322" s="32"/>
      <c r="AN322" s="33"/>
      <c r="AO322" s="32"/>
      <c r="AP322" s="32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372"/>
      <c r="BD322" s="372"/>
      <c r="BE322" s="372"/>
      <c r="BF322" s="372"/>
      <c r="BG322" s="372"/>
      <c r="BH322" s="372"/>
      <c r="BI322" s="372"/>
      <c r="BJ322" s="372"/>
      <c r="BK322" s="372"/>
      <c r="BL322" s="372"/>
      <c r="BM322" s="372"/>
      <c r="BN322" s="372"/>
      <c r="BO322" s="372"/>
      <c r="BP322" s="372"/>
      <c r="BQ322" s="372"/>
      <c r="BR322" s="372"/>
      <c r="BS322" s="372"/>
      <c r="BT322" s="372"/>
      <c r="BU322" s="372"/>
      <c r="BV322" s="372"/>
      <c r="BW322" s="372"/>
      <c r="BX322" s="372"/>
    </row>
    <row r="323" spans="2:76" s="28" customFormat="1">
      <c r="B323" s="136"/>
      <c r="D323" s="464"/>
      <c r="E323" s="29"/>
      <c r="G323" s="338"/>
      <c r="H323" s="339"/>
      <c r="I323" s="339"/>
      <c r="J323" s="339"/>
      <c r="K323" s="339"/>
      <c r="L323" s="339"/>
      <c r="O323" s="377"/>
      <c r="AI323" s="31"/>
      <c r="AJ323" s="31"/>
      <c r="AK323" s="32"/>
      <c r="AL323" s="33"/>
      <c r="AM323" s="32"/>
      <c r="AN323" s="33"/>
      <c r="AO323" s="32"/>
      <c r="AP323" s="32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372"/>
      <c r="BD323" s="372"/>
      <c r="BE323" s="372"/>
      <c r="BF323" s="372"/>
      <c r="BG323" s="372"/>
      <c r="BH323" s="372"/>
      <c r="BI323" s="372"/>
      <c r="BJ323" s="372"/>
      <c r="BK323" s="372"/>
      <c r="BL323" s="372"/>
      <c r="BM323" s="372"/>
      <c r="BN323" s="372"/>
      <c r="BO323" s="372"/>
      <c r="BP323" s="372"/>
      <c r="BQ323" s="372"/>
      <c r="BR323" s="372"/>
      <c r="BS323" s="372"/>
      <c r="BT323" s="372"/>
      <c r="BU323" s="372"/>
      <c r="BV323" s="372"/>
      <c r="BW323" s="372"/>
      <c r="BX323" s="372"/>
    </row>
    <row r="324" spans="2:76" s="28" customFormat="1">
      <c r="B324" s="136"/>
      <c r="D324" s="464"/>
      <c r="E324" s="29"/>
      <c r="G324" s="338"/>
      <c r="H324" s="339"/>
      <c r="I324" s="339"/>
      <c r="J324" s="339"/>
      <c r="K324" s="339"/>
      <c r="L324" s="339"/>
      <c r="O324" s="380"/>
      <c r="AI324" s="31"/>
      <c r="AJ324" s="31"/>
      <c r="AK324" s="32"/>
      <c r="AL324" s="33"/>
      <c r="AM324" s="32"/>
      <c r="AN324" s="33"/>
      <c r="AO324" s="32"/>
      <c r="AP324" s="32"/>
      <c r="AQ324" s="136"/>
      <c r="AR324" s="136"/>
      <c r="AS324" s="136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372"/>
      <c r="BD324" s="372"/>
      <c r="BE324" s="372"/>
      <c r="BF324" s="372"/>
      <c r="BG324" s="372"/>
      <c r="BH324" s="372"/>
      <c r="BI324" s="372"/>
      <c r="BJ324" s="372"/>
      <c r="BK324" s="372"/>
      <c r="BL324" s="372"/>
      <c r="BM324" s="372"/>
      <c r="BN324" s="372"/>
      <c r="BO324" s="372"/>
      <c r="BP324" s="372"/>
      <c r="BQ324" s="372"/>
      <c r="BR324" s="372"/>
      <c r="BS324" s="372"/>
      <c r="BT324" s="372"/>
      <c r="BU324" s="372"/>
      <c r="BV324" s="372"/>
      <c r="BW324" s="372"/>
      <c r="BX324" s="372"/>
    </row>
    <row r="325" spans="2:76" s="28" customFormat="1">
      <c r="B325" s="136"/>
      <c r="D325" s="464"/>
      <c r="E325" s="29"/>
      <c r="G325" s="338"/>
      <c r="H325" s="339"/>
      <c r="I325" s="339"/>
      <c r="J325" s="339"/>
      <c r="K325" s="339"/>
      <c r="L325" s="339"/>
      <c r="O325" s="377"/>
      <c r="AI325" s="31"/>
      <c r="AJ325" s="31"/>
      <c r="AK325" s="32"/>
      <c r="AL325" s="33"/>
      <c r="AM325" s="32"/>
      <c r="AN325" s="33"/>
      <c r="AO325" s="32"/>
      <c r="AP325" s="32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372"/>
      <c r="BD325" s="372"/>
      <c r="BE325" s="372"/>
      <c r="BF325" s="372"/>
      <c r="BG325" s="372"/>
      <c r="BH325" s="372"/>
      <c r="BI325" s="372"/>
      <c r="BJ325" s="372"/>
      <c r="BK325" s="372"/>
      <c r="BL325" s="372"/>
      <c r="BM325" s="372"/>
      <c r="BN325" s="372"/>
      <c r="BO325" s="372"/>
      <c r="BP325" s="372"/>
      <c r="BQ325" s="372"/>
      <c r="BR325" s="372"/>
      <c r="BS325" s="372"/>
      <c r="BT325" s="372"/>
      <c r="BU325" s="372"/>
      <c r="BV325" s="372"/>
      <c r="BW325" s="372"/>
      <c r="BX325" s="372"/>
    </row>
    <row r="326" spans="2:76" s="28" customFormat="1">
      <c r="B326" s="136"/>
      <c r="D326" s="464"/>
      <c r="E326" s="29"/>
      <c r="G326" s="338"/>
      <c r="H326" s="339"/>
      <c r="I326" s="339"/>
      <c r="J326" s="339"/>
      <c r="K326" s="339"/>
      <c r="L326" s="339"/>
      <c r="O326" s="377"/>
      <c r="AI326" s="31"/>
      <c r="AJ326" s="31"/>
      <c r="AK326" s="32"/>
      <c r="AL326" s="33"/>
      <c r="AM326" s="32"/>
      <c r="AN326" s="33"/>
      <c r="AO326" s="32"/>
      <c r="AP326" s="32"/>
      <c r="AQ326" s="136"/>
      <c r="AR326" s="136"/>
      <c r="AS326" s="136"/>
      <c r="AT326" s="136"/>
      <c r="AU326" s="136"/>
      <c r="AV326" s="136"/>
      <c r="AW326" s="136"/>
      <c r="AX326" s="136"/>
      <c r="AY326" s="136"/>
      <c r="AZ326" s="136"/>
      <c r="BA326" s="136"/>
      <c r="BB326" s="136"/>
      <c r="BC326" s="372"/>
      <c r="BD326" s="372"/>
      <c r="BE326" s="372"/>
      <c r="BF326" s="372"/>
      <c r="BG326" s="372"/>
      <c r="BH326" s="372"/>
      <c r="BI326" s="372"/>
      <c r="BJ326" s="372"/>
      <c r="BK326" s="372"/>
      <c r="BL326" s="372"/>
      <c r="BM326" s="372"/>
      <c r="BN326" s="372"/>
      <c r="BO326" s="372"/>
      <c r="BP326" s="372"/>
      <c r="BQ326" s="372"/>
      <c r="BR326" s="372"/>
      <c r="BS326" s="372"/>
      <c r="BT326" s="372"/>
      <c r="BU326" s="372"/>
      <c r="BV326" s="372"/>
      <c r="BW326" s="372"/>
      <c r="BX326" s="372"/>
    </row>
    <row r="327" spans="2:76" s="28" customFormat="1">
      <c r="B327" s="136"/>
      <c r="D327" s="464"/>
      <c r="E327" s="29"/>
      <c r="G327" s="338"/>
      <c r="H327" s="339"/>
      <c r="I327" s="339"/>
      <c r="J327" s="339"/>
      <c r="K327" s="339"/>
      <c r="L327" s="339"/>
      <c r="O327" s="382"/>
      <c r="AI327" s="31"/>
      <c r="AJ327" s="31"/>
      <c r="AK327" s="32"/>
      <c r="AL327" s="33"/>
      <c r="AM327" s="32"/>
      <c r="AN327" s="33"/>
      <c r="AO327" s="32"/>
      <c r="AP327" s="32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372"/>
      <c r="BD327" s="372"/>
      <c r="BE327" s="372"/>
      <c r="BF327" s="372"/>
      <c r="BG327" s="372"/>
      <c r="BH327" s="372"/>
      <c r="BI327" s="372"/>
      <c r="BJ327" s="372"/>
      <c r="BK327" s="372"/>
      <c r="BL327" s="372"/>
      <c r="BM327" s="372"/>
      <c r="BN327" s="372"/>
      <c r="BO327" s="372"/>
      <c r="BP327" s="372"/>
      <c r="BQ327" s="372"/>
      <c r="BR327" s="372"/>
      <c r="BS327" s="372"/>
      <c r="BT327" s="372"/>
      <c r="BU327" s="372"/>
      <c r="BV327" s="372"/>
      <c r="BW327" s="372"/>
      <c r="BX327" s="372"/>
    </row>
    <row r="328" spans="2:76" s="28" customFormat="1">
      <c r="B328" s="136"/>
      <c r="D328" s="464"/>
      <c r="E328" s="29"/>
      <c r="G328" s="338"/>
      <c r="H328" s="339"/>
      <c r="I328" s="339"/>
      <c r="J328" s="339"/>
      <c r="K328" s="339"/>
      <c r="L328" s="339"/>
      <c r="O328" s="377"/>
      <c r="AI328" s="31"/>
      <c r="AJ328" s="31"/>
      <c r="AK328" s="32"/>
      <c r="AL328" s="33"/>
      <c r="AM328" s="32"/>
      <c r="AN328" s="33"/>
      <c r="AO328" s="32"/>
      <c r="AP328" s="32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372"/>
      <c r="BD328" s="372"/>
      <c r="BE328" s="372"/>
      <c r="BF328" s="372"/>
      <c r="BG328" s="372"/>
      <c r="BH328" s="372"/>
      <c r="BI328" s="372"/>
      <c r="BJ328" s="372"/>
      <c r="BK328" s="372"/>
      <c r="BL328" s="372"/>
      <c r="BM328" s="372"/>
      <c r="BN328" s="372"/>
      <c r="BO328" s="372"/>
      <c r="BP328" s="372"/>
      <c r="BQ328" s="372"/>
      <c r="BR328" s="372"/>
      <c r="BS328" s="372"/>
      <c r="BT328" s="372"/>
      <c r="BU328" s="372"/>
      <c r="BV328" s="372"/>
      <c r="BW328" s="372"/>
      <c r="BX328" s="372"/>
    </row>
    <row r="329" spans="2:76" s="28" customFormat="1">
      <c r="B329" s="136"/>
      <c r="D329" s="464"/>
      <c r="E329" s="29"/>
      <c r="G329" s="338"/>
      <c r="H329" s="339"/>
      <c r="I329" s="339"/>
      <c r="J329" s="339"/>
      <c r="K329" s="339"/>
      <c r="L329" s="339"/>
      <c r="O329" s="380"/>
      <c r="AI329" s="31"/>
      <c r="AJ329" s="31"/>
      <c r="AK329" s="32"/>
      <c r="AL329" s="33"/>
      <c r="AM329" s="32"/>
      <c r="AN329" s="33"/>
      <c r="AO329" s="32"/>
      <c r="AP329" s="32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372"/>
      <c r="BD329" s="372"/>
      <c r="BE329" s="372"/>
      <c r="BF329" s="372"/>
      <c r="BG329" s="372"/>
      <c r="BH329" s="372"/>
      <c r="BI329" s="372"/>
      <c r="BJ329" s="372"/>
      <c r="BK329" s="372"/>
      <c r="BL329" s="372"/>
      <c r="BM329" s="372"/>
      <c r="BN329" s="372"/>
      <c r="BO329" s="372"/>
      <c r="BP329" s="372"/>
      <c r="BQ329" s="372"/>
      <c r="BR329" s="372"/>
      <c r="BS329" s="372"/>
      <c r="BT329" s="372"/>
      <c r="BU329" s="372"/>
      <c r="BV329" s="372"/>
      <c r="BW329" s="372"/>
      <c r="BX329" s="372"/>
    </row>
    <row r="330" spans="2:76" s="28" customFormat="1">
      <c r="B330" s="136"/>
      <c r="D330" s="464"/>
      <c r="E330" s="29"/>
      <c r="G330" s="338"/>
      <c r="H330" s="339"/>
      <c r="I330" s="339"/>
      <c r="J330" s="339"/>
      <c r="K330" s="339"/>
      <c r="L330" s="339"/>
      <c r="O330" s="380"/>
      <c r="AI330" s="31"/>
      <c r="AJ330" s="31"/>
      <c r="AK330" s="32"/>
      <c r="AL330" s="33"/>
      <c r="AM330" s="32"/>
      <c r="AN330" s="33"/>
      <c r="AO330" s="32"/>
      <c r="AP330" s="32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372"/>
      <c r="BD330" s="372"/>
      <c r="BE330" s="372"/>
      <c r="BF330" s="372"/>
      <c r="BG330" s="372"/>
      <c r="BH330" s="372"/>
      <c r="BI330" s="372"/>
      <c r="BJ330" s="372"/>
      <c r="BK330" s="372"/>
      <c r="BL330" s="372"/>
      <c r="BM330" s="372"/>
      <c r="BN330" s="372"/>
      <c r="BO330" s="372"/>
      <c r="BP330" s="372"/>
      <c r="BQ330" s="372"/>
      <c r="BR330" s="372"/>
      <c r="BS330" s="372"/>
      <c r="BT330" s="372"/>
      <c r="BU330" s="372"/>
      <c r="BV330" s="372"/>
      <c r="BW330" s="372"/>
      <c r="BX330" s="372"/>
    </row>
    <row r="331" spans="2:76" s="28" customFormat="1">
      <c r="B331" s="136"/>
      <c r="D331" s="464"/>
      <c r="E331" s="29"/>
      <c r="G331" s="338"/>
      <c r="H331" s="339"/>
      <c r="I331" s="339"/>
      <c r="J331" s="339"/>
      <c r="K331" s="339"/>
      <c r="L331" s="339"/>
      <c r="O331" s="381"/>
      <c r="AI331" s="31"/>
      <c r="AJ331" s="31"/>
      <c r="AK331" s="32"/>
      <c r="AL331" s="33"/>
      <c r="AM331" s="32"/>
      <c r="AN331" s="33"/>
      <c r="AO331" s="32"/>
      <c r="AP331" s="32"/>
      <c r="AQ331" s="136"/>
      <c r="AR331" s="136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372"/>
      <c r="BD331" s="372"/>
      <c r="BE331" s="372"/>
      <c r="BF331" s="372"/>
      <c r="BG331" s="372"/>
      <c r="BH331" s="372"/>
      <c r="BI331" s="372"/>
      <c r="BJ331" s="372"/>
      <c r="BK331" s="372"/>
      <c r="BL331" s="372"/>
      <c r="BM331" s="372"/>
      <c r="BN331" s="372"/>
      <c r="BO331" s="372"/>
      <c r="BP331" s="372"/>
      <c r="BQ331" s="372"/>
      <c r="BR331" s="372"/>
      <c r="BS331" s="372"/>
      <c r="BT331" s="372"/>
      <c r="BU331" s="372"/>
      <c r="BV331" s="372"/>
      <c r="BW331" s="372"/>
      <c r="BX331" s="372"/>
    </row>
    <row r="332" spans="2:76" s="28" customFormat="1">
      <c r="B332" s="136"/>
      <c r="D332" s="464"/>
      <c r="E332" s="29"/>
      <c r="G332" s="338"/>
      <c r="H332" s="339"/>
      <c r="I332" s="339"/>
      <c r="J332" s="339"/>
      <c r="K332" s="339"/>
      <c r="L332" s="339"/>
      <c r="O332" s="377"/>
      <c r="AI332" s="31"/>
      <c r="AJ332" s="31"/>
      <c r="AK332" s="32"/>
      <c r="AL332" s="33"/>
      <c r="AM332" s="32"/>
      <c r="AN332" s="33"/>
      <c r="AO332" s="32"/>
      <c r="AP332" s="32"/>
      <c r="AQ332" s="136"/>
      <c r="AR332" s="136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372"/>
      <c r="BD332" s="372"/>
      <c r="BE332" s="372"/>
      <c r="BF332" s="372"/>
      <c r="BG332" s="372"/>
      <c r="BH332" s="372"/>
      <c r="BI332" s="372"/>
      <c r="BJ332" s="372"/>
      <c r="BK332" s="372"/>
      <c r="BL332" s="372"/>
      <c r="BM332" s="372"/>
      <c r="BN332" s="372"/>
      <c r="BO332" s="372"/>
      <c r="BP332" s="372"/>
      <c r="BQ332" s="372"/>
      <c r="BR332" s="372"/>
      <c r="BS332" s="372"/>
      <c r="BT332" s="372"/>
      <c r="BU332" s="372"/>
      <c r="BV332" s="372"/>
      <c r="BW332" s="372"/>
      <c r="BX332" s="372"/>
    </row>
    <row r="333" spans="2:76" s="28" customFormat="1">
      <c r="B333" s="136"/>
      <c r="D333" s="464"/>
      <c r="E333" s="29"/>
      <c r="G333" s="338"/>
      <c r="H333" s="339"/>
      <c r="I333" s="339"/>
      <c r="J333" s="339"/>
      <c r="K333" s="339"/>
      <c r="L333" s="339"/>
      <c r="O333" s="377"/>
      <c r="AI333" s="31"/>
      <c r="AJ333" s="31"/>
      <c r="AK333" s="32"/>
      <c r="AL333" s="33"/>
      <c r="AM333" s="32"/>
      <c r="AN333" s="33"/>
      <c r="AO333" s="32"/>
      <c r="AP333" s="32"/>
      <c r="AQ333" s="136"/>
      <c r="AR333" s="136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372"/>
      <c r="BD333" s="372"/>
      <c r="BE333" s="372"/>
      <c r="BF333" s="372"/>
      <c r="BG333" s="372"/>
      <c r="BH333" s="372"/>
      <c r="BI333" s="372"/>
      <c r="BJ333" s="372"/>
      <c r="BK333" s="372"/>
      <c r="BL333" s="372"/>
      <c r="BM333" s="372"/>
      <c r="BN333" s="372"/>
      <c r="BO333" s="372"/>
      <c r="BP333" s="372"/>
      <c r="BQ333" s="372"/>
      <c r="BR333" s="372"/>
      <c r="BS333" s="372"/>
      <c r="BT333" s="372"/>
      <c r="BU333" s="372"/>
      <c r="BV333" s="372"/>
      <c r="BW333" s="372"/>
      <c r="BX333" s="372"/>
    </row>
    <row r="334" spans="2:76" s="28" customFormat="1">
      <c r="B334" s="136"/>
      <c r="D334" s="464"/>
      <c r="E334" s="29"/>
      <c r="G334" s="338"/>
      <c r="H334" s="339"/>
      <c r="I334" s="339"/>
      <c r="J334" s="339"/>
      <c r="K334" s="339"/>
      <c r="L334" s="339"/>
      <c r="O334" s="381"/>
      <c r="AI334" s="31"/>
      <c r="AJ334" s="31"/>
      <c r="AK334" s="32"/>
      <c r="AL334" s="33"/>
      <c r="AM334" s="32"/>
      <c r="AN334" s="33"/>
      <c r="AO334" s="32"/>
      <c r="AP334" s="32"/>
      <c r="AQ334" s="136"/>
      <c r="AR334" s="136"/>
      <c r="AS334" s="136"/>
      <c r="AT334" s="136"/>
      <c r="AU334" s="136"/>
      <c r="AV334" s="136"/>
      <c r="AW334" s="136"/>
      <c r="AX334" s="136"/>
      <c r="AY334" s="136"/>
      <c r="AZ334" s="136"/>
      <c r="BA334" s="136"/>
      <c r="BB334" s="136"/>
      <c r="BC334" s="372"/>
      <c r="BD334" s="372"/>
      <c r="BE334" s="372"/>
      <c r="BF334" s="372"/>
      <c r="BG334" s="372"/>
      <c r="BH334" s="372"/>
      <c r="BI334" s="372"/>
      <c r="BJ334" s="372"/>
      <c r="BK334" s="372"/>
      <c r="BL334" s="372"/>
      <c r="BM334" s="372"/>
      <c r="BN334" s="372"/>
      <c r="BO334" s="372"/>
      <c r="BP334" s="372"/>
      <c r="BQ334" s="372"/>
      <c r="BR334" s="372"/>
      <c r="BS334" s="372"/>
      <c r="BT334" s="372"/>
      <c r="BU334" s="372"/>
      <c r="BV334" s="372"/>
      <c r="BW334" s="372"/>
      <c r="BX334" s="372"/>
    </row>
    <row r="335" spans="2:76" s="28" customFormat="1">
      <c r="B335" s="136"/>
      <c r="D335" s="464"/>
      <c r="E335" s="29"/>
      <c r="G335" s="338"/>
      <c r="H335" s="339"/>
      <c r="I335" s="339"/>
      <c r="J335" s="339"/>
      <c r="K335" s="339"/>
      <c r="L335" s="339"/>
      <c r="O335" s="380"/>
      <c r="AI335" s="31"/>
      <c r="AJ335" s="31"/>
      <c r="AK335" s="32"/>
      <c r="AL335" s="33"/>
      <c r="AM335" s="32"/>
      <c r="AN335" s="33"/>
      <c r="AO335" s="32"/>
      <c r="AP335" s="32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372"/>
      <c r="BD335" s="372"/>
      <c r="BE335" s="372"/>
      <c r="BF335" s="372"/>
      <c r="BG335" s="372"/>
      <c r="BH335" s="372"/>
      <c r="BI335" s="372"/>
      <c r="BJ335" s="372"/>
      <c r="BK335" s="372"/>
      <c r="BL335" s="372"/>
      <c r="BM335" s="372"/>
      <c r="BN335" s="372"/>
      <c r="BO335" s="372"/>
      <c r="BP335" s="372"/>
      <c r="BQ335" s="372"/>
      <c r="BR335" s="372"/>
      <c r="BS335" s="372"/>
      <c r="BT335" s="372"/>
      <c r="BU335" s="372"/>
      <c r="BV335" s="372"/>
      <c r="BW335" s="372"/>
      <c r="BX335" s="372"/>
    </row>
    <row r="336" spans="2:76" s="28" customFormat="1">
      <c r="B336" s="136"/>
      <c r="D336" s="464"/>
      <c r="E336" s="29"/>
      <c r="G336" s="338"/>
      <c r="H336" s="339"/>
      <c r="I336" s="339"/>
      <c r="J336" s="339"/>
      <c r="K336" s="339"/>
      <c r="L336" s="339"/>
      <c r="O336" s="377"/>
      <c r="AI336" s="31"/>
      <c r="AJ336" s="31"/>
      <c r="AK336" s="32"/>
      <c r="AL336" s="33"/>
      <c r="AM336" s="32"/>
      <c r="AN336" s="33"/>
      <c r="AO336" s="32"/>
      <c r="AP336" s="32"/>
      <c r="AQ336" s="136"/>
      <c r="AR336" s="136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372"/>
      <c r="BD336" s="372"/>
      <c r="BE336" s="372"/>
      <c r="BF336" s="372"/>
      <c r="BG336" s="372"/>
      <c r="BH336" s="372"/>
      <c r="BI336" s="372"/>
      <c r="BJ336" s="372"/>
      <c r="BK336" s="372"/>
      <c r="BL336" s="372"/>
      <c r="BM336" s="372"/>
      <c r="BN336" s="372"/>
      <c r="BO336" s="372"/>
      <c r="BP336" s="372"/>
      <c r="BQ336" s="372"/>
      <c r="BR336" s="372"/>
      <c r="BS336" s="372"/>
      <c r="BT336" s="372"/>
      <c r="BU336" s="372"/>
      <c r="BV336" s="372"/>
      <c r="BW336" s="372"/>
      <c r="BX336" s="372"/>
    </row>
    <row r="337" spans="2:76" s="28" customFormat="1">
      <c r="B337" s="136"/>
      <c r="D337" s="464"/>
      <c r="E337" s="29"/>
      <c r="G337" s="338"/>
      <c r="H337" s="339"/>
      <c r="I337" s="339"/>
      <c r="J337" s="339"/>
      <c r="K337" s="339"/>
      <c r="L337" s="339"/>
      <c r="O337" s="381"/>
      <c r="AI337" s="31"/>
      <c r="AJ337" s="31"/>
      <c r="AK337" s="32"/>
      <c r="AL337" s="33"/>
      <c r="AM337" s="32"/>
      <c r="AN337" s="33"/>
      <c r="AO337" s="32"/>
      <c r="AP337" s="32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372"/>
      <c r="BD337" s="372"/>
      <c r="BE337" s="372"/>
      <c r="BF337" s="372"/>
      <c r="BG337" s="372"/>
      <c r="BH337" s="372"/>
      <c r="BI337" s="372"/>
      <c r="BJ337" s="372"/>
      <c r="BK337" s="372"/>
      <c r="BL337" s="372"/>
      <c r="BM337" s="372"/>
      <c r="BN337" s="372"/>
      <c r="BO337" s="372"/>
      <c r="BP337" s="372"/>
      <c r="BQ337" s="372"/>
      <c r="BR337" s="372"/>
      <c r="BS337" s="372"/>
      <c r="BT337" s="372"/>
      <c r="BU337" s="372"/>
      <c r="BV337" s="372"/>
      <c r="BW337" s="372"/>
      <c r="BX337" s="372"/>
    </row>
    <row r="338" spans="2:76" s="28" customFormat="1">
      <c r="B338" s="136"/>
      <c r="D338" s="464"/>
      <c r="E338" s="29"/>
      <c r="G338" s="338"/>
      <c r="H338" s="339"/>
      <c r="I338" s="339"/>
      <c r="J338" s="339"/>
      <c r="K338" s="339"/>
      <c r="L338" s="339"/>
      <c r="O338" s="380"/>
      <c r="AI338" s="31"/>
      <c r="AJ338" s="31"/>
      <c r="AK338" s="32"/>
      <c r="AL338" s="33"/>
      <c r="AM338" s="32"/>
      <c r="AN338" s="33"/>
      <c r="AO338" s="32"/>
      <c r="AP338" s="32"/>
      <c r="AQ338" s="136"/>
      <c r="AR338" s="136"/>
      <c r="AS338" s="136"/>
      <c r="AT338" s="136"/>
      <c r="AU338" s="136"/>
      <c r="AV338" s="136"/>
      <c r="AW338" s="136"/>
      <c r="AX338" s="136"/>
      <c r="AY338" s="136"/>
      <c r="AZ338" s="136"/>
      <c r="BA338" s="136"/>
      <c r="BB338" s="136"/>
      <c r="BC338" s="372"/>
      <c r="BD338" s="372"/>
      <c r="BE338" s="372"/>
      <c r="BF338" s="372"/>
      <c r="BG338" s="372"/>
      <c r="BH338" s="372"/>
      <c r="BI338" s="372"/>
      <c r="BJ338" s="372"/>
      <c r="BK338" s="372"/>
      <c r="BL338" s="372"/>
      <c r="BM338" s="372"/>
      <c r="BN338" s="372"/>
      <c r="BO338" s="372"/>
      <c r="BP338" s="372"/>
      <c r="BQ338" s="372"/>
      <c r="BR338" s="372"/>
      <c r="BS338" s="372"/>
      <c r="BT338" s="372"/>
      <c r="BU338" s="372"/>
      <c r="BV338" s="372"/>
      <c r="BW338" s="372"/>
      <c r="BX338" s="372"/>
    </row>
    <row r="339" spans="2:76" s="28" customFormat="1">
      <c r="B339" s="136"/>
      <c r="D339" s="464"/>
      <c r="E339" s="29"/>
      <c r="G339" s="338"/>
      <c r="H339" s="339"/>
      <c r="I339" s="339"/>
      <c r="J339" s="339"/>
      <c r="K339" s="339"/>
      <c r="L339" s="339"/>
      <c r="O339" s="379"/>
      <c r="AI339" s="31"/>
      <c r="AJ339" s="31"/>
      <c r="AK339" s="32"/>
      <c r="AL339" s="33"/>
      <c r="AM339" s="32"/>
      <c r="AN339" s="33"/>
      <c r="AO339" s="32"/>
      <c r="AP339" s="32"/>
      <c r="AQ339" s="136"/>
      <c r="AR339" s="136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372"/>
      <c r="BD339" s="372"/>
      <c r="BE339" s="372"/>
      <c r="BF339" s="372"/>
      <c r="BG339" s="372"/>
      <c r="BH339" s="372"/>
      <c r="BI339" s="372"/>
      <c r="BJ339" s="372"/>
      <c r="BK339" s="372"/>
      <c r="BL339" s="372"/>
      <c r="BM339" s="372"/>
      <c r="BN339" s="372"/>
      <c r="BO339" s="372"/>
      <c r="BP339" s="372"/>
      <c r="BQ339" s="372"/>
      <c r="BR339" s="372"/>
      <c r="BS339" s="372"/>
      <c r="BT339" s="372"/>
      <c r="BU339" s="372"/>
      <c r="BV339" s="372"/>
      <c r="BW339" s="372"/>
      <c r="BX339" s="372"/>
    </row>
    <row r="340" spans="2:76" s="28" customFormat="1">
      <c r="B340" s="136"/>
      <c r="D340" s="464"/>
      <c r="E340" s="29"/>
      <c r="G340" s="338"/>
      <c r="H340" s="339"/>
      <c r="I340" s="339"/>
      <c r="J340" s="339"/>
      <c r="K340" s="339"/>
      <c r="L340" s="339"/>
      <c r="O340" s="385"/>
      <c r="AI340" s="31"/>
      <c r="AJ340" s="31"/>
      <c r="AK340" s="32"/>
      <c r="AL340" s="33"/>
      <c r="AM340" s="32"/>
      <c r="AN340" s="33"/>
      <c r="AO340" s="32"/>
      <c r="AP340" s="32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372"/>
      <c r="BD340" s="372"/>
      <c r="BE340" s="372"/>
      <c r="BF340" s="372"/>
      <c r="BG340" s="372"/>
      <c r="BH340" s="372"/>
      <c r="BI340" s="372"/>
      <c r="BJ340" s="372"/>
      <c r="BK340" s="372"/>
      <c r="BL340" s="372"/>
      <c r="BM340" s="372"/>
      <c r="BN340" s="372"/>
      <c r="BO340" s="372"/>
      <c r="BP340" s="372"/>
      <c r="BQ340" s="372"/>
      <c r="BR340" s="372"/>
      <c r="BS340" s="372"/>
      <c r="BT340" s="372"/>
      <c r="BU340" s="372"/>
      <c r="BV340" s="372"/>
      <c r="BW340" s="372"/>
      <c r="BX340" s="372"/>
    </row>
    <row r="341" spans="2:76" s="28" customFormat="1">
      <c r="B341" s="136"/>
      <c r="D341" s="464"/>
      <c r="E341" s="29"/>
      <c r="G341" s="338"/>
      <c r="H341" s="339"/>
      <c r="I341" s="339"/>
      <c r="J341" s="339"/>
      <c r="K341" s="339"/>
      <c r="L341" s="339"/>
      <c r="O341" s="377"/>
      <c r="AI341" s="31"/>
      <c r="AJ341" s="31"/>
      <c r="AK341" s="32"/>
      <c r="AL341" s="33"/>
      <c r="AM341" s="32"/>
      <c r="AN341" s="33"/>
      <c r="AO341" s="32"/>
      <c r="AP341" s="32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372"/>
      <c r="BD341" s="372"/>
      <c r="BE341" s="372"/>
      <c r="BF341" s="372"/>
      <c r="BG341" s="372"/>
      <c r="BH341" s="372"/>
      <c r="BI341" s="372"/>
      <c r="BJ341" s="372"/>
      <c r="BK341" s="372"/>
      <c r="BL341" s="372"/>
      <c r="BM341" s="372"/>
      <c r="BN341" s="372"/>
      <c r="BO341" s="372"/>
      <c r="BP341" s="372"/>
      <c r="BQ341" s="372"/>
      <c r="BR341" s="372"/>
      <c r="BS341" s="372"/>
      <c r="BT341" s="372"/>
      <c r="BU341" s="372"/>
      <c r="BV341" s="372"/>
      <c r="BW341" s="372"/>
      <c r="BX341" s="372"/>
    </row>
    <row r="342" spans="2:76" s="28" customFormat="1">
      <c r="B342" s="136"/>
      <c r="D342" s="464"/>
      <c r="E342" s="29"/>
      <c r="G342" s="338"/>
      <c r="H342" s="339"/>
      <c r="I342" s="339"/>
      <c r="J342" s="339"/>
      <c r="K342" s="339"/>
      <c r="L342" s="339"/>
      <c r="O342" s="380"/>
      <c r="AI342" s="31"/>
      <c r="AJ342" s="31"/>
      <c r="AK342" s="32"/>
      <c r="AL342" s="33"/>
      <c r="AM342" s="32"/>
      <c r="AN342" s="33"/>
      <c r="AO342" s="32"/>
      <c r="AP342" s="32"/>
      <c r="AQ342" s="136"/>
      <c r="AR342" s="136"/>
      <c r="AS342" s="136"/>
      <c r="AT342" s="136"/>
      <c r="AU342" s="136"/>
      <c r="AV342" s="136"/>
      <c r="AW342" s="136"/>
      <c r="AX342" s="136"/>
      <c r="AY342" s="136"/>
      <c r="AZ342" s="136"/>
      <c r="BA342" s="136"/>
      <c r="BB342" s="136"/>
      <c r="BC342" s="372"/>
      <c r="BD342" s="372"/>
      <c r="BE342" s="372"/>
      <c r="BF342" s="372"/>
      <c r="BG342" s="372"/>
      <c r="BH342" s="372"/>
      <c r="BI342" s="372"/>
      <c r="BJ342" s="372"/>
      <c r="BK342" s="372"/>
      <c r="BL342" s="372"/>
      <c r="BM342" s="372"/>
      <c r="BN342" s="372"/>
      <c r="BO342" s="372"/>
      <c r="BP342" s="372"/>
      <c r="BQ342" s="372"/>
      <c r="BR342" s="372"/>
      <c r="BS342" s="372"/>
      <c r="BT342" s="372"/>
      <c r="BU342" s="372"/>
      <c r="BV342" s="372"/>
      <c r="BW342" s="372"/>
      <c r="BX342" s="372"/>
    </row>
    <row r="343" spans="2:76" s="28" customFormat="1">
      <c r="B343" s="136"/>
      <c r="D343" s="464"/>
      <c r="E343" s="29"/>
      <c r="G343" s="338"/>
      <c r="H343" s="339"/>
      <c r="I343" s="339"/>
      <c r="J343" s="339"/>
      <c r="K343" s="339"/>
      <c r="L343" s="339"/>
      <c r="O343" s="380"/>
      <c r="AI343" s="31"/>
      <c r="AJ343" s="31"/>
      <c r="AK343" s="32"/>
      <c r="AL343" s="33"/>
      <c r="AM343" s="32"/>
      <c r="AN343" s="33"/>
      <c r="AO343" s="32"/>
      <c r="AP343" s="32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372"/>
      <c r="BD343" s="372"/>
      <c r="BE343" s="372"/>
      <c r="BF343" s="372"/>
      <c r="BG343" s="372"/>
      <c r="BH343" s="372"/>
      <c r="BI343" s="372"/>
      <c r="BJ343" s="372"/>
      <c r="BK343" s="372"/>
      <c r="BL343" s="372"/>
      <c r="BM343" s="372"/>
      <c r="BN343" s="372"/>
      <c r="BO343" s="372"/>
      <c r="BP343" s="372"/>
      <c r="BQ343" s="372"/>
      <c r="BR343" s="372"/>
      <c r="BS343" s="372"/>
      <c r="BT343" s="372"/>
      <c r="BU343" s="372"/>
      <c r="BV343" s="372"/>
      <c r="BW343" s="372"/>
      <c r="BX343" s="372"/>
    </row>
    <row r="344" spans="2:76" s="28" customFormat="1">
      <c r="B344" s="136"/>
      <c r="D344" s="464"/>
      <c r="E344" s="29"/>
      <c r="G344" s="338"/>
      <c r="H344" s="339"/>
      <c r="I344" s="339"/>
      <c r="J344" s="339"/>
      <c r="K344" s="339"/>
      <c r="L344" s="339"/>
      <c r="O344" s="381"/>
      <c r="AI344" s="31"/>
      <c r="AJ344" s="31"/>
      <c r="AK344" s="32"/>
      <c r="AL344" s="33"/>
      <c r="AM344" s="32"/>
      <c r="AN344" s="33"/>
      <c r="AO344" s="32"/>
      <c r="AP344" s="32"/>
      <c r="AQ344" s="136"/>
      <c r="AR344" s="136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372"/>
      <c r="BD344" s="372"/>
      <c r="BE344" s="372"/>
      <c r="BF344" s="372"/>
      <c r="BG344" s="372"/>
      <c r="BH344" s="372"/>
      <c r="BI344" s="372"/>
      <c r="BJ344" s="372"/>
      <c r="BK344" s="372"/>
      <c r="BL344" s="372"/>
      <c r="BM344" s="372"/>
      <c r="BN344" s="372"/>
      <c r="BO344" s="372"/>
      <c r="BP344" s="372"/>
      <c r="BQ344" s="372"/>
      <c r="BR344" s="372"/>
      <c r="BS344" s="372"/>
      <c r="BT344" s="372"/>
      <c r="BU344" s="372"/>
      <c r="BV344" s="372"/>
      <c r="BW344" s="372"/>
      <c r="BX344" s="372"/>
    </row>
    <row r="345" spans="2:76" s="28" customFormat="1">
      <c r="B345" s="136"/>
      <c r="D345" s="464"/>
      <c r="E345" s="29"/>
      <c r="G345" s="338"/>
      <c r="H345" s="339"/>
      <c r="I345" s="339"/>
      <c r="J345" s="339"/>
      <c r="K345" s="339"/>
      <c r="L345" s="339"/>
      <c r="O345" s="381"/>
      <c r="AI345" s="31"/>
      <c r="AJ345" s="31"/>
      <c r="AK345" s="32"/>
      <c r="AL345" s="33"/>
      <c r="AM345" s="32"/>
      <c r="AN345" s="33"/>
      <c r="AO345" s="32"/>
      <c r="AP345" s="32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372"/>
      <c r="BD345" s="372"/>
      <c r="BE345" s="372"/>
      <c r="BF345" s="372"/>
      <c r="BG345" s="372"/>
      <c r="BH345" s="372"/>
      <c r="BI345" s="372"/>
      <c r="BJ345" s="372"/>
      <c r="BK345" s="372"/>
      <c r="BL345" s="372"/>
      <c r="BM345" s="372"/>
      <c r="BN345" s="372"/>
      <c r="BO345" s="372"/>
      <c r="BP345" s="372"/>
      <c r="BQ345" s="372"/>
      <c r="BR345" s="372"/>
      <c r="BS345" s="372"/>
      <c r="BT345" s="372"/>
      <c r="BU345" s="372"/>
      <c r="BV345" s="372"/>
      <c r="BW345" s="372"/>
      <c r="BX345" s="372"/>
    </row>
    <row r="346" spans="2:76" s="28" customFormat="1">
      <c r="B346" s="136"/>
      <c r="D346" s="464"/>
      <c r="E346" s="29"/>
      <c r="G346" s="338"/>
      <c r="H346" s="339"/>
      <c r="I346" s="339"/>
      <c r="J346" s="339"/>
      <c r="K346" s="339"/>
      <c r="L346" s="339"/>
      <c r="O346" s="381"/>
      <c r="AI346" s="31"/>
      <c r="AJ346" s="31"/>
      <c r="AK346" s="32"/>
      <c r="AL346" s="33"/>
      <c r="AM346" s="32"/>
      <c r="AN346" s="33"/>
      <c r="AO346" s="32"/>
      <c r="AP346" s="32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372"/>
      <c r="BD346" s="372"/>
      <c r="BE346" s="372"/>
      <c r="BF346" s="372"/>
      <c r="BG346" s="372"/>
      <c r="BH346" s="372"/>
      <c r="BI346" s="372"/>
      <c r="BJ346" s="372"/>
      <c r="BK346" s="372"/>
      <c r="BL346" s="372"/>
      <c r="BM346" s="372"/>
      <c r="BN346" s="372"/>
      <c r="BO346" s="372"/>
      <c r="BP346" s="372"/>
      <c r="BQ346" s="372"/>
      <c r="BR346" s="372"/>
      <c r="BS346" s="372"/>
      <c r="BT346" s="372"/>
      <c r="BU346" s="372"/>
      <c r="BV346" s="372"/>
      <c r="BW346" s="372"/>
      <c r="BX346" s="372"/>
    </row>
    <row r="347" spans="2:76" s="28" customFormat="1">
      <c r="B347" s="136"/>
      <c r="D347" s="464"/>
      <c r="E347" s="29"/>
      <c r="G347" s="338"/>
      <c r="H347" s="339"/>
      <c r="I347" s="339"/>
      <c r="J347" s="339"/>
      <c r="K347" s="339"/>
      <c r="L347" s="339"/>
      <c r="O347" s="379"/>
      <c r="AI347" s="31"/>
      <c r="AJ347" s="31"/>
      <c r="AK347" s="32"/>
      <c r="AL347" s="33"/>
      <c r="AM347" s="32"/>
      <c r="AN347" s="33"/>
      <c r="AO347" s="32"/>
      <c r="AP347" s="32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372"/>
      <c r="BD347" s="372"/>
      <c r="BE347" s="372"/>
      <c r="BF347" s="372"/>
      <c r="BG347" s="372"/>
      <c r="BH347" s="372"/>
      <c r="BI347" s="372"/>
      <c r="BJ347" s="372"/>
      <c r="BK347" s="372"/>
      <c r="BL347" s="372"/>
      <c r="BM347" s="372"/>
      <c r="BN347" s="372"/>
      <c r="BO347" s="372"/>
      <c r="BP347" s="372"/>
      <c r="BQ347" s="372"/>
      <c r="BR347" s="372"/>
      <c r="BS347" s="372"/>
      <c r="BT347" s="372"/>
      <c r="BU347" s="372"/>
      <c r="BV347" s="372"/>
      <c r="BW347" s="372"/>
      <c r="BX347" s="372"/>
    </row>
    <row r="348" spans="2:76" s="28" customFormat="1">
      <c r="B348" s="136"/>
      <c r="D348" s="464"/>
      <c r="E348" s="29"/>
      <c r="G348" s="338"/>
      <c r="H348" s="339"/>
      <c r="I348" s="339"/>
      <c r="J348" s="339"/>
      <c r="K348" s="339"/>
      <c r="L348" s="339"/>
      <c r="O348" s="377"/>
      <c r="AI348" s="31"/>
      <c r="AJ348" s="31"/>
      <c r="AK348" s="32"/>
      <c r="AL348" s="33"/>
      <c r="AM348" s="32"/>
      <c r="AN348" s="33"/>
      <c r="AO348" s="32"/>
      <c r="AP348" s="32"/>
      <c r="AQ348" s="136"/>
      <c r="AR348" s="136"/>
      <c r="AS348" s="136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372"/>
      <c r="BD348" s="372"/>
      <c r="BE348" s="372"/>
      <c r="BF348" s="372"/>
      <c r="BG348" s="372"/>
      <c r="BH348" s="372"/>
      <c r="BI348" s="372"/>
      <c r="BJ348" s="372"/>
      <c r="BK348" s="372"/>
      <c r="BL348" s="372"/>
      <c r="BM348" s="372"/>
      <c r="BN348" s="372"/>
      <c r="BO348" s="372"/>
      <c r="BP348" s="372"/>
      <c r="BQ348" s="372"/>
      <c r="BR348" s="372"/>
      <c r="BS348" s="372"/>
      <c r="BT348" s="372"/>
      <c r="BU348" s="372"/>
      <c r="BV348" s="372"/>
      <c r="BW348" s="372"/>
      <c r="BX348" s="372"/>
    </row>
    <row r="349" spans="2:76" s="28" customFormat="1">
      <c r="B349" s="136"/>
      <c r="D349" s="464"/>
      <c r="E349" s="29"/>
      <c r="G349" s="338"/>
      <c r="H349" s="339"/>
      <c r="I349" s="339"/>
      <c r="J349" s="339"/>
      <c r="K349" s="339"/>
      <c r="L349" s="339"/>
      <c r="O349" s="377"/>
      <c r="AI349" s="31"/>
      <c r="AJ349" s="31"/>
      <c r="AK349" s="32"/>
      <c r="AL349" s="33"/>
      <c r="AM349" s="32"/>
      <c r="AN349" s="33"/>
      <c r="AO349" s="32"/>
      <c r="AP349" s="32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372"/>
      <c r="BD349" s="372"/>
      <c r="BE349" s="372"/>
      <c r="BF349" s="372"/>
      <c r="BG349" s="372"/>
      <c r="BH349" s="372"/>
      <c r="BI349" s="372"/>
      <c r="BJ349" s="372"/>
      <c r="BK349" s="372"/>
      <c r="BL349" s="372"/>
      <c r="BM349" s="372"/>
      <c r="BN349" s="372"/>
      <c r="BO349" s="372"/>
      <c r="BP349" s="372"/>
      <c r="BQ349" s="372"/>
      <c r="BR349" s="372"/>
      <c r="BS349" s="372"/>
      <c r="BT349" s="372"/>
      <c r="BU349" s="372"/>
      <c r="BV349" s="372"/>
      <c r="BW349" s="372"/>
      <c r="BX349" s="372"/>
    </row>
    <row r="350" spans="2:76" s="28" customFormat="1">
      <c r="B350" s="136"/>
      <c r="D350" s="464"/>
      <c r="E350" s="29"/>
      <c r="G350" s="338"/>
      <c r="H350" s="339"/>
      <c r="I350" s="339"/>
      <c r="J350" s="339"/>
      <c r="K350" s="339"/>
      <c r="L350" s="339"/>
      <c r="O350" s="377"/>
      <c r="AI350" s="31"/>
      <c r="AJ350" s="31"/>
      <c r="AK350" s="32"/>
      <c r="AL350" s="33"/>
      <c r="AM350" s="32"/>
      <c r="AN350" s="33"/>
      <c r="AO350" s="32"/>
      <c r="AP350" s="32"/>
      <c r="AQ350" s="136"/>
      <c r="AR350" s="136"/>
      <c r="AS350" s="136"/>
      <c r="AT350" s="136"/>
      <c r="AU350" s="136"/>
      <c r="AV350" s="136"/>
      <c r="AW350" s="136"/>
      <c r="AX350" s="136"/>
      <c r="AY350" s="136"/>
      <c r="AZ350" s="136"/>
      <c r="BA350" s="136"/>
      <c r="BB350" s="136"/>
      <c r="BC350" s="372"/>
      <c r="BD350" s="372"/>
      <c r="BE350" s="372"/>
      <c r="BF350" s="372"/>
      <c r="BG350" s="372"/>
      <c r="BH350" s="372"/>
      <c r="BI350" s="372"/>
      <c r="BJ350" s="372"/>
      <c r="BK350" s="372"/>
      <c r="BL350" s="372"/>
      <c r="BM350" s="372"/>
      <c r="BN350" s="372"/>
      <c r="BO350" s="372"/>
      <c r="BP350" s="372"/>
      <c r="BQ350" s="372"/>
      <c r="BR350" s="372"/>
      <c r="BS350" s="372"/>
      <c r="BT350" s="372"/>
      <c r="BU350" s="372"/>
      <c r="BV350" s="372"/>
      <c r="BW350" s="372"/>
      <c r="BX350" s="372"/>
    </row>
    <row r="351" spans="2:76" s="28" customFormat="1">
      <c r="B351" s="136"/>
      <c r="D351" s="464"/>
      <c r="E351" s="29"/>
      <c r="G351" s="338"/>
      <c r="H351" s="339"/>
      <c r="I351" s="339"/>
      <c r="J351" s="339"/>
      <c r="K351" s="339"/>
      <c r="L351" s="339"/>
      <c r="O351" s="380"/>
      <c r="AI351" s="31"/>
      <c r="AJ351" s="31"/>
      <c r="AK351" s="32"/>
      <c r="AL351" s="33"/>
      <c r="AM351" s="32"/>
      <c r="AN351" s="33"/>
      <c r="AO351" s="32"/>
      <c r="AP351" s="32"/>
      <c r="AQ351" s="136"/>
      <c r="AR351" s="136"/>
      <c r="AS351" s="136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372"/>
      <c r="BD351" s="372"/>
      <c r="BE351" s="372"/>
      <c r="BF351" s="372"/>
      <c r="BG351" s="372"/>
      <c r="BH351" s="372"/>
      <c r="BI351" s="372"/>
      <c r="BJ351" s="372"/>
      <c r="BK351" s="372"/>
      <c r="BL351" s="372"/>
      <c r="BM351" s="372"/>
      <c r="BN351" s="372"/>
      <c r="BO351" s="372"/>
      <c r="BP351" s="372"/>
      <c r="BQ351" s="372"/>
      <c r="BR351" s="372"/>
      <c r="BS351" s="372"/>
      <c r="BT351" s="372"/>
      <c r="BU351" s="372"/>
      <c r="BV351" s="372"/>
      <c r="BW351" s="372"/>
      <c r="BX351" s="372"/>
    </row>
    <row r="352" spans="2:76" s="28" customFormat="1">
      <c r="B352" s="136"/>
      <c r="D352" s="464"/>
      <c r="E352" s="29"/>
      <c r="G352" s="338"/>
      <c r="H352" s="339"/>
      <c r="I352" s="339"/>
      <c r="J352" s="339"/>
      <c r="K352" s="339"/>
      <c r="L352" s="339"/>
      <c r="O352" s="380"/>
      <c r="AI352" s="31"/>
      <c r="AJ352" s="31"/>
      <c r="AK352" s="32"/>
      <c r="AL352" s="33"/>
      <c r="AM352" s="32"/>
      <c r="AN352" s="33"/>
      <c r="AO352" s="32"/>
      <c r="AP352" s="32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372"/>
      <c r="BD352" s="372"/>
      <c r="BE352" s="372"/>
      <c r="BF352" s="372"/>
      <c r="BG352" s="372"/>
      <c r="BH352" s="372"/>
      <c r="BI352" s="372"/>
      <c r="BJ352" s="372"/>
      <c r="BK352" s="372"/>
      <c r="BL352" s="372"/>
      <c r="BM352" s="372"/>
      <c r="BN352" s="372"/>
      <c r="BO352" s="372"/>
      <c r="BP352" s="372"/>
      <c r="BQ352" s="372"/>
      <c r="BR352" s="372"/>
      <c r="BS352" s="372"/>
      <c r="BT352" s="372"/>
      <c r="BU352" s="372"/>
      <c r="BV352" s="372"/>
      <c r="BW352" s="372"/>
      <c r="BX352" s="372"/>
    </row>
    <row r="353" spans="2:76" s="28" customFormat="1">
      <c r="B353" s="136"/>
      <c r="D353" s="464"/>
      <c r="E353" s="29"/>
      <c r="G353" s="338"/>
      <c r="H353" s="339"/>
      <c r="I353" s="339"/>
      <c r="J353" s="339"/>
      <c r="K353" s="339"/>
      <c r="L353" s="339"/>
      <c r="O353" s="385"/>
      <c r="AI353" s="31"/>
      <c r="AJ353" s="31"/>
      <c r="AK353" s="32"/>
      <c r="AL353" s="33"/>
      <c r="AM353" s="32"/>
      <c r="AN353" s="33"/>
      <c r="AO353" s="32"/>
      <c r="AP353" s="32"/>
      <c r="AQ353" s="136"/>
      <c r="AR353" s="136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372"/>
      <c r="BD353" s="372"/>
      <c r="BE353" s="372"/>
      <c r="BF353" s="372"/>
      <c r="BG353" s="372"/>
      <c r="BH353" s="372"/>
      <c r="BI353" s="372"/>
      <c r="BJ353" s="372"/>
      <c r="BK353" s="372"/>
      <c r="BL353" s="372"/>
      <c r="BM353" s="372"/>
      <c r="BN353" s="372"/>
      <c r="BO353" s="372"/>
      <c r="BP353" s="372"/>
      <c r="BQ353" s="372"/>
      <c r="BR353" s="372"/>
      <c r="BS353" s="372"/>
      <c r="BT353" s="372"/>
      <c r="BU353" s="372"/>
      <c r="BV353" s="372"/>
      <c r="BW353" s="372"/>
      <c r="BX353" s="372"/>
    </row>
    <row r="354" spans="2:76" s="28" customFormat="1">
      <c r="B354" s="136"/>
      <c r="D354" s="464"/>
      <c r="E354" s="29"/>
      <c r="G354" s="338"/>
      <c r="H354" s="339"/>
      <c r="I354" s="339"/>
      <c r="J354" s="339"/>
      <c r="K354" s="339"/>
      <c r="L354" s="339"/>
      <c r="O354" s="377"/>
      <c r="AI354" s="31"/>
      <c r="AJ354" s="31"/>
      <c r="AK354" s="32"/>
      <c r="AL354" s="33"/>
      <c r="AM354" s="32"/>
      <c r="AN354" s="33"/>
      <c r="AO354" s="32"/>
      <c r="AP354" s="32"/>
      <c r="AQ354" s="136"/>
      <c r="AR354" s="136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372"/>
      <c r="BD354" s="372"/>
      <c r="BE354" s="372"/>
      <c r="BF354" s="372"/>
      <c r="BG354" s="372"/>
      <c r="BH354" s="372"/>
      <c r="BI354" s="372"/>
      <c r="BJ354" s="372"/>
      <c r="BK354" s="372"/>
      <c r="BL354" s="372"/>
      <c r="BM354" s="372"/>
      <c r="BN354" s="372"/>
      <c r="BO354" s="372"/>
      <c r="BP354" s="372"/>
      <c r="BQ354" s="372"/>
      <c r="BR354" s="372"/>
      <c r="BS354" s="372"/>
      <c r="BT354" s="372"/>
      <c r="BU354" s="372"/>
      <c r="BV354" s="372"/>
      <c r="BW354" s="372"/>
      <c r="BX354" s="372"/>
    </row>
    <row r="355" spans="2:76" s="28" customFormat="1">
      <c r="B355" s="136"/>
      <c r="D355" s="464"/>
      <c r="E355" s="29"/>
      <c r="G355" s="338"/>
      <c r="H355" s="339"/>
      <c r="I355" s="339"/>
      <c r="J355" s="339"/>
      <c r="K355" s="339"/>
      <c r="L355" s="339"/>
      <c r="O355" s="380"/>
      <c r="AI355" s="31"/>
      <c r="AJ355" s="31"/>
      <c r="AK355" s="32"/>
      <c r="AL355" s="33"/>
      <c r="AM355" s="32"/>
      <c r="AN355" s="33"/>
      <c r="AO355" s="32"/>
      <c r="AP355" s="32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372"/>
      <c r="BD355" s="372"/>
      <c r="BE355" s="372"/>
      <c r="BF355" s="372"/>
      <c r="BG355" s="372"/>
      <c r="BH355" s="372"/>
      <c r="BI355" s="372"/>
      <c r="BJ355" s="372"/>
      <c r="BK355" s="372"/>
      <c r="BL355" s="372"/>
      <c r="BM355" s="372"/>
      <c r="BN355" s="372"/>
      <c r="BO355" s="372"/>
      <c r="BP355" s="372"/>
      <c r="BQ355" s="372"/>
      <c r="BR355" s="372"/>
      <c r="BS355" s="372"/>
      <c r="BT355" s="372"/>
      <c r="BU355" s="372"/>
      <c r="BV355" s="372"/>
      <c r="BW355" s="372"/>
      <c r="BX355" s="372"/>
    </row>
    <row r="356" spans="2:76" s="28" customFormat="1">
      <c r="B356" s="136"/>
      <c r="D356" s="464"/>
      <c r="E356" s="29"/>
      <c r="G356" s="338"/>
      <c r="H356" s="339"/>
      <c r="I356" s="339"/>
      <c r="J356" s="339"/>
      <c r="K356" s="339"/>
      <c r="L356" s="339"/>
      <c r="O356" s="380"/>
      <c r="AI356" s="31"/>
      <c r="AJ356" s="31"/>
      <c r="AK356" s="32"/>
      <c r="AL356" s="33"/>
      <c r="AM356" s="32"/>
      <c r="AN356" s="33"/>
      <c r="AO356" s="32"/>
      <c r="AP356" s="32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372"/>
      <c r="BD356" s="372"/>
      <c r="BE356" s="372"/>
      <c r="BF356" s="372"/>
      <c r="BG356" s="372"/>
      <c r="BH356" s="372"/>
      <c r="BI356" s="372"/>
      <c r="BJ356" s="372"/>
      <c r="BK356" s="372"/>
      <c r="BL356" s="372"/>
      <c r="BM356" s="372"/>
      <c r="BN356" s="372"/>
      <c r="BO356" s="372"/>
      <c r="BP356" s="372"/>
      <c r="BQ356" s="372"/>
      <c r="BR356" s="372"/>
      <c r="BS356" s="372"/>
      <c r="BT356" s="372"/>
      <c r="BU356" s="372"/>
      <c r="BV356" s="372"/>
      <c r="BW356" s="372"/>
      <c r="BX356" s="372"/>
    </row>
    <row r="357" spans="2:76" s="28" customFormat="1">
      <c r="B357" s="136"/>
      <c r="D357" s="464"/>
      <c r="E357" s="29"/>
      <c r="G357" s="338"/>
      <c r="H357" s="339"/>
      <c r="I357" s="339"/>
      <c r="J357" s="339"/>
      <c r="K357" s="339"/>
      <c r="L357" s="339"/>
      <c r="O357" s="380"/>
      <c r="AI357" s="31"/>
      <c r="AJ357" s="31"/>
      <c r="AK357" s="32"/>
      <c r="AL357" s="33"/>
      <c r="AM357" s="32"/>
      <c r="AN357" s="33"/>
      <c r="AO357" s="32"/>
      <c r="AP357" s="32"/>
      <c r="AQ357" s="136"/>
      <c r="AR357" s="136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372"/>
      <c r="BD357" s="372"/>
      <c r="BE357" s="372"/>
      <c r="BF357" s="372"/>
      <c r="BG357" s="372"/>
      <c r="BH357" s="372"/>
      <c r="BI357" s="372"/>
      <c r="BJ357" s="372"/>
      <c r="BK357" s="372"/>
      <c r="BL357" s="372"/>
      <c r="BM357" s="372"/>
      <c r="BN357" s="372"/>
      <c r="BO357" s="372"/>
      <c r="BP357" s="372"/>
      <c r="BQ357" s="372"/>
      <c r="BR357" s="372"/>
      <c r="BS357" s="372"/>
      <c r="BT357" s="372"/>
      <c r="BU357" s="372"/>
      <c r="BV357" s="372"/>
      <c r="BW357" s="372"/>
      <c r="BX357" s="372"/>
    </row>
    <row r="358" spans="2:76" s="28" customFormat="1">
      <c r="B358" s="136"/>
      <c r="D358" s="464"/>
      <c r="E358" s="29"/>
      <c r="G358" s="338"/>
      <c r="H358" s="339"/>
      <c r="I358" s="339"/>
      <c r="J358" s="339"/>
      <c r="K358" s="339"/>
      <c r="L358" s="339"/>
      <c r="O358" s="382"/>
      <c r="AI358" s="31"/>
      <c r="AJ358" s="31"/>
      <c r="AK358" s="32"/>
      <c r="AL358" s="33"/>
      <c r="AM358" s="32"/>
      <c r="AN358" s="33"/>
      <c r="AO358" s="32"/>
      <c r="AP358" s="32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372"/>
      <c r="BD358" s="372"/>
      <c r="BE358" s="372"/>
      <c r="BF358" s="372"/>
      <c r="BG358" s="372"/>
      <c r="BH358" s="372"/>
      <c r="BI358" s="372"/>
      <c r="BJ358" s="372"/>
      <c r="BK358" s="372"/>
      <c r="BL358" s="372"/>
      <c r="BM358" s="372"/>
      <c r="BN358" s="372"/>
      <c r="BO358" s="372"/>
      <c r="BP358" s="372"/>
      <c r="BQ358" s="372"/>
      <c r="BR358" s="372"/>
      <c r="BS358" s="372"/>
      <c r="BT358" s="372"/>
      <c r="BU358" s="372"/>
      <c r="BV358" s="372"/>
      <c r="BW358" s="372"/>
      <c r="BX358" s="372"/>
    </row>
    <row r="359" spans="2:76" s="28" customFormat="1">
      <c r="B359" s="136"/>
      <c r="D359" s="464"/>
      <c r="E359" s="29"/>
      <c r="G359" s="338"/>
      <c r="H359" s="339"/>
      <c r="I359" s="339"/>
      <c r="J359" s="339"/>
      <c r="K359" s="339"/>
      <c r="L359" s="339"/>
      <c r="O359" s="385"/>
      <c r="AI359" s="31"/>
      <c r="AJ359" s="31"/>
      <c r="AK359" s="32"/>
      <c r="AL359" s="33"/>
      <c r="AM359" s="32"/>
      <c r="AN359" s="33"/>
      <c r="AO359" s="32"/>
      <c r="AP359" s="32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372"/>
      <c r="BD359" s="372"/>
      <c r="BE359" s="372"/>
      <c r="BF359" s="372"/>
      <c r="BG359" s="372"/>
      <c r="BH359" s="372"/>
      <c r="BI359" s="372"/>
      <c r="BJ359" s="372"/>
      <c r="BK359" s="372"/>
      <c r="BL359" s="372"/>
      <c r="BM359" s="372"/>
      <c r="BN359" s="372"/>
      <c r="BO359" s="372"/>
      <c r="BP359" s="372"/>
      <c r="BQ359" s="372"/>
      <c r="BR359" s="372"/>
      <c r="BS359" s="372"/>
      <c r="BT359" s="372"/>
      <c r="BU359" s="372"/>
      <c r="BV359" s="372"/>
      <c r="BW359" s="372"/>
      <c r="BX359" s="372"/>
    </row>
    <row r="360" spans="2:76" s="28" customFormat="1">
      <c r="B360" s="136"/>
      <c r="D360" s="464"/>
      <c r="E360" s="29"/>
      <c r="G360" s="338"/>
      <c r="H360" s="339"/>
      <c r="I360" s="339"/>
      <c r="J360" s="339"/>
      <c r="K360" s="339"/>
      <c r="L360" s="339"/>
      <c r="O360" s="376"/>
      <c r="AI360" s="31"/>
      <c r="AJ360" s="31"/>
      <c r="AK360" s="32"/>
      <c r="AL360" s="33"/>
      <c r="AM360" s="32"/>
      <c r="AN360" s="33"/>
      <c r="AO360" s="32"/>
      <c r="AP360" s="32"/>
      <c r="AQ360" s="136"/>
      <c r="AR360" s="136"/>
      <c r="AS360" s="136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372"/>
      <c r="BD360" s="372"/>
      <c r="BE360" s="372"/>
      <c r="BF360" s="372"/>
      <c r="BG360" s="372"/>
      <c r="BH360" s="372"/>
      <c r="BI360" s="372"/>
      <c r="BJ360" s="372"/>
      <c r="BK360" s="372"/>
      <c r="BL360" s="372"/>
      <c r="BM360" s="372"/>
      <c r="BN360" s="372"/>
      <c r="BO360" s="372"/>
      <c r="BP360" s="372"/>
      <c r="BQ360" s="372"/>
      <c r="BR360" s="372"/>
      <c r="BS360" s="372"/>
      <c r="BT360" s="372"/>
      <c r="BU360" s="372"/>
      <c r="BV360" s="372"/>
      <c r="BW360" s="372"/>
      <c r="BX360" s="372"/>
    </row>
    <row r="361" spans="2:76" s="28" customFormat="1">
      <c r="B361" s="136"/>
      <c r="D361" s="464"/>
      <c r="E361" s="29"/>
      <c r="G361" s="338"/>
      <c r="H361" s="339"/>
      <c r="I361" s="339"/>
      <c r="J361" s="339"/>
      <c r="K361" s="339"/>
      <c r="L361" s="339"/>
      <c r="O361" s="382"/>
      <c r="AI361" s="31"/>
      <c r="AJ361" s="31"/>
      <c r="AK361" s="32"/>
      <c r="AL361" s="33"/>
      <c r="AM361" s="32"/>
      <c r="AN361" s="33"/>
      <c r="AO361" s="32"/>
      <c r="AP361" s="32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372"/>
      <c r="BD361" s="372"/>
      <c r="BE361" s="372"/>
      <c r="BF361" s="372"/>
      <c r="BG361" s="372"/>
      <c r="BH361" s="372"/>
      <c r="BI361" s="372"/>
      <c r="BJ361" s="372"/>
      <c r="BK361" s="372"/>
      <c r="BL361" s="372"/>
      <c r="BM361" s="372"/>
      <c r="BN361" s="372"/>
      <c r="BO361" s="372"/>
      <c r="BP361" s="372"/>
      <c r="BQ361" s="372"/>
      <c r="BR361" s="372"/>
      <c r="BS361" s="372"/>
      <c r="BT361" s="372"/>
      <c r="BU361" s="372"/>
      <c r="BV361" s="372"/>
      <c r="BW361" s="372"/>
      <c r="BX361" s="372"/>
    </row>
    <row r="362" spans="2:76" s="28" customFormat="1">
      <c r="B362" s="136"/>
      <c r="D362" s="464"/>
      <c r="E362" s="29"/>
      <c r="G362" s="338"/>
      <c r="H362" s="339"/>
      <c r="I362" s="339"/>
      <c r="J362" s="339"/>
      <c r="K362" s="339"/>
      <c r="L362" s="339"/>
      <c r="O362" s="377"/>
      <c r="AI362" s="31"/>
      <c r="AJ362" s="31"/>
      <c r="AK362" s="32"/>
      <c r="AL362" s="33"/>
      <c r="AM362" s="32"/>
      <c r="AN362" s="33"/>
      <c r="AO362" s="32"/>
      <c r="AP362" s="32"/>
      <c r="AQ362" s="136"/>
      <c r="AR362" s="136"/>
      <c r="AS362" s="136"/>
      <c r="AT362" s="136"/>
      <c r="AU362" s="136"/>
      <c r="AV362" s="136"/>
      <c r="AW362" s="136"/>
      <c r="AX362" s="136"/>
      <c r="AY362" s="136"/>
      <c r="AZ362" s="136"/>
      <c r="BA362" s="136"/>
      <c r="BB362" s="136"/>
      <c r="BC362" s="372"/>
      <c r="BD362" s="372"/>
      <c r="BE362" s="372"/>
      <c r="BF362" s="372"/>
      <c r="BG362" s="372"/>
      <c r="BH362" s="372"/>
      <c r="BI362" s="372"/>
      <c r="BJ362" s="372"/>
      <c r="BK362" s="372"/>
      <c r="BL362" s="372"/>
      <c r="BM362" s="372"/>
      <c r="BN362" s="372"/>
      <c r="BO362" s="372"/>
      <c r="BP362" s="372"/>
      <c r="BQ362" s="372"/>
      <c r="BR362" s="372"/>
      <c r="BS362" s="372"/>
      <c r="BT362" s="372"/>
      <c r="BU362" s="372"/>
      <c r="BV362" s="372"/>
      <c r="BW362" s="372"/>
      <c r="BX362" s="372"/>
    </row>
    <row r="363" spans="2:76" s="28" customFormat="1">
      <c r="B363" s="136"/>
      <c r="D363" s="464"/>
      <c r="E363" s="29"/>
      <c r="G363" s="338"/>
      <c r="H363" s="339"/>
      <c r="I363" s="339"/>
      <c r="J363" s="339"/>
      <c r="K363" s="339"/>
      <c r="L363" s="339"/>
      <c r="O363" s="377"/>
      <c r="AI363" s="31"/>
      <c r="AJ363" s="31"/>
      <c r="AK363" s="32"/>
      <c r="AL363" s="33"/>
      <c r="AM363" s="32"/>
      <c r="AN363" s="33"/>
      <c r="AO363" s="32"/>
      <c r="AP363" s="32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372"/>
      <c r="BD363" s="372"/>
      <c r="BE363" s="372"/>
      <c r="BF363" s="372"/>
      <c r="BG363" s="372"/>
      <c r="BH363" s="372"/>
      <c r="BI363" s="372"/>
      <c r="BJ363" s="372"/>
      <c r="BK363" s="372"/>
      <c r="BL363" s="372"/>
      <c r="BM363" s="372"/>
      <c r="BN363" s="372"/>
      <c r="BO363" s="372"/>
      <c r="BP363" s="372"/>
      <c r="BQ363" s="372"/>
      <c r="BR363" s="372"/>
      <c r="BS363" s="372"/>
      <c r="BT363" s="372"/>
      <c r="BU363" s="372"/>
      <c r="BV363" s="372"/>
      <c r="BW363" s="372"/>
      <c r="BX363" s="372"/>
    </row>
    <row r="364" spans="2:76" s="28" customFormat="1">
      <c r="B364" s="136"/>
      <c r="D364" s="464"/>
      <c r="E364" s="29"/>
      <c r="G364" s="338"/>
      <c r="H364" s="339"/>
      <c r="I364" s="339"/>
      <c r="J364" s="339"/>
      <c r="K364" s="339"/>
      <c r="L364" s="339"/>
      <c r="O364" s="381"/>
      <c r="AI364" s="31"/>
      <c r="AJ364" s="31"/>
      <c r="AK364" s="32"/>
      <c r="AL364" s="33"/>
      <c r="AM364" s="32"/>
      <c r="AN364" s="33"/>
      <c r="AO364" s="32"/>
      <c r="AP364" s="32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372"/>
      <c r="BD364" s="372"/>
      <c r="BE364" s="372"/>
      <c r="BF364" s="372"/>
      <c r="BG364" s="372"/>
      <c r="BH364" s="372"/>
      <c r="BI364" s="372"/>
      <c r="BJ364" s="372"/>
      <c r="BK364" s="372"/>
      <c r="BL364" s="372"/>
      <c r="BM364" s="372"/>
      <c r="BN364" s="372"/>
      <c r="BO364" s="372"/>
      <c r="BP364" s="372"/>
      <c r="BQ364" s="372"/>
      <c r="BR364" s="372"/>
      <c r="BS364" s="372"/>
      <c r="BT364" s="372"/>
      <c r="BU364" s="372"/>
      <c r="BV364" s="372"/>
      <c r="BW364" s="372"/>
      <c r="BX364" s="372"/>
    </row>
    <row r="365" spans="2:76" s="28" customFormat="1">
      <c r="B365" s="136"/>
      <c r="D365" s="464"/>
      <c r="E365" s="29"/>
      <c r="G365" s="338"/>
      <c r="H365" s="339"/>
      <c r="I365" s="339"/>
      <c r="J365" s="339"/>
      <c r="K365" s="339"/>
      <c r="L365" s="339"/>
      <c r="O365" s="380"/>
      <c r="AI365" s="31"/>
      <c r="AJ365" s="31"/>
      <c r="AK365" s="32"/>
      <c r="AL365" s="33"/>
      <c r="AM365" s="32"/>
      <c r="AN365" s="33"/>
      <c r="AO365" s="32"/>
      <c r="AP365" s="32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372"/>
      <c r="BD365" s="372"/>
      <c r="BE365" s="372"/>
      <c r="BF365" s="372"/>
      <c r="BG365" s="372"/>
      <c r="BH365" s="372"/>
      <c r="BI365" s="372"/>
      <c r="BJ365" s="372"/>
      <c r="BK365" s="372"/>
      <c r="BL365" s="372"/>
      <c r="BM365" s="372"/>
      <c r="BN365" s="372"/>
      <c r="BO365" s="372"/>
      <c r="BP365" s="372"/>
      <c r="BQ365" s="372"/>
      <c r="BR365" s="372"/>
      <c r="BS365" s="372"/>
      <c r="BT365" s="372"/>
      <c r="BU365" s="372"/>
      <c r="BV365" s="372"/>
      <c r="BW365" s="372"/>
      <c r="BX365" s="372"/>
    </row>
    <row r="366" spans="2:76" s="28" customFormat="1">
      <c r="B366" s="136"/>
      <c r="D366" s="464"/>
      <c r="E366" s="29"/>
      <c r="G366" s="338"/>
      <c r="H366" s="339"/>
      <c r="I366" s="339"/>
      <c r="J366" s="339"/>
      <c r="K366" s="339"/>
      <c r="L366" s="339"/>
      <c r="O366" s="380"/>
      <c r="AI366" s="31"/>
      <c r="AJ366" s="31"/>
      <c r="AK366" s="32"/>
      <c r="AL366" s="33"/>
      <c r="AM366" s="32"/>
      <c r="AN366" s="33"/>
      <c r="AO366" s="32"/>
      <c r="AP366" s="32"/>
      <c r="AQ366" s="136"/>
      <c r="AR366" s="136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372"/>
      <c r="BD366" s="372"/>
      <c r="BE366" s="372"/>
      <c r="BF366" s="372"/>
      <c r="BG366" s="372"/>
      <c r="BH366" s="372"/>
      <c r="BI366" s="372"/>
      <c r="BJ366" s="372"/>
      <c r="BK366" s="372"/>
      <c r="BL366" s="372"/>
      <c r="BM366" s="372"/>
      <c r="BN366" s="372"/>
      <c r="BO366" s="372"/>
      <c r="BP366" s="372"/>
      <c r="BQ366" s="372"/>
      <c r="BR366" s="372"/>
      <c r="BS366" s="372"/>
      <c r="BT366" s="372"/>
      <c r="BU366" s="372"/>
      <c r="BV366" s="372"/>
      <c r="BW366" s="372"/>
      <c r="BX366" s="372"/>
    </row>
    <row r="367" spans="2:76" s="28" customFormat="1">
      <c r="B367" s="136"/>
      <c r="D367" s="464"/>
      <c r="E367" s="29"/>
      <c r="G367" s="338"/>
      <c r="H367" s="339"/>
      <c r="I367" s="339"/>
      <c r="J367" s="339"/>
      <c r="K367" s="339"/>
      <c r="L367" s="339"/>
      <c r="O367" s="390"/>
      <c r="AI367" s="31"/>
      <c r="AJ367" s="31"/>
      <c r="AK367" s="32"/>
      <c r="AL367" s="33"/>
      <c r="AM367" s="32"/>
      <c r="AN367" s="33"/>
      <c r="AO367" s="32"/>
      <c r="AP367" s="32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372"/>
      <c r="BD367" s="372"/>
      <c r="BE367" s="372"/>
      <c r="BF367" s="372"/>
      <c r="BG367" s="372"/>
      <c r="BH367" s="372"/>
      <c r="BI367" s="372"/>
      <c r="BJ367" s="372"/>
      <c r="BK367" s="372"/>
      <c r="BL367" s="372"/>
      <c r="BM367" s="372"/>
      <c r="BN367" s="372"/>
      <c r="BO367" s="372"/>
      <c r="BP367" s="372"/>
      <c r="BQ367" s="372"/>
      <c r="BR367" s="372"/>
      <c r="BS367" s="372"/>
      <c r="BT367" s="372"/>
      <c r="BU367" s="372"/>
      <c r="BV367" s="372"/>
      <c r="BW367" s="372"/>
      <c r="BX367" s="372"/>
    </row>
    <row r="368" spans="2:76" s="28" customFormat="1">
      <c r="B368" s="136"/>
      <c r="D368" s="464"/>
      <c r="E368" s="29"/>
      <c r="G368" s="338"/>
      <c r="H368" s="339"/>
      <c r="I368" s="339"/>
      <c r="J368" s="339"/>
      <c r="K368" s="339"/>
      <c r="L368" s="339"/>
      <c r="O368" s="377"/>
      <c r="AI368" s="31"/>
      <c r="AJ368" s="31"/>
      <c r="AK368" s="32"/>
      <c r="AL368" s="33"/>
      <c r="AM368" s="32"/>
      <c r="AN368" s="33"/>
      <c r="AO368" s="32"/>
      <c r="AP368" s="32"/>
      <c r="AQ368" s="136"/>
      <c r="AR368" s="136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372"/>
      <c r="BD368" s="372"/>
      <c r="BE368" s="372"/>
      <c r="BF368" s="372"/>
      <c r="BG368" s="372"/>
      <c r="BH368" s="372"/>
      <c r="BI368" s="372"/>
      <c r="BJ368" s="372"/>
      <c r="BK368" s="372"/>
      <c r="BL368" s="372"/>
      <c r="BM368" s="372"/>
      <c r="BN368" s="372"/>
      <c r="BO368" s="372"/>
      <c r="BP368" s="372"/>
      <c r="BQ368" s="372"/>
      <c r="BR368" s="372"/>
      <c r="BS368" s="372"/>
      <c r="BT368" s="372"/>
      <c r="BU368" s="372"/>
      <c r="BV368" s="372"/>
      <c r="BW368" s="372"/>
      <c r="BX368" s="372"/>
    </row>
    <row r="369" spans="2:76" s="28" customFormat="1">
      <c r="B369" s="136"/>
      <c r="D369" s="464"/>
      <c r="E369" s="29"/>
      <c r="G369" s="338"/>
      <c r="H369" s="339"/>
      <c r="I369" s="339"/>
      <c r="J369" s="339"/>
      <c r="K369" s="339"/>
      <c r="L369" s="339"/>
      <c r="O369" s="382"/>
      <c r="AI369" s="31"/>
      <c r="AJ369" s="31"/>
      <c r="AK369" s="32"/>
      <c r="AL369" s="33"/>
      <c r="AM369" s="32"/>
      <c r="AN369" s="33"/>
      <c r="AO369" s="32"/>
      <c r="AP369" s="32"/>
      <c r="AQ369" s="136"/>
      <c r="AR369" s="136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372"/>
      <c r="BD369" s="372"/>
      <c r="BE369" s="372"/>
      <c r="BF369" s="372"/>
      <c r="BG369" s="372"/>
      <c r="BH369" s="372"/>
      <c r="BI369" s="372"/>
      <c r="BJ369" s="372"/>
      <c r="BK369" s="372"/>
      <c r="BL369" s="372"/>
      <c r="BM369" s="372"/>
      <c r="BN369" s="372"/>
      <c r="BO369" s="372"/>
      <c r="BP369" s="372"/>
      <c r="BQ369" s="372"/>
      <c r="BR369" s="372"/>
      <c r="BS369" s="372"/>
      <c r="BT369" s="372"/>
      <c r="BU369" s="372"/>
      <c r="BV369" s="372"/>
      <c r="BW369" s="372"/>
      <c r="BX369" s="372"/>
    </row>
    <row r="370" spans="2:76" s="28" customFormat="1">
      <c r="B370" s="136"/>
      <c r="D370" s="464"/>
      <c r="E370" s="29"/>
      <c r="G370" s="338"/>
      <c r="H370" s="339"/>
      <c r="I370" s="339"/>
      <c r="J370" s="339"/>
      <c r="K370" s="339"/>
      <c r="L370" s="339"/>
      <c r="O370" s="380"/>
      <c r="AI370" s="31"/>
      <c r="AJ370" s="31"/>
      <c r="AK370" s="32"/>
      <c r="AL370" s="33"/>
      <c r="AM370" s="32"/>
      <c r="AN370" s="33"/>
      <c r="AO370" s="32"/>
      <c r="AP370" s="32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372"/>
      <c r="BD370" s="372"/>
      <c r="BE370" s="372"/>
      <c r="BF370" s="372"/>
      <c r="BG370" s="372"/>
      <c r="BH370" s="372"/>
      <c r="BI370" s="372"/>
      <c r="BJ370" s="372"/>
      <c r="BK370" s="372"/>
      <c r="BL370" s="372"/>
      <c r="BM370" s="372"/>
      <c r="BN370" s="372"/>
      <c r="BO370" s="372"/>
      <c r="BP370" s="372"/>
      <c r="BQ370" s="372"/>
      <c r="BR370" s="372"/>
      <c r="BS370" s="372"/>
      <c r="BT370" s="372"/>
      <c r="BU370" s="372"/>
      <c r="BV370" s="372"/>
      <c r="BW370" s="372"/>
      <c r="BX370" s="372"/>
    </row>
    <row r="371" spans="2:76" s="28" customFormat="1">
      <c r="B371" s="136"/>
      <c r="D371" s="464"/>
      <c r="E371" s="29"/>
      <c r="G371" s="338"/>
      <c r="H371" s="339"/>
      <c r="I371" s="339"/>
      <c r="J371" s="339"/>
      <c r="K371" s="339"/>
      <c r="L371" s="339"/>
      <c r="O371" s="377"/>
      <c r="AI371" s="31"/>
      <c r="AJ371" s="31"/>
      <c r="AK371" s="32"/>
      <c r="AL371" s="33"/>
      <c r="AM371" s="32"/>
      <c r="AN371" s="33"/>
      <c r="AO371" s="32"/>
      <c r="AP371" s="32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372"/>
      <c r="BD371" s="372"/>
      <c r="BE371" s="372"/>
      <c r="BF371" s="372"/>
      <c r="BG371" s="372"/>
      <c r="BH371" s="372"/>
      <c r="BI371" s="372"/>
      <c r="BJ371" s="372"/>
      <c r="BK371" s="372"/>
      <c r="BL371" s="372"/>
      <c r="BM371" s="372"/>
      <c r="BN371" s="372"/>
      <c r="BO371" s="372"/>
      <c r="BP371" s="372"/>
      <c r="BQ371" s="372"/>
      <c r="BR371" s="372"/>
      <c r="BS371" s="372"/>
      <c r="BT371" s="372"/>
      <c r="BU371" s="372"/>
      <c r="BV371" s="372"/>
      <c r="BW371" s="372"/>
      <c r="BX371" s="372"/>
    </row>
    <row r="372" spans="2:76" s="28" customFormat="1">
      <c r="B372" s="136"/>
      <c r="D372" s="464"/>
      <c r="E372" s="29"/>
      <c r="G372" s="338"/>
      <c r="H372" s="339"/>
      <c r="I372" s="339"/>
      <c r="J372" s="339"/>
      <c r="K372" s="339"/>
      <c r="L372" s="339"/>
      <c r="O372" s="380"/>
      <c r="AI372" s="31"/>
      <c r="AJ372" s="31"/>
      <c r="AK372" s="32"/>
      <c r="AL372" s="33"/>
      <c r="AM372" s="32"/>
      <c r="AN372" s="33"/>
      <c r="AO372" s="32"/>
      <c r="AP372" s="32"/>
      <c r="AQ372" s="136"/>
      <c r="AR372" s="136"/>
      <c r="AS372" s="136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372"/>
      <c r="BD372" s="372"/>
      <c r="BE372" s="372"/>
      <c r="BF372" s="372"/>
      <c r="BG372" s="372"/>
      <c r="BH372" s="372"/>
      <c r="BI372" s="372"/>
      <c r="BJ372" s="372"/>
      <c r="BK372" s="372"/>
      <c r="BL372" s="372"/>
      <c r="BM372" s="372"/>
      <c r="BN372" s="372"/>
      <c r="BO372" s="372"/>
      <c r="BP372" s="372"/>
      <c r="BQ372" s="372"/>
      <c r="BR372" s="372"/>
      <c r="BS372" s="372"/>
      <c r="BT372" s="372"/>
      <c r="BU372" s="372"/>
      <c r="BV372" s="372"/>
      <c r="BW372" s="372"/>
      <c r="BX372" s="372"/>
    </row>
    <row r="373" spans="2:76" s="28" customFormat="1">
      <c r="B373" s="136"/>
      <c r="D373" s="464"/>
      <c r="E373" s="29"/>
      <c r="G373" s="338"/>
      <c r="H373" s="339"/>
      <c r="I373" s="339"/>
      <c r="J373" s="339"/>
      <c r="K373" s="339"/>
      <c r="L373" s="339"/>
      <c r="O373" s="379"/>
      <c r="AI373" s="31"/>
      <c r="AJ373" s="31"/>
      <c r="AK373" s="32"/>
      <c r="AL373" s="33"/>
      <c r="AM373" s="32"/>
      <c r="AN373" s="33"/>
      <c r="AO373" s="32"/>
      <c r="AP373" s="32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372"/>
      <c r="BD373" s="372"/>
      <c r="BE373" s="372"/>
      <c r="BF373" s="372"/>
      <c r="BG373" s="372"/>
      <c r="BH373" s="372"/>
      <c r="BI373" s="372"/>
      <c r="BJ373" s="372"/>
      <c r="BK373" s="372"/>
      <c r="BL373" s="372"/>
      <c r="BM373" s="372"/>
      <c r="BN373" s="372"/>
      <c r="BO373" s="372"/>
      <c r="BP373" s="372"/>
      <c r="BQ373" s="372"/>
      <c r="BR373" s="372"/>
      <c r="BS373" s="372"/>
      <c r="BT373" s="372"/>
      <c r="BU373" s="372"/>
      <c r="BV373" s="372"/>
      <c r="BW373" s="372"/>
      <c r="BX373" s="372"/>
    </row>
    <row r="374" spans="2:76" s="28" customFormat="1">
      <c r="B374" s="136"/>
      <c r="D374" s="464"/>
      <c r="E374" s="29"/>
      <c r="G374" s="338"/>
      <c r="H374" s="339"/>
      <c r="I374" s="339"/>
      <c r="J374" s="339"/>
      <c r="K374" s="339"/>
      <c r="L374" s="339"/>
      <c r="O374" s="376"/>
      <c r="AI374" s="31"/>
      <c r="AJ374" s="31"/>
      <c r="AK374" s="32"/>
      <c r="AL374" s="33"/>
      <c r="AM374" s="32"/>
      <c r="AN374" s="33"/>
      <c r="AO374" s="32"/>
      <c r="AP374" s="32"/>
      <c r="AQ374" s="136"/>
      <c r="AR374" s="136"/>
      <c r="AS374" s="136"/>
      <c r="AT374" s="136"/>
      <c r="AU374" s="136"/>
      <c r="AV374" s="136"/>
      <c r="AW374" s="136"/>
      <c r="AX374" s="136"/>
      <c r="AY374" s="136"/>
      <c r="AZ374" s="136"/>
      <c r="BA374" s="136"/>
      <c r="BB374" s="136"/>
      <c r="BC374" s="372"/>
      <c r="BD374" s="372"/>
      <c r="BE374" s="372"/>
      <c r="BF374" s="372"/>
      <c r="BG374" s="372"/>
      <c r="BH374" s="372"/>
      <c r="BI374" s="372"/>
      <c r="BJ374" s="372"/>
      <c r="BK374" s="372"/>
      <c r="BL374" s="372"/>
      <c r="BM374" s="372"/>
      <c r="BN374" s="372"/>
      <c r="BO374" s="372"/>
      <c r="BP374" s="372"/>
      <c r="BQ374" s="372"/>
      <c r="BR374" s="372"/>
      <c r="BS374" s="372"/>
      <c r="BT374" s="372"/>
      <c r="BU374" s="372"/>
      <c r="BV374" s="372"/>
      <c r="BW374" s="372"/>
      <c r="BX374" s="372"/>
    </row>
    <row r="375" spans="2:76" s="28" customFormat="1">
      <c r="B375" s="136"/>
      <c r="D375" s="464"/>
      <c r="E375" s="29"/>
      <c r="G375" s="338"/>
      <c r="H375" s="339"/>
      <c r="I375" s="339"/>
      <c r="J375" s="339"/>
      <c r="K375" s="339"/>
      <c r="L375" s="339"/>
      <c r="O375" s="380"/>
      <c r="AI375" s="31"/>
      <c r="AJ375" s="31"/>
      <c r="AK375" s="32"/>
      <c r="AL375" s="33"/>
      <c r="AM375" s="32"/>
      <c r="AN375" s="33"/>
      <c r="AO375" s="32"/>
      <c r="AP375" s="32"/>
      <c r="AQ375" s="136"/>
      <c r="AR375" s="136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372"/>
      <c r="BD375" s="372"/>
      <c r="BE375" s="372"/>
      <c r="BF375" s="372"/>
      <c r="BG375" s="372"/>
      <c r="BH375" s="372"/>
      <c r="BI375" s="372"/>
      <c r="BJ375" s="372"/>
      <c r="BK375" s="372"/>
      <c r="BL375" s="372"/>
      <c r="BM375" s="372"/>
      <c r="BN375" s="372"/>
      <c r="BO375" s="372"/>
      <c r="BP375" s="372"/>
      <c r="BQ375" s="372"/>
      <c r="BR375" s="372"/>
      <c r="BS375" s="372"/>
      <c r="BT375" s="372"/>
      <c r="BU375" s="372"/>
      <c r="BV375" s="372"/>
      <c r="BW375" s="372"/>
      <c r="BX375" s="372"/>
    </row>
    <row r="376" spans="2:76" s="28" customFormat="1">
      <c r="B376" s="136"/>
      <c r="D376" s="464"/>
      <c r="E376" s="29"/>
      <c r="G376" s="338"/>
      <c r="H376" s="339"/>
      <c r="I376" s="339"/>
      <c r="J376" s="339"/>
      <c r="K376" s="339"/>
      <c r="L376" s="339"/>
      <c r="O376" s="377"/>
      <c r="AI376" s="31"/>
      <c r="AJ376" s="31"/>
      <c r="AK376" s="32"/>
      <c r="AL376" s="33"/>
      <c r="AM376" s="32"/>
      <c r="AN376" s="33"/>
      <c r="AO376" s="32"/>
      <c r="AP376" s="32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372"/>
      <c r="BD376" s="372"/>
      <c r="BE376" s="372"/>
      <c r="BF376" s="372"/>
      <c r="BG376" s="372"/>
      <c r="BH376" s="372"/>
      <c r="BI376" s="372"/>
      <c r="BJ376" s="372"/>
      <c r="BK376" s="372"/>
      <c r="BL376" s="372"/>
      <c r="BM376" s="372"/>
      <c r="BN376" s="372"/>
      <c r="BO376" s="372"/>
      <c r="BP376" s="372"/>
      <c r="BQ376" s="372"/>
      <c r="BR376" s="372"/>
      <c r="BS376" s="372"/>
      <c r="BT376" s="372"/>
      <c r="BU376" s="372"/>
      <c r="BV376" s="372"/>
      <c r="BW376" s="372"/>
      <c r="BX376" s="372"/>
    </row>
    <row r="377" spans="2:76" s="28" customFormat="1">
      <c r="B377" s="136"/>
      <c r="D377" s="464"/>
      <c r="E377" s="29"/>
      <c r="G377" s="338"/>
      <c r="H377" s="339"/>
      <c r="I377" s="339"/>
      <c r="J377" s="339"/>
      <c r="K377" s="339"/>
      <c r="L377" s="339"/>
      <c r="O377" s="381"/>
      <c r="AI377" s="31"/>
      <c r="AJ377" s="31"/>
      <c r="AK377" s="32"/>
      <c r="AL377" s="33"/>
      <c r="AM377" s="32"/>
      <c r="AN377" s="33"/>
      <c r="AO377" s="32"/>
      <c r="AP377" s="32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372"/>
      <c r="BD377" s="372"/>
      <c r="BE377" s="372"/>
      <c r="BF377" s="372"/>
      <c r="BG377" s="372"/>
      <c r="BH377" s="372"/>
      <c r="BI377" s="372"/>
      <c r="BJ377" s="372"/>
      <c r="BK377" s="372"/>
      <c r="BL377" s="372"/>
      <c r="BM377" s="372"/>
      <c r="BN377" s="372"/>
      <c r="BO377" s="372"/>
      <c r="BP377" s="372"/>
      <c r="BQ377" s="372"/>
      <c r="BR377" s="372"/>
      <c r="BS377" s="372"/>
      <c r="BT377" s="372"/>
      <c r="BU377" s="372"/>
      <c r="BV377" s="372"/>
      <c r="BW377" s="372"/>
      <c r="BX377" s="372"/>
    </row>
    <row r="378" spans="2:76" s="28" customFormat="1">
      <c r="B378" s="136"/>
      <c r="D378" s="464"/>
      <c r="E378" s="29"/>
      <c r="G378" s="338"/>
      <c r="H378" s="339"/>
      <c r="I378" s="339"/>
      <c r="J378" s="339"/>
      <c r="K378" s="339"/>
      <c r="L378" s="339"/>
      <c r="O378" s="377"/>
      <c r="AI378" s="31"/>
      <c r="AJ378" s="31"/>
      <c r="AK378" s="32"/>
      <c r="AL378" s="33"/>
      <c r="AM378" s="32"/>
      <c r="AN378" s="33"/>
      <c r="AO378" s="32"/>
      <c r="AP378" s="32"/>
      <c r="AQ378" s="136"/>
      <c r="AR378" s="136"/>
      <c r="AS378" s="136"/>
      <c r="AT378" s="136"/>
      <c r="AU378" s="136"/>
      <c r="AV378" s="136"/>
      <c r="AW378" s="136"/>
      <c r="AX378" s="136"/>
      <c r="AY378" s="136"/>
      <c r="AZ378" s="136"/>
      <c r="BA378" s="136"/>
      <c r="BB378" s="136"/>
      <c r="BC378" s="372"/>
      <c r="BD378" s="372"/>
      <c r="BE378" s="372"/>
      <c r="BF378" s="372"/>
      <c r="BG378" s="372"/>
      <c r="BH378" s="372"/>
      <c r="BI378" s="372"/>
      <c r="BJ378" s="372"/>
      <c r="BK378" s="372"/>
      <c r="BL378" s="372"/>
      <c r="BM378" s="372"/>
      <c r="BN378" s="372"/>
      <c r="BO378" s="372"/>
      <c r="BP378" s="372"/>
      <c r="BQ378" s="372"/>
      <c r="BR378" s="372"/>
      <c r="BS378" s="372"/>
      <c r="BT378" s="372"/>
      <c r="BU378" s="372"/>
      <c r="BV378" s="372"/>
      <c r="BW378" s="372"/>
      <c r="BX378" s="372"/>
    </row>
    <row r="379" spans="2:76" s="28" customFormat="1">
      <c r="B379" s="136"/>
      <c r="D379" s="464"/>
      <c r="E379" s="29"/>
      <c r="G379" s="338"/>
      <c r="H379" s="339"/>
      <c r="I379" s="339"/>
      <c r="J379" s="339"/>
      <c r="K379" s="339"/>
      <c r="L379" s="339"/>
      <c r="O379" s="391"/>
      <c r="AI379" s="31"/>
      <c r="AJ379" s="31"/>
      <c r="AK379" s="32"/>
      <c r="AL379" s="33"/>
      <c r="AM379" s="32"/>
      <c r="AN379" s="33"/>
      <c r="AO379" s="32"/>
      <c r="AP379" s="32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372"/>
      <c r="BD379" s="372"/>
      <c r="BE379" s="372"/>
      <c r="BF379" s="372"/>
      <c r="BG379" s="372"/>
      <c r="BH379" s="372"/>
      <c r="BI379" s="372"/>
      <c r="BJ379" s="372"/>
      <c r="BK379" s="372"/>
      <c r="BL379" s="372"/>
      <c r="BM379" s="372"/>
      <c r="BN379" s="372"/>
      <c r="BO379" s="372"/>
      <c r="BP379" s="372"/>
      <c r="BQ379" s="372"/>
      <c r="BR379" s="372"/>
      <c r="BS379" s="372"/>
      <c r="BT379" s="372"/>
      <c r="BU379" s="372"/>
      <c r="BV379" s="372"/>
      <c r="BW379" s="372"/>
      <c r="BX379" s="372"/>
    </row>
    <row r="380" spans="2:76" s="28" customFormat="1">
      <c r="B380" s="136"/>
      <c r="D380" s="464"/>
      <c r="E380" s="29"/>
      <c r="G380" s="338"/>
      <c r="H380" s="339"/>
      <c r="I380" s="339"/>
      <c r="J380" s="339"/>
      <c r="K380" s="339"/>
      <c r="L380" s="339"/>
      <c r="O380" s="377"/>
      <c r="AI380" s="31"/>
      <c r="AJ380" s="31"/>
      <c r="AK380" s="32"/>
      <c r="AL380" s="33"/>
      <c r="AM380" s="32"/>
      <c r="AN380" s="33"/>
      <c r="AO380" s="32"/>
      <c r="AP380" s="32"/>
      <c r="AQ380" s="136"/>
      <c r="AR380" s="136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372"/>
      <c r="BD380" s="372"/>
      <c r="BE380" s="372"/>
      <c r="BF380" s="372"/>
      <c r="BG380" s="372"/>
      <c r="BH380" s="372"/>
      <c r="BI380" s="372"/>
      <c r="BJ380" s="372"/>
      <c r="BK380" s="372"/>
      <c r="BL380" s="372"/>
      <c r="BM380" s="372"/>
      <c r="BN380" s="372"/>
      <c r="BO380" s="372"/>
      <c r="BP380" s="372"/>
      <c r="BQ380" s="372"/>
      <c r="BR380" s="372"/>
      <c r="BS380" s="372"/>
      <c r="BT380" s="372"/>
      <c r="BU380" s="372"/>
      <c r="BV380" s="372"/>
      <c r="BW380" s="372"/>
      <c r="BX380" s="372"/>
    </row>
    <row r="381" spans="2:76" s="28" customFormat="1">
      <c r="B381" s="136"/>
      <c r="D381" s="464"/>
      <c r="E381" s="29"/>
      <c r="G381" s="338"/>
      <c r="H381" s="339"/>
      <c r="I381" s="339"/>
      <c r="J381" s="339"/>
      <c r="K381" s="339"/>
      <c r="L381" s="339"/>
      <c r="O381" s="377"/>
      <c r="AI381" s="31"/>
      <c r="AJ381" s="31"/>
      <c r="AK381" s="32"/>
      <c r="AL381" s="33"/>
      <c r="AM381" s="32"/>
      <c r="AN381" s="33"/>
      <c r="AO381" s="32"/>
      <c r="AP381" s="32"/>
      <c r="AQ381" s="136"/>
      <c r="AR381" s="136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372"/>
      <c r="BD381" s="372"/>
      <c r="BE381" s="372"/>
      <c r="BF381" s="372"/>
      <c r="BG381" s="372"/>
      <c r="BH381" s="372"/>
      <c r="BI381" s="372"/>
      <c r="BJ381" s="372"/>
      <c r="BK381" s="372"/>
      <c r="BL381" s="372"/>
      <c r="BM381" s="372"/>
      <c r="BN381" s="372"/>
      <c r="BO381" s="372"/>
      <c r="BP381" s="372"/>
      <c r="BQ381" s="372"/>
      <c r="BR381" s="372"/>
      <c r="BS381" s="372"/>
      <c r="BT381" s="372"/>
      <c r="BU381" s="372"/>
      <c r="BV381" s="372"/>
      <c r="BW381" s="372"/>
      <c r="BX381" s="372"/>
    </row>
    <row r="382" spans="2:76" s="28" customFormat="1">
      <c r="B382" s="136"/>
      <c r="D382" s="464"/>
      <c r="E382" s="29"/>
      <c r="G382" s="338"/>
      <c r="H382" s="339"/>
      <c r="I382" s="339"/>
      <c r="J382" s="339"/>
      <c r="K382" s="339"/>
      <c r="L382" s="339"/>
      <c r="O382" s="377"/>
      <c r="AI382" s="31"/>
      <c r="AJ382" s="31"/>
      <c r="AK382" s="32"/>
      <c r="AL382" s="33"/>
      <c r="AM382" s="32"/>
      <c r="AN382" s="33"/>
      <c r="AO382" s="32"/>
      <c r="AP382" s="32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372"/>
      <c r="BD382" s="372"/>
      <c r="BE382" s="372"/>
      <c r="BF382" s="372"/>
      <c r="BG382" s="372"/>
      <c r="BH382" s="372"/>
      <c r="BI382" s="372"/>
      <c r="BJ382" s="372"/>
      <c r="BK382" s="372"/>
      <c r="BL382" s="372"/>
      <c r="BM382" s="372"/>
      <c r="BN382" s="372"/>
      <c r="BO382" s="372"/>
      <c r="BP382" s="372"/>
      <c r="BQ382" s="372"/>
      <c r="BR382" s="372"/>
      <c r="BS382" s="372"/>
      <c r="BT382" s="372"/>
      <c r="BU382" s="372"/>
      <c r="BV382" s="372"/>
      <c r="BW382" s="372"/>
      <c r="BX382" s="372"/>
    </row>
    <row r="383" spans="2:76" s="28" customFormat="1">
      <c r="B383" s="136"/>
      <c r="D383" s="464"/>
      <c r="E383" s="29"/>
      <c r="G383" s="338"/>
      <c r="H383" s="339"/>
      <c r="I383" s="339"/>
      <c r="J383" s="339"/>
      <c r="K383" s="339"/>
      <c r="L383" s="339"/>
      <c r="O383" s="379"/>
      <c r="AI383" s="31"/>
      <c r="AJ383" s="31"/>
      <c r="AK383" s="32"/>
      <c r="AL383" s="33"/>
      <c r="AM383" s="32"/>
      <c r="AN383" s="33"/>
      <c r="AO383" s="32"/>
      <c r="AP383" s="32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372"/>
      <c r="BD383" s="372"/>
      <c r="BE383" s="372"/>
      <c r="BF383" s="372"/>
      <c r="BG383" s="372"/>
      <c r="BH383" s="372"/>
      <c r="BI383" s="372"/>
      <c r="BJ383" s="372"/>
      <c r="BK383" s="372"/>
      <c r="BL383" s="372"/>
      <c r="BM383" s="372"/>
      <c r="BN383" s="372"/>
      <c r="BO383" s="372"/>
      <c r="BP383" s="372"/>
      <c r="BQ383" s="372"/>
      <c r="BR383" s="372"/>
      <c r="BS383" s="372"/>
      <c r="BT383" s="372"/>
      <c r="BU383" s="372"/>
      <c r="BV383" s="372"/>
      <c r="BW383" s="372"/>
      <c r="BX383" s="372"/>
    </row>
    <row r="384" spans="2:76" s="28" customFormat="1">
      <c r="B384" s="136"/>
      <c r="D384" s="464"/>
      <c r="E384" s="29"/>
      <c r="G384" s="338"/>
      <c r="H384" s="339"/>
      <c r="I384" s="339"/>
      <c r="J384" s="339"/>
      <c r="K384" s="339"/>
      <c r="L384" s="339"/>
      <c r="O384" s="388"/>
      <c r="AI384" s="31"/>
      <c r="AJ384" s="31"/>
      <c r="AK384" s="32"/>
      <c r="AL384" s="33"/>
      <c r="AM384" s="32"/>
      <c r="AN384" s="33"/>
      <c r="AO384" s="32"/>
      <c r="AP384" s="32"/>
      <c r="AQ384" s="136"/>
      <c r="AR384" s="136"/>
      <c r="AS384" s="136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372"/>
      <c r="BD384" s="372"/>
      <c r="BE384" s="372"/>
      <c r="BF384" s="372"/>
      <c r="BG384" s="372"/>
      <c r="BH384" s="372"/>
      <c r="BI384" s="372"/>
      <c r="BJ384" s="372"/>
      <c r="BK384" s="372"/>
      <c r="BL384" s="372"/>
      <c r="BM384" s="372"/>
      <c r="BN384" s="372"/>
      <c r="BO384" s="372"/>
      <c r="BP384" s="372"/>
      <c r="BQ384" s="372"/>
      <c r="BR384" s="372"/>
      <c r="BS384" s="372"/>
      <c r="BT384" s="372"/>
      <c r="BU384" s="372"/>
      <c r="BV384" s="372"/>
      <c r="BW384" s="372"/>
      <c r="BX384" s="372"/>
    </row>
    <row r="385" spans="2:76" s="28" customFormat="1">
      <c r="B385" s="136"/>
      <c r="D385" s="464"/>
      <c r="E385" s="29"/>
      <c r="G385" s="338"/>
      <c r="H385" s="339"/>
      <c r="I385" s="339"/>
      <c r="J385" s="339"/>
      <c r="K385" s="339"/>
      <c r="L385" s="339"/>
      <c r="O385" s="379"/>
      <c r="AI385" s="31"/>
      <c r="AJ385" s="31"/>
      <c r="AK385" s="32"/>
      <c r="AL385" s="33"/>
      <c r="AM385" s="32"/>
      <c r="AN385" s="33"/>
      <c r="AO385" s="32"/>
      <c r="AP385" s="32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372"/>
      <c r="BD385" s="372"/>
      <c r="BE385" s="372"/>
      <c r="BF385" s="372"/>
      <c r="BG385" s="372"/>
      <c r="BH385" s="372"/>
      <c r="BI385" s="372"/>
      <c r="BJ385" s="372"/>
      <c r="BK385" s="372"/>
      <c r="BL385" s="372"/>
      <c r="BM385" s="372"/>
      <c r="BN385" s="372"/>
      <c r="BO385" s="372"/>
      <c r="BP385" s="372"/>
      <c r="BQ385" s="372"/>
      <c r="BR385" s="372"/>
      <c r="BS385" s="372"/>
      <c r="BT385" s="372"/>
      <c r="BU385" s="372"/>
      <c r="BV385" s="372"/>
      <c r="BW385" s="372"/>
      <c r="BX385" s="372"/>
    </row>
    <row r="386" spans="2:76" s="28" customFormat="1">
      <c r="B386" s="136"/>
      <c r="D386" s="464"/>
      <c r="E386" s="29"/>
      <c r="G386" s="338"/>
      <c r="H386" s="339"/>
      <c r="I386" s="339"/>
      <c r="J386" s="339"/>
      <c r="K386" s="339"/>
      <c r="L386" s="339"/>
      <c r="O386" s="377"/>
      <c r="AI386" s="31"/>
      <c r="AJ386" s="31"/>
      <c r="AK386" s="32"/>
      <c r="AL386" s="33"/>
      <c r="AM386" s="32"/>
      <c r="AN386" s="33"/>
      <c r="AO386" s="32"/>
      <c r="AP386" s="32"/>
      <c r="AQ386" s="136"/>
      <c r="AR386" s="136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  <c r="BC386" s="372"/>
      <c r="BD386" s="372"/>
      <c r="BE386" s="372"/>
      <c r="BF386" s="372"/>
      <c r="BG386" s="372"/>
      <c r="BH386" s="372"/>
      <c r="BI386" s="372"/>
      <c r="BJ386" s="372"/>
      <c r="BK386" s="372"/>
      <c r="BL386" s="372"/>
      <c r="BM386" s="372"/>
      <c r="BN386" s="372"/>
      <c r="BO386" s="372"/>
      <c r="BP386" s="372"/>
      <c r="BQ386" s="372"/>
      <c r="BR386" s="372"/>
      <c r="BS386" s="372"/>
      <c r="BT386" s="372"/>
      <c r="BU386" s="372"/>
      <c r="BV386" s="372"/>
      <c r="BW386" s="372"/>
      <c r="BX386" s="372"/>
    </row>
    <row r="387" spans="2:76" s="28" customFormat="1">
      <c r="B387" s="136"/>
      <c r="D387" s="464"/>
      <c r="E387" s="29"/>
      <c r="G387" s="338"/>
      <c r="H387" s="339"/>
      <c r="I387" s="339"/>
      <c r="J387" s="339"/>
      <c r="K387" s="339"/>
      <c r="L387" s="339"/>
      <c r="O387" s="385"/>
      <c r="AI387" s="31"/>
      <c r="AJ387" s="31"/>
      <c r="AK387" s="32"/>
      <c r="AL387" s="33"/>
      <c r="AM387" s="32"/>
      <c r="AN387" s="33"/>
      <c r="AO387" s="32"/>
      <c r="AP387" s="32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372"/>
      <c r="BD387" s="372"/>
      <c r="BE387" s="372"/>
      <c r="BF387" s="372"/>
      <c r="BG387" s="372"/>
      <c r="BH387" s="372"/>
      <c r="BI387" s="372"/>
      <c r="BJ387" s="372"/>
      <c r="BK387" s="372"/>
      <c r="BL387" s="372"/>
      <c r="BM387" s="372"/>
      <c r="BN387" s="372"/>
      <c r="BO387" s="372"/>
      <c r="BP387" s="372"/>
      <c r="BQ387" s="372"/>
      <c r="BR387" s="372"/>
      <c r="BS387" s="372"/>
      <c r="BT387" s="372"/>
      <c r="BU387" s="372"/>
      <c r="BV387" s="372"/>
      <c r="BW387" s="372"/>
      <c r="BX387" s="372"/>
    </row>
    <row r="388" spans="2:76" s="28" customFormat="1">
      <c r="B388" s="136"/>
      <c r="D388" s="464"/>
      <c r="E388" s="29"/>
      <c r="G388" s="338"/>
      <c r="H388" s="339"/>
      <c r="I388" s="339"/>
      <c r="J388" s="339"/>
      <c r="K388" s="339"/>
      <c r="L388" s="339"/>
      <c r="O388" s="377"/>
      <c r="AI388" s="31"/>
      <c r="AJ388" s="31"/>
      <c r="AK388" s="32"/>
      <c r="AL388" s="33"/>
      <c r="AM388" s="32"/>
      <c r="AN388" s="33"/>
      <c r="AO388" s="32"/>
      <c r="AP388" s="32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372"/>
      <c r="BD388" s="372"/>
      <c r="BE388" s="372"/>
      <c r="BF388" s="372"/>
      <c r="BG388" s="372"/>
      <c r="BH388" s="372"/>
      <c r="BI388" s="372"/>
      <c r="BJ388" s="372"/>
      <c r="BK388" s="372"/>
      <c r="BL388" s="372"/>
      <c r="BM388" s="372"/>
      <c r="BN388" s="372"/>
      <c r="BO388" s="372"/>
      <c r="BP388" s="372"/>
      <c r="BQ388" s="372"/>
      <c r="BR388" s="372"/>
      <c r="BS388" s="372"/>
      <c r="BT388" s="372"/>
      <c r="BU388" s="372"/>
      <c r="BV388" s="372"/>
      <c r="BW388" s="372"/>
      <c r="BX388" s="372"/>
    </row>
    <row r="389" spans="2:76" s="28" customFormat="1">
      <c r="B389" s="136"/>
      <c r="D389" s="464"/>
      <c r="E389" s="29"/>
      <c r="G389" s="338"/>
      <c r="H389" s="339"/>
      <c r="I389" s="339"/>
      <c r="J389" s="339"/>
      <c r="K389" s="339"/>
      <c r="L389" s="339"/>
      <c r="O389" s="379"/>
      <c r="AI389" s="31"/>
      <c r="AJ389" s="31"/>
      <c r="AK389" s="32"/>
      <c r="AL389" s="33"/>
      <c r="AM389" s="32"/>
      <c r="AN389" s="33"/>
      <c r="AO389" s="32"/>
      <c r="AP389" s="32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372"/>
      <c r="BD389" s="372"/>
      <c r="BE389" s="372"/>
      <c r="BF389" s="372"/>
      <c r="BG389" s="372"/>
      <c r="BH389" s="372"/>
      <c r="BI389" s="372"/>
      <c r="BJ389" s="372"/>
      <c r="BK389" s="372"/>
      <c r="BL389" s="372"/>
      <c r="BM389" s="372"/>
      <c r="BN389" s="372"/>
      <c r="BO389" s="372"/>
      <c r="BP389" s="372"/>
      <c r="BQ389" s="372"/>
      <c r="BR389" s="372"/>
      <c r="BS389" s="372"/>
      <c r="BT389" s="372"/>
      <c r="BU389" s="372"/>
      <c r="BV389" s="372"/>
      <c r="BW389" s="372"/>
      <c r="BX389" s="372"/>
    </row>
    <row r="390" spans="2:76" s="28" customFormat="1">
      <c r="B390" s="136"/>
      <c r="D390" s="464"/>
      <c r="E390" s="29"/>
      <c r="G390" s="338"/>
      <c r="H390" s="339"/>
      <c r="I390" s="339"/>
      <c r="J390" s="339"/>
      <c r="K390" s="339"/>
      <c r="L390" s="339"/>
      <c r="O390" s="379"/>
      <c r="AI390" s="31"/>
      <c r="AJ390" s="31"/>
      <c r="AK390" s="32"/>
      <c r="AL390" s="33"/>
      <c r="AM390" s="32"/>
      <c r="AN390" s="33"/>
      <c r="AO390" s="32"/>
      <c r="AP390" s="32"/>
      <c r="AQ390" s="136"/>
      <c r="AR390" s="136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  <c r="BC390" s="372"/>
      <c r="BD390" s="372"/>
      <c r="BE390" s="372"/>
      <c r="BF390" s="372"/>
      <c r="BG390" s="372"/>
      <c r="BH390" s="372"/>
      <c r="BI390" s="372"/>
      <c r="BJ390" s="372"/>
      <c r="BK390" s="372"/>
      <c r="BL390" s="372"/>
      <c r="BM390" s="372"/>
      <c r="BN390" s="372"/>
      <c r="BO390" s="372"/>
      <c r="BP390" s="372"/>
      <c r="BQ390" s="372"/>
      <c r="BR390" s="372"/>
      <c r="BS390" s="372"/>
      <c r="BT390" s="372"/>
      <c r="BU390" s="372"/>
      <c r="BV390" s="372"/>
      <c r="BW390" s="372"/>
      <c r="BX390" s="372"/>
    </row>
    <row r="391" spans="2:76" s="28" customFormat="1">
      <c r="B391" s="136"/>
      <c r="D391" s="464"/>
      <c r="E391" s="29"/>
      <c r="G391" s="338"/>
      <c r="H391" s="339"/>
      <c r="I391" s="339"/>
      <c r="J391" s="339"/>
      <c r="K391" s="339"/>
      <c r="L391" s="339"/>
      <c r="O391" s="377"/>
      <c r="AI391" s="31"/>
      <c r="AJ391" s="31"/>
      <c r="AK391" s="32"/>
      <c r="AL391" s="33"/>
      <c r="AM391" s="32"/>
      <c r="AN391" s="33"/>
      <c r="AO391" s="32"/>
      <c r="AP391" s="32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372"/>
      <c r="BD391" s="372"/>
      <c r="BE391" s="372"/>
      <c r="BF391" s="372"/>
      <c r="BG391" s="372"/>
      <c r="BH391" s="372"/>
      <c r="BI391" s="372"/>
      <c r="BJ391" s="372"/>
      <c r="BK391" s="372"/>
      <c r="BL391" s="372"/>
      <c r="BM391" s="372"/>
      <c r="BN391" s="372"/>
      <c r="BO391" s="372"/>
      <c r="BP391" s="372"/>
      <c r="BQ391" s="372"/>
      <c r="BR391" s="372"/>
      <c r="BS391" s="372"/>
      <c r="BT391" s="372"/>
      <c r="BU391" s="372"/>
      <c r="BV391" s="372"/>
      <c r="BW391" s="372"/>
      <c r="BX391" s="372"/>
    </row>
    <row r="392" spans="2:76" s="28" customFormat="1">
      <c r="B392" s="136"/>
      <c r="D392" s="464"/>
      <c r="E392" s="29"/>
      <c r="G392" s="338"/>
      <c r="H392" s="339"/>
      <c r="I392" s="339"/>
      <c r="J392" s="339"/>
      <c r="K392" s="339"/>
      <c r="L392" s="339"/>
      <c r="O392" s="380"/>
      <c r="AI392" s="31"/>
      <c r="AJ392" s="31"/>
      <c r="AK392" s="32"/>
      <c r="AL392" s="33"/>
      <c r="AM392" s="32"/>
      <c r="AN392" s="33"/>
      <c r="AO392" s="32"/>
      <c r="AP392" s="32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372"/>
      <c r="BD392" s="372"/>
      <c r="BE392" s="372"/>
      <c r="BF392" s="372"/>
      <c r="BG392" s="372"/>
      <c r="BH392" s="372"/>
      <c r="BI392" s="372"/>
      <c r="BJ392" s="372"/>
      <c r="BK392" s="372"/>
      <c r="BL392" s="372"/>
      <c r="BM392" s="372"/>
      <c r="BN392" s="372"/>
      <c r="BO392" s="372"/>
      <c r="BP392" s="372"/>
      <c r="BQ392" s="372"/>
      <c r="BR392" s="372"/>
      <c r="BS392" s="372"/>
      <c r="BT392" s="372"/>
      <c r="BU392" s="372"/>
      <c r="BV392" s="372"/>
      <c r="BW392" s="372"/>
      <c r="BX392" s="372"/>
    </row>
    <row r="393" spans="2:76" s="28" customFormat="1">
      <c r="B393" s="136"/>
      <c r="D393" s="464"/>
      <c r="E393" s="29"/>
      <c r="G393" s="338"/>
      <c r="H393" s="339"/>
      <c r="I393" s="339"/>
      <c r="J393" s="339"/>
      <c r="K393" s="339"/>
      <c r="L393" s="339"/>
      <c r="O393" s="381"/>
      <c r="AI393" s="31"/>
      <c r="AJ393" s="31"/>
      <c r="AK393" s="32"/>
      <c r="AL393" s="33"/>
      <c r="AM393" s="32"/>
      <c r="AN393" s="33"/>
      <c r="AO393" s="32"/>
      <c r="AP393" s="32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372"/>
      <c r="BD393" s="372"/>
      <c r="BE393" s="372"/>
      <c r="BF393" s="372"/>
      <c r="BG393" s="372"/>
      <c r="BH393" s="372"/>
      <c r="BI393" s="372"/>
      <c r="BJ393" s="372"/>
      <c r="BK393" s="372"/>
      <c r="BL393" s="372"/>
      <c r="BM393" s="372"/>
      <c r="BN393" s="372"/>
      <c r="BO393" s="372"/>
      <c r="BP393" s="372"/>
      <c r="BQ393" s="372"/>
      <c r="BR393" s="372"/>
      <c r="BS393" s="372"/>
      <c r="BT393" s="372"/>
      <c r="BU393" s="372"/>
      <c r="BV393" s="372"/>
      <c r="BW393" s="372"/>
      <c r="BX393" s="372"/>
    </row>
    <row r="394" spans="2:76" s="28" customFormat="1">
      <c r="B394" s="136"/>
      <c r="D394" s="464"/>
      <c r="E394" s="29"/>
      <c r="G394" s="338"/>
      <c r="H394" s="339"/>
      <c r="I394" s="339"/>
      <c r="J394" s="339"/>
      <c r="K394" s="339"/>
      <c r="L394" s="339"/>
      <c r="O394" s="380"/>
      <c r="AI394" s="31"/>
      <c r="AJ394" s="31"/>
      <c r="AK394" s="32"/>
      <c r="AL394" s="33"/>
      <c r="AM394" s="32"/>
      <c r="AN394" s="33"/>
      <c r="AO394" s="32"/>
      <c r="AP394" s="32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372"/>
      <c r="BD394" s="372"/>
      <c r="BE394" s="372"/>
      <c r="BF394" s="372"/>
      <c r="BG394" s="372"/>
      <c r="BH394" s="372"/>
      <c r="BI394" s="372"/>
      <c r="BJ394" s="372"/>
      <c r="BK394" s="372"/>
      <c r="BL394" s="372"/>
      <c r="BM394" s="372"/>
      <c r="BN394" s="372"/>
      <c r="BO394" s="372"/>
      <c r="BP394" s="372"/>
      <c r="BQ394" s="372"/>
      <c r="BR394" s="372"/>
      <c r="BS394" s="372"/>
      <c r="BT394" s="372"/>
      <c r="BU394" s="372"/>
      <c r="BV394" s="372"/>
      <c r="BW394" s="372"/>
      <c r="BX394" s="372"/>
    </row>
    <row r="395" spans="2:76" s="28" customFormat="1">
      <c r="B395" s="136"/>
      <c r="D395" s="464"/>
      <c r="E395" s="29"/>
      <c r="G395" s="338"/>
      <c r="H395" s="339"/>
      <c r="I395" s="339"/>
      <c r="J395" s="339"/>
      <c r="K395" s="339"/>
      <c r="L395" s="339"/>
      <c r="O395" s="382"/>
      <c r="AI395" s="31"/>
      <c r="AJ395" s="31"/>
      <c r="AK395" s="32"/>
      <c r="AL395" s="33"/>
      <c r="AM395" s="32"/>
      <c r="AN395" s="33"/>
      <c r="AO395" s="32"/>
      <c r="AP395" s="32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372"/>
      <c r="BD395" s="372"/>
      <c r="BE395" s="372"/>
      <c r="BF395" s="372"/>
      <c r="BG395" s="372"/>
      <c r="BH395" s="372"/>
      <c r="BI395" s="372"/>
      <c r="BJ395" s="372"/>
      <c r="BK395" s="372"/>
      <c r="BL395" s="372"/>
      <c r="BM395" s="372"/>
      <c r="BN395" s="372"/>
      <c r="BO395" s="372"/>
      <c r="BP395" s="372"/>
      <c r="BQ395" s="372"/>
      <c r="BR395" s="372"/>
      <c r="BS395" s="372"/>
      <c r="BT395" s="372"/>
      <c r="BU395" s="372"/>
      <c r="BV395" s="372"/>
      <c r="BW395" s="372"/>
      <c r="BX395" s="372"/>
    </row>
    <row r="396" spans="2:76" s="28" customFormat="1">
      <c r="B396" s="136"/>
      <c r="D396" s="464"/>
      <c r="E396" s="29"/>
      <c r="G396" s="338"/>
      <c r="H396" s="339"/>
      <c r="I396" s="339"/>
      <c r="J396" s="339"/>
      <c r="K396" s="339"/>
      <c r="L396" s="339"/>
      <c r="O396" s="377"/>
      <c r="AI396" s="31"/>
      <c r="AJ396" s="31"/>
      <c r="AK396" s="32"/>
      <c r="AL396" s="33"/>
      <c r="AM396" s="32"/>
      <c r="AN396" s="33"/>
      <c r="AO396" s="32"/>
      <c r="AP396" s="32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372"/>
      <c r="BD396" s="372"/>
      <c r="BE396" s="372"/>
      <c r="BF396" s="372"/>
      <c r="BG396" s="372"/>
      <c r="BH396" s="372"/>
      <c r="BI396" s="372"/>
      <c r="BJ396" s="372"/>
      <c r="BK396" s="372"/>
      <c r="BL396" s="372"/>
      <c r="BM396" s="372"/>
      <c r="BN396" s="372"/>
      <c r="BO396" s="372"/>
      <c r="BP396" s="372"/>
      <c r="BQ396" s="372"/>
      <c r="BR396" s="372"/>
      <c r="BS396" s="372"/>
      <c r="BT396" s="372"/>
      <c r="BU396" s="372"/>
      <c r="BV396" s="372"/>
      <c r="BW396" s="372"/>
      <c r="BX396" s="372"/>
    </row>
    <row r="397" spans="2:76" s="28" customFormat="1">
      <c r="B397" s="136"/>
      <c r="D397" s="464"/>
      <c r="E397" s="29"/>
      <c r="G397" s="338"/>
      <c r="H397" s="339"/>
      <c r="I397" s="339"/>
      <c r="J397" s="339"/>
      <c r="K397" s="339"/>
      <c r="L397" s="339"/>
      <c r="O397" s="380"/>
      <c r="AI397" s="31"/>
      <c r="AJ397" s="31"/>
      <c r="AK397" s="32"/>
      <c r="AL397" s="33"/>
      <c r="AM397" s="32"/>
      <c r="AN397" s="33"/>
      <c r="AO397" s="32"/>
      <c r="AP397" s="32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372"/>
      <c r="BD397" s="372"/>
      <c r="BE397" s="372"/>
      <c r="BF397" s="372"/>
      <c r="BG397" s="372"/>
      <c r="BH397" s="372"/>
      <c r="BI397" s="372"/>
      <c r="BJ397" s="372"/>
      <c r="BK397" s="372"/>
      <c r="BL397" s="372"/>
      <c r="BM397" s="372"/>
      <c r="BN397" s="372"/>
      <c r="BO397" s="372"/>
      <c r="BP397" s="372"/>
      <c r="BQ397" s="372"/>
      <c r="BR397" s="372"/>
      <c r="BS397" s="372"/>
      <c r="BT397" s="372"/>
      <c r="BU397" s="372"/>
      <c r="BV397" s="372"/>
      <c r="BW397" s="372"/>
      <c r="BX397" s="372"/>
    </row>
    <row r="398" spans="2:76" s="28" customFormat="1">
      <c r="B398" s="136"/>
      <c r="D398" s="464"/>
      <c r="E398" s="29"/>
      <c r="G398" s="338"/>
      <c r="H398" s="339"/>
      <c r="I398" s="339"/>
      <c r="J398" s="339"/>
      <c r="K398" s="339"/>
      <c r="L398" s="339"/>
      <c r="O398" s="377"/>
      <c r="AI398" s="31"/>
      <c r="AJ398" s="31"/>
      <c r="AK398" s="32"/>
      <c r="AL398" s="33"/>
      <c r="AM398" s="32"/>
      <c r="AN398" s="33"/>
      <c r="AO398" s="32"/>
      <c r="AP398" s="32"/>
      <c r="AQ398" s="136"/>
      <c r="AR398" s="136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  <c r="BC398" s="372"/>
      <c r="BD398" s="372"/>
      <c r="BE398" s="372"/>
      <c r="BF398" s="372"/>
      <c r="BG398" s="372"/>
      <c r="BH398" s="372"/>
      <c r="BI398" s="372"/>
      <c r="BJ398" s="372"/>
      <c r="BK398" s="372"/>
      <c r="BL398" s="372"/>
      <c r="BM398" s="372"/>
      <c r="BN398" s="372"/>
      <c r="BO398" s="372"/>
      <c r="BP398" s="372"/>
      <c r="BQ398" s="372"/>
      <c r="BR398" s="372"/>
      <c r="BS398" s="372"/>
      <c r="BT398" s="372"/>
      <c r="BU398" s="372"/>
      <c r="BV398" s="372"/>
      <c r="BW398" s="372"/>
      <c r="BX398" s="372"/>
    </row>
    <row r="399" spans="2:76" s="28" customFormat="1">
      <c r="B399" s="136"/>
      <c r="D399" s="464"/>
      <c r="E399" s="29"/>
      <c r="G399" s="338"/>
      <c r="H399" s="339"/>
      <c r="I399" s="339"/>
      <c r="J399" s="339"/>
      <c r="K399" s="339"/>
      <c r="L399" s="339"/>
      <c r="O399" s="377"/>
      <c r="AI399" s="31"/>
      <c r="AJ399" s="31"/>
      <c r="AK399" s="32"/>
      <c r="AL399" s="33"/>
      <c r="AM399" s="32"/>
      <c r="AN399" s="33"/>
      <c r="AO399" s="32"/>
      <c r="AP399" s="32"/>
      <c r="AQ399" s="136"/>
      <c r="AR399" s="136"/>
      <c r="AS399" s="136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372"/>
      <c r="BD399" s="372"/>
      <c r="BE399" s="372"/>
      <c r="BF399" s="372"/>
      <c r="BG399" s="372"/>
      <c r="BH399" s="372"/>
      <c r="BI399" s="372"/>
      <c r="BJ399" s="372"/>
      <c r="BK399" s="372"/>
      <c r="BL399" s="372"/>
      <c r="BM399" s="372"/>
      <c r="BN399" s="372"/>
      <c r="BO399" s="372"/>
      <c r="BP399" s="372"/>
      <c r="BQ399" s="372"/>
      <c r="BR399" s="372"/>
      <c r="BS399" s="372"/>
      <c r="BT399" s="372"/>
      <c r="BU399" s="372"/>
      <c r="BV399" s="372"/>
      <c r="BW399" s="372"/>
      <c r="BX399" s="372"/>
    </row>
    <row r="400" spans="2:76" s="28" customFormat="1">
      <c r="B400" s="136"/>
      <c r="D400" s="464"/>
      <c r="E400" s="29"/>
      <c r="G400" s="338"/>
      <c r="H400" s="339"/>
      <c r="I400" s="339"/>
      <c r="J400" s="339"/>
      <c r="K400" s="339"/>
      <c r="L400" s="339"/>
      <c r="O400" s="377"/>
      <c r="AI400" s="31"/>
      <c r="AJ400" s="31"/>
      <c r="AK400" s="32"/>
      <c r="AL400" s="33"/>
      <c r="AM400" s="32"/>
      <c r="AN400" s="33"/>
      <c r="AO400" s="32"/>
      <c r="AP400" s="32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372"/>
      <c r="BD400" s="372"/>
      <c r="BE400" s="372"/>
      <c r="BF400" s="372"/>
      <c r="BG400" s="372"/>
      <c r="BH400" s="372"/>
      <c r="BI400" s="372"/>
      <c r="BJ400" s="372"/>
      <c r="BK400" s="372"/>
      <c r="BL400" s="372"/>
      <c r="BM400" s="372"/>
      <c r="BN400" s="372"/>
      <c r="BO400" s="372"/>
      <c r="BP400" s="372"/>
      <c r="BQ400" s="372"/>
      <c r="BR400" s="372"/>
      <c r="BS400" s="372"/>
      <c r="BT400" s="372"/>
      <c r="BU400" s="372"/>
      <c r="BV400" s="372"/>
      <c r="BW400" s="372"/>
      <c r="BX400" s="372"/>
    </row>
    <row r="401" spans="2:76" s="28" customFormat="1">
      <c r="B401" s="136"/>
      <c r="D401" s="464"/>
      <c r="E401" s="29"/>
      <c r="G401" s="338"/>
      <c r="H401" s="339"/>
      <c r="I401" s="339"/>
      <c r="J401" s="339"/>
      <c r="K401" s="339"/>
      <c r="L401" s="339"/>
      <c r="O401" s="378"/>
      <c r="AI401" s="31"/>
      <c r="AJ401" s="31"/>
      <c r="AK401" s="32"/>
      <c r="AL401" s="33"/>
      <c r="AM401" s="32"/>
      <c r="AN401" s="33"/>
      <c r="AO401" s="32"/>
      <c r="AP401" s="32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372"/>
      <c r="BD401" s="372"/>
      <c r="BE401" s="372"/>
      <c r="BF401" s="372"/>
      <c r="BG401" s="372"/>
      <c r="BH401" s="372"/>
      <c r="BI401" s="372"/>
      <c r="BJ401" s="372"/>
      <c r="BK401" s="372"/>
      <c r="BL401" s="372"/>
      <c r="BM401" s="372"/>
      <c r="BN401" s="372"/>
      <c r="BO401" s="372"/>
      <c r="BP401" s="372"/>
      <c r="BQ401" s="372"/>
      <c r="BR401" s="372"/>
      <c r="BS401" s="372"/>
      <c r="BT401" s="372"/>
      <c r="BU401" s="372"/>
      <c r="BV401" s="372"/>
      <c r="BW401" s="372"/>
      <c r="BX401" s="372"/>
    </row>
    <row r="402" spans="2:76" s="28" customFormat="1">
      <c r="B402" s="136"/>
      <c r="D402" s="464"/>
      <c r="E402" s="29"/>
      <c r="G402" s="338"/>
      <c r="H402" s="339"/>
      <c r="I402" s="339"/>
      <c r="J402" s="339"/>
      <c r="K402" s="339"/>
      <c r="L402" s="339"/>
      <c r="O402" s="382"/>
      <c r="AI402" s="31"/>
      <c r="AJ402" s="31"/>
      <c r="AK402" s="32"/>
      <c r="AL402" s="33"/>
      <c r="AM402" s="32"/>
      <c r="AN402" s="33"/>
      <c r="AO402" s="32"/>
      <c r="AP402" s="32"/>
      <c r="AQ402" s="136"/>
      <c r="AR402" s="136"/>
      <c r="AS402" s="136"/>
      <c r="AT402" s="136"/>
      <c r="AU402" s="136"/>
      <c r="AV402" s="136"/>
      <c r="AW402" s="136"/>
      <c r="AX402" s="136"/>
      <c r="AY402" s="136"/>
      <c r="AZ402" s="136"/>
      <c r="BA402" s="136"/>
      <c r="BB402" s="136"/>
      <c r="BC402" s="372"/>
      <c r="BD402" s="372"/>
      <c r="BE402" s="372"/>
      <c r="BF402" s="372"/>
      <c r="BG402" s="372"/>
      <c r="BH402" s="372"/>
      <c r="BI402" s="372"/>
      <c r="BJ402" s="372"/>
      <c r="BK402" s="372"/>
      <c r="BL402" s="372"/>
      <c r="BM402" s="372"/>
      <c r="BN402" s="372"/>
      <c r="BO402" s="372"/>
      <c r="BP402" s="372"/>
      <c r="BQ402" s="372"/>
      <c r="BR402" s="372"/>
      <c r="BS402" s="372"/>
      <c r="BT402" s="372"/>
      <c r="BU402" s="372"/>
      <c r="BV402" s="372"/>
      <c r="BW402" s="372"/>
      <c r="BX402" s="372"/>
    </row>
    <row r="403" spans="2:76" s="28" customFormat="1">
      <c r="B403" s="136"/>
      <c r="D403" s="464"/>
      <c r="E403" s="29"/>
      <c r="G403" s="338"/>
      <c r="H403" s="339"/>
      <c r="I403" s="339"/>
      <c r="J403" s="339"/>
      <c r="K403" s="339"/>
      <c r="L403" s="339"/>
      <c r="O403" s="380"/>
      <c r="AI403" s="31"/>
      <c r="AJ403" s="31"/>
      <c r="AK403" s="32"/>
      <c r="AL403" s="33"/>
      <c r="AM403" s="32"/>
      <c r="AN403" s="33"/>
      <c r="AO403" s="32"/>
      <c r="AP403" s="32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372"/>
      <c r="BD403" s="372"/>
      <c r="BE403" s="372"/>
      <c r="BF403" s="372"/>
      <c r="BG403" s="372"/>
      <c r="BH403" s="372"/>
      <c r="BI403" s="372"/>
      <c r="BJ403" s="372"/>
      <c r="BK403" s="372"/>
      <c r="BL403" s="372"/>
      <c r="BM403" s="372"/>
      <c r="BN403" s="372"/>
      <c r="BO403" s="372"/>
      <c r="BP403" s="372"/>
      <c r="BQ403" s="372"/>
      <c r="BR403" s="372"/>
      <c r="BS403" s="372"/>
      <c r="BT403" s="372"/>
      <c r="BU403" s="372"/>
      <c r="BV403" s="372"/>
      <c r="BW403" s="372"/>
      <c r="BX403" s="372"/>
    </row>
    <row r="404" spans="2:76" s="28" customFormat="1">
      <c r="B404" s="136"/>
      <c r="D404" s="464"/>
      <c r="E404" s="29"/>
      <c r="G404" s="338"/>
      <c r="H404" s="339"/>
      <c r="I404" s="339"/>
      <c r="J404" s="339"/>
      <c r="K404" s="339"/>
      <c r="L404" s="339"/>
      <c r="O404" s="377"/>
      <c r="AI404" s="31"/>
      <c r="AJ404" s="31"/>
      <c r="AK404" s="32"/>
      <c r="AL404" s="33"/>
      <c r="AM404" s="32"/>
      <c r="AN404" s="33"/>
      <c r="AO404" s="32"/>
      <c r="AP404" s="32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372"/>
      <c r="BD404" s="372"/>
      <c r="BE404" s="372"/>
      <c r="BF404" s="372"/>
      <c r="BG404" s="372"/>
      <c r="BH404" s="372"/>
      <c r="BI404" s="372"/>
      <c r="BJ404" s="372"/>
      <c r="BK404" s="372"/>
      <c r="BL404" s="372"/>
      <c r="BM404" s="372"/>
      <c r="BN404" s="372"/>
      <c r="BO404" s="372"/>
      <c r="BP404" s="372"/>
      <c r="BQ404" s="372"/>
      <c r="BR404" s="372"/>
      <c r="BS404" s="372"/>
      <c r="BT404" s="372"/>
      <c r="BU404" s="372"/>
      <c r="BV404" s="372"/>
      <c r="BW404" s="372"/>
      <c r="BX404" s="372"/>
    </row>
    <row r="405" spans="2:76" s="28" customFormat="1">
      <c r="B405" s="136"/>
      <c r="D405" s="464"/>
      <c r="E405" s="29"/>
      <c r="G405" s="338"/>
      <c r="H405" s="339"/>
      <c r="I405" s="339"/>
      <c r="J405" s="339"/>
      <c r="K405" s="339"/>
      <c r="L405" s="339"/>
      <c r="O405" s="377"/>
      <c r="AI405" s="31"/>
      <c r="AJ405" s="31"/>
      <c r="AK405" s="32"/>
      <c r="AL405" s="33"/>
      <c r="AM405" s="32"/>
      <c r="AN405" s="33"/>
      <c r="AO405" s="32"/>
      <c r="AP405" s="32"/>
      <c r="AQ405" s="136"/>
      <c r="AR405" s="136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372"/>
      <c r="BD405" s="372"/>
      <c r="BE405" s="372"/>
      <c r="BF405" s="372"/>
      <c r="BG405" s="372"/>
      <c r="BH405" s="372"/>
      <c r="BI405" s="372"/>
      <c r="BJ405" s="372"/>
      <c r="BK405" s="372"/>
      <c r="BL405" s="372"/>
      <c r="BM405" s="372"/>
      <c r="BN405" s="372"/>
      <c r="BO405" s="372"/>
      <c r="BP405" s="372"/>
      <c r="BQ405" s="372"/>
      <c r="BR405" s="372"/>
      <c r="BS405" s="372"/>
      <c r="BT405" s="372"/>
      <c r="BU405" s="372"/>
      <c r="BV405" s="372"/>
      <c r="BW405" s="372"/>
      <c r="BX405" s="372"/>
    </row>
    <row r="406" spans="2:76" s="28" customFormat="1">
      <c r="B406" s="136"/>
      <c r="D406" s="464"/>
      <c r="E406" s="29"/>
      <c r="G406" s="338"/>
      <c r="H406" s="339"/>
      <c r="I406" s="339"/>
      <c r="J406" s="339"/>
      <c r="K406" s="339"/>
      <c r="L406" s="339"/>
      <c r="O406" s="379"/>
      <c r="AI406" s="31"/>
      <c r="AJ406" s="31"/>
      <c r="AK406" s="32"/>
      <c r="AL406" s="33"/>
      <c r="AM406" s="32"/>
      <c r="AN406" s="33"/>
      <c r="AO406" s="32"/>
      <c r="AP406" s="32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372"/>
      <c r="BD406" s="372"/>
      <c r="BE406" s="372"/>
      <c r="BF406" s="372"/>
      <c r="BG406" s="372"/>
      <c r="BH406" s="372"/>
      <c r="BI406" s="372"/>
      <c r="BJ406" s="372"/>
      <c r="BK406" s="372"/>
      <c r="BL406" s="372"/>
      <c r="BM406" s="372"/>
      <c r="BN406" s="372"/>
      <c r="BO406" s="372"/>
      <c r="BP406" s="372"/>
      <c r="BQ406" s="372"/>
      <c r="BR406" s="372"/>
      <c r="BS406" s="372"/>
      <c r="BT406" s="372"/>
      <c r="BU406" s="372"/>
      <c r="BV406" s="372"/>
      <c r="BW406" s="372"/>
      <c r="BX406" s="372"/>
    </row>
    <row r="407" spans="2:76" s="28" customFormat="1">
      <c r="B407" s="136"/>
      <c r="D407" s="464"/>
      <c r="E407" s="29"/>
      <c r="G407" s="338"/>
      <c r="H407" s="339"/>
      <c r="I407" s="339"/>
      <c r="J407" s="339"/>
      <c r="K407" s="339"/>
      <c r="L407" s="339"/>
      <c r="O407" s="376"/>
      <c r="AI407" s="31"/>
      <c r="AJ407" s="31"/>
      <c r="AK407" s="32"/>
      <c r="AL407" s="33"/>
      <c r="AM407" s="32"/>
      <c r="AN407" s="33"/>
      <c r="AO407" s="32"/>
      <c r="AP407" s="32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372"/>
      <c r="BD407" s="372"/>
      <c r="BE407" s="372"/>
      <c r="BF407" s="372"/>
      <c r="BG407" s="372"/>
      <c r="BH407" s="372"/>
      <c r="BI407" s="372"/>
      <c r="BJ407" s="372"/>
      <c r="BK407" s="372"/>
      <c r="BL407" s="372"/>
      <c r="BM407" s="372"/>
      <c r="BN407" s="372"/>
      <c r="BO407" s="372"/>
      <c r="BP407" s="372"/>
      <c r="BQ407" s="372"/>
      <c r="BR407" s="372"/>
      <c r="BS407" s="372"/>
      <c r="BT407" s="372"/>
      <c r="BU407" s="372"/>
      <c r="BV407" s="372"/>
      <c r="BW407" s="372"/>
      <c r="BX407" s="372"/>
    </row>
    <row r="408" spans="2:76" s="28" customFormat="1">
      <c r="B408" s="136"/>
      <c r="D408" s="464"/>
      <c r="E408" s="29"/>
      <c r="G408" s="338"/>
      <c r="H408" s="339"/>
      <c r="I408" s="339"/>
      <c r="J408" s="339"/>
      <c r="K408" s="339"/>
      <c r="L408" s="339"/>
      <c r="O408" s="377"/>
      <c r="AI408" s="31"/>
      <c r="AJ408" s="31"/>
      <c r="AK408" s="32"/>
      <c r="AL408" s="33"/>
      <c r="AM408" s="32"/>
      <c r="AN408" s="33"/>
      <c r="AO408" s="32"/>
      <c r="AP408" s="32"/>
      <c r="AQ408" s="136"/>
      <c r="AR408" s="136"/>
      <c r="AS408" s="136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372"/>
      <c r="BD408" s="372"/>
      <c r="BE408" s="372"/>
      <c r="BF408" s="372"/>
      <c r="BG408" s="372"/>
      <c r="BH408" s="372"/>
      <c r="BI408" s="372"/>
      <c r="BJ408" s="372"/>
      <c r="BK408" s="372"/>
      <c r="BL408" s="372"/>
      <c r="BM408" s="372"/>
      <c r="BN408" s="372"/>
      <c r="BO408" s="372"/>
      <c r="BP408" s="372"/>
      <c r="BQ408" s="372"/>
      <c r="BR408" s="372"/>
      <c r="BS408" s="372"/>
      <c r="BT408" s="372"/>
      <c r="BU408" s="372"/>
      <c r="BV408" s="372"/>
      <c r="BW408" s="372"/>
      <c r="BX408" s="372"/>
    </row>
    <row r="409" spans="2:76" s="28" customFormat="1">
      <c r="B409" s="136"/>
      <c r="D409" s="464"/>
      <c r="E409" s="29"/>
      <c r="G409" s="338"/>
      <c r="H409" s="339"/>
      <c r="I409" s="339"/>
      <c r="J409" s="339"/>
      <c r="K409" s="339"/>
      <c r="L409" s="339"/>
      <c r="O409" s="382"/>
      <c r="AI409" s="31"/>
      <c r="AJ409" s="31"/>
      <c r="AK409" s="32"/>
      <c r="AL409" s="33"/>
      <c r="AM409" s="32"/>
      <c r="AN409" s="33"/>
      <c r="AO409" s="32"/>
      <c r="AP409" s="32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372"/>
      <c r="BD409" s="372"/>
      <c r="BE409" s="372"/>
      <c r="BF409" s="372"/>
      <c r="BG409" s="372"/>
      <c r="BH409" s="372"/>
      <c r="BI409" s="372"/>
      <c r="BJ409" s="372"/>
      <c r="BK409" s="372"/>
      <c r="BL409" s="372"/>
      <c r="BM409" s="372"/>
      <c r="BN409" s="372"/>
      <c r="BO409" s="372"/>
      <c r="BP409" s="372"/>
      <c r="BQ409" s="372"/>
      <c r="BR409" s="372"/>
      <c r="BS409" s="372"/>
      <c r="BT409" s="372"/>
      <c r="BU409" s="372"/>
      <c r="BV409" s="372"/>
      <c r="BW409" s="372"/>
      <c r="BX409" s="372"/>
    </row>
    <row r="410" spans="2:76" s="28" customFormat="1">
      <c r="B410" s="136"/>
      <c r="D410" s="464"/>
      <c r="E410" s="29"/>
      <c r="G410" s="338"/>
      <c r="H410" s="339"/>
      <c r="I410" s="339"/>
      <c r="J410" s="339"/>
      <c r="K410" s="339"/>
      <c r="L410" s="339"/>
      <c r="O410" s="380"/>
      <c r="AI410" s="31"/>
      <c r="AJ410" s="31"/>
      <c r="AK410" s="32"/>
      <c r="AL410" s="33"/>
      <c r="AM410" s="32"/>
      <c r="AN410" s="33"/>
      <c r="AO410" s="32"/>
      <c r="AP410" s="32"/>
      <c r="AQ410" s="136"/>
      <c r="AR410" s="136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372"/>
      <c r="BD410" s="372"/>
      <c r="BE410" s="372"/>
      <c r="BF410" s="372"/>
      <c r="BG410" s="372"/>
      <c r="BH410" s="372"/>
      <c r="BI410" s="372"/>
      <c r="BJ410" s="372"/>
      <c r="BK410" s="372"/>
      <c r="BL410" s="372"/>
      <c r="BM410" s="372"/>
      <c r="BN410" s="372"/>
      <c r="BO410" s="372"/>
      <c r="BP410" s="372"/>
      <c r="BQ410" s="372"/>
      <c r="BR410" s="372"/>
      <c r="BS410" s="372"/>
      <c r="BT410" s="372"/>
      <c r="BU410" s="372"/>
      <c r="BV410" s="372"/>
      <c r="BW410" s="372"/>
      <c r="BX410" s="372"/>
    </row>
    <row r="411" spans="2:76" s="28" customFormat="1">
      <c r="B411" s="136"/>
      <c r="D411" s="464"/>
      <c r="E411" s="29"/>
      <c r="G411" s="338"/>
      <c r="H411" s="339"/>
      <c r="I411" s="339"/>
      <c r="J411" s="339"/>
      <c r="K411" s="339"/>
      <c r="L411" s="339"/>
      <c r="O411" s="377"/>
      <c r="AI411" s="31"/>
      <c r="AJ411" s="31"/>
      <c r="AK411" s="32"/>
      <c r="AL411" s="33"/>
      <c r="AM411" s="32"/>
      <c r="AN411" s="33"/>
      <c r="AO411" s="32"/>
      <c r="AP411" s="32"/>
      <c r="AQ411" s="136"/>
      <c r="AR411" s="136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372"/>
      <c r="BD411" s="372"/>
      <c r="BE411" s="372"/>
      <c r="BF411" s="372"/>
      <c r="BG411" s="372"/>
      <c r="BH411" s="372"/>
      <c r="BI411" s="372"/>
      <c r="BJ411" s="372"/>
      <c r="BK411" s="372"/>
      <c r="BL411" s="372"/>
      <c r="BM411" s="372"/>
      <c r="BN411" s="372"/>
      <c r="BO411" s="372"/>
      <c r="BP411" s="372"/>
      <c r="BQ411" s="372"/>
      <c r="BR411" s="372"/>
      <c r="BS411" s="372"/>
      <c r="BT411" s="372"/>
      <c r="BU411" s="372"/>
      <c r="BV411" s="372"/>
      <c r="BW411" s="372"/>
      <c r="BX411" s="372"/>
    </row>
    <row r="412" spans="2:76" s="28" customFormat="1">
      <c r="B412" s="136"/>
      <c r="D412" s="464"/>
      <c r="E412" s="29"/>
      <c r="G412" s="338"/>
      <c r="H412" s="339"/>
      <c r="I412" s="339"/>
      <c r="J412" s="339"/>
      <c r="K412" s="339"/>
      <c r="L412" s="339"/>
      <c r="O412" s="381"/>
      <c r="AI412" s="31"/>
      <c r="AJ412" s="31"/>
      <c r="AK412" s="32"/>
      <c r="AL412" s="33"/>
      <c r="AM412" s="32"/>
      <c r="AN412" s="33"/>
      <c r="AO412" s="32"/>
      <c r="AP412" s="32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372"/>
      <c r="BD412" s="372"/>
      <c r="BE412" s="372"/>
      <c r="BF412" s="372"/>
      <c r="BG412" s="372"/>
      <c r="BH412" s="372"/>
      <c r="BI412" s="372"/>
      <c r="BJ412" s="372"/>
      <c r="BK412" s="372"/>
      <c r="BL412" s="372"/>
      <c r="BM412" s="372"/>
      <c r="BN412" s="372"/>
      <c r="BO412" s="372"/>
      <c r="BP412" s="372"/>
      <c r="BQ412" s="372"/>
      <c r="BR412" s="372"/>
      <c r="BS412" s="372"/>
      <c r="BT412" s="372"/>
      <c r="BU412" s="372"/>
      <c r="BV412" s="372"/>
      <c r="BW412" s="372"/>
      <c r="BX412" s="372"/>
    </row>
    <row r="413" spans="2:76" s="28" customFormat="1">
      <c r="B413" s="136"/>
      <c r="D413" s="464"/>
      <c r="E413" s="29"/>
      <c r="G413" s="338"/>
      <c r="H413" s="339"/>
      <c r="I413" s="339"/>
      <c r="J413" s="339"/>
      <c r="K413" s="339"/>
      <c r="L413" s="339"/>
      <c r="O413" s="377"/>
      <c r="AI413" s="31"/>
      <c r="AJ413" s="31"/>
      <c r="AK413" s="32"/>
      <c r="AL413" s="33"/>
      <c r="AM413" s="32"/>
      <c r="AN413" s="33"/>
      <c r="AO413" s="32"/>
      <c r="AP413" s="32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372"/>
      <c r="BD413" s="372"/>
      <c r="BE413" s="372"/>
      <c r="BF413" s="372"/>
      <c r="BG413" s="372"/>
      <c r="BH413" s="372"/>
      <c r="BI413" s="372"/>
      <c r="BJ413" s="372"/>
      <c r="BK413" s="372"/>
      <c r="BL413" s="372"/>
      <c r="BM413" s="372"/>
      <c r="BN413" s="372"/>
      <c r="BO413" s="372"/>
      <c r="BP413" s="372"/>
      <c r="BQ413" s="372"/>
      <c r="BR413" s="372"/>
      <c r="BS413" s="372"/>
      <c r="BT413" s="372"/>
      <c r="BU413" s="372"/>
      <c r="BV413" s="372"/>
      <c r="BW413" s="372"/>
      <c r="BX413" s="372"/>
    </row>
    <row r="414" spans="2:76" s="28" customFormat="1">
      <c r="B414" s="136"/>
      <c r="D414" s="464"/>
      <c r="E414" s="29"/>
      <c r="G414" s="338"/>
      <c r="H414" s="339"/>
      <c r="I414" s="339"/>
      <c r="J414" s="339"/>
      <c r="K414" s="339"/>
      <c r="L414" s="339"/>
      <c r="O414" s="377"/>
      <c r="AI414" s="31"/>
      <c r="AJ414" s="31"/>
      <c r="AK414" s="32"/>
      <c r="AL414" s="33"/>
      <c r="AM414" s="32"/>
      <c r="AN414" s="33"/>
      <c r="AO414" s="32"/>
      <c r="AP414" s="32"/>
      <c r="AQ414" s="136"/>
      <c r="AR414" s="136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372"/>
      <c r="BD414" s="372"/>
      <c r="BE414" s="372"/>
      <c r="BF414" s="372"/>
      <c r="BG414" s="372"/>
      <c r="BH414" s="372"/>
      <c r="BI414" s="372"/>
      <c r="BJ414" s="372"/>
      <c r="BK414" s="372"/>
      <c r="BL414" s="372"/>
      <c r="BM414" s="372"/>
      <c r="BN414" s="372"/>
      <c r="BO414" s="372"/>
      <c r="BP414" s="372"/>
      <c r="BQ414" s="372"/>
      <c r="BR414" s="372"/>
      <c r="BS414" s="372"/>
      <c r="BT414" s="372"/>
      <c r="BU414" s="372"/>
      <c r="BV414" s="372"/>
      <c r="BW414" s="372"/>
      <c r="BX414" s="372"/>
    </row>
    <row r="415" spans="2:76" s="28" customFormat="1">
      <c r="B415" s="136"/>
      <c r="D415" s="464"/>
      <c r="E415" s="29"/>
      <c r="G415" s="338"/>
      <c r="H415" s="339"/>
      <c r="I415" s="339"/>
      <c r="J415" s="339"/>
      <c r="K415" s="339"/>
      <c r="L415" s="339"/>
      <c r="O415" s="379"/>
      <c r="AI415" s="31"/>
      <c r="AJ415" s="31"/>
      <c r="AK415" s="32"/>
      <c r="AL415" s="33"/>
      <c r="AM415" s="32"/>
      <c r="AN415" s="33"/>
      <c r="AO415" s="32"/>
      <c r="AP415" s="32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372"/>
      <c r="BD415" s="372"/>
      <c r="BE415" s="372"/>
      <c r="BF415" s="372"/>
      <c r="BG415" s="372"/>
      <c r="BH415" s="372"/>
      <c r="BI415" s="372"/>
      <c r="BJ415" s="372"/>
      <c r="BK415" s="372"/>
      <c r="BL415" s="372"/>
      <c r="BM415" s="372"/>
      <c r="BN415" s="372"/>
      <c r="BO415" s="372"/>
      <c r="BP415" s="372"/>
      <c r="BQ415" s="372"/>
      <c r="BR415" s="372"/>
      <c r="BS415" s="372"/>
      <c r="BT415" s="372"/>
      <c r="BU415" s="372"/>
      <c r="BV415" s="372"/>
      <c r="BW415" s="372"/>
      <c r="BX415" s="372"/>
    </row>
    <row r="416" spans="2:76" s="28" customFormat="1">
      <c r="B416" s="136"/>
      <c r="D416" s="464"/>
      <c r="E416" s="29"/>
      <c r="G416" s="338"/>
      <c r="H416" s="339"/>
      <c r="I416" s="339"/>
      <c r="J416" s="339"/>
      <c r="K416" s="339"/>
      <c r="L416" s="339"/>
      <c r="O416" s="377"/>
      <c r="AI416" s="31"/>
      <c r="AJ416" s="31"/>
      <c r="AK416" s="32"/>
      <c r="AL416" s="33"/>
      <c r="AM416" s="32"/>
      <c r="AN416" s="33"/>
      <c r="AO416" s="32"/>
      <c r="AP416" s="32"/>
      <c r="AQ416" s="136"/>
      <c r="AR416" s="136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372"/>
      <c r="BD416" s="372"/>
      <c r="BE416" s="372"/>
      <c r="BF416" s="372"/>
      <c r="BG416" s="372"/>
      <c r="BH416" s="372"/>
      <c r="BI416" s="372"/>
      <c r="BJ416" s="372"/>
      <c r="BK416" s="372"/>
      <c r="BL416" s="372"/>
      <c r="BM416" s="372"/>
      <c r="BN416" s="372"/>
      <c r="BO416" s="372"/>
      <c r="BP416" s="372"/>
      <c r="BQ416" s="372"/>
      <c r="BR416" s="372"/>
      <c r="BS416" s="372"/>
      <c r="BT416" s="372"/>
      <c r="BU416" s="372"/>
      <c r="BV416" s="372"/>
      <c r="BW416" s="372"/>
      <c r="BX416" s="372"/>
    </row>
    <row r="417" spans="2:76" s="28" customFormat="1">
      <c r="B417" s="136"/>
      <c r="D417" s="464"/>
      <c r="E417" s="29"/>
      <c r="G417" s="338"/>
      <c r="H417" s="339"/>
      <c r="I417" s="339"/>
      <c r="J417" s="339"/>
      <c r="K417" s="339"/>
      <c r="L417" s="339"/>
      <c r="O417" s="377"/>
      <c r="AI417" s="31"/>
      <c r="AJ417" s="31"/>
      <c r="AK417" s="32"/>
      <c r="AL417" s="33"/>
      <c r="AM417" s="32"/>
      <c r="AN417" s="33"/>
      <c r="AO417" s="32"/>
      <c r="AP417" s="32"/>
      <c r="AQ417" s="136"/>
      <c r="AR417" s="136"/>
      <c r="AS417" s="136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372"/>
      <c r="BD417" s="372"/>
      <c r="BE417" s="372"/>
      <c r="BF417" s="372"/>
      <c r="BG417" s="372"/>
      <c r="BH417" s="372"/>
      <c r="BI417" s="372"/>
      <c r="BJ417" s="372"/>
      <c r="BK417" s="372"/>
      <c r="BL417" s="372"/>
      <c r="BM417" s="372"/>
      <c r="BN417" s="372"/>
      <c r="BO417" s="372"/>
      <c r="BP417" s="372"/>
      <c r="BQ417" s="372"/>
      <c r="BR417" s="372"/>
      <c r="BS417" s="372"/>
      <c r="BT417" s="372"/>
      <c r="BU417" s="372"/>
      <c r="BV417" s="372"/>
      <c r="BW417" s="372"/>
      <c r="BX417" s="372"/>
    </row>
    <row r="418" spans="2:76" s="28" customFormat="1">
      <c r="B418" s="136"/>
      <c r="D418" s="464"/>
      <c r="E418" s="29"/>
      <c r="G418" s="338"/>
      <c r="H418" s="339"/>
      <c r="I418" s="339"/>
      <c r="J418" s="339"/>
      <c r="K418" s="339"/>
      <c r="L418" s="339"/>
      <c r="O418" s="376"/>
      <c r="AI418" s="31"/>
      <c r="AJ418" s="31"/>
      <c r="AK418" s="32"/>
      <c r="AL418" s="33"/>
      <c r="AM418" s="32"/>
      <c r="AN418" s="33"/>
      <c r="AO418" s="32"/>
      <c r="AP418" s="32"/>
      <c r="AQ418" s="136"/>
      <c r="AR418" s="136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372"/>
      <c r="BD418" s="372"/>
      <c r="BE418" s="372"/>
      <c r="BF418" s="372"/>
      <c r="BG418" s="372"/>
      <c r="BH418" s="372"/>
      <c r="BI418" s="372"/>
      <c r="BJ418" s="372"/>
      <c r="BK418" s="372"/>
      <c r="BL418" s="372"/>
      <c r="BM418" s="372"/>
      <c r="BN418" s="372"/>
      <c r="BO418" s="372"/>
      <c r="BP418" s="372"/>
      <c r="BQ418" s="372"/>
      <c r="BR418" s="372"/>
      <c r="BS418" s="372"/>
      <c r="BT418" s="372"/>
      <c r="BU418" s="372"/>
      <c r="BV418" s="372"/>
      <c r="BW418" s="372"/>
      <c r="BX418" s="372"/>
    </row>
    <row r="419" spans="2:76" s="28" customFormat="1">
      <c r="B419" s="136"/>
      <c r="D419" s="464"/>
      <c r="E419" s="29"/>
      <c r="G419" s="338"/>
      <c r="H419" s="339"/>
      <c r="I419" s="339"/>
      <c r="J419" s="339"/>
      <c r="K419" s="339"/>
      <c r="L419" s="339"/>
      <c r="O419" s="380"/>
      <c r="AI419" s="31"/>
      <c r="AJ419" s="31"/>
      <c r="AK419" s="32"/>
      <c r="AL419" s="33"/>
      <c r="AM419" s="32"/>
      <c r="AN419" s="33"/>
      <c r="AO419" s="32"/>
      <c r="AP419" s="32"/>
      <c r="AQ419" s="136"/>
      <c r="AR419" s="136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372"/>
      <c r="BD419" s="372"/>
      <c r="BE419" s="372"/>
      <c r="BF419" s="372"/>
      <c r="BG419" s="372"/>
      <c r="BH419" s="372"/>
      <c r="BI419" s="372"/>
      <c r="BJ419" s="372"/>
      <c r="BK419" s="372"/>
      <c r="BL419" s="372"/>
      <c r="BM419" s="372"/>
      <c r="BN419" s="372"/>
      <c r="BO419" s="372"/>
      <c r="BP419" s="372"/>
      <c r="BQ419" s="372"/>
      <c r="BR419" s="372"/>
      <c r="BS419" s="372"/>
      <c r="BT419" s="372"/>
      <c r="BU419" s="372"/>
      <c r="BV419" s="372"/>
      <c r="BW419" s="372"/>
      <c r="BX419" s="372"/>
    </row>
    <row r="420" spans="2:76" s="28" customFormat="1">
      <c r="B420" s="136"/>
      <c r="D420" s="464"/>
      <c r="E420" s="29"/>
      <c r="G420" s="338"/>
      <c r="H420" s="339"/>
      <c r="I420" s="339"/>
      <c r="J420" s="339"/>
      <c r="K420" s="339"/>
      <c r="L420" s="339"/>
      <c r="O420" s="380"/>
      <c r="AI420" s="31"/>
      <c r="AJ420" s="31"/>
      <c r="AK420" s="32"/>
      <c r="AL420" s="33"/>
      <c r="AM420" s="32"/>
      <c r="AN420" s="33"/>
      <c r="AO420" s="32"/>
      <c r="AP420" s="32"/>
      <c r="AQ420" s="136"/>
      <c r="AR420" s="136"/>
      <c r="AS420" s="136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372"/>
      <c r="BD420" s="372"/>
      <c r="BE420" s="372"/>
      <c r="BF420" s="372"/>
      <c r="BG420" s="372"/>
      <c r="BH420" s="372"/>
      <c r="BI420" s="372"/>
      <c r="BJ420" s="372"/>
      <c r="BK420" s="372"/>
      <c r="BL420" s="372"/>
      <c r="BM420" s="372"/>
      <c r="BN420" s="372"/>
      <c r="BO420" s="372"/>
      <c r="BP420" s="372"/>
      <c r="BQ420" s="372"/>
      <c r="BR420" s="372"/>
      <c r="BS420" s="372"/>
      <c r="BT420" s="372"/>
      <c r="BU420" s="372"/>
      <c r="BV420" s="372"/>
      <c r="BW420" s="372"/>
      <c r="BX420" s="372"/>
    </row>
    <row r="421" spans="2:76" s="28" customFormat="1">
      <c r="B421" s="136"/>
      <c r="D421" s="464"/>
      <c r="E421" s="29"/>
      <c r="G421" s="338"/>
      <c r="H421" s="339"/>
      <c r="I421" s="339"/>
      <c r="J421" s="339"/>
      <c r="K421" s="339"/>
      <c r="L421" s="339"/>
      <c r="O421" s="380"/>
      <c r="AI421" s="31"/>
      <c r="AJ421" s="31"/>
      <c r="AK421" s="32"/>
      <c r="AL421" s="33"/>
      <c r="AM421" s="32"/>
      <c r="AN421" s="33"/>
      <c r="AO421" s="32"/>
      <c r="AP421" s="32"/>
      <c r="AQ421" s="136"/>
      <c r="AR421" s="136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372"/>
      <c r="BD421" s="372"/>
      <c r="BE421" s="372"/>
      <c r="BF421" s="372"/>
      <c r="BG421" s="372"/>
      <c r="BH421" s="372"/>
      <c r="BI421" s="372"/>
      <c r="BJ421" s="372"/>
      <c r="BK421" s="372"/>
      <c r="BL421" s="372"/>
      <c r="BM421" s="372"/>
      <c r="BN421" s="372"/>
      <c r="BO421" s="372"/>
      <c r="BP421" s="372"/>
      <c r="BQ421" s="372"/>
      <c r="BR421" s="372"/>
      <c r="BS421" s="372"/>
      <c r="BT421" s="372"/>
      <c r="BU421" s="372"/>
      <c r="BV421" s="372"/>
      <c r="BW421" s="372"/>
      <c r="BX421" s="372"/>
    </row>
    <row r="422" spans="2:76" s="28" customFormat="1">
      <c r="B422" s="136"/>
      <c r="D422" s="464"/>
      <c r="E422" s="29"/>
      <c r="G422" s="338"/>
      <c r="H422" s="339"/>
      <c r="I422" s="339"/>
      <c r="J422" s="339"/>
      <c r="K422" s="339"/>
      <c r="L422" s="339"/>
      <c r="O422" s="377"/>
      <c r="AI422" s="31"/>
      <c r="AJ422" s="31"/>
      <c r="AK422" s="32"/>
      <c r="AL422" s="33"/>
      <c r="AM422" s="32"/>
      <c r="AN422" s="33"/>
      <c r="AO422" s="32"/>
      <c r="AP422" s="32"/>
      <c r="AQ422" s="136"/>
      <c r="AR422" s="136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372"/>
      <c r="BD422" s="372"/>
      <c r="BE422" s="372"/>
      <c r="BF422" s="372"/>
      <c r="BG422" s="372"/>
      <c r="BH422" s="372"/>
      <c r="BI422" s="372"/>
      <c r="BJ422" s="372"/>
      <c r="BK422" s="372"/>
      <c r="BL422" s="372"/>
      <c r="BM422" s="372"/>
      <c r="BN422" s="372"/>
      <c r="BO422" s="372"/>
      <c r="BP422" s="372"/>
      <c r="BQ422" s="372"/>
      <c r="BR422" s="372"/>
      <c r="BS422" s="372"/>
      <c r="BT422" s="372"/>
      <c r="BU422" s="372"/>
      <c r="BV422" s="372"/>
      <c r="BW422" s="372"/>
      <c r="BX422" s="372"/>
    </row>
    <row r="423" spans="2:76" s="28" customFormat="1">
      <c r="B423" s="136"/>
      <c r="D423" s="464"/>
      <c r="E423" s="29"/>
      <c r="G423" s="338"/>
      <c r="H423" s="339"/>
      <c r="I423" s="339"/>
      <c r="J423" s="339"/>
      <c r="K423" s="339"/>
      <c r="L423" s="339"/>
      <c r="O423" s="377"/>
      <c r="AI423" s="31"/>
      <c r="AJ423" s="31"/>
      <c r="AK423" s="32"/>
      <c r="AL423" s="33"/>
      <c r="AM423" s="32"/>
      <c r="AN423" s="33"/>
      <c r="AO423" s="32"/>
      <c r="AP423" s="32"/>
      <c r="AQ423" s="136"/>
      <c r="AR423" s="136"/>
      <c r="AS423" s="136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372"/>
      <c r="BD423" s="372"/>
      <c r="BE423" s="372"/>
      <c r="BF423" s="372"/>
      <c r="BG423" s="372"/>
      <c r="BH423" s="372"/>
      <c r="BI423" s="372"/>
      <c r="BJ423" s="372"/>
      <c r="BK423" s="372"/>
      <c r="BL423" s="372"/>
      <c r="BM423" s="372"/>
      <c r="BN423" s="372"/>
      <c r="BO423" s="372"/>
      <c r="BP423" s="372"/>
      <c r="BQ423" s="372"/>
      <c r="BR423" s="372"/>
      <c r="BS423" s="372"/>
      <c r="BT423" s="372"/>
      <c r="BU423" s="372"/>
      <c r="BV423" s="372"/>
      <c r="BW423" s="372"/>
      <c r="BX423" s="372"/>
    </row>
    <row r="424" spans="2:76" s="28" customFormat="1">
      <c r="B424" s="136"/>
      <c r="D424" s="464"/>
      <c r="E424" s="29"/>
      <c r="G424" s="338"/>
      <c r="H424" s="339"/>
      <c r="I424" s="339"/>
      <c r="J424" s="339"/>
      <c r="K424" s="339"/>
      <c r="L424" s="339"/>
      <c r="O424" s="377"/>
      <c r="AI424" s="31"/>
      <c r="AJ424" s="31"/>
      <c r="AK424" s="32"/>
      <c r="AL424" s="33"/>
      <c r="AM424" s="32"/>
      <c r="AN424" s="33"/>
      <c r="AO424" s="32"/>
      <c r="AP424" s="32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372"/>
      <c r="BD424" s="372"/>
      <c r="BE424" s="372"/>
      <c r="BF424" s="372"/>
      <c r="BG424" s="372"/>
      <c r="BH424" s="372"/>
      <c r="BI424" s="372"/>
      <c r="BJ424" s="372"/>
      <c r="BK424" s="372"/>
      <c r="BL424" s="372"/>
      <c r="BM424" s="372"/>
      <c r="BN424" s="372"/>
      <c r="BO424" s="372"/>
      <c r="BP424" s="372"/>
      <c r="BQ424" s="372"/>
      <c r="BR424" s="372"/>
      <c r="BS424" s="372"/>
      <c r="BT424" s="372"/>
      <c r="BU424" s="372"/>
      <c r="BV424" s="372"/>
      <c r="BW424" s="372"/>
      <c r="BX424" s="372"/>
    </row>
    <row r="425" spans="2:76" s="28" customFormat="1">
      <c r="B425" s="136"/>
      <c r="D425" s="464"/>
      <c r="E425" s="29"/>
      <c r="G425" s="338"/>
      <c r="H425" s="339"/>
      <c r="I425" s="339"/>
      <c r="J425" s="339"/>
      <c r="K425" s="339"/>
      <c r="L425" s="339"/>
      <c r="O425" s="380"/>
      <c r="AI425" s="31"/>
      <c r="AJ425" s="31"/>
      <c r="AK425" s="32"/>
      <c r="AL425" s="33"/>
      <c r="AM425" s="32"/>
      <c r="AN425" s="33"/>
      <c r="AO425" s="32"/>
      <c r="AP425" s="32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372"/>
      <c r="BD425" s="372"/>
      <c r="BE425" s="372"/>
      <c r="BF425" s="372"/>
      <c r="BG425" s="372"/>
      <c r="BH425" s="372"/>
      <c r="BI425" s="372"/>
      <c r="BJ425" s="372"/>
      <c r="BK425" s="372"/>
      <c r="BL425" s="372"/>
      <c r="BM425" s="372"/>
      <c r="BN425" s="372"/>
      <c r="BO425" s="372"/>
      <c r="BP425" s="372"/>
      <c r="BQ425" s="372"/>
      <c r="BR425" s="372"/>
      <c r="BS425" s="372"/>
      <c r="BT425" s="372"/>
      <c r="BU425" s="372"/>
      <c r="BV425" s="372"/>
      <c r="BW425" s="372"/>
      <c r="BX425" s="372"/>
    </row>
    <row r="426" spans="2:76" s="28" customFormat="1">
      <c r="B426" s="136"/>
      <c r="D426" s="464"/>
      <c r="E426" s="29"/>
      <c r="G426" s="338"/>
      <c r="H426" s="339"/>
      <c r="I426" s="339"/>
      <c r="J426" s="339"/>
      <c r="K426" s="339"/>
      <c r="L426" s="339"/>
      <c r="O426" s="377"/>
      <c r="AI426" s="31"/>
      <c r="AJ426" s="31"/>
      <c r="AK426" s="32"/>
      <c r="AL426" s="33"/>
      <c r="AM426" s="32"/>
      <c r="AN426" s="33"/>
      <c r="AO426" s="32"/>
      <c r="AP426" s="32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372"/>
      <c r="BD426" s="372"/>
      <c r="BE426" s="372"/>
      <c r="BF426" s="372"/>
      <c r="BG426" s="372"/>
      <c r="BH426" s="372"/>
      <c r="BI426" s="372"/>
      <c r="BJ426" s="372"/>
      <c r="BK426" s="372"/>
      <c r="BL426" s="372"/>
      <c r="BM426" s="372"/>
      <c r="BN426" s="372"/>
      <c r="BO426" s="372"/>
      <c r="BP426" s="372"/>
      <c r="BQ426" s="372"/>
      <c r="BR426" s="372"/>
      <c r="BS426" s="372"/>
      <c r="BT426" s="372"/>
      <c r="BU426" s="372"/>
      <c r="BV426" s="372"/>
      <c r="BW426" s="372"/>
      <c r="BX426" s="372"/>
    </row>
    <row r="427" spans="2:76" s="28" customFormat="1">
      <c r="B427" s="136"/>
      <c r="D427" s="464"/>
      <c r="E427" s="29"/>
      <c r="G427" s="338"/>
      <c r="H427" s="339"/>
      <c r="I427" s="339"/>
      <c r="J427" s="339"/>
      <c r="K427" s="339"/>
      <c r="L427" s="339"/>
      <c r="O427" s="377"/>
      <c r="AI427" s="31"/>
      <c r="AJ427" s="31"/>
      <c r="AK427" s="32"/>
      <c r="AL427" s="33"/>
      <c r="AM427" s="32"/>
      <c r="AN427" s="33"/>
      <c r="AO427" s="32"/>
      <c r="AP427" s="32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372"/>
      <c r="BD427" s="372"/>
      <c r="BE427" s="372"/>
      <c r="BF427" s="372"/>
      <c r="BG427" s="372"/>
      <c r="BH427" s="372"/>
      <c r="BI427" s="372"/>
      <c r="BJ427" s="372"/>
      <c r="BK427" s="372"/>
      <c r="BL427" s="372"/>
      <c r="BM427" s="372"/>
      <c r="BN427" s="372"/>
      <c r="BO427" s="372"/>
      <c r="BP427" s="372"/>
      <c r="BQ427" s="372"/>
      <c r="BR427" s="372"/>
      <c r="BS427" s="372"/>
      <c r="BT427" s="372"/>
      <c r="BU427" s="372"/>
      <c r="BV427" s="372"/>
      <c r="BW427" s="372"/>
      <c r="BX427" s="372"/>
    </row>
    <row r="428" spans="2:76" s="28" customFormat="1">
      <c r="B428" s="136"/>
      <c r="D428" s="464"/>
      <c r="E428" s="29"/>
      <c r="G428" s="338"/>
      <c r="H428" s="339"/>
      <c r="I428" s="339"/>
      <c r="J428" s="339"/>
      <c r="K428" s="339"/>
      <c r="L428" s="339"/>
      <c r="O428" s="380"/>
      <c r="AI428" s="31"/>
      <c r="AJ428" s="31"/>
      <c r="AK428" s="32"/>
      <c r="AL428" s="33"/>
      <c r="AM428" s="32"/>
      <c r="AN428" s="33"/>
      <c r="AO428" s="32"/>
      <c r="AP428" s="32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372"/>
      <c r="BD428" s="372"/>
      <c r="BE428" s="372"/>
      <c r="BF428" s="372"/>
      <c r="BG428" s="372"/>
      <c r="BH428" s="372"/>
      <c r="BI428" s="372"/>
      <c r="BJ428" s="372"/>
      <c r="BK428" s="372"/>
      <c r="BL428" s="372"/>
      <c r="BM428" s="372"/>
      <c r="BN428" s="372"/>
      <c r="BO428" s="372"/>
      <c r="BP428" s="372"/>
      <c r="BQ428" s="372"/>
      <c r="BR428" s="372"/>
      <c r="BS428" s="372"/>
      <c r="BT428" s="372"/>
      <c r="BU428" s="372"/>
      <c r="BV428" s="372"/>
      <c r="BW428" s="372"/>
      <c r="BX428" s="372"/>
    </row>
    <row r="429" spans="2:76" s="28" customFormat="1">
      <c r="B429" s="136"/>
      <c r="D429" s="464"/>
      <c r="E429" s="29"/>
      <c r="G429" s="338"/>
      <c r="H429" s="339"/>
      <c r="I429" s="339"/>
      <c r="J429" s="339"/>
      <c r="K429" s="339"/>
      <c r="L429" s="339"/>
      <c r="O429" s="383"/>
      <c r="AI429" s="31"/>
      <c r="AJ429" s="31"/>
      <c r="AK429" s="32"/>
      <c r="AL429" s="33"/>
      <c r="AM429" s="32"/>
      <c r="AN429" s="33"/>
      <c r="AO429" s="32"/>
      <c r="AP429" s="32"/>
      <c r="AQ429" s="136"/>
      <c r="AR429" s="136"/>
      <c r="AS429" s="136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372"/>
      <c r="BD429" s="372"/>
      <c r="BE429" s="372"/>
      <c r="BF429" s="372"/>
      <c r="BG429" s="372"/>
      <c r="BH429" s="372"/>
      <c r="BI429" s="372"/>
      <c r="BJ429" s="372"/>
      <c r="BK429" s="372"/>
      <c r="BL429" s="372"/>
      <c r="BM429" s="372"/>
      <c r="BN429" s="372"/>
      <c r="BO429" s="372"/>
      <c r="BP429" s="372"/>
      <c r="BQ429" s="372"/>
      <c r="BR429" s="372"/>
      <c r="BS429" s="372"/>
      <c r="BT429" s="372"/>
      <c r="BU429" s="372"/>
      <c r="BV429" s="372"/>
      <c r="BW429" s="372"/>
      <c r="BX429" s="372"/>
    </row>
    <row r="430" spans="2:76" s="28" customFormat="1">
      <c r="B430" s="136"/>
      <c r="D430" s="464"/>
      <c r="E430" s="29"/>
      <c r="G430" s="338"/>
      <c r="H430" s="339"/>
      <c r="I430" s="339"/>
      <c r="J430" s="339"/>
      <c r="K430" s="339"/>
      <c r="L430" s="339"/>
      <c r="O430" s="382"/>
      <c r="AI430" s="31"/>
      <c r="AJ430" s="31"/>
      <c r="AK430" s="32"/>
      <c r="AL430" s="33"/>
      <c r="AM430" s="32"/>
      <c r="AN430" s="33"/>
      <c r="AO430" s="32"/>
      <c r="AP430" s="32"/>
      <c r="AQ430" s="136"/>
      <c r="AR430" s="136"/>
      <c r="AS430" s="136"/>
      <c r="AT430" s="136"/>
      <c r="AU430" s="136"/>
      <c r="AV430" s="136"/>
      <c r="AW430" s="136"/>
      <c r="AX430" s="136"/>
      <c r="AY430" s="136"/>
      <c r="AZ430" s="136"/>
      <c r="BA430" s="136"/>
      <c r="BB430" s="136"/>
      <c r="BC430" s="372"/>
      <c r="BD430" s="372"/>
      <c r="BE430" s="372"/>
      <c r="BF430" s="372"/>
      <c r="BG430" s="372"/>
      <c r="BH430" s="372"/>
      <c r="BI430" s="372"/>
      <c r="BJ430" s="372"/>
      <c r="BK430" s="372"/>
      <c r="BL430" s="372"/>
      <c r="BM430" s="372"/>
      <c r="BN430" s="372"/>
      <c r="BO430" s="372"/>
      <c r="BP430" s="372"/>
      <c r="BQ430" s="372"/>
      <c r="BR430" s="372"/>
      <c r="BS430" s="372"/>
      <c r="BT430" s="372"/>
      <c r="BU430" s="372"/>
      <c r="BV430" s="372"/>
      <c r="BW430" s="372"/>
      <c r="BX430" s="372"/>
    </row>
    <row r="431" spans="2:76" s="28" customFormat="1">
      <c r="B431" s="136"/>
      <c r="D431" s="464"/>
      <c r="E431" s="29"/>
      <c r="G431" s="338"/>
      <c r="H431" s="339"/>
      <c r="I431" s="339"/>
      <c r="J431" s="339"/>
      <c r="K431" s="339"/>
      <c r="L431" s="339"/>
      <c r="O431" s="377"/>
      <c r="AI431" s="31"/>
      <c r="AJ431" s="31"/>
      <c r="AK431" s="32"/>
      <c r="AL431" s="33"/>
      <c r="AM431" s="32"/>
      <c r="AN431" s="33"/>
      <c r="AO431" s="32"/>
      <c r="AP431" s="32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372"/>
      <c r="BD431" s="372"/>
      <c r="BE431" s="372"/>
      <c r="BF431" s="372"/>
      <c r="BG431" s="372"/>
      <c r="BH431" s="372"/>
      <c r="BI431" s="372"/>
      <c r="BJ431" s="372"/>
      <c r="BK431" s="372"/>
      <c r="BL431" s="372"/>
      <c r="BM431" s="372"/>
      <c r="BN431" s="372"/>
      <c r="BO431" s="372"/>
      <c r="BP431" s="372"/>
      <c r="BQ431" s="372"/>
      <c r="BR431" s="372"/>
      <c r="BS431" s="372"/>
      <c r="BT431" s="372"/>
      <c r="BU431" s="372"/>
      <c r="BV431" s="372"/>
      <c r="BW431" s="372"/>
      <c r="BX431" s="372"/>
    </row>
    <row r="432" spans="2:76" s="28" customFormat="1">
      <c r="B432" s="136"/>
      <c r="D432" s="464"/>
      <c r="E432" s="29"/>
      <c r="G432" s="338"/>
      <c r="H432" s="339"/>
      <c r="I432" s="339"/>
      <c r="J432" s="339"/>
      <c r="K432" s="339"/>
      <c r="L432" s="339"/>
      <c r="O432" s="382"/>
      <c r="AI432" s="31"/>
      <c r="AJ432" s="31"/>
      <c r="AK432" s="32"/>
      <c r="AL432" s="33"/>
      <c r="AM432" s="32"/>
      <c r="AN432" s="33"/>
      <c r="AO432" s="32"/>
      <c r="AP432" s="32"/>
      <c r="AQ432" s="136"/>
      <c r="AR432" s="136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372"/>
      <c r="BD432" s="372"/>
      <c r="BE432" s="372"/>
      <c r="BF432" s="372"/>
      <c r="BG432" s="372"/>
      <c r="BH432" s="372"/>
      <c r="BI432" s="372"/>
      <c r="BJ432" s="372"/>
      <c r="BK432" s="372"/>
      <c r="BL432" s="372"/>
      <c r="BM432" s="372"/>
      <c r="BN432" s="372"/>
      <c r="BO432" s="372"/>
      <c r="BP432" s="372"/>
      <c r="BQ432" s="372"/>
      <c r="BR432" s="372"/>
      <c r="BS432" s="372"/>
      <c r="BT432" s="372"/>
      <c r="BU432" s="372"/>
      <c r="BV432" s="372"/>
      <c r="BW432" s="372"/>
      <c r="BX432" s="372"/>
    </row>
    <row r="433" spans="2:76" s="28" customFormat="1">
      <c r="B433" s="136"/>
      <c r="D433" s="464"/>
      <c r="E433" s="29"/>
      <c r="G433" s="338"/>
      <c r="H433" s="339"/>
      <c r="I433" s="339"/>
      <c r="J433" s="339"/>
      <c r="K433" s="339"/>
      <c r="L433" s="339"/>
      <c r="O433" s="377"/>
      <c r="AI433" s="31"/>
      <c r="AJ433" s="31"/>
      <c r="AK433" s="32"/>
      <c r="AL433" s="33"/>
      <c r="AM433" s="32"/>
      <c r="AN433" s="33"/>
      <c r="AO433" s="32"/>
      <c r="AP433" s="32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372"/>
      <c r="BD433" s="372"/>
      <c r="BE433" s="372"/>
      <c r="BF433" s="372"/>
      <c r="BG433" s="372"/>
      <c r="BH433" s="372"/>
      <c r="BI433" s="372"/>
      <c r="BJ433" s="372"/>
      <c r="BK433" s="372"/>
      <c r="BL433" s="372"/>
      <c r="BM433" s="372"/>
      <c r="BN433" s="372"/>
      <c r="BO433" s="372"/>
      <c r="BP433" s="372"/>
      <c r="BQ433" s="372"/>
      <c r="BR433" s="372"/>
      <c r="BS433" s="372"/>
      <c r="BT433" s="372"/>
      <c r="BU433" s="372"/>
      <c r="BV433" s="372"/>
      <c r="BW433" s="372"/>
      <c r="BX433" s="372"/>
    </row>
    <row r="434" spans="2:76" s="28" customFormat="1">
      <c r="B434" s="136"/>
      <c r="D434" s="464"/>
      <c r="E434" s="29"/>
      <c r="G434" s="338"/>
      <c r="H434" s="339"/>
      <c r="I434" s="339"/>
      <c r="J434" s="339"/>
      <c r="K434" s="339"/>
      <c r="L434" s="339"/>
      <c r="O434" s="381"/>
      <c r="AI434" s="31"/>
      <c r="AJ434" s="31"/>
      <c r="AK434" s="32"/>
      <c r="AL434" s="33"/>
      <c r="AM434" s="32"/>
      <c r="AN434" s="33"/>
      <c r="AO434" s="32"/>
      <c r="AP434" s="32"/>
      <c r="AQ434" s="136"/>
      <c r="AR434" s="136"/>
      <c r="AS434" s="136"/>
      <c r="AT434" s="136"/>
      <c r="AU434" s="136"/>
      <c r="AV434" s="136"/>
      <c r="AW434" s="136"/>
      <c r="AX434" s="136"/>
      <c r="AY434" s="136"/>
      <c r="AZ434" s="136"/>
      <c r="BA434" s="136"/>
      <c r="BB434" s="136"/>
      <c r="BC434" s="372"/>
      <c r="BD434" s="372"/>
      <c r="BE434" s="372"/>
      <c r="BF434" s="372"/>
      <c r="BG434" s="372"/>
      <c r="BH434" s="372"/>
      <c r="BI434" s="372"/>
      <c r="BJ434" s="372"/>
      <c r="BK434" s="372"/>
      <c r="BL434" s="372"/>
      <c r="BM434" s="372"/>
      <c r="BN434" s="372"/>
      <c r="BO434" s="372"/>
      <c r="BP434" s="372"/>
      <c r="BQ434" s="372"/>
      <c r="BR434" s="372"/>
      <c r="BS434" s="372"/>
      <c r="BT434" s="372"/>
      <c r="BU434" s="372"/>
      <c r="BV434" s="372"/>
      <c r="BW434" s="372"/>
      <c r="BX434" s="372"/>
    </row>
    <row r="435" spans="2:76" s="28" customFormat="1">
      <c r="B435" s="136"/>
      <c r="D435" s="464"/>
      <c r="E435" s="29"/>
      <c r="G435" s="338"/>
      <c r="H435" s="339"/>
      <c r="I435" s="339"/>
      <c r="J435" s="339"/>
      <c r="K435" s="339"/>
      <c r="L435" s="339"/>
      <c r="O435" s="377"/>
      <c r="AI435" s="31"/>
      <c r="AJ435" s="31"/>
      <c r="AK435" s="32"/>
      <c r="AL435" s="33"/>
      <c r="AM435" s="32"/>
      <c r="AN435" s="33"/>
      <c r="AO435" s="32"/>
      <c r="AP435" s="32"/>
      <c r="AQ435" s="136"/>
      <c r="AR435" s="136"/>
      <c r="AS435" s="136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372"/>
      <c r="BD435" s="372"/>
      <c r="BE435" s="372"/>
      <c r="BF435" s="372"/>
      <c r="BG435" s="372"/>
      <c r="BH435" s="372"/>
      <c r="BI435" s="372"/>
      <c r="BJ435" s="372"/>
      <c r="BK435" s="372"/>
      <c r="BL435" s="372"/>
      <c r="BM435" s="372"/>
      <c r="BN435" s="372"/>
      <c r="BO435" s="372"/>
      <c r="BP435" s="372"/>
      <c r="BQ435" s="372"/>
      <c r="BR435" s="372"/>
      <c r="BS435" s="372"/>
      <c r="BT435" s="372"/>
      <c r="BU435" s="372"/>
      <c r="BV435" s="372"/>
      <c r="BW435" s="372"/>
      <c r="BX435" s="372"/>
    </row>
    <row r="436" spans="2:76" s="28" customFormat="1">
      <c r="B436" s="136"/>
      <c r="D436" s="464"/>
      <c r="E436" s="29"/>
      <c r="G436" s="338"/>
      <c r="H436" s="339"/>
      <c r="I436" s="339"/>
      <c r="J436" s="339"/>
      <c r="K436" s="339"/>
      <c r="L436" s="339"/>
      <c r="O436" s="380"/>
      <c r="AI436" s="31"/>
      <c r="AJ436" s="31"/>
      <c r="AK436" s="32"/>
      <c r="AL436" s="33"/>
      <c r="AM436" s="32"/>
      <c r="AN436" s="33"/>
      <c r="AO436" s="32"/>
      <c r="AP436" s="32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372"/>
      <c r="BD436" s="372"/>
      <c r="BE436" s="372"/>
      <c r="BF436" s="372"/>
      <c r="BG436" s="372"/>
      <c r="BH436" s="372"/>
      <c r="BI436" s="372"/>
      <c r="BJ436" s="372"/>
      <c r="BK436" s="372"/>
      <c r="BL436" s="372"/>
      <c r="BM436" s="372"/>
      <c r="BN436" s="372"/>
      <c r="BO436" s="372"/>
      <c r="BP436" s="372"/>
      <c r="BQ436" s="372"/>
      <c r="BR436" s="372"/>
      <c r="BS436" s="372"/>
      <c r="BT436" s="372"/>
      <c r="BU436" s="372"/>
      <c r="BV436" s="372"/>
      <c r="BW436" s="372"/>
      <c r="BX436" s="372"/>
    </row>
    <row r="437" spans="2:76" s="28" customFormat="1">
      <c r="B437" s="136"/>
      <c r="D437" s="464"/>
      <c r="E437" s="29"/>
      <c r="G437" s="338"/>
      <c r="H437" s="339"/>
      <c r="I437" s="339"/>
      <c r="J437" s="339"/>
      <c r="K437" s="339"/>
      <c r="L437" s="339"/>
      <c r="O437" s="381"/>
      <c r="AI437" s="31"/>
      <c r="AJ437" s="31"/>
      <c r="AK437" s="32"/>
      <c r="AL437" s="33"/>
      <c r="AM437" s="32"/>
      <c r="AN437" s="33"/>
      <c r="AO437" s="32"/>
      <c r="AP437" s="32"/>
      <c r="AQ437" s="136"/>
      <c r="AR437" s="136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372"/>
      <c r="BD437" s="372"/>
      <c r="BE437" s="372"/>
      <c r="BF437" s="372"/>
      <c r="BG437" s="372"/>
      <c r="BH437" s="372"/>
      <c r="BI437" s="372"/>
      <c r="BJ437" s="372"/>
      <c r="BK437" s="372"/>
      <c r="BL437" s="372"/>
      <c r="BM437" s="372"/>
      <c r="BN437" s="372"/>
      <c r="BO437" s="372"/>
      <c r="BP437" s="372"/>
      <c r="BQ437" s="372"/>
      <c r="BR437" s="372"/>
      <c r="BS437" s="372"/>
      <c r="BT437" s="372"/>
      <c r="BU437" s="372"/>
      <c r="BV437" s="372"/>
      <c r="BW437" s="372"/>
      <c r="BX437" s="372"/>
    </row>
    <row r="438" spans="2:76" s="28" customFormat="1">
      <c r="B438" s="136"/>
      <c r="D438" s="464"/>
      <c r="E438" s="29"/>
      <c r="G438" s="338"/>
      <c r="H438" s="339"/>
      <c r="I438" s="339"/>
      <c r="J438" s="339"/>
      <c r="K438" s="339"/>
      <c r="L438" s="339"/>
      <c r="O438" s="379"/>
      <c r="AI438" s="31"/>
      <c r="AJ438" s="31"/>
      <c r="AK438" s="32"/>
      <c r="AL438" s="33"/>
      <c r="AM438" s="32"/>
      <c r="AN438" s="33"/>
      <c r="AO438" s="32"/>
      <c r="AP438" s="32"/>
      <c r="AQ438" s="136"/>
      <c r="AR438" s="136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372"/>
      <c r="BD438" s="372"/>
      <c r="BE438" s="372"/>
      <c r="BF438" s="372"/>
      <c r="BG438" s="372"/>
      <c r="BH438" s="372"/>
      <c r="BI438" s="372"/>
      <c r="BJ438" s="372"/>
      <c r="BK438" s="372"/>
      <c r="BL438" s="372"/>
      <c r="BM438" s="372"/>
      <c r="BN438" s="372"/>
      <c r="BO438" s="372"/>
      <c r="BP438" s="372"/>
      <c r="BQ438" s="372"/>
      <c r="BR438" s="372"/>
      <c r="BS438" s="372"/>
      <c r="BT438" s="372"/>
      <c r="BU438" s="372"/>
      <c r="BV438" s="372"/>
      <c r="BW438" s="372"/>
      <c r="BX438" s="372"/>
    </row>
    <row r="439" spans="2:76" s="28" customFormat="1">
      <c r="B439" s="136"/>
      <c r="D439" s="464"/>
      <c r="E439" s="29"/>
      <c r="G439" s="338"/>
      <c r="H439" s="339"/>
      <c r="I439" s="339"/>
      <c r="J439" s="339"/>
      <c r="K439" s="339"/>
      <c r="L439" s="339"/>
      <c r="O439" s="388"/>
      <c r="AI439" s="31"/>
      <c r="AJ439" s="31"/>
      <c r="AK439" s="32"/>
      <c r="AL439" s="33"/>
      <c r="AM439" s="32"/>
      <c r="AN439" s="33"/>
      <c r="AO439" s="32"/>
      <c r="AP439" s="32"/>
      <c r="AQ439" s="136"/>
      <c r="AR439" s="136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372"/>
      <c r="BD439" s="372"/>
      <c r="BE439" s="372"/>
      <c r="BF439" s="372"/>
      <c r="BG439" s="372"/>
      <c r="BH439" s="372"/>
      <c r="BI439" s="372"/>
      <c r="BJ439" s="372"/>
      <c r="BK439" s="372"/>
      <c r="BL439" s="372"/>
      <c r="BM439" s="372"/>
      <c r="BN439" s="372"/>
      <c r="BO439" s="372"/>
      <c r="BP439" s="372"/>
      <c r="BQ439" s="372"/>
      <c r="BR439" s="372"/>
      <c r="BS439" s="372"/>
      <c r="BT439" s="372"/>
      <c r="BU439" s="372"/>
      <c r="BV439" s="372"/>
      <c r="BW439" s="372"/>
      <c r="BX439" s="372"/>
    </row>
    <row r="440" spans="2:76" s="28" customFormat="1">
      <c r="B440" s="136"/>
      <c r="D440" s="464"/>
      <c r="E440" s="29"/>
      <c r="G440" s="338"/>
      <c r="H440" s="339"/>
      <c r="I440" s="339"/>
      <c r="J440" s="339"/>
      <c r="K440" s="339"/>
      <c r="L440" s="339"/>
      <c r="O440" s="381"/>
      <c r="AI440" s="31"/>
      <c r="AJ440" s="31"/>
      <c r="AK440" s="32"/>
      <c r="AL440" s="33"/>
      <c r="AM440" s="32"/>
      <c r="AN440" s="33"/>
      <c r="AO440" s="32"/>
      <c r="AP440" s="32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372"/>
      <c r="BD440" s="372"/>
      <c r="BE440" s="372"/>
      <c r="BF440" s="372"/>
      <c r="BG440" s="372"/>
      <c r="BH440" s="372"/>
      <c r="BI440" s="372"/>
      <c r="BJ440" s="372"/>
      <c r="BK440" s="372"/>
      <c r="BL440" s="372"/>
      <c r="BM440" s="372"/>
      <c r="BN440" s="372"/>
      <c r="BO440" s="372"/>
      <c r="BP440" s="372"/>
      <c r="BQ440" s="372"/>
      <c r="BR440" s="372"/>
      <c r="BS440" s="372"/>
      <c r="BT440" s="372"/>
      <c r="BU440" s="372"/>
      <c r="BV440" s="372"/>
      <c r="BW440" s="372"/>
      <c r="BX440" s="372"/>
    </row>
    <row r="441" spans="2:76" s="28" customFormat="1">
      <c r="B441" s="136"/>
      <c r="D441" s="464"/>
      <c r="E441" s="29"/>
      <c r="G441" s="338"/>
      <c r="H441" s="339"/>
      <c r="I441" s="339"/>
      <c r="J441" s="339"/>
      <c r="K441" s="339"/>
      <c r="L441" s="339"/>
      <c r="O441" s="377"/>
      <c r="AI441" s="31"/>
      <c r="AJ441" s="31"/>
      <c r="AK441" s="32"/>
      <c r="AL441" s="33"/>
      <c r="AM441" s="32"/>
      <c r="AN441" s="33"/>
      <c r="AO441" s="32"/>
      <c r="AP441" s="32"/>
      <c r="AQ441" s="136"/>
      <c r="AR441" s="136"/>
      <c r="AS441" s="136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372"/>
      <c r="BD441" s="372"/>
      <c r="BE441" s="372"/>
      <c r="BF441" s="372"/>
      <c r="BG441" s="372"/>
      <c r="BH441" s="372"/>
      <c r="BI441" s="372"/>
      <c r="BJ441" s="372"/>
      <c r="BK441" s="372"/>
      <c r="BL441" s="372"/>
      <c r="BM441" s="372"/>
      <c r="BN441" s="372"/>
      <c r="BO441" s="372"/>
      <c r="BP441" s="372"/>
      <c r="BQ441" s="372"/>
      <c r="BR441" s="372"/>
      <c r="BS441" s="372"/>
      <c r="BT441" s="372"/>
      <c r="BU441" s="372"/>
      <c r="BV441" s="372"/>
      <c r="BW441" s="372"/>
      <c r="BX441" s="372"/>
    </row>
    <row r="442" spans="2:76" s="28" customFormat="1">
      <c r="B442" s="136"/>
      <c r="D442" s="464"/>
      <c r="E442" s="29"/>
      <c r="G442" s="338"/>
      <c r="H442" s="339"/>
      <c r="I442" s="339"/>
      <c r="J442" s="339"/>
      <c r="K442" s="339"/>
      <c r="L442" s="339"/>
      <c r="O442" s="381"/>
      <c r="AI442" s="31"/>
      <c r="AJ442" s="31"/>
      <c r="AK442" s="32"/>
      <c r="AL442" s="33"/>
      <c r="AM442" s="32"/>
      <c r="AN442" s="33"/>
      <c r="AO442" s="32"/>
      <c r="AP442" s="32"/>
      <c r="AQ442" s="136"/>
      <c r="AR442" s="136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372"/>
      <c r="BD442" s="372"/>
      <c r="BE442" s="372"/>
      <c r="BF442" s="372"/>
      <c r="BG442" s="372"/>
      <c r="BH442" s="372"/>
      <c r="BI442" s="372"/>
      <c r="BJ442" s="372"/>
      <c r="BK442" s="372"/>
      <c r="BL442" s="372"/>
      <c r="BM442" s="372"/>
      <c r="BN442" s="372"/>
      <c r="BO442" s="372"/>
      <c r="BP442" s="372"/>
      <c r="BQ442" s="372"/>
      <c r="BR442" s="372"/>
      <c r="BS442" s="372"/>
      <c r="BT442" s="372"/>
      <c r="BU442" s="372"/>
      <c r="BV442" s="372"/>
      <c r="BW442" s="372"/>
      <c r="BX442" s="372"/>
    </row>
    <row r="443" spans="2:76" s="28" customFormat="1">
      <c r="B443" s="136"/>
      <c r="D443" s="464"/>
      <c r="E443" s="29"/>
      <c r="G443" s="338"/>
      <c r="H443" s="339"/>
      <c r="I443" s="339"/>
      <c r="J443" s="339"/>
      <c r="K443" s="339"/>
      <c r="L443" s="339"/>
      <c r="O443" s="380"/>
      <c r="AI443" s="31"/>
      <c r="AJ443" s="31"/>
      <c r="AK443" s="32"/>
      <c r="AL443" s="33"/>
      <c r="AM443" s="32"/>
      <c r="AN443" s="33"/>
      <c r="AO443" s="32"/>
      <c r="AP443" s="32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372"/>
      <c r="BD443" s="372"/>
      <c r="BE443" s="372"/>
      <c r="BF443" s="372"/>
      <c r="BG443" s="372"/>
      <c r="BH443" s="372"/>
      <c r="BI443" s="372"/>
      <c r="BJ443" s="372"/>
      <c r="BK443" s="372"/>
      <c r="BL443" s="372"/>
      <c r="BM443" s="372"/>
      <c r="BN443" s="372"/>
      <c r="BO443" s="372"/>
      <c r="BP443" s="372"/>
      <c r="BQ443" s="372"/>
      <c r="BR443" s="372"/>
      <c r="BS443" s="372"/>
      <c r="BT443" s="372"/>
      <c r="BU443" s="372"/>
      <c r="BV443" s="372"/>
      <c r="BW443" s="372"/>
      <c r="BX443" s="372"/>
    </row>
    <row r="444" spans="2:76" s="28" customFormat="1">
      <c r="B444" s="136"/>
      <c r="D444" s="464"/>
      <c r="E444" s="29"/>
      <c r="G444" s="338"/>
      <c r="H444" s="339"/>
      <c r="I444" s="339"/>
      <c r="J444" s="339"/>
      <c r="K444" s="339"/>
      <c r="L444" s="339"/>
      <c r="O444" s="377"/>
      <c r="AI444" s="31"/>
      <c r="AJ444" s="31"/>
      <c r="AK444" s="32"/>
      <c r="AL444" s="33"/>
      <c r="AM444" s="32"/>
      <c r="AN444" s="33"/>
      <c r="AO444" s="32"/>
      <c r="AP444" s="32"/>
      <c r="AQ444" s="136"/>
      <c r="AR444" s="136"/>
      <c r="AS444" s="136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372"/>
      <c r="BD444" s="372"/>
      <c r="BE444" s="372"/>
      <c r="BF444" s="372"/>
      <c r="BG444" s="372"/>
      <c r="BH444" s="372"/>
      <c r="BI444" s="372"/>
      <c r="BJ444" s="372"/>
      <c r="BK444" s="372"/>
      <c r="BL444" s="372"/>
      <c r="BM444" s="372"/>
      <c r="BN444" s="372"/>
      <c r="BO444" s="372"/>
      <c r="BP444" s="372"/>
      <c r="BQ444" s="372"/>
      <c r="BR444" s="372"/>
      <c r="BS444" s="372"/>
      <c r="BT444" s="372"/>
      <c r="BU444" s="372"/>
      <c r="BV444" s="372"/>
      <c r="BW444" s="372"/>
      <c r="BX444" s="372"/>
    </row>
    <row r="445" spans="2:76" s="28" customFormat="1">
      <c r="B445" s="136"/>
      <c r="D445" s="464"/>
      <c r="E445" s="29"/>
      <c r="G445" s="338"/>
      <c r="H445" s="339"/>
      <c r="I445" s="339"/>
      <c r="J445" s="339"/>
      <c r="K445" s="339"/>
      <c r="L445" s="339"/>
      <c r="O445" s="377"/>
      <c r="AI445" s="31"/>
      <c r="AJ445" s="31"/>
      <c r="AK445" s="32"/>
      <c r="AL445" s="33"/>
      <c r="AM445" s="32"/>
      <c r="AN445" s="33"/>
      <c r="AO445" s="32"/>
      <c r="AP445" s="32"/>
      <c r="AQ445" s="136"/>
      <c r="AR445" s="136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372"/>
      <c r="BD445" s="372"/>
      <c r="BE445" s="372"/>
      <c r="BF445" s="372"/>
      <c r="BG445" s="372"/>
      <c r="BH445" s="372"/>
      <c r="BI445" s="372"/>
      <c r="BJ445" s="372"/>
      <c r="BK445" s="372"/>
      <c r="BL445" s="372"/>
      <c r="BM445" s="372"/>
      <c r="BN445" s="372"/>
      <c r="BO445" s="372"/>
      <c r="BP445" s="372"/>
      <c r="BQ445" s="372"/>
      <c r="BR445" s="372"/>
      <c r="BS445" s="372"/>
      <c r="BT445" s="372"/>
      <c r="BU445" s="372"/>
      <c r="BV445" s="372"/>
      <c r="BW445" s="372"/>
      <c r="BX445" s="372"/>
    </row>
    <row r="446" spans="2:76" s="28" customFormat="1">
      <c r="B446" s="136"/>
      <c r="D446" s="464"/>
      <c r="E446" s="29"/>
      <c r="G446" s="338"/>
      <c r="H446" s="339"/>
      <c r="I446" s="339"/>
      <c r="J446" s="339"/>
      <c r="K446" s="339"/>
      <c r="L446" s="339"/>
      <c r="O446" s="382"/>
      <c r="AI446" s="31"/>
      <c r="AJ446" s="31"/>
      <c r="AK446" s="32"/>
      <c r="AL446" s="33"/>
      <c r="AM446" s="32"/>
      <c r="AN446" s="33"/>
      <c r="AO446" s="32"/>
      <c r="AP446" s="32"/>
      <c r="AQ446" s="136"/>
      <c r="AR446" s="136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372"/>
      <c r="BD446" s="372"/>
      <c r="BE446" s="372"/>
      <c r="BF446" s="372"/>
      <c r="BG446" s="372"/>
      <c r="BH446" s="372"/>
      <c r="BI446" s="372"/>
      <c r="BJ446" s="372"/>
      <c r="BK446" s="372"/>
      <c r="BL446" s="372"/>
      <c r="BM446" s="372"/>
      <c r="BN446" s="372"/>
      <c r="BO446" s="372"/>
      <c r="BP446" s="372"/>
      <c r="BQ446" s="372"/>
      <c r="BR446" s="372"/>
      <c r="BS446" s="372"/>
      <c r="BT446" s="372"/>
      <c r="BU446" s="372"/>
      <c r="BV446" s="372"/>
      <c r="BW446" s="372"/>
      <c r="BX446" s="372"/>
    </row>
    <row r="447" spans="2:76" s="28" customFormat="1">
      <c r="B447" s="136"/>
      <c r="D447" s="464"/>
      <c r="E447" s="29"/>
      <c r="G447" s="338"/>
      <c r="H447" s="339"/>
      <c r="I447" s="339"/>
      <c r="J447" s="339"/>
      <c r="K447" s="339"/>
      <c r="L447" s="339"/>
      <c r="O447" s="385"/>
      <c r="AI447" s="31"/>
      <c r="AJ447" s="31"/>
      <c r="AK447" s="32"/>
      <c r="AL447" s="33"/>
      <c r="AM447" s="32"/>
      <c r="AN447" s="33"/>
      <c r="AO447" s="32"/>
      <c r="AP447" s="32"/>
      <c r="AQ447" s="136"/>
      <c r="AR447" s="136"/>
      <c r="AS447" s="136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372"/>
      <c r="BD447" s="372"/>
      <c r="BE447" s="372"/>
      <c r="BF447" s="372"/>
      <c r="BG447" s="372"/>
      <c r="BH447" s="372"/>
      <c r="BI447" s="372"/>
      <c r="BJ447" s="372"/>
      <c r="BK447" s="372"/>
      <c r="BL447" s="372"/>
      <c r="BM447" s="372"/>
      <c r="BN447" s="372"/>
      <c r="BO447" s="372"/>
      <c r="BP447" s="372"/>
      <c r="BQ447" s="372"/>
      <c r="BR447" s="372"/>
      <c r="BS447" s="372"/>
      <c r="BT447" s="372"/>
      <c r="BU447" s="372"/>
      <c r="BV447" s="372"/>
      <c r="BW447" s="372"/>
      <c r="BX447" s="372"/>
    </row>
    <row r="448" spans="2:76" s="28" customFormat="1">
      <c r="B448" s="136"/>
      <c r="D448" s="464"/>
      <c r="E448" s="29"/>
      <c r="G448" s="338"/>
      <c r="H448" s="339"/>
      <c r="I448" s="339"/>
      <c r="J448" s="339"/>
      <c r="K448" s="339"/>
      <c r="L448" s="339"/>
      <c r="O448" s="377"/>
      <c r="AI448" s="31"/>
      <c r="AJ448" s="31"/>
      <c r="AK448" s="32"/>
      <c r="AL448" s="33"/>
      <c r="AM448" s="32"/>
      <c r="AN448" s="33"/>
      <c r="AO448" s="32"/>
      <c r="AP448" s="32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372"/>
      <c r="BD448" s="372"/>
      <c r="BE448" s="372"/>
      <c r="BF448" s="372"/>
      <c r="BG448" s="372"/>
      <c r="BH448" s="372"/>
      <c r="BI448" s="372"/>
      <c r="BJ448" s="372"/>
      <c r="BK448" s="372"/>
      <c r="BL448" s="372"/>
      <c r="BM448" s="372"/>
      <c r="BN448" s="372"/>
      <c r="BO448" s="372"/>
      <c r="BP448" s="372"/>
      <c r="BQ448" s="372"/>
      <c r="BR448" s="372"/>
      <c r="BS448" s="372"/>
      <c r="BT448" s="372"/>
      <c r="BU448" s="372"/>
      <c r="BV448" s="372"/>
      <c r="BW448" s="372"/>
      <c r="BX448" s="372"/>
    </row>
    <row r="449" spans="2:76" s="28" customFormat="1">
      <c r="B449" s="136"/>
      <c r="D449" s="464"/>
      <c r="E449" s="29"/>
      <c r="G449" s="338"/>
      <c r="H449" s="339"/>
      <c r="I449" s="339"/>
      <c r="J449" s="339"/>
      <c r="K449" s="339"/>
      <c r="L449" s="339"/>
      <c r="O449" s="380"/>
      <c r="AI449" s="31"/>
      <c r="AJ449" s="31"/>
      <c r="AK449" s="32"/>
      <c r="AL449" s="33"/>
      <c r="AM449" s="32"/>
      <c r="AN449" s="33"/>
      <c r="AO449" s="32"/>
      <c r="AP449" s="32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372"/>
      <c r="BD449" s="372"/>
      <c r="BE449" s="372"/>
      <c r="BF449" s="372"/>
      <c r="BG449" s="372"/>
      <c r="BH449" s="372"/>
      <c r="BI449" s="372"/>
      <c r="BJ449" s="372"/>
      <c r="BK449" s="372"/>
      <c r="BL449" s="372"/>
      <c r="BM449" s="372"/>
      <c r="BN449" s="372"/>
      <c r="BO449" s="372"/>
      <c r="BP449" s="372"/>
      <c r="BQ449" s="372"/>
      <c r="BR449" s="372"/>
      <c r="BS449" s="372"/>
      <c r="BT449" s="372"/>
      <c r="BU449" s="372"/>
      <c r="BV449" s="372"/>
      <c r="BW449" s="372"/>
      <c r="BX449" s="372"/>
    </row>
    <row r="450" spans="2:76" s="28" customFormat="1">
      <c r="B450" s="136"/>
      <c r="D450" s="464"/>
      <c r="E450" s="29"/>
      <c r="G450" s="338"/>
      <c r="H450" s="339"/>
      <c r="I450" s="339"/>
      <c r="J450" s="339"/>
      <c r="K450" s="339"/>
      <c r="L450" s="339"/>
      <c r="O450" s="377"/>
      <c r="AI450" s="31"/>
      <c r="AJ450" s="31"/>
      <c r="AK450" s="32"/>
      <c r="AL450" s="33"/>
      <c r="AM450" s="32"/>
      <c r="AN450" s="33"/>
      <c r="AO450" s="32"/>
      <c r="AP450" s="32"/>
      <c r="AQ450" s="136"/>
      <c r="AR450" s="136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372"/>
      <c r="BD450" s="372"/>
      <c r="BE450" s="372"/>
      <c r="BF450" s="372"/>
      <c r="BG450" s="372"/>
      <c r="BH450" s="372"/>
      <c r="BI450" s="372"/>
      <c r="BJ450" s="372"/>
      <c r="BK450" s="372"/>
      <c r="BL450" s="372"/>
      <c r="BM450" s="372"/>
      <c r="BN450" s="372"/>
      <c r="BO450" s="372"/>
      <c r="BP450" s="372"/>
      <c r="BQ450" s="372"/>
      <c r="BR450" s="372"/>
      <c r="BS450" s="372"/>
      <c r="BT450" s="372"/>
      <c r="BU450" s="372"/>
      <c r="BV450" s="372"/>
      <c r="BW450" s="372"/>
      <c r="BX450" s="372"/>
    </row>
    <row r="451" spans="2:76" s="28" customFormat="1">
      <c r="B451" s="136"/>
      <c r="D451" s="464"/>
      <c r="E451" s="29"/>
      <c r="G451" s="338"/>
      <c r="H451" s="339"/>
      <c r="I451" s="339"/>
      <c r="J451" s="339"/>
      <c r="K451" s="339"/>
      <c r="L451" s="339"/>
      <c r="O451" s="376"/>
      <c r="AI451" s="31"/>
      <c r="AJ451" s="31"/>
      <c r="AK451" s="32"/>
      <c r="AL451" s="33"/>
      <c r="AM451" s="32"/>
      <c r="AN451" s="33"/>
      <c r="AO451" s="32"/>
      <c r="AP451" s="32"/>
      <c r="AQ451" s="136"/>
      <c r="AR451" s="136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372"/>
      <c r="BD451" s="372"/>
      <c r="BE451" s="372"/>
      <c r="BF451" s="372"/>
      <c r="BG451" s="372"/>
      <c r="BH451" s="372"/>
      <c r="BI451" s="372"/>
      <c r="BJ451" s="372"/>
      <c r="BK451" s="372"/>
      <c r="BL451" s="372"/>
      <c r="BM451" s="372"/>
      <c r="BN451" s="372"/>
      <c r="BO451" s="372"/>
      <c r="BP451" s="372"/>
      <c r="BQ451" s="372"/>
      <c r="BR451" s="372"/>
      <c r="BS451" s="372"/>
      <c r="BT451" s="372"/>
      <c r="BU451" s="372"/>
      <c r="BV451" s="372"/>
      <c r="BW451" s="372"/>
      <c r="BX451" s="372"/>
    </row>
    <row r="452" spans="2:76" s="28" customFormat="1">
      <c r="B452" s="136"/>
      <c r="D452" s="464"/>
      <c r="E452" s="29"/>
      <c r="G452" s="338"/>
      <c r="H452" s="339"/>
      <c r="I452" s="339"/>
      <c r="J452" s="339"/>
      <c r="K452" s="339"/>
      <c r="L452" s="339"/>
      <c r="O452" s="380"/>
      <c r="AI452" s="31"/>
      <c r="AJ452" s="31"/>
      <c r="AK452" s="32"/>
      <c r="AL452" s="33"/>
      <c r="AM452" s="32"/>
      <c r="AN452" s="33"/>
      <c r="AO452" s="32"/>
      <c r="AP452" s="32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372"/>
      <c r="BD452" s="372"/>
      <c r="BE452" s="372"/>
      <c r="BF452" s="372"/>
      <c r="BG452" s="372"/>
      <c r="BH452" s="372"/>
      <c r="BI452" s="372"/>
      <c r="BJ452" s="372"/>
      <c r="BK452" s="372"/>
      <c r="BL452" s="372"/>
      <c r="BM452" s="372"/>
      <c r="BN452" s="372"/>
      <c r="BO452" s="372"/>
      <c r="BP452" s="372"/>
      <c r="BQ452" s="372"/>
      <c r="BR452" s="372"/>
      <c r="BS452" s="372"/>
      <c r="BT452" s="372"/>
      <c r="BU452" s="372"/>
      <c r="BV452" s="372"/>
      <c r="BW452" s="372"/>
      <c r="BX452" s="372"/>
    </row>
    <row r="453" spans="2:76" s="28" customFormat="1">
      <c r="B453" s="136"/>
      <c r="D453" s="464"/>
      <c r="E453" s="29"/>
      <c r="G453" s="338"/>
      <c r="H453" s="339"/>
      <c r="I453" s="339"/>
      <c r="J453" s="339"/>
      <c r="K453" s="339"/>
      <c r="L453" s="339"/>
      <c r="O453" s="383"/>
      <c r="AI453" s="31"/>
      <c r="AJ453" s="31"/>
      <c r="AK453" s="32"/>
      <c r="AL453" s="33"/>
      <c r="AM453" s="32"/>
      <c r="AN453" s="33"/>
      <c r="AO453" s="32"/>
      <c r="AP453" s="32"/>
      <c r="AQ453" s="136"/>
      <c r="AR453" s="136"/>
      <c r="AS453" s="136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372"/>
      <c r="BD453" s="372"/>
      <c r="BE453" s="372"/>
      <c r="BF453" s="372"/>
      <c r="BG453" s="372"/>
      <c r="BH453" s="372"/>
      <c r="BI453" s="372"/>
      <c r="BJ453" s="372"/>
      <c r="BK453" s="372"/>
      <c r="BL453" s="372"/>
      <c r="BM453" s="372"/>
      <c r="BN453" s="372"/>
      <c r="BO453" s="372"/>
      <c r="BP453" s="372"/>
      <c r="BQ453" s="372"/>
      <c r="BR453" s="372"/>
      <c r="BS453" s="372"/>
      <c r="BT453" s="372"/>
      <c r="BU453" s="372"/>
      <c r="BV453" s="372"/>
      <c r="BW453" s="372"/>
      <c r="BX453" s="372"/>
    </row>
    <row r="454" spans="2:76" s="28" customFormat="1">
      <c r="B454" s="136"/>
      <c r="D454" s="464"/>
      <c r="E454" s="29"/>
      <c r="G454" s="338"/>
      <c r="H454" s="339"/>
      <c r="I454" s="339"/>
      <c r="J454" s="339"/>
      <c r="K454" s="339"/>
      <c r="L454" s="339"/>
      <c r="O454" s="380"/>
      <c r="AI454" s="31"/>
      <c r="AJ454" s="31"/>
      <c r="AK454" s="32"/>
      <c r="AL454" s="33"/>
      <c r="AM454" s="32"/>
      <c r="AN454" s="33"/>
      <c r="AO454" s="32"/>
      <c r="AP454" s="32"/>
      <c r="AQ454" s="136"/>
      <c r="AR454" s="136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372"/>
      <c r="BD454" s="372"/>
      <c r="BE454" s="372"/>
      <c r="BF454" s="372"/>
      <c r="BG454" s="372"/>
      <c r="BH454" s="372"/>
      <c r="BI454" s="372"/>
      <c r="BJ454" s="372"/>
      <c r="BK454" s="372"/>
      <c r="BL454" s="372"/>
      <c r="BM454" s="372"/>
      <c r="BN454" s="372"/>
      <c r="BO454" s="372"/>
      <c r="BP454" s="372"/>
      <c r="BQ454" s="372"/>
      <c r="BR454" s="372"/>
      <c r="BS454" s="372"/>
      <c r="BT454" s="372"/>
      <c r="BU454" s="372"/>
      <c r="BV454" s="372"/>
      <c r="BW454" s="372"/>
      <c r="BX454" s="372"/>
    </row>
    <row r="455" spans="2:76" s="28" customFormat="1">
      <c r="B455" s="136"/>
      <c r="D455" s="464"/>
      <c r="E455" s="29"/>
      <c r="G455" s="338"/>
      <c r="H455" s="339"/>
      <c r="I455" s="339"/>
      <c r="J455" s="339"/>
      <c r="K455" s="339"/>
      <c r="L455" s="339"/>
      <c r="O455" s="376"/>
      <c r="AI455" s="31"/>
      <c r="AJ455" s="31"/>
      <c r="AK455" s="32"/>
      <c r="AL455" s="33"/>
      <c r="AM455" s="32"/>
      <c r="AN455" s="33"/>
      <c r="AO455" s="32"/>
      <c r="AP455" s="32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372"/>
      <c r="BD455" s="372"/>
      <c r="BE455" s="372"/>
      <c r="BF455" s="372"/>
      <c r="BG455" s="372"/>
      <c r="BH455" s="372"/>
      <c r="BI455" s="372"/>
      <c r="BJ455" s="372"/>
      <c r="BK455" s="372"/>
      <c r="BL455" s="372"/>
      <c r="BM455" s="372"/>
      <c r="BN455" s="372"/>
      <c r="BO455" s="372"/>
      <c r="BP455" s="372"/>
      <c r="BQ455" s="372"/>
      <c r="BR455" s="372"/>
      <c r="BS455" s="372"/>
      <c r="BT455" s="372"/>
      <c r="BU455" s="372"/>
      <c r="BV455" s="372"/>
      <c r="BW455" s="372"/>
      <c r="BX455" s="372"/>
    </row>
    <row r="456" spans="2:76" s="28" customFormat="1">
      <c r="B456" s="136"/>
      <c r="D456" s="464"/>
      <c r="E456" s="29"/>
      <c r="G456" s="338"/>
      <c r="H456" s="339"/>
      <c r="I456" s="339"/>
      <c r="J456" s="339"/>
      <c r="K456" s="339"/>
      <c r="L456" s="339"/>
      <c r="O456" s="384"/>
      <c r="AI456" s="31"/>
      <c r="AJ456" s="31"/>
      <c r="AK456" s="32"/>
      <c r="AL456" s="33"/>
      <c r="AM456" s="32"/>
      <c r="AN456" s="33"/>
      <c r="AO456" s="32"/>
      <c r="AP456" s="32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372"/>
      <c r="BD456" s="372"/>
      <c r="BE456" s="372"/>
      <c r="BF456" s="372"/>
      <c r="BG456" s="372"/>
      <c r="BH456" s="372"/>
      <c r="BI456" s="372"/>
      <c r="BJ456" s="372"/>
      <c r="BK456" s="372"/>
      <c r="BL456" s="372"/>
      <c r="BM456" s="372"/>
      <c r="BN456" s="372"/>
      <c r="BO456" s="372"/>
      <c r="BP456" s="372"/>
      <c r="BQ456" s="372"/>
      <c r="BR456" s="372"/>
      <c r="BS456" s="372"/>
      <c r="BT456" s="372"/>
      <c r="BU456" s="372"/>
      <c r="BV456" s="372"/>
      <c r="BW456" s="372"/>
      <c r="BX456" s="372"/>
    </row>
    <row r="457" spans="2:76" s="28" customFormat="1">
      <c r="B457" s="136"/>
      <c r="D457" s="464"/>
      <c r="E457" s="29"/>
      <c r="G457" s="338"/>
      <c r="H457" s="339"/>
      <c r="I457" s="339"/>
      <c r="J457" s="339"/>
      <c r="K457" s="339"/>
      <c r="L457" s="339"/>
      <c r="O457" s="377"/>
      <c r="AI457" s="31"/>
      <c r="AJ457" s="31"/>
      <c r="AK457" s="32"/>
      <c r="AL457" s="33"/>
      <c r="AM457" s="32"/>
      <c r="AN457" s="33"/>
      <c r="AO457" s="32"/>
      <c r="AP457" s="32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372"/>
      <c r="BD457" s="372"/>
      <c r="BE457" s="372"/>
      <c r="BF457" s="372"/>
      <c r="BG457" s="372"/>
      <c r="BH457" s="372"/>
      <c r="BI457" s="372"/>
      <c r="BJ457" s="372"/>
      <c r="BK457" s="372"/>
      <c r="BL457" s="372"/>
      <c r="BM457" s="372"/>
      <c r="BN457" s="372"/>
      <c r="BO457" s="372"/>
      <c r="BP457" s="372"/>
      <c r="BQ457" s="372"/>
      <c r="BR457" s="372"/>
      <c r="BS457" s="372"/>
      <c r="BT457" s="372"/>
      <c r="BU457" s="372"/>
      <c r="BV457" s="372"/>
      <c r="BW457" s="372"/>
      <c r="BX457" s="372"/>
    </row>
    <row r="458" spans="2:76" s="28" customFormat="1">
      <c r="B458" s="136"/>
      <c r="D458" s="464"/>
      <c r="E458" s="29"/>
      <c r="G458" s="338"/>
      <c r="H458" s="339"/>
      <c r="I458" s="339"/>
      <c r="J458" s="339"/>
      <c r="K458" s="339"/>
      <c r="L458" s="339"/>
      <c r="O458" s="376"/>
      <c r="AI458" s="31"/>
      <c r="AJ458" s="31"/>
      <c r="AK458" s="32"/>
      <c r="AL458" s="33"/>
      <c r="AM458" s="32"/>
      <c r="AN458" s="33"/>
      <c r="AO458" s="32"/>
      <c r="AP458" s="32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372"/>
      <c r="BD458" s="372"/>
      <c r="BE458" s="372"/>
      <c r="BF458" s="372"/>
      <c r="BG458" s="372"/>
      <c r="BH458" s="372"/>
      <c r="BI458" s="372"/>
      <c r="BJ458" s="372"/>
      <c r="BK458" s="372"/>
      <c r="BL458" s="372"/>
      <c r="BM458" s="372"/>
      <c r="BN458" s="372"/>
      <c r="BO458" s="372"/>
      <c r="BP458" s="372"/>
      <c r="BQ458" s="372"/>
      <c r="BR458" s="372"/>
      <c r="BS458" s="372"/>
      <c r="BT458" s="372"/>
      <c r="BU458" s="372"/>
      <c r="BV458" s="372"/>
      <c r="BW458" s="372"/>
      <c r="BX458" s="372"/>
    </row>
    <row r="459" spans="2:76" s="28" customFormat="1">
      <c r="B459" s="136"/>
      <c r="D459" s="464"/>
      <c r="E459" s="29"/>
      <c r="G459" s="338"/>
      <c r="H459" s="339"/>
      <c r="I459" s="339"/>
      <c r="J459" s="339"/>
      <c r="K459" s="339"/>
      <c r="L459" s="339"/>
      <c r="O459" s="388"/>
      <c r="AI459" s="31"/>
      <c r="AJ459" s="31"/>
      <c r="AK459" s="32"/>
      <c r="AL459" s="33"/>
      <c r="AM459" s="32"/>
      <c r="AN459" s="33"/>
      <c r="AO459" s="32"/>
      <c r="AP459" s="32"/>
      <c r="AQ459" s="136"/>
      <c r="AR459" s="136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372"/>
      <c r="BD459" s="372"/>
      <c r="BE459" s="372"/>
      <c r="BF459" s="372"/>
      <c r="BG459" s="372"/>
      <c r="BH459" s="372"/>
      <c r="BI459" s="372"/>
      <c r="BJ459" s="372"/>
      <c r="BK459" s="372"/>
      <c r="BL459" s="372"/>
      <c r="BM459" s="372"/>
      <c r="BN459" s="372"/>
      <c r="BO459" s="372"/>
      <c r="BP459" s="372"/>
      <c r="BQ459" s="372"/>
      <c r="BR459" s="372"/>
      <c r="BS459" s="372"/>
      <c r="BT459" s="372"/>
      <c r="BU459" s="372"/>
      <c r="BV459" s="372"/>
      <c r="BW459" s="372"/>
      <c r="BX459" s="372"/>
    </row>
    <row r="460" spans="2:76" s="28" customFormat="1">
      <c r="B460" s="136"/>
      <c r="D460" s="464"/>
      <c r="E460" s="29"/>
      <c r="G460" s="338"/>
      <c r="H460" s="339"/>
      <c r="I460" s="339"/>
      <c r="J460" s="339"/>
      <c r="K460" s="339"/>
      <c r="L460" s="339"/>
      <c r="O460" s="381"/>
      <c r="AI460" s="31"/>
      <c r="AJ460" s="31"/>
      <c r="AK460" s="32"/>
      <c r="AL460" s="33"/>
      <c r="AM460" s="32"/>
      <c r="AN460" s="33"/>
      <c r="AO460" s="32"/>
      <c r="AP460" s="32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372"/>
      <c r="BD460" s="372"/>
      <c r="BE460" s="372"/>
      <c r="BF460" s="372"/>
      <c r="BG460" s="372"/>
      <c r="BH460" s="372"/>
      <c r="BI460" s="372"/>
      <c r="BJ460" s="372"/>
      <c r="BK460" s="372"/>
      <c r="BL460" s="372"/>
      <c r="BM460" s="372"/>
      <c r="BN460" s="372"/>
      <c r="BO460" s="372"/>
      <c r="BP460" s="372"/>
      <c r="BQ460" s="372"/>
      <c r="BR460" s="372"/>
      <c r="BS460" s="372"/>
      <c r="BT460" s="372"/>
      <c r="BU460" s="372"/>
      <c r="BV460" s="372"/>
      <c r="BW460" s="372"/>
      <c r="BX460" s="372"/>
    </row>
    <row r="461" spans="2:76" s="28" customFormat="1">
      <c r="B461" s="136"/>
      <c r="D461" s="464"/>
      <c r="E461" s="29"/>
      <c r="G461" s="338"/>
      <c r="H461" s="339"/>
      <c r="I461" s="339"/>
      <c r="J461" s="339"/>
      <c r="K461" s="339"/>
      <c r="L461" s="339"/>
      <c r="O461" s="379"/>
      <c r="AI461" s="31"/>
      <c r="AJ461" s="31"/>
      <c r="AK461" s="32"/>
      <c r="AL461" s="33"/>
      <c r="AM461" s="32"/>
      <c r="AN461" s="33"/>
      <c r="AO461" s="32"/>
      <c r="AP461" s="32"/>
      <c r="AQ461" s="136"/>
      <c r="AR461" s="136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372"/>
      <c r="BD461" s="372"/>
      <c r="BE461" s="372"/>
      <c r="BF461" s="372"/>
      <c r="BG461" s="372"/>
      <c r="BH461" s="372"/>
      <c r="BI461" s="372"/>
      <c r="BJ461" s="372"/>
      <c r="BK461" s="372"/>
      <c r="BL461" s="372"/>
      <c r="BM461" s="372"/>
      <c r="BN461" s="372"/>
      <c r="BO461" s="372"/>
      <c r="BP461" s="372"/>
      <c r="BQ461" s="372"/>
      <c r="BR461" s="372"/>
      <c r="BS461" s="372"/>
      <c r="BT461" s="372"/>
      <c r="BU461" s="372"/>
      <c r="BV461" s="372"/>
      <c r="BW461" s="372"/>
      <c r="BX461" s="372"/>
    </row>
    <row r="462" spans="2:76" s="28" customFormat="1">
      <c r="B462" s="136"/>
      <c r="D462" s="464"/>
      <c r="E462" s="29"/>
      <c r="G462" s="338"/>
      <c r="H462" s="339"/>
      <c r="I462" s="339"/>
      <c r="J462" s="339"/>
      <c r="K462" s="339"/>
      <c r="L462" s="339"/>
      <c r="O462" s="384"/>
      <c r="AI462" s="31"/>
      <c r="AJ462" s="31"/>
      <c r="AK462" s="32"/>
      <c r="AL462" s="33"/>
      <c r="AM462" s="32"/>
      <c r="AN462" s="33"/>
      <c r="AO462" s="32"/>
      <c r="AP462" s="32"/>
      <c r="AQ462" s="136"/>
      <c r="AR462" s="136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372"/>
      <c r="BD462" s="372"/>
      <c r="BE462" s="372"/>
      <c r="BF462" s="372"/>
      <c r="BG462" s="372"/>
      <c r="BH462" s="372"/>
      <c r="BI462" s="372"/>
      <c r="BJ462" s="372"/>
      <c r="BK462" s="372"/>
      <c r="BL462" s="372"/>
      <c r="BM462" s="372"/>
      <c r="BN462" s="372"/>
      <c r="BO462" s="372"/>
      <c r="BP462" s="372"/>
      <c r="BQ462" s="372"/>
      <c r="BR462" s="372"/>
      <c r="BS462" s="372"/>
      <c r="BT462" s="372"/>
      <c r="BU462" s="372"/>
      <c r="BV462" s="372"/>
      <c r="BW462" s="372"/>
      <c r="BX462" s="372"/>
    </row>
    <row r="463" spans="2:76" s="28" customFormat="1">
      <c r="B463" s="136"/>
      <c r="D463" s="464"/>
      <c r="E463" s="29"/>
      <c r="G463" s="338"/>
      <c r="H463" s="339"/>
      <c r="I463" s="339"/>
      <c r="J463" s="339"/>
      <c r="K463" s="339"/>
      <c r="L463" s="339"/>
      <c r="O463" s="388"/>
      <c r="AI463" s="31"/>
      <c r="AJ463" s="31"/>
      <c r="AK463" s="32"/>
      <c r="AL463" s="33"/>
      <c r="AM463" s="32"/>
      <c r="AN463" s="33"/>
      <c r="AO463" s="32"/>
      <c r="AP463" s="32"/>
      <c r="AQ463" s="136"/>
      <c r="AR463" s="136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372"/>
      <c r="BD463" s="372"/>
      <c r="BE463" s="372"/>
      <c r="BF463" s="372"/>
      <c r="BG463" s="372"/>
      <c r="BH463" s="372"/>
      <c r="BI463" s="372"/>
      <c r="BJ463" s="372"/>
      <c r="BK463" s="372"/>
      <c r="BL463" s="372"/>
      <c r="BM463" s="372"/>
      <c r="BN463" s="372"/>
      <c r="BO463" s="372"/>
      <c r="BP463" s="372"/>
      <c r="BQ463" s="372"/>
      <c r="BR463" s="372"/>
      <c r="BS463" s="372"/>
      <c r="BT463" s="372"/>
      <c r="BU463" s="372"/>
      <c r="BV463" s="372"/>
      <c r="BW463" s="372"/>
      <c r="BX463" s="372"/>
    </row>
    <row r="464" spans="2:76" s="28" customFormat="1">
      <c r="B464" s="136"/>
      <c r="D464" s="464"/>
      <c r="E464" s="29"/>
      <c r="G464" s="338"/>
      <c r="H464" s="339"/>
      <c r="I464" s="339"/>
      <c r="J464" s="339"/>
      <c r="K464" s="339"/>
      <c r="L464" s="339"/>
      <c r="O464" s="388"/>
      <c r="AI464" s="31"/>
      <c r="AJ464" s="31"/>
      <c r="AK464" s="32"/>
      <c r="AL464" s="33"/>
      <c r="AM464" s="32"/>
      <c r="AN464" s="33"/>
      <c r="AO464" s="32"/>
      <c r="AP464" s="32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372"/>
      <c r="BD464" s="372"/>
      <c r="BE464" s="372"/>
      <c r="BF464" s="372"/>
      <c r="BG464" s="372"/>
      <c r="BH464" s="372"/>
      <c r="BI464" s="372"/>
      <c r="BJ464" s="372"/>
      <c r="BK464" s="372"/>
      <c r="BL464" s="372"/>
      <c r="BM464" s="372"/>
      <c r="BN464" s="372"/>
      <c r="BO464" s="372"/>
      <c r="BP464" s="372"/>
      <c r="BQ464" s="372"/>
      <c r="BR464" s="372"/>
      <c r="BS464" s="372"/>
      <c r="BT464" s="372"/>
      <c r="BU464" s="372"/>
      <c r="BV464" s="372"/>
      <c r="BW464" s="372"/>
      <c r="BX464" s="372"/>
    </row>
    <row r="465" spans="2:76" s="28" customFormat="1">
      <c r="B465" s="136"/>
      <c r="D465" s="464"/>
      <c r="E465" s="29"/>
      <c r="G465" s="338"/>
      <c r="H465" s="339"/>
      <c r="I465" s="339"/>
      <c r="J465" s="339"/>
      <c r="K465" s="339"/>
      <c r="L465" s="339"/>
      <c r="O465" s="383"/>
      <c r="AI465" s="31"/>
      <c r="AJ465" s="31"/>
      <c r="AK465" s="32"/>
      <c r="AL465" s="33"/>
      <c r="AM465" s="32"/>
      <c r="AN465" s="33"/>
      <c r="AO465" s="32"/>
      <c r="AP465" s="32"/>
      <c r="AQ465" s="136"/>
      <c r="AR465" s="136"/>
      <c r="AS465" s="136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372"/>
      <c r="BD465" s="372"/>
      <c r="BE465" s="372"/>
      <c r="BF465" s="372"/>
      <c r="BG465" s="372"/>
      <c r="BH465" s="372"/>
      <c r="BI465" s="372"/>
      <c r="BJ465" s="372"/>
      <c r="BK465" s="372"/>
      <c r="BL465" s="372"/>
      <c r="BM465" s="372"/>
      <c r="BN465" s="372"/>
      <c r="BO465" s="372"/>
      <c r="BP465" s="372"/>
      <c r="BQ465" s="372"/>
      <c r="BR465" s="372"/>
      <c r="BS465" s="372"/>
      <c r="BT465" s="372"/>
      <c r="BU465" s="372"/>
      <c r="BV465" s="372"/>
      <c r="BW465" s="372"/>
      <c r="BX465" s="372"/>
    </row>
    <row r="466" spans="2:76" s="28" customFormat="1">
      <c r="B466" s="136"/>
      <c r="D466" s="464"/>
      <c r="E466" s="29"/>
      <c r="G466" s="338"/>
      <c r="H466" s="339"/>
      <c r="I466" s="339"/>
      <c r="J466" s="339"/>
      <c r="K466" s="339"/>
      <c r="L466" s="339"/>
      <c r="O466" s="376"/>
      <c r="AI466" s="31"/>
      <c r="AJ466" s="31"/>
      <c r="AK466" s="32"/>
      <c r="AL466" s="33"/>
      <c r="AM466" s="32"/>
      <c r="AN466" s="33"/>
      <c r="AO466" s="32"/>
      <c r="AP466" s="32"/>
      <c r="AQ466" s="136"/>
      <c r="AR466" s="136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372"/>
      <c r="BD466" s="372"/>
      <c r="BE466" s="372"/>
      <c r="BF466" s="372"/>
      <c r="BG466" s="372"/>
      <c r="BH466" s="372"/>
      <c r="BI466" s="372"/>
      <c r="BJ466" s="372"/>
      <c r="BK466" s="372"/>
      <c r="BL466" s="372"/>
      <c r="BM466" s="372"/>
      <c r="BN466" s="372"/>
      <c r="BO466" s="372"/>
      <c r="BP466" s="372"/>
      <c r="BQ466" s="372"/>
      <c r="BR466" s="372"/>
      <c r="BS466" s="372"/>
      <c r="BT466" s="372"/>
      <c r="BU466" s="372"/>
      <c r="BV466" s="372"/>
      <c r="BW466" s="372"/>
      <c r="BX466" s="372"/>
    </row>
    <row r="467" spans="2:76" s="28" customFormat="1">
      <c r="B467" s="136"/>
      <c r="D467" s="464"/>
      <c r="E467" s="29"/>
      <c r="G467" s="338"/>
      <c r="H467" s="339"/>
      <c r="I467" s="339"/>
      <c r="J467" s="339"/>
      <c r="K467" s="339"/>
      <c r="L467" s="339"/>
      <c r="O467" s="380"/>
      <c r="AI467" s="31"/>
      <c r="AJ467" s="31"/>
      <c r="AK467" s="32"/>
      <c r="AL467" s="33"/>
      <c r="AM467" s="32"/>
      <c r="AN467" s="33"/>
      <c r="AO467" s="32"/>
      <c r="AP467" s="32"/>
      <c r="AQ467" s="136"/>
      <c r="AR467" s="136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372"/>
      <c r="BD467" s="372"/>
      <c r="BE467" s="372"/>
      <c r="BF467" s="372"/>
      <c r="BG467" s="372"/>
      <c r="BH467" s="372"/>
      <c r="BI467" s="372"/>
      <c r="BJ467" s="372"/>
      <c r="BK467" s="372"/>
      <c r="BL467" s="372"/>
      <c r="BM467" s="372"/>
      <c r="BN467" s="372"/>
      <c r="BO467" s="372"/>
      <c r="BP467" s="372"/>
      <c r="BQ467" s="372"/>
      <c r="BR467" s="372"/>
      <c r="BS467" s="372"/>
      <c r="BT467" s="372"/>
      <c r="BU467" s="372"/>
      <c r="BV467" s="372"/>
      <c r="BW467" s="372"/>
      <c r="BX467" s="372"/>
    </row>
    <row r="468" spans="2:76" s="28" customFormat="1">
      <c r="B468" s="136"/>
      <c r="D468" s="464"/>
      <c r="E468" s="29"/>
      <c r="G468" s="338"/>
      <c r="H468" s="339"/>
      <c r="I468" s="339"/>
      <c r="J468" s="339"/>
      <c r="K468" s="339"/>
      <c r="L468" s="339"/>
      <c r="O468" s="380"/>
      <c r="AI468" s="31"/>
      <c r="AJ468" s="31"/>
      <c r="AK468" s="32"/>
      <c r="AL468" s="33"/>
      <c r="AM468" s="32"/>
      <c r="AN468" s="33"/>
      <c r="AO468" s="32"/>
      <c r="AP468" s="32"/>
      <c r="AQ468" s="136"/>
      <c r="AR468" s="136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372"/>
      <c r="BD468" s="372"/>
      <c r="BE468" s="372"/>
      <c r="BF468" s="372"/>
      <c r="BG468" s="372"/>
      <c r="BH468" s="372"/>
      <c r="BI468" s="372"/>
      <c r="BJ468" s="372"/>
      <c r="BK468" s="372"/>
      <c r="BL468" s="372"/>
      <c r="BM468" s="372"/>
      <c r="BN468" s="372"/>
      <c r="BO468" s="372"/>
      <c r="BP468" s="372"/>
      <c r="BQ468" s="372"/>
      <c r="BR468" s="372"/>
      <c r="BS468" s="372"/>
      <c r="BT468" s="372"/>
      <c r="BU468" s="372"/>
      <c r="BV468" s="372"/>
      <c r="BW468" s="372"/>
      <c r="BX468" s="372"/>
    </row>
    <row r="469" spans="2:76" s="28" customFormat="1">
      <c r="B469" s="136"/>
      <c r="D469" s="464"/>
      <c r="E469" s="29"/>
      <c r="G469" s="338"/>
      <c r="H469" s="339"/>
      <c r="I469" s="339"/>
      <c r="J469" s="339"/>
      <c r="K469" s="339"/>
      <c r="L469" s="339"/>
      <c r="O469" s="380"/>
      <c r="AI469" s="31"/>
      <c r="AJ469" s="31"/>
      <c r="AK469" s="32"/>
      <c r="AL469" s="33"/>
      <c r="AM469" s="32"/>
      <c r="AN469" s="33"/>
      <c r="AO469" s="32"/>
      <c r="AP469" s="32"/>
      <c r="AQ469" s="136"/>
      <c r="AR469" s="136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372"/>
      <c r="BD469" s="372"/>
      <c r="BE469" s="372"/>
      <c r="BF469" s="372"/>
      <c r="BG469" s="372"/>
      <c r="BH469" s="372"/>
      <c r="BI469" s="372"/>
      <c r="BJ469" s="372"/>
      <c r="BK469" s="372"/>
      <c r="BL469" s="372"/>
      <c r="BM469" s="372"/>
      <c r="BN469" s="372"/>
      <c r="BO469" s="372"/>
      <c r="BP469" s="372"/>
      <c r="BQ469" s="372"/>
      <c r="BR469" s="372"/>
      <c r="BS469" s="372"/>
      <c r="BT469" s="372"/>
      <c r="BU469" s="372"/>
      <c r="BV469" s="372"/>
      <c r="BW469" s="372"/>
      <c r="BX469" s="372"/>
    </row>
    <row r="470" spans="2:76" s="28" customFormat="1">
      <c r="B470" s="136"/>
      <c r="D470" s="464"/>
      <c r="E470" s="29"/>
      <c r="G470" s="338"/>
      <c r="H470" s="339"/>
      <c r="I470" s="339"/>
      <c r="J470" s="339"/>
      <c r="K470" s="339"/>
      <c r="L470" s="339"/>
      <c r="O470" s="380"/>
      <c r="AI470" s="31"/>
      <c r="AJ470" s="31"/>
      <c r="AK470" s="32"/>
      <c r="AL470" s="33"/>
      <c r="AM470" s="32"/>
      <c r="AN470" s="33"/>
      <c r="AO470" s="32"/>
      <c r="AP470" s="32"/>
      <c r="AQ470" s="136"/>
      <c r="AR470" s="136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372"/>
      <c r="BD470" s="372"/>
      <c r="BE470" s="372"/>
      <c r="BF470" s="372"/>
      <c r="BG470" s="372"/>
      <c r="BH470" s="372"/>
      <c r="BI470" s="372"/>
      <c r="BJ470" s="372"/>
      <c r="BK470" s="372"/>
      <c r="BL470" s="372"/>
      <c r="BM470" s="372"/>
      <c r="BN470" s="372"/>
      <c r="BO470" s="372"/>
      <c r="BP470" s="372"/>
      <c r="BQ470" s="372"/>
      <c r="BR470" s="372"/>
      <c r="BS470" s="372"/>
      <c r="BT470" s="372"/>
      <c r="BU470" s="372"/>
      <c r="BV470" s="372"/>
      <c r="BW470" s="372"/>
      <c r="BX470" s="372"/>
    </row>
    <row r="471" spans="2:76" s="28" customFormat="1">
      <c r="B471" s="136"/>
      <c r="D471" s="464"/>
      <c r="E471" s="29"/>
      <c r="G471" s="338"/>
      <c r="H471" s="339"/>
      <c r="I471" s="339"/>
      <c r="J471" s="339"/>
      <c r="K471" s="339"/>
      <c r="L471" s="339"/>
      <c r="O471" s="377"/>
      <c r="AI471" s="31"/>
      <c r="AJ471" s="31"/>
      <c r="AK471" s="32"/>
      <c r="AL471" s="33"/>
      <c r="AM471" s="32"/>
      <c r="AN471" s="33"/>
      <c r="AO471" s="32"/>
      <c r="AP471" s="32"/>
      <c r="AQ471" s="136"/>
      <c r="AR471" s="136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372"/>
      <c r="BD471" s="372"/>
      <c r="BE471" s="372"/>
      <c r="BF471" s="372"/>
      <c r="BG471" s="372"/>
      <c r="BH471" s="372"/>
      <c r="BI471" s="372"/>
      <c r="BJ471" s="372"/>
      <c r="BK471" s="372"/>
      <c r="BL471" s="372"/>
      <c r="BM471" s="372"/>
      <c r="BN471" s="372"/>
      <c r="BO471" s="372"/>
      <c r="BP471" s="372"/>
      <c r="BQ471" s="372"/>
      <c r="BR471" s="372"/>
      <c r="BS471" s="372"/>
      <c r="BT471" s="372"/>
      <c r="BU471" s="372"/>
      <c r="BV471" s="372"/>
      <c r="BW471" s="372"/>
      <c r="BX471" s="372"/>
    </row>
    <row r="472" spans="2:76" s="28" customFormat="1">
      <c r="B472" s="136"/>
      <c r="D472" s="464"/>
      <c r="E472" s="29"/>
      <c r="G472" s="338"/>
      <c r="H472" s="339"/>
      <c r="I472" s="339"/>
      <c r="J472" s="339"/>
      <c r="K472" s="339"/>
      <c r="L472" s="339"/>
      <c r="O472" s="377"/>
      <c r="AI472" s="31"/>
      <c r="AJ472" s="31"/>
      <c r="AK472" s="32"/>
      <c r="AL472" s="33"/>
      <c r="AM472" s="32"/>
      <c r="AN472" s="33"/>
      <c r="AO472" s="32"/>
      <c r="AP472" s="32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372"/>
      <c r="BD472" s="372"/>
      <c r="BE472" s="372"/>
      <c r="BF472" s="372"/>
      <c r="BG472" s="372"/>
      <c r="BH472" s="372"/>
      <c r="BI472" s="372"/>
      <c r="BJ472" s="372"/>
      <c r="BK472" s="372"/>
      <c r="BL472" s="372"/>
      <c r="BM472" s="372"/>
      <c r="BN472" s="372"/>
      <c r="BO472" s="372"/>
      <c r="BP472" s="372"/>
      <c r="BQ472" s="372"/>
      <c r="BR472" s="372"/>
      <c r="BS472" s="372"/>
      <c r="BT472" s="372"/>
      <c r="BU472" s="372"/>
      <c r="BV472" s="372"/>
      <c r="BW472" s="372"/>
      <c r="BX472" s="372"/>
    </row>
    <row r="473" spans="2:76" s="28" customFormat="1">
      <c r="B473" s="136"/>
      <c r="D473" s="464"/>
      <c r="E473" s="29"/>
      <c r="G473" s="338"/>
      <c r="H473" s="339"/>
      <c r="I473" s="339"/>
      <c r="J473" s="339"/>
      <c r="K473" s="339"/>
      <c r="L473" s="339"/>
      <c r="O473" s="377"/>
      <c r="AI473" s="31"/>
      <c r="AJ473" s="31"/>
      <c r="AK473" s="32"/>
      <c r="AL473" s="33"/>
      <c r="AM473" s="32"/>
      <c r="AN473" s="33"/>
      <c r="AO473" s="32"/>
      <c r="AP473" s="32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372"/>
      <c r="BD473" s="372"/>
      <c r="BE473" s="372"/>
      <c r="BF473" s="372"/>
      <c r="BG473" s="372"/>
      <c r="BH473" s="372"/>
      <c r="BI473" s="372"/>
      <c r="BJ473" s="372"/>
      <c r="BK473" s="372"/>
      <c r="BL473" s="372"/>
      <c r="BM473" s="372"/>
      <c r="BN473" s="372"/>
      <c r="BO473" s="372"/>
      <c r="BP473" s="372"/>
      <c r="BQ473" s="372"/>
      <c r="BR473" s="372"/>
      <c r="BS473" s="372"/>
      <c r="BT473" s="372"/>
      <c r="BU473" s="372"/>
      <c r="BV473" s="372"/>
      <c r="BW473" s="372"/>
      <c r="BX473" s="372"/>
    </row>
    <row r="474" spans="2:76" s="28" customFormat="1">
      <c r="B474" s="136"/>
      <c r="D474" s="464"/>
      <c r="E474" s="29"/>
      <c r="G474" s="338"/>
      <c r="H474" s="339"/>
      <c r="I474" s="339"/>
      <c r="J474" s="339"/>
      <c r="K474" s="339"/>
      <c r="L474" s="339"/>
      <c r="O474" s="377"/>
      <c r="AI474" s="31"/>
      <c r="AJ474" s="31"/>
      <c r="AK474" s="32"/>
      <c r="AL474" s="33"/>
      <c r="AM474" s="32"/>
      <c r="AN474" s="33"/>
      <c r="AO474" s="32"/>
      <c r="AP474" s="32"/>
      <c r="AQ474" s="136"/>
      <c r="AR474" s="136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372"/>
      <c r="BD474" s="372"/>
      <c r="BE474" s="372"/>
      <c r="BF474" s="372"/>
      <c r="BG474" s="372"/>
      <c r="BH474" s="372"/>
      <c r="BI474" s="372"/>
      <c r="BJ474" s="372"/>
      <c r="BK474" s="372"/>
      <c r="BL474" s="372"/>
      <c r="BM474" s="372"/>
      <c r="BN474" s="372"/>
      <c r="BO474" s="372"/>
      <c r="BP474" s="372"/>
      <c r="BQ474" s="372"/>
      <c r="BR474" s="372"/>
      <c r="BS474" s="372"/>
      <c r="BT474" s="372"/>
      <c r="BU474" s="372"/>
      <c r="BV474" s="372"/>
      <c r="BW474" s="372"/>
      <c r="BX474" s="372"/>
    </row>
    <row r="475" spans="2:76" s="28" customFormat="1">
      <c r="B475" s="136"/>
      <c r="D475" s="464"/>
      <c r="E475" s="29"/>
      <c r="G475" s="338"/>
      <c r="H475" s="339"/>
      <c r="I475" s="339"/>
      <c r="J475" s="339"/>
      <c r="K475" s="339"/>
      <c r="L475" s="339"/>
      <c r="O475" s="381"/>
      <c r="AI475" s="31"/>
      <c r="AJ475" s="31"/>
      <c r="AK475" s="32"/>
      <c r="AL475" s="33"/>
      <c r="AM475" s="32"/>
      <c r="AN475" s="33"/>
      <c r="AO475" s="32"/>
      <c r="AP475" s="32"/>
      <c r="AQ475" s="136"/>
      <c r="AR475" s="136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372"/>
      <c r="BD475" s="372"/>
      <c r="BE475" s="372"/>
      <c r="BF475" s="372"/>
      <c r="BG475" s="372"/>
      <c r="BH475" s="372"/>
      <c r="BI475" s="372"/>
      <c r="BJ475" s="372"/>
      <c r="BK475" s="372"/>
      <c r="BL475" s="372"/>
      <c r="BM475" s="372"/>
      <c r="BN475" s="372"/>
      <c r="BO475" s="372"/>
      <c r="BP475" s="372"/>
      <c r="BQ475" s="372"/>
      <c r="BR475" s="372"/>
      <c r="BS475" s="372"/>
      <c r="BT475" s="372"/>
      <c r="BU475" s="372"/>
      <c r="BV475" s="372"/>
      <c r="BW475" s="372"/>
      <c r="BX475" s="372"/>
    </row>
    <row r="476" spans="2:76" s="28" customFormat="1">
      <c r="B476" s="136"/>
      <c r="D476" s="464"/>
      <c r="E476" s="29"/>
      <c r="G476" s="338"/>
      <c r="H476" s="339"/>
      <c r="I476" s="339"/>
      <c r="J476" s="339"/>
      <c r="K476" s="339"/>
      <c r="L476" s="339"/>
      <c r="O476" s="377"/>
      <c r="AI476" s="31"/>
      <c r="AJ476" s="31"/>
      <c r="AK476" s="32"/>
      <c r="AL476" s="33"/>
      <c r="AM476" s="32"/>
      <c r="AN476" s="33"/>
      <c r="AO476" s="32"/>
      <c r="AP476" s="32"/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372"/>
      <c r="BD476" s="372"/>
      <c r="BE476" s="372"/>
      <c r="BF476" s="372"/>
      <c r="BG476" s="372"/>
      <c r="BH476" s="372"/>
      <c r="BI476" s="372"/>
      <c r="BJ476" s="372"/>
      <c r="BK476" s="372"/>
      <c r="BL476" s="372"/>
      <c r="BM476" s="372"/>
      <c r="BN476" s="372"/>
      <c r="BO476" s="372"/>
      <c r="BP476" s="372"/>
      <c r="BQ476" s="372"/>
      <c r="BR476" s="372"/>
      <c r="BS476" s="372"/>
      <c r="BT476" s="372"/>
      <c r="BU476" s="372"/>
      <c r="BV476" s="372"/>
      <c r="BW476" s="372"/>
      <c r="BX476" s="372"/>
    </row>
    <row r="477" spans="2:76" s="28" customFormat="1">
      <c r="B477" s="136"/>
      <c r="D477" s="464"/>
      <c r="E477" s="29"/>
      <c r="G477" s="338"/>
      <c r="H477" s="339"/>
      <c r="I477" s="339"/>
      <c r="J477" s="339"/>
      <c r="K477" s="339"/>
      <c r="L477" s="339"/>
      <c r="O477" s="380"/>
      <c r="AI477" s="31"/>
      <c r="AJ477" s="31"/>
      <c r="AK477" s="32"/>
      <c r="AL477" s="33"/>
      <c r="AM477" s="32"/>
      <c r="AN477" s="33"/>
      <c r="AO477" s="32"/>
      <c r="AP477" s="32"/>
      <c r="AQ477" s="136"/>
      <c r="AR477" s="136"/>
      <c r="AS477" s="136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372"/>
      <c r="BD477" s="372"/>
      <c r="BE477" s="372"/>
      <c r="BF477" s="372"/>
      <c r="BG477" s="372"/>
      <c r="BH477" s="372"/>
      <c r="BI477" s="372"/>
      <c r="BJ477" s="372"/>
      <c r="BK477" s="372"/>
      <c r="BL477" s="372"/>
      <c r="BM477" s="372"/>
      <c r="BN477" s="372"/>
      <c r="BO477" s="372"/>
      <c r="BP477" s="372"/>
      <c r="BQ477" s="372"/>
      <c r="BR477" s="372"/>
      <c r="BS477" s="372"/>
      <c r="BT477" s="372"/>
      <c r="BU477" s="372"/>
      <c r="BV477" s="372"/>
      <c r="BW477" s="372"/>
      <c r="BX477" s="372"/>
    </row>
    <row r="478" spans="2:76" s="28" customFormat="1">
      <c r="B478" s="136"/>
      <c r="D478" s="464"/>
      <c r="E478" s="29"/>
      <c r="G478" s="338"/>
      <c r="H478" s="339"/>
      <c r="I478" s="339"/>
      <c r="J478" s="339"/>
      <c r="K478" s="339"/>
      <c r="L478" s="339"/>
      <c r="O478" s="380"/>
      <c r="AI478" s="31"/>
      <c r="AJ478" s="31"/>
      <c r="AK478" s="32"/>
      <c r="AL478" s="33"/>
      <c r="AM478" s="32"/>
      <c r="AN478" s="33"/>
      <c r="AO478" s="32"/>
      <c r="AP478" s="32"/>
      <c r="AQ478" s="136"/>
      <c r="AR478" s="136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372"/>
      <c r="BD478" s="372"/>
      <c r="BE478" s="372"/>
      <c r="BF478" s="372"/>
      <c r="BG478" s="372"/>
      <c r="BH478" s="372"/>
      <c r="BI478" s="372"/>
      <c r="BJ478" s="372"/>
      <c r="BK478" s="372"/>
      <c r="BL478" s="372"/>
      <c r="BM478" s="372"/>
      <c r="BN478" s="372"/>
      <c r="BO478" s="372"/>
      <c r="BP478" s="372"/>
      <c r="BQ478" s="372"/>
      <c r="BR478" s="372"/>
      <c r="BS478" s="372"/>
      <c r="BT478" s="372"/>
      <c r="BU478" s="372"/>
      <c r="BV478" s="372"/>
      <c r="BW478" s="372"/>
      <c r="BX478" s="372"/>
    </row>
    <row r="479" spans="2:76" s="28" customFormat="1">
      <c r="B479" s="136"/>
      <c r="D479" s="464"/>
      <c r="E479" s="29"/>
      <c r="G479" s="338"/>
      <c r="H479" s="339"/>
      <c r="I479" s="339"/>
      <c r="J479" s="339"/>
      <c r="K479" s="339"/>
      <c r="L479" s="339"/>
      <c r="O479" s="380"/>
      <c r="AI479" s="31"/>
      <c r="AJ479" s="31"/>
      <c r="AK479" s="32"/>
      <c r="AL479" s="33"/>
      <c r="AM479" s="32"/>
      <c r="AN479" s="33"/>
      <c r="AO479" s="32"/>
      <c r="AP479" s="32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372"/>
      <c r="BD479" s="372"/>
      <c r="BE479" s="372"/>
      <c r="BF479" s="372"/>
      <c r="BG479" s="372"/>
      <c r="BH479" s="372"/>
      <c r="BI479" s="372"/>
      <c r="BJ479" s="372"/>
      <c r="BK479" s="372"/>
      <c r="BL479" s="372"/>
      <c r="BM479" s="372"/>
      <c r="BN479" s="372"/>
      <c r="BO479" s="372"/>
      <c r="BP479" s="372"/>
      <c r="BQ479" s="372"/>
      <c r="BR479" s="372"/>
      <c r="BS479" s="372"/>
      <c r="BT479" s="372"/>
      <c r="BU479" s="372"/>
      <c r="BV479" s="372"/>
      <c r="BW479" s="372"/>
      <c r="BX479" s="372"/>
    </row>
    <row r="480" spans="2:76" s="28" customFormat="1">
      <c r="B480" s="136"/>
      <c r="D480" s="464"/>
      <c r="E480" s="29"/>
      <c r="G480" s="338"/>
      <c r="H480" s="339"/>
      <c r="I480" s="339"/>
      <c r="J480" s="339"/>
      <c r="K480" s="339"/>
      <c r="L480" s="339"/>
      <c r="O480" s="377"/>
      <c r="AI480" s="31"/>
      <c r="AJ480" s="31"/>
      <c r="AK480" s="32"/>
      <c r="AL480" s="33"/>
      <c r="AM480" s="32"/>
      <c r="AN480" s="33"/>
      <c r="AO480" s="32"/>
      <c r="AP480" s="32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372"/>
      <c r="BD480" s="372"/>
      <c r="BE480" s="372"/>
      <c r="BF480" s="372"/>
      <c r="BG480" s="372"/>
      <c r="BH480" s="372"/>
      <c r="BI480" s="372"/>
      <c r="BJ480" s="372"/>
      <c r="BK480" s="372"/>
      <c r="BL480" s="372"/>
      <c r="BM480" s="372"/>
      <c r="BN480" s="372"/>
      <c r="BO480" s="372"/>
      <c r="BP480" s="372"/>
      <c r="BQ480" s="372"/>
      <c r="BR480" s="372"/>
      <c r="BS480" s="372"/>
      <c r="BT480" s="372"/>
      <c r="BU480" s="372"/>
      <c r="BV480" s="372"/>
      <c r="BW480" s="372"/>
      <c r="BX480" s="372"/>
    </row>
    <row r="481" spans="2:76" s="28" customFormat="1">
      <c r="B481" s="136"/>
      <c r="D481" s="464"/>
      <c r="E481" s="29"/>
      <c r="G481" s="338"/>
      <c r="H481" s="339"/>
      <c r="I481" s="339"/>
      <c r="J481" s="339"/>
      <c r="K481" s="339"/>
      <c r="L481" s="339"/>
      <c r="O481" s="380"/>
      <c r="AI481" s="31"/>
      <c r="AJ481" s="31"/>
      <c r="AK481" s="32"/>
      <c r="AL481" s="33"/>
      <c r="AM481" s="32"/>
      <c r="AN481" s="33"/>
      <c r="AO481" s="32"/>
      <c r="AP481" s="32"/>
      <c r="AQ481" s="136"/>
      <c r="AR481" s="136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372"/>
      <c r="BD481" s="372"/>
      <c r="BE481" s="372"/>
      <c r="BF481" s="372"/>
      <c r="BG481" s="372"/>
      <c r="BH481" s="372"/>
      <c r="BI481" s="372"/>
      <c r="BJ481" s="372"/>
      <c r="BK481" s="372"/>
      <c r="BL481" s="372"/>
      <c r="BM481" s="372"/>
      <c r="BN481" s="372"/>
      <c r="BO481" s="372"/>
      <c r="BP481" s="372"/>
      <c r="BQ481" s="372"/>
      <c r="BR481" s="372"/>
      <c r="BS481" s="372"/>
      <c r="BT481" s="372"/>
      <c r="BU481" s="372"/>
      <c r="BV481" s="372"/>
      <c r="BW481" s="372"/>
      <c r="BX481" s="372"/>
    </row>
    <row r="482" spans="2:76" s="28" customFormat="1">
      <c r="B482" s="136"/>
      <c r="D482" s="464"/>
      <c r="E482" s="29"/>
      <c r="G482" s="338"/>
      <c r="H482" s="339"/>
      <c r="I482" s="339"/>
      <c r="J482" s="339"/>
      <c r="K482" s="339"/>
      <c r="L482" s="339"/>
      <c r="O482" s="377"/>
      <c r="AI482" s="31"/>
      <c r="AJ482" s="31"/>
      <c r="AK482" s="32"/>
      <c r="AL482" s="33"/>
      <c r="AM482" s="32"/>
      <c r="AN482" s="33"/>
      <c r="AO482" s="32"/>
      <c r="AP482" s="32"/>
      <c r="AQ482" s="136"/>
      <c r="AR482" s="136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372"/>
      <c r="BD482" s="372"/>
      <c r="BE482" s="372"/>
      <c r="BF482" s="372"/>
      <c r="BG482" s="372"/>
      <c r="BH482" s="372"/>
      <c r="BI482" s="372"/>
      <c r="BJ482" s="372"/>
      <c r="BK482" s="372"/>
      <c r="BL482" s="372"/>
      <c r="BM482" s="372"/>
      <c r="BN482" s="372"/>
      <c r="BO482" s="372"/>
      <c r="BP482" s="372"/>
      <c r="BQ482" s="372"/>
      <c r="BR482" s="372"/>
      <c r="BS482" s="372"/>
      <c r="BT482" s="372"/>
      <c r="BU482" s="372"/>
      <c r="BV482" s="372"/>
      <c r="BW482" s="372"/>
      <c r="BX482" s="372"/>
    </row>
    <row r="483" spans="2:76" s="28" customFormat="1">
      <c r="B483" s="136"/>
      <c r="D483" s="464"/>
      <c r="E483" s="29"/>
      <c r="G483" s="338"/>
      <c r="H483" s="339"/>
      <c r="I483" s="339"/>
      <c r="J483" s="339"/>
      <c r="K483" s="339"/>
      <c r="L483" s="339"/>
      <c r="O483" s="377"/>
      <c r="AI483" s="31"/>
      <c r="AJ483" s="31"/>
      <c r="AK483" s="32"/>
      <c r="AL483" s="33"/>
      <c r="AM483" s="32"/>
      <c r="AN483" s="33"/>
      <c r="AO483" s="32"/>
      <c r="AP483" s="32"/>
      <c r="AQ483" s="136"/>
      <c r="AR483" s="136"/>
      <c r="AS483" s="136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372"/>
      <c r="BD483" s="372"/>
      <c r="BE483" s="372"/>
      <c r="BF483" s="372"/>
      <c r="BG483" s="372"/>
      <c r="BH483" s="372"/>
      <c r="BI483" s="372"/>
      <c r="BJ483" s="372"/>
      <c r="BK483" s="372"/>
      <c r="BL483" s="372"/>
      <c r="BM483" s="372"/>
      <c r="BN483" s="372"/>
      <c r="BO483" s="372"/>
      <c r="BP483" s="372"/>
      <c r="BQ483" s="372"/>
      <c r="BR483" s="372"/>
      <c r="BS483" s="372"/>
      <c r="BT483" s="372"/>
      <c r="BU483" s="372"/>
      <c r="BV483" s="372"/>
      <c r="BW483" s="372"/>
      <c r="BX483" s="372"/>
    </row>
    <row r="484" spans="2:76" s="28" customFormat="1">
      <c r="B484" s="136"/>
      <c r="D484" s="464"/>
      <c r="E484" s="29"/>
      <c r="G484" s="338"/>
      <c r="H484" s="339"/>
      <c r="I484" s="339"/>
      <c r="J484" s="339"/>
      <c r="K484" s="339"/>
      <c r="L484" s="339"/>
      <c r="O484" s="380"/>
      <c r="AI484" s="31"/>
      <c r="AJ484" s="31"/>
      <c r="AK484" s="32"/>
      <c r="AL484" s="33"/>
      <c r="AM484" s="32"/>
      <c r="AN484" s="33"/>
      <c r="AO484" s="32"/>
      <c r="AP484" s="32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372"/>
      <c r="BD484" s="372"/>
      <c r="BE484" s="372"/>
      <c r="BF484" s="372"/>
      <c r="BG484" s="372"/>
      <c r="BH484" s="372"/>
      <c r="BI484" s="372"/>
      <c r="BJ484" s="372"/>
      <c r="BK484" s="372"/>
      <c r="BL484" s="372"/>
      <c r="BM484" s="372"/>
      <c r="BN484" s="372"/>
      <c r="BO484" s="372"/>
      <c r="BP484" s="372"/>
      <c r="BQ484" s="372"/>
      <c r="BR484" s="372"/>
      <c r="BS484" s="372"/>
      <c r="BT484" s="372"/>
      <c r="BU484" s="372"/>
      <c r="BV484" s="372"/>
      <c r="BW484" s="372"/>
      <c r="BX484" s="372"/>
    </row>
    <row r="485" spans="2:76" s="28" customFormat="1">
      <c r="B485" s="136"/>
      <c r="D485" s="464"/>
      <c r="E485" s="29"/>
      <c r="G485" s="338"/>
      <c r="H485" s="339"/>
      <c r="I485" s="339"/>
      <c r="J485" s="339"/>
      <c r="K485" s="339"/>
      <c r="L485" s="339"/>
      <c r="O485" s="381"/>
      <c r="AI485" s="31"/>
      <c r="AJ485" s="31"/>
      <c r="AK485" s="32"/>
      <c r="AL485" s="33"/>
      <c r="AM485" s="32"/>
      <c r="AN485" s="33"/>
      <c r="AO485" s="32"/>
      <c r="AP485" s="32"/>
      <c r="AQ485" s="136"/>
      <c r="AR485" s="136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372"/>
      <c r="BD485" s="372"/>
      <c r="BE485" s="372"/>
      <c r="BF485" s="372"/>
      <c r="BG485" s="372"/>
      <c r="BH485" s="372"/>
      <c r="BI485" s="372"/>
      <c r="BJ485" s="372"/>
      <c r="BK485" s="372"/>
      <c r="BL485" s="372"/>
      <c r="BM485" s="372"/>
      <c r="BN485" s="372"/>
      <c r="BO485" s="372"/>
      <c r="BP485" s="372"/>
      <c r="BQ485" s="372"/>
      <c r="BR485" s="372"/>
      <c r="BS485" s="372"/>
      <c r="BT485" s="372"/>
      <c r="BU485" s="372"/>
      <c r="BV485" s="372"/>
      <c r="BW485" s="372"/>
      <c r="BX485" s="372"/>
    </row>
    <row r="486" spans="2:76" s="28" customFormat="1">
      <c r="B486" s="136"/>
      <c r="D486" s="464"/>
      <c r="E486" s="29"/>
      <c r="G486" s="338"/>
      <c r="H486" s="339"/>
      <c r="I486" s="339"/>
      <c r="J486" s="339"/>
      <c r="K486" s="339"/>
      <c r="L486" s="339"/>
      <c r="O486" s="376"/>
      <c r="AI486" s="31"/>
      <c r="AJ486" s="31"/>
      <c r="AK486" s="32"/>
      <c r="AL486" s="33"/>
      <c r="AM486" s="32"/>
      <c r="AN486" s="33"/>
      <c r="AO486" s="32"/>
      <c r="AP486" s="32"/>
      <c r="AQ486" s="136"/>
      <c r="AR486" s="136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372"/>
      <c r="BD486" s="372"/>
      <c r="BE486" s="372"/>
      <c r="BF486" s="372"/>
      <c r="BG486" s="372"/>
      <c r="BH486" s="372"/>
      <c r="BI486" s="372"/>
      <c r="BJ486" s="372"/>
      <c r="BK486" s="372"/>
      <c r="BL486" s="372"/>
      <c r="BM486" s="372"/>
      <c r="BN486" s="372"/>
      <c r="BO486" s="372"/>
      <c r="BP486" s="372"/>
      <c r="BQ486" s="372"/>
      <c r="BR486" s="372"/>
      <c r="BS486" s="372"/>
      <c r="BT486" s="372"/>
      <c r="BU486" s="372"/>
      <c r="BV486" s="372"/>
      <c r="BW486" s="372"/>
      <c r="BX486" s="372"/>
    </row>
    <row r="487" spans="2:76" s="28" customFormat="1">
      <c r="B487" s="136"/>
      <c r="D487" s="464"/>
      <c r="E487" s="29"/>
      <c r="G487" s="338"/>
      <c r="H487" s="339"/>
      <c r="I487" s="339"/>
      <c r="J487" s="339"/>
      <c r="K487" s="339"/>
      <c r="L487" s="339"/>
      <c r="O487" s="377"/>
      <c r="AI487" s="31"/>
      <c r="AJ487" s="31"/>
      <c r="AK487" s="32"/>
      <c r="AL487" s="33"/>
      <c r="AM487" s="32"/>
      <c r="AN487" s="33"/>
      <c r="AO487" s="32"/>
      <c r="AP487" s="32"/>
      <c r="AQ487" s="136"/>
      <c r="AR487" s="136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372"/>
      <c r="BD487" s="372"/>
      <c r="BE487" s="372"/>
      <c r="BF487" s="372"/>
      <c r="BG487" s="372"/>
      <c r="BH487" s="372"/>
      <c r="BI487" s="372"/>
      <c r="BJ487" s="372"/>
      <c r="BK487" s="372"/>
      <c r="BL487" s="372"/>
      <c r="BM487" s="372"/>
      <c r="BN487" s="372"/>
      <c r="BO487" s="372"/>
      <c r="BP487" s="372"/>
      <c r="BQ487" s="372"/>
      <c r="BR487" s="372"/>
      <c r="BS487" s="372"/>
      <c r="BT487" s="372"/>
      <c r="BU487" s="372"/>
      <c r="BV487" s="372"/>
      <c r="BW487" s="372"/>
      <c r="BX487" s="372"/>
    </row>
    <row r="488" spans="2:76" s="28" customFormat="1">
      <c r="B488" s="136"/>
      <c r="D488" s="464"/>
      <c r="E488" s="29"/>
      <c r="G488" s="338"/>
      <c r="H488" s="339"/>
      <c r="I488" s="339"/>
      <c r="J488" s="339"/>
      <c r="K488" s="339"/>
      <c r="L488" s="339"/>
      <c r="O488" s="377"/>
      <c r="AI488" s="31"/>
      <c r="AJ488" s="31"/>
      <c r="AK488" s="32"/>
      <c r="AL488" s="33"/>
      <c r="AM488" s="32"/>
      <c r="AN488" s="33"/>
      <c r="AO488" s="32"/>
      <c r="AP488" s="32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372"/>
      <c r="BD488" s="372"/>
      <c r="BE488" s="372"/>
      <c r="BF488" s="372"/>
      <c r="BG488" s="372"/>
      <c r="BH488" s="372"/>
      <c r="BI488" s="372"/>
      <c r="BJ488" s="372"/>
      <c r="BK488" s="372"/>
      <c r="BL488" s="372"/>
      <c r="BM488" s="372"/>
      <c r="BN488" s="372"/>
      <c r="BO488" s="372"/>
      <c r="BP488" s="372"/>
      <c r="BQ488" s="372"/>
      <c r="BR488" s="372"/>
      <c r="BS488" s="372"/>
      <c r="BT488" s="372"/>
      <c r="BU488" s="372"/>
      <c r="BV488" s="372"/>
      <c r="BW488" s="372"/>
      <c r="BX488" s="372"/>
    </row>
    <row r="489" spans="2:76" s="28" customFormat="1">
      <c r="B489" s="136"/>
      <c r="D489" s="464"/>
      <c r="E489" s="29"/>
      <c r="G489" s="338"/>
      <c r="H489" s="339"/>
      <c r="I489" s="339"/>
      <c r="J489" s="339"/>
      <c r="K489" s="339"/>
      <c r="L489" s="339"/>
      <c r="O489" s="380"/>
      <c r="AI489" s="31"/>
      <c r="AJ489" s="31"/>
      <c r="AK489" s="32"/>
      <c r="AL489" s="33"/>
      <c r="AM489" s="32"/>
      <c r="AN489" s="33"/>
      <c r="AO489" s="32"/>
      <c r="AP489" s="32"/>
      <c r="AQ489" s="136"/>
      <c r="AR489" s="136"/>
      <c r="AS489" s="136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372"/>
      <c r="BD489" s="372"/>
      <c r="BE489" s="372"/>
      <c r="BF489" s="372"/>
      <c r="BG489" s="372"/>
      <c r="BH489" s="372"/>
      <c r="BI489" s="372"/>
      <c r="BJ489" s="372"/>
      <c r="BK489" s="372"/>
      <c r="BL489" s="372"/>
      <c r="BM489" s="372"/>
      <c r="BN489" s="372"/>
      <c r="BO489" s="372"/>
      <c r="BP489" s="372"/>
      <c r="BQ489" s="372"/>
      <c r="BR489" s="372"/>
      <c r="BS489" s="372"/>
      <c r="BT489" s="372"/>
      <c r="BU489" s="372"/>
      <c r="BV489" s="372"/>
      <c r="BW489" s="372"/>
      <c r="BX489" s="372"/>
    </row>
    <row r="490" spans="2:76" s="28" customFormat="1">
      <c r="B490" s="136"/>
      <c r="D490" s="464"/>
      <c r="E490" s="29"/>
      <c r="G490" s="338"/>
      <c r="H490" s="339"/>
      <c r="I490" s="339"/>
      <c r="J490" s="339"/>
      <c r="K490" s="339"/>
      <c r="L490" s="339"/>
      <c r="O490" s="380"/>
      <c r="AI490" s="31"/>
      <c r="AJ490" s="31"/>
      <c r="AK490" s="32"/>
      <c r="AL490" s="33"/>
      <c r="AM490" s="32"/>
      <c r="AN490" s="33"/>
      <c r="AO490" s="32"/>
      <c r="AP490" s="32"/>
      <c r="AQ490" s="136"/>
      <c r="AR490" s="136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/>
      <c r="BC490" s="372"/>
      <c r="BD490" s="372"/>
      <c r="BE490" s="372"/>
      <c r="BF490" s="372"/>
      <c r="BG490" s="372"/>
      <c r="BH490" s="372"/>
      <c r="BI490" s="372"/>
      <c r="BJ490" s="372"/>
      <c r="BK490" s="372"/>
      <c r="BL490" s="372"/>
      <c r="BM490" s="372"/>
      <c r="BN490" s="372"/>
      <c r="BO490" s="372"/>
      <c r="BP490" s="372"/>
      <c r="BQ490" s="372"/>
      <c r="BR490" s="372"/>
      <c r="BS490" s="372"/>
      <c r="BT490" s="372"/>
      <c r="BU490" s="372"/>
      <c r="BV490" s="372"/>
      <c r="BW490" s="372"/>
      <c r="BX490" s="372"/>
    </row>
    <row r="491" spans="2:76" s="28" customFormat="1">
      <c r="B491" s="136"/>
      <c r="D491" s="464"/>
      <c r="E491" s="29"/>
      <c r="G491" s="338"/>
      <c r="H491" s="339"/>
      <c r="I491" s="339"/>
      <c r="J491" s="339"/>
      <c r="K491" s="339"/>
      <c r="L491" s="339"/>
      <c r="O491" s="381"/>
      <c r="AI491" s="31"/>
      <c r="AJ491" s="31"/>
      <c r="AK491" s="32"/>
      <c r="AL491" s="33"/>
      <c r="AM491" s="32"/>
      <c r="AN491" s="33"/>
      <c r="AO491" s="32"/>
      <c r="AP491" s="32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372"/>
      <c r="BD491" s="372"/>
      <c r="BE491" s="372"/>
      <c r="BF491" s="372"/>
      <c r="BG491" s="372"/>
      <c r="BH491" s="372"/>
      <c r="BI491" s="372"/>
      <c r="BJ491" s="372"/>
      <c r="BK491" s="372"/>
      <c r="BL491" s="372"/>
      <c r="BM491" s="372"/>
      <c r="BN491" s="372"/>
      <c r="BO491" s="372"/>
      <c r="BP491" s="372"/>
      <c r="BQ491" s="372"/>
      <c r="BR491" s="372"/>
      <c r="BS491" s="372"/>
      <c r="BT491" s="372"/>
      <c r="BU491" s="372"/>
      <c r="BV491" s="372"/>
      <c r="BW491" s="372"/>
      <c r="BX491" s="372"/>
    </row>
    <row r="492" spans="2:76" s="28" customFormat="1">
      <c r="B492" s="136"/>
      <c r="D492" s="464"/>
      <c r="E492" s="29"/>
      <c r="G492" s="338"/>
      <c r="H492" s="339"/>
      <c r="I492" s="339"/>
      <c r="J492" s="339"/>
      <c r="K492" s="339"/>
      <c r="L492" s="339"/>
      <c r="O492" s="378"/>
      <c r="AI492" s="31"/>
      <c r="AJ492" s="31"/>
      <c r="AK492" s="32"/>
      <c r="AL492" s="33"/>
      <c r="AM492" s="32"/>
      <c r="AN492" s="33"/>
      <c r="AO492" s="32"/>
      <c r="AP492" s="32"/>
      <c r="AQ492" s="136"/>
      <c r="AR492" s="136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372"/>
      <c r="BD492" s="372"/>
      <c r="BE492" s="372"/>
      <c r="BF492" s="372"/>
      <c r="BG492" s="372"/>
      <c r="BH492" s="372"/>
      <c r="BI492" s="372"/>
      <c r="BJ492" s="372"/>
      <c r="BK492" s="372"/>
      <c r="BL492" s="372"/>
      <c r="BM492" s="372"/>
      <c r="BN492" s="372"/>
      <c r="BO492" s="372"/>
      <c r="BP492" s="372"/>
      <c r="BQ492" s="372"/>
      <c r="BR492" s="372"/>
      <c r="BS492" s="372"/>
      <c r="BT492" s="372"/>
      <c r="BU492" s="372"/>
      <c r="BV492" s="372"/>
      <c r="BW492" s="372"/>
      <c r="BX492" s="372"/>
    </row>
    <row r="493" spans="2:76" s="28" customFormat="1">
      <c r="B493" s="136"/>
      <c r="D493" s="464"/>
      <c r="E493" s="29"/>
      <c r="G493" s="338"/>
      <c r="H493" s="339"/>
      <c r="I493" s="339"/>
      <c r="J493" s="339"/>
      <c r="K493" s="339"/>
      <c r="L493" s="339"/>
      <c r="O493" s="377"/>
      <c r="AI493" s="31"/>
      <c r="AJ493" s="31"/>
      <c r="AK493" s="32"/>
      <c r="AL493" s="33"/>
      <c r="AM493" s="32"/>
      <c r="AN493" s="33"/>
      <c r="AO493" s="32"/>
      <c r="AP493" s="32"/>
      <c r="AQ493" s="136"/>
      <c r="AR493" s="136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372"/>
      <c r="BD493" s="372"/>
      <c r="BE493" s="372"/>
      <c r="BF493" s="372"/>
      <c r="BG493" s="372"/>
      <c r="BH493" s="372"/>
      <c r="BI493" s="372"/>
      <c r="BJ493" s="372"/>
      <c r="BK493" s="372"/>
      <c r="BL493" s="372"/>
      <c r="BM493" s="372"/>
      <c r="BN493" s="372"/>
      <c r="BO493" s="372"/>
      <c r="BP493" s="372"/>
      <c r="BQ493" s="372"/>
      <c r="BR493" s="372"/>
      <c r="BS493" s="372"/>
      <c r="BT493" s="372"/>
      <c r="BU493" s="372"/>
      <c r="BV493" s="372"/>
      <c r="BW493" s="372"/>
      <c r="BX493" s="372"/>
    </row>
    <row r="494" spans="2:76" s="28" customFormat="1">
      <c r="B494" s="136"/>
      <c r="D494" s="464"/>
      <c r="E494" s="29"/>
      <c r="G494" s="338"/>
      <c r="H494" s="339"/>
      <c r="I494" s="339"/>
      <c r="J494" s="339"/>
      <c r="K494" s="339"/>
      <c r="L494" s="339"/>
      <c r="O494" s="379"/>
      <c r="AI494" s="31"/>
      <c r="AJ494" s="31"/>
      <c r="AK494" s="32"/>
      <c r="AL494" s="33"/>
      <c r="AM494" s="32"/>
      <c r="AN494" s="33"/>
      <c r="AO494" s="32"/>
      <c r="AP494" s="32"/>
      <c r="AQ494" s="136"/>
      <c r="AR494" s="136"/>
      <c r="AS494" s="136"/>
      <c r="AT494" s="136"/>
      <c r="AU494" s="136"/>
      <c r="AV494" s="136"/>
      <c r="AW494" s="136"/>
      <c r="AX494" s="136"/>
      <c r="AY494" s="136"/>
      <c r="AZ494" s="136"/>
      <c r="BA494" s="136"/>
      <c r="BB494" s="136"/>
      <c r="BC494" s="372"/>
      <c r="BD494" s="372"/>
      <c r="BE494" s="372"/>
      <c r="BF494" s="372"/>
      <c r="BG494" s="372"/>
      <c r="BH494" s="372"/>
      <c r="BI494" s="372"/>
      <c r="BJ494" s="372"/>
      <c r="BK494" s="372"/>
      <c r="BL494" s="372"/>
      <c r="BM494" s="372"/>
      <c r="BN494" s="372"/>
      <c r="BO494" s="372"/>
      <c r="BP494" s="372"/>
      <c r="BQ494" s="372"/>
      <c r="BR494" s="372"/>
      <c r="BS494" s="372"/>
      <c r="BT494" s="372"/>
      <c r="BU494" s="372"/>
      <c r="BV494" s="372"/>
      <c r="BW494" s="372"/>
      <c r="BX494" s="372"/>
    </row>
    <row r="495" spans="2:76" s="28" customFormat="1">
      <c r="B495" s="136"/>
      <c r="D495" s="464"/>
      <c r="E495" s="29"/>
      <c r="G495" s="338"/>
      <c r="H495" s="339"/>
      <c r="I495" s="339"/>
      <c r="J495" s="339"/>
      <c r="K495" s="339"/>
      <c r="L495" s="339"/>
      <c r="O495" s="380"/>
      <c r="AI495" s="31"/>
      <c r="AJ495" s="31"/>
      <c r="AK495" s="32"/>
      <c r="AL495" s="33"/>
      <c r="AM495" s="32"/>
      <c r="AN495" s="33"/>
      <c r="AO495" s="32"/>
      <c r="AP495" s="32"/>
      <c r="AQ495" s="136"/>
      <c r="AR495" s="136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372"/>
      <c r="BD495" s="372"/>
      <c r="BE495" s="372"/>
      <c r="BF495" s="372"/>
      <c r="BG495" s="372"/>
      <c r="BH495" s="372"/>
      <c r="BI495" s="372"/>
      <c r="BJ495" s="372"/>
      <c r="BK495" s="372"/>
      <c r="BL495" s="372"/>
      <c r="BM495" s="372"/>
      <c r="BN495" s="372"/>
      <c r="BO495" s="372"/>
      <c r="BP495" s="372"/>
      <c r="BQ495" s="372"/>
      <c r="BR495" s="372"/>
      <c r="BS495" s="372"/>
      <c r="BT495" s="372"/>
      <c r="BU495" s="372"/>
      <c r="BV495" s="372"/>
      <c r="BW495" s="372"/>
      <c r="BX495" s="372"/>
    </row>
    <row r="496" spans="2:76" s="28" customFormat="1">
      <c r="B496" s="136"/>
      <c r="D496" s="464"/>
      <c r="E496" s="29"/>
      <c r="G496" s="338"/>
      <c r="H496" s="339"/>
      <c r="I496" s="339"/>
      <c r="J496" s="339"/>
      <c r="K496" s="339"/>
      <c r="L496" s="339"/>
      <c r="O496" s="380"/>
      <c r="AI496" s="31"/>
      <c r="AJ496" s="31"/>
      <c r="AK496" s="32"/>
      <c r="AL496" s="33"/>
      <c r="AM496" s="32"/>
      <c r="AN496" s="33"/>
      <c r="AO496" s="32"/>
      <c r="AP496" s="32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372"/>
      <c r="BD496" s="372"/>
      <c r="BE496" s="372"/>
      <c r="BF496" s="372"/>
      <c r="BG496" s="372"/>
      <c r="BH496" s="372"/>
      <c r="BI496" s="372"/>
      <c r="BJ496" s="372"/>
      <c r="BK496" s="372"/>
      <c r="BL496" s="372"/>
      <c r="BM496" s="372"/>
      <c r="BN496" s="372"/>
      <c r="BO496" s="372"/>
      <c r="BP496" s="372"/>
      <c r="BQ496" s="372"/>
      <c r="BR496" s="372"/>
      <c r="BS496" s="372"/>
      <c r="BT496" s="372"/>
      <c r="BU496" s="372"/>
      <c r="BV496" s="372"/>
      <c r="BW496" s="372"/>
      <c r="BX496" s="372"/>
    </row>
    <row r="497" spans="2:76" s="28" customFormat="1">
      <c r="B497" s="136"/>
      <c r="D497" s="464"/>
      <c r="E497" s="29"/>
      <c r="G497" s="338"/>
      <c r="H497" s="339"/>
      <c r="I497" s="339"/>
      <c r="J497" s="339"/>
      <c r="K497" s="339"/>
      <c r="L497" s="339"/>
      <c r="O497" s="380"/>
      <c r="AI497" s="31"/>
      <c r="AJ497" s="31"/>
      <c r="AK497" s="32"/>
      <c r="AL497" s="33"/>
      <c r="AM497" s="32"/>
      <c r="AN497" s="33"/>
      <c r="AO497" s="32"/>
      <c r="AP497" s="32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372"/>
      <c r="BD497" s="372"/>
      <c r="BE497" s="372"/>
      <c r="BF497" s="372"/>
      <c r="BG497" s="372"/>
      <c r="BH497" s="372"/>
      <c r="BI497" s="372"/>
      <c r="BJ497" s="372"/>
      <c r="BK497" s="372"/>
      <c r="BL497" s="372"/>
      <c r="BM497" s="372"/>
      <c r="BN497" s="372"/>
      <c r="BO497" s="372"/>
      <c r="BP497" s="372"/>
      <c r="BQ497" s="372"/>
      <c r="BR497" s="372"/>
      <c r="BS497" s="372"/>
      <c r="BT497" s="372"/>
      <c r="BU497" s="372"/>
      <c r="BV497" s="372"/>
      <c r="BW497" s="372"/>
      <c r="BX497" s="372"/>
    </row>
    <row r="498" spans="2:76" s="28" customFormat="1">
      <c r="B498" s="136"/>
      <c r="D498" s="464"/>
      <c r="E498" s="29"/>
      <c r="G498" s="338"/>
      <c r="H498" s="339"/>
      <c r="I498" s="339"/>
      <c r="J498" s="339"/>
      <c r="K498" s="339"/>
      <c r="L498" s="339"/>
      <c r="O498" s="377"/>
      <c r="AI498" s="31"/>
      <c r="AJ498" s="31"/>
      <c r="AK498" s="32"/>
      <c r="AL498" s="33"/>
      <c r="AM498" s="32"/>
      <c r="AN498" s="33"/>
      <c r="AO498" s="32"/>
      <c r="AP498" s="32"/>
      <c r="AQ498" s="136"/>
      <c r="AR498" s="136"/>
      <c r="AS498" s="136"/>
      <c r="AT498" s="136"/>
      <c r="AU498" s="136"/>
      <c r="AV498" s="136"/>
      <c r="AW498" s="136"/>
      <c r="AX498" s="136"/>
      <c r="AY498" s="136"/>
      <c r="AZ498" s="136"/>
      <c r="BA498" s="136"/>
      <c r="BB498" s="136"/>
      <c r="BC498" s="372"/>
      <c r="BD498" s="372"/>
      <c r="BE498" s="372"/>
      <c r="BF498" s="372"/>
      <c r="BG498" s="372"/>
      <c r="BH498" s="372"/>
      <c r="BI498" s="372"/>
      <c r="BJ498" s="372"/>
      <c r="BK498" s="372"/>
      <c r="BL498" s="372"/>
      <c r="BM498" s="372"/>
      <c r="BN498" s="372"/>
      <c r="BO498" s="372"/>
      <c r="BP498" s="372"/>
      <c r="BQ498" s="372"/>
      <c r="BR498" s="372"/>
      <c r="BS498" s="372"/>
      <c r="BT498" s="372"/>
      <c r="BU498" s="372"/>
      <c r="BV498" s="372"/>
      <c r="BW498" s="372"/>
      <c r="BX498" s="372"/>
    </row>
    <row r="499" spans="2:76" s="28" customFormat="1">
      <c r="B499" s="136"/>
      <c r="D499" s="464"/>
      <c r="E499" s="29"/>
      <c r="G499" s="338"/>
      <c r="H499" s="339"/>
      <c r="I499" s="339"/>
      <c r="J499" s="339"/>
      <c r="K499" s="339"/>
      <c r="L499" s="339"/>
      <c r="O499" s="384"/>
      <c r="AI499" s="31"/>
      <c r="AJ499" s="31"/>
      <c r="AK499" s="32"/>
      <c r="AL499" s="33"/>
      <c r="AM499" s="32"/>
      <c r="AN499" s="33"/>
      <c r="AO499" s="32"/>
      <c r="AP499" s="32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372"/>
      <c r="BD499" s="372"/>
      <c r="BE499" s="372"/>
      <c r="BF499" s="372"/>
      <c r="BG499" s="372"/>
      <c r="BH499" s="372"/>
      <c r="BI499" s="372"/>
      <c r="BJ499" s="372"/>
      <c r="BK499" s="372"/>
      <c r="BL499" s="372"/>
      <c r="BM499" s="372"/>
      <c r="BN499" s="372"/>
      <c r="BO499" s="372"/>
      <c r="BP499" s="372"/>
      <c r="BQ499" s="372"/>
      <c r="BR499" s="372"/>
      <c r="BS499" s="372"/>
      <c r="BT499" s="372"/>
      <c r="BU499" s="372"/>
      <c r="BV499" s="372"/>
      <c r="BW499" s="372"/>
      <c r="BX499" s="372"/>
    </row>
    <row r="500" spans="2:76" s="28" customFormat="1">
      <c r="B500" s="136"/>
      <c r="D500" s="464"/>
      <c r="E500" s="29"/>
      <c r="G500" s="338"/>
      <c r="H500" s="339"/>
      <c r="I500" s="339"/>
      <c r="J500" s="339"/>
      <c r="K500" s="339"/>
      <c r="L500" s="339"/>
      <c r="O500" s="392"/>
      <c r="AI500" s="31"/>
      <c r="AJ500" s="31"/>
      <c r="AK500" s="32"/>
      <c r="AL500" s="33"/>
      <c r="AM500" s="32"/>
      <c r="AN500" s="33"/>
      <c r="AO500" s="32"/>
      <c r="AP500" s="32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372"/>
      <c r="BD500" s="372"/>
      <c r="BE500" s="372"/>
      <c r="BF500" s="372"/>
      <c r="BG500" s="372"/>
      <c r="BH500" s="372"/>
      <c r="BI500" s="372"/>
      <c r="BJ500" s="372"/>
      <c r="BK500" s="372"/>
      <c r="BL500" s="372"/>
      <c r="BM500" s="372"/>
      <c r="BN500" s="372"/>
      <c r="BO500" s="372"/>
      <c r="BP500" s="372"/>
      <c r="BQ500" s="372"/>
      <c r="BR500" s="372"/>
      <c r="BS500" s="372"/>
      <c r="BT500" s="372"/>
      <c r="BU500" s="372"/>
      <c r="BV500" s="372"/>
      <c r="BW500" s="372"/>
      <c r="BX500" s="372"/>
    </row>
    <row r="501" spans="2:76" s="28" customFormat="1">
      <c r="B501" s="136"/>
      <c r="D501" s="464"/>
      <c r="E501" s="29"/>
      <c r="G501" s="338"/>
      <c r="H501" s="339"/>
      <c r="I501" s="339"/>
      <c r="J501" s="339"/>
      <c r="K501" s="339"/>
      <c r="L501" s="339"/>
      <c r="O501" s="384"/>
      <c r="AI501" s="31"/>
      <c r="AJ501" s="31"/>
      <c r="AK501" s="32"/>
      <c r="AL501" s="33"/>
      <c r="AM501" s="32"/>
      <c r="AN501" s="33"/>
      <c r="AO501" s="32"/>
      <c r="AP501" s="32"/>
      <c r="AQ501" s="136"/>
      <c r="AR501" s="136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372"/>
      <c r="BD501" s="372"/>
      <c r="BE501" s="372"/>
      <c r="BF501" s="372"/>
      <c r="BG501" s="372"/>
      <c r="BH501" s="372"/>
      <c r="BI501" s="372"/>
      <c r="BJ501" s="372"/>
      <c r="BK501" s="372"/>
      <c r="BL501" s="372"/>
      <c r="BM501" s="372"/>
      <c r="BN501" s="372"/>
      <c r="BO501" s="372"/>
      <c r="BP501" s="372"/>
      <c r="BQ501" s="372"/>
      <c r="BR501" s="372"/>
      <c r="BS501" s="372"/>
      <c r="BT501" s="372"/>
      <c r="BU501" s="372"/>
      <c r="BV501" s="372"/>
      <c r="BW501" s="372"/>
      <c r="BX501" s="372"/>
    </row>
    <row r="502" spans="2:76" s="28" customFormat="1">
      <c r="B502" s="136"/>
      <c r="D502" s="464"/>
      <c r="E502" s="29"/>
      <c r="G502" s="338"/>
      <c r="H502" s="339"/>
      <c r="I502" s="339"/>
      <c r="J502" s="339"/>
      <c r="K502" s="339"/>
      <c r="L502" s="339"/>
      <c r="O502" s="377"/>
      <c r="AI502" s="31"/>
      <c r="AJ502" s="31"/>
      <c r="AK502" s="32"/>
      <c r="AL502" s="33"/>
      <c r="AM502" s="32"/>
      <c r="AN502" s="33"/>
      <c r="AO502" s="32"/>
      <c r="AP502" s="32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372"/>
      <c r="BD502" s="372"/>
      <c r="BE502" s="372"/>
      <c r="BF502" s="372"/>
      <c r="BG502" s="372"/>
      <c r="BH502" s="372"/>
      <c r="BI502" s="372"/>
      <c r="BJ502" s="372"/>
      <c r="BK502" s="372"/>
      <c r="BL502" s="372"/>
      <c r="BM502" s="372"/>
      <c r="BN502" s="372"/>
      <c r="BO502" s="372"/>
      <c r="BP502" s="372"/>
      <c r="BQ502" s="372"/>
      <c r="BR502" s="372"/>
      <c r="BS502" s="372"/>
      <c r="BT502" s="372"/>
      <c r="BU502" s="372"/>
      <c r="BV502" s="372"/>
      <c r="BW502" s="372"/>
      <c r="BX502" s="372"/>
    </row>
    <row r="503" spans="2:76" s="28" customFormat="1">
      <c r="B503" s="136"/>
      <c r="D503" s="464"/>
      <c r="E503" s="29"/>
      <c r="G503" s="338"/>
      <c r="H503" s="339"/>
      <c r="I503" s="339"/>
      <c r="J503" s="339"/>
      <c r="K503" s="339"/>
      <c r="L503" s="339"/>
      <c r="O503" s="377"/>
      <c r="AI503" s="31"/>
      <c r="AJ503" s="31"/>
      <c r="AK503" s="32"/>
      <c r="AL503" s="33"/>
      <c r="AM503" s="32"/>
      <c r="AN503" s="33"/>
      <c r="AO503" s="32"/>
      <c r="AP503" s="32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372"/>
      <c r="BD503" s="372"/>
      <c r="BE503" s="372"/>
      <c r="BF503" s="372"/>
      <c r="BG503" s="372"/>
      <c r="BH503" s="372"/>
      <c r="BI503" s="372"/>
      <c r="BJ503" s="372"/>
      <c r="BK503" s="372"/>
      <c r="BL503" s="372"/>
      <c r="BM503" s="372"/>
      <c r="BN503" s="372"/>
      <c r="BO503" s="372"/>
      <c r="BP503" s="372"/>
      <c r="BQ503" s="372"/>
      <c r="BR503" s="372"/>
      <c r="BS503" s="372"/>
      <c r="BT503" s="372"/>
      <c r="BU503" s="372"/>
      <c r="BV503" s="372"/>
      <c r="BW503" s="372"/>
      <c r="BX503" s="372"/>
    </row>
    <row r="504" spans="2:76" s="28" customFormat="1">
      <c r="B504" s="136"/>
      <c r="D504" s="464"/>
      <c r="E504" s="29"/>
      <c r="G504" s="338"/>
      <c r="H504" s="339"/>
      <c r="I504" s="339"/>
      <c r="J504" s="339"/>
      <c r="K504" s="339"/>
      <c r="L504" s="339"/>
      <c r="O504" s="381"/>
      <c r="AI504" s="31"/>
      <c r="AJ504" s="31"/>
      <c r="AK504" s="32"/>
      <c r="AL504" s="33"/>
      <c r="AM504" s="32"/>
      <c r="AN504" s="33"/>
      <c r="AO504" s="32"/>
      <c r="AP504" s="32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372"/>
      <c r="BD504" s="372"/>
      <c r="BE504" s="372"/>
      <c r="BF504" s="372"/>
      <c r="BG504" s="372"/>
      <c r="BH504" s="372"/>
      <c r="BI504" s="372"/>
      <c r="BJ504" s="372"/>
      <c r="BK504" s="372"/>
      <c r="BL504" s="372"/>
      <c r="BM504" s="372"/>
      <c r="BN504" s="372"/>
      <c r="BO504" s="372"/>
      <c r="BP504" s="372"/>
      <c r="BQ504" s="372"/>
      <c r="BR504" s="372"/>
      <c r="BS504" s="372"/>
      <c r="BT504" s="372"/>
      <c r="BU504" s="372"/>
      <c r="BV504" s="372"/>
      <c r="BW504" s="372"/>
      <c r="BX504" s="372"/>
    </row>
    <row r="505" spans="2:76" s="28" customFormat="1">
      <c r="B505" s="136"/>
      <c r="D505" s="464"/>
      <c r="E505" s="29"/>
      <c r="G505" s="338"/>
      <c r="H505" s="339"/>
      <c r="I505" s="339"/>
      <c r="J505" s="339"/>
      <c r="K505" s="339"/>
      <c r="L505" s="339"/>
      <c r="O505" s="388"/>
      <c r="AI505" s="31"/>
      <c r="AJ505" s="31"/>
      <c r="AK505" s="32"/>
      <c r="AL505" s="33"/>
      <c r="AM505" s="32"/>
      <c r="AN505" s="33"/>
      <c r="AO505" s="32"/>
      <c r="AP505" s="32"/>
      <c r="AQ505" s="136"/>
      <c r="AR505" s="136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372"/>
      <c r="BD505" s="372"/>
      <c r="BE505" s="372"/>
      <c r="BF505" s="372"/>
      <c r="BG505" s="372"/>
      <c r="BH505" s="372"/>
      <c r="BI505" s="372"/>
      <c r="BJ505" s="372"/>
      <c r="BK505" s="372"/>
      <c r="BL505" s="372"/>
      <c r="BM505" s="372"/>
      <c r="BN505" s="372"/>
      <c r="BO505" s="372"/>
      <c r="BP505" s="372"/>
      <c r="BQ505" s="372"/>
      <c r="BR505" s="372"/>
      <c r="BS505" s="372"/>
      <c r="BT505" s="372"/>
      <c r="BU505" s="372"/>
      <c r="BV505" s="372"/>
      <c r="BW505" s="372"/>
      <c r="BX505" s="372"/>
    </row>
    <row r="506" spans="2:76" s="28" customFormat="1">
      <c r="B506" s="136"/>
      <c r="D506" s="464"/>
      <c r="E506" s="29"/>
      <c r="G506" s="338"/>
      <c r="H506" s="339"/>
      <c r="I506" s="339"/>
      <c r="J506" s="339"/>
      <c r="K506" s="339"/>
      <c r="L506" s="339"/>
      <c r="O506" s="377"/>
      <c r="AI506" s="31"/>
      <c r="AJ506" s="31"/>
      <c r="AK506" s="32"/>
      <c r="AL506" s="33"/>
      <c r="AM506" s="32"/>
      <c r="AN506" s="33"/>
      <c r="AO506" s="32"/>
      <c r="AP506" s="32"/>
      <c r="AQ506" s="136"/>
      <c r="AR506" s="136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372"/>
      <c r="BD506" s="372"/>
      <c r="BE506" s="372"/>
      <c r="BF506" s="372"/>
      <c r="BG506" s="372"/>
      <c r="BH506" s="372"/>
      <c r="BI506" s="372"/>
      <c r="BJ506" s="372"/>
      <c r="BK506" s="372"/>
      <c r="BL506" s="372"/>
      <c r="BM506" s="372"/>
      <c r="BN506" s="372"/>
      <c r="BO506" s="372"/>
      <c r="BP506" s="372"/>
      <c r="BQ506" s="372"/>
      <c r="BR506" s="372"/>
      <c r="BS506" s="372"/>
      <c r="BT506" s="372"/>
      <c r="BU506" s="372"/>
      <c r="BV506" s="372"/>
      <c r="BW506" s="372"/>
      <c r="BX506" s="372"/>
    </row>
    <row r="507" spans="2:76" s="28" customFormat="1">
      <c r="B507" s="136"/>
      <c r="D507" s="464"/>
      <c r="E507" s="29"/>
      <c r="G507" s="338"/>
      <c r="H507" s="339"/>
      <c r="I507" s="339"/>
      <c r="J507" s="339"/>
      <c r="K507" s="339"/>
      <c r="L507" s="339"/>
      <c r="O507" s="376"/>
      <c r="AI507" s="31"/>
      <c r="AJ507" s="31"/>
      <c r="AK507" s="32"/>
      <c r="AL507" s="33"/>
      <c r="AM507" s="32"/>
      <c r="AN507" s="33"/>
      <c r="AO507" s="32"/>
      <c r="AP507" s="32"/>
      <c r="AQ507" s="136"/>
      <c r="AR507" s="136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372"/>
      <c r="BD507" s="372"/>
      <c r="BE507" s="372"/>
      <c r="BF507" s="372"/>
      <c r="BG507" s="372"/>
      <c r="BH507" s="372"/>
      <c r="BI507" s="372"/>
      <c r="BJ507" s="372"/>
      <c r="BK507" s="372"/>
      <c r="BL507" s="372"/>
      <c r="BM507" s="372"/>
      <c r="BN507" s="372"/>
      <c r="BO507" s="372"/>
      <c r="BP507" s="372"/>
      <c r="BQ507" s="372"/>
      <c r="BR507" s="372"/>
      <c r="BS507" s="372"/>
      <c r="BT507" s="372"/>
      <c r="BU507" s="372"/>
      <c r="BV507" s="372"/>
      <c r="BW507" s="372"/>
      <c r="BX507" s="372"/>
    </row>
  </sheetData>
  <mergeCells count="32">
    <mergeCell ref="G2:G4"/>
    <mergeCell ref="B2:B4"/>
    <mergeCell ref="C2:C4"/>
    <mergeCell ref="D2:D4"/>
    <mergeCell ref="E2:E4"/>
    <mergeCell ref="F2:F4"/>
    <mergeCell ref="AD2:AD4"/>
    <mergeCell ref="H2:L3"/>
    <mergeCell ref="M2:Q2"/>
    <mergeCell ref="R2:T2"/>
    <mergeCell ref="U2:U4"/>
    <mergeCell ref="V2:V4"/>
    <mergeCell ref="W2:W4"/>
    <mergeCell ref="R3:R4"/>
    <mergeCell ref="S3:S4"/>
    <mergeCell ref="T3:T4"/>
    <mergeCell ref="K4:L4"/>
    <mergeCell ref="X2:X4"/>
    <mergeCell ref="Y2:Y4"/>
    <mergeCell ref="Z2:Z4"/>
    <mergeCell ref="AA2:AA4"/>
    <mergeCell ref="AB2:AC3"/>
    <mergeCell ref="M3:M4"/>
    <mergeCell ref="N3:N4"/>
    <mergeCell ref="O3:O4"/>
    <mergeCell ref="P3:P4"/>
    <mergeCell ref="Q3:Q4"/>
    <mergeCell ref="AE2:AE4"/>
    <mergeCell ref="AF2:AF4"/>
    <mergeCell ref="AG2:AH3"/>
    <mergeCell ref="AI2:AI4"/>
    <mergeCell ref="AJ2:AJ4"/>
  </mergeCells>
  <dataValidations count="2">
    <dataValidation type="list" allowBlank="1" showInputMessage="1" showErrorMessage="1" sqref="H79:H89 H6:H44 H45:H63">
      <formula1>"L,P"</formula1>
    </dataValidation>
    <dataValidation type="list" allowBlank="1" showInputMessage="1" showErrorMessage="1" sqref="I79:I89 I6:I44 I45:I63">
      <formula1>"TK/0,TK/1,TK/2,TK/3,K/0,K/1,K/2,K/3"</formula1>
    </dataValidation>
  </dataValidations>
  <pageMargins left="0.7" right="0.7" top="0.75" bottom="0.75" header="0.3" footer="0.3"/>
  <pageSetup paperSize="9" scale="90" orientation="portrait" horizontalDpi="0" verticalDpi="0" r:id="rId1"/>
  <rowBreaks count="1" manualBreakCount="1">
    <brk id="65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TARIF</vt:lpstr>
      <vt:lpstr>Des</vt:lpstr>
      <vt:lpstr>PPH EXGRATIA</vt:lpstr>
      <vt:lpstr>PERBULAN</vt:lpstr>
      <vt:lpstr>SETAHUN</vt:lpstr>
      <vt:lpstr>PAJAK JAN-NOV</vt:lpstr>
      <vt:lpstr>BPJS</vt:lpstr>
      <vt:lpstr>ASTEK+PENSIUN-DIISI SMPAI DES</vt:lpstr>
      <vt:lpstr>Sheet1</vt:lpstr>
      <vt:lpstr>Des!Print_Area</vt:lpstr>
      <vt:lpstr>Ter_A</vt:lpstr>
      <vt:lpstr>Ter_B</vt:lpstr>
      <vt:lpstr>Ter_C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Tommy Santoso</dc:creator>
  <cp:lastModifiedBy>PG2A</cp:lastModifiedBy>
  <cp:lastPrinted>2026-01-05T08:21:20Z</cp:lastPrinted>
  <dcterms:created xsi:type="dcterms:W3CDTF">2023-11-09T03:35:36Z</dcterms:created>
  <dcterms:modified xsi:type="dcterms:W3CDTF">2026-02-21T07:12:59Z</dcterms:modified>
</cp:coreProperties>
</file>