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500" activeTab="1"/>
  </bookViews>
  <sheets>
    <sheet name="TARIF" sheetId="1" r:id="rId1"/>
    <sheet name="PERHITUNGAN PPH 21 JAN26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1" hidden="1">'PERHITUNGAN PPH 21 JAN26'!$I$1:$I$92</definedName>
    <definedName name="februari" localSheetId="1">[1]TARIF!#REF!</definedName>
    <definedName name="februari">[2]TARIF!#REF!</definedName>
    <definedName name="PH" localSheetId="1">[3]TARIF!#REF!</definedName>
    <definedName name="PH">TARIF!#REF!</definedName>
    <definedName name="_xlnm.Print_Area" localSheetId="1">'PERHITUNGAN PPH 21 JAN26'!$A$1:$AH$93</definedName>
    <definedName name="PTKP" localSheetId="1">[3]TARIF!#REF!</definedName>
    <definedName name="PTKP">TARIF!#REF!</definedName>
    <definedName name="TARIF">[4]TARIF!$S$18:$U$25</definedName>
    <definedName name="Ter_A" localSheetId="1">[3]TARIF!$B$3:$E$46</definedName>
    <definedName name="Ter_A">TARIF!$B$3:$E$46</definedName>
    <definedName name="Ter_B" localSheetId="1">[3]TARIF!$H$3:$K$42</definedName>
    <definedName name="Ter_B">TARIF!$H$3:$K$42</definedName>
    <definedName name="Ter_C" localSheetId="1">[3]TARIF!$N$3:$Q$43</definedName>
    <definedName name="Ter_C">TARIF!$N$3:$Q$43</definedName>
  </definedNames>
  <calcPr calcId="144525"/>
</workbook>
</file>

<file path=xl/calcChain.xml><?xml version="1.0" encoding="utf-8"?>
<calcChain xmlns="http://schemas.openxmlformats.org/spreadsheetml/2006/main">
  <c r="AE70" i="2" l="1"/>
  <c r="AD70" i="2"/>
  <c r="Z70" i="2"/>
  <c r="AF68" i="2"/>
  <c r="J68" i="2"/>
  <c r="AG68" i="2" s="1"/>
  <c r="AJ67" i="2"/>
  <c r="AC67" i="2"/>
  <c r="V67" i="2"/>
  <c r="T67" i="2"/>
  <c r="Q67" i="2"/>
  <c r="P67" i="2"/>
  <c r="O67" i="2"/>
  <c r="N67" i="2"/>
  <c r="M67" i="2"/>
  <c r="L67" i="2"/>
  <c r="K67" i="2"/>
  <c r="AF67" i="2" s="1"/>
  <c r="J67" i="2"/>
  <c r="AG67" i="2" s="1"/>
  <c r="AJ66" i="2"/>
  <c r="AC66" i="2"/>
  <c r="V66" i="2"/>
  <c r="T66" i="2"/>
  <c r="Q66" i="2"/>
  <c r="P66" i="2"/>
  <c r="O66" i="2"/>
  <c r="N66" i="2"/>
  <c r="M66" i="2"/>
  <c r="AF66" i="2" s="1"/>
  <c r="L66" i="2"/>
  <c r="K66" i="2"/>
  <c r="J66" i="2"/>
  <c r="AG66" i="2" s="1"/>
  <c r="AJ65" i="2"/>
  <c r="AC65" i="2"/>
  <c r="V65" i="2"/>
  <c r="T65" i="2"/>
  <c r="Q65" i="2"/>
  <c r="P65" i="2"/>
  <c r="O65" i="2"/>
  <c r="N65" i="2"/>
  <c r="L65" i="2" s="1"/>
  <c r="M65" i="2"/>
  <c r="K65" i="2"/>
  <c r="J65" i="2"/>
  <c r="AJ64" i="2"/>
  <c r="AC64" i="2"/>
  <c r="V64" i="2"/>
  <c r="T64" i="2"/>
  <c r="Q64" i="2"/>
  <c r="P64" i="2"/>
  <c r="O64" i="2"/>
  <c r="N64" i="2"/>
  <c r="M64" i="2"/>
  <c r="L64" i="2"/>
  <c r="K64" i="2"/>
  <c r="AF64" i="2" s="1"/>
  <c r="J64" i="2"/>
  <c r="AG64" i="2" s="1"/>
  <c r="AJ63" i="2"/>
  <c r="AC63" i="2"/>
  <c r="V63" i="2"/>
  <c r="T63" i="2"/>
  <c r="Q63" i="2"/>
  <c r="P63" i="2"/>
  <c r="O63" i="2"/>
  <c r="N63" i="2"/>
  <c r="M63" i="2"/>
  <c r="L63" i="2"/>
  <c r="AF63" i="2" s="1"/>
  <c r="K63" i="2"/>
  <c r="J63" i="2"/>
  <c r="AG63" i="2" s="1"/>
  <c r="AJ62" i="2"/>
  <c r="AC62" i="2"/>
  <c r="V62" i="2"/>
  <c r="T62" i="2"/>
  <c r="Q62" i="2"/>
  <c r="P62" i="2"/>
  <c r="O62" i="2"/>
  <c r="N62" i="2"/>
  <c r="L62" i="2" s="1"/>
  <c r="AF62" i="2" s="1"/>
  <c r="M62" i="2"/>
  <c r="K62" i="2"/>
  <c r="J62" i="2"/>
  <c r="AJ61" i="2"/>
  <c r="AC61" i="2"/>
  <c r="V61" i="2"/>
  <c r="T61" i="2"/>
  <c r="Q61" i="2"/>
  <c r="P61" i="2"/>
  <c r="O61" i="2"/>
  <c r="N61" i="2"/>
  <c r="L61" i="2" s="1"/>
  <c r="M61" i="2"/>
  <c r="K61" i="2"/>
  <c r="AF61" i="2" s="1"/>
  <c r="J61" i="2"/>
  <c r="AJ60" i="2"/>
  <c r="AC60" i="2"/>
  <c r="V60" i="2"/>
  <c r="T60" i="2"/>
  <c r="Q60" i="2"/>
  <c r="P60" i="2"/>
  <c r="O60" i="2"/>
  <c r="N60" i="2"/>
  <c r="M60" i="2"/>
  <c r="L60" i="2"/>
  <c r="K60" i="2"/>
  <c r="AF60" i="2" s="1"/>
  <c r="J60" i="2"/>
  <c r="AJ59" i="2"/>
  <c r="AC59" i="2"/>
  <c r="AB59" i="2"/>
  <c r="AA59" i="2"/>
  <c r="Y59" i="2"/>
  <c r="X59" i="2"/>
  <c r="V59" i="2"/>
  <c r="U59" i="2"/>
  <c r="T59" i="2"/>
  <c r="S59" i="2"/>
  <c r="R59" i="2"/>
  <c r="Q59" i="2"/>
  <c r="P59" i="2"/>
  <c r="O59" i="2"/>
  <c r="N59" i="2"/>
  <c r="L59" i="2" s="1"/>
  <c r="AF59" i="2" s="1"/>
  <c r="AI59" i="2" s="1"/>
  <c r="AK59" i="2" s="1"/>
  <c r="M59" i="2"/>
  <c r="AJ58" i="2"/>
  <c r="AC58" i="2"/>
  <c r="AB58" i="2"/>
  <c r="AA58" i="2"/>
  <c r="Y58" i="2"/>
  <c r="X58" i="2"/>
  <c r="V58" i="2"/>
  <c r="U58" i="2"/>
  <c r="T58" i="2"/>
  <c r="S58" i="2"/>
  <c r="R58" i="2"/>
  <c r="Q58" i="2"/>
  <c r="P58" i="2"/>
  <c r="O58" i="2"/>
  <c r="N58" i="2"/>
  <c r="L58" i="2" s="1"/>
  <c r="AF58" i="2" s="1"/>
  <c r="AI58" i="2" s="1"/>
  <c r="AK58" i="2" s="1"/>
  <c r="M58" i="2"/>
  <c r="AJ57" i="2"/>
  <c r="AC57" i="2"/>
  <c r="AB57" i="2"/>
  <c r="AA57" i="2"/>
  <c r="Y57" i="2"/>
  <c r="X57" i="2"/>
  <c r="V57" i="2"/>
  <c r="U57" i="2"/>
  <c r="T57" i="2"/>
  <c r="S57" i="2"/>
  <c r="R57" i="2"/>
  <c r="Q57" i="2"/>
  <c r="P57" i="2"/>
  <c r="O57" i="2"/>
  <c r="N57" i="2"/>
  <c r="L57" i="2" s="1"/>
  <c r="AF57" i="2" s="1"/>
  <c r="AI57" i="2" s="1"/>
  <c r="AK57" i="2" s="1"/>
  <c r="M57" i="2"/>
  <c r="AJ56" i="2"/>
  <c r="AC56" i="2"/>
  <c r="AB56" i="2"/>
  <c r="AA56" i="2"/>
  <c r="Y56" i="2"/>
  <c r="X56" i="2"/>
  <c r="V56" i="2"/>
  <c r="U56" i="2"/>
  <c r="T56" i="2"/>
  <c r="S56" i="2"/>
  <c r="R56" i="2"/>
  <c r="Q56" i="2"/>
  <c r="P56" i="2"/>
  <c r="O56" i="2"/>
  <c r="N56" i="2"/>
  <c r="L56" i="2" s="1"/>
  <c r="AF56" i="2" s="1"/>
  <c r="AI56" i="2" s="1"/>
  <c r="AK56" i="2" s="1"/>
  <c r="M56" i="2"/>
  <c r="AJ55" i="2"/>
  <c r="AC55" i="2"/>
  <c r="AB55" i="2"/>
  <c r="AA55" i="2"/>
  <c r="Y55" i="2"/>
  <c r="X55" i="2"/>
  <c r="V55" i="2"/>
  <c r="U55" i="2"/>
  <c r="T55" i="2"/>
  <c r="S55" i="2"/>
  <c r="R55" i="2"/>
  <c r="Q55" i="2"/>
  <c r="P55" i="2"/>
  <c r="O55" i="2"/>
  <c r="N55" i="2"/>
  <c r="L55" i="2" s="1"/>
  <c r="AF55" i="2" s="1"/>
  <c r="AI55" i="2" s="1"/>
  <c r="AK55" i="2" s="1"/>
  <c r="M55" i="2"/>
  <c r="AJ54" i="2"/>
  <c r="AC54" i="2"/>
  <c r="AB54" i="2"/>
  <c r="AA54" i="2"/>
  <c r="Y54" i="2"/>
  <c r="X54" i="2"/>
  <c r="V54" i="2"/>
  <c r="U54" i="2"/>
  <c r="T54" i="2"/>
  <c r="S54" i="2"/>
  <c r="R54" i="2"/>
  <c r="Q54" i="2"/>
  <c r="P54" i="2"/>
  <c r="O54" i="2"/>
  <c r="N54" i="2"/>
  <c r="L54" i="2" s="1"/>
  <c r="AF54" i="2" s="1"/>
  <c r="AI54" i="2" s="1"/>
  <c r="AK54" i="2" s="1"/>
  <c r="M54" i="2"/>
  <c r="AJ53" i="2"/>
  <c r="AC53" i="2"/>
  <c r="AB53" i="2"/>
  <c r="AA53" i="2"/>
  <c r="Y53" i="2"/>
  <c r="X53" i="2"/>
  <c r="V53" i="2"/>
  <c r="U53" i="2"/>
  <c r="T53" i="2"/>
  <c r="S53" i="2"/>
  <c r="R53" i="2"/>
  <c r="Q53" i="2"/>
  <c r="P53" i="2"/>
  <c r="O53" i="2"/>
  <c r="N53" i="2"/>
  <c r="M53" i="2"/>
  <c r="L53" i="2"/>
  <c r="K53" i="2"/>
  <c r="AF53" i="2" s="1"/>
  <c r="J53" i="2"/>
  <c r="AG53" i="2" s="1"/>
  <c r="AJ52" i="2"/>
  <c r="AC52" i="2"/>
  <c r="AB52" i="2"/>
  <c r="AA52" i="2"/>
  <c r="Y52" i="2"/>
  <c r="X52" i="2"/>
  <c r="V52" i="2"/>
  <c r="U52" i="2"/>
  <c r="T52" i="2"/>
  <c r="S52" i="2"/>
  <c r="R52" i="2"/>
  <c r="Q52" i="2"/>
  <c r="P52" i="2"/>
  <c r="O52" i="2"/>
  <c r="N52" i="2"/>
  <c r="L52" i="2" s="1"/>
  <c r="M52" i="2"/>
  <c r="K52" i="2"/>
  <c r="J52" i="2"/>
  <c r="AJ51" i="2"/>
  <c r="AC51" i="2"/>
  <c r="AB51" i="2"/>
  <c r="AA51" i="2"/>
  <c r="Y51" i="2"/>
  <c r="X51" i="2"/>
  <c r="V51" i="2"/>
  <c r="U51" i="2"/>
  <c r="T51" i="2"/>
  <c r="S51" i="2"/>
  <c r="R51" i="2"/>
  <c r="Q51" i="2"/>
  <c r="P51" i="2"/>
  <c r="O51" i="2"/>
  <c r="N51" i="2"/>
  <c r="L51" i="2" s="1"/>
  <c r="M51" i="2"/>
  <c r="K51" i="2"/>
  <c r="AF51" i="2" s="1"/>
  <c r="J51" i="2"/>
  <c r="AG51" i="2" s="1"/>
  <c r="AJ50" i="2"/>
  <c r="AC50" i="2"/>
  <c r="AB50" i="2"/>
  <c r="AA50" i="2"/>
  <c r="Y50" i="2"/>
  <c r="X50" i="2"/>
  <c r="V50" i="2"/>
  <c r="U50" i="2"/>
  <c r="T50" i="2"/>
  <c r="S50" i="2"/>
  <c r="R50" i="2"/>
  <c r="Q50" i="2"/>
  <c r="P50" i="2"/>
  <c r="O50" i="2"/>
  <c r="N50" i="2"/>
  <c r="L50" i="2" s="1"/>
  <c r="M50" i="2"/>
  <c r="K50" i="2"/>
  <c r="J50" i="2"/>
  <c r="AJ49" i="2"/>
  <c r="AC49" i="2"/>
  <c r="AB49" i="2"/>
  <c r="AA49" i="2"/>
  <c r="Y49" i="2"/>
  <c r="X49" i="2"/>
  <c r="V49" i="2"/>
  <c r="U49" i="2"/>
  <c r="T49" i="2"/>
  <c r="S49" i="2"/>
  <c r="R49" i="2"/>
  <c r="Q49" i="2"/>
  <c r="P49" i="2"/>
  <c r="O49" i="2"/>
  <c r="N49" i="2"/>
  <c r="L49" i="2" s="1"/>
  <c r="M49" i="2"/>
  <c r="K49" i="2"/>
  <c r="AF49" i="2" s="1"/>
  <c r="J49" i="2"/>
  <c r="AG49" i="2" s="1"/>
  <c r="AJ48" i="2"/>
  <c r="AC48" i="2"/>
  <c r="AB48" i="2"/>
  <c r="AA48" i="2"/>
  <c r="Y48" i="2"/>
  <c r="X48" i="2"/>
  <c r="V48" i="2"/>
  <c r="U48" i="2"/>
  <c r="T48" i="2"/>
  <c r="S48" i="2"/>
  <c r="R48" i="2"/>
  <c r="Q48" i="2"/>
  <c r="P48" i="2"/>
  <c r="O48" i="2"/>
  <c r="N48" i="2"/>
  <c r="L48" i="2" s="1"/>
  <c r="M48" i="2"/>
  <c r="K48" i="2"/>
  <c r="J48" i="2"/>
  <c r="AJ47" i="2"/>
  <c r="AC47" i="2"/>
  <c r="AB47" i="2"/>
  <c r="AA47" i="2"/>
  <c r="Y47" i="2"/>
  <c r="X47" i="2"/>
  <c r="V47" i="2"/>
  <c r="U47" i="2"/>
  <c r="T47" i="2"/>
  <c r="S47" i="2"/>
  <c r="R47" i="2"/>
  <c r="Q47" i="2"/>
  <c r="P47" i="2"/>
  <c r="O47" i="2"/>
  <c r="N47" i="2"/>
  <c r="L47" i="2" s="1"/>
  <c r="M47" i="2"/>
  <c r="K47" i="2"/>
  <c r="AF47" i="2" s="1"/>
  <c r="J47" i="2"/>
  <c r="AG47" i="2" s="1"/>
  <c r="AJ46" i="2"/>
  <c r="AC46" i="2"/>
  <c r="AB46" i="2"/>
  <c r="AA46" i="2"/>
  <c r="Y46" i="2"/>
  <c r="X46" i="2"/>
  <c r="V46" i="2"/>
  <c r="U46" i="2"/>
  <c r="T46" i="2"/>
  <c r="S46" i="2"/>
  <c r="R46" i="2"/>
  <c r="Q46" i="2"/>
  <c r="P46" i="2"/>
  <c r="O46" i="2"/>
  <c r="N46" i="2"/>
  <c r="L46" i="2" s="1"/>
  <c r="M46" i="2"/>
  <c r="K46" i="2"/>
  <c r="J46" i="2"/>
  <c r="AJ45" i="2"/>
  <c r="AC45" i="2"/>
  <c r="AB45" i="2"/>
  <c r="AA45" i="2"/>
  <c r="Y45" i="2"/>
  <c r="X45" i="2"/>
  <c r="V45" i="2"/>
  <c r="U45" i="2"/>
  <c r="T45" i="2"/>
  <c r="S45" i="2"/>
  <c r="R45" i="2"/>
  <c r="Q45" i="2"/>
  <c r="P45" i="2"/>
  <c r="O45" i="2"/>
  <c r="N45" i="2"/>
  <c r="L45" i="2" s="1"/>
  <c r="M45" i="2"/>
  <c r="K45" i="2"/>
  <c r="AF45" i="2" s="1"/>
  <c r="J45" i="2"/>
  <c r="AG45" i="2" s="1"/>
  <c r="AJ44" i="2"/>
  <c r="AC44" i="2"/>
  <c r="AB44" i="2"/>
  <c r="AA44" i="2"/>
  <c r="Y44" i="2"/>
  <c r="X44" i="2"/>
  <c r="V44" i="2"/>
  <c r="U44" i="2"/>
  <c r="T44" i="2"/>
  <c r="S44" i="2"/>
  <c r="R44" i="2"/>
  <c r="Q44" i="2"/>
  <c r="P44" i="2"/>
  <c r="O44" i="2"/>
  <c r="N44" i="2"/>
  <c r="L44" i="2" s="1"/>
  <c r="M44" i="2"/>
  <c r="K44" i="2"/>
  <c r="J44" i="2"/>
  <c r="AJ43" i="2"/>
  <c r="AC43" i="2"/>
  <c r="AB43" i="2"/>
  <c r="AA43" i="2"/>
  <c r="Y43" i="2"/>
  <c r="X43" i="2"/>
  <c r="V43" i="2"/>
  <c r="U43" i="2"/>
  <c r="T43" i="2"/>
  <c r="S43" i="2"/>
  <c r="R43" i="2"/>
  <c r="Q43" i="2"/>
  <c r="P43" i="2"/>
  <c r="O43" i="2"/>
  <c r="N43" i="2"/>
  <c r="L43" i="2" s="1"/>
  <c r="M43" i="2"/>
  <c r="K43" i="2"/>
  <c r="AF43" i="2" s="1"/>
  <c r="J43" i="2"/>
  <c r="AG43" i="2" s="1"/>
  <c r="AJ42" i="2"/>
  <c r="AC42" i="2"/>
  <c r="AB42" i="2"/>
  <c r="AA42" i="2"/>
  <c r="Y42" i="2"/>
  <c r="X42" i="2"/>
  <c r="V42" i="2"/>
  <c r="U42" i="2"/>
  <c r="T42" i="2"/>
  <c r="S42" i="2"/>
  <c r="R42" i="2"/>
  <c r="Q42" i="2"/>
  <c r="P42" i="2"/>
  <c r="O42" i="2"/>
  <c r="N42" i="2"/>
  <c r="L42" i="2" s="1"/>
  <c r="M42" i="2"/>
  <c r="K42" i="2"/>
  <c r="J42" i="2"/>
  <c r="AJ41" i="2"/>
  <c r="AC41" i="2"/>
  <c r="AB41" i="2"/>
  <c r="AA41" i="2"/>
  <c r="Y41" i="2"/>
  <c r="X41" i="2"/>
  <c r="V41" i="2"/>
  <c r="U41" i="2"/>
  <c r="T41" i="2"/>
  <c r="S41" i="2"/>
  <c r="R41" i="2"/>
  <c r="Q41" i="2"/>
  <c r="P41" i="2"/>
  <c r="O41" i="2"/>
  <c r="N41" i="2"/>
  <c r="L41" i="2" s="1"/>
  <c r="M41" i="2"/>
  <c r="K41" i="2"/>
  <c r="AF41" i="2" s="1"/>
  <c r="J41" i="2"/>
  <c r="AG41" i="2" s="1"/>
  <c r="AJ40" i="2"/>
  <c r="AC40" i="2"/>
  <c r="AB40" i="2"/>
  <c r="AA40" i="2"/>
  <c r="Y40" i="2"/>
  <c r="X40" i="2"/>
  <c r="V40" i="2"/>
  <c r="U40" i="2"/>
  <c r="T40" i="2"/>
  <c r="S40" i="2"/>
  <c r="R40" i="2"/>
  <c r="Q40" i="2"/>
  <c r="P40" i="2"/>
  <c r="O40" i="2"/>
  <c r="N40" i="2"/>
  <c r="L40" i="2" s="1"/>
  <c r="M40" i="2"/>
  <c r="K40" i="2"/>
  <c r="J40" i="2"/>
  <c r="AJ39" i="2"/>
  <c r="AC39" i="2"/>
  <c r="AB39" i="2"/>
  <c r="AA39" i="2"/>
  <c r="Y39" i="2"/>
  <c r="X39" i="2"/>
  <c r="V39" i="2"/>
  <c r="U39" i="2"/>
  <c r="T39" i="2"/>
  <c r="S39" i="2"/>
  <c r="R39" i="2"/>
  <c r="Q39" i="2"/>
  <c r="P39" i="2"/>
  <c r="O39" i="2"/>
  <c r="N39" i="2"/>
  <c r="L39" i="2" s="1"/>
  <c r="M39" i="2"/>
  <c r="K39" i="2"/>
  <c r="AF39" i="2" s="1"/>
  <c r="J39" i="2"/>
  <c r="AG39" i="2" s="1"/>
  <c r="AJ38" i="2"/>
  <c r="AC38" i="2"/>
  <c r="AB38" i="2"/>
  <c r="AA38" i="2"/>
  <c r="Y38" i="2"/>
  <c r="X38" i="2"/>
  <c r="V38" i="2"/>
  <c r="U38" i="2"/>
  <c r="T38" i="2"/>
  <c r="S38" i="2"/>
  <c r="R38" i="2"/>
  <c r="Q38" i="2"/>
  <c r="P38" i="2"/>
  <c r="O38" i="2"/>
  <c r="N38" i="2"/>
  <c r="L38" i="2" s="1"/>
  <c r="M38" i="2"/>
  <c r="K38" i="2"/>
  <c r="J38" i="2"/>
  <c r="AJ37" i="2"/>
  <c r="AC37" i="2"/>
  <c r="AB37" i="2"/>
  <c r="AA37" i="2"/>
  <c r="Y37" i="2"/>
  <c r="X37" i="2"/>
  <c r="V37" i="2"/>
  <c r="U37" i="2"/>
  <c r="T37" i="2"/>
  <c r="S37" i="2"/>
  <c r="R37" i="2"/>
  <c r="Q37" i="2"/>
  <c r="P37" i="2"/>
  <c r="O37" i="2"/>
  <c r="N37" i="2"/>
  <c r="L37" i="2" s="1"/>
  <c r="M37" i="2"/>
  <c r="K37" i="2"/>
  <c r="AF37" i="2" s="1"/>
  <c r="J37" i="2"/>
  <c r="AG37" i="2" s="1"/>
  <c r="AJ36" i="2"/>
  <c r="AC36" i="2"/>
  <c r="AB36" i="2"/>
  <c r="AA36" i="2"/>
  <c r="Y36" i="2"/>
  <c r="X36" i="2"/>
  <c r="V36" i="2"/>
  <c r="U36" i="2"/>
  <c r="T36" i="2"/>
  <c r="S36" i="2"/>
  <c r="R36" i="2"/>
  <c r="Q36" i="2"/>
  <c r="P36" i="2"/>
  <c r="O36" i="2"/>
  <c r="N36" i="2"/>
  <c r="L36" i="2" s="1"/>
  <c r="M36" i="2"/>
  <c r="K36" i="2"/>
  <c r="J36" i="2"/>
  <c r="AJ35" i="2"/>
  <c r="AC35" i="2"/>
  <c r="AB35" i="2"/>
  <c r="AA35" i="2"/>
  <c r="Y35" i="2"/>
  <c r="X35" i="2"/>
  <c r="V35" i="2"/>
  <c r="U35" i="2"/>
  <c r="T35" i="2"/>
  <c r="S35" i="2"/>
  <c r="R35" i="2"/>
  <c r="Q35" i="2"/>
  <c r="P35" i="2"/>
  <c r="O35" i="2"/>
  <c r="N35" i="2"/>
  <c r="L35" i="2" s="1"/>
  <c r="M35" i="2"/>
  <c r="K35" i="2"/>
  <c r="AF35" i="2" s="1"/>
  <c r="J35" i="2"/>
  <c r="AG35" i="2" s="1"/>
  <c r="AJ34" i="2"/>
  <c r="AC34" i="2"/>
  <c r="AB34" i="2"/>
  <c r="AA34" i="2"/>
  <c r="Y34" i="2"/>
  <c r="X34" i="2"/>
  <c r="V34" i="2"/>
  <c r="U34" i="2"/>
  <c r="T34" i="2"/>
  <c r="S34" i="2"/>
  <c r="R34" i="2"/>
  <c r="Q34" i="2"/>
  <c r="P34" i="2"/>
  <c r="O34" i="2"/>
  <c r="N34" i="2"/>
  <c r="L34" i="2" s="1"/>
  <c r="M34" i="2"/>
  <c r="K34" i="2"/>
  <c r="J34" i="2"/>
  <c r="AJ33" i="2"/>
  <c r="AC33" i="2"/>
  <c r="AB33" i="2"/>
  <c r="AA33" i="2"/>
  <c r="Y33" i="2"/>
  <c r="X33" i="2"/>
  <c r="V33" i="2"/>
  <c r="U33" i="2"/>
  <c r="T33" i="2"/>
  <c r="S33" i="2"/>
  <c r="R33" i="2"/>
  <c r="Q33" i="2"/>
  <c r="P33" i="2"/>
  <c r="O33" i="2"/>
  <c r="N33" i="2"/>
  <c r="L33" i="2" s="1"/>
  <c r="M33" i="2"/>
  <c r="K33" i="2"/>
  <c r="AF33" i="2" s="1"/>
  <c r="J33" i="2"/>
  <c r="AG33" i="2" s="1"/>
  <c r="AJ32" i="2"/>
  <c r="AC32" i="2"/>
  <c r="AB32" i="2"/>
  <c r="AA32" i="2"/>
  <c r="Y32" i="2"/>
  <c r="X32" i="2"/>
  <c r="V32" i="2"/>
  <c r="U32" i="2"/>
  <c r="T32" i="2"/>
  <c r="S32" i="2"/>
  <c r="R32" i="2"/>
  <c r="Q32" i="2"/>
  <c r="P32" i="2"/>
  <c r="O32" i="2"/>
  <c r="N32" i="2"/>
  <c r="L32" i="2" s="1"/>
  <c r="M32" i="2"/>
  <c r="K32" i="2"/>
  <c r="J32" i="2"/>
  <c r="AJ31" i="2"/>
  <c r="AC31" i="2"/>
  <c r="AB31" i="2"/>
  <c r="AA31" i="2"/>
  <c r="Y31" i="2"/>
  <c r="X31" i="2"/>
  <c r="V31" i="2"/>
  <c r="U31" i="2"/>
  <c r="T31" i="2"/>
  <c r="S31" i="2"/>
  <c r="R31" i="2"/>
  <c r="Q31" i="2"/>
  <c r="P31" i="2"/>
  <c r="O31" i="2"/>
  <c r="N31" i="2"/>
  <c r="L31" i="2" s="1"/>
  <c r="M31" i="2"/>
  <c r="K31" i="2"/>
  <c r="AF31" i="2" s="1"/>
  <c r="J31" i="2"/>
  <c r="AG31" i="2" s="1"/>
  <c r="AJ30" i="2"/>
  <c r="AC30" i="2"/>
  <c r="AB30" i="2"/>
  <c r="AA30" i="2"/>
  <c r="Y30" i="2"/>
  <c r="X30" i="2"/>
  <c r="V30" i="2"/>
  <c r="U30" i="2"/>
  <c r="T30" i="2"/>
  <c r="S30" i="2"/>
  <c r="R30" i="2"/>
  <c r="Q30" i="2"/>
  <c r="P30" i="2"/>
  <c r="O30" i="2"/>
  <c r="N30" i="2"/>
  <c r="L30" i="2" s="1"/>
  <c r="M30" i="2"/>
  <c r="K30" i="2"/>
  <c r="J30" i="2"/>
  <c r="AJ29" i="2"/>
  <c r="AC29" i="2"/>
  <c r="AB29" i="2"/>
  <c r="AA29" i="2"/>
  <c r="Y29" i="2"/>
  <c r="X29" i="2"/>
  <c r="V29" i="2"/>
  <c r="U29" i="2"/>
  <c r="T29" i="2"/>
  <c r="S29" i="2"/>
  <c r="R29" i="2"/>
  <c r="Q29" i="2"/>
  <c r="P29" i="2"/>
  <c r="O29" i="2"/>
  <c r="N29" i="2"/>
  <c r="L29" i="2" s="1"/>
  <c r="M29" i="2"/>
  <c r="K29" i="2"/>
  <c r="AF29" i="2" s="1"/>
  <c r="J29" i="2"/>
  <c r="AG29" i="2" s="1"/>
  <c r="AJ28" i="2"/>
  <c r="AC28" i="2"/>
  <c r="AB28" i="2"/>
  <c r="AB70" i="2" s="1"/>
  <c r="AA28" i="2"/>
  <c r="AA70" i="2" s="1"/>
  <c r="Y28" i="2"/>
  <c r="Y70" i="2" s="1"/>
  <c r="X28" i="2"/>
  <c r="X70" i="2" s="1"/>
  <c r="V28" i="2"/>
  <c r="V70" i="2" s="1"/>
  <c r="U28" i="2"/>
  <c r="U70" i="2" s="1"/>
  <c r="T28" i="2"/>
  <c r="S28" i="2"/>
  <c r="S70" i="2" s="1"/>
  <c r="R28" i="2"/>
  <c r="R70" i="2" s="1"/>
  <c r="Q28" i="2"/>
  <c r="P28" i="2"/>
  <c r="O28" i="2"/>
  <c r="N28" i="2"/>
  <c r="L28" i="2" s="1"/>
  <c r="M28" i="2"/>
  <c r="K28" i="2"/>
  <c r="J28" i="2"/>
  <c r="AJ27" i="2"/>
  <c r="AC27" i="2"/>
  <c r="T27" i="2"/>
  <c r="Q27" i="2"/>
  <c r="P27" i="2"/>
  <c r="O27" i="2"/>
  <c r="N27" i="2"/>
  <c r="L27" i="2" s="1"/>
  <c r="M27" i="2"/>
  <c r="K27" i="2"/>
  <c r="J27" i="2"/>
  <c r="AJ26" i="2"/>
  <c r="AC26" i="2"/>
  <c r="T26" i="2"/>
  <c r="Q26" i="2"/>
  <c r="P26" i="2"/>
  <c r="O26" i="2"/>
  <c r="N26" i="2"/>
  <c r="L26" i="2" s="1"/>
  <c r="M26" i="2"/>
  <c r="K26" i="2"/>
  <c r="AF26" i="2" s="1"/>
  <c r="AI26" i="2" s="1"/>
  <c r="AK26" i="2" s="1"/>
  <c r="J26" i="2"/>
  <c r="AJ25" i="2"/>
  <c r="AC25" i="2"/>
  <c r="T25" i="2"/>
  <c r="Q25" i="2"/>
  <c r="P25" i="2"/>
  <c r="O25" i="2"/>
  <c r="N25" i="2"/>
  <c r="L25" i="2" s="1"/>
  <c r="M25" i="2"/>
  <c r="K25" i="2"/>
  <c r="AF25" i="2" s="1"/>
  <c r="AI25" i="2" s="1"/>
  <c r="AK25" i="2" s="1"/>
  <c r="J25" i="2"/>
  <c r="AG25" i="2" s="1"/>
  <c r="AJ24" i="2"/>
  <c r="AC24" i="2"/>
  <c r="T24" i="2"/>
  <c r="Q24" i="2"/>
  <c r="P24" i="2"/>
  <c r="O24" i="2"/>
  <c r="N24" i="2"/>
  <c r="L24" i="2" s="1"/>
  <c r="M24" i="2"/>
  <c r="K24" i="2"/>
  <c r="J24" i="2"/>
  <c r="AJ23" i="2"/>
  <c r="AC23" i="2"/>
  <c r="T23" i="2"/>
  <c r="Q23" i="2"/>
  <c r="P23" i="2"/>
  <c r="O23" i="2"/>
  <c r="N23" i="2"/>
  <c r="M23" i="2"/>
  <c r="L23" i="2"/>
  <c r="K23" i="2"/>
  <c r="AF23" i="2" s="1"/>
  <c r="J23" i="2"/>
  <c r="AJ22" i="2"/>
  <c r="AC22" i="2"/>
  <c r="T22" i="2"/>
  <c r="Q22" i="2"/>
  <c r="P22" i="2"/>
  <c r="O22" i="2"/>
  <c r="N22" i="2"/>
  <c r="M22" i="2"/>
  <c r="L22" i="2"/>
  <c r="K22" i="2"/>
  <c r="AF22" i="2" s="1"/>
  <c r="J22" i="2"/>
  <c r="AG22" i="2" s="1"/>
  <c r="AJ21" i="2"/>
  <c r="AC21" i="2"/>
  <c r="T21" i="2"/>
  <c r="Q21" i="2"/>
  <c r="P21" i="2"/>
  <c r="O21" i="2"/>
  <c r="N21" i="2"/>
  <c r="M21" i="2"/>
  <c r="L21" i="2"/>
  <c r="K21" i="2"/>
  <c r="AF21" i="2" s="1"/>
  <c r="J21" i="2"/>
  <c r="AJ20" i="2"/>
  <c r="AC20" i="2"/>
  <c r="T20" i="2"/>
  <c r="Q20" i="2"/>
  <c r="P20" i="2"/>
  <c r="O20" i="2"/>
  <c r="N20" i="2"/>
  <c r="M20" i="2"/>
  <c r="L20" i="2"/>
  <c r="K20" i="2"/>
  <c r="AF20" i="2" s="1"/>
  <c r="J20" i="2"/>
  <c r="AG20" i="2" s="1"/>
  <c r="AJ19" i="2"/>
  <c r="AC19" i="2"/>
  <c r="T19" i="2"/>
  <c r="Q19" i="2"/>
  <c r="P19" i="2"/>
  <c r="O19" i="2"/>
  <c r="N19" i="2"/>
  <c r="M19" i="2"/>
  <c r="L19" i="2"/>
  <c r="K19" i="2"/>
  <c r="AF19" i="2" s="1"/>
  <c r="J19" i="2"/>
  <c r="AJ18" i="2"/>
  <c r="AC18" i="2"/>
  <c r="T18" i="2"/>
  <c r="Q18" i="2"/>
  <c r="P18" i="2"/>
  <c r="O18" i="2"/>
  <c r="N18" i="2"/>
  <c r="M18" i="2"/>
  <c r="L18" i="2"/>
  <c r="K18" i="2"/>
  <c r="AF18" i="2" s="1"/>
  <c r="J18" i="2"/>
  <c r="AG18" i="2" s="1"/>
  <c r="AJ17" i="2"/>
  <c r="AC17" i="2"/>
  <c r="T17" i="2"/>
  <c r="Q17" i="2"/>
  <c r="P17" i="2"/>
  <c r="O17" i="2"/>
  <c r="N17" i="2"/>
  <c r="M17" i="2"/>
  <c r="L17" i="2"/>
  <c r="K17" i="2"/>
  <c r="AF17" i="2" s="1"/>
  <c r="J17" i="2"/>
  <c r="AJ16" i="2"/>
  <c r="AC16" i="2"/>
  <c r="T16" i="2"/>
  <c r="Q16" i="2"/>
  <c r="P16" i="2"/>
  <c r="O16" i="2"/>
  <c r="N16" i="2"/>
  <c r="M16" i="2"/>
  <c r="L16" i="2"/>
  <c r="K16" i="2"/>
  <c r="AF16" i="2" s="1"/>
  <c r="J16" i="2"/>
  <c r="AG16" i="2" s="1"/>
  <c r="AJ15" i="2"/>
  <c r="AC15" i="2"/>
  <c r="T15" i="2"/>
  <c r="Q15" i="2"/>
  <c r="P15" i="2"/>
  <c r="O15" i="2"/>
  <c r="N15" i="2"/>
  <c r="M15" i="2"/>
  <c r="L15" i="2"/>
  <c r="K15" i="2"/>
  <c r="AF15" i="2" s="1"/>
  <c r="J15" i="2"/>
  <c r="AJ14" i="2"/>
  <c r="AC14" i="2"/>
  <c r="T14" i="2"/>
  <c r="Q14" i="2"/>
  <c r="P14" i="2"/>
  <c r="O14" i="2"/>
  <c r="N14" i="2"/>
  <c r="M14" i="2"/>
  <c r="L14" i="2"/>
  <c r="K14" i="2"/>
  <c r="AF14" i="2" s="1"/>
  <c r="J14" i="2"/>
  <c r="AG14" i="2" s="1"/>
  <c r="AJ13" i="2"/>
  <c r="AC13" i="2"/>
  <c r="T13" i="2"/>
  <c r="Q13" i="2"/>
  <c r="P13" i="2"/>
  <c r="O13" i="2"/>
  <c r="N13" i="2"/>
  <c r="M13" i="2"/>
  <c r="L13" i="2"/>
  <c r="K13" i="2"/>
  <c r="AF13" i="2" s="1"/>
  <c r="J13" i="2"/>
  <c r="AJ12" i="2"/>
  <c r="AC12" i="2"/>
  <c r="T12" i="2"/>
  <c r="Q12" i="2"/>
  <c r="P12" i="2"/>
  <c r="O12" i="2"/>
  <c r="N12" i="2"/>
  <c r="M12" i="2"/>
  <c r="L12" i="2"/>
  <c r="K12" i="2"/>
  <c r="AF12" i="2" s="1"/>
  <c r="J12" i="2"/>
  <c r="AG12" i="2" s="1"/>
  <c r="AJ11" i="2"/>
  <c r="AC11" i="2"/>
  <c r="T11" i="2"/>
  <c r="Q11" i="2"/>
  <c r="P11" i="2"/>
  <c r="O11" i="2"/>
  <c r="N11" i="2"/>
  <c r="M11" i="2"/>
  <c r="L11" i="2"/>
  <c r="K11" i="2"/>
  <c r="AF11" i="2" s="1"/>
  <c r="J11" i="2"/>
  <c r="AJ10" i="2"/>
  <c r="AC10" i="2"/>
  <c r="T10" i="2"/>
  <c r="Q10" i="2"/>
  <c r="P10" i="2"/>
  <c r="O10" i="2"/>
  <c r="N10" i="2"/>
  <c r="M10" i="2"/>
  <c r="L10" i="2"/>
  <c r="K10" i="2"/>
  <c r="AF10" i="2" s="1"/>
  <c r="J10" i="2"/>
  <c r="AG10" i="2" s="1"/>
  <c r="AJ9" i="2"/>
  <c r="AC9" i="2"/>
  <c r="T9" i="2"/>
  <c r="Q9" i="2"/>
  <c r="P9" i="2"/>
  <c r="O9" i="2"/>
  <c r="N9" i="2"/>
  <c r="M9" i="2"/>
  <c r="L9" i="2"/>
  <c r="K9" i="2"/>
  <c r="AF9" i="2" s="1"/>
  <c r="J9" i="2"/>
  <c r="AJ8" i="2"/>
  <c r="AC8" i="2"/>
  <c r="T8" i="2"/>
  <c r="Q8" i="2"/>
  <c r="P8" i="2"/>
  <c r="O8" i="2"/>
  <c r="N8" i="2"/>
  <c r="M8" i="2"/>
  <c r="L8" i="2"/>
  <c r="K8" i="2"/>
  <c r="AF8" i="2" s="1"/>
  <c r="J8" i="2"/>
  <c r="AG8" i="2" s="1"/>
  <c r="AJ7" i="2"/>
  <c r="AC7" i="2"/>
  <c r="T7" i="2"/>
  <c r="Q7" i="2"/>
  <c r="P7" i="2"/>
  <c r="O7" i="2"/>
  <c r="N7" i="2"/>
  <c r="M7" i="2"/>
  <c r="L7" i="2"/>
  <c r="K7" i="2"/>
  <c r="AF7" i="2" s="1"/>
  <c r="J7" i="2"/>
  <c r="AJ6" i="2"/>
  <c r="AC6" i="2"/>
  <c r="AC70" i="2" s="1"/>
  <c r="T6" i="2"/>
  <c r="Q6" i="2"/>
  <c r="Q70" i="2" s="1"/>
  <c r="P6" i="2"/>
  <c r="P70" i="2" s="1"/>
  <c r="O6" i="2"/>
  <c r="O70" i="2" s="1"/>
  <c r="N6" i="2"/>
  <c r="M6" i="2"/>
  <c r="M70" i="2" s="1"/>
  <c r="L6" i="2"/>
  <c r="K6" i="2"/>
  <c r="K70" i="2" s="1"/>
  <c r="J6" i="2"/>
  <c r="B46" i="1"/>
  <c r="B45" i="1"/>
  <c r="B44" i="1"/>
  <c r="N43" i="1"/>
  <c r="B43" i="1"/>
  <c r="N42" i="1"/>
  <c r="H42" i="1"/>
  <c r="B42" i="1"/>
  <c r="N41" i="1"/>
  <c r="H41" i="1"/>
  <c r="B41" i="1"/>
  <c r="N40" i="1"/>
  <c r="H40" i="1"/>
  <c r="B40" i="1"/>
  <c r="N39" i="1"/>
  <c r="H39" i="1"/>
  <c r="B39" i="1"/>
  <c r="N38" i="1"/>
  <c r="H38" i="1"/>
  <c r="B38" i="1"/>
  <c r="N37" i="1"/>
  <c r="H37" i="1"/>
  <c r="B37" i="1"/>
  <c r="N36" i="1"/>
  <c r="H36" i="1"/>
  <c r="B36" i="1"/>
  <c r="N35" i="1"/>
  <c r="H35" i="1"/>
  <c r="B35" i="1"/>
  <c r="N34" i="1"/>
  <c r="H34" i="1"/>
  <c r="B34" i="1"/>
  <c r="N33" i="1"/>
  <c r="H33" i="1"/>
  <c r="B33" i="1"/>
  <c r="N32" i="1"/>
  <c r="H32" i="1"/>
  <c r="B32" i="1"/>
  <c r="N31" i="1"/>
  <c r="H31" i="1"/>
  <c r="B31" i="1"/>
  <c r="N30" i="1"/>
  <c r="H30" i="1"/>
  <c r="B30" i="1"/>
  <c r="N29" i="1"/>
  <c r="H29" i="1"/>
  <c r="B29" i="1"/>
  <c r="N28" i="1"/>
  <c r="H28" i="1"/>
  <c r="B28" i="1"/>
  <c r="N27" i="1"/>
  <c r="H27" i="1"/>
  <c r="B27" i="1"/>
  <c r="N26" i="1"/>
  <c r="H26" i="1"/>
  <c r="B26" i="1"/>
  <c r="N25" i="1"/>
  <c r="H25" i="1"/>
  <c r="B25" i="1"/>
  <c r="N24" i="1"/>
  <c r="H24" i="1"/>
  <c r="B24" i="1"/>
  <c r="N23" i="1"/>
  <c r="H23" i="1"/>
  <c r="B23" i="1"/>
  <c r="N22" i="1"/>
  <c r="H22" i="1"/>
  <c r="B22" i="1"/>
  <c r="N21" i="1"/>
  <c r="H21" i="1"/>
  <c r="B21" i="1"/>
  <c r="N20" i="1"/>
  <c r="H20" i="1"/>
  <c r="B20" i="1"/>
  <c r="N19" i="1"/>
  <c r="H19" i="1"/>
  <c r="B19" i="1"/>
  <c r="N18" i="1"/>
  <c r="H18" i="1"/>
  <c r="B18" i="1"/>
  <c r="N17" i="1"/>
  <c r="H17" i="1"/>
  <c r="B17" i="1"/>
  <c r="N16" i="1"/>
  <c r="H16" i="1"/>
  <c r="B16" i="1"/>
  <c r="N15" i="1"/>
  <c r="H15" i="1"/>
  <c r="B15" i="1"/>
  <c r="N14" i="1"/>
  <c r="H14" i="1"/>
  <c r="B14" i="1"/>
  <c r="S13" i="1"/>
  <c r="N13" i="1"/>
  <c r="H13" i="1"/>
  <c r="B13" i="1"/>
  <c r="S12" i="1"/>
  <c r="N12" i="1"/>
  <c r="H12" i="1"/>
  <c r="B12" i="1"/>
  <c r="S11" i="1"/>
  <c r="N11" i="1"/>
  <c r="H11" i="1"/>
  <c r="B11" i="1"/>
  <c r="S10" i="1"/>
  <c r="N10" i="1"/>
  <c r="H10" i="1"/>
  <c r="B10" i="1"/>
  <c r="N9" i="1"/>
  <c r="H9" i="1"/>
  <c r="B9" i="1"/>
  <c r="N8" i="1"/>
  <c r="H8" i="1"/>
  <c r="B8" i="1"/>
  <c r="N7" i="1"/>
  <c r="H7" i="1"/>
  <c r="B7" i="1"/>
  <c r="N6" i="1"/>
  <c r="H6" i="1"/>
  <c r="B6" i="1"/>
  <c r="N5" i="1"/>
  <c r="H5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B5" i="1"/>
  <c r="N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H4" i="1"/>
  <c r="G4" i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I23" i="2" l="1"/>
  <c r="AK23" i="2" s="1"/>
  <c r="AG9" i="2"/>
  <c r="AH9" i="2" s="1"/>
  <c r="AH10" i="2"/>
  <c r="AI10" i="2"/>
  <c r="AK10" i="2" s="1"/>
  <c r="AG13" i="2"/>
  <c r="AH14" i="2"/>
  <c r="AI14" i="2"/>
  <c r="AK14" i="2" s="1"/>
  <c r="AG17" i="2"/>
  <c r="AH18" i="2"/>
  <c r="AI18" i="2"/>
  <c r="AK18" i="2" s="1"/>
  <c r="AG21" i="2"/>
  <c r="AI22" i="2"/>
  <c r="AK22" i="2" s="1"/>
  <c r="AH22" i="2"/>
  <c r="AI11" i="2"/>
  <c r="AK11" i="2" s="1"/>
  <c r="AI9" i="2"/>
  <c r="AK9" i="2" s="1"/>
  <c r="AH13" i="2"/>
  <c r="AI13" i="2"/>
  <c r="AK13" i="2" s="1"/>
  <c r="AH17" i="2"/>
  <c r="AI17" i="2"/>
  <c r="AK17" i="2" s="1"/>
  <c r="AH21" i="2"/>
  <c r="AI21" i="2"/>
  <c r="AK21" i="2" s="1"/>
  <c r="AI7" i="2"/>
  <c r="AK7" i="2" s="1"/>
  <c r="AI15" i="2"/>
  <c r="AK15" i="2" s="1"/>
  <c r="AI19" i="2"/>
  <c r="AK19" i="2" s="1"/>
  <c r="AG7" i="2"/>
  <c r="AH7" i="2" s="1"/>
  <c r="AH8" i="2"/>
  <c r="AI8" i="2"/>
  <c r="AK8" i="2" s="1"/>
  <c r="AG11" i="2"/>
  <c r="AH11" i="2" s="1"/>
  <c r="AH12" i="2"/>
  <c r="AI12" i="2"/>
  <c r="AK12" i="2" s="1"/>
  <c r="AG15" i="2"/>
  <c r="AH15" i="2" s="1"/>
  <c r="AH16" i="2"/>
  <c r="AI16" i="2"/>
  <c r="AK16" i="2" s="1"/>
  <c r="AG19" i="2"/>
  <c r="AH19" i="2" s="1"/>
  <c r="AI20" i="2"/>
  <c r="AK20" i="2" s="1"/>
  <c r="AH20" i="2"/>
  <c r="L70" i="2"/>
  <c r="AI37" i="2"/>
  <c r="AK37" i="2" s="1"/>
  <c r="AH37" i="2"/>
  <c r="AI45" i="2"/>
  <c r="AK45" i="2" s="1"/>
  <c r="AH45" i="2"/>
  <c r="AI51" i="2"/>
  <c r="AK51" i="2" s="1"/>
  <c r="AH51" i="2"/>
  <c r="AI62" i="2"/>
  <c r="AK62" i="2" s="1"/>
  <c r="AI67" i="2"/>
  <c r="AK67" i="2" s="1"/>
  <c r="AH67" i="2"/>
  <c r="AH68" i="2"/>
  <c r="AF6" i="2"/>
  <c r="AG6" i="2" s="1"/>
  <c r="AG24" i="2"/>
  <c r="AI31" i="2"/>
  <c r="AK31" i="2" s="1"/>
  <c r="AH31" i="2"/>
  <c r="AI35" i="2"/>
  <c r="AK35" i="2" s="1"/>
  <c r="AH35" i="2"/>
  <c r="AI41" i="2"/>
  <c r="AK41" i="2" s="1"/>
  <c r="AH41" i="2"/>
  <c r="AI43" i="2"/>
  <c r="AK43" i="2" s="1"/>
  <c r="AH43" i="2"/>
  <c r="AI47" i="2"/>
  <c r="AK47" i="2" s="1"/>
  <c r="AH47" i="2"/>
  <c r="AI49" i="2"/>
  <c r="AK49" i="2" s="1"/>
  <c r="AH49" i="2"/>
  <c r="AI53" i="2"/>
  <c r="AK53" i="2" s="1"/>
  <c r="AH53" i="2"/>
  <c r="AF24" i="2"/>
  <c r="AG27" i="2"/>
  <c r="AF28" i="2"/>
  <c r="AG62" i="2"/>
  <c r="AH62" i="2" s="1"/>
  <c r="AH64" i="2"/>
  <c r="AI64" i="2"/>
  <c r="AK64" i="2" s="1"/>
  <c r="AF65" i="2"/>
  <c r="AI60" i="2"/>
  <c r="AK60" i="2" s="1"/>
  <c r="AI61" i="2"/>
  <c r="AK61" i="2" s="1"/>
  <c r="AH25" i="2"/>
  <c r="AI29" i="2"/>
  <c r="AK29" i="2" s="1"/>
  <c r="AH29" i="2"/>
  <c r="AI33" i="2"/>
  <c r="AK33" i="2" s="1"/>
  <c r="AH33" i="2"/>
  <c r="AI39" i="2"/>
  <c r="AK39" i="2" s="1"/>
  <c r="AH39" i="2"/>
  <c r="N70" i="2"/>
  <c r="T70" i="2"/>
  <c r="AG23" i="2"/>
  <c r="AH23" i="2" s="1"/>
  <c r="AG26" i="2"/>
  <c r="AH26" i="2" s="1"/>
  <c r="AF27" i="2"/>
  <c r="AF30" i="2"/>
  <c r="AF32" i="2"/>
  <c r="AF34" i="2"/>
  <c r="AF36" i="2"/>
  <c r="AG36" i="2" s="1"/>
  <c r="AF38" i="2"/>
  <c r="AF40" i="2"/>
  <c r="AF42" i="2"/>
  <c r="AF44" i="2"/>
  <c r="AG44" i="2" s="1"/>
  <c r="AF46" i="2"/>
  <c r="AF48" i="2"/>
  <c r="AG48" i="2" s="1"/>
  <c r="AF50" i="2"/>
  <c r="AF52" i="2"/>
  <c r="AG52" i="2" s="1"/>
  <c r="AG60" i="2"/>
  <c r="AH60" i="2" s="1"/>
  <c r="AG61" i="2"/>
  <c r="AH61" i="2" s="1"/>
  <c r="AI63" i="2"/>
  <c r="AK63" i="2" s="1"/>
  <c r="AH63" i="2"/>
  <c r="AI66" i="2"/>
  <c r="AK66" i="2" s="1"/>
  <c r="AH66" i="2"/>
  <c r="AI50" i="2" l="1"/>
  <c r="AK50" i="2" s="1"/>
  <c r="AI42" i="2"/>
  <c r="AK42" i="2" s="1"/>
  <c r="AI34" i="2"/>
  <c r="AK34" i="2" s="1"/>
  <c r="AI65" i="2"/>
  <c r="AK65" i="2" s="1"/>
  <c r="AI28" i="2"/>
  <c r="AK28" i="2" s="1"/>
  <c r="AI32" i="2"/>
  <c r="AK32" i="2" s="1"/>
  <c r="AG50" i="2"/>
  <c r="AH50" i="2" s="1"/>
  <c r="AG42" i="2"/>
  <c r="AH42" i="2" s="1"/>
  <c r="AG34" i="2"/>
  <c r="AH34" i="2" s="1"/>
  <c r="AI40" i="2"/>
  <c r="AK40" i="2" s="1"/>
  <c r="AI46" i="2"/>
  <c r="AK46" i="2" s="1"/>
  <c r="AI38" i="2"/>
  <c r="AK38" i="2" s="1"/>
  <c r="AI30" i="2"/>
  <c r="AK30" i="2" s="1"/>
  <c r="AH30" i="2"/>
  <c r="AG28" i="2"/>
  <c r="AH28" i="2" s="1"/>
  <c r="AG40" i="2"/>
  <c r="AH40" i="2" s="1"/>
  <c r="AG32" i="2"/>
  <c r="AH32" i="2" s="1"/>
  <c r="AI24" i="2"/>
  <c r="AK24" i="2" s="1"/>
  <c r="AH24" i="2"/>
  <c r="AF70" i="2"/>
  <c r="AI6" i="2"/>
  <c r="AK6" i="2" s="1"/>
  <c r="AH6" i="2"/>
  <c r="AG65" i="2"/>
  <c r="AH65" i="2" s="1"/>
  <c r="AI48" i="2"/>
  <c r="AK48" i="2" s="1"/>
  <c r="AH48" i="2"/>
  <c r="AI52" i="2"/>
  <c r="AK52" i="2" s="1"/>
  <c r="AH52" i="2"/>
  <c r="AI44" i="2"/>
  <c r="AK44" i="2" s="1"/>
  <c r="AH44" i="2"/>
  <c r="AI36" i="2"/>
  <c r="AK36" i="2" s="1"/>
  <c r="AH36" i="2"/>
  <c r="AI27" i="2"/>
  <c r="AK27" i="2" s="1"/>
  <c r="AH27" i="2"/>
  <c r="AG46" i="2"/>
  <c r="AH46" i="2" s="1"/>
  <c r="AG38" i="2"/>
  <c r="AH38" i="2" s="1"/>
  <c r="AG30" i="2"/>
  <c r="AH70" i="2" l="1"/>
  <c r="J57" i="1"/>
  <c r="J61" i="1"/>
  <c r="J56" i="1"/>
</calcChain>
</file>

<file path=xl/comments1.xml><?xml version="1.0" encoding="utf-8"?>
<comments xmlns="http://schemas.openxmlformats.org/spreadsheetml/2006/main">
  <authors>
    <author>PG1A</author>
  </authors>
  <commentList>
    <comment ref="K4" authorId="0">
      <text>
        <r>
          <rPr>
            <b/>
            <sz val="9"/>
            <color indexed="81"/>
            <rFont val="Tahoma"/>
            <family val="2"/>
          </rPr>
          <t xml:space="preserve">PG1A: 
Jumlah HK 1 Bulan
</t>
        </r>
      </text>
    </comment>
    <comment ref="O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" authorId="0">
      <text>
        <r>
          <rPr>
            <b/>
            <sz val="9"/>
            <color indexed="81"/>
            <rFont val="Tahoma"/>
            <family val="2"/>
          </rPr>
          <t>PG1A: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<sst xmlns="http://schemas.openxmlformats.org/spreadsheetml/2006/main" count="663" uniqueCount="305">
  <si>
    <t>PTKP (TK/0, TK/1, K/0)</t>
  </si>
  <si>
    <t>PTKP (TK/2, TK/3, K/1, K/2)</t>
  </si>
  <si>
    <t>PTKP (K/3)</t>
  </si>
  <si>
    <t>HARIAN</t>
  </si>
  <si>
    <t>No</t>
  </si>
  <si>
    <t>Lapisan Penghasilan bruto (Rp.)</t>
  </si>
  <si>
    <t>TER A</t>
  </si>
  <si>
    <t>TER B</t>
  </si>
  <si>
    <t>TER C</t>
  </si>
  <si>
    <t>Penghasilan Bruto</t>
  </si>
  <si>
    <t>Tarif</t>
  </si>
  <si>
    <t>s.d</t>
  </si>
  <si>
    <t>TARIF PASAL 17 WPOP</t>
  </si>
  <si>
    <t>Lapisan PKP</t>
  </si>
  <si>
    <t>~~</t>
  </si>
  <si>
    <t>PTKP</t>
  </si>
  <si>
    <t>Status</t>
  </si>
  <si>
    <t>Jumlah</t>
  </si>
  <si>
    <t>TK/0</t>
  </si>
  <si>
    <t>TK/1</t>
  </si>
  <si>
    <t>TK/2</t>
  </si>
  <si>
    <t>TK/3</t>
  </si>
  <si>
    <t>K/0</t>
  </si>
  <si>
    <t>K/1</t>
  </si>
  <si>
    <t>K/2</t>
  </si>
  <si>
    <t>K/3</t>
  </si>
  <si>
    <t>PT. REBINMAS JAYA</t>
  </si>
  <si>
    <t>INCOME TAX ARTICLE 21 FOR 'JANUARI 2026</t>
  </si>
  <si>
    <t>PGE 1A (AIR HIJAU)</t>
  </si>
  <si>
    <t>yang berwarna ini rumus</t>
  </si>
  <si>
    <t>NO.</t>
  </si>
  <si>
    <t>NAMA KARYAWAN</t>
  </si>
  <si>
    <t>N I K / 
PASPOR</t>
  </si>
  <si>
    <t>N P W P</t>
  </si>
  <si>
    <t>A L A M A T</t>
  </si>
  <si>
    <t>JABATAN</t>
  </si>
  <si>
    <t>L/P</t>
  </si>
  <si>
    <t>TER</t>
  </si>
  <si>
    <t>Gaji Pokok</t>
  </si>
  <si>
    <t>Astek Ins (0,84%)</t>
  </si>
  <si>
    <t>BPJS KESEHATAN (4%)</t>
  </si>
  <si>
    <t>Masa Kerja</t>
  </si>
  <si>
    <t>Rice  Allow
(Beras)</t>
  </si>
  <si>
    <t>Structural  Allow
(Jabatan)</t>
  </si>
  <si>
    <t>Service Time Allow
(Lembur)</t>
  </si>
  <si>
    <t>PREMI TBS</t>
  </si>
  <si>
    <t>PREMI BRONDOL</t>
  </si>
  <si>
    <t>PREMI ANGKUT TBS</t>
  </si>
  <si>
    <t>PRUNING</t>
  </si>
  <si>
    <t>PREMI KONTANAN</t>
  </si>
  <si>
    <t>ISENTIF PIKET</t>
  </si>
  <si>
    <t>INSENTIF POKOK TINGGI</t>
  </si>
  <si>
    <t>INSENTIF PREMI</t>
  </si>
  <si>
    <t>KOREKSI PANEN</t>
  </si>
  <si>
    <t>KOREKSI JAM KERJA</t>
  </si>
  <si>
    <t>POT. ALPA &amp; POT. CTH ( CUTI TANPA HK )</t>
  </si>
  <si>
    <t>THR</t>
  </si>
  <si>
    <t>Bonus</t>
  </si>
  <si>
    <t>Penghasilan
Bruto</t>
  </si>
  <si>
    <t>Tarif
TER</t>
  </si>
  <si>
    <t>PPH 21 JANUARI 2026</t>
  </si>
  <si>
    <t>CKROLL</t>
  </si>
  <si>
    <t>ZUHRINO</t>
  </si>
  <si>
    <t>1902012512840004</t>
  </si>
  <si>
    <t>97.237.616.4-305.000</t>
  </si>
  <si>
    <t>JL MANGGAR RT. 001 RW. 001 DS KACANG BUTOR BADAU</t>
  </si>
  <si>
    <t>MANDOR PERAWATAN</t>
  </si>
  <si>
    <t>L</t>
  </si>
  <si>
    <t>ROY CANTONA</t>
  </si>
  <si>
    <t>1205140608960002</t>
  </si>
  <si>
    <t>75.609.644.2-119.000</t>
  </si>
  <si>
    <t>JL MANGGAR PARIT GUNUNG RT. 005 RW. 003 DESA AIR BATU BUDING KEC. BADAU</t>
  </si>
  <si>
    <t>KERANI KANTOR</t>
  </si>
  <si>
    <t>SANDRA</t>
  </si>
  <si>
    <t>1902050702950001</t>
  </si>
  <si>
    <t>72.110.396.8-305.000</t>
  </si>
  <si>
    <t>JL. MANGGAR RT. 009 RW. 003 DESA KACANG BUTOR KEC. BADAU</t>
  </si>
  <si>
    <t>KARYAWAN PERAWATAN</t>
  </si>
  <si>
    <t>HADI PRIYANTO</t>
  </si>
  <si>
    <t>1902041107930002</t>
  </si>
  <si>
    <t>72.110.439.6-305.000</t>
  </si>
  <si>
    <t>JL. TANJUNG KELAYANG RT. 030 RW. 010 DESA TANJUNG BINGA KEC. SIJUK</t>
  </si>
  <si>
    <t>ISMAN YULIANTO</t>
  </si>
  <si>
    <t>1902011607920008</t>
  </si>
  <si>
    <t>97.237.605.7-305.000</t>
  </si>
  <si>
    <t>JL MANGGAR RT. 019 RW. 005 DESA BULUH TUMBANG KEC. TANJUNGPANDAN</t>
  </si>
  <si>
    <t>GUNAWAN</t>
  </si>
  <si>
    <t>1902051611950004</t>
  </si>
  <si>
    <t>72.110.449.5-305.000</t>
  </si>
  <si>
    <t>JL. MANGGAR AIR BEGANTUNG RT. 010 RW. 003 DESA KACANG BUTOR KEC. BADAU</t>
  </si>
  <si>
    <t>SUPRIYADI</t>
  </si>
  <si>
    <t>97.228.639.7-305.000</t>
  </si>
  <si>
    <t>DSN BUDING RT. 001 RW. 001 DS BUDING KEC KELAPA KAMPIT</t>
  </si>
  <si>
    <t>ELISA</t>
  </si>
  <si>
    <t>1902054610920002</t>
  </si>
  <si>
    <t>97.237.583.6-305.000</t>
  </si>
  <si>
    <t>DSN KEPAYANG RT. 004 RW. 002 DS KACANG BUTOR KEC BADAU</t>
  </si>
  <si>
    <t>P</t>
  </si>
  <si>
    <t>REBUYA</t>
  </si>
  <si>
    <t>1902054301730002</t>
  </si>
  <si>
    <t>97.237.540.6-305.000</t>
  </si>
  <si>
    <t>JL MANGGAR RT. 011 RW. 004 DESA KACANG BUTOR KEC. BADAU</t>
  </si>
  <si>
    <t>ARYANI</t>
  </si>
  <si>
    <t>1902055209790005</t>
  </si>
  <si>
    <t>97.237.591.9-305.000</t>
  </si>
  <si>
    <t>JL MANGGAR RT. 005 RW. 003 DS AIR BATU BUDING KEC BADAU</t>
  </si>
  <si>
    <t>HAYUNI</t>
  </si>
  <si>
    <t>1902055007840002</t>
  </si>
  <si>
    <t>97.237.570.3-305.000</t>
  </si>
  <si>
    <t>DSN AIR BATU BUDING RT. 006 RW. 003 DS AIR BATU BUDING KEC. BADAU</t>
  </si>
  <si>
    <t>HALINA</t>
  </si>
  <si>
    <t>1902054706740003</t>
  </si>
  <si>
    <t>97.237.579.4-305.000</t>
  </si>
  <si>
    <t>JL SUDIRMAN RT. 050 RW. 016 DS PERAWAS TANJUNGPANDAN</t>
  </si>
  <si>
    <t>SUTRI</t>
  </si>
  <si>
    <t>1902054910850003</t>
  </si>
  <si>
    <t>97.237.545.5-305.000</t>
  </si>
  <si>
    <t>JL MANGGAR DSN BUKIT INDAH RT. 011 RW. 004 DESA KACANG BUTOR KEC. BADAU</t>
  </si>
  <si>
    <t xml:space="preserve">HAZANA </t>
  </si>
  <si>
    <t>1902055110770004</t>
  </si>
  <si>
    <t>-</t>
  </si>
  <si>
    <t>JL MANGGAR RT. 006 RW. 003 DS AIR BATU BUDING BADAU</t>
  </si>
  <si>
    <t>ARNI</t>
  </si>
  <si>
    <t>1902055701810002</t>
  </si>
  <si>
    <t>97.237.592.7-305.000</t>
  </si>
  <si>
    <t>JL MANGGAR RT. 009 RW. 003 DESA KACANG BUTOR KEC. BADAU</t>
  </si>
  <si>
    <t>ZULPAWATI</t>
  </si>
  <si>
    <t>1902055710790003</t>
  </si>
  <si>
    <t>97.237.552.1-305.000</t>
  </si>
  <si>
    <t>BUKIT INDAH RT. 011 RW. 004 DESA KACANG BUTOR KEC. BADAU</t>
  </si>
  <si>
    <t>WAJIEM</t>
  </si>
  <si>
    <t>1902056610850001</t>
  </si>
  <si>
    <t>756056198305000</t>
  </si>
  <si>
    <t xml:space="preserve">JL MANGGAR DSN BUKIT INDAH RT. 011 RW. 004 DESA KACANG BUTOR KEC. BADAU </t>
  </si>
  <si>
    <t>DWI DERA SARTIKA</t>
  </si>
  <si>
    <t>1671037011920002</t>
  </si>
  <si>
    <t>756054607305000</t>
  </si>
  <si>
    <t>ADETYA FATRIANI</t>
  </si>
  <si>
    <t>1902055406950003</t>
  </si>
  <si>
    <t>910830850305000</t>
  </si>
  <si>
    <t>JL MANGGAR RT. 004 RW. 002 DESA AIR BATU BUDING KEC. BADAU</t>
  </si>
  <si>
    <t>YENNI</t>
  </si>
  <si>
    <t>1902054211950002</t>
  </si>
  <si>
    <t>AIR BATU BUDING RT. 004 RW. 002 DESA AIR BATU BUDING KEC. BADAU</t>
  </si>
  <si>
    <t>EKA NURSANTI</t>
  </si>
  <si>
    <t>1902014705900004</t>
  </si>
  <si>
    <t>852764398305000</t>
  </si>
  <si>
    <t>JL MANGGAR DSN AIR BEGANTUNG RT. 009 RW. 003 DESA KACANG BUTOR KEC. BADAU</t>
  </si>
  <si>
    <t>IDA ROYANI</t>
  </si>
  <si>
    <t>1902055407910002</t>
  </si>
  <si>
    <t>DUSUN BUKIT INDAH RT. 011 RW. 004 DESA KACANG BUTOR KEC. BADAU</t>
  </si>
  <si>
    <t>ZULHARI</t>
  </si>
  <si>
    <t>1902010601730004</t>
  </si>
  <si>
    <t>97.237.610.7-305.000</t>
  </si>
  <si>
    <t>PERAWAS II RT. 002 RW. 001 DESA BULUH TUMBANG KEC. TANJUNGPANDAN</t>
  </si>
  <si>
    <t>MANDOR PANEN</t>
  </si>
  <si>
    <t>IRWANSYAH</t>
  </si>
  <si>
    <t>1902013108890003</t>
  </si>
  <si>
    <t>97.228.394.9-305.000</t>
  </si>
  <si>
    <t>DSN SELINDANG  RT. 001 RW. 001 DESA SENYUBUK KEC. KELAPA KAMPIT</t>
  </si>
  <si>
    <t>KERANI PANEN</t>
  </si>
  <si>
    <t>YENI NURMALIA</t>
  </si>
  <si>
    <t>1906045409900003</t>
  </si>
  <si>
    <t xml:space="preserve">DSN SENYUBUK RT. 006 RW. 002 DESA MENTAWAK KEC. KELAPA KAMPIT </t>
  </si>
  <si>
    <t>JUNI</t>
  </si>
  <si>
    <t>1902051808830001</t>
  </si>
  <si>
    <t>97.237.609.9-305.000</t>
  </si>
  <si>
    <t>AIR BEGANTUNG RT.008 RW.003 DESA KACANG BUTOR KEC. BADAU</t>
  </si>
  <si>
    <t>KARYAWAN PANEN</t>
  </si>
  <si>
    <t>JANUAR</t>
  </si>
  <si>
    <t>1902053112880002</t>
  </si>
  <si>
    <t>97.237.560.4-305.000</t>
  </si>
  <si>
    <t>DSN AIR BEGANTUNG RT. 008 RW. 003 DS KACANG BUTOR KEC BADAU</t>
  </si>
  <si>
    <t>SUDARNO</t>
  </si>
  <si>
    <t>1902050910900001</t>
  </si>
  <si>
    <t>97.237.827.7-305.000</t>
  </si>
  <si>
    <t>JL MANGGAR DSN KEPAYANG RT. 007 RW. 002 DESA KACANG BUTOR KEC. BADAU</t>
  </si>
  <si>
    <t>SUGENG</t>
  </si>
  <si>
    <t>1902051602880001</t>
  </si>
  <si>
    <t>SARJUNO</t>
  </si>
  <si>
    <t>3314151012790009</t>
  </si>
  <si>
    <t>72.110.488.3-305.000</t>
  </si>
  <si>
    <t>DSN BUKIT INDAH RT. 012  RW. 004 DESA KACANG BUTOR</t>
  </si>
  <si>
    <t>EDI BLT</t>
  </si>
  <si>
    <t>1902011306920005</t>
  </si>
  <si>
    <t>97.237.529.9-305.000</t>
  </si>
  <si>
    <t xml:space="preserve">JL. MANGGAR RT. 019 RW. 005 DESA BULUH TUMBANG KEC. TANJUNGPANDAN  </t>
  </si>
  <si>
    <t>SYAMSUDDIN</t>
  </si>
  <si>
    <t>7303072509760001</t>
  </si>
  <si>
    <t>LEMBANG SAUKANG RT. 001 RW. 001 DESA LAYOA KEC. GANTARANG KEE KAB. BANTAENG SULAWESI SELATAN</t>
  </si>
  <si>
    <t>EPAN</t>
  </si>
  <si>
    <t>1906043101900002</t>
  </si>
  <si>
    <t>DSN AIR KELIK RT. 009 RW. 004 DESA AIR KELIK KEC. DAMAR</t>
  </si>
  <si>
    <t>SUNO</t>
  </si>
  <si>
    <t>1902050510870001</t>
  </si>
  <si>
    <t>JL MANGGAR DUSUN KEPAYANG RT. 007 RW. 002 DESA KACANG BUTOR KEC. BADAU</t>
  </si>
  <si>
    <t>EFYANTO</t>
  </si>
  <si>
    <t>1906042610000002</t>
  </si>
  <si>
    <t>DSN AIR KELIK RT. 009 RW. 004 DESA AIR KELIK KEC. DAMAR KAB. BELITUNG TIMUR</t>
  </si>
  <si>
    <t>MUH. HAERUL AZWARI</t>
  </si>
  <si>
    <t>5203203112970158</t>
  </si>
  <si>
    <t>UJUNG BATU PUTEK DESA PAREMAS KEC. JEROWARU KAB. LOMBOK TIMUR</t>
  </si>
  <si>
    <t>BURHAN YAHADI</t>
  </si>
  <si>
    <t>5203200501990002</t>
  </si>
  <si>
    <t>TANAK NENTUNG DS. JEROWARU KEC. JEROWARU KAB. LOMBOK TIMUR</t>
  </si>
  <si>
    <t>MUR SANAH</t>
  </si>
  <si>
    <t>5203202106020005</t>
  </si>
  <si>
    <t>GUBUK MASJID DS. PARE MAS KEC. JEROWARU KAB. LOMBOK TIMUR</t>
  </si>
  <si>
    <t>MUHAMMAT RIDUAN SAPI'I</t>
  </si>
  <si>
    <t>5203190703970002</t>
  </si>
  <si>
    <t>MONTONG TEBALOK DESA RENSING KEC. SAKRA BARAT KAB. LOMBOK TIMUR</t>
  </si>
  <si>
    <t>WAHYUDI</t>
  </si>
  <si>
    <t>1902010211820004</t>
  </si>
  <si>
    <t>97.228.319.6-305.000</t>
  </si>
  <si>
    <t>DSN AIR BEGANTUNG RT. 010 RW. 003 DESA KACANG BUTOR KEC. BADAU</t>
  </si>
  <si>
    <t>APRIYANSA</t>
  </si>
  <si>
    <t>1902051610980001</t>
  </si>
  <si>
    <t>53.760.468.8-305.000</t>
  </si>
  <si>
    <t>JL MANGGAR KEPAYANG RT. 005 RW. 002 DESA KACANG BUTOR KEC. BADAU</t>
  </si>
  <si>
    <t>JAHIDI</t>
  </si>
  <si>
    <t>1902011209790004</t>
  </si>
  <si>
    <t>BULUH TUMBANG RT. 011 RW. 003 DESA BULUH TUMBANG KEC. TANJUNGPANDAN</t>
  </si>
  <si>
    <t>ZULMAN CHAIRI</t>
  </si>
  <si>
    <t>5203083112900259</t>
  </si>
  <si>
    <t>DSN PERMATAN RT.004 RW.001 DS. GUNUNG MALANG</t>
  </si>
  <si>
    <t>ARYANDA PUTRA</t>
  </si>
  <si>
    <t>1902012006970006</t>
  </si>
  <si>
    <t>JL. JEND. SUDIRMAN RT.001 RW,001 DESA BULUH TUMBANG KEC. TANJUNG PANDAN KAB. BELITUNG</t>
  </si>
  <si>
    <t>BUDIYANTO</t>
  </si>
  <si>
    <t>1802091611800001</t>
  </si>
  <si>
    <t>DUSUN 3 RT.010 RW.003 DESA BINA KARYA PUTRA KEC.RUMBIA KAB.LAMPUNG TENGAH</t>
  </si>
  <si>
    <t>M ABDULMANAN</t>
  </si>
  <si>
    <t>5203192708930001</t>
  </si>
  <si>
    <t>BATU TANGKOK DESA MONTONG BETER KEC. SAKRA BARAT KAB. LOMBOK TIMUR</t>
  </si>
  <si>
    <t>HARTADI</t>
  </si>
  <si>
    <t>5203190303000004</t>
  </si>
  <si>
    <t>SAEPUDIN</t>
  </si>
  <si>
    <t>5203202208990003</t>
  </si>
  <si>
    <t>PERMAS DESA PARE MAS KEC.JEROWARU KAB.LOMBOK TIMUR</t>
  </si>
  <si>
    <t>MASTARUDIN</t>
  </si>
  <si>
    <t>5203193101920004</t>
  </si>
  <si>
    <t>GAWAH GADUNG, DESA BADUNG MAS KEC SAKRA BARAT KAB. LOMBOK TIMUR</t>
  </si>
  <si>
    <t>MUHAMMAD JUNAIDI</t>
  </si>
  <si>
    <t>5203192106950001</t>
  </si>
  <si>
    <t>LUKMAN</t>
  </si>
  <si>
    <t>5203193112980077</t>
  </si>
  <si>
    <t>M SUPANDRI</t>
  </si>
  <si>
    <t>5203191404030002</t>
  </si>
  <si>
    <t>ABDUL AZIS</t>
  </si>
  <si>
    <t>5203170707990010</t>
  </si>
  <si>
    <t>AMBENGAN DESA PENEDA GANDOR KEC.LABUHAN HAJI KAB.LOMBOK TIMUR</t>
  </si>
  <si>
    <t>WAWAN</t>
  </si>
  <si>
    <t>5203010107050356</t>
  </si>
  <si>
    <t>LUNGKAK DESA KETAPANG RAYA KEC.KERUAK KAB.LOMBOK TIMUR</t>
  </si>
  <si>
    <t>SARIPUDDIN</t>
  </si>
  <si>
    <t>7302060704920001</t>
  </si>
  <si>
    <t>LURAYA RT. 002 RW. 001 DESA LAIKANG KEC. KAJANG KAB. BULUKUMBA SULAWESI SELATAN</t>
  </si>
  <si>
    <t>OPERATOR</t>
  </si>
  <si>
    <t>ARIYANSYAH</t>
  </si>
  <si>
    <t>1902050809940001</t>
  </si>
  <si>
    <t>JL MANGGAR AIR BEGANTUNG RT. 008 RW. 003 DS KACANG BUTOR BADAU</t>
  </si>
  <si>
    <t>HELPER</t>
  </si>
  <si>
    <t>WAHYU</t>
  </si>
  <si>
    <t>1902010112940006</t>
  </si>
  <si>
    <t>76.883.239.6-305.000</t>
  </si>
  <si>
    <t>JL H SULAIMAN RT. 018 RW. 006 KEL. PARIT KEC. TANJUNGPANDAN</t>
  </si>
  <si>
    <t>RIZKI HUDA</t>
  </si>
  <si>
    <t>1902012001920004</t>
  </si>
  <si>
    <t>97.237.601.6-305.000</t>
  </si>
  <si>
    <t>JL PADANG BOLA RT. 012 RW. 006 DESA AIK SELUMAR KEC. SIJUK</t>
  </si>
  <si>
    <t>ALI</t>
  </si>
  <si>
    <t>1902050506760003</t>
  </si>
  <si>
    <t>97.228.018.4-305.000</t>
  </si>
  <si>
    <t>JL.MANGGAR RT.004 RW.002 DESA AIR BATU BUDING BADAU</t>
  </si>
  <si>
    <t>ERWANSYAH</t>
  </si>
  <si>
    <t>1902050607930001</t>
  </si>
  <si>
    <t>72.110.479.2-305.000</t>
  </si>
  <si>
    <t>KACANG BUTOR RT. 001 RW. 001 DESA KACANG BUTOR KEC. BADAU</t>
  </si>
  <si>
    <t>FITRIADI</t>
  </si>
  <si>
    <t>1902010208830005</t>
  </si>
  <si>
    <t>JL. SIJUK RT. 028 RW. 010 KELURAHAN PAAL SATU KEC. TANJUNGPANDAN</t>
  </si>
  <si>
    <t>HENDRIYADI</t>
  </si>
  <si>
    <t>1902051710890001</t>
  </si>
  <si>
    <t>97.237.617.2-305.000</t>
  </si>
  <si>
    <t>PARIT GUNUNG RT. 005 RW. 003 DESA AIR BATU BUDING KEC. BADAU</t>
  </si>
  <si>
    <t>Catatan :</t>
  </si>
  <si>
    <t>1. yang berwarna adalah rumus</t>
  </si>
  <si>
    <t>2. dalam hal terdapat tunjangan PPh, maka ceklis "enable iterative calculation" pada menu (option =&gt; formula =&gt; pada bagian kanan atas)</t>
  </si>
  <si>
    <t>3. kolom pengurang JHT/JP tetap wajib diisi, sebagai pengurang pada masa pajak desember</t>
  </si>
  <si>
    <t>4. komponen penghasilan bruto dapat disesuaikan/ditambahkan kolom, sesuai dengan kebutuhan masing2 perusahaan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</si>
  <si>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</si>
  <si>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</si>
  <si>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</si>
  <si>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</si>
  <si>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</si>
  <si>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10. untuk jan s.d nop dapat diduplicate sheetnya</t>
  </si>
  <si>
    <t>Dibuat Oleh,</t>
  </si>
  <si>
    <t>Diketahui Oleh,</t>
  </si>
  <si>
    <t>Roy C Batubara</t>
  </si>
  <si>
    <t>Kibar Silton Nasir</t>
  </si>
  <si>
    <t>Chandra Dinata Pribadi</t>
  </si>
  <si>
    <t>Kerani Divisi</t>
  </si>
  <si>
    <t>Assisten Manager</t>
  </si>
  <si>
    <t>Senior Manager</t>
  </si>
  <si>
    <t>1906040507820001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</si>
</sst>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??_-;_-@_-"/>
    <numFmt numFmtId="167" formatCode="_ * #,##0_ ;_ * \-#,##0_ ;_ * &quot;-&quot;_ ;_ @_ "/>
    <numFmt numFmtId="168" formatCode="_-&quot;IR£&quot;* #,##0.00_-;\-&quot;IR£&quot;* #,##0.00_-;_-&quot;IR£&quot;* &quot;-&quot;??_-;_-@_-"/>
    <numFmt numFmtId="169" formatCode="_(* #,##0.000000_);_(* \(#,##0.000000\);_(* &quot;-&quot;??_);_(@_)"/>
    <numFmt numFmtId="170" formatCode="0.00_)"/>
    <numFmt numFmtId="171" formatCode="&quot;£&quot;#,##0.00;[Red]\-&quot;£&quot;#,##0.00"/>
    <numFmt numFmtId="172" formatCode="_-&quot;£&quot;* #,##0.00_-;\-&quot;£&quot;* #,##0.00_-;_-&quot;£&quot;* &quot;-&quot;??_-;_-@_-"/>
    <numFmt numFmtId="173" formatCode="_-&quot;£&quot;* #,##0_-;\-&quot;£&quot;* #,##0_-;_-&quot;£&quot;* &quot;-&quot;_-;_-@_-"/>
    <numFmt numFmtId="174" formatCode="###0.0_);[Red]\(###0.0\)"/>
    <numFmt numFmtId="175" formatCode="&quot;IR£&quot;#,##0;[Red]\-&quot;IR£&quot;#,##0"/>
    <numFmt numFmtId="176" formatCode="&quot;IR£&quot;#,##0.00;\-&quot;IR£&quot;#,##0.00"/>
    <numFmt numFmtId="177" formatCode="&quot;IR£&quot;#,##0.00;[Red]\-&quot;IR£&quot;#,##0.00"/>
    <numFmt numFmtId="178" formatCode="_-&quot;IR£&quot;* #,##0_-;\-&quot;IR£&quot;* #,##0_-;_-&quot;IR£&quot;* &quot;-&quot;_-;_-@_-"/>
    <numFmt numFmtId="179" formatCode="&quot;IR£&quot;#,##0;\-&quot;IR£&quot;#,##0"/>
    <numFmt numFmtId="180" formatCode="_(* #,##0_);_(* \(#,##0\);_(* \-_);_(@_)"/>
    <numFmt numFmtId="181" formatCode="&quot;Rp&quot;#,##0_);[Red]\(&quot;Rp&quot;#,##0\)"/>
    <numFmt numFmtId="182" formatCode="_(* #,##0.0_);_(* \(#,##0.0\);_(* &quot;-&quot;??_);_(@_)"/>
    <numFmt numFmtId="183" formatCode="_-[$Rp-421]* #,##0_ ;_-[$Rp-421]* \-#,##0\ ;_-[$Rp-421]* &quot;-&quot;??_ ;_-@_ "/>
    <numFmt numFmtId="184" formatCode="_(* #,##0.00_);_(* \(#,##0.00\);_(* &quot;-&quot;_);_(@_)"/>
    <numFmt numFmtId="185" formatCode="&quot;£&quot;#,##0;[Red]\-&quot;£&quot;#,##0"/>
    <numFmt numFmtId="186" formatCode="_-* #,##0\ _D_M_-;\-* #,##0\ _D_M_-;_-* &quot;- &quot;_D_M_-;_-@_-"/>
    <numFmt numFmtId="187" formatCode="_(* #,##0_);_(* \(#,##0\);_(* &quot;-&quot;???_);_(@_)"/>
    <numFmt numFmtId="188" formatCode="0.0"/>
    <numFmt numFmtId="189" formatCode="_(* #,##0.0_);_(* \(#,##0.0\);_(* &quot;-&quot;_);_(@_)"/>
    <numFmt numFmtId="190" formatCode="0.000"/>
    <numFmt numFmtId="191" formatCode="_(* #,##0.00_);_(* \(#,##0.00\);_(* \-??_);_(@_)"/>
    <numFmt numFmtId="192" formatCode="_([$Rp-421]* #,##0_);_([$Rp-421]* \(#,##0\);_([$Rp-421]* &quot;-&quot;_);_(@_)"/>
    <numFmt numFmtId="193" formatCode="#,##0.00\ ;&quot; (&quot;#,##0.00\);&quot; -&quot;#\ ;@\ "/>
    <numFmt numFmtId="194" formatCode="_([$Rp-421]* #,##0_);_([$Rp-421]* \(#,##0\);_([$Rp-421]* &quot;-&quot;??_);_(@_)"/>
    <numFmt numFmtId="195" formatCode="_(&quot;Rp&quot;* #,##0_);_(&quot;Rp&quot;* \(#,##0\);_(&quot;Rp&quot;* &quot;-&quot;_);_(@_)"/>
    <numFmt numFmtId="196" formatCode="_(&quot;Rp&quot;* #,##0_);_(&quot;Rp&quot;* \(#,##0\);_(&quot;Rp&quot;* \-_);_(@_)"/>
    <numFmt numFmtId="197" formatCode="#,##0.00&quot; &quot;;&quot; (&quot;#,##0.00&quot;)&quot;;&quot; -&quot;#&quot; &quot;;@&quot; &quot;"/>
    <numFmt numFmtId="198" formatCode="#,##0\ ;&quot; (&quot;#,##0\);&quot; - &quot;;@\ "/>
    <numFmt numFmtId="199" formatCode="[$-421]General"/>
    <numFmt numFmtId="200" formatCode="&quot;$&quot;#,##0;\(&quot;$&quot;#,##0\)"/>
    <numFmt numFmtId="201" formatCode="_(&quot;$&quot;* #,##0.0000_);_(&quot;$&quot;* \(#,##0.0000\);_(&quot;$&quot;* &quot;-&quot;??_);_(@_)"/>
    <numFmt numFmtId="202" formatCode="_(&quot;$&quot;* #,##0.00000_);_(&quot;$&quot;* \(#,##0.00000\);_(&quot;$&quot;* &quot;-&quot;??_);_(@_)"/>
    <numFmt numFmtId="203" formatCode="0_)"/>
    <numFmt numFmtId="204" formatCode="0000000000000000"/>
    <numFmt numFmtId="205" formatCode="000000000000000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name val="Helv"/>
    </font>
    <font>
      <sz val="10"/>
      <name val="Times New Roman"/>
      <family val="1"/>
    </font>
    <font>
      <sz val="12"/>
      <name val="¹ÙÅÁÃ¼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1"/>
      <color indexed="9"/>
      <name val="Calibri"/>
      <family val="2"/>
    </font>
    <font>
      <sz val="12"/>
      <color indexed="9"/>
      <name val="Times New Roman"/>
      <family val="1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2"/>
      <color indexed="20"/>
      <name val="Times New Roman"/>
      <family val="1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2"/>
      <color indexed="52"/>
      <name val="Times New Roman"/>
      <family val="1"/>
    </font>
    <font>
      <b/>
      <sz val="11"/>
      <color indexed="9"/>
      <name val="Calibri"/>
      <family val="2"/>
    </font>
    <font>
      <b/>
      <sz val="12"/>
      <color indexed="9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0"/>
      <color indexed="8"/>
      <name val="Calibri"/>
      <family val="2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Times New Roman"/>
      <family val="1"/>
    </font>
    <font>
      <sz val="11"/>
      <color indexed="17"/>
      <name val="Calibri"/>
      <family val="2"/>
    </font>
    <font>
      <sz val="12"/>
      <color indexed="17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Times New Roman"/>
      <family val="1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Times New Roman"/>
      <family val="1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Times New Roman"/>
      <family val="1"/>
    </font>
    <font>
      <sz val="11"/>
      <color indexed="62"/>
      <name val="Calibri"/>
      <family val="2"/>
    </font>
    <font>
      <sz val="12"/>
      <color indexed="62"/>
      <name val="Times New Roman"/>
      <family val="1"/>
    </font>
    <font>
      <sz val="11"/>
      <color indexed="52"/>
      <name val="Calibri"/>
      <family val="2"/>
    </font>
    <font>
      <sz val="12"/>
      <color indexed="52"/>
      <name val="Times New Roman"/>
      <family val="1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2"/>
      <color indexed="60"/>
      <name val="Times New Roman"/>
      <family val="1"/>
    </font>
    <font>
      <b/>
      <i/>
      <sz val="16"/>
      <name val="Helv"/>
    </font>
    <font>
      <sz val="11"/>
      <color indexed="8"/>
      <name val="Calibri"/>
      <family val="2"/>
      <charset val="134"/>
    </font>
    <font>
      <sz val="10"/>
      <name val="Calisto MT"/>
      <family val="1"/>
    </font>
    <font>
      <sz val="11"/>
      <color indexed="8"/>
      <name val="Trebuchet MS"/>
      <family val="2"/>
      <charset val="1"/>
    </font>
    <font>
      <b/>
      <sz val="11"/>
      <color indexed="63"/>
      <name val="Calibri"/>
      <family val="2"/>
    </font>
    <font>
      <b/>
      <sz val="12"/>
      <color indexed="63"/>
      <name val="Times New Roman"/>
      <family val="1"/>
    </font>
    <font>
      <b/>
      <sz val="11"/>
      <color rgb="FF000000"/>
      <name val="Arial"/>
      <family val="2"/>
    </font>
    <font>
      <b/>
      <sz val="11"/>
      <color rgb="FF000000"/>
      <name val="Arial Narrow"/>
      <family val="2"/>
    </font>
    <font>
      <b/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9"/>
      <color rgb="FF000000"/>
      <name val="Arial"/>
      <family val="2"/>
    </font>
    <font>
      <sz val="6"/>
      <color rgb="FF000000"/>
      <name val="Arial Narrow"/>
      <family val="2"/>
    </font>
    <font>
      <sz val="6"/>
      <color rgb="FFFF0000"/>
      <name val="Arial Narrow"/>
      <family val="2"/>
    </font>
    <font>
      <b/>
      <sz val="8"/>
      <color rgb="FF000000"/>
      <name val="Arial Narrow"/>
      <family val="2"/>
    </font>
    <font>
      <sz val="7"/>
      <color rgb="FFFF00FF"/>
      <name val="Arial Narrow"/>
      <family val="2"/>
    </font>
    <font>
      <sz val="8"/>
      <color rgb="FF800080"/>
      <name val="Arial Narrow"/>
      <family val="2"/>
    </font>
    <font>
      <sz val="6"/>
      <color rgb="FF800080"/>
      <name val="Arial Narrow"/>
      <family val="2"/>
    </font>
    <font>
      <sz val="8"/>
      <color rgb="FF000000"/>
      <name val="Arial Narrow"/>
      <family val="2"/>
    </font>
    <font>
      <sz val="7"/>
      <color rgb="FF800080"/>
      <name val="Arial Narrow"/>
      <family val="2"/>
    </font>
    <font>
      <sz val="8"/>
      <color rgb="FF00FFFF"/>
      <name val="Arial Narrow"/>
      <family val="2"/>
    </font>
    <font>
      <sz val="6"/>
      <color rgb="FF00FFFF"/>
      <name val="Arial Narrow"/>
      <family val="2"/>
    </font>
    <font>
      <sz val="7"/>
      <color rgb="FF00FFFF"/>
      <name val="Arial Narrow"/>
      <family val="2"/>
    </font>
    <font>
      <sz val="6"/>
      <color rgb="FF008080"/>
      <name val="Arial Narrow"/>
      <family val="2"/>
    </font>
    <font>
      <sz val="8"/>
      <color rgb="FF008080"/>
      <name val="Arial Narrow"/>
      <family val="2"/>
    </font>
    <font>
      <sz val="7"/>
      <color rgb="FF008080"/>
      <name val="Arial Narrow"/>
      <family val="2"/>
    </font>
    <font>
      <sz val="7"/>
      <color rgb="FF000000"/>
      <name val="Arial Narrow"/>
      <family val="2"/>
    </font>
    <font>
      <sz val="8"/>
      <color rgb="FF0000FF"/>
      <name val="Arial Narrow"/>
      <family val="2"/>
    </font>
    <font>
      <sz val="6"/>
      <color rgb="FF0000FF"/>
      <name val="Arial Narrow"/>
      <family val="2"/>
    </font>
    <font>
      <sz val="7"/>
      <color rgb="FF0000FF"/>
      <name val="Arial Narrow"/>
      <family val="2"/>
    </font>
    <font>
      <sz val="9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FF0000"/>
      <name val="Arial Narrow"/>
      <family val="2"/>
    </font>
    <font>
      <sz val="11"/>
      <color rgb="FF000000"/>
      <name val="Arial Narrow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Times New Roman"/>
      <family val="1"/>
    </font>
    <font>
      <sz val="11"/>
      <color indexed="10"/>
      <name val="Calibri"/>
      <family val="2"/>
    </font>
    <font>
      <sz val="12"/>
      <color indexed="10"/>
      <name val="Times New Roman"/>
      <family val="1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0"/>
      <color theme="0"/>
      <name val="Cambria"/>
      <family val="1"/>
      <scheme val="major"/>
    </font>
    <font>
      <b/>
      <sz val="9"/>
      <color theme="0"/>
      <name val="Cambria"/>
      <family val="1"/>
      <scheme val="major"/>
    </font>
    <font>
      <b/>
      <u/>
      <sz val="10"/>
      <color theme="0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b/>
      <u/>
      <sz val="10"/>
      <name val="Cambria"/>
      <family val="1"/>
      <scheme val="major"/>
    </font>
    <font>
      <b/>
      <u val="singleAccounting"/>
      <sz val="12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53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50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55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11"/>
      </patternFill>
    </fill>
    <fill>
      <patternFill patternType="solid">
        <fgColor indexed="20"/>
        <bgColor indexed="36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4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46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7" fillId="0" borderId="0">
      <protection locked="0"/>
    </xf>
    <xf numFmtId="168" fontId="7" fillId="0" borderId="0">
      <protection locked="0"/>
    </xf>
    <xf numFmtId="168" fontId="7" fillId="0" borderId="0">
      <protection locked="0"/>
    </xf>
    <xf numFmtId="168" fontId="7" fillId="0" borderId="0">
      <protection locked="0"/>
    </xf>
    <xf numFmtId="168" fontId="7" fillId="0" borderId="0">
      <protection locked="0"/>
    </xf>
    <xf numFmtId="169" fontId="8" fillId="0" borderId="0">
      <protection locked="0"/>
    </xf>
    <xf numFmtId="168" fontId="7" fillId="0" borderId="0">
      <protection locked="0"/>
    </xf>
    <xf numFmtId="170" fontId="9" fillId="0" borderId="0">
      <protection locked="0"/>
    </xf>
    <xf numFmtId="168" fontId="7" fillId="0" borderId="0">
      <protection locked="0"/>
    </xf>
    <xf numFmtId="167" fontId="7" fillId="0" borderId="0">
      <protection locked="0"/>
    </xf>
    <xf numFmtId="168" fontId="7" fillId="0" borderId="0">
      <protection locked="0"/>
    </xf>
    <xf numFmtId="168" fontId="7" fillId="0" borderId="0">
      <protection locked="0"/>
    </xf>
    <xf numFmtId="168" fontId="7" fillId="0" borderId="0">
      <protection locked="0"/>
    </xf>
    <xf numFmtId="168" fontId="7" fillId="0" borderId="0">
      <protection locked="0"/>
    </xf>
    <xf numFmtId="169" fontId="8" fillId="0" borderId="0">
      <protection locked="0"/>
    </xf>
    <xf numFmtId="168" fontId="7" fillId="0" borderId="0">
      <protection locked="0"/>
    </xf>
    <xf numFmtId="170" fontId="9" fillId="0" borderId="0">
      <protection locked="0"/>
    </xf>
    <xf numFmtId="168" fontId="7" fillId="0" borderId="0">
      <protection locked="0"/>
    </xf>
    <xf numFmtId="9" fontId="10" fillId="0" borderId="0" applyFont="0" applyFill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14" borderId="0" applyNumberFormat="0" applyBorder="0" applyAlignment="0" applyProtection="0"/>
    <xf numFmtId="0" fontId="12" fillId="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7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6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7" borderId="0" applyNumberFormat="0" applyBorder="0" applyAlignment="0" applyProtection="0"/>
    <xf numFmtId="0" fontId="12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14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6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1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4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7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24" borderId="0" applyNumberFormat="0" applyBorder="0" applyAlignment="0" applyProtection="0"/>
    <xf numFmtId="0" fontId="14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25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3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4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37" borderId="0" applyNumberFormat="0" applyBorder="0" applyAlignment="0" applyProtection="0"/>
    <xf numFmtId="0" fontId="14" fillId="18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0" fontId="13" fillId="37" borderId="0" applyNumberFormat="0" applyBorder="0" applyAlignment="0" applyProtection="0"/>
    <xf numFmtId="0" fontId="13" fillId="18" borderId="0" applyNumberFormat="0" applyBorder="0" applyAlignment="0" applyProtection="0"/>
    <xf numFmtId="171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10" borderId="0" applyNumberFormat="0" applyBorder="0" applyAlignment="0" applyProtection="0"/>
    <xf numFmtId="0" fontId="17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" fillId="0" borderId="0"/>
    <xf numFmtId="0" fontId="18" fillId="0" borderId="0" applyFill="0" applyBorder="0" applyAlignment="0"/>
    <xf numFmtId="175" fontId="9" fillId="0" borderId="0" applyFill="0" applyBorder="0" applyAlignment="0"/>
    <xf numFmtId="176" fontId="9" fillId="0" borderId="0" applyFill="0" applyBorder="0" applyAlignment="0"/>
    <xf numFmtId="177" fontId="9" fillId="0" borderId="0" applyFill="0" applyBorder="0" applyAlignment="0"/>
    <xf numFmtId="178" fontId="9" fillId="0" borderId="0" applyFill="0" applyBorder="0" applyAlignment="0"/>
    <xf numFmtId="179" fontId="9" fillId="0" borderId="0" applyFill="0" applyBorder="0" applyAlignment="0"/>
    <xf numFmtId="168" fontId="9" fillId="0" borderId="0" applyFill="0" applyBorder="0" applyAlignment="0"/>
    <xf numFmtId="175" fontId="9" fillId="0" borderId="0" applyFill="0" applyBorder="0" applyAlignment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5" borderId="2" applyNumberFormat="0" applyAlignment="0" applyProtection="0"/>
    <xf numFmtId="0" fontId="19" fillId="5" borderId="2" applyNumberFormat="0" applyAlignment="0" applyProtection="0"/>
    <xf numFmtId="0" fontId="20" fillId="16" borderId="2" applyNumberFormat="0" applyAlignment="0" applyProtection="0"/>
    <xf numFmtId="0" fontId="20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19" fillId="16" borderId="2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0" fontId="21" fillId="16" borderId="3" applyNumberFormat="0" applyAlignment="0" applyProtection="0"/>
    <xf numFmtId="0" fontId="22" fillId="38" borderId="3" applyNumberFormat="0" applyAlignment="0" applyProtection="0"/>
    <xf numFmtId="0" fontId="22" fillId="24" borderId="3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0" fontId="21" fillId="38" borderId="3" applyNumberFormat="0" applyAlignment="0" applyProtection="0"/>
    <xf numFmtId="0" fontId="21" fillId="24" borderId="3" applyNumberFormat="0" applyAlignment="0" applyProtection="0"/>
    <xf numFmtId="41" fontId="7" fillId="0" borderId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80" fontId="7" fillId="0" borderId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80" fontId="7" fillId="0" borderId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80" fontId="7" fillId="0" borderId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80" fontId="7" fillId="0" borderId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80" fontId="7" fillId="0" borderId="0" applyFill="0" applyBorder="0" applyAlignment="0" applyProtection="0"/>
    <xf numFmtId="41" fontId="1" fillId="0" borderId="0" applyFont="0" applyFill="0" applyBorder="0" applyAlignment="0" applyProtection="0"/>
    <xf numFmtId="180" fontId="7" fillId="0" borderId="0" applyFill="0" applyBorder="0" applyAlignment="0" applyProtection="0"/>
    <xf numFmtId="41" fontId="24" fillId="0" borderId="0" applyFont="0" applyFill="0" applyBorder="0" applyAlignment="0" applyProtection="0"/>
    <xf numFmtId="180" fontId="7" fillId="0" borderId="0" applyFill="0" applyBorder="0" applyAlignment="0" applyProtection="0"/>
    <xf numFmtId="180" fontId="7" fillId="0" borderId="0" applyFill="0" applyBorder="0" applyAlignment="0" applyProtection="0"/>
    <xf numFmtId="41" fontId="7" fillId="0" borderId="0" applyFill="0" applyBorder="0" applyAlignment="0" applyProtection="0"/>
    <xf numFmtId="180" fontId="7" fillId="0" borderId="0" applyFill="0" applyBorder="0" applyAlignment="0" applyProtection="0"/>
    <xf numFmtId="41" fontId="7" fillId="0" borderId="0" applyFill="0" applyBorder="0" applyAlignment="0" applyProtection="0"/>
    <xf numFmtId="180" fontId="7" fillId="0" borderId="0" applyFill="0" applyBorder="0" applyAlignment="0" applyProtection="0"/>
    <xf numFmtId="41" fontId="7" fillId="0" borderId="0" applyFill="0" applyBorder="0" applyAlignment="0" applyProtection="0"/>
    <xf numFmtId="180" fontId="7" fillId="0" borderId="0" applyFill="0" applyBorder="0" applyAlignment="0" applyProtection="0"/>
    <xf numFmtId="41" fontId="7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41" fontId="7" fillId="0" borderId="0" applyFont="0" applyFill="0" applyBorder="0" applyAlignment="0" applyProtection="0"/>
    <xf numFmtId="180" fontId="7" fillId="0" borderId="0" applyFill="0" applyBorder="0" applyAlignment="0" applyProtection="0"/>
    <xf numFmtId="180" fontId="7" fillId="0" borderId="0" applyFill="0" applyBorder="0" applyAlignment="0" applyProtection="0"/>
    <xf numFmtId="180" fontId="7" fillId="0" borderId="0" applyFill="0" applyBorder="0" applyAlignment="0" applyProtection="0"/>
    <xf numFmtId="180" fontId="7" fillId="0" borderId="0" applyFill="0" applyBorder="0" applyAlignment="0" applyProtection="0"/>
    <xf numFmtId="180" fontId="7" fillId="0" borderId="0" applyFill="0" applyBorder="0" applyAlignment="0" applyProtection="0"/>
    <xf numFmtId="180" fontId="7" fillId="0" borderId="0" applyFill="0" applyBorder="0" applyAlignment="0" applyProtection="0"/>
    <xf numFmtId="180" fontId="7" fillId="0" borderId="0" applyFill="0" applyBorder="0" applyAlignment="0" applyProtection="0"/>
    <xf numFmtId="180" fontId="7" fillId="0" borderId="0" applyFill="0" applyBorder="0" applyAlignment="0" applyProtection="0"/>
    <xf numFmtId="41" fontId="23" fillId="0" borderId="0" applyFont="0" applyFill="0" applyBorder="0" applyAlignment="0" applyProtection="0"/>
    <xf numFmtId="184" fontId="25" fillId="0" borderId="0" applyFill="0" applyBorder="0" applyAlignment="0" applyProtection="0"/>
    <xf numFmtId="180" fontId="7" fillId="0" borderId="0" applyFill="0" applyBorder="0" applyAlignment="0" applyProtection="0"/>
    <xf numFmtId="184" fontId="25" fillId="0" borderId="0" applyFill="0" applyBorder="0" applyAlignment="0" applyProtection="0"/>
    <xf numFmtId="180" fontId="7" fillId="0" borderId="0" applyFill="0" applyBorder="0" applyAlignment="0" applyProtection="0"/>
    <xf numFmtId="184" fontId="25" fillId="0" borderId="0" applyFill="0" applyBorder="0" applyAlignment="0" applyProtection="0"/>
    <xf numFmtId="180" fontId="7" fillId="0" borderId="0" applyFill="0" applyBorder="0" applyAlignment="0" applyProtection="0"/>
    <xf numFmtId="184" fontId="25" fillId="0" borderId="0" applyFill="0" applyBorder="0" applyAlignment="0" applyProtection="0"/>
    <xf numFmtId="180" fontId="7" fillId="0" borderId="0" applyFill="0" applyBorder="0" applyAlignment="0" applyProtection="0"/>
    <xf numFmtId="184" fontId="25" fillId="0" borderId="0" applyFill="0" applyBorder="0" applyAlignment="0" applyProtection="0"/>
    <xf numFmtId="180" fontId="7" fillId="0" borderId="0" applyFill="0" applyBorder="0" applyAlignment="0" applyProtection="0"/>
    <xf numFmtId="41" fontId="23" fillId="0" borderId="0" applyFont="0" applyFill="0" applyBorder="0" applyAlignment="0" applyProtection="0"/>
    <xf numFmtId="180" fontId="7" fillId="0" borderId="0" applyFill="0" applyBorder="0" applyAlignment="0" applyProtection="0"/>
    <xf numFmtId="41" fontId="23" fillId="0" borderId="0" applyFont="0" applyFill="0" applyBorder="0" applyAlignment="0" applyProtection="0"/>
    <xf numFmtId="180" fontId="7" fillId="0" borderId="0" applyFill="0" applyBorder="0" applyAlignment="0" applyProtection="0"/>
    <xf numFmtId="41" fontId="7" fillId="0" borderId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80" fontId="7" fillId="0" borderId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86" fontId="7" fillId="0" borderId="0" applyFill="0" applyBorder="0" applyAlignment="0" applyProtection="0"/>
    <xf numFmtId="180" fontId="7" fillId="0" borderId="0" applyFill="0" applyBorder="0" applyAlignment="0" applyProtection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180" fontId="25" fillId="0" borderId="0" applyFill="0" applyBorder="0" applyAlignment="0" applyProtection="0"/>
    <xf numFmtId="0" fontId="25" fillId="0" borderId="0" applyFill="0" applyBorder="0" applyAlignment="0" applyProtection="0"/>
    <xf numFmtId="0" fontId="25" fillId="0" borderId="0" applyFill="0" applyBorder="0" applyAlignment="0" applyProtection="0"/>
    <xf numFmtId="0" fontId="25" fillId="0" borderId="0" applyFill="0" applyBorder="0" applyAlignment="0" applyProtection="0"/>
    <xf numFmtId="187" fontId="25" fillId="0" borderId="0" applyFill="0" applyBorder="0" applyAlignment="0" applyProtection="0"/>
    <xf numFmtId="188" fontId="25" fillId="0" borderId="0" applyFill="0" applyBorder="0" applyAlignment="0" applyProtection="0"/>
    <xf numFmtId="182" fontId="25" fillId="0" borderId="0" applyFill="0" applyBorder="0" applyAlignment="0" applyProtection="0"/>
    <xf numFmtId="189" fontId="25" fillId="0" borderId="0" applyFill="0" applyBorder="0" applyAlignment="0" applyProtection="0"/>
    <xf numFmtId="190" fontId="25" fillId="0" borderId="0" applyFill="0" applyBorder="0" applyAlignment="0" applyProtection="0"/>
    <xf numFmtId="190" fontId="25" fillId="0" borderId="0" applyFill="0" applyBorder="0" applyAlignment="0" applyProtection="0"/>
    <xf numFmtId="191" fontId="25" fillId="0" borderId="0" applyFill="0" applyBorder="0" applyAlignment="0" applyProtection="0"/>
    <xf numFmtId="189" fontId="25" fillId="0" borderId="0" applyFill="0" applyBorder="0" applyAlignment="0" applyProtection="0"/>
    <xf numFmtId="190" fontId="25" fillId="0" borderId="0" applyFill="0" applyBorder="0" applyAlignment="0" applyProtection="0"/>
    <xf numFmtId="190" fontId="25" fillId="0" borderId="0" applyFill="0" applyBorder="0" applyAlignment="0" applyProtection="0"/>
    <xf numFmtId="41" fontId="11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3" fillId="0" borderId="0" applyFont="0" applyFill="0" applyBorder="0" applyAlignment="0" applyProtection="0"/>
    <xf numFmtId="17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2" fontId="11" fillId="0" borderId="0" applyFont="0" applyFill="0" applyBorder="0" applyAlignment="0" applyProtection="0"/>
    <xf numFmtId="192" fontId="11" fillId="0" borderId="0" applyFont="0" applyFill="0" applyBorder="0" applyAlignment="0" applyProtection="0"/>
    <xf numFmtId="192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1" fontId="25" fillId="0" borderId="0" applyFill="0" applyBorder="0" applyAlignment="0" applyProtection="0"/>
    <xf numFmtId="191" fontId="7" fillId="0" borderId="0" applyFill="0" applyBorder="0" applyAlignment="0" applyProtection="0"/>
    <xf numFmtId="191" fontId="25" fillId="0" borderId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1" fontId="25" fillId="0" borderId="0" applyFill="0" applyBorder="0" applyAlignment="0" applyProtection="0"/>
    <xf numFmtId="193" fontId="7" fillId="0" borderId="0" applyFill="0" applyBorder="0" applyAlignment="0" applyProtection="0"/>
    <xf numFmtId="191" fontId="25" fillId="0" borderId="0" applyFill="0" applyBorder="0" applyAlignment="0" applyProtection="0"/>
    <xf numFmtId="43" fontId="7" fillId="0" borderId="0" applyFont="0" applyFill="0" applyBorder="0" applyAlignment="0" applyProtection="0"/>
    <xf numFmtId="183" fontId="11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91" fontId="7" fillId="0" borderId="0" applyFill="0" applyBorder="0" applyAlignment="0" applyProtection="0"/>
    <xf numFmtId="194" fontId="11" fillId="0" borderId="0" applyFont="0" applyFill="0" applyBorder="0" applyAlignment="0" applyProtection="0"/>
    <xf numFmtId="194" fontId="1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193" fontId="26" fillId="0" borderId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ill="0" applyBorder="0" applyAlignment="0" applyProtection="0"/>
    <xf numFmtId="191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191" fontId="25" fillId="0" borderId="0" applyFill="0" applyBorder="0" applyAlignment="0" applyProtection="0"/>
    <xf numFmtId="191" fontId="7" fillId="0" borderId="0" applyFill="0" applyBorder="0" applyAlignment="0" applyProtection="0"/>
    <xf numFmtId="191" fontId="25" fillId="0" borderId="0" applyFill="0" applyBorder="0" applyAlignment="0" applyProtection="0"/>
    <xf numFmtId="43" fontId="7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ill="0" applyBorder="0" applyAlignment="0" applyProtection="0"/>
    <xf numFmtId="191" fontId="7" fillId="0" borderId="0" applyFill="0" applyBorder="0" applyAlignment="0" applyProtection="0"/>
    <xf numFmtId="43" fontId="7" fillId="0" borderId="0" applyFill="0" applyBorder="0" applyAlignment="0" applyProtection="0"/>
    <xf numFmtId="191" fontId="7" fillId="0" borderId="0" applyFill="0" applyBorder="0" applyAlignment="0" applyProtection="0"/>
    <xf numFmtId="43" fontId="7" fillId="0" borderId="0" applyFill="0" applyBorder="0" applyAlignment="0" applyProtection="0"/>
    <xf numFmtId="191" fontId="7" fillId="0" borderId="0" applyFill="0" applyBorder="0" applyAlignment="0" applyProtection="0"/>
    <xf numFmtId="43" fontId="7" fillId="0" borderId="0" applyFill="0" applyBorder="0" applyAlignment="0" applyProtection="0"/>
    <xf numFmtId="191" fontId="7" fillId="0" borderId="0" applyFill="0" applyBorder="0" applyAlignment="0" applyProtection="0"/>
    <xf numFmtId="43" fontId="7" fillId="0" borderId="0" applyFill="0" applyBorder="0" applyAlignment="0" applyProtection="0"/>
    <xf numFmtId="191" fontId="25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191" fontId="25" fillId="0" borderId="0" applyFill="0" applyBorder="0" applyAlignment="0" applyProtection="0"/>
    <xf numFmtId="191" fontId="25" fillId="0" borderId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191" fontId="25" fillId="0" borderId="0" applyFill="0" applyBorder="0" applyAlignment="0" applyProtection="0"/>
    <xf numFmtId="43" fontId="7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193" fontId="1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7" fontId="7" fillId="0" borderId="1"/>
    <xf numFmtId="177" fontId="7" fillId="0" borderId="1"/>
    <xf numFmtId="0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25" fillId="0" borderId="0" applyFill="0" applyBorder="0" applyAlignment="0" applyProtection="0"/>
    <xf numFmtId="175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4" fontId="18" fillId="0" borderId="0" applyFill="0" applyBorder="0" applyAlignment="0"/>
    <xf numFmtId="179" fontId="9" fillId="0" borderId="0" applyFill="0" applyBorder="0" applyAlignment="0"/>
    <xf numFmtId="175" fontId="9" fillId="0" borderId="0" applyFill="0" applyBorder="0" applyAlignment="0"/>
    <xf numFmtId="179" fontId="9" fillId="0" borderId="0" applyFill="0" applyBorder="0" applyAlignment="0"/>
    <xf numFmtId="168" fontId="9" fillId="0" borderId="0" applyFill="0" applyBorder="0" applyAlignment="0"/>
    <xf numFmtId="175" fontId="9" fillId="0" borderId="0" applyFill="0" applyBorder="0" applyAlignment="0"/>
    <xf numFmtId="197" fontId="27" fillId="0" borderId="0" applyBorder="0" applyProtection="0"/>
    <xf numFmtId="198" fontId="26" fillId="0" borderId="0"/>
    <xf numFmtId="199" fontId="27" fillId="0" borderId="0" applyBorder="0" applyProtection="0"/>
    <xf numFmtId="0" fontId="11" fillId="0" borderId="0"/>
    <xf numFmtId="0" fontId="26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38" fontId="32" fillId="39" borderId="0" applyNumberFormat="0" applyBorder="0" applyAlignment="0" applyProtection="0"/>
    <xf numFmtId="0" fontId="33" fillId="0" borderId="4" applyNumberFormat="0" applyAlignment="0" applyProtection="0">
      <alignment horizontal="left" vertical="center"/>
    </xf>
    <xf numFmtId="0" fontId="33" fillId="0" borderId="5">
      <alignment horizontal="left" vertical="center"/>
    </xf>
    <xf numFmtId="0" fontId="33" fillId="0" borderId="5">
      <alignment horizontal="left" vertical="center"/>
    </xf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5" fillId="0" borderId="7" applyNumberFormat="0" applyFill="0" applyAlignment="0" applyProtection="0"/>
    <xf numFmtId="0" fontId="36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8" fillId="0" borderId="8" applyNumberFormat="0" applyFill="0" applyAlignment="0" applyProtection="0"/>
    <xf numFmtId="0" fontId="39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2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0" fontId="32" fillId="40" borderId="1" applyNumberFormat="0" applyBorder="0" applyAlignment="0" applyProtection="0"/>
    <xf numFmtId="10" fontId="32" fillId="40" borderId="1" applyNumberFormat="0" applyBorder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4" fillId="14" borderId="2" applyNumberFormat="0" applyAlignment="0" applyProtection="0"/>
    <xf numFmtId="0" fontId="44" fillId="7" borderId="2" applyNumberFormat="0" applyAlignment="0" applyProtection="0"/>
    <xf numFmtId="0" fontId="44" fillId="7" borderId="2" applyNumberFormat="0" applyAlignment="0" applyProtection="0"/>
    <xf numFmtId="0" fontId="44" fillId="14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0" fontId="43" fillId="14" borderId="2" applyNumberFormat="0" applyAlignment="0" applyProtection="0"/>
    <xf numFmtId="0" fontId="43" fillId="7" borderId="2" applyNumberFormat="0" applyAlignment="0" applyProtection="0"/>
    <xf numFmtId="0" fontId="43" fillId="7" borderId="2" applyNumberFormat="0" applyAlignment="0" applyProtection="0"/>
    <xf numFmtId="0" fontId="43" fillId="14" borderId="2" applyNumberFormat="0" applyAlignment="0" applyProtection="0"/>
    <xf numFmtId="179" fontId="9" fillId="0" borderId="0" applyFill="0" applyBorder="0" applyAlignment="0"/>
    <xf numFmtId="175" fontId="9" fillId="0" borderId="0" applyFill="0" applyBorder="0" applyAlignment="0"/>
    <xf numFmtId="179" fontId="9" fillId="0" borderId="0" applyFill="0" applyBorder="0" applyAlignment="0"/>
    <xf numFmtId="168" fontId="9" fillId="0" borderId="0" applyFill="0" applyBorder="0" applyAlignment="0"/>
    <xf numFmtId="175" fontId="9" fillId="0" borderId="0" applyFill="0" applyBorder="0" applyAlignment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6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8" fillId="21" borderId="0" applyNumberFormat="0" applyBorder="0" applyAlignment="0" applyProtection="0"/>
    <xf numFmtId="0" fontId="49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170" fontId="5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1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1" fillId="0" borderId="0"/>
    <xf numFmtId="0" fontId="7" fillId="0" borderId="0"/>
    <xf numFmtId="0" fontId="51" fillId="0" borderId="0"/>
    <xf numFmtId="0" fontId="1" fillId="0" borderId="0"/>
    <xf numFmtId="0" fontId="7" fillId="0" borderId="0"/>
    <xf numFmtId="0" fontId="1" fillId="0" borderId="0"/>
    <xf numFmtId="0" fontId="23" fillId="0" borderId="0"/>
    <xf numFmtId="0" fontId="7" fillId="0" borderId="0">
      <alignment vertical="top"/>
    </xf>
    <xf numFmtId="0" fontId="7" fillId="0" borderId="0">
      <alignment vertical="top"/>
    </xf>
    <xf numFmtId="0" fontId="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3" fillId="0" borderId="0"/>
    <xf numFmtId="0" fontId="23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1" fillId="0" borderId="0"/>
    <xf numFmtId="0" fontId="7" fillId="0" borderId="0">
      <alignment vertical="top"/>
    </xf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7" fillId="9" borderId="12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5" borderId="13" applyNumberFormat="0" applyAlignment="0" applyProtection="0"/>
    <xf numFmtId="0" fontId="54" fillId="5" borderId="13" applyNumberFormat="0" applyAlignment="0" applyProtection="0"/>
    <xf numFmtId="0" fontId="55" fillId="16" borderId="13" applyNumberFormat="0" applyAlignment="0" applyProtection="0"/>
    <xf numFmtId="0" fontId="55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0" fontId="54" fillId="16" borderId="13" applyNumberFormat="0" applyAlignment="0" applyProtection="0"/>
    <xf numFmtId="178" fontId="9" fillId="0" borderId="0" applyFont="0" applyFill="0" applyBorder="0" applyAlignment="0" applyProtection="0"/>
    <xf numFmtId="200" fontId="9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9" fontId="9" fillId="0" borderId="0" applyFill="0" applyBorder="0" applyAlignment="0"/>
    <xf numFmtId="175" fontId="9" fillId="0" borderId="0" applyFill="0" applyBorder="0" applyAlignment="0"/>
    <xf numFmtId="179" fontId="9" fillId="0" borderId="0" applyFill="0" applyBorder="0" applyAlignment="0"/>
    <xf numFmtId="168" fontId="9" fillId="0" borderId="0" applyFill="0" applyBorder="0" applyAlignment="0"/>
    <xf numFmtId="175" fontId="9" fillId="0" borderId="0" applyFill="0" applyBorder="0" applyAlignment="0"/>
    <xf numFmtId="0" fontId="56" fillId="0" borderId="0">
      <alignment horizontal="center" vertical="center"/>
    </xf>
    <xf numFmtId="0" fontId="56" fillId="41" borderId="0">
      <alignment horizontal="center" vertical="center"/>
    </xf>
    <xf numFmtId="0" fontId="57" fillId="41" borderId="0">
      <alignment horizontal="left" vertical="center"/>
    </xf>
    <xf numFmtId="0" fontId="58" fillId="0" borderId="0">
      <alignment horizontal="left" vertical="top"/>
    </xf>
    <xf numFmtId="0" fontId="58" fillId="41" borderId="0">
      <alignment horizontal="left" vertical="top"/>
    </xf>
    <xf numFmtId="0" fontId="59" fillId="41" borderId="0">
      <alignment horizontal="left" vertical="center"/>
    </xf>
    <xf numFmtId="0" fontId="60" fillId="0" borderId="0">
      <alignment horizontal="right" vertical="center"/>
    </xf>
    <xf numFmtId="0" fontId="60" fillId="41" borderId="0">
      <alignment horizontal="right" vertical="center"/>
    </xf>
    <xf numFmtId="0" fontId="61" fillId="41" borderId="0">
      <alignment horizontal="right" vertical="center"/>
    </xf>
    <xf numFmtId="0" fontId="60" fillId="0" borderId="0">
      <alignment horizontal="left" vertical="center"/>
    </xf>
    <xf numFmtId="0" fontId="60" fillId="41" borderId="0">
      <alignment horizontal="left" vertical="center"/>
    </xf>
    <xf numFmtId="0" fontId="62" fillId="41" borderId="0">
      <alignment horizontal="right" vertical="center"/>
    </xf>
    <xf numFmtId="0" fontId="60" fillId="0" borderId="0">
      <alignment horizontal="left" vertical="center"/>
    </xf>
    <xf numFmtId="0" fontId="60" fillId="41" borderId="0">
      <alignment horizontal="left" vertical="center"/>
    </xf>
    <xf numFmtId="0" fontId="61" fillId="41" borderId="0">
      <alignment horizontal="right" vertical="center"/>
    </xf>
    <xf numFmtId="0" fontId="63" fillId="41" borderId="0">
      <alignment horizontal="left" vertical="center"/>
    </xf>
    <xf numFmtId="0" fontId="64" fillId="41" borderId="0">
      <alignment horizontal="right" vertical="center"/>
    </xf>
    <xf numFmtId="0" fontId="65" fillId="41" borderId="0">
      <alignment horizontal="center" vertical="center"/>
    </xf>
    <xf numFmtId="0" fontId="66" fillId="41" borderId="0">
      <alignment horizontal="right" vertical="center"/>
    </xf>
    <xf numFmtId="0" fontId="66" fillId="41" borderId="0">
      <alignment horizontal="right" vertical="center"/>
    </xf>
    <xf numFmtId="0" fontId="66" fillId="41" borderId="0">
      <alignment horizontal="right" vertical="center"/>
    </xf>
    <xf numFmtId="0" fontId="67" fillId="41" borderId="0">
      <alignment horizontal="left" vertical="center"/>
    </xf>
    <xf numFmtId="0" fontId="58" fillId="0" borderId="0">
      <alignment horizontal="center" vertical="center"/>
    </xf>
    <xf numFmtId="0" fontId="58" fillId="41" borderId="0">
      <alignment horizontal="center" vertical="center"/>
    </xf>
    <xf numFmtId="0" fontId="59" fillId="41" borderId="0">
      <alignment horizontal="left" vertical="center"/>
    </xf>
    <xf numFmtId="0" fontId="68" fillId="41" borderId="0">
      <alignment horizontal="right" vertical="center"/>
    </xf>
    <xf numFmtId="0" fontId="69" fillId="41" borderId="0">
      <alignment horizontal="center" vertical="center"/>
    </xf>
    <xf numFmtId="0" fontId="70" fillId="41" borderId="0">
      <alignment horizontal="right" vertical="center"/>
    </xf>
    <xf numFmtId="0" fontId="70" fillId="41" borderId="0">
      <alignment horizontal="right" vertical="center"/>
    </xf>
    <xf numFmtId="0" fontId="70" fillId="41" borderId="0">
      <alignment horizontal="right" vertical="center"/>
    </xf>
    <xf numFmtId="0" fontId="71" fillId="41" borderId="0">
      <alignment horizontal="right" vertical="center"/>
    </xf>
    <xf numFmtId="0" fontId="72" fillId="41" borderId="0">
      <alignment horizontal="right" vertical="center"/>
    </xf>
    <xf numFmtId="0" fontId="72" fillId="41" borderId="0">
      <alignment horizontal="right" vertical="center"/>
    </xf>
    <xf numFmtId="0" fontId="72" fillId="41" borderId="0">
      <alignment horizontal="right" vertical="center"/>
    </xf>
    <xf numFmtId="0" fontId="73" fillId="41" borderId="0">
      <alignment horizontal="left" vertical="center"/>
    </xf>
    <xf numFmtId="0" fontId="58" fillId="0" borderId="0">
      <alignment horizontal="left" vertical="center"/>
    </xf>
    <xf numFmtId="0" fontId="58" fillId="41" borderId="0">
      <alignment horizontal="left" vertical="center"/>
    </xf>
    <xf numFmtId="0" fontId="59" fillId="41" borderId="0">
      <alignment horizontal="right" vertical="center"/>
    </xf>
    <xf numFmtId="0" fontId="74" fillId="41" borderId="0">
      <alignment horizontal="right" vertical="center"/>
    </xf>
    <xf numFmtId="0" fontId="62" fillId="41" borderId="0">
      <alignment horizontal="right" vertical="center"/>
    </xf>
    <xf numFmtId="0" fontId="75" fillId="41" borderId="0">
      <alignment horizontal="right" vertical="center"/>
    </xf>
    <xf numFmtId="0" fontId="76" fillId="41" borderId="0">
      <alignment horizontal="center" vertical="center"/>
    </xf>
    <xf numFmtId="0" fontId="77" fillId="41" borderId="0">
      <alignment horizontal="right" vertical="center"/>
    </xf>
    <xf numFmtId="0" fontId="77" fillId="41" borderId="0">
      <alignment horizontal="right" vertical="center"/>
    </xf>
    <xf numFmtId="0" fontId="77" fillId="41" borderId="0">
      <alignment horizontal="right" vertical="center"/>
    </xf>
    <xf numFmtId="0" fontId="76" fillId="41" borderId="0">
      <alignment horizontal="left" vertical="center"/>
    </xf>
    <xf numFmtId="0" fontId="78" fillId="41" borderId="0">
      <alignment horizontal="right" vertical="center"/>
    </xf>
    <xf numFmtId="0" fontId="79" fillId="41" borderId="0">
      <alignment horizontal="right" vertical="center"/>
    </xf>
    <xf numFmtId="0" fontId="80" fillId="0" borderId="0">
      <alignment horizontal="center" vertical="center"/>
    </xf>
    <xf numFmtId="0" fontId="80" fillId="41" borderId="0">
      <alignment horizontal="center" vertical="center"/>
    </xf>
    <xf numFmtId="0" fontId="59" fillId="41" borderId="0">
      <alignment horizontal="right" vertical="center"/>
    </xf>
    <xf numFmtId="0" fontId="79" fillId="41" borderId="0">
      <alignment horizontal="left" vertical="center"/>
    </xf>
    <xf numFmtId="0" fontId="79" fillId="41" borderId="0">
      <alignment horizontal="left" vertical="top"/>
    </xf>
    <xf numFmtId="0" fontId="79" fillId="41" borderId="0">
      <alignment horizontal="left" vertical="top"/>
    </xf>
    <xf numFmtId="0" fontId="62" fillId="41" borderId="0">
      <alignment horizontal="right" vertical="center"/>
    </xf>
    <xf numFmtId="0" fontId="80" fillId="0" borderId="0">
      <alignment horizontal="left" vertical="center"/>
    </xf>
    <xf numFmtId="0" fontId="80" fillId="41" borderId="0">
      <alignment horizontal="left" vertical="center"/>
    </xf>
    <xf numFmtId="0" fontId="81" fillId="41" borderId="0">
      <alignment horizontal="right" vertical="center"/>
    </xf>
    <xf numFmtId="0" fontId="80" fillId="0" borderId="0">
      <alignment horizontal="center" vertical="center"/>
    </xf>
    <xf numFmtId="0" fontId="80" fillId="41" borderId="0">
      <alignment horizontal="center" vertical="center"/>
    </xf>
    <xf numFmtId="0" fontId="82" fillId="41" borderId="0">
      <alignment horizontal="left" vertical="center"/>
    </xf>
    <xf numFmtId="0" fontId="80" fillId="0" borderId="0">
      <alignment horizontal="left" vertical="center"/>
    </xf>
    <xf numFmtId="0" fontId="80" fillId="41" borderId="0">
      <alignment horizontal="left" vertical="center"/>
    </xf>
    <xf numFmtId="0" fontId="59" fillId="41" borderId="0">
      <alignment horizontal="center" vertical="center"/>
    </xf>
    <xf numFmtId="0" fontId="83" fillId="0" borderId="0">
      <alignment horizontal="center" vertical="top"/>
    </xf>
    <xf numFmtId="0" fontId="83" fillId="41" borderId="0">
      <alignment horizontal="center" vertical="top"/>
    </xf>
    <xf numFmtId="0" fontId="67" fillId="41" borderId="0">
      <alignment horizontal="center" vertical="center"/>
    </xf>
    <xf numFmtId="0" fontId="58" fillId="0" borderId="0">
      <alignment horizontal="center" vertical="center"/>
    </xf>
    <xf numFmtId="0" fontId="58" fillId="41" borderId="0">
      <alignment horizontal="center" vertical="center"/>
    </xf>
    <xf numFmtId="0" fontId="61" fillId="41" borderId="0">
      <alignment horizontal="right" vertical="center"/>
    </xf>
    <xf numFmtId="0" fontId="84" fillId="0" borderId="14"/>
    <xf numFmtId="0" fontId="84" fillId="0" borderId="14"/>
    <xf numFmtId="0" fontId="85" fillId="0" borderId="15"/>
    <xf numFmtId="49" fontId="18" fillId="0" borderId="0" applyFill="0" applyBorder="0" applyAlignment="0"/>
    <xf numFmtId="201" fontId="9" fillId="0" borderId="0" applyFill="0" applyBorder="0" applyAlignment="0"/>
    <xf numFmtId="202" fontId="9" fillId="0" borderId="0" applyFill="0" applyBorder="0" applyAlignment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7" applyNumberFormat="0" applyFill="0" applyAlignment="0" applyProtection="0"/>
    <xf numFmtId="0" fontId="88" fillId="0" borderId="17" applyNumberFormat="0" applyFill="0" applyAlignment="0" applyProtection="0"/>
    <xf numFmtId="0" fontId="89" fillId="0" borderId="16" applyNumberFormat="0" applyFill="0" applyAlignment="0" applyProtection="0"/>
    <xf numFmtId="0" fontId="89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88" fillId="0" borderId="16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/>
    </xf>
    <xf numFmtId="165" fontId="6" fillId="0" borderId="1" xfId="2" applyFont="1" applyBorder="1" applyAlignment="1">
      <alignment horizontal="center" vertical="center"/>
    </xf>
    <xf numFmtId="10" fontId="6" fillId="0" borderId="1" xfId="3" applyNumberFormat="1" applyFont="1" applyBorder="1" applyAlignment="1">
      <alignment horizontal="right" vertical="center"/>
    </xf>
    <xf numFmtId="165" fontId="6" fillId="0" borderId="1" xfId="2" applyFont="1" applyBorder="1" applyAlignment="1">
      <alignment vertical="center"/>
    </xf>
    <xf numFmtId="9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9" fontId="6" fillId="0" borderId="0" xfId="0" applyNumberFormat="1" applyFont="1" applyAlignment="1">
      <alignment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5" fontId="6" fillId="0" borderId="0" xfId="2" applyFont="1" applyBorder="1" applyAlignment="1">
      <alignment horizontal="center" vertical="center"/>
    </xf>
    <xf numFmtId="10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2" applyFont="1" applyAlignment="1">
      <alignment horizontal="center" vertical="center"/>
    </xf>
    <xf numFmtId="10" fontId="6" fillId="0" borderId="0" xfId="3" applyNumberFormat="1" applyFont="1" applyAlignment="1">
      <alignment horizontal="right" vertical="center"/>
    </xf>
    <xf numFmtId="166" fontId="6" fillId="0" borderId="0" xfId="0" applyNumberFormat="1" applyFont="1" applyAlignment="1">
      <alignment horizontal="center" vertical="center"/>
    </xf>
    <xf numFmtId="0" fontId="7" fillId="42" borderId="0" xfId="1216" applyFill="1" applyAlignment="1">
      <alignment vertical="center"/>
    </xf>
    <xf numFmtId="41" fontId="7" fillId="42" borderId="0" xfId="636" applyFont="1" applyFill="1" applyAlignment="1">
      <alignment vertical="center"/>
    </xf>
    <xf numFmtId="41" fontId="7" fillId="42" borderId="0" xfId="636" applyFont="1" applyFill="1" applyAlignment="1">
      <alignment horizontal="center" vertical="center"/>
    </xf>
    <xf numFmtId="0" fontId="7" fillId="42" borderId="0" xfId="636" applyNumberFormat="1" applyFont="1" applyFill="1" applyAlignment="1">
      <alignment horizontal="center" vertical="center"/>
    </xf>
    <xf numFmtId="0" fontId="7" fillId="42" borderId="0" xfId="1216" applyFill="1" applyAlignment="1">
      <alignment horizontal="left" vertical="center"/>
    </xf>
    <xf numFmtId="0" fontId="7" fillId="42" borderId="0" xfId="1216" applyFill="1" applyAlignment="1">
      <alignment horizontal="center" vertical="center"/>
    </xf>
    <xf numFmtId="10" fontId="7" fillId="42" borderId="0" xfId="636" applyNumberFormat="1" applyFont="1" applyFill="1" applyAlignment="1">
      <alignment horizontal="center" vertical="center"/>
    </xf>
    <xf numFmtId="0" fontId="7" fillId="42" borderId="0" xfId="1216" applyFill="1"/>
    <xf numFmtId="41" fontId="92" fillId="42" borderId="0" xfId="636" applyFont="1" applyFill="1" applyAlignment="1">
      <alignment vertical="center"/>
    </xf>
    <xf numFmtId="41" fontId="93" fillId="42" borderId="0" xfId="636" applyFont="1" applyFill="1" applyAlignment="1">
      <alignment horizontal="center" vertical="center"/>
    </xf>
    <xf numFmtId="41" fontId="92" fillId="42" borderId="18" xfId="636" applyFont="1" applyFill="1" applyBorder="1" applyAlignment="1">
      <alignment horizontal="center" vertical="center"/>
    </xf>
    <xf numFmtId="41" fontId="92" fillId="42" borderId="19" xfId="636" applyFont="1" applyFill="1" applyBorder="1" applyAlignment="1">
      <alignment horizontal="center" vertical="center"/>
    </xf>
    <xf numFmtId="41" fontId="92" fillId="42" borderId="19" xfId="636" applyFont="1" applyFill="1" applyBorder="1" applyAlignment="1">
      <alignment horizontal="center" vertical="center" wrapText="1"/>
    </xf>
    <xf numFmtId="0" fontId="92" fillId="42" borderId="20" xfId="636" applyNumberFormat="1" applyFont="1" applyFill="1" applyBorder="1" applyAlignment="1">
      <alignment horizontal="center" vertical="center"/>
    </xf>
    <xf numFmtId="0" fontId="92" fillId="42" borderId="21" xfId="1216" applyFont="1" applyFill="1" applyBorder="1" applyAlignment="1">
      <alignment horizontal="center" vertical="center" wrapText="1"/>
    </xf>
    <xf numFmtId="0" fontId="92" fillId="42" borderId="22" xfId="1216" applyFont="1" applyFill="1" applyBorder="1" applyAlignment="1">
      <alignment horizontal="center" vertical="center"/>
    </xf>
    <xf numFmtId="0" fontId="92" fillId="42" borderId="23" xfId="1216" applyFont="1" applyFill="1" applyBorder="1" applyAlignment="1">
      <alignment horizontal="center" vertical="center"/>
    </xf>
    <xf numFmtId="41" fontId="92" fillId="42" borderId="23" xfId="636" applyFont="1" applyFill="1" applyBorder="1" applyAlignment="1">
      <alignment horizontal="center" vertical="center"/>
    </xf>
    <xf numFmtId="0" fontId="92" fillId="42" borderId="24" xfId="636" applyNumberFormat="1" applyFont="1" applyFill="1" applyBorder="1" applyAlignment="1">
      <alignment horizontal="center" vertical="center" wrapText="1"/>
    </xf>
    <xf numFmtId="0" fontId="92" fillId="42" borderId="23" xfId="636" applyNumberFormat="1" applyFont="1" applyFill="1" applyBorder="1" applyAlignment="1">
      <alignment horizontal="center" vertical="center" wrapText="1"/>
    </xf>
    <xf numFmtId="10" fontId="92" fillId="42" borderId="23" xfId="636" applyNumberFormat="1" applyFont="1" applyFill="1" applyBorder="1" applyAlignment="1">
      <alignment horizontal="center" vertical="center" wrapText="1"/>
    </xf>
    <xf numFmtId="0" fontId="92" fillId="42" borderId="0" xfId="1216" applyFont="1" applyFill="1" applyAlignment="1">
      <alignment horizontal="center" vertical="center"/>
    </xf>
    <xf numFmtId="0" fontId="7" fillId="42" borderId="25" xfId="1216" quotePrefix="1" applyFill="1" applyBorder="1" applyAlignment="1">
      <alignment horizontal="center" vertical="center"/>
    </xf>
    <xf numFmtId="203" fontId="18" fillId="42" borderId="26" xfId="1216" applyNumberFormat="1" applyFont="1" applyFill="1" applyBorder="1" applyAlignment="1">
      <alignment horizontal="left" vertical="center"/>
    </xf>
    <xf numFmtId="204" fontId="18" fillId="42" borderId="26" xfId="1216" applyNumberFormat="1" applyFont="1" applyFill="1" applyBorder="1" applyAlignment="1">
      <alignment horizontal="center" vertical="center"/>
    </xf>
    <xf numFmtId="205" fontId="18" fillId="42" borderId="26" xfId="636" quotePrefix="1" applyNumberFormat="1" applyFont="1" applyFill="1" applyBorder="1" applyAlignment="1" applyProtection="1">
      <alignment horizontal="center" vertical="center"/>
    </xf>
    <xf numFmtId="203" fontId="18" fillId="42" borderId="26" xfId="1216" applyNumberFormat="1" applyFont="1" applyFill="1" applyBorder="1" applyAlignment="1">
      <alignment horizontal="center" vertical="center"/>
    </xf>
    <xf numFmtId="0" fontId="18" fillId="42" borderId="26" xfId="1287" applyFont="1" applyFill="1" applyBorder="1" applyAlignment="1">
      <alignment horizontal="center" vertical="center"/>
    </xf>
    <xf numFmtId="0" fontId="7" fillId="42" borderId="26" xfId="1287" applyFill="1" applyBorder="1" applyAlignment="1">
      <alignment horizontal="center" vertical="center"/>
    </xf>
    <xf numFmtId="41" fontId="18" fillId="42" borderId="27" xfId="636" applyFont="1" applyFill="1" applyBorder="1" applyAlignment="1" applyProtection="1">
      <alignment horizontal="left" vertical="center"/>
    </xf>
    <xf numFmtId="41" fontId="18" fillId="42" borderId="28" xfId="636" applyFont="1" applyFill="1" applyBorder="1" applyAlignment="1" applyProtection="1">
      <alignment horizontal="left" vertical="center"/>
    </xf>
    <xf numFmtId="41" fontId="18" fillId="42" borderId="26" xfId="636" applyFont="1" applyFill="1" applyBorder="1" applyAlignment="1" applyProtection="1">
      <alignment horizontal="left" vertical="center"/>
    </xf>
    <xf numFmtId="164" fontId="7" fillId="42" borderId="26" xfId="1" applyNumberFormat="1" applyFont="1" applyFill="1" applyBorder="1" applyAlignment="1">
      <alignment vertical="center"/>
    </xf>
    <xf numFmtId="10" fontId="18" fillId="42" borderId="28" xfId="636" applyNumberFormat="1" applyFont="1" applyFill="1" applyBorder="1" applyAlignment="1" applyProtection="1">
      <alignment horizontal="center" vertical="center"/>
    </xf>
    <xf numFmtId="41" fontId="18" fillId="42" borderId="29" xfId="636" applyFont="1" applyFill="1" applyBorder="1" applyAlignment="1" applyProtection="1">
      <alignment horizontal="left" vertical="center"/>
    </xf>
    <xf numFmtId="41" fontId="7" fillId="42" borderId="0" xfId="1216" applyNumberFormat="1" applyFill="1" applyAlignment="1">
      <alignment vertical="center"/>
    </xf>
    <xf numFmtId="164" fontId="92" fillId="42" borderId="0" xfId="1" applyNumberFormat="1" applyFont="1" applyFill="1" applyAlignment="1">
      <alignment vertical="center"/>
    </xf>
    <xf numFmtId="41" fontId="94" fillId="42" borderId="0" xfId="1216" applyNumberFormat="1" applyFont="1" applyFill="1" applyAlignment="1">
      <alignment horizontal="center" vertical="center"/>
    </xf>
    <xf numFmtId="0" fontId="7" fillId="42" borderId="30" xfId="1216" quotePrefix="1" applyFill="1" applyBorder="1" applyAlignment="1">
      <alignment horizontal="center" vertical="center"/>
    </xf>
    <xf numFmtId="203" fontId="18" fillId="42" borderId="28" xfId="1216" applyNumberFormat="1" applyFont="1" applyFill="1" applyBorder="1" applyAlignment="1">
      <alignment horizontal="left" vertical="center"/>
    </xf>
    <xf numFmtId="204" fontId="18" fillId="42" borderId="28" xfId="1216" applyNumberFormat="1" applyFont="1" applyFill="1" applyBorder="1" applyAlignment="1">
      <alignment horizontal="center" vertical="center"/>
    </xf>
    <xf numFmtId="205" fontId="18" fillId="42" borderId="28" xfId="636" quotePrefix="1" applyNumberFormat="1" applyFont="1" applyFill="1" applyBorder="1" applyAlignment="1" applyProtection="1">
      <alignment horizontal="center" vertical="center"/>
    </xf>
    <xf numFmtId="203" fontId="18" fillId="42" borderId="28" xfId="1216" applyNumberFormat="1" applyFont="1" applyFill="1" applyBorder="1" applyAlignment="1">
      <alignment horizontal="center" vertical="center"/>
    </xf>
    <xf numFmtId="0" fontId="18" fillId="42" borderId="28" xfId="1287" applyFont="1" applyFill="1" applyBorder="1" applyAlignment="1">
      <alignment horizontal="center" vertical="center"/>
    </xf>
    <xf numFmtId="0" fontId="7" fillId="42" borderId="28" xfId="1287" applyFill="1" applyBorder="1" applyAlignment="1">
      <alignment horizontal="center" vertical="center"/>
    </xf>
    <xf numFmtId="0" fontId="7" fillId="42" borderId="31" xfId="1287" applyFill="1" applyBorder="1" applyAlignment="1">
      <alignment horizontal="center" vertical="center"/>
    </xf>
    <xf numFmtId="164" fontId="7" fillId="42" borderId="31" xfId="1" applyNumberFormat="1" applyFont="1" applyFill="1" applyBorder="1" applyAlignment="1">
      <alignment vertical="center"/>
    </xf>
    <xf numFmtId="10" fontId="18" fillId="42" borderId="31" xfId="636" applyNumberFormat="1" applyFont="1" applyFill="1" applyBorder="1" applyAlignment="1" applyProtection="1">
      <alignment horizontal="center" vertical="center"/>
    </xf>
    <xf numFmtId="204" fontId="18" fillId="42" borderId="31" xfId="1216" applyNumberFormat="1" applyFont="1" applyFill="1" applyBorder="1" applyAlignment="1">
      <alignment horizontal="center" vertical="center"/>
    </xf>
    <xf numFmtId="205" fontId="18" fillId="42" borderId="31" xfId="636" quotePrefix="1" applyNumberFormat="1" applyFont="1" applyFill="1" applyBorder="1" applyAlignment="1" applyProtection="1">
      <alignment horizontal="center" vertical="center"/>
    </xf>
    <xf numFmtId="203" fontId="18" fillId="42" borderId="31" xfId="1216" applyNumberFormat="1" applyFont="1" applyFill="1" applyBorder="1" applyAlignment="1">
      <alignment horizontal="left" vertical="center"/>
    </xf>
    <xf numFmtId="0" fontId="18" fillId="42" borderId="31" xfId="1287" applyFont="1" applyFill="1" applyBorder="1" applyAlignment="1">
      <alignment horizontal="center" vertical="center"/>
    </xf>
    <xf numFmtId="41" fontId="18" fillId="42" borderId="31" xfId="636" applyFont="1" applyFill="1" applyBorder="1" applyAlignment="1" applyProtection="1">
      <alignment horizontal="left" vertical="center"/>
    </xf>
    <xf numFmtId="204" fontId="18" fillId="42" borderId="31" xfId="1216" quotePrefix="1" applyNumberFormat="1" applyFont="1" applyFill="1" applyBorder="1" applyAlignment="1">
      <alignment horizontal="center" vertical="center"/>
    </xf>
    <xf numFmtId="41" fontId="92" fillId="42" borderId="0" xfId="1216" applyNumberFormat="1" applyFont="1" applyFill="1" applyAlignment="1">
      <alignment vertical="center"/>
    </xf>
    <xf numFmtId="41" fontId="18" fillId="42" borderId="32" xfId="636" applyFont="1" applyFill="1" applyBorder="1" applyAlignment="1" applyProtection="1">
      <alignment horizontal="left" vertical="center"/>
    </xf>
    <xf numFmtId="41" fontId="18" fillId="42" borderId="33" xfId="636" applyFont="1" applyFill="1" applyBorder="1" applyAlignment="1" applyProtection="1">
      <alignment horizontal="left" vertical="center"/>
    </xf>
    <xf numFmtId="0" fontId="92" fillId="42" borderId="22" xfId="1216" quotePrefix="1" applyFont="1" applyFill="1" applyBorder="1" applyAlignment="1">
      <alignment vertical="center"/>
    </xf>
    <xf numFmtId="0" fontId="92" fillId="42" borderId="4" xfId="1216" quotePrefix="1" applyFont="1" applyFill="1" applyBorder="1" applyAlignment="1">
      <alignment vertical="center"/>
    </xf>
    <xf numFmtId="164" fontId="92" fillId="42" borderId="23" xfId="1" applyNumberFormat="1" applyFont="1" applyFill="1" applyBorder="1" applyAlignment="1">
      <alignment vertical="center"/>
    </xf>
    <xf numFmtId="0" fontId="92" fillId="42" borderId="0" xfId="1216" applyFont="1" applyFill="1" applyAlignment="1">
      <alignment vertical="center"/>
    </xf>
    <xf numFmtId="0" fontId="92" fillId="42" borderId="0" xfId="1216" applyFont="1" applyFill="1"/>
    <xf numFmtId="0" fontId="7" fillId="42" borderId="0" xfId="1241" applyFill="1"/>
    <xf numFmtId="9" fontId="7" fillId="42" borderId="0" xfId="1333" applyFont="1" applyFill="1" applyAlignment="1">
      <alignment vertical="center"/>
    </xf>
    <xf numFmtId="0" fontId="95" fillId="42" borderId="0" xfId="1216" applyFont="1" applyFill="1" applyAlignment="1">
      <alignment vertical="center"/>
    </xf>
    <xf numFmtId="41" fontId="95" fillId="42" borderId="0" xfId="636" applyFont="1" applyFill="1" applyAlignment="1">
      <alignment horizontal="center"/>
    </xf>
    <xf numFmtId="41" fontId="95" fillId="42" borderId="0" xfId="636" applyFont="1" applyFill="1" applyAlignment="1">
      <alignment horizontal="center" vertical="center"/>
    </xf>
    <xf numFmtId="0" fontId="95" fillId="42" borderId="0" xfId="636" applyNumberFormat="1" applyFont="1" applyFill="1" applyAlignment="1">
      <alignment horizontal="center" vertical="center"/>
    </xf>
    <xf numFmtId="0" fontId="96" fillId="42" borderId="0" xfId="0" applyFont="1" applyFill="1" applyBorder="1" applyAlignment="1">
      <alignment horizontal="center" vertical="center"/>
    </xf>
    <xf numFmtId="0" fontId="96" fillId="42" borderId="0" xfId="0" applyFont="1" applyFill="1" applyBorder="1" applyAlignment="1"/>
    <xf numFmtId="0" fontId="96" fillId="42" borderId="0" xfId="0" applyFont="1" applyFill="1" applyAlignment="1">
      <alignment horizontal="right"/>
    </xf>
    <xf numFmtId="0" fontId="95" fillId="42" borderId="0" xfId="0" applyFont="1" applyFill="1" applyAlignment="1"/>
    <xf numFmtId="41" fontId="95" fillId="42" borderId="0" xfId="636" applyFont="1" applyFill="1" applyAlignment="1">
      <alignment vertical="center"/>
    </xf>
    <xf numFmtId="41" fontId="97" fillId="42" borderId="0" xfId="636" applyFont="1" applyFill="1" applyAlignment="1">
      <alignment horizontal="center" vertical="center"/>
    </xf>
    <xf numFmtId="0" fontId="95" fillId="42" borderId="0" xfId="1216" applyFont="1" applyFill="1"/>
    <xf numFmtId="9" fontId="95" fillId="42" borderId="0" xfId="1333" applyFont="1" applyFill="1" applyAlignment="1">
      <alignment vertical="center"/>
    </xf>
    <xf numFmtId="0" fontId="96" fillId="42" borderId="0" xfId="0" applyFont="1" applyFill="1" applyAlignment="1">
      <alignment horizontal="center"/>
    </xf>
    <xf numFmtId="3" fontId="96" fillId="42" borderId="0" xfId="0" applyNumberFormat="1" applyFont="1" applyFill="1" applyBorder="1" applyAlignment="1">
      <alignment horizontal="right" vertical="center"/>
    </xf>
    <xf numFmtId="0" fontId="98" fillId="42" borderId="0" xfId="0" applyFont="1" applyFill="1" applyAlignment="1">
      <alignment horizontal="center"/>
    </xf>
    <xf numFmtId="0" fontId="99" fillId="42" borderId="0" xfId="0" applyFont="1" applyFill="1" applyAlignment="1">
      <alignment horizontal="center"/>
    </xf>
    <xf numFmtId="10" fontId="95" fillId="42" borderId="0" xfId="636" applyNumberFormat="1" applyFont="1" applyFill="1" applyAlignment="1">
      <alignment horizontal="center" vertical="center"/>
    </xf>
    <xf numFmtId="0" fontId="98" fillId="42" borderId="0" xfId="0" applyFont="1" applyFill="1" applyAlignment="1">
      <alignment horizontal="right"/>
    </xf>
    <xf numFmtId="0" fontId="99" fillId="42" borderId="0" xfId="0" applyFont="1" applyFill="1" applyAlignment="1">
      <alignment horizontal="right"/>
    </xf>
    <xf numFmtId="0" fontId="100" fillId="42" borderId="0" xfId="0" applyFont="1" applyFill="1" applyAlignment="1"/>
    <xf numFmtId="3" fontId="98" fillId="42" borderId="0" xfId="0" applyNumberFormat="1" applyFont="1" applyFill="1" applyAlignment="1">
      <alignment horizontal="right"/>
    </xf>
    <xf numFmtId="3" fontId="99" fillId="42" borderId="0" xfId="0" applyNumberFormat="1" applyFont="1" applyFill="1" applyAlignment="1">
      <alignment horizontal="right"/>
    </xf>
    <xf numFmtId="0" fontId="101" fillId="42" borderId="0" xfId="0" applyFont="1" applyFill="1" applyAlignment="1"/>
    <xf numFmtId="0" fontId="96" fillId="42" borderId="0" xfId="0" applyFont="1" applyFill="1" applyAlignment="1">
      <alignment vertical="top"/>
    </xf>
    <xf numFmtId="41" fontId="103" fillId="42" borderId="0" xfId="636" applyFont="1" applyFill="1" applyAlignment="1">
      <alignment horizontal="center"/>
    </xf>
    <xf numFmtId="41" fontId="103" fillId="42" borderId="0" xfId="636" applyFont="1" applyFill="1" applyAlignment="1">
      <alignment horizontal="center" vertical="center"/>
    </xf>
    <xf numFmtId="0" fontId="95" fillId="42" borderId="0" xfId="1216" applyFont="1" applyFill="1" applyAlignment="1">
      <alignment horizontal="left" vertical="center"/>
    </xf>
    <xf numFmtId="0" fontId="95" fillId="42" borderId="0" xfId="1216" applyFont="1" applyFill="1" applyAlignment="1">
      <alignment horizontal="center" vertical="center"/>
    </xf>
    <xf numFmtId="41" fontId="97" fillId="42" borderId="0" xfId="636" applyFont="1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103" fillId="42" borderId="0" xfId="636" applyFont="1" applyFill="1" applyAlignment="1">
      <alignment horizontal="center" vertical="center"/>
    </xf>
    <xf numFmtId="41" fontId="97" fillId="42" borderId="0" xfId="636" applyFont="1" applyFill="1" applyAlignment="1">
      <alignment horizontal="center" vertical="center"/>
    </xf>
    <xf numFmtId="0" fontId="95" fillId="42" borderId="0" xfId="0" applyFont="1" applyFill="1" applyAlignment="1">
      <alignment horizontal="center"/>
    </xf>
    <xf numFmtId="0" fontId="102" fillId="42" borderId="0" xfId="0" applyFont="1" applyFill="1" applyAlignment="1">
      <alignment horizontal="center"/>
    </xf>
    <xf numFmtId="0" fontId="95" fillId="42" borderId="0" xfId="0" applyFont="1" applyFill="1" applyAlignment="1">
      <alignment horizontal="center" vertical="top"/>
    </xf>
    <xf numFmtId="204" fontId="18" fillId="42" borderId="28" xfId="1216" quotePrefix="1" applyNumberFormat="1" applyFont="1" applyFill="1" applyBorder="1" applyAlignment="1">
      <alignment horizontal="center" vertical="center"/>
    </xf>
  </cellXfs>
  <cellStyles count="1466">
    <cellStyle name="‡" xfId="4"/>
    <cellStyle name="‡_515" xfId="5"/>
    <cellStyle name="‡_516" xfId="6"/>
    <cellStyle name="‡_529" xfId="7"/>
    <cellStyle name="‡_530" xfId="8"/>
    <cellStyle name="‡_581" xfId="9"/>
    <cellStyle name="‡_582" xfId="10"/>
    <cellStyle name="‡_BOOK1" xfId="11"/>
    <cellStyle name="‡_BOOK1_1" xfId="12"/>
    <cellStyle name="‡_STA-DRP" xfId="13"/>
    <cellStyle name="‡_STA-DRP_515" xfId="14"/>
    <cellStyle name="‡_STA-DRP_516" xfId="15"/>
    <cellStyle name="‡_STA-DRP_529" xfId="16"/>
    <cellStyle name="‡_STA-DRP_530" xfId="17"/>
    <cellStyle name="‡_STA-DRP_581" xfId="18"/>
    <cellStyle name="‡_STA-DRP_582" xfId="19"/>
    <cellStyle name="‡_STA-DRP_BOOK1" xfId="20"/>
    <cellStyle name="‡_STA-DRP_BOOK1_1" xfId="21"/>
    <cellStyle name="¹éºÐÀ²_±âÅ¸" xfId="22"/>
    <cellStyle name="20% - Accent1 10" xfId="23"/>
    <cellStyle name="20% - Accent1 10 2" xfId="24"/>
    <cellStyle name="20% - Accent1 10 3" xfId="25"/>
    <cellStyle name="20% - Accent1 11" xfId="26"/>
    <cellStyle name="20% - Accent1 11 2" xfId="27"/>
    <cellStyle name="20% - Accent1 11 3" xfId="28"/>
    <cellStyle name="20% - Accent1 12" xfId="29"/>
    <cellStyle name="20% - Accent1 2" xfId="30"/>
    <cellStyle name="20% - Accent1 2 2" xfId="31"/>
    <cellStyle name="20% - Accent1 3" xfId="32"/>
    <cellStyle name="20% - Accent1 3 2" xfId="33"/>
    <cellStyle name="20% - Accent1 3 3" xfId="34"/>
    <cellStyle name="20% - Accent1 4" xfId="35"/>
    <cellStyle name="20% - Accent1 4 2" xfId="36"/>
    <cellStyle name="20% - Accent1 4 3" xfId="37"/>
    <cellStyle name="20% - Accent1 5" xfId="38"/>
    <cellStyle name="20% - Accent1 5 2" xfId="39"/>
    <cellStyle name="20% - Accent1 5 3" xfId="40"/>
    <cellStyle name="20% - Accent1 6" xfId="41"/>
    <cellStyle name="20% - Accent1 6 2" xfId="42"/>
    <cellStyle name="20% - Accent1 6 3" xfId="43"/>
    <cellStyle name="20% - Accent1 7" xfId="44"/>
    <cellStyle name="20% - Accent1 7 2" xfId="45"/>
    <cellStyle name="20% - Accent1 7 3" xfId="46"/>
    <cellStyle name="20% - Accent1 8" xfId="47"/>
    <cellStyle name="20% - Accent1 8 2" xfId="48"/>
    <cellStyle name="20% - Accent1 8 3" xfId="49"/>
    <cellStyle name="20% - Accent1 9" xfId="50"/>
    <cellStyle name="20% - Accent1 9 2" xfId="51"/>
    <cellStyle name="20% - Accent1 9 3" xfId="52"/>
    <cellStyle name="20% - Accent2 10" xfId="53"/>
    <cellStyle name="20% - Accent2 10 2" xfId="54"/>
    <cellStyle name="20% - Accent2 11" xfId="55"/>
    <cellStyle name="20% - Accent2 11 2" xfId="56"/>
    <cellStyle name="20% - Accent2 12" xfId="57"/>
    <cellStyle name="20% - Accent2 2" xfId="58"/>
    <cellStyle name="20% - Accent2 3" xfId="59"/>
    <cellStyle name="20% - Accent2 3 2" xfId="60"/>
    <cellStyle name="20% - Accent2 4" xfId="61"/>
    <cellStyle name="20% - Accent2 4 2" xfId="62"/>
    <cellStyle name="20% - Accent2 5" xfId="63"/>
    <cellStyle name="20% - Accent2 5 2" xfId="64"/>
    <cellStyle name="20% - Accent2 6" xfId="65"/>
    <cellStyle name="20% - Accent2 6 2" xfId="66"/>
    <cellStyle name="20% - Accent2 7" xfId="67"/>
    <cellStyle name="20% - Accent2 7 2" xfId="68"/>
    <cellStyle name="20% - Accent2 8" xfId="69"/>
    <cellStyle name="20% - Accent2 8 2" xfId="70"/>
    <cellStyle name="20% - Accent2 9" xfId="71"/>
    <cellStyle name="20% - Accent2 9 2" xfId="72"/>
    <cellStyle name="20% - Accent3 10" xfId="73"/>
    <cellStyle name="20% - Accent3 10 2" xfId="74"/>
    <cellStyle name="20% - Accent3 11" xfId="75"/>
    <cellStyle name="20% - Accent3 11 2" xfId="76"/>
    <cellStyle name="20% - Accent3 12" xfId="77"/>
    <cellStyle name="20% - Accent3 2" xfId="78"/>
    <cellStyle name="20% - Accent3 3" xfId="79"/>
    <cellStyle name="20% - Accent3 3 2" xfId="80"/>
    <cellStyle name="20% - Accent3 4" xfId="81"/>
    <cellStyle name="20% - Accent3 4 2" xfId="82"/>
    <cellStyle name="20% - Accent3 5" xfId="83"/>
    <cellStyle name="20% - Accent3 5 2" xfId="84"/>
    <cellStyle name="20% - Accent3 6" xfId="85"/>
    <cellStyle name="20% - Accent3 6 2" xfId="86"/>
    <cellStyle name="20% - Accent3 7" xfId="87"/>
    <cellStyle name="20% - Accent3 7 2" xfId="88"/>
    <cellStyle name="20% - Accent3 8" xfId="89"/>
    <cellStyle name="20% - Accent3 8 2" xfId="90"/>
    <cellStyle name="20% - Accent3 9" xfId="91"/>
    <cellStyle name="20% - Accent3 9 2" xfId="92"/>
    <cellStyle name="20% - Accent4 10" xfId="93"/>
    <cellStyle name="20% - Accent4 10 2" xfId="94"/>
    <cellStyle name="20% - Accent4 11" xfId="95"/>
    <cellStyle name="20% - Accent4 11 2" xfId="96"/>
    <cellStyle name="20% - Accent4 12" xfId="97"/>
    <cellStyle name="20% - Accent4 2" xfId="98"/>
    <cellStyle name="20% - Accent4 3" xfId="99"/>
    <cellStyle name="20% - Accent4 3 2" xfId="100"/>
    <cellStyle name="20% - Accent4 4" xfId="101"/>
    <cellStyle name="20% - Accent4 4 2" xfId="102"/>
    <cellStyle name="20% - Accent4 5" xfId="103"/>
    <cellStyle name="20% - Accent4 5 2" xfId="104"/>
    <cellStyle name="20% - Accent4 6" xfId="105"/>
    <cellStyle name="20% - Accent4 6 2" xfId="106"/>
    <cellStyle name="20% - Accent4 7" xfId="107"/>
    <cellStyle name="20% - Accent4 7 2" xfId="108"/>
    <cellStyle name="20% - Accent4 8" xfId="109"/>
    <cellStyle name="20% - Accent4 8 2" xfId="110"/>
    <cellStyle name="20% - Accent4 9" xfId="111"/>
    <cellStyle name="20% - Accent4 9 2" xfId="112"/>
    <cellStyle name="20% - Accent5 10" xfId="113"/>
    <cellStyle name="20% - Accent5 10 2" xfId="114"/>
    <cellStyle name="20% - Accent5 10 3" xfId="115"/>
    <cellStyle name="20% - Accent5 11" xfId="116"/>
    <cellStyle name="20% - Accent5 11 2" xfId="117"/>
    <cellStyle name="20% - Accent5 11 3" xfId="118"/>
    <cellStyle name="20% - Accent5 12" xfId="119"/>
    <cellStyle name="20% - Accent5 2" xfId="120"/>
    <cellStyle name="20% - Accent5 2 2" xfId="121"/>
    <cellStyle name="20% - Accent5 3" xfId="122"/>
    <cellStyle name="20% - Accent5 3 2" xfId="123"/>
    <cellStyle name="20% - Accent5 3 3" xfId="124"/>
    <cellStyle name="20% - Accent5 4" xfId="125"/>
    <cellStyle name="20% - Accent5 4 2" xfId="126"/>
    <cellStyle name="20% - Accent5 4 3" xfId="127"/>
    <cellStyle name="20% - Accent5 5" xfId="128"/>
    <cellStyle name="20% - Accent5 5 2" xfId="129"/>
    <cellStyle name="20% - Accent5 5 3" xfId="130"/>
    <cellStyle name="20% - Accent5 6" xfId="131"/>
    <cellStyle name="20% - Accent5 6 2" xfId="132"/>
    <cellStyle name="20% - Accent5 6 3" xfId="133"/>
    <cellStyle name="20% - Accent5 7" xfId="134"/>
    <cellStyle name="20% - Accent5 7 2" xfId="135"/>
    <cellStyle name="20% - Accent5 7 3" xfId="136"/>
    <cellStyle name="20% - Accent5 8" xfId="137"/>
    <cellStyle name="20% - Accent5 8 2" xfId="138"/>
    <cellStyle name="20% - Accent5 8 3" xfId="139"/>
    <cellStyle name="20% - Accent5 9" xfId="140"/>
    <cellStyle name="20% - Accent5 9 2" xfId="141"/>
    <cellStyle name="20% - Accent5 9 3" xfId="142"/>
    <cellStyle name="20% - Accent6 10" xfId="143"/>
    <cellStyle name="20% - Accent6 10 2" xfId="144"/>
    <cellStyle name="20% - Accent6 10 3" xfId="145"/>
    <cellStyle name="20% - Accent6 11" xfId="146"/>
    <cellStyle name="20% - Accent6 11 2" xfId="147"/>
    <cellStyle name="20% - Accent6 11 3" xfId="148"/>
    <cellStyle name="20% - Accent6 12" xfId="149"/>
    <cellStyle name="20% - Accent6 2" xfId="150"/>
    <cellStyle name="20% - Accent6 2 2" xfId="151"/>
    <cellStyle name="20% - Accent6 3" xfId="152"/>
    <cellStyle name="20% - Accent6 3 2" xfId="153"/>
    <cellStyle name="20% - Accent6 3 3" xfId="154"/>
    <cellStyle name="20% - Accent6 4" xfId="155"/>
    <cellStyle name="20% - Accent6 4 2" xfId="156"/>
    <cellStyle name="20% - Accent6 4 3" xfId="157"/>
    <cellStyle name="20% - Accent6 5" xfId="158"/>
    <cellStyle name="20% - Accent6 5 2" xfId="159"/>
    <cellStyle name="20% - Accent6 5 3" xfId="160"/>
    <cellStyle name="20% - Accent6 6" xfId="161"/>
    <cellStyle name="20% - Accent6 6 2" xfId="162"/>
    <cellStyle name="20% - Accent6 6 3" xfId="163"/>
    <cellStyle name="20% - Accent6 7" xfId="164"/>
    <cellStyle name="20% - Accent6 7 2" xfId="165"/>
    <cellStyle name="20% - Accent6 7 3" xfId="166"/>
    <cellStyle name="20% - Accent6 8" xfId="167"/>
    <cellStyle name="20% - Accent6 8 2" xfId="168"/>
    <cellStyle name="20% - Accent6 8 3" xfId="169"/>
    <cellStyle name="20% - Accent6 9" xfId="170"/>
    <cellStyle name="20% - Accent6 9 2" xfId="171"/>
    <cellStyle name="20% - Accent6 9 3" xfId="172"/>
    <cellStyle name="40% - Accent1 10" xfId="173"/>
    <cellStyle name="40% - Accent1 10 2" xfId="174"/>
    <cellStyle name="40% - Accent1 11" xfId="175"/>
    <cellStyle name="40% - Accent1 11 2" xfId="176"/>
    <cellStyle name="40% - Accent1 12" xfId="177"/>
    <cellStyle name="40% - Accent1 2" xfId="178"/>
    <cellStyle name="40% - Accent1 3" xfId="179"/>
    <cellStyle name="40% - Accent1 3 2" xfId="180"/>
    <cellStyle name="40% - Accent1 4" xfId="181"/>
    <cellStyle name="40% - Accent1 4 2" xfId="182"/>
    <cellStyle name="40% - Accent1 5" xfId="183"/>
    <cellStyle name="40% - Accent1 5 2" xfId="184"/>
    <cellStyle name="40% - Accent1 6" xfId="185"/>
    <cellStyle name="40% - Accent1 6 2" xfId="186"/>
    <cellStyle name="40% - Accent1 7" xfId="187"/>
    <cellStyle name="40% - Accent1 7 2" xfId="188"/>
    <cellStyle name="40% - Accent1 8" xfId="189"/>
    <cellStyle name="40% - Accent1 8 2" xfId="190"/>
    <cellStyle name="40% - Accent1 9" xfId="191"/>
    <cellStyle name="40% - Accent1 9 2" xfId="192"/>
    <cellStyle name="40% - Accent2 10" xfId="193"/>
    <cellStyle name="40% - Accent2 10 2" xfId="194"/>
    <cellStyle name="40% - Accent2 11" xfId="195"/>
    <cellStyle name="40% - Accent2 11 2" xfId="196"/>
    <cellStyle name="40% - Accent2 12" xfId="197"/>
    <cellStyle name="40% - Accent2 2" xfId="198"/>
    <cellStyle name="40% - Accent2 3" xfId="199"/>
    <cellStyle name="40% - Accent2 3 2" xfId="200"/>
    <cellStyle name="40% - Accent2 4" xfId="201"/>
    <cellStyle name="40% - Accent2 4 2" xfId="202"/>
    <cellStyle name="40% - Accent2 5" xfId="203"/>
    <cellStyle name="40% - Accent2 5 2" xfId="204"/>
    <cellStyle name="40% - Accent2 6" xfId="205"/>
    <cellStyle name="40% - Accent2 6 2" xfId="206"/>
    <cellStyle name="40% - Accent2 7" xfId="207"/>
    <cellStyle name="40% - Accent2 7 2" xfId="208"/>
    <cellStyle name="40% - Accent2 8" xfId="209"/>
    <cellStyle name="40% - Accent2 8 2" xfId="210"/>
    <cellStyle name="40% - Accent2 9" xfId="211"/>
    <cellStyle name="40% - Accent2 9 2" xfId="212"/>
    <cellStyle name="40% - Accent3 10" xfId="213"/>
    <cellStyle name="40% - Accent3 10 2" xfId="214"/>
    <cellStyle name="40% - Accent3 10 3" xfId="215"/>
    <cellStyle name="40% - Accent3 11" xfId="216"/>
    <cellStyle name="40% - Accent3 11 2" xfId="217"/>
    <cellStyle name="40% - Accent3 11 3" xfId="218"/>
    <cellStyle name="40% - Accent3 12" xfId="219"/>
    <cellStyle name="40% - Accent3 2" xfId="220"/>
    <cellStyle name="40% - Accent3 2 2" xfId="221"/>
    <cellStyle name="40% - Accent3 3" xfId="222"/>
    <cellStyle name="40% - Accent3 3 2" xfId="223"/>
    <cellStyle name="40% - Accent3 3 3" xfId="224"/>
    <cellStyle name="40% - Accent3 4" xfId="225"/>
    <cellStyle name="40% - Accent3 4 2" xfId="226"/>
    <cellStyle name="40% - Accent3 4 3" xfId="227"/>
    <cellStyle name="40% - Accent3 5" xfId="228"/>
    <cellStyle name="40% - Accent3 5 2" xfId="229"/>
    <cellStyle name="40% - Accent3 5 3" xfId="230"/>
    <cellStyle name="40% - Accent3 6" xfId="231"/>
    <cellStyle name="40% - Accent3 6 2" xfId="232"/>
    <cellStyle name="40% - Accent3 6 3" xfId="233"/>
    <cellStyle name="40% - Accent3 7" xfId="234"/>
    <cellStyle name="40% - Accent3 7 2" xfId="235"/>
    <cellStyle name="40% - Accent3 7 3" xfId="236"/>
    <cellStyle name="40% - Accent3 8" xfId="237"/>
    <cellStyle name="40% - Accent3 8 2" xfId="238"/>
    <cellStyle name="40% - Accent3 8 3" xfId="239"/>
    <cellStyle name="40% - Accent3 9" xfId="240"/>
    <cellStyle name="40% - Accent3 9 2" xfId="241"/>
    <cellStyle name="40% - Accent3 9 3" xfId="242"/>
    <cellStyle name="40% - Accent4 10" xfId="243"/>
    <cellStyle name="40% - Accent4 10 2" xfId="244"/>
    <cellStyle name="40% - Accent4 11" xfId="245"/>
    <cellStyle name="40% - Accent4 11 2" xfId="246"/>
    <cellStyle name="40% - Accent4 12" xfId="247"/>
    <cellStyle name="40% - Accent4 2" xfId="248"/>
    <cellStyle name="40% - Accent4 3" xfId="249"/>
    <cellStyle name="40% - Accent4 3 2" xfId="250"/>
    <cellStyle name="40% - Accent4 4" xfId="251"/>
    <cellStyle name="40% - Accent4 4 2" xfId="252"/>
    <cellStyle name="40% - Accent4 5" xfId="253"/>
    <cellStyle name="40% - Accent4 5 2" xfId="254"/>
    <cellStyle name="40% - Accent4 6" xfId="255"/>
    <cellStyle name="40% - Accent4 6 2" xfId="256"/>
    <cellStyle name="40% - Accent4 7" xfId="257"/>
    <cellStyle name="40% - Accent4 7 2" xfId="258"/>
    <cellStyle name="40% - Accent4 8" xfId="259"/>
    <cellStyle name="40% - Accent4 8 2" xfId="260"/>
    <cellStyle name="40% - Accent4 9" xfId="261"/>
    <cellStyle name="40% - Accent4 9 2" xfId="262"/>
    <cellStyle name="40% - Accent5 10" xfId="263"/>
    <cellStyle name="40% - Accent5 10 2" xfId="264"/>
    <cellStyle name="40% - Accent5 11" xfId="265"/>
    <cellStyle name="40% - Accent5 11 2" xfId="266"/>
    <cellStyle name="40% - Accent5 2" xfId="267"/>
    <cellStyle name="40% - Accent5 3" xfId="268"/>
    <cellStyle name="40% - Accent5 3 2" xfId="269"/>
    <cellStyle name="40% - Accent5 4" xfId="270"/>
    <cellStyle name="40% - Accent5 4 2" xfId="271"/>
    <cellStyle name="40% - Accent5 5" xfId="272"/>
    <cellStyle name="40% - Accent5 5 2" xfId="273"/>
    <cellStyle name="40% - Accent5 6" xfId="274"/>
    <cellStyle name="40% - Accent5 6 2" xfId="275"/>
    <cellStyle name="40% - Accent5 7" xfId="276"/>
    <cellStyle name="40% - Accent5 7 2" xfId="277"/>
    <cellStyle name="40% - Accent5 8" xfId="278"/>
    <cellStyle name="40% - Accent5 8 2" xfId="279"/>
    <cellStyle name="40% - Accent5 9" xfId="280"/>
    <cellStyle name="40% - Accent5 9 2" xfId="281"/>
    <cellStyle name="40% - Accent6 10" xfId="282"/>
    <cellStyle name="40% - Accent6 10 2" xfId="283"/>
    <cellStyle name="40% - Accent6 11" xfId="284"/>
    <cellStyle name="40% - Accent6 11 2" xfId="285"/>
    <cellStyle name="40% - Accent6 12" xfId="286"/>
    <cellStyle name="40% - Accent6 2" xfId="287"/>
    <cellStyle name="40% - Accent6 3" xfId="288"/>
    <cellStyle name="40% - Accent6 3 2" xfId="289"/>
    <cellStyle name="40% - Accent6 4" xfId="290"/>
    <cellStyle name="40% - Accent6 4 2" xfId="291"/>
    <cellStyle name="40% - Accent6 5" xfId="292"/>
    <cellStyle name="40% - Accent6 5 2" xfId="293"/>
    <cellStyle name="40% - Accent6 6" xfId="294"/>
    <cellStyle name="40% - Accent6 6 2" xfId="295"/>
    <cellStyle name="40% - Accent6 7" xfId="296"/>
    <cellStyle name="40% - Accent6 7 2" xfId="297"/>
    <cellStyle name="40% - Accent6 8" xfId="298"/>
    <cellStyle name="40% - Accent6 8 2" xfId="299"/>
    <cellStyle name="40% - Accent6 9" xfId="300"/>
    <cellStyle name="40% - Accent6 9 2" xfId="301"/>
    <cellStyle name="60% - Accent1 10" xfId="302"/>
    <cellStyle name="60% - Accent1 11" xfId="303"/>
    <cellStyle name="60% - Accent1 12" xfId="304"/>
    <cellStyle name="60% - Accent1 2" xfId="305"/>
    <cellStyle name="60% - Accent1 3" xfId="306"/>
    <cellStyle name="60% - Accent1 4" xfId="307"/>
    <cellStyle name="60% - Accent1 5" xfId="308"/>
    <cellStyle name="60% - Accent1 6" xfId="309"/>
    <cellStyle name="60% - Accent1 7" xfId="310"/>
    <cellStyle name="60% - Accent1 8" xfId="311"/>
    <cellStyle name="60% - Accent1 9" xfId="312"/>
    <cellStyle name="60% - Accent2 10" xfId="313"/>
    <cellStyle name="60% - Accent2 11" xfId="314"/>
    <cellStyle name="60% - Accent2 12" xfId="315"/>
    <cellStyle name="60% - Accent2 2" xfId="316"/>
    <cellStyle name="60% - Accent2 3" xfId="317"/>
    <cellStyle name="60% - Accent2 4" xfId="318"/>
    <cellStyle name="60% - Accent2 5" xfId="319"/>
    <cellStyle name="60% - Accent2 6" xfId="320"/>
    <cellStyle name="60% - Accent2 7" xfId="321"/>
    <cellStyle name="60% - Accent2 8" xfId="322"/>
    <cellStyle name="60% - Accent2 9" xfId="323"/>
    <cellStyle name="60% - Accent3 10" xfId="324"/>
    <cellStyle name="60% - Accent3 10 2" xfId="325"/>
    <cellStyle name="60% - Accent3 11" xfId="326"/>
    <cellStyle name="60% - Accent3 11 2" xfId="327"/>
    <cellStyle name="60% - Accent3 12" xfId="328"/>
    <cellStyle name="60% - Accent3 2" xfId="329"/>
    <cellStyle name="60% - Accent3 2 2" xfId="330"/>
    <cellStyle name="60% - Accent3 3" xfId="331"/>
    <cellStyle name="60% - Accent3 3 2" xfId="332"/>
    <cellStyle name="60% - Accent3 4" xfId="333"/>
    <cellStyle name="60% - Accent3 4 2" xfId="334"/>
    <cellStyle name="60% - Accent3 5" xfId="335"/>
    <cellStyle name="60% - Accent3 5 2" xfId="336"/>
    <cellStyle name="60% - Accent3 6" xfId="337"/>
    <cellStyle name="60% - Accent3 6 2" xfId="338"/>
    <cellStyle name="60% - Accent3 7" xfId="339"/>
    <cellStyle name="60% - Accent3 7 2" xfId="340"/>
    <cellStyle name="60% - Accent3 8" xfId="341"/>
    <cellStyle name="60% - Accent3 8 2" xfId="342"/>
    <cellStyle name="60% - Accent3 9" xfId="343"/>
    <cellStyle name="60% - Accent3 9 2" xfId="344"/>
    <cellStyle name="60% - Accent4 10" xfId="345"/>
    <cellStyle name="60% - Accent4 10 2" xfId="346"/>
    <cellStyle name="60% - Accent4 11" xfId="347"/>
    <cellStyle name="60% - Accent4 11 2" xfId="348"/>
    <cellStyle name="60% - Accent4 12" xfId="349"/>
    <cellStyle name="60% - Accent4 2" xfId="350"/>
    <cellStyle name="60% - Accent4 2 2" xfId="351"/>
    <cellStyle name="60% - Accent4 3" xfId="352"/>
    <cellStyle name="60% - Accent4 3 2" xfId="353"/>
    <cellStyle name="60% - Accent4 4" xfId="354"/>
    <cellStyle name="60% - Accent4 4 2" xfId="355"/>
    <cellStyle name="60% - Accent4 5" xfId="356"/>
    <cellStyle name="60% - Accent4 5 2" xfId="357"/>
    <cellStyle name="60% - Accent4 6" xfId="358"/>
    <cellStyle name="60% - Accent4 6 2" xfId="359"/>
    <cellStyle name="60% - Accent4 7" xfId="360"/>
    <cellStyle name="60% - Accent4 7 2" xfId="361"/>
    <cellStyle name="60% - Accent4 8" xfId="362"/>
    <cellStyle name="60% - Accent4 8 2" xfId="363"/>
    <cellStyle name="60% - Accent4 9" xfId="364"/>
    <cellStyle name="60% - Accent4 9 2" xfId="365"/>
    <cellStyle name="60% - Accent5 10" xfId="366"/>
    <cellStyle name="60% - Accent5 11" xfId="367"/>
    <cellStyle name="60% - Accent5 12" xfId="368"/>
    <cellStyle name="60% - Accent5 2" xfId="369"/>
    <cellStyle name="60% - Accent5 3" xfId="370"/>
    <cellStyle name="60% - Accent5 4" xfId="371"/>
    <cellStyle name="60% - Accent5 5" xfId="372"/>
    <cellStyle name="60% - Accent5 6" xfId="373"/>
    <cellStyle name="60% - Accent5 7" xfId="374"/>
    <cellStyle name="60% - Accent5 8" xfId="375"/>
    <cellStyle name="60% - Accent5 9" xfId="376"/>
    <cellStyle name="60% - Accent6 10" xfId="377"/>
    <cellStyle name="60% - Accent6 10 2" xfId="378"/>
    <cellStyle name="60% - Accent6 11" xfId="379"/>
    <cellStyle name="60% - Accent6 11 2" xfId="380"/>
    <cellStyle name="60% - Accent6 12" xfId="381"/>
    <cellStyle name="60% - Accent6 2" xfId="382"/>
    <cellStyle name="60% - Accent6 2 2" xfId="383"/>
    <cellStyle name="60% - Accent6 3" xfId="384"/>
    <cellStyle name="60% - Accent6 3 2" xfId="385"/>
    <cellStyle name="60% - Accent6 4" xfId="386"/>
    <cellStyle name="60% - Accent6 4 2" xfId="387"/>
    <cellStyle name="60% - Accent6 5" xfId="388"/>
    <cellStyle name="60% - Accent6 5 2" xfId="389"/>
    <cellStyle name="60% - Accent6 6" xfId="390"/>
    <cellStyle name="60% - Accent6 6 2" xfId="391"/>
    <cellStyle name="60% - Accent6 7" xfId="392"/>
    <cellStyle name="60% - Accent6 7 2" xfId="393"/>
    <cellStyle name="60% - Accent6 8" xfId="394"/>
    <cellStyle name="60% - Accent6 8 2" xfId="395"/>
    <cellStyle name="60% - Accent6 9" xfId="396"/>
    <cellStyle name="60% - Accent6 9 2" xfId="397"/>
    <cellStyle name="Accent1 10" xfId="398"/>
    <cellStyle name="Accent1 11" xfId="399"/>
    <cellStyle name="Accent1 12" xfId="400"/>
    <cellStyle name="Accent1 2" xfId="401"/>
    <cellStyle name="Accent1 3" xfId="402"/>
    <cellStyle name="Accent1 4" xfId="403"/>
    <cellStyle name="Accent1 5" xfId="404"/>
    <cellStyle name="Accent1 6" xfId="405"/>
    <cellStyle name="Accent1 7" xfId="406"/>
    <cellStyle name="Accent1 8" xfId="407"/>
    <cellStyle name="Accent1 9" xfId="408"/>
    <cellStyle name="Accent2 10" xfId="409"/>
    <cellStyle name="Accent2 11" xfId="410"/>
    <cellStyle name="Accent2 12" xfId="411"/>
    <cellStyle name="Accent2 2" xfId="412"/>
    <cellStyle name="Accent2 3" xfId="413"/>
    <cellStyle name="Accent2 4" xfId="414"/>
    <cellStyle name="Accent2 5" xfId="415"/>
    <cellStyle name="Accent2 6" xfId="416"/>
    <cellStyle name="Accent2 7" xfId="417"/>
    <cellStyle name="Accent2 8" xfId="418"/>
    <cellStyle name="Accent2 9" xfId="419"/>
    <cellStyle name="Accent3 10" xfId="420"/>
    <cellStyle name="Accent3 10 2" xfId="421"/>
    <cellStyle name="Accent3 11" xfId="422"/>
    <cellStyle name="Accent3 11 2" xfId="423"/>
    <cellStyle name="Accent3 12" xfId="424"/>
    <cellStyle name="Accent3 2" xfId="425"/>
    <cellStyle name="Accent3 2 2" xfId="426"/>
    <cellStyle name="Accent3 3" xfId="427"/>
    <cellStyle name="Accent3 3 2" xfId="428"/>
    <cellStyle name="Accent3 4" xfId="429"/>
    <cellStyle name="Accent3 4 2" xfId="430"/>
    <cellStyle name="Accent3 5" xfId="431"/>
    <cellStyle name="Accent3 5 2" xfId="432"/>
    <cellStyle name="Accent3 6" xfId="433"/>
    <cellStyle name="Accent3 6 2" xfId="434"/>
    <cellStyle name="Accent3 7" xfId="435"/>
    <cellStyle name="Accent3 7 2" xfId="436"/>
    <cellStyle name="Accent3 8" xfId="437"/>
    <cellStyle name="Accent3 8 2" xfId="438"/>
    <cellStyle name="Accent3 9" xfId="439"/>
    <cellStyle name="Accent3 9 2" xfId="440"/>
    <cellStyle name="Accent4 10" xfId="441"/>
    <cellStyle name="Accent4 10 2" xfId="442"/>
    <cellStyle name="Accent4 11" xfId="443"/>
    <cellStyle name="Accent4 11 2" xfId="444"/>
    <cellStyle name="Accent4 12" xfId="445"/>
    <cellStyle name="Accent4 2" xfId="446"/>
    <cellStyle name="Accent4 2 2" xfId="447"/>
    <cellStyle name="Accent4 3" xfId="448"/>
    <cellStyle name="Accent4 3 2" xfId="449"/>
    <cellStyle name="Accent4 4" xfId="450"/>
    <cellStyle name="Accent4 4 2" xfId="451"/>
    <cellStyle name="Accent4 5" xfId="452"/>
    <cellStyle name="Accent4 5 2" xfId="453"/>
    <cellStyle name="Accent4 6" xfId="454"/>
    <cellStyle name="Accent4 6 2" xfId="455"/>
    <cellStyle name="Accent4 7" xfId="456"/>
    <cellStyle name="Accent4 7 2" xfId="457"/>
    <cellStyle name="Accent4 8" xfId="458"/>
    <cellStyle name="Accent4 8 2" xfId="459"/>
    <cellStyle name="Accent4 9" xfId="460"/>
    <cellStyle name="Accent4 9 2" xfId="461"/>
    <cellStyle name="Accent5 10" xfId="462"/>
    <cellStyle name="Accent5 11" xfId="463"/>
    <cellStyle name="Accent5 12" xfId="464"/>
    <cellStyle name="Accent5 2" xfId="465"/>
    <cellStyle name="Accent5 3" xfId="466"/>
    <cellStyle name="Accent5 4" xfId="467"/>
    <cellStyle name="Accent5 5" xfId="468"/>
    <cellStyle name="Accent5 6" xfId="469"/>
    <cellStyle name="Accent5 7" xfId="470"/>
    <cellStyle name="Accent5 8" xfId="471"/>
    <cellStyle name="Accent5 9" xfId="472"/>
    <cellStyle name="Accent6 10" xfId="473"/>
    <cellStyle name="Accent6 10 2" xfId="474"/>
    <cellStyle name="Accent6 11" xfId="475"/>
    <cellStyle name="Accent6 11 2" xfId="476"/>
    <cellStyle name="Accent6 12" xfId="477"/>
    <cellStyle name="Accent6 2" xfId="478"/>
    <cellStyle name="Accent6 2 2" xfId="479"/>
    <cellStyle name="Accent6 3" xfId="480"/>
    <cellStyle name="Accent6 3 2" xfId="481"/>
    <cellStyle name="Accent6 4" xfId="482"/>
    <cellStyle name="Accent6 4 2" xfId="483"/>
    <cellStyle name="Accent6 5" xfId="484"/>
    <cellStyle name="Accent6 5 2" xfId="485"/>
    <cellStyle name="Accent6 6" xfId="486"/>
    <cellStyle name="Accent6 6 2" xfId="487"/>
    <cellStyle name="Accent6 7" xfId="488"/>
    <cellStyle name="Accent6 7 2" xfId="489"/>
    <cellStyle name="Accent6 8" xfId="490"/>
    <cellStyle name="Accent6 8 2" xfId="491"/>
    <cellStyle name="Accent6 9" xfId="492"/>
    <cellStyle name="Accent6 9 2" xfId="493"/>
    <cellStyle name="ÅëÈ­ [0]_±âÅ¸" xfId="494"/>
    <cellStyle name="ÅëÈ­_±âÅ¸" xfId="495"/>
    <cellStyle name="ÄÞ¸¶ [0]_±âÅ¸" xfId="496"/>
    <cellStyle name="ÄÞ¸¶_±âÅ¸" xfId="497"/>
    <cellStyle name="Bad 10" xfId="498"/>
    <cellStyle name="Bad 11" xfId="499"/>
    <cellStyle name="Bad 12" xfId="500"/>
    <cellStyle name="Bad 2" xfId="501"/>
    <cellStyle name="Bad 3" xfId="502"/>
    <cellStyle name="Bad 4" xfId="503"/>
    <cellStyle name="Bad 5" xfId="504"/>
    <cellStyle name="Bad 6" xfId="505"/>
    <cellStyle name="Bad 7" xfId="506"/>
    <cellStyle name="Bad 8" xfId="507"/>
    <cellStyle name="Bad 9" xfId="508"/>
    <cellStyle name="Ç¥ÁØ_¿¬°£´©°è¿¹»ó" xfId="509"/>
    <cellStyle name="Calc Currency (0)" xfId="510"/>
    <cellStyle name="Calc Currency (2)" xfId="511"/>
    <cellStyle name="Calc Percent (0)" xfId="512"/>
    <cellStyle name="Calc Percent (1)" xfId="513"/>
    <cellStyle name="Calc Percent (2)" xfId="514"/>
    <cellStyle name="Calc Units (0)" xfId="515"/>
    <cellStyle name="Calc Units (1)" xfId="516"/>
    <cellStyle name="Calc Units (2)" xfId="517"/>
    <cellStyle name="Calculation 10" xfId="518"/>
    <cellStyle name="Calculation 10 2" xfId="519"/>
    <cellStyle name="Calculation 11" xfId="520"/>
    <cellStyle name="Calculation 11 2" xfId="521"/>
    <cellStyle name="Calculation 12" xfId="522"/>
    <cellStyle name="Calculation 12 2" xfId="523"/>
    <cellStyle name="Calculation 2" xfId="524"/>
    <cellStyle name="Calculation 2 2" xfId="525"/>
    <cellStyle name="Calculation 3" xfId="526"/>
    <cellStyle name="Calculation 3 2" xfId="527"/>
    <cellStyle name="Calculation 4" xfId="528"/>
    <cellStyle name="Calculation 4 2" xfId="529"/>
    <cellStyle name="Calculation 5" xfId="530"/>
    <cellStyle name="Calculation 5 2" xfId="531"/>
    <cellStyle name="Calculation 6" xfId="532"/>
    <cellStyle name="Calculation 6 2" xfId="533"/>
    <cellStyle name="Calculation 7" xfId="534"/>
    <cellStyle name="Calculation 7 2" xfId="535"/>
    <cellStyle name="Calculation 8" xfId="536"/>
    <cellStyle name="Calculation 8 2" xfId="537"/>
    <cellStyle name="Calculation 9" xfId="538"/>
    <cellStyle name="Calculation 9 2" xfId="539"/>
    <cellStyle name="Check Cell 10" xfId="540"/>
    <cellStyle name="Check Cell 10 2" xfId="541"/>
    <cellStyle name="Check Cell 11" xfId="542"/>
    <cellStyle name="Check Cell 11 2" xfId="543"/>
    <cellStyle name="Check Cell 12" xfId="544"/>
    <cellStyle name="Check Cell 2" xfId="545"/>
    <cellStyle name="Check Cell 2 2" xfId="546"/>
    <cellStyle name="Check Cell 3" xfId="547"/>
    <cellStyle name="Check Cell 3 2" xfId="548"/>
    <cellStyle name="Check Cell 4" xfId="549"/>
    <cellStyle name="Check Cell 4 2" xfId="550"/>
    <cellStyle name="Check Cell 5" xfId="551"/>
    <cellStyle name="Check Cell 5 2" xfId="552"/>
    <cellStyle name="Check Cell 6" xfId="553"/>
    <cellStyle name="Check Cell 6 2" xfId="554"/>
    <cellStyle name="Check Cell 7" xfId="555"/>
    <cellStyle name="Check Cell 7 2" xfId="556"/>
    <cellStyle name="Check Cell 8" xfId="557"/>
    <cellStyle name="Check Cell 8 2" xfId="558"/>
    <cellStyle name="Check Cell 9" xfId="559"/>
    <cellStyle name="Check Cell 9 2" xfId="560"/>
    <cellStyle name="Comma" xfId="1" builtinId="3"/>
    <cellStyle name="Comma [0]" xfId="2" builtinId="6"/>
    <cellStyle name="Comma [0] 10" xfId="561"/>
    <cellStyle name="Comma [0] 10 2" xfId="562"/>
    <cellStyle name="Comma [0] 10 2 2" xfId="563"/>
    <cellStyle name="Comma [0] 10 2 2 2" xfId="564"/>
    <cellStyle name="Comma [0] 10 2 3" xfId="565"/>
    <cellStyle name="Comma [0] 10 3" xfId="566"/>
    <cellStyle name="Comma [0] 10 3 2" xfId="567"/>
    <cellStyle name="Comma [0] 10 3 3" xfId="568"/>
    <cellStyle name="Comma [0] 10 4" xfId="569"/>
    <cellStyle name="Comma [0] 10 4 2" xfId="570"/>
    <cellStyle name="Comma [0] 10 4 3" xfId="571"/>
    <cellStyle name="Comma [0] 10 5" xfId="572"/>
    <cellStyle name="Comma [0] 10 5 2" xfId="573"/>
    <cellStyle name="Comma [0] 10 5 3" xfId="574"/>
    <cellStyle name="Comma [0] 10 6" xfId="575"/>
    <cellStyle name="Comma [0] 10 6 2" xfId="576"/>
    <cellStyle name="Comma [0] 10 6 3" xfId="577"/>
    <cellStyle name="Comma [0] 10 7" xfId="578"/>
    <cellStyle name="Comma [0] 10 7 2" xfId="579"/>
    <cellStyle name="Comma [0] 10 7 3" xfId="580"/>
    <cellStyle name="Comma [0] 11" xfId="581"/>
    <cellStyle name="Comma [0] 12" xfId="582"/>
    <cellStyle name="Comma [0] 13" xfId="1465"/>
    <cellStyle name="Comma [0] 2" xfId="583"/>
    <cellStyle name="Comma [0] 2 10" xfId="584"/>
    <cellStyle name="Comma [0] 2 10 2" xfId="585"/>
    <cellStyle name="Comma [0] 2 11" xfId="586"/>
    <cellStyle name="Comma [0] 2 11 2" xfId="587"/>
    <cellStyle name="Comma [0] 2 12" xfId="588"/>
    <cellStyle name="Comma [0] 2 12 2" xfId="589"/>
    <cellStyle name="Comma [0] 2 13" xfId="590"/>
    <cellStyle name="Comma [0] 2 13 2" xfId="591"/>
    <cellStyle name="Comma [0] 2 14" xfId="592"/>
    <cellStyle name="Comma [0] 2 15" xfId="593"/>
    <cellStyle name="Comma [0] 2 15 2" xfId="594"/>
    <cellStyle name="Comma [0] 2 16" xfId="595"/>
    <cellStyle name="Comma [0] 2 17" xfId="596"/>
    <cellStyle name="Comma [0] 2 18" xfId="597"/>
    <cellStyle name="Comma [0] 2 19" xfId="598"/>
    <cellStyle name="Comma [0] 2 2" xfId="599"/>
    <cellStyle name="Comma [0] 2 2 2" xfId="600"/>
    <cellStyle name="Comma [0] 2 2 3" xfId="601"/>
    <cellStyle name="Comma [0] 2 2 4" xfId="602"/>
    <cellStyle name="Comma [0] 2 2 5" xfId="603"/>
    <cellStyle name="Comma [0] 2 2 6" xfId="604"/>
    <cellStyle name="Comma [0] 2 2 7" xfId="605"/>
    <cellStyle name="Comma [0] 2 2 8" xfId="606"/>
    <cellStyle name="Comma [0] 2 2 9" xfId="607"/>
    <cellStyle name="Comma [0] 2 20" xfId="608"/>
    <cellStyle name="Comma [0] 2 3" xfId="609"/>
    <cellStyle name="Comma [0] 2 3 2" xfId="610"/>
    <cellStyle name="Comma [0] 2 4" xfId="611"/>
    <cellStyle name="Comma [0] 2 4 2" xfId="612"/>
    <cellStyle name="Comma [0] 2 5" xfId="613"/>
    <cellStyle name="Comma [0] 2 5 2" xfId="614"/>
    <cellStyle name="Comma [0] 2 6" xfId="615"/>
    <cellStyle name="Comma [0] 2 6 2" xfId="616"/>
    <cellStyle name="Comma [0] 2 7" xfId="617"/>
    <cellStyle name="Comma [0] 2 7 2" xfId="618"/>
    <cellStyle name="Comma [0] 2 8" xfId="619"/>
    <cellStyle name="Comma [0] 2 8 2" xfId="620"/>
    <cellStyle name="Comma [0] 2 9" xfId="621"/>
    <cellStyle name="Comma [0] 2 9 2" xfId="622"/>
    <cellStyle name="Comma [0] 2_Trial Balance Apr11-Mar12 Oil MillA" xfId="623"/>
    <cellStyle name="Comma [0] 21" xfId="624"/>
    <cellStyle name="Comma [0] 21 2" xfId="625"/>
    <cellStyle name="Comma [0] 21 3" xfId="626"/>
    <cellStyle name="Comma [0] 3" xfId="627"/>
    <cellStyle name="Comma [0] 3 2" xfId="628"/>
    <cellStyle name="Comma [0] 3 2 2" xfId="629"/>
    <cellStyle name="Comma [0] 3 3" xfId="630"/>
    <cellStyle name="Comma [0] 3 3 2" xfId="631"/>
    <cellStyle name="Comma [0] 3 4" xfId="632"/>
    <cellStyle name="Comma [0] 3 5" xfId="633"/>
    <cellStyle name="Comma [0] 3 5 2" xfId="634"/>
    <cellStyle name="Comma [0] 3 6" xfId="635"/>
    <cellStyle name="Comma [0] 4" xfId="636"/>
    <cellStyle name="Comma [0] 4 2" xfId="637"/>
    <cellStyle name="Comma [0] 4 3" xfId="638"/>
    <cellStyle name="Comma [0] 4 4" xfId="639"/>
    <cellStyle name="Comma [0] 4 5" xfId="640"/>
    <cellStyle name="Comma [0] 5" xfId="641"/>
    <cellStyle name="Comma [0] 5 2" xfId="642"/>
    <cellStyle name="Comma [0] 5 2 2" xfId="643"/>
    <cellStyle name="Comma [0] 5 2 3" xfId="644"/>
    <cellStyle name="Comma [0] 5 3" xfId="645"/>
    <cellStyle name="Comma [0] 5 4" xfId="646"/>
    <cellStyle name="Comma [0] 6" xfId="647"/>
    <cellStyle name="Comma [0] 6 2" xfId="648"/>
    <cellStyle name="Comma [0] 6 2 2" xfId="649"/>
    <cellStyle name="Comma [0] 6 2 3" xfId="650"/>
    <cellStyle name="Comma [0] 6 2 4" xfId="651"/>
    <cellStyle name="Comma [0] 6 2 5" xfId="652"/>
    <cellStyle name="Comma [0] 6 3" xfId="653"/>
    <cellStyle name="Comma [0] 6 4" xfId="654"/>
    <cellStyle name="Comma [0] 7" xfId="655"/>
    <cellStyle name="Comma [0] 7 2" xfId="656"/>
    <cellStyle name="Comma [0] 8" xfId="657"/>
    <cellStyle name="Comma [0] 8 2" xfId="658"/>
    <cellStyle name="Comma [0] 9" xfId="659"/>
    <cellStyle name="Comma [00]" xfId="660"/>
    <cellStyle name="Comma 10" xfId="661"/>
    <cellStyle name="Comma 10 10" xfId="662"/>
    <cellStyle name="Comma 10 10 2" xfId="663"/>
    <cellStyle name="Comma 10 10 3" xfId="664"/>
    <cellStyle name="Comma 10 11" xfId="665"/>
    <cellStyle name="Comma 10 11 2" xfId="666"/>
    <cellStyle name="Comma 10 11 3" xfId="667"/>
    <cellStyle name="Comma 10 12" xfId="668"/>
    <cellStyle name="Comma 10 12 2" xfId="669"/>
    <cellStyle name="Comma 10 12 3" xfId="670"/>
    <cellStyle name="Comma 10 13" xfId="671"/>
    <cellStyle name="Comma 10 13 2" xfId="672"/>
    <cellStyle name="Comma 10 13 3" xfId="673"/>
    <cellStyle name="Comma 10 14" xfId="674"/>
    <cellStyle name="Comma 10 14 2" xfId="675"/>
    <cellStyle name="Comma 10 14 3" xfId="676"/>
    <cellStyle name="Comma 10 15" xfId="677"/>
    <cellStyle name="Comma 10 15 2" xfId="678"/>
    <cellStyle name="Comma 10 15 3" xfId="679"/>
    <cellStyle name="Comma 10 16" xfId="680"/>
    <cellStyle name="Comma 10 17" xfId="681"/>
    <cellStyle name="Comma 10 2" xfId="682"/>
    <cellStyle name="Comma 10 2 2" xfId="683"/>
    <cellStyle name="Comma 10 2 3" xfId="684"/>
    <cellStyle name="Comma 10 3" xfId="685"/>
    <cellStyle name="Comma 10 3 2" xfId="686"/>
    <cellStyle name="Comma 10 3 3" xfId="687"/>
    <cellStyle name="Comma 10 4" xfId="688"/>
    <cellStyle name="Comma 10 4 2" xfId="689"/>
    <cellStyle name="Comma 10 4 3" xfId="690"/>
    <cellStyle name="Comma 10 5" xfId="691"/>
    <cellStyle name="Comma 10 5 2" xfId="692"/>
    <cellStyle name="Comma 10 5 3" xfId="693"/>
    <cellStyle name="Comma 10 6" xfId="694"/>
    <cellStyle name="Comma 10 6 2" xfId="695"/>
    <cellStyle name="Comma 10 6 3" xfId="696"/>
    <cellStyle name="Comma 10 7" xfId="697"/>
    <cellStyle name="Comma 10 7 2" xfId="698"/>
    <cellStyle name="Comma 10 7 3" xfId="699"/>
    <cellStyle name="Comma 10 8" xfId="700"/>
    <cellStyle name="Comma 10 8 2" xfId="701"/>
    <cellStyle name="Comma 10 8 3" xfId="702"/>
    <cellStyle name="Comma 10 9" xfId="703"/>
    <cellStyle name="Comma 10 9 2" xfId="704"/>
    <cellStyle name="Comma 10 9 3" xfId="705"/>
    <cellStyle name="Comma 11" xfId="706"/>
    <cellStyle name="Comma 11 10" xfId="707"/>
    <cellStyle name="Comma 11 10 2" xfId="708"/>
    <cellStyle name="Comma 11 10 3" xfId="709"/>
    <cellStyle name="Comma 11 11" xfId="710"/>
    <cellStyle name="Comma 11 11 2" xfId="711"/>
    <cellStyle name="Comma 11 11 3" xfId="712"/>
    <cellStyle name="Comma 11 12" xfId="713"/>
    <cellStyle name="Comma 11 12 2" xfId="714"/>
    <cellStyle name="Comma 11 12 3" xfId="715"/>
    <cellStyle name="Comma 11 13" xfId="716"/>
    <cellStyle name="Comma 11 13 2" xfId="717"/>
    <cellStyle name="Comma 11 13 3" xfId="718"/>
    <cellStyle name="Comma 11 14" xfId="719"/>
    <cellStyle name="Comma 11 14 2" xfId="720"/>
    <cellStyle name="Comma 11 14 3" xfId="721"/>
    <cellStyle name="Comma 11 15" xfId="722"/>
    <cellStyle name="Comma 11 15 2" xfId="723"/>
    <cellStyle name="Comma 11 15 3" xfId="724"/>
    <cellStyle name="Comma 11 16" xfId="725"/>
    <cellStyle name="Comma 11 17" xfId="726"/>
    <cellStyle name="Comma 11 18" xfId="727"/>
    <cellStyle name="Comma 11 2" xfId="728"/>
    <cellStyle name="Comma 11 2 2" xfId="729"/>
    <cellStyle name="Comma 11 2 3" xfId="730"/>
    <cellStyle name="Comma 11 2 4" xfId="731"/>
    <cellStyle name="Comma 11 3" xfId="732"/>
    <cellStyle name="Comma 11 3 2" xfId="733"/>
    <cellStyle name="Comma 11 3 3" xfId="734"/>
    <cellStyle name="Comma 11 4" xfId="735"/>
    <cellStyle name="Comma 11 4 2" xfId="736"/>
    <cellStyle name="Comma 11 4 3" xfId="737"/>
    <cellStyle name="Comma 11 5" xfId="738"/>
    <cellStyle name="Comma 11 5 2" xfId="739"/>
    <cellStyle name="Comma 11 5 3" xfId="740"/>
    <cellStyle name="Comma 11 6" xfId="741"/>
    <cellStyle name="Comma 11 6 2" xfId="742"/>
    <cellStyle name="Comma 11 6 3" xfId="743"/>
    <cellStyle name="Comma 11 7" xfId="744"/>
    <cellStyle name="Comma 11 7 2" xfId="745"/>
    <cellStyle name="Comma 11 7 3" xfId="746"/>
    <cellStyle name="Comma 11 8" xfId="747"/>
    <cellStyle name="Comma 11 8 2" xfId="748"/>
    <cellStyle name="Comma 11 8 3" xfId="749"/>
    <cellStyle name="Comma 11 9" xfId="750"/>
    <cellStyle name="Comma 11 9 2" xfId="751"/>
    <cellStyle name="Comma 11 9 3" xfId="752"/>
    <cellStyle name="Comma 12" xfId="753"/>
    <cellStyle name="Comma 12 10" xfId="754"/>
    <cellStyle name="Comma 12 10 2" xfId="755"/>
    <cellStyle name="Comma 12 10 3" xfId="756"/>
    <cellStyle name="Comma 12 11" xfId="757"/>
    <cellStyle name="Comma 12 11 2" xfId="758"/>
    <cellStyle name="Comma 12 11 3" xfId="759"/>
    <cellStyle name="Comma 12 12" xfId="760"/>
    <cellStyle name="Comma 12 12 2" xfId="761"/>
    <cellStyle name="Comma 12 12 3" xfId="762"/>
    <cellStyle name="Comma 12 13" xfId="763"/>
    <cellStyle name="Comma 12 13 2" xfId="764"/>
    <cellStyle name="Comma 12 13 3" xfId="765"/>
    <cellStyle name="Comma 12 14" xfId="766"/>
    <cellStyle name="Comma 12 14 2" xfId="767"/>
    <cellStyle name="Comma 12 14 3" xfId="768"/>
    <cellStyle name="Comma 12 15" xfId="769"/>
    <cellStyle name="Comma 12 15 2" xfId="770"/>
    <cellStyle name="Comma 12 15 3" xfId="771"/>
    <cellStyle name="Comma 12 16" xfId="772"/>
    <cellStyle name="Comma 12 17" xfId="773"/>
    <cellStyle name="Comma 12 18" xfId="774"/>
    <cellStyle name="Comma 12 2" xfId="775"/>
    <cellStyle name="Comma 12 2 2" xfId="776"/>
    <cellStyle name="Comma 12 2 3" xfId="777"/>
    <cellStyle name="Comma 12 2 4" xfId="778"/>
    <cellStyle name="Comma 12 3" xfId="779"/>
    <cellStyle name="Comma 12 3 2" xfId="780"/>
    <cellStyle name="Comma 12 3 3" xfId="781"/>
    <cellStyle name="Comma 12 4" xfId="782"/>
    <cellStyle name="Comma 12 4 2" xfId="783"/>
    <cellStyle name="Comma 12 4 3" xfId="784"/>
    <cellStyle name="Comma 12 5" xfId="785"/>
    <cellStyle name="Comma 12 5 2" xfId="786"/>
    <cellStyle name="Comma 12 5 3" xfId="787"/>
    <cellStyle name="Comma 12 6" xfId="788"/>
    <cellStyle name="Comma 12 6 2" xfId="789"/>
    <cellStyle name="Comma 12 6 3" xfId="790"/>
    <cellStyle name="Comma 12 7" xfId="791"/>
    <cellStyle name="Comma 12 7 2" xfId="792"/>
    <cellStyle name="Comma 12 7 3" xfId="793"/>
    <cellStyle name="Comma 12 8" xfId="794"/>
    <cellStyle name="Comma 12 8 2" xfId="795"/>
    <cellStyle name="Comma 12 8 3" xfId="796"/>
    <cellStyle name="Comma 12 9" xfId="797"/>
    <cellStyle name="Comma 12 9 2" xfId="798"/>
    <cellStyle name="Comma 12 9 3" xfId="799"/>
    <cellStyle name="Comma 13" xfId="800"/>
    <cellStyle name="Comma 13 2" xfId="801"/>
    <cellStyle name="Comma 14" xfId="802"/>
    <cellStyle name="Comma 14 2" xfId="803"/>
    <cellStyle name="Comma 14 3" xfId="804"/>
    <cellStyle name="Comma 15" xfId="805"/>
    <cellStyle name="Comma 15 2" xfId="806"/>
    <cellStyle name="Comma 15 3" xfId="807"/>
    <cellStyle name="Comma 16" xfId="808"/>
    <cellStyle name="Comma 16 2" xfId="809"/>
    <cellStyle name="Comma 16 3" xfId="810"/>
    <cellStyle name="Comma 17" xfId="811"/>
    <cellStyle name="Comma 17 2" xfId="812"/>
    <cellStyle name="Comma 17 3" xfId="813"/>
    <cellStyle name="Comma 17 4" xfId="814"/>
    <cellStyle name="Comma 17 5" xfId="815"/>
    <cellStyle name="Comma 17 6" xfId="816"/>
    <cellStyle name="Comma 18" xfId="817"/>
    <cellStyle name="Comma 18 2" xfId="818"/>
    <cellStyle name="Comma 18 2 2" xfId="819"/>
    <cellStyle name="Comma 18 2 3" xfId="820"/>
    <cellStyle name="Comma 18 2 4" xfId="821"/>
    <cellStyle name="Comma 18 3" xfId="822"/>
    <cellStyle name="Comma 19" xfId="823"/>
    <cellStyle name="Comma 19 2" xfId="824"/>
    <cellStyle name="Comma 19 2 2" xfId="825"/>
    <cellStyle name="Comma 19 2 3" xfId="826"/>
    <cellStyle name="Comma 19 2 4" xfId="827"/>
    <cellStyle name="Comma 19 3" xfId="828"/>
    <cellStyle name="Comma 2" xfId="829"/>
    <cellStyle name="Comma 2 10" xfId="830"/>
    <cellStyle name="Comma 2 2" xfId="831"/>
    <cellStyle name="Comma 2 2 2" xfId="832"/>
    <cellStyle name="Comma 2 2 3" xfId="833"/>
    <cellStyle name="Comma 2 2 4" xfId="834"/>
    <cellStyle name="Comma 2 2 4 2" xfId="835"/>
    <cellStyle name="Comma 2 3" xfId="836"/>
    <cellStyle name="Comma 2 3 2" xfId="837"/>
    <cellStyle name="Comma 2 3 3" xfId="838"/>
    <cellStyle name="Comma 2 4" xfId="839"/>
    <cellStyle name="Comma 2 4 2" xfId="840"/>
    <cellStyle name="Comma 2 5" xfId="841"/>
    <cellStyle name="Comma 2 5 3" xfId="842"/>
    <cellStyle name="Comma 2 6" xfId="843"/>
    <cellStyle name="Comma 2 6 2 2" xfId="844"/>
    <cellStyle name="Comma 2 7" xfId="845"/>
    <cellStyle name="Comma 2 8" xfId="846"/>
    <cellStyle name="Comma 2 9" xfId="847"/>
    <cellStyle name="Comma 20" xfId="848"/>
    <cellStyle name="Comma 20 2" xfId="849"/>
    <cellStyle name="Comma 20 2 2" xfId="850"/>
    <cellStyle name="Comma 20 2 3" xfId="851"/>
    <cellStyle name="Comma 21" xfId="852"/>
    <cellStyle name="Comma 21 2" xfId="853"/>
    <cellStyle name="Comma 21 3" xfId="854"/>
    <cellStyle name="Comma 22" xfId="855"/>
    <cellStyle name="Comma 22 2" xfId="856"/>
    <cellStyle name="Comma 22 3" xfId="857"/>
    <cellStyle name="Comma 23" xfId="858"/>
    <cellStyle name="Comma 23 2" xfId="859"/>
    <cellStyle name="Comma 23 3" xfId="860"/>
    <cellStyle name="Comma 24" xfId="861"/>
    <cellStyle name="Comma 24 2" xfId="862"/>
    <cellStyle name="Comma 24 3" xfId="863"/>
    <cellStyle name="Comma 25" xfId="864"/>
    <cellStyle name="Comma 3" xfId="865"/>
    <cellStyle name="Comma 3 10" xfId="866"/>
    <cellStyle name="Comma 3 10 2" xfId="867"/>
    <cellStyle name="Comma 3 11" xfId="868"/>
    <cellStyle name="Comma 3 12" xfId="869"/>
    <cellStyle name="Comma 3 13" xfId="870"/>
    <cellStyle name="Comma 3 2" xfId="871"/>
    <cellStyle name="Comma 3 2 10" xfId="872"/>
    <cellStyle name="Comma 3 2 2" xfId="873"/>
    <cellStyle name="Comma 3 2 3" xfId="874"/>
    <cellStyle name="Comma 3 2 4" xfId="875"/>
    <cellStyle name="Comma 3 2 5" xfId="876"/>
    <cellStyle name="Comma 3 2 6" xfId="877"/>
    <cellStyle name="Comma 3 2 7" xfId="878"/>
    <cellStyle name="Comma 3 2 8" xfId="879"/>
    <cellStyle name="Comma 3 2 9" xfId="880"/>
    <cellStyle name="Comma 3 3" xfId="881"/>
    <cellStyle name="Comma 3 3 2" xfId="882"/>
    <cellStyle name="Comma 3 3 3" xfId="883"/>
    <cellStyle name="Comma 3 4" xfId="884"/>
    <cellStyle name="Comma 3 4 2" xfId="885"/>
    <cellStyle name="Comma 3 4 3" xfId="886"/>
    <cellStyle name="Comma 3 5" xfId="887"/>
    <cellStyle name="Comma 3 5 2" xfId="888"/>
    <cellStyle name="Comma 3 5 3" xfId="889"/>
    <cellStyle name="Comma 3 6" xfId="890"/>
    <cellStyle name="Comma 3 6 2" xfId="891"/>
    <cellStyle name="Comma 3 7" xfId="892"/>
    <cellStyle name="Comma 3 7 2" xfId="893"/>
    <cellStyle name="Comma 3 8" xfId="894"/>
    <cellStyle name="Comma 3 8 2" xfId="895"/>
    <cellStyle name="Comma 3 9" xfId="896"/>
    <cellStyle name="Comma 3 9 2" xfId="897"/>
    <cellStyle name="Comma 3_Trial Balance Apr11-Mar12 Oil MillA" xfId="898"/>
    <cellStyle name="Comma 4" xfId="899"/>
    <cellStyle name="Comma 4 10" xfId="900"/>
    <cellStyle name="Comma 4 10 2" xfId="901"/>
    <cellStyle name="Comma 4 10 3" xfId="902"/>
    <cellStyle name="Comma 4 11" xfId="903"/>
    <cellStyle name="Comma 4 2" xfId="904"/>
    <cellStyle name="Comma 4 2 2" xfId="905"/>
    <cellStyle name="Comma 4 2 3" xfId="906"/>
    <cellStyle name="Comma 4 2 4" xfId="907"/>
    <cellStyle name="Comma 4 3" xfId="908"/>
    <cellStyle name="Comma 4 3 2" xfId="909"/>
    <cellStyle name="Comma 4 4" xfId="910"/>
    <cellStyle name="Comma 4 4 2" xfId="911"/>
    <cellStyle name="Comma 4 4 3" xfId="912"/>
    <cellStyle name="Comma 4 5" xfId="913"/>
    <cellStyle name="Comma 4 5 2" xfId="914"/>
    <cellStyle name="Comma 4 5 3" xfId="915"/>
    <cellStyle name="Comma 4 6" xfId="916"/>
    <cellStyle name="Comma 4 6 2" xfId="917"/>
    <cellStyle name="Comma 4 6 3" xfId="918"/>
    <cellStyle name="Comma 4 7" xfId="919"/>
    <cellStyle name="Comma 4 7 2" xfId="920"/>
    <cellStyle name="Comma 4 7 3" xfId="921"/>
    <cellStyle name="Comma 4 8" xfId="922"/>
    <cellStyle name="Comma 4 8 2" xfId="923"/>
    <cellStyle name="Comma 4 8 3" xfId="924"/>
    <cellStyle name="Comma 4 9" xfId="925"/>
    <cellStyle name="Comma 4 9 2" xfId="926"/>
    <cellStyle name="Comma 4 9 3" xfId="927"/>
    <cellStyle name="Comma 5" xfId="928"/>
    <cellStyle name="Comma 5 2" xfId="929"/>
    <cellStyle name="Comma 5 2 2" xfId="930"/>
    <cellStyle name="Comma 5 2 3" xfId="931"/>
    <cellStyle name="Comma 5 3" xfId="932"/>
    <cellStyle name="Comma 5 3 2" xfId="933"/>
    <cellStyle name="Comma 5 4" xfId="934"/>
    <cellStyle name="Comma 6" xfId="935"/>
    <cellStyle name="Comma 6 10" xfId="936"/>
    <cellStyle name="Comma 6 10 2" xfId="937"/>
    <cellStyle name="Comma 6 10 3" xfId="938"/>
    <cellStyle name="Comma 6 11" xfId="939"/>
    <cellStyle name="Comma 6 11 2" xfId="940"/>
    <cellStyle name="Comma 6 11 3" xfId="941"/>
    <cellStyle name="Comma 6 12" xfId="942"/>
    <cellStyle name="Comma 6 12 2" xfId="943"/>
    <cellStyle name="Comma 6 12 3" xfId="944"/>
    <cellStyle name="Comma 6 13" xfId="945"/>
    <cellStyle name="Comma 6 13 2" xfId="946"/>
    <cellStyle name="Comma 6 13 3" xfId="947"/>
    <cellStyle name="Comma 6 14" xfId="948"/>
    <cellStyle name="Comma 6 14 2" xfId="949"/>
    <cellStyle name="Comma 6 14 3" xfId="950"/>
    <cellStyle name="Comma 6 15" xfId="951"/>
    <cellStyle name="Comma 6 15 2" xfId="952"/>
    <cellStyle name="Comma 6 15 3" xfId="953"/>
    <cellStyle name="Comma 6 16" xfId="954"/>
    <cellStyle name="Comma 6 17" xfId="955"/>
    <cellStyle name="Comma 6 18" xfId="956"/>
    <cellStyle name="Comma 6 2" xfId="957"/>
    <cellStyle name="Comma 6 2 2" xfId="958"/>
    <cellStyle name="Comma 6 2 3" xfId="959"/>
    <cellStyle name="Comma 6 2 3 2" xfId="960"/>
    <cellStyle name="Comma 6 2 4" xfId="961"/>
    <cellStyle name="Comma 6 3" xfId="962"/>
    <cellStyle name="Comma 6 3 2" xfId="963"/>
    <cellStyle name="Comma 6 3 3" xfId="964"/>
    <cellStyle name="Comma 6 4" xfId="965"/>
    <cellStyle name="Comma 6 4 2" xfId="966"/>
    <cellStyle name="Comma 6 4 3" xfId="967"/>
    <cellStyle name="Comma 6 5" xfId="968"/>
    <cellStyle name="Comma 6 5 2" xfId="969"/>
    <cellStyle name="Comma 6 5 3" xfId="970"/>
    <cellStyle name="Comma 6 6" xfId="971"/>
    <cellStyle name="Comma 6 6 2" xfId="972"/>
    <cellStyle name="Comma 6 6 3" xfId="973"/>
    <cellStyle name="Comma 6 7" xfId="974"/>
    <cellStyle name="Comma 6 7 2" xfId="975"/>
    <cellStyle name="Comma 6 7 3" xfId="976"/>
    <cellStyle name="Comma 6 8" xfId="977"/>
    <cellStyle name="Comma 6 8 2" xfId="978"/>
    <cellStyle name="Comma 6 8 3" xfId="979"/>
    <cellStyle name="Comma 6 9" xfId="980"/>
    <cellStyle name="Comma 6 9 2" xfId="981"/>
    <cellStyle name="Comma 6 9 3" xfId="982"/>
    <cellStyle name="Comma 7" xfId="983"/>
    <cellStyle name="Comma 7 2" xfId="984"/>
    <cellStyle name="Comma 7 2 2" xfId="985"/>
    <cellStyle name="Comma 7 2 3" xfId="986"/>
    <cellStyle name="Comma 8" xfId="987"/>
    <cellStyle name="Comma 8 2" xfId="988"/>
    <cellStyle name="Comma 9" xfId="989"/>
    <cellStyle name="Comma 9 2" xfId="990"/>
    <cellStyle name="Comma 9 3" xfId="991"/>
    <cellStyle name="Comma 9 3 2" xfId="992"/>
    <cellStyle name="Comma 9 4" xfId="993"/>
    <cellStyle name="Currency (0.00)" xfId="994"/>
    <cellStyle name="Currency (0.00) 2" xfId="995"/>
    <cellStyle name="Currency [0] 2" xfId="996"/>
    <cellStyle name="Currency [0] 3" xfId="997"/>
    <cellStyle name="Currency [0] 4" xfId="998"/>
    <cellStyle name="Currency [00]" xfId="999"/>
    <cellStyle name="Currency 2" xfId="1000"/>
    <cellStyle name="Date Short" xfId="1001"/>
    <cellStyle name="Enter Currency (0)" xfId="1002"/>
    <cellStyle name="Enter Currency (2)" xfId="1003"/>
    <cellStyle name="Enter Units (0)" xfId="1004"/>
    <cellStyle name="Enter Units (1)" xfId="1005"/>
    <cellStyle name="Enter Units (2)" xfId="1006"/>
    <cellStyle name="Excel Built-in Comma" xfId="1007"/>
    <cellStyle name="Excel Built-in Comma [0]" xfId="1008"/>
    <cellStyle name="Excel Built-in Normal" xfId="1009"/>
    <cellStyle name="Excel Built-in Normal 2" xfId="1010"/>
    <cellStyle name="Excel Built-in Normal 3" xfId="1011"/>
    <cellStyle name="Explanatory Text 10" xfId="1012"/>
    <cellStyle name="Explanatory Text 11" xfId="1013"/>
    <cellStyle name="Explanatory Text 2" xfId="1014"/>
    <cellStyle name="Explanatory Text 3" xfId="1015"/>
    <cellStyle name="Explanatory Text 4" xfId="1016"/>
    <cellStyle name="Explanatory Text 5" xfId="1017"/>
    <cellStyle name="Explanatory Text 6" xfId="1018"/>
    <cellStyle name="Explanatory Text 7" xfId="1019"/>
    <cellStyle name="Explanatory Text 8" xfId="1020"/>
    <cellStyle name="Explanatory Text 9" xfId="1021"/>
    <cellStyle name="Good 10" xfId="1022"/>
    <cellStyle name="Good 11" xfId="1023"/>
    <cellStyle name="Good 2" xfId="1024"/>
    <cellStyle name="Good 3" xfId="1025"/>
    <cellStyle name="Good 4" xfId="1026"/>
    <cellStyle name="Good 5" xfId="1027"/>
    <cellStyle name="Good 6" xfId="1028"/>
    <cellStyle name="Good 7" xfId="1029"/>
    <cellStyle name="Good 8" xfId="1030"/>
    <cellStyle name="Good 9" xfId="1031"/>
    <cellStyle name="Grey" xfId="1032"/>
    <cellStyle name="Header1" xfId="1033"/>
    <cellStyle name="Header2" xfId="1034"/>
    <cellStyle name="Header2 2" xfId="1035"/>
    <cellStyle name="Heading 1 10" xfId="1036"/>
    <cellStyle name="Heading 1 11" xfId="1037"/>
    <cellStyle name="Heading 1 12" xfId="1038"/>
    <cellStyle name="Heading 1 2" xfId="1039"/>
    <cellStyle name="Heading 1 3" xfId="1040"/>
    <cellStyle name="Heading 1 4" xfId="1041"/>
    <cellStyle name="Heading 1 5" xfId="1042"/>
    <cellStyle name="Heading 1 6" xfId="1043"/>
    <cellStyle name="Heading 1 7" xfId="1044"/>
    <cellStyle name="Heading 1 8" xfId="1045"/>
    <cellStyle name="Heading 1 9" xfId="1046"/>
    <cellStyle name="Heading 2 10" xfId="1047"/>
    <cellStyle name="Heading 2 11" xfId="1048"/>
    <cellStyle name="Heading 2 12" xfId="1049"/>
    <cellStyle name="Heading 2 2" xfId="1050"/>
    <cellStyle name="Heading 2 3" xfId="1051"/>
    <cellStyle name="Heading 2 4" xfId="1052"/>
    <cellStyle name="Heading 2 5" xfId="1053"/>
    <cellStyle name="Heading 2 6" xfId="1054"/>
    <cellStyle name="Heading 2 7" xfId="1055"/>
    <cellStyle name="Heading 2 8" xfId="1056"/>
    <cellStyle name="Heading 2 9" xfId="1057"/>
    <cellStyle name="Heading 3 10" xfId="1058"/>
    <cellStyle name="Heading 3 11" xfId="1059"/>
    <cellStyle name="Heading 3 12" xfId="1060"/>
    <cellStyle name="Heading 3 2" xfId="1061"/>
    <cellStyle name="Heading 3 3" xfId="1062"/>
    <cellStyle name="Heading 3 4" xfId="1063"/>
    <cellStyle name="Heading 3 5" xfId="1064"/>
    <cellStyle name="Heading 3 6" xfId="1065"/>
    <cellStyle name="Heading 3 7" xfId="1066"/>
    <cellStyle name="Heading 3 8" xfId="1067"/>
    <cellStyle name="Heading 3 9" xfId="1068"/>
    <cellStyle name="Heading 4 10" xfId="1069"/>
    <cellStyle name="Heading 4 11" xfId="1070"/>
    <cellStyle name="Heading 4 12" xfId="1071"/>
    <cellStyle name="Heading 4 2" xfId="1072"/>
    <cellStyle name="Heading 4 3" xfId="1073"/>
    <cellStyle name="Heading 4 4" xfId="1074"/>
    <cellStyle name="Heading 4 5" xfId="1075"/>
    <cellStyle name="Heading 4 6" xfId="1076"/>
    <cellStyle name="Heading 4 7" xfId="1077"/>
    <cellStyle name="Heading 4 8" xfId="1078"/>
    <cellStyle name="Heading 4 9" xfId="1079"/>
    <cellStyle name="Input [yellow]" xfId="1080"/>
    <cellStyle name="Input [yellow] 2" xfId="1081"/>
    <cellStyle name="Input 10" xfId="1082"/>
    <cellStyle name="Input 10 2" xfId="1083"/>
    <cellStyle name="Input 10 2 2" xfId="1084"/>
    <cellStyle name="Input 10 3" xfId="1085"/>
    <cellStyle name="Input 11" xfId="1086"/>
    <cellStyle name="Input 11 2" xfId="1087"/>
    <cellStyle name="Input 11 2 2" xfId="1088"/>
    <cellStyle name="Input 11 3" xfId="1089"/>
    <cellStyle name="Input 12" xfId="1090"/>
    <cellStyle name="Input 12 2" xfId="1091"/>
    <cellStyle name="Input 2" xfId="1092"/>
    <cellStyle name="Input 2 2" xfId="1093"/>
    <cellStyle name="Input 2 2 2" xfId="1094"/>
    <cellStyle name="Input 2 3" xfId="1095"/>
    <cellStyle name="Input 3" xfId="1096"/>
    <cellStyle name="Input 3 2" xfId="1097"/>
    <cellStyle name="Input 3 2 2" xfId="1098"/>
    <cellStyle name="Input 3 3" xfId="1099"/>
    <cellStyle name="Input 4" xfId="1100"/>
    <cellStyle name="Input 4 2" xfId="1101"/>
    <cellStyle name="Input 4 2 2" xfId="1102"/>
    <cellStyle name="Input 4 3" xfId="1103"/>
    <cellStyle name="Input 5" xfId="1104"/>
    <cellStyle name="Input 5 2" xfId="1105"/>
    <cellStyle name="Input 5 2 2" xfId="1106"/>
    <cellStyle name="Input 5 3" xfId="1107"/>
    <cellStyle name="Input 6" xfId="1108"/>
    <cellStyle name="Input 6 2" xfId="1109"/>
    <cellStyle name="Input 6 2 2" xfId="1110"/>
    <cellStyle name="Input 6 3" xfId="1111"/>
    <cellStyle name="Input 7" xfId="1112"/>
    <cellStyle name="Input 7 2" xfId="1113"/>
    <cellStyle name="Input 7 2 2" xfId="1114"/>
    <cellStyle name="Input 7 3" xfId="1115"/>
    <cellStyle name="Input 8" xfId="1116"/>
    <cellStyle name="Input 8 2" xfId="1117"/>
    <cellStyle name="Input 8 2 2" xfId="1118"/>
    <cellStyle name="Input 8 3" xfId="1119"/>
    <cellStyle name="Input 9" xfId="1120"/>
    <cellStyle name="Input 9 2" xfId="1121"/>
    <cellStyle name="Input 9 2 2" xfId="1122"/>
    <cellStyle name="Input 9 3" xfId="1123"/>
    <cellStyle name="Link Currency (0)" xfId="1124"/>
    <cellStyle name="Link Currency (2)" xfId="1125"/>
    <cellStyle name="Link Units (0)" xfId="1126"/>
    <cellStyle name="Link Units (1)" xfId="1127"/>
    <cellStyle name="Link Units (2)" xfId="1128"/>
    <cellStyle name="Linked Cell 10" xfId="1129"/>
    <cellStyle name="Linked Cell 11" xfId="1130"/>
    <cellStyle name="Linked Cell 2" xfId="1131"/>
    <cellStyle name="Linked Cell 3" xfId="1132"/>
    <cellStyle name="Linked Cell 4" xfId="1133"/>
    <cellStyle name="Linked Cell 5" xfId="1134"/>
    <cellStyle name="Linked Cell 6" xfId="1135"/>
    <cellStyle name="Linked Cell 7" xfId="1136"/>
    <cellStyle name="Linked Cell 8" xfId="1137"/>
    <cellStyle name="Linked Cell 9" xfId="1138"/>
    <cellStyle name="Neutral 10" xfId="1139"/>
    <cellStyle name="Neutral 11" xfId="1140"/>
    <cellStyle name="Neutral 12" xfId="1141"/>
    <cellStyle name="Neutral 2" xfId="1142"/>
    <cellStyle name="Neutral 3" xfId="1143"/>
    <cellStyle name="Neutral 4" xfId="1144"/>
    <cellStyle name="Neutral 5" xfId="1145"/>
    <cellStyle name="Neutral 6" xfId="1146"/>
    <cellStyle name="Neutral 7" xfId="1147"/>
    <cellStyle name="Neutral 8" xfId="1148"/>
    <cellStyle name="Neutral 9" xfId="1149"/>
    <cellStyle name="Normal" xfId="0" builtinId="0"/>
    <cellStyle name="Normal - Style1" xfId="1150"/>
    <cellStyle name="Normal 10" xfId="1151"/>
    <cellStyle name="Normal 10 2" xfId="1152"/>
    <cellStyle name="Normal 10 2 2" xfId="1153"/>
    <cellStyle name="Normal 11" xfId="1154"/>
    <cellStyle name="Normal 11 2" xfId="1155"/>
    <cellStyle name="Normal 11 3" xfId="1156"/>
    <cellStyle name="Normal 12" xfId="1157"/>
    <cellStyle name="Normal 12 2" xfId="1158"/>
    <cellStyle name="Normal 12 3" xfId="1159"/>
    <cellStyle name="Normal 13" xfId="1160"/>
    <cellStyle name="Normal 13 2" xfId="1161"/>
    <cellStyle name="Normal 13 2 2" xfId="1162"/>
    <cellStyle name="Normal 13 2 2 2" xfId="1163"/>
    <cellStyle name="Normal 13 3" xfId="1164"/>
    <cellStyle name="Normal 14" xfId="1165"/>
    <cellStyle name="Normal 14 2" xfId="1166"/>
    <cellStyle name="Normal 14 3" xfId="1167"/>
    <cellStyle name="Normal 15" xfId="1168"/>
    <cellStyle name="Normal 16" xfId="1169"/>
    <cellStyle name="Normal 16 2" xfId="1170"/>
    <cellStyle name="Normal 17" xfId="1171"/>
    <cellStyle name="Normal 18" xfId="1172"/>
    <cellStyle name="Normal 2" xfId="1173"/>
    <cellStyle name="Normal 2 10" xfId="1174"/>
    <cellStyle name="Normal 2 10 2" xfId="1175"/>
    <cellStyle name="Normal 2 10 2 2" xfId="1176"/>
    <cellStyle name="Normal 2 11" xfId="1177"/>
    <cellStyle name="Normal 2 11 2" xfId="1178"/>
    <cellStyle name="Normal 2 11 3 2 3" xfId="1179"/>
    <cellStyle name="Normal 2 12" xfId="1180"/>
    <cellStyle name="Normal 2 13" xfId="1181"/>
    <cellStyle name="Normal 2 14" xfId="1182"/>
    <cellStyle name="Normal 2 16" xfId="1183"/>
    <cellStyle name="Normal 2 2" xfId="1184"/>
    <cellStyle name="Normal 2 2 10" xfId="1185"/>
    <cellStyle name="Normal 2 2 11" xfId="1186"/>
    <cellStyle name="Normal 2 2 2" xfId="1187"/>
    <cellStyle name="Normal 2 2 2 2" xfId="1188"/>
    <cellStyle name="Normal 2 2 3" xfId="1189"/>
    <cellStyle name="Normal 2 2 4" xfId="1190"/>
    <cellStyle name="Normal 2 2 5" xfId="1191"/>
    <cellStyle name="Normal 2 2 6" xfId="1192"/>
    <cellStyle name="Normal 2 2 7" xfId="1193"/>
    <cellStyle name="Normal 2 2 8" xfId="1194"/>
    <cellStyle name="Normal 2 2 9" xfId="1195"/>
    <cellStyle name="Normal 2 3" xfId="1196"/>
    <cellStyle name="Normal 2 3 2" xfId="1197"/>
    <cellStyle name="Normal 2 4" xfId="1198"/>
    <cellStyle name="Normal 2 4 2" xfId="1199"/>
    <cellStyle name="Normal 2 4 2 2" xfId="1200"/>
    <cellStyle name="Normal 2 4 2 3" xfId="1201"/>
    <cellStyle name="Normal 2 5" xfId="1202"/>
    <cellStyle name="Normal 2 5 2" xfId="1203"/>
    <cellStyle name="Normal 2 6" xfId="1204"/>
    <cellStyle name="Normal 2 6 2" xfId="1205"/>
    <cellStyle name="Normal 2 6 2 2" xfId="1206"/>
    <cellStyle name="Normal 2 6 3" xfId="1207"/>
    <cellStyle name="Normal 2 7" xfId="1208"/>
    <cellStyle name="Normal 2 7 2" xfId="1209"/>
    <cellStyle name="Normal 2 7 2 2" xfId="1210"/>
    <cellStyle name="Normal 2 8" xfId="1211"/>
    <cellStyle name="Normal 2 8 2" xfId="1212"/>
    <cellStyle name="Normal 2 9" xfId="1213"/>
    <cellStyle name="Normal 2_GUDANG ARE" xfId="1214"/>
    <cellStyle name="Normal 29" xfId="1215"/>
    <cellStyle name="Normal 3" xfId="1216"/>
    <cellStyle name="Normal 3 2" xfId="1217"/>
    <cellStyle name="Normal 3 2 2" xfId="1218"/>
    <cellStyle name="Normal 3 3" xfId="1219"/>
    <cellStyle name="Normal 3 4" xfId="1220"/>
    <cellStyle name="Normal 3 4 2" xfId="1221"/>
    <cellStyle name="Normal 4" xfId="1222"/>
    <cellStyle name="Normal 4 2" xfId="1223"/>
    <cellStyle name="Normal 4 2 2" xfId="1224"/>
    <cellStyle name="Normal 4 3" xfId="1225"/>
    <cellStyle name="Normal 4 4" xfId="1226"/>
    <cellStyle name="Normal 5" xfId="1227"/>
    <cellStyle name="Normal 5 10" xfId="1228"/>
    <cellStyle name="Normal 5 11" xfId="1229"/>
    <cellStyle name="Normal 5 2" xfId="1230"/>
    <cellStyle name="Normal 5 3" xfId="1231"/>
    <cellStyle name="Normal 5 4" xfId="1232"/>
    <cellStyle name="Normal 5 5" xfId="1233"/>
    <cellStyle name="Normal 5 6" xfId="1234"/>
    <cellStyle name="Normal 5 7" xfId="1235"/>
    <cellStyle name="Normal 5 8" xfId="1236"/>
    <cellStyle name="Normal 5 9" xfId="1237"/>
    <cellStyle name="Normal 6" xfId="1238"/>
    <cellStyle name="Normal 6 10" xfId="1239"/>
    <cellStyle name="Normal 6 11" xfId="1240"/>
    <cellStyle name="Normal 6 2" xfId="1241"/>
    <cellStyle name="Normal 6 3" xfId="1242"/>
    <cellStyle name="Normal 6 4" xfId="1243"/>
    <cellStyle name="Normal 6 5" xfId="1244"/>
    <cellStyle name="Normal 6 6" xfId="1245"/>
    <cellStyle name="Normal 6 7" xfId="1246"/>
    <cellStyle name="Normal 6 8" xfId="1247"/>
    <cellStyle name="Normal 6 9" xfId="1248"/>
    <cellStyle name="Normal 7" xfId="1249"/>
    <cellStyle name="Normal 7 10" xfId="1250"/>
    <cellStyle name="Normal 7 11" xfId="1251"/>
    <cellStyle name="Normal 7 2" xfId="1252"/>
    <cellStyle name="Normal 7 3" xfId="1253"/>
    <cellStyle name="Normal 7 4" xfId="1254"/>
    <cellStyle name="Normal 7 5" xfId="1255"/>
    <cellStyle name="Normal 7 6" xfId="1256"/>
    <cellStyle name="Normal 7 7" xfId="1257"/>
    <cellStyle name="Normal 7 8" xfId="1258"/>
    <cellStyle name="Normal 7 9" xfId="1259"/>
    <cellStyle name="Normal 8" xfId="1260"/>
    <cellStyle name="Normal 8 10" xfId="1261"/>
    <cellStyle name="Normal 8 11" xfId="1262"/>
    <cellStyle name="Normal 8 12" xfId="1263"/>
    <cellStyle name="Normal 8 13" xfId="1264"/>
    <cellStyle name="Normal 8 14" xfId="1265"/>
    <cellStyle name="Normal 8 15" xfId="1266"/>
    <cellStyle name="Normal 8 16" xfId="1267"/>
    <cellStyle name="Normal 8 17" xfId="1268"/>
    <cellStyle name="Normal 8 18" xfId="1269"/>
    <cellStyle name="Normal 8 19" xfId="1270"/>
    <cellStyle name="Normal 8 2" xfId="1271"/>
    <cellStyle name="Normal 8 20" xfId="1272"/>
    <cellStyle name="Normal 8 21" xfId="1273"/>
    <cellStyle name="Normal 8 22" xfId="1274"/>
    <cellStyle name="Normal 8 23" xfId="1275"/>
    <cellStyle name="Normal 8 24" xfId="1276"/>
    <cellStyle name="Normal 8 25" xfId="1277"/>
    <cellStyle name="Normal 8 3" xfId="1278"/>
    <cellStyle name="Normal 8 4" xfId="1279"/>
    <cellStyle name="Normal 8 5" xfId="1280"/>
    <cellStyle name="Normal 8 6" xfId="1281"/>
    <cellStyle name="Normal 8 7" xfId="1282"/>
    <cellStyle name="Normal 8 8" xfId="1283"/>
    <cellStyle name="Normal 8 9" xfId="1284"/>
    <cellStyle name="Normal 9" xfId="1285"/>
    <cellStyle name="Normal 9 2" xfId="1286"/>
    <cellStyle name="Normal_Tetap" xfId="1287"/>
    <cellStyle name="Note 10" xfId="1288"/>
    <cellStyle name="Note 10 2" xfId="1289"/>
    <cellStyle name="Note 11" xfId="1290"/>
    <cellStyle name="Note 11 2" xfId="1291"/>
    <cellStyle name="Note 2" xfId="1292"/>
    <cellStyle name="Note 2 2" xfId="1293"/>
    <cellStyle name="Note 3" xfId="1294"/>
    <cellStyle name="Note 3 2" xfId="1295"/>
    <cellStyle name="Note 4" xfId="1296"/>
    <cellStyle name="Note 4 2" xfId="1297"/>
    <cellStyle name="Note 5" xfId="1298"/>
    <cellStyle name="Note 5 2" xfId="1299"/>
    <cellStyle name="Note 6" xfId="1300"/>
    <cellStyle name="Note 6 2" xfId="1301"/>
    <cellStyle name="Note 7" xfId="1302"/>
    <cellStyle name="Note 7 2" xfId="1303"/>
    <cellStyle name="Note 8" xfId="1304"/>
    <cellStyle name="Note 8 2" xfId="1305"/>
    <cellStyle name="Note 9" xfId="1306"/>
    <cellStyle name="Note 9 2" xfId="1307"/>
    <cellStyle name="Output 10" xfId="1308"/>
    <cellStyle name="Output 10 2" xfId="1309"/>
    <cellStyle name="Output 11" xfId="1310"/>
    <cellStyle name="Output 11 2" xfId="1311"/>
    <cellStyle name="Output 12" xfId="1312"/>
    <cellStyle name="Output 12 2" xfId="1313"/>
    <cellStyle name="Output 2" xfId="1314"/>
    <cellStyle name="Output 2 2" xfId="1315"/>
    <cellStyle name="Output 3" xfId="1316"/>
    <cellStyle name="Output 3 2" xfId="1317"/>
    <cellStyle name="Output 4" xfId="1318"/>
    <cellStyle name="Output 4 2" xfId="1319"/>
    <cellStyle name="Output 5" xfId="1320"/>
    <cellStyle name="Output 5 2" xfId="1321"/>
    <cellStyle name="Output 6" xfId="1322"/>
    <cellStyle name="Output 6 2" xfId="1323"/>
    <cellStyle name="Output 7" xfId="1324"/>
    <cellStyle name="Output 7 2" xfId="1325"/>
    <cellStyle name="Output 8" xfId="1326"/>
    <cellStyle name="Output 8 2" xfId="1327"/>
    <cellStyle name="Output 9" xfId="1328"/>
    <cellStyle name="Output 9 2" xfId="1329"/>
    <cellStyle name="Percent" xfId="3" builtinId="5"/>
    <cellStyle name="Percent [0]" xfId="1330"/>
    <cellStyle name="Percent [00]" xfId="1331"/>
    <cellStyle name="Percent [2]" xfId="1332"/>
    <cellStyle name="Percent 2" xfId="1333"/>
    <cellStyle name="Percent 2 2" xfId="1334"/>
    <cellStyle name="Percent 3" xfId="1335"/>
    <cellStyle name="Percent 3 2" xfId="1336"/>
    <cellStyle name="Percent 3 3" xfId="1337"/>
    <cellStyle name="Percent 4" xfId="1338"/>
    <cellStyle name="Percent 5" xfId="1339"/>
    <cellStyle name="Percent 5 2" xfId="1340"/>
    <cellStyle name="PrePop Currency (0)" xfId="1341"/>
    <cellStyle name="PrePop Currency (2)" xfId="1342"/>
    <cellStyle name="PrePop Units (0)" xfId="1343"/>
    <cellStyle name="PrePop Units (1)" xfId="1344"/>
    <cellStyle name="PrePop Units (2)" xfId="1345"/>
    <cellStyle name="S0" xfId="1346"/>
    <cellStyle name="S0 2" xfId="1347"/>
    <cellStyle name="S0 3" xfId="1348"/>
    <cellStyle name="S1" xfId="1349"/>
    <cellStyle name="S1 2" xfId="1350"/>
    <cellStyle name="S1 3" xfId="1351"/>
    <cellStyle name="S10" xfId="1352"/>
    <cellStyle name="S10 2" xfId="1353"/>
    <cellStyle name="S10 3" xfId="1354"/>
    <cellStyle name="S11" xfId="1355"/>
    <cellStyle name="S11 2" xfId="1356"/>
    <cellStyle name="S11 3" xfId="1357"/>
    <cellStyle name="S12" xfId="1358"/>
    <cellStyle name="S12 2" xfId="1359"/>
    <cellStyle name="S12 3" xfId="1360"/>
    <cellStyle name="S13" xfId="1361"/>
    <cellStyle name="S14" xfId="1362"/>
    <cellStyle name="S15" xfId="1363"/>
    <cellStyle name="S16" xfId="1364"/>
    <cellStyle name="S17" xfId="1365"/>
    <cellStyle name="S18" xfId="1366"/>
    <cellStyle name="S19" xfId="1367"/>
    <cellStyle name="S2" xfId="1368"/>
    <cellStyle name="S2 2" xfId="1369"/>
    <cellStyle name="S2 3" xfId="1370"/>
    <cellStyle name="S20" xfId="1371"/>
    <cellStyle name="S21" xfId="1372"/>
    <cellStyle name="S22" xfId="1373"/>
    <cellStyle name="S23" xfId="1374"/>
    <cellStyle name="S24" xfId="1375"/>
    <cellStyle name="S25" xfId="1376"/>
    <cellStyle name="S26" xfId="1377"/>
    <cellStyle name="S27" xfId="1378"/>
    <cellStyle name="S28" xfId="1379"/>
    <cellStyle name="S29" xfId="1380"/>
    <cellStyle name="S3" xfId="1381"/>
    <cellStyle name="S3 2" xfId="1382"/>
    <cellStyle name="S3 3" xfId="1383"/>
    <cellStyle name="S30" xfId="1384"/>
    <cellStyle name="S31" xfId="1385"/>
    <cellStyle name="S32" xfId="1386"/>
    <cellStyle name="S33" xfId="1387"/>
    <cellStyle name="S34" xfId="1388"/>
    <cellStyle name="S35" xfId="1389"/>
    <cellStyle name="S36" xfId="1390"/>
    <cellStyle name="S37" xfId="1391"/>
    <cellStyle name="S38" xfId="1392"/>
    <cellStyle name="S39" xfId="1393"/>
    <cellStyle name="S4" xfId="1394"/>
    <cellStyle name="S4 2" xfId="1395"/>
    <cellStyle name="S4 3" xfId="1396"/>
    <cellStyle name="S40" xfId="1397"/>
    <cellStyle name="S41" xfId="1398"/>
    <cellStyle name="S42" xfId="1399"/>
    <cellStyle name="S43" xfId="1400"/>
    <cellStyle name="S5" xfId="1401"/>
    <cellStyle name="S5 2" xfId="1402"/>
    <cellStyle name="S5 3" xfId="1403"/>
    <cellStyle name="S6" xfId="1404"/>
    <cellStyle name="S6 2" xfId="1405"/>
    <cellStyle name="S6 3" xfId="1406"/>
    <cellStyle name="S7" xfId="1407"/>
    <cellStyle name="S7 2" xfId="1408"/>
    <cellStyle name="S7 3" xfId="1409"/>
    <cellStyle name="S8" xfId="1410"/>
    <cellStyle name="S8 2" xfId="1411"/>
    <cellStyle name="S8 3" xfId="1412"/>
    <cellStyle name="S9" xfId="1413"/>
    <cellStyle name="S9 2" xfId="1414"/>
    <cellStyle name="S9 3" xfId="1415"/>
    <cellStyle name="sbt2" xfId="1416"/>
    <cellStyle name="sbt2 2" xfId="1417"/>
    <cellStyle name="subt1" xfId="1418"/>
    <cellStyle name="Text Indent A" xfId="1419"/>
    <cellStyle name="Text Indent B" xfId="1420"/>
    <cellStyle name="Text Indent C" xfId="1421"/>
    <cellStyle name="Title 10" xfId="1422"/>
    <cellStyle name="Title 11" xfId="1423"/>
    <cellStyle name="Title 12" xfId="1424"/>
    <cellStyle name="Title 2" xfId="1425"/>
    <cellStyle name="Title 3" xfId="1426"/>
    <cellStyle name="Title 4" xfId="1427"/>
    <cellStyle name="Title 5" xfId="1428"/>
    <cellStyle name="Title 6" xfId="1429"/>
    <cellStyle name="Title 7" xfId="1430"/>
    <cellStyle name="Title 8" xfId="1431"/>
    <cellStyle name="Title 9" xfId="1432"/>
    <cellStyle name="Total 10" xfId="1433"/>
    <cellStyle name="Total 10 2" xfId="1434"/>
    <cellStyle name="Total 11" xfId="1435"/>
    <cellStyle name="Total 11 2" xfId="1436"/>
    <cellStyle name="Total 12" xfId="1437"/>
    <cellStyle name="Total 12 2" xfId="1438"/>
    <cellStyle name="Total 2" xfId="1439"/>
    <cellStyle name="Total 2 2" xfId="1440"/>
    <cellStyle name="Total 3" xfId="1441"/>
    <cellStyle name="Total 3 2" xfId="1442"/>
    <cellStyle name="Total 4" xfId="1443"/>
    <cellStyle name="Total 4 2" xfId="1444"/>
    <cellStyle name="Total 5" xfId="1445"/>
    <cellStyle name="Total 5 2" xfId="1446"/>
    <cellStyle name="Total 6" xfId="1447"/>
    <cellStyle name="Total 6 2" xfId="1448"/>
    <cellStyle name="Total 7" xfId="1449"/>
    <cellStyle name="Total 7 2" xfId="1450"/>
    <cellStyle name="Total 8" xfId="1451"/>
    <cellStyle name="Total 8 2" xfId="1452"/>
    <cellStyle name="Total 9" xfId="1453"/>
    <cellStyle name="Total 9 2" xfId="1454"/>
    <cellStyle name="Warning Text 10" xfId="1455"/>
    <cellStyle name="Warning Text 11" xfId="1456"/>
    <cellStyle name="Warning Text 2" xfId="1457"/>
    <cellStyle name="Warning Text 3" xfId="1458"/>
    <cellStyle name="Warning Text 4" xfId="1459"/>
    <cellStyle name="Warning Text 5" xfId="1460"/>
    <cellStyle name="Warning Text 6" xfId="1461"/>
    <cellStyle name="Warning Text 7" xfId="1462"/>
    <cellStyle name="Warning Text 8" xfId="1463"/>
    <cellStyle name="Warning Text 9" xfId="14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/PAYROLL%202026/PAJAK%20BARU/PERHITUNGAN%20PPH%2021%202024%20AIR%20HIJAU%20baru%20E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/PAYROOL%20GAJI%20AIR%20HIJAU%2025/PAJAK%20BARU/PERHITUNGAN%20PPH%2021%202024%20AIR%20HIJAU%20baru%20E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6/PAYROLL%202026/PAJAK%20BARU/FIELD%20CONDUCTO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jak\Downloads\KERTAS-KERJA-PPH-21-PP-58-PPh-21-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026/PAYROLL%202026/a.PAYROLL%20JANUARI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'24"/>
      <sheetName val="Feb'24"/>
      <sheetName val="Feb'24 THR"/>
      <sheetName val="Maret'24"/>
      <sheetName val="April '24"/>
      <sheetName val="PPH EXGRATIA"/>
      <sheetName val="Mei '24"/>
      <sheetName val="Juni '24 "/>
      <sheetName val="Juli '24"/>
      <sheetName val="Agust '24 "/>
      <sheetName val="Sept '24"/>
      <sheetName val="Okt '24 "/>
      <sheetName val="Nop '24 "/>
      <sheetName val="PERBULAN"/>
      <sheetName val="SETAHUN"/>
      <sheetName val="BPJS"/>
      <sheetName val="PAJAK JAN-NOV"/>
    </sheetNames>
    <sheetDataSet>
      <sheetData sheetId="0">
        <row r="3">
          <cell r="B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5">
          <cell r="B85" t="str">
            <v>MARJAN</v>
          </cell>
        </row>
      </sheetData>
      <sheetData sheetId="16">
        <row r="7">
          <cell r="F7">
            <v>42730987.57</v>
          </cell>
        </row>
      </sheetData>
      <sheetData sheetId="17"/>
      <sheetData sheetId="18">
        <row r="3">
          <cell r="R3">
            <v>81953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'24"/>
      <sheetName val="Feb'24"/>
      <sheetName val="Feb'24 THR"/>
      <sheetName val="Maret'24"/>
      <sheetName val="April '24"/>
      <sheetName val="PPH EXGRATIA"/>
      <sheetName val="Mei '24"/>
      <sheetName val="Juni '24 "/>
      <sheetName val="Juli '24"/>
      <sheetName val="Agust '24 "/>
      <sheetName val="Sept '24"/>
      <sheetName val="Okt '24 "/>
      <sheetName val="Nop '24 "/>
      <sheetName val="PERBULAN"/>
      <sheetName val="SETAHUN"/>
      <sheetName val="BPJS"/>
      <sheetName val="PAJAK JAN-NOV"/>
    </sheetNames>
    <sheetDataSet>
      <sheetData sheetId="0">
        <row r="3">
          <cell r="B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5">
          <cell r="B85" t="str">
            <v>MARJAN</v>
          </cell>
        </row>
      </sheetData>
      <sheetData sheetId="16">
        <row r="7">
          <cell r="F7">
            <v>42730987.57</v>
          </cell>
        </row>
      </sheetData>
      <sheetData sheetId="17"/>
      <sheetData sheetId="18">
        <row r="3">
          <cell r="R3">
            <v>81953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Bulanan (Jan s.d Nop)"/>
      <sheetName val="Des"/>
    </sheetNames>
    <sheetDataSet>
      <sheetData sheetId="0">
        <row r="3">
          <cell r="B3">
            <v>0</v>
          </cell>
        </row>
        <row r="18">
          <cell r="S18" t="str">
            <v>TK/0</v>
          </cell>
          <cell r="T18">
            <v>0</v>
          </cell>
          <cell r="U18">
            <v>54000000</v>
          </cell>
        </row>
        <row r="19">
          <cell r="S19" t="str">
            <v>TK/1</v>
          </cell>
          <cell r="T19">
            <v>0</v>
          </cell>
          <cell r="U19">
            <v>58500000</v>
          </cell>
        </row>
        <row r="20">
          <cell r="S20" t="str">
            <v>TK/2</v>
          </cell>
          <cell r="T20">
            <v>0</v>
          </cell>
          <cell r="U20">
            <v>63000000</v>
          </cell>
        </row>
        <row r="21">
          <cell r="S21" t="str">
            <v>TK/3</v>
          </cell>
          <cell r="T21">
            <v>0</v>
          </cell>
          <cell r="U21">
            <v>67500000</v>
          </cell>
        </row>
        <row r="22">
          <cell r="S22" t="str">
            <v>K/0</v>
          </cell>
          <cell r="T22">
            <v>0</v>
          </cell>
          <cell r="U22">
            <v>58500000</v>
          </cell>
        </row>
        <row r="23">
          <cell r="S23" t="str">
            <v>K/1</v>
          </cell>
          <cell r="T23">
            <v>0</v>
          </cell>
          <cell r="U23">
            <v>63000000</v>
          </cell>
        </row>
        <row r="24">
          <cell r="S24" t="str">
            <v>K/2</v>
          </cell>
          <cell r="T24">
            <v>0</v>
          </cell>
          <cell r="U24">
            <v>67500000</v>
          </cell>
        </row>
        <row r="25">
          <cell r="S25" t="str">
            <v>K/3</v>
          </cell>
          <cell r="T25">
            <v>0</v>
          </cell>
          <cell r="U25">
            <v>72000000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VESTING"/>
      <sheetName val="MAINTENANCE-1"/>
      <sheetName val="TRANSPORT"/>
      <sheetName val="KARYAWAN PERCOBAAN"/>
      <sheetName val="PERHITUNGAN PPH 21 JAN25"/>
      <sheetName val="KHL MAINTENANCE"/>
      <sheetName val="Sheet1"/>
      <sheetName val="REK.BRI "/>
    </sheetNames>
    <sheetDataSet>
      <sheetData sheetId="0">
        <row r="11">
          <cell r="W11">
            <v>139500</v>
          </cell>
          <cell r="Z11">
            <v>80500</v>
          </cell>
          <cell r="AB11">
            <v>50500</v>
          </cell>
          <cell r="AN11">
            <v>1687000</v>
          </cell>
          <cell r="AO11">
            <v>5992500</v>
          </cell>
          <cell r="AT11">
            <v>163420</v>
          </cell>
          <cell r="BD11">
            <v>1</v>
          </cell>
        </row>
        <row r="12">
          <cell r="W12">
            <v>160950</v>
          </cell>
          <cell r="Z12">
            <v>55000</v>
          </cell>
          <cell r="AB12">
            <v>50500</v>
          </cell>
          <cell r="AN12">
            <v>1598000</v>
          </cell>
          <cell r="AO12">
            <v>5764950</v>
          </cell>
          <cell r="AT12">
            <v>163420</v>
          </cell>
          <cell r="BD12">
            <v>2</v>
          </cell>
        </row>
        <row r="13">
          <cell r="W13">
            <v>97500</v>
          </cell>
          <cell r="Z13">
            <v>50000</v>
          </cell>
          <cell r="AB13">
            <v>21000</v>
          </cell>
          <cell r="AN13">
            <v>425000</v>
          </cell>
          <cell r="AO13">
            <v>4628500</v>
          </cell>
          <cell r="AT13">
            <v>162240</v>
          </cell>
          <cell r="BD13">
            <v>1</v>
          </cell>
        </row>
        <row r="14">
          <cell r="W14">
            <v>144150</v>
          </cell>
          <cell r="Z14">
            <v>0</v>
          </cell>
          <cell r="AB14">
            <v>54000</v>
          </cell>
          <cell r="AC14">
            <v>186294</v>
          </cell>
          <cell r="AD14">
            <v>325500</v>
          </cell>
          <cell r="AJ14">
            <v>0</v>
          </cell>
          <cell r="AO14">
            <v>4879444</v>
          </cell>
          <cell r="AT14">
            <v>163560</v>
          </cell>
          <cell r="BD14">
            <v>0</v>
          </cell>
          <cell r="BE14">
            <v>0</v>
          </cell>
        </row>
        <row r="15">
          <cell r="W15">
            <v>172050</v>
          </cell>
          <cell r="Z15">
            <v>0</v>
          </cell>
          <cell r="AB15">
            <v>50500</v>
          </cell>
          <cell r="AC15">
            <v>245847</v>
          </cell>
          <cell r="AD15">
            <v>332500</v>
          </cell>
          <cell r="AJ15">
            <v>0</v>
          </cell>
          <cell r="AO15">
            <v>4970397</v>
          </cell>
          <cell r="AT15">
            <v>163420</v>
          </cell>
          <cell r="BD15">
            <v>0</v>
          </cell>
          <cell r="BE15">
            <v>0</v>
          </cell>
        </row>
        <row r="16">
          <cell r="W16">
            <v>94250</v>
          </cell>
          <cell r="Z16">
            <v>0</v>
          </cell>
          <cell r="AB16">
            <v>50500</v>
          </cell>
          <cell r="AC16">
            <v>100782</v>
          </cell>
          <cell r="AD16">
            <v>280000</v>
          </cell>
          <cell r="AJ16">
            <v>182981</v>
          </cell>
          <cell r="AK16">
            <v>19214</v>
          </cell>
          <cell r="AO16">
            <v>4223837</v>
          </cell>
          <cell r="AT16">
            <v>163420</v>
          </cell>
          <cell r="BD16">
            <v>1</v>
          </cell>
          <cell r="BE16">
            <v>1</v>
          </cell>
        </row>
        <row r="17">
          <cell r="W17">
            <v>172050</v>
          </cell>
          <cell r="Z17">
            <v>0</v>
          </cell>
          <cell r="AB17">
            <v>54000</v>
          </cell>
          <cell r="AC17">
            <v>235158</v>
          </cell>
          <cell r="AD17">
            <v>358750</v>
          </cell>
          <cell r="AJ17">
            <v>0</v>
          </cell>
          <cell r="AO17">
            <v>4989458</v>
          </cell>
          <cell r="AT17">
            <v>163560</v>
          </cell>
          <cell r="BD17">
            <v>0</v>
          </cell>
          <cell r="BE17">
            <v>0</v>
          </cell>
        </row>
        <row r="18">
          <cell r="W18">
            <v>107300</v>
          </cell>
          <cell r="Z18">
            <v>0</v>
          </cell>
          <cell r="AB18">
            <v>33000</v>
          </cell>
          <cell r="AC18">
            <v>258063</v>
          </cell>
          <cell r="AD18">
            <v>308000</v>
          </cell>
          <cell r="AJ18">
            <v>131372</v>
          </cell>
          <cell r="AO18">
            <v>4475491</v>
          </cell>
          <cell r="AT18">
            <v>162720</v>
          </cell>
          <cell r="BD18">
            <v>2</v>
          </cell>
          <cell r="BE18">
            <v>0</v>
          </cell>
        </row>
        <row r="19">
          <cell r="W19">
            <v>172050</v>
          </cell>
          <cell r="Z19">
            <v>0</v>
          </cell>
          <cell r="AB19">
            <v>33000</v>
          </cell>
          <cell r="AC19">
            <v>377169</v>
          </cell>
          <cell r="AD19">
            <v>362250</v>
          </cell>
          <cell r="AJ19">
            <v>0</v>
          </cell>
          <cell r="AO19">
            <v>5113969</v>
          </cell>
          <cell r="AT19">
            <v>162720</v>
          </cell>
          <cell r="BD19">
            <v>0</v>
          </cell>
          <cell r="BE19">
            <v>0</v>
          </cell>
        </row>
        <row r="20">
          <cell r="W20">
            <v>144150</v>
          </cell>
          <cell r="Z20">
            <v>0</v>
          </cell>
          <cell r="AB20">
            <v>24000</v>
          </cell>
          <cell r="AC20">
            <v>297765</v>
          </cell>
          <cell r="AD20">
            <v>399000</v>
          </cell>
          <cell r="AJ20">
            <v>0</v>
          </cell>
          <cell r="AN20">
            <v>150000</v>
          </cell>
          <cell r="AO20">
            <v>5184415</v>
          </cell>
          <cell r="AT20">
            <v>162360</v>
          </cell>
          <cell r="BD20">
            <v>0</v>
          </cell>
          <cell r="BE20">
            <v>0</v>
          </cell>
        </row>
        <row r="21">
          <cell r="W21">
            <v>144150</v>
          </cell>
          <cell r="Z21">
            <v>0</v>
          </cell>
          <cell r="AB21">
            <v>21000</v>
          </cell>
          <cell r="AC21">
            <v>236685</v>
          </cell>
          <cell r="AD21">
            <v>322000</v>
          </cell>
          <cell r="AJ21">
            <v>0</v>
          </cell>
          <cell r="AO21">
            <v>4893335</v>
          </cell>
          <cell r="AT21">
            <v>162240</v>
          </cell>
          <cell r="BD21">
            <v>0</v>
          </cell>
          <cell r="BE21">
            <v>0</v>
          </cell>
        </row>
        <row r="22">
          <cell r="W22">
            <v>155400</v>
          </cell>
          <cell r="AB22">
            <v>12500</v>
          </cell>
          <cell r="AC22">
            <v>106890</v>
          </cell>
          <cell r="AD22">
            <v>301000</v>
          </cell>
          <cell r="AJ22">
            <v>0</v>
          </cell>
          <cell r="AO22">
            <v>4341790</v>
          </cell>
          <cell r="AT22">
            <v>161900</v>
          </cell>
          <cell r="BD22">
            <v>2</v>
          </cell>
          <cell r="BE22">
            <v>1</v>
          </cell>
        </row>
        <row r="23">
          <cell r="W23">
            <v>144150</v>
          </cell>
          <cell r="AB23">
            <v>12500</v>
          </cell>
          <cell r="AC23">
            <v>218361</v>
          </cell>
          <cell r="AD23">
            <v>313250</v>
          </cell>
          <cell r="AJ23">
            <v>0</v>
          </cell>
          <cell r="AO23">
            <v>4857761</v>
          </cell>
          <cell r="AT23">
            <v>161900</v>
          </cell>
          <cell r="BD23">
            <v>0</v>
          </cell>
          <cell r="BE23">
            <v>0</v>
          </cell>
        </row>
        <row r="24">
          <cell r="W24">
            <v>67500</v>
          </cell>
          <cell r="AB24">
            <v>7500</v>
          </cell>
          <cell r="AC24">
            <v>316089</v>
          </cell>
          <cell r="AD24">
            <v>385000</v>
          </cell>
          <cell r="AJ24">
            <v>0</v>
          </cell>
          <cell r="AO24">
            <v>4811089</v>
          </cell>
          <cell r="AT24">
            <v>161700</v>
          </cell>
          <cell r="BD24">
            <v>1</v>
          </cell>
          <cell r="BE24">
            <v>0</v>
          </cell>
        </row>
        <row r="25">
          <cell r="W25">
            <v>144150</v>
          </cell>
          <cell r="AB25">
            <v>7500</v>
          </cell>
          <cell r="AC25">
            <v>299292</v>
          </cell>
          <cell r="AD25">
            <v>358750</v>
          </cell>
          <cell r="AE25">
            <v>146880</v>
          </cell>
          <cell r="AJ25">
            <v>0</v>
          </cell>
          <cell r="AO25">
            <v>5126072</v>
          </cell>
          <cell r="AT25">
            <v>161700</v>
          </cell>
          <cell r="BD25">
            <v>0</v>
          </cell>
          <cell r="BE25">
            <v>0</v>
          </cell>
        </row>
        <row r="26">
          <cell r="W26">
            <v>69750</v>
          </cell>
          <cell r="AB26">
            <v>5000</v>
          </cell>
          <cell r="AC26">
            <v>279441</v>
          </cell>
          <cell r="AD26">
            <v>323750</v>
          </cell>
          <cell r="AJ26">
            <v>0</v>
          </cell>
          <cell r="AO26">
            <v>4847441</v>
          </cell>
          <cell r="AT26">
            <v>161600</v>
          </cell>
          <cell r="BD26">
            <v>0</v>
          </cell>
          <cell r="BE26">
            <v>0</v>
          </cell>
        </row>
        <row r="27">
          <cell r="W27">
            <v>69750</v>
          </cell>
          <cell r="AB27">
            <v>10000</v>
          </cell>
          <cell r="AC27">
            <v>198510</v>
          </cell>
          <cell r="AD27">
            <v>322000</v>
          </cell>
          <cell r="AJ27">
            <v>0</v>
          </cell>
          <cell r="AO27">
            <v>4769760</v>
          </cell>
          <cell r="AT27">
            <v>161800</v>
          </cell>
          <cell r="BD27">
            <v>0</v>
          </cell>
          <cell r="BE27">
            <v>0</v>
          </cell>
        </row>
        <row r="28">
          <cell r="W28">
            <v>130200</v>
          </cell>
          <cell r="AB28">
            <v>40000</v>
          </cell>
          <cell r="AC28">
            <v>239739</v>
          </cell>
          <cell r="AD28">
            <v>302750</v>
          </cell>
          <cell r="AJ28">
            <v>0</v>
          </cell>
          <cell r="AO28">
            <v>4882189</v>
          </cell>
          <cell r="AT28">
            <v>163000</v>
          </cell>
          <cell r="BD28">
            <v>0</v>
          </cell>
          <cell r="BE28">
            <v>0</v>
          </cell>
        </row>
        <row r="29">
          <cell r="W29">
            <v>144150</v>
          </cell>
          <cell r="AB29">
            <v>12500</v>
          </cell>
          <cell r="AC29">
            <v>247374</v>
          </cell>
          <cell r="AD29">
            <v>332500</v>
          </cell>
          <cell r="AJ29">
            <v>0</v>
          </cell>
          <cell r="AO29">
            <v>4906024</v>
          </cell>
          <cell r="AT29">
            <v>161900</v>
          </cell>
          <cell r="BD29">
            <v>0</v>
          </cell>
          <cell r="BE29">
            <v>0</v>
          </cell>
        </row>
        <row r="30">
          <cell r="W30">
            <v>67500</v>
          </cell>
          <cell r="AB30">
            <v>18000</v>
          </cell>
          <cell r="AC30">
            <v>222942</v>
          </cell>
          <cell r="AD30">
            <v>297500</v>
          </cell>
          <cell r="AJ30">
            <v>0</v>
          </cell>
          <cell r="AO30">
            <v>4640942</v>
          </cell>
          <cell r="AT30">
            <v>162120</v>
          </cell>
          <cell r="BD30">
            <v>1</v>
          </cell>
          <cell r="BE30">
            <v>0</v>
          </cell>
        </row>
        <row r="31">
          <cell r="W31">
            <v>139500</v>
          </cell>
          <cell r="AB31">
            <v>2500</v>
          </cell>
          <cell r="AC31">
            <v>296238</v>
          </cell>
          <cell r="AD31">
            <v>318500</v>
          </cell>
          <cell r="AJ31">
            <v>154831</v>
          </cell>
          <cell r="AO31">
            <v>4636907</v>
          </cell>
          <cell r="AT31">
            <v>161500</v>
          </cell>
          <cell r="BD31">
            <v>1</v>
          </cell>
          <cell r="BE31">
            <v>0</v>
          </cell>
        </row>
        <row r="32">
          <cell r="W32">
            <v>160950</v>
          </cell>
          <cell r="AB32">
            <v>2500</v>
          </cell>
          <cell r="AC32">
            <v>135903</v>
          </cell>
          <cell r="AD32">
            <v>322000</v>
          </cell>
          <cell r="AJ32">
            <v>87581</v>
          </cell>
          <cell r="AO32">
            <v>4434272</v>
          </cell>
          <cell r="AT32">
            <v>161500</v>
          </cell>
          <cell r="BD32">
            <v>2</v>
          </cell>
          <cell r="BE32">
            <v>0</v>
          </cell>
        </row>
        <row r="33">
          <cell r="W33">
            <v>166500</v>
          </cell>
          <cell r="AB33">
            <v>0</v>
          </cell>
          <cell r="AC33">
            <v>184767</v>
          </cell>
          <cell r="AD33">
            <v>341250</v>
          </cell>
          <cell r="AJ33">
            <v>0</v>
          </cell>
          <cell r="AO33">
            <v>4727517</v>
          </cell>
          <cell r="AT33">
            <v>161400</v>
          </cell>
          <cell r="BD33">
            <v>1</v>
          </cell>
          <cell r="BE33">
            <v>0</v>
          </cell>
        </row>
        <row r="34">
          <cell r="W34">
            <v>172050</v>
          </cell>
          <cell r="AB34">
            <v>0</v>
          </cell>
          <cell r="AC34">
            <v>539031</v>
          </cell>
          <cell r="AD34">
            <v>376250</v>
          </cell>
          <cell r="AJ34">
            <v>0</v>
          </cell>
          <cell r="AN34">
            <v>150000</v>
          </cell>
          <cell r="AO34">
            <v>5406831</v>
          </cell>
          <cell r="AT34">
            <v>161400</v>
          </cell>
          <cell r="BD34">
            <v>0</v>
          </cell>
          <cell r="BE34">
            <v>0</v>
          </cell>
        </row>
        <row r="35">
          <cell r="W35">
            <v>111000</v>
          </cell>
          <cell r="AB35">
            <v>0</v>
          </cell>
          <cell r="AC35">
            <v>61080</v>
          </cell>
          <cell r="AD35">
            <v>271250</v>
          </cell>
          <cell r="AJ35">
            <v>131372</v>
          </cell>
          <cell r="AO35">
            <v>4346958</v>
          </cell>
          <cell r="AT35">
            <v>161400</v>
          </cell>
          <cell r="BD35">
            <v>1</v>
          </cell>
          <cell r="BE35">
            <v>0</v>
          </cell>
        </row>
        <row r="36">
          <cell r="W36">
            <v>69750</v>
          </cell>
          <cell r="AB36">
            <v>0</v>
          </cell>
          <cell r="AC36">
            <v>284022</v>
          </cell>
          <cell r="AD36">
            <v>397250</v>
          </cell>
          <cell r="AJ36">
            <v>0</v>
          </cell>
          <cell r="AO36">
            <v>4920522</v>
          </cell>
          <cell r="AT36">
            <v>161400</v>
          </cell>
          <cell r="BD36">
            <v>0</v>
          </cell>
          <cell r="BE36">
            <v>0</v>
          </cell>
        </row>
        <row r="37">
          <cell r="W37">
            <v>144150</v>
          </cell>
          <cell r="AB37">
            <v>0</v>
          </cell>
          <cell r="AC37">
            <v>212253</v>
          </cell>
          <cell r="AD37">
            <v>330750</v>
          </cell>
          <cell r="AJ37">
            <v>0</v>
          </cell>
          <cell r="AO37">
            <v>4856653</v>
          </cell>
          <cell r="AT37">
            <v>161400</v>
          </cell>
          <cell r="BD37">
            <v>0</v>
          </cell>
          <cell r="BE37">
            <v>0</v>
          </cell>
        </row>
        <row r="38">
          <cell r="W38">
            <v>160950</v>
          </cell>
          <cell r="AB38">
            <v>0</v>
          </cell>
          <cell r="AC38">
            <v>189348</v>
          </cell>
          <cell r="AD38">
            <v>281750</v>
          </cell>
          <cell r="AJ38">
            <v>43791</v>
          </cell>
          <cell r="AO38">
            <v>4488757</v>
          </cell>
          <cell r="AT38">
            <v>161400</v>
          </cell>
          <cell r="BD38">
            <v>2</v>
          </cell>
          <cell r="BE38">
            <v>0</v>
          </cell>
        </row>
        <row r="39">
          <cell r="W39">
            <v>144150</v>
          </cell>
          <cell r="AB39">
            <v>0</v>
          </cell>
          <cell r="AC39">
            <v>258063</v>
          </cell>
          <cell r="AD39">
            <v>313250</v>
          </cell>
          <cell r="AJ39">
            <v>132936</v>
          </cell>
          <cell r="AO39">
            <v>4752027</v>
          </cell>
          <cell r="AT39">
            <v>161400</v>
          </cell>
          <cell r="BD39">
            <v>0</v>
          </cell>
          <cell r="BE39">
            <v>0</v>
          </cell>
        </row>
        <row r="40">
          <cell r="W40">
            <v>67500</v>
          </cell>
          <cell r="AB40">
            <v>0</v>
          </cell>
          <cell r="AC40">
            <v>481005</v>
          </cell>
          <cell r="AD40">
            <v>351750</v>
          </cell>
          <cell r="AJ40">
            <v>0</v>
          </cell>
          <cell r="AO40">
            <v>4935255</v>
          </cell>
          <cell r="AT40">
            <v>161400</v>
          </cell>
          <cell r="BD40">
            <v>1</v>
          </cell>
          <cell r="BE40">
            <v>0</v>
          </cell>
        </row>
        <row r="41">
          <cell r="W41">
            <v>114700</v>
          </cell>
          <cell r="AB41">
            <v>0</v>
          </cell>
          <cell r="AC41">
            <v>227523</v>
          </cell>
          <cell r="AD41">
            <v>341250</v>
          </cell>
          <cell r="AJ41">
            <v>60994</v>
          </cell>
          <cell r="AO41">
            <v>4791979</v>
          </cell>
          <cell r="AT41">
            <v>161400</v>
          </cell>
          <cell r="BD41">
            <v>0</v>
          </cell>
          <cell r="BE41">
            <v>0</v>
          </cell>
        </row>
        <row r="42">
          <cell r="W42">
            <v>69750</v>
          </cell>
          <cell r="AB42">
            <v>0</v>
          </cell>
          <cell r="AC42">
            <v>209199</v>
          </cell>
          <cell r="AD42">
            <v>306250</v>
          </cell>
          <cell r="AJ42">
            <v>71942</v>
          </cell>
          <cell r="AO42">
            <v>4682757</v>
          </cell>
          <cell r="AT42">
            <v>161400</v>
          </cell>
          <cell r="BD42">
            <v>0</v>
          </cell>
          <cell r="BE42">
            <v>0</v>
          </cell>
        </row>
      </sheetData>
      <sheetData sheetId="1">
        <row r="11">
          <cell r="W11">
            <v>160950</v>
          </cell>
          <cell r="Z11">
            <v>80500</v>
          </cell>
          <cell r="AB11">
            <v>50500</v>
          </cell>
          <cell r="AJ11">
            <v>4192450</v>
          </cell>
          <cell r="AO11">
            <v>163420</v>
          </cell>
          <cell r="AY11">
            <v>2</v>
          </cell>
          <cell r="AZ11">
            <v>0</v>
          </cell>
        </row>
        <row r="12">
          <cell r="W12">
            <v>144150</v>
          </cell>
          <cell r="Z12">
            <v>62500</v>
          </cell>
          <cell r="AB12">
            <v>30000</v>
          </cell>
          <cell r="AF12">
            <v>4186604.15</v>
          </cell>
          <cell r="AJ12">
            <v>8592754.1500000004</v>
          </cell>
          <cell r="AO12">
            <v>162600</v>
          </cell>
          <cell r="AY12">
            <v>0</v>
          </cell>
          <cell r="AZ12">
            <v>0</v>
          </cell>
        </row>
        <row r="13">
          <cell r="W13">
            <v>160950</v>
          </cell>
          <cell r="Z13">
            <v>0</v>
          </cell>
          <cell r="AB13">
            <v>33000</v>
          </cell>
          <cell r="AJ13">
            <v>4094450</v>
          </cell>
          <cell r="AO13">
            <v>162720</v>
          </cell>
          <cell r="AY13">
            <v>2</v>
          </cell>
          <cell r="AZ13">
            <v>0</v>
          </cell>
        </row>
        <row r="14">
          <cell r="W14">
            <v>67500</v>
          </cell>
          <cell r="Z14">
            <v>0</v>
          </cell>
          <cell r="AB14">
            <v>36500</v>
          </cell>
          <cell r="AD14">
            <v>202400</v>
          </cell>
          <cell r="AF14">
            <v>233237</v>
          </cell>
          <cell r="AJ14">
            <v>4574637</v>
          </cell>
          <cell r="AO14">
            <v>162860</v>
          </cell>
          <cell r="AY14">
            <v>1</v>
          </cell>
          <cell r="AZ14">
            <v>0</v>
          </cell>
        </row>
        <row r="15">
          <cell r="W15">
            <v>172050</v>
          </cell>
          <cell r="Z15">
            <v>0</v>
          </cell>
          <cell r="AB15">
            <v>36500</v>
          </cell>
          <cell r="AJ15">
            <v>4378050</v>
          </cell>
          <cell r="AO15">
            <v>162860</v>
          </cell>
          <cell r="AY15">
            <v>0</v>
          </cell>
          <cell r="AZ15">
            <v>0</v>
          </cell>
        </row>
        <row r="16">
          <cell r="W16">
            <v>160950</v>
          </cell>
          <cell r="Z16">
            <v>0</v>
          </cell>
          <cell r="AB16">
            <v>33000</v>
          </cell>
          <cell r="AD16">
            <v>261760</v>
          </cell>
          <cell r="AF16">
            <v>384841.05000000005</v>
          </cell>
          <cell r="AJ16">
            <v>4741051.05</v>
          </cell>
          <cell r="AO16">
            <v>162720</v>
          </cell>
          <cell r="AY16">
            <v>2</v>
          </cell>
          <cell r="AZ16">
            <v>0</v>
          </cell>
        </row>
        <row r="17">
          <cell r="W17">
            <v>166500</v>
          </cell>
          <cell r="Z17">
            <v>0</v>
          </cell>
          <cell r="AB17">
            <v>50500</v>
          </cell>
          <cell r="AJ17">
            <v>4252000</v>
          </cell>
          <cell r="AO17">
            <v>163420</v>
          </cell>
          <cell r="AY17">
            <v>1</v>
          </cell>
          <cell r="AZ17">
            <v>0</v>
          </cell>
        </row>
        <row r="18">
          <cell r="W18">
            <v>69750</v>
          </cell>
          <cell r="Z18">
            <v>0</v>
          </cell>
          <cell r="AB18">
            <v>50500</v>
          </cell>
          <cell r="AJ18">
            <v>4289750</v>
          </cell>
          <cell r="AO18">
            <v>163420</v>
          </cell>
          <cell r="AY18">
            <v>0</v>
          </cell>
          <cell r="AZ18">
            <v>0</v>
          </cell>
        </row>
        <row r="19">
          <cell r="W19">
            <v>69750</v>
          </cell>
          <cell r="Z19">
            <v>0</v>
          </cell>
          <cell r="AB19">
            <v>57500</v>
          </cell>
          <cell r="AJ19">
            <v>4296750</v>
          </cell>
          <cell r="AO19">
            <v>163700</v>
          </cell>
          <cell r="AY19">
            <v>0</v>
          </cell>
          <cell r="AZ19">
            <v>0</v>
          </cell>
        </row>
        <row r="20">
          <cell r="W20">
            <v>69750</v>
          </cell>
          <cell r="Z20">
            <v>0</v>
          </cell>
          <cell r="AB20">
            <v>57500</v>
          </cell>
          <cell r="AJ20">
            <v>4296750</v>
          </cell>
          <cell r="AO20">
            <v>163700</v>
          </cell>
          <cell r="AY20">
            <v>0</v>
          </cell>
          <cell r="AZ20">
            <v>0</v>
          </cell>
        </row>
        <row r="21">
          <cell r="W21">
            <v>69750</v>
          </cell>
          <cell r="Z21">
            <v>0</v>
          </cell>
          <cell r="AB21">
            <v>54000</v>
          </cell>
          <cell r="AJ21">
            <v>4293250</v>
          </cell>
          <cell r="AO21">
            <v>163560</v>
          </cell>
          <cell r="AY21">
            <v>0</v>
          </cell>
          <cell r="AZ21">
            <v>0</v>
          </cell>
        </row>
        <row r="22">
          <cell r="W22">
            <v>69750</v>
          </cell>
          <cell r="Z22">
            <v>0</v>
          </cell>
          <cell r="AB22">
            <v>57500</v>
          </cell>
          <cell r="AJ22">
            <v>4296750</v>
          </cell>
          <cell r="AO22">
            <v>163700</v>
          </cell>
          <cell r="AY22">
            <v>0</v>
          </cell>
          <cell r="AZ22">
            <v>0</v>
          </cell>
        </row>
        <row r="23">
          <cell r="W23">
            <v>69750</v>
          </cell>
          <cell r="Z23">
            <v>0</v>
          </cell>
          <cell r="AB23">
            <v>50500</v>
          </cell>
          <cell r="AJ23">
            <v>4289750</v>
          </cell>
          <cell r="AO23">
            <v>163420</v>
          </cell>
          <cell r="AY23">
            <v>0</v>
          </cell>
          <cell r="AZ23">
            <v>0</v>
          </cell>
        </row>
        <row r="24">
          <cell r="W24">
            <v>100750</v>
          </cell>
          <cell r="Z24">
            <v>0</v>
          </cell>
          <cell r="AB24">
            <v>54000</v>
          </cell>
          <cell r="AJ24">
            <v>4324250</v>
          </cell>
          <cell r="AO24">
            <v>163560</v>
          </cell>
          <cell r="AY24">
            <v>0</v>
          </cell>
          <cell r="AZ24">
            <v>0</v>
          </cell>
        </row>
        <row r="25">
          <cell r="W25">
            <v>67500</v>
          </cell>
          <cell r="Z25">
            <v>0</v>
          </cell>
          <cell r="AB25">
            <v>50500</v>
          </cell>
          <cell r="AJ25">
            <v>4153000</v>
          </cell>
          <cell r="AO25">
            <v>163420</v>
          </cell>
          <cell r="AY25">
            <v>1</v>
          </cell>
          <cell r="AZ25">
            <v>0</v>
          </cell>
        </row>
        <row r="26">
          <cell r="W26">
            <v>67500</v>
          </cell>
          <cell r="Z26">
            <v>0</v>
          </cell>
          <cell r="AB26">
            <v>92500</v>
          </cell>
          <cell r="AJ26">
            <v>4195000</v>
          </cell>
          <cell r="AO26">
            <v>165100</v>
          </cell>
          <cell r="AY26">
            <v>1</v>
          </cell>
          <cell r="AZ26">
            <v>0</v>
          </cell>
        </row>
        <row r="27">
          <cell r="W27">
            <v>69750</v>
          </cell>
          <cell r="Z27">
            <v>0</v>
          </cell>
          <cell r="AB27">
            <v>27000</v>
          </cell>
          <cell r="AJ27">
            <v>4266250</v>
          </cell>
          <cell r="AO27">
            <v>162480</v>
          </cell>
          <cell r="AY27">
            <v>0</v>
          </cell>
          <cell r="AZ27">
            <v>0</v>
          </cell>
        </row>
        <row r="28">
          <cell r="W28">
            <v>69750</v>
          </cell>
          <cell r="Z28">
            <v>0</v>
          </cell>
          <cell r="AB28">
            <v>27000</v>
          </cell>
          <cell r="AJ28">
            <v>4266250</v>
          </cell>
          <cell r="AO28">
            <v>162480</v>
          </cell>
          <cell r="AY28">
            <v>0</v>
          </cell>
          <cell r="AZ28">
            <v>0</v>
          </cell>
        </row>
        <row r="29">
          <cell r="W29">
            <v>65250</v>
          </cell>
          <cell r="Z29">
            <v>0</v>
          </cell>
          <cell r="AB29">
            <v>21000</v>
          </cell>
          <cell r="AJ29">
            <v>3986750</v>
          </cell>
          <cell r="AO29">
            <v>162240</v>
          </cell>
          <cell r="AY29">
            <v>2</v>
          </cell>
          <cell r="AZ29">
            <v>0</v>
          </cell>
        </row>
        <row r="30">
          <cell r="W30">
            <v>69750</v>
          </cell>
          <cell r="Z30">
            <v>0</v>
          </cell>
          <cell r="AB30">
            <v>21000</v>
          </cell>
          <cell r="AJ30">
            <v>4260250</v>
          </cell>
          <cell r="AO30">
            <v>162240</v>
          </cell>
          <cell r="AY30">
            <v>0</v>
          </cell>
          <cell r="AZ30">
            <v>0</v>
          </cell>
        </row>
        <row r="31">
          <cell r="W31">
            <v>69750</v>
          </cell>
          <cell r="Z31">
            <v>0</v>
          </cell>
          <cell r="AB31">
            <v>21000</v>
          </cell>
          <cell r="AJ31">
            <v>4260250</v>
          </cell>
          <cell r="AO31">
            <v>162240</v>
          </cell>
          <cell r="AY31">
            <v>0</v>
          </cell>
          <cell r="AZ31">
            <v>0</v>
          </cell>
        </row>
        <row r="32">
          <cell r="W32">
            <v>69750</v>
          </cell>
          <cell r="Z32">
            <v>0</v>
          </cell>
          <cell r="AB32">
            <v>21000</v>
          </cell>
          <cell r="AJ32">
            <v>4260250</v>
          </cell>
          <cell r="AO32">
            <v>162240</v>
          </cell>
          <cell r="AY32">
            <v>0</v>
          </cell>
          <cell r="AZ32">
            <v>0</v>
          </cell>
        </row>
      </sheetData>
      <sheetData sheetId="2">
        <row r="9">
          <cell r="U9">
            <v>69750</v>
          </cell>
          <cell r="X9">
            <v>87500</v>
          </cell>
          <cell r="Z9">
            <v>21000</v>
          </cell>
          <cell r="AA9">
            <v>1224494.25</v>
          </cell>
          <cell r="AB9">
            <v>1770850</v>
          </cell>
          <cell r="AF9">
            <v>7343094.25</v>
          </cell>
          <cell r="AK9">
            <v>162240</v>
          </cell>
          <cell r="AU9">
            <v>0</v>
          </cell>
        </row>
        <row r="10">
          <cell r="U10">
            <v>172050</v>
          </cell>
          <cell r="X10">
            <v>60000</v>
          </cell>
          <cell r="Z10">
            <v>36500</v>
          </cell>
          <cell r="AA10">
            <v>0</v>
          </cell>
          <cell r="AB10">
            <v>0</v>
          </cell>
          <cell r="AF10">
            <v>4438050</v>
          </cell>
          <cell r="AK10">
            <v>162860</v>
          </cell>
          <cell r="AU10">
            <v>0</v>
          </cell>
        </row>
        <row r="11">
          <cell r="U11">
            <v>130200</v>
          </cell>
          <cell r="X11">
            <v>84000</v>
          </cell>
          <cell r="Z11">
            <v>27000</v>
          </cell>
          <cell r="AA11">
            <v>1224494.25</v>
          </cell>
          <cell r="AB11">
            <v>1856420</v>
          </cell>
          <cell r="AF11">
            <v>7491614.25</v>
          </cell>
          <cell r="AK11">
            <v>162480</v>
          </cell>
          <cell r="AU11">
            <v>0</v>
          </cell>
        </row>
        <row r="12">
          <cell r="U12">
            <v>166500</v>
          </cell>
          <cell r="X12">
            <v>60000</v>
          </cell>
          <cell r="Z12">
            <v>36500</v>
          </cell>
          <cell r="AA12">
            <v>1224494.25</v>
          </cell>
          <cell r="AB12">
            <v>1784485</v>
          </cell>
          <cell r="AF12">
            <v>7306979.25</v>
          </cell>
          <cell r="AK12">
            <v>162860</v>
          </cell>
          <cell r="AU12">
            <v>1</v>
          </cell>
        </row>
        <row r="13">
          <cell r="U13">
            <v>160950</v>
          </cell>
          <cell r="X13">
            <v>80500</v>
          </cell>
          <cell r="Z13">
            <v>89000</v>
          </cell>
          <cell r="AA13">
            <v>897962.45000000007</v>
          </cell>
          <cell r="AB13">
            <v>493289.99999999988</v>
          </cell>
          <cell r="AF13">
            <v>5622202.4500000002</v>
          </cell>
          <cell r="AK13">
            <v>164960</v>
          </cell>
          <cell r="AU13">
            <v>2</v>
          </cell>
        </row>
        <row r="14">
          <cell r="U14">
            <v>160950</v>
          </cell>
          <cell r="X14">
            <v>55000</v>
          </cell>
          <cell r="Z14">
            <v>36500</v>
          </cell>
          <cell r="AA14">
            <v>944609.85000000009</v>
          </cell>
          <cell r="AB14">
            <v>893040</v>
          </cell>
          <cell r="AF14">
            <v>5990599.8499999996</v>
          </cell>
          <cell r="AK14">
            <v>162860</v>
          </cell>
          <cell r="AU14">
            <v>2</v>
          </cell>
        </row>
        <row r="15">
          <cell r="U15">
            <v>65250</v>
          </cell>
          <cell r="X15">
            <v>73500</v>
          </cell>
          <cell r="Z15">
            <v>40000</v>
          </cell>
          <cell r="AA15">
            <v>1026242.8</v>
          </cell>
          <cell r="AB15">
            <v>1649850</v>
          </cell>
          <cell r="AF15">
            <v>6755342.7999999998</v>
          </cell>
          <cell r="AK15">
            <v>163000</v>
          </cell>
          <cell r="AU15">
            <v>2</v>
          </cell>
        </row>
        <row r="16">
          <cell r="U16">
            <v>149850</v>
          </cell>
          <cell r="X16">
            <v>50000</v>
          </cell>
          <cell r="Z16">
            <v>50500</v>
          </cell>
          <cell r="AA16">
            <v>1084552.05</v>
          </cell>
          <cell r="AB16">
            <v>1376195</v>
          </cell>
          <cell r="AF16">
            <v>6342597.0499999998</v>
          </cell>
          <cell r="AK16">
            <v>163420</v>
          </cell>
          <cell r="AU16">
            <v>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A7" workbookViewId="0">
      <selection activeCell="D17" sqref="D17"/>
    </sheetView>
  </sheetViews>
  <sheetFormatPr defaultColWidth="8.7109375" defaultRowHeight="15" customHeight="1"/>
  <cols>
    <col min="1" max="1" width="4.7109375" style="11" customWidth="1"/>
    <col min="2" max="2" width="13.7109375" style="30" customWidth="1"/>
    <col min="3" max="3" width="4.7109375" style="11" customWidth="1"/>
    <col min="4" max="4" width="14.7109375" style="30" customWidth="1"/>
    <col min="5" max="5" width="8.7109375" style="31" customWidth="1"/>
    <col min="6" max="7" width="4.7109375" style="11" customWidth="1"/>
    <col min="8" max="8" width="13.7109375" style="11" customWidth="1"/>
    <col min="9" max="9" width="4.7109375" style="11" customWidth="1"/>
    <col min="10" max="10" width="14.7109375" style="11" customWidth="1"/>
    <col min="11" max="11" width="8.7109375" style="22" customWidth="1"/>
    <col min="12" max="13" width="4.7109375" style="11" customWidth="1"/>
    <col min="14" max="14" width="13.7109375" style="11" customWidth="1"/>
    <col min="15" max="15" width="4.7109375" style="11" customWidth="1"/>
    <col min="16" max="16" width="14.7109375" style="11" customWidth="1"/>
    <col min="17" max="17" width="8.7109375" style="22" customWidth="1"/>
    <col min="18" max="18" width="4.7109375" style="11" customWidth="1"/>
    <col min="19" max="19" width="14.28515625" style="14" customWidth="1"/>
    <col min="20" max="20" width="4.7109375" style="14" customWidth="1"/>
    <col min="21" max="21" width="13.85546875" style="14" customWidth="1"/>
    <col min="22" max="22" width="8.7109375" style="14" customWidth="1"/>
    <col min="23" max="23" width="4.7109375" style="12" customWidth="1"/>
    <col min="24" max="24" width="4.7109375" style="22" customWidth="1"/>
    <col min="25" max="25" width="8.7109375" style="14"/>
    <col min="26" max="16384" width="8.7109375" style="11"/>
  </cols>
  <sheetData>
    <row r="1" spans="1:25" s="2" customFormat="1" ht="20.100000000000001" customHeight="1">
      <c r="A1" s="1" t="s">
        <v>0</v>
      </c>
      <c r="E1" s="3"/>
      <c r="F1" s="4"/>
      <c r="G1" s="1" t="s">
        <v>1</v>
      </c>
      <c r="H1" s="4"/>
      <c r="I1" s="4"/>
      <c r="J1" s="4"/>
      <c r="K1" s="5"/>
      <c r="M1" s="1" t="s">
        <v>2</v>
      </c>
      <c r="Q1" s="5"/>
      <c r="S1" s="1" t="s">
        <v>3</v>
      </c>
      <c r="T1" s="6"/>
      <c r="U1" s="6"/>
      <c r="V1" s="6"/>
      <c r="W1" s="7"/>
      <c r="X1" s="8"/>
      <c r="Y1" s="6"/>
    </row>
    <row r="2" spans="1:25" ht="20.100000000000001" customHeight="1">
      <c r="A2" s="9" t="s">
        <v>4</v>
      </c>
      <c r="B2" s="127" t="s">
        <v>5</v>
      </c>
      <c r="C2" s="127"/>
      <c r="D2" s="127"/>
      <c r="E2" s="10" t="s">
        <v>6</v>
      </c>
      <c r="G2" s="9" t="s">
        <v>4</v>
      </c>
      <c r="H2" s="127" t="s">
        <v>5</v>
      </c>
      <c r="I2" s="127"/>
      <c r="J2" s="127"/>
      <c r="K2" s="10" t="s">
        <v>7</v>
      </c>
      <c r="M2" s="9" t="s">
        <v>4</v>
      </c>
      <c r="N2" s="127" t="s">
        <v>5</v>
      </c>
      <c r="O2" s="127"/>
      <c r="P2" s="127"/>
      <c r="Q2" s="10" t="s">
        <v>8</v>
      </c>
      <c r="S2" s="127" t="s">
        <v>9</v>
      </c>
      <c r="T2" s="127"/>
      <c r="U2" s="127"/>
      <c r="V2" s="9" t="s">
        <v>10</v>
      </c>
      <c r="X2" s="13"/>
    </row>
    <row r="3" spans="1:25" ht="15" customHeight="1">
      <c r="A3" s="15">
        <v>1</v>
      </c>
      <c r="B3" s="16">
        <v>0</v>
      </c>
      <c r="C3" s="15" t="s">
        <v>11</v>
      </c>
      <c r="D3" s="17">
        <v>5400000</v>
      </c>
      <c r="E3" s="18">
        <v>0</v>
      </c>
      <c r="G3" s="15">
        <v>1</v>
      </c>
      <c r="H3" s="16">
        <v>0</v>
      </c>
      <c r="I3" s="15" t="s">
        <v>11</v>
      </c>
      <c r="J3" s="17">
        <v>6200000</v>
      </c>
      <c r="K3" s="18">
        <v>0</v>
      </c>
      <c r="M3" s="15">
        <v>1</v>
      </c>
      <c r="N3" s="16">
        <v>0</v>
      </c>
      <c r="O3" s="15" t="s">
        <v>11</v>
      </c>
      <c r="P3" s="17">
        <v>6600000</v>
      </c>
      <c r="Q3" s="18">
        <v>0</v>
      </c>
      <c r="S3" s="16">
        <v>0</v>
      </c>
      <c r="T3" s="15" t="s">
        <v>11</v>
      </c>
      <c r="U3" s="19">
        <v>450000</v>
      </c>
      <c r="V3" s="20">
        <v>0</v>
      </c>
      <c r="X3" s="13"/>
    </row>
    <row r="4" spans="1:25" ht="15" customHeight="1">
      <c r="A4" s="15">
        <f>A3+1</f>
        <v>2</v>
      </c>
      <c r="B4" s="17">
        <f>D3+1</f>
        <v>5400001</v>
      </c>
      <c r="C4" s="15" t="s">
        <v>11</v>
      </c>
      <c r="D4" s="17">
        <v>5650000</v>
      </c>
      <c r="E4" s="18">
        <v>2.5000000000000001E-3</v>
      </c>
      <c r="G4" s="15">
        <f>G3+1</f>
        <v>2</v>
      </c>
      <c r="H4" s="17">
        <f>J3+1</f>
        <v>6200001</v>
      </c>
      <c r="I4" s="15" t="s">
        <v>11</v>
      </c>
      <c r="J4" s="17">
        <v>6500000</v>
      </c>
      <c r="K4" s="18">
        <v>2.5000000000000001E-3</v>
      </c>
      <c r="M4" s="15">
        <f>M3+1</f>
        <v>2</v>
      </c>
      <c r="N4" s="17">
        <f>P3+1</f>
        <v>6600001</v>
      </c>
      <c r="O4" s="15" t="s">
        <v>11</v>
      </c>
      <c r="P4" s="17">
        <v>6950000</v>
      </c>
      <c r="Q4" s="18">
        <v>2.5000000000000001E-3</v>
      </c>
      <c r="S4" s="19">
        <v>450001</v>
      </c>
      <c r="T4" s="15" t="s">
        <v>11</v>
      </c>
      <c r="U4" s="19">
        <v>2500000</v>
      </c>
      <c r="V4" s="21">
        <v>5.0000000000000001E-3</v>
      </c>
      <c r="X4" s="13"/>
    </row>
    <row r="5" spans="1:25" ht="15" customHeight="1">
      <c r="A5" s="15">
        <f t="shared" ref="A5:A46" si="0">A4+1</f>
        <v>3</v>
      </c>
      <c r="B5" s="17">
        <f t="shared" ref="B5:B46" si="1">D4+1</f>
        <v>5650001</v>
      </c>
      <c r="C5" s="15" t="s">
        <v>11</v>
      </c>
      <c r="D5" s="17">
        <v>5950000</v>
      </c>
      <c r="E5" s="18">
        <v>5.0000000000000001E-3</v>
      </c>
      <c r="G5" s="15">
        <f t="shared" ref="G5:G42" si="2">G4+1</f>
        <v>3</v>
      </c>
      <c r="H5" s="17">
        <f t="shared" ref="H5:H42" si="3">J4+1</f>
        <v>6500001</v>
      </c>
      <c r="I5" s="15" t="s">
        <v>11</v>
      </c>
      <c r="J5" s="17">
        <v>6850000</v>
      </c>
      <c r="K5" s="18">
        <v>5.0000000000000001E-3</v>
      </c>
      <c r="M5" s="15">
        <f t="shared" ref="M5:M42" si="4">M4+1</f>
        <v>3</v>
      </c>
      <c r="N5" s="17">
        <f t="shared" ref="N5:N43" si="5">P4+1</f>
        <v>6950001</v>
      </c>
      <c r="O5" s="15" t="s">
        <v>11</v>
      </c>
      <c r="P5" s="17">
        <v>7350000</v>
      </c>
      <c r="Q5" s="18">
        <v>5.0000000000000001E-3</v>
      </c>
    </row>
    <row r="6" spans="1:25" ht="15" customHeight="1">
      <c r="A6" s="15">
        <f t="shared" si="0"/>
        <v>4</v>
      </c>
      <c r="B6" s="17">
        <f t="shared" si="1"/>
        <v>5950001</v>
      </c>
      <c r="C6" s="15" t="s">
        <v>11</v>
      </c>
      <c r="D6" s="17">
        <v>6300000</v>
      </c>
      <c r="E6" s="18">
        <v>7.4999999999999997E-3</v>
      </c>
      <c r="G6" s="15">
        <f t="shared" si="2"/>
        <v>4</v>
      </c>
      <c r="H6" s="17">
        <f t="shared" si="3"/>
        <v>6850001</v>
      </c>
      <c r="I6" s="15" t="s">
        <v>11</v>
      </c>
      <c r="J6" s="17">
        <v>7300000</v>
      </c>
      <c r="K6" s="18">
        <v>7.4999999999999997E-3</v>
      </c>
      <c r="M6" s="15">
        <f t="shared" si="4"/>
        <v>4</v>
      </c>
      <c r="N6" s="17">
        <f t="shared" si="5"/>
        <v>7350001</v>
      </c>
      <c r="O6" s="15" t="s">
        <v>11</v>
      </c>
      <c r="P6" s="17">
        <v>7800000</v>
      </c>
      <c r="Q6" s="18">
        <v>7.4999999999999997E-3</v>
      </c>
    </row>
    <row r="7" spans="1:25" ht="15" customHeight="1">
      <c r="A7" s="15">
        <f t="shared" si="0"/>
        <v>5</v>
      </c>
      <c r="B7" s="17">
        <f t="shared" si="1"/>
        <v>6300001</v>
      </c>
      <c r="C7" s="15" t="s">
        <v>11</v>
      </c>
      <c r="D7" s="17">
        <v>6750000</v>
      </c>
      <c r="E7" s="18">
        <v>0.01</v>
      </c>
      <c r="G7" s="15">
        <f t="shared" si="2"/>
        <v>5</v>
      </c>
      <c r="H7" s="17">
        <f t="shared" si="3"/>
        <v>7300001</v>
      </c>
      <c r="I7" s="15" t="s">
        <v>11</v>
      </c>
      <c r="J7" s="17">
        <v>9200000</v>
      </c>
      <c r="K7" s="18">
        <v>0.01</v>
      </c>
      <c r="M7" s="15">
        <f t="shared" si="4"/>
        <v>5</v>
      </c>
      <c r="N7" s="17">
        <f t="shared" si="5"/>
        <v>7800001</v>
      </c>
      <c r="O7" s="15" t="s">
        <v>11</v>
      </c>
      <c r="P7" s="17">
        <v>8850000</v>
      </c>
      <c r="Q7" s="18">
        <v>0.01</v>
      </c>
      <c r="S7" s="1" t="s">
        <v>12</v>
      </c>
      <c r="T7" s="6"/>
      <c r="U7" s="6"/>
      <c r="V7" s="6"/>
    </row>
    <row r="8" spans="1:25" ht="15" customHeight="1">
      <c r="A8" s="15">
        <f t="shared" si="0"/>
        <v>6</v>
      </c>
      <c r="B8" s="17">
        <f t="shared" si="1"/>
        <v>6750001</v>
      </c>
      <c r="C8" s="15" t="s">
        <v>11</v>
      </c>
      <c r="D8" s="17">
        <v>7500000</v>
      </c>
      <c r="E8" s="18">
        <v>1.2500000000000001E-2</v>
      </c>
      <c r="G8" s="15">
        <f t="shared" si="2"/>
        <v>6</v>
      </c>
      <c r="H8" s="17">
        <f t="shared" si="3"/>
        <v>9200001</v>
      </c>
      <c r="I8" s="15" t="s">
        <v>11</v>
      </c>
      <c r="J8" s="17">
        <v>10750000</v>
      </c>
      <c r="K8" s="18">
        <v>1.4999999999999999E-2</v>
      </c>
      <c r="M8" s="15">
        <f t="shared" si="4"/>
        <v>6</v>
      </c>
      <c r="N8" s="17">
        <f t="shared" si="5"/>
        <v>8850001</v>
      </c>
      <c r="O8" s="15" t="s">
        <v>11</v>
      </c>
      <c r="P8" s="17">
        <v>9800000</v>
      </c>
      <c r="Q8" s="18">
        <v>1.2500000000000001E-2</v>
      </c>
      <c r="S8" s="127" t="s">
        <v>13</v>
      </c>
      <c r="T8" s="127"/>
      <c r="U8" s="127"/>
      <c r="V8" s="9" t="s">
        <v>10</v>
      </c>
    </row>
    <row r="9" spans="1:25" ht="15" customHeight="1">
      <c r="A9" s="15">
        <f t="shared" si="0"/>
        <v>7</v>
      </c>
      <c r="B9" s="17">
        <f t="shared" si="1"/>
        <v>7500001</v>
      </c>
      <c r="C9" s="15" t="s">
        <v>11</v>
      </c>
      <c r="D9" s="17">
        <v>8550000</v>
      </c>
      <c r="E9" s="18">
        <v>1.5000000000000001E-2</v>
      </c>
      <c r="G9" s="15">
        <f t="shared" si="2"/>
        <v>7</v>
      </c>
      <c r="H9" s="17">
        <f t="shared" si="3"/>
        <v>10750001</v>
      </c>
      <c r="I9" s="15" t="s">
        <v>11</v>
      </c>
      <c r="J9" s="17">
        <v>11250000</v>
      </c>
      <c r="K9" s="18">
        <v>0.02</v>
      </c>
      <c r="M9" s="15">
        <f t="shared" si="4"/>
        <v>7</v>
      </c>
      <c r="N9" s="17">
        <f t="shared" si="5"/>
        <v>9800001</v>
      </c>
      <c r="O9" s="15" t="s">
        <v>11</v>
      </c>
      <c r="P9" s="17">
        <v>10950000</v>
      </c>
      <c r="Q9" s="18">
        <v>1.5000000000000001E-2</v>
      </c>
      <c r="S9" s="16">
        <v>0</v>
      </c>
      <c r="T9" s="15" t="s">
        <v>11</v>
      </c>
      <c r="U9" s="19">
        <v>60000000</v>
      </c>
      <c r="V9" s="20">
        <v>0.05</v>
      </c>
    </row>
    <row r="10" spans="1:25" ht="15" customHeight="1">
      <c r="A10" s="15">
        <f t="shared" si="0"/>
        <v>8</v>
      </c>
      <c r="B10" s="17">
        <f t="shared" si="1"/>
        <v>8550001</v>
      </c>
      <c r="C10" s="15" t="s">
        <v>11</v>
      </c>
      <c r="D10" s="17">
        <v>9650000</v>
      </c>
      <c r="E10" s="18">
        <v>1.7500000000000002E-2</v>
      </c>
      <c r="G10" s="15">
        <f t="shared" si="2"/>
        <v>8</v>
      </c>
      <c r="H10" s="17">
        <f t="shared" si="3"/>
        <v>11250001</v>
      </c>
      <c r="I10" s="15" t="s">
        <v>11</v>
      </c>
      <c r="J10" s="17">
        <v>11600000</v>
      </c>
      <c r="K10" s="18">
        <v>2.5000000000000001E-2</v>
      </c>
      <c r="M10" s="15">
        <f t="shared" si="4"/>
        <v>8</v>
      </c>
      <c r="N10" s="17">
        <f t="shared" si="5"/>
        <v>10950001</v>
      </c>
      <c r="O10" s="15" t="s">
        <v>11</v>
      </c>
      <c r="P10" s="17">
        <v>11200000</v>
      </c>
      <c r="Q10" s="18">
        <v>1.7500000000000002E-2</v>
      </c>
      <c r="S10" s="19">
        <f>U9+1</f>
        <v>60000001</v>
      </c>
      <c r="T10" s="15" t="s">
        <v>11</v>
      </c>
      <c r="U10" s="19">
        <v>250000000</v>
      </c>
      <c r="V10" s="20">
        <v>0.15</v>
      </c>
    </row>
    <row r="11" spans="1:25" ht="15" customHeight="1">
      <c r="A11" s="15">
        <f t="shared" si="0"/>
        <v>9</v>
      </c>
      <c r="B11" s="17">
        <f t="shared" si="1"/>
        <v>9650001</v>
      </c>
      <c r="C11" s="15" t="s">
        <v>11</v>
      </c>
      <c r="D11" s="17">
        <v>10050000</v>
      </c>
      <c r="E11" s="18">
        <v>0.02</v>
      </c>
      <c r="G11" s="15">
        <f t="shared" si="2"/>
        <v>9</v>
      </c>
      <c r="H11" s="17">
        <f t="shared" si="3"/>
        <v>11600001</v>
      </c>
      <c r="I11" s="15" t="s">
        <v>11</v>
      </c>
      <c r="J11" s="17">
        <v>12600000</v>
      </c>
      <c r="K11" s="18">
        <v>3.0000000000000002E-2</v>
      </c>
      <c r="M11" s="15">
        <f t="shared" si="4"/>
        <v>9</v>
      </c>
      <c r="N11" s="17">
        <f t="shared" si="5"/>
        <v>11200001</v>
      </c>
      <c r="O11" s="15" t="s">
        <v>11</v>
      </c>
      <c r="P11" s="17">
        <v>12050000</v>
      </c>
      <c r="Q11" s="18">
        <v>0.02</v>
      </c>
      <c r="S11" s="19">
        <f>U10+1</f>
        <v>250000001</v>
      </c>
      <c r="T11" s="15" t="s">
        <v>11</v>
      </c>
      <c r="U11" s="19">
        <v>500000000</v>
      </c>
      <c r="V11" s="20">
        <v>0.25</v>
      </c>
    </row>
    <row r="12" spans="1:25" ht="15" customHeight="1">
      <c r="A12" s="15">
        <f t="shared" si="0"/>
        <v>10</v>
      </c>
      <c r="B12" s="17">
        <f t="shared" si="1"/>
        <v>10050001</v>
      </c>
      <c r="C12" s="15" t="s">
        <v>11</v>
      </c>
      <c r="D12" s="17">
        <v>10350000</v>
      </c>
      <c r="E12" s="18">
        <v>2.2499999999999999E-2</v>
      </c>
      <c r="G12" s="15">
        <f t="shared" si="2"/>
        <v>10</v>
      </c>
      <c r="H12" s="17">
        <f t="shared" si="3"/>
        <v>12600001</v>
      </c>
      <c r="I12" s="15" t="s">
        <v>11</v>
      </c>
      <c r="J12" s="17">
        <v>13600000</v>
      </c>
      <c r="K12" s="18">
        <v>0.04</v>
      </c>
      <c r="M12" s="15">
        <f t="shared" si="4"/>
        <v>10</v>
      </c>
      <c r="N12" s="17">
        <f t="shared" si="5"/>
        <v>12050001</v>
      </c>
      <c r="O12" s="15" t="s">
        <v>11</v>
      </c>
      <c r="P12" s="17">
        <v>12950000</v>
      </c>
      <c r="Q12" s="18">
        <v>0.03</v>
      </c>
      <c r="S12" s="19">
        <f>U11+1</f>
        <v>500000001</v>
      </c>
      <c r="T12" s="15" t="s">
        <v>11</v>
      </c>
      <c r="U12" s="19">
        <v>5000000000</v>
      </c>
      <c r="V12" s="20">
        <v>0.3</v>
      </c>
    </row>
    <row r="13" spans="1:25" ht="15" customHeight="1">
      <c r="A13" s="15">
        <f t="shared" si="0"/>
        <v>11</v>
      </c>
      <c r="B13" s="17">
        <f t="shared" si="1"/>
        <v>10350001</v>
      </c>
      <c r="C13" s="15" t="s">
        <v>11</v>
      </c>
      <c r="D13" s="17">
        <v>10700000</v>
      </c>
      <c r="E13" s="18">
        <v>2.4999999999999998E-2</v>
      </c>
      <c r="G13" s="15">
        <f t="shared" si="2"/>
        <v>11</v>
      </c>
      <c r="H13" s="17">
        <f t="shared" si="3"/>
        <v>13600001</v>
      </c>
      <c r="I13" s="15" t="s">
        <v>11</v>
      </c>
      <c r="J13" s="17">
        <v>14950000</v>
      </c>
      <c r="K13" s="18">
        <v>0.05</v>
      </c>
      <c r="M13" s="15">
        <f t="shared" si="4"/>
        <v>11</v>
      </c>
      <c r="N13" s="17">
        <f t="shared" si="5"/>
        <v>12950001</v>
      </c>
      <c r="O13" s="15" t="s">
        <v>11</v>
      </c>
      <c r="P13" s="17">
        <v>14150000</v>
      </c>
      <c r="Q13" s="18">
        <v>0.04</v>
      </c>
      <c r="S13" s="19">
        <f>U12+1</f>
        <v>5000000001</v>
      </c>
      <c r="T13" s="15" t="s">
        <v>11</v>
      </c>
      <c r="U13" s="17" t="s">
        <v>14</v>
      </c>
      <c r="V13" s="20">
        <v>0.35</v>
      </c>
    </row>
    <row r="14" spans="1:25" ht="15" customHeight="1">
      <c r="A14" s="15">
        <f t="shared" si="0"/>
        <v>12</v>
      </c>
      <c r="B14" s="17">
        <f t="shared" si="1"/>
        <v>10700001</v>
      </c>
      <c r="C14" s="15" t="s">
        <v>11</v>
      </c>
      <c r="D14" s="17">
        <v>11050000</v>
      </c>
      <c r="E14" s="18">
        <v>0.03</v>
      </c>
      <c r="G14" s="15">
        <f t="shared" si="2"/>
        <v>12</v>
      </c>
      <c r="H14" s="17">
        <f t="shared" si="3"/>
        <v>14950001</v>
      </c>
      <c r="I14" s="15" t="s">
        <v>11</v>
      </c>
      <c r="J14" s="17">
        <v>16400000</v>
      </c>
      <c r="K14" s="18">
        <v>6.0000000000000005E-2</v>
      </c>
      <c r="M14" s="15">
        <f t="shared" si="4"/>
        <v>12</v>
      </c>
      <c r="N14" s="17">
        <f t="shared" si="5"/>
        <v>14150001</v>
      </c>
      <c r="O14" s="15" t="s">
        <v>11</v>
      </c>
      <c r="P14" s="17">
        <v>1550000</v>
      </c>
      <c r="Q14" s="18">
        <v>0.05</v>
      </c>
      <c r="T14" s="128"/>
      <c r="U14" s="128"/>
    </row>
    <row r="15" spans="1:25" ht="15" customHeight="1">
      <c r="A15" s="15">
        <f t="shared" si="0"/>
        <v>13</v>
      </c>
      <c r="B15" s="17">
        <f t="shared" si="1"/>
        <v>11050001</v>
      </c>
      <c r="C15" s="15" t="s">
        <v>11</v>
      </c>
      <c r="D15" s="17">
        <v>11600000</v>
      </c>
      <c r="E15" s="18">
        <v>3.5000000000000003E-2</v>
      </c>
      <c r="G15" s="15">
        <f t="shared" si="2"/>
        <v>13</v>
      </c>
      <c r="H15" s="17">
        <f t="shared" si="3"/>
        <v>16400001</v>
      </c>
      <c r="I15" s="15" t="s">
        <v>11</v>
      </c>
      <c r="J15" s="17">
        <v>18450000</v>
      </c>
      <c r="K15" s="18">
        <v>7.0000000000000007E-2</v>
      </c>
      <c r="M15" s="15">
        <f t="shared" si="4"/>
        <v>13</v>
      </c>
      <c r="N15" s="17">
        <f t="shared" si="5"/>
        <v>1550001</v>
      </c>
      <c r="O15" s="15" t="s">
        <v>11</v>
      </c>
      <c r="P15" s="17">
        <v>17050000</v>
      </c>
      <c r="Q15" s="18">
        <v>6.0000000000000005E-2</v>
      </c>
      <c r="U15" s="23"/>
    </row>
    <row r="16" spans="1:25" ht="15" customHeight="1">
      <c r="A16" s="15">
        <f t="shared" si="0"/>
        <v>14</v>
      </c>
      <c r="B16" s="17">
        <f t="shared" si="1"/>
        <v>11600001</v>
      </c>
      <c r="C16" s="15" t="s">
        <v>11</v>
      </c>
      <c r="D16" s="17">
        <v>12500000</v>
      </c>
      <c r="E16" s="18">
        <v>0.04</v>
      </c>
      <c r="G16" s="15">
        <f t="shared" si="2"/>
        <v>14</v>
      </c>
      <c r="H16" s="17">
        <f t="shared" si="3"/>
        <v>18450001</v>
      </c>
      <c r="I16" s="15" t="s">
        <v>11</v>
      </c>
      <c r="J16" s="17">
        <v>21850000</v>
      </c>
      <c r="K16" s="18">
        <v>0.08</v>
      </c>
      <c r="M16" s="15">
        <f t="shared" si="4"/>
        <v>14</v>
      </c>
      <c r="N16" s="17">
        <f t="shared" si="5"/>
        <v>17050001</v>
      </c>
      <c r="O16" s="15" t="s">
        <v>11</v>
      </c>
      <c r="P16" s="17">
        <v>19500000</v>
      </c>
      <c r="Q16" s="18">
        <v>7.0000000000000007E-2</v>
      </c>
      <c r="S16" s="1" t="s">
        <v>15</v>
      </c>
      <c r="T16" s="7"/>
      <c r="U16" s="23"/>
    </row>
    <row r="17" spans="1:25" ht="15" customHeight="1">
      <c r="A17" s="15">
        <f t="shared" si="0"/>
        <v>15</v>
      </c>
      <c r="B17" s="17">
        <f t="shared" si="1"/>
        <v>12500001</v>
      </c>
      <c r="C17" s="15" t="s">
        <v>11</v>
      </c>
      <c r="D17" s="17">
        <v>13750000</v>
      </c>
      <c r="E17" s="18">
        <v>0.05</v>
      </c>
      <c r="G17" s="15">
        <f t="shared" si="2"/>
        <v>15</v>
      </c>
      <c r="H17" s="17">
        <f t="shared" si="3"/>
        <v>21850001</v>
      </c>
      <c r="I17" s="15" t="s">
        <v>11</v>
      </c>
      <c r="J17" s="17">
        <v>26000000</v>
      </c>
      <c r="K17" s="18">
        <v>0.09</v>
      </c>
      <c r="M17" s="15">
        <f t="shared" si="4"/>
        <v>15</v>
      </c>
      <c r="N17" s="17">
        <f t="shared" si="5"/>
        <v>19500001</v>
      </c>
      <c r="O17" s="15" t="s">
        <v>11</v>
      </c>
      <c r="P17" s="17">
        <v>22700000</v>
      </c>
      <c r="Q17" s="18">
        <v>0.08</v>
      </c>
      <c r="S17" s="127" t="s">
        <v>16</v>
      </c>
      <c r="T17" s="127"/>
      <c r="U17" s="24" t="s">
        <v>17</v>
      </c>
      <c r="V17" s="11"/>
      <c r="W17" s="11"/>
      <c r="X17" s="11"/>
      <c r="Y17" s="11"/>
    </row>
    <row r="18" spans="1:25" ht="15" customHeight="1">
      <c r="A18" s="15">
        <f t="shared" si="0"/>
        <v>16</v>
      </c>
      <c r="B18" s="17">
        <f t="shared" si="1"/>
        <v>13750001</v>
      </c>
      <c r="C18" s="15" t="s">
        <v>11</v>
      </c>
      <c r="D18" s="17">
        <v>15100000</v>
      </c>
      <c r="E18" s="18">
        <v>6.0000000000000005E-2</v>
      </c>
      <c r="G18" s="15">
        <f t="shared" si="2"/>
        <v>16</v>
      </c>
      <c r="H18" s="17">
        <f t="shared" si="3"/>
        <v>26000001</v>
      </c>
      <c r="I18" s="15" t="s">
        <v>11</v>
      </c>
      <c r="J18" s="17">
        <v>27700000</v>
      </c>
      <c r="K18" s="18">
        <v>9.9999999999999992E-2</v>
      </c>
      <c r="M18" s="15">
        <f t="shared" si="4"/>
        <v>16</v>
      </c>
      <c r="N18" s="17">
        <f t="shared" si="5"/>
        <v>22700001</v>
      </c>
      <c r="O18" s="15" t="s">
        <v>11</v>
      </c>
      <c r="P18" s="17">
        <v>26600000</v>
      </c>
      <c r="Q18" s="18">
        <v>0.09</v>
      </c>
      <c r="S18" s="126" t="s">
        <v>18</v>
      </c>
      <c r="T18" s="126"/>
      <c r="U18" s="25">
        <v>54000000</v>
      </c>
      <c r="V18" s="11"/>
      <c r="W18" s="11"/>
      <c r="X18" s="11"/>
      <c r="Y18" s="11"/>
    </row>
    <row r="19" spans="1:25" ht="15" customHeight="1">
      <c r="A19" s="15">
        <f t="shared" si="0"/>
        <v>17</v>
      </c>
      <c r="B19" s="17">
        <f t="shared" si="1"/>
        <v>15100001</v>
      </c>
      <c r="C19" s="15" t="s">
        <v>11</v>
      </c>
      <c r="D19" s="17">
        <v>16950000</v>
      </c>
      <c r="E19" s="18">
        <v>7.0000000000000007E-2</v>
      </c>
      <c r="G19" s="15">
        <f t="shared" si="2"/>
        <v>17</v>
      </c>
      <c r="H19" s="17">
        <f t="shared" si="3"/>
        <v>27700001</v>
      </c>
      <c r="I19" s="15" t="s">
        <v>11</v>
      </c>
      <c r="J19" s="17">
        <v>29350000</v>
      </c>
      <c r="K19" s="18">
        <v>0.10999999999999999</v>
      </c>
      <c r="M19" s="15">
        <f t="shared" si="4"/>
        <v>17</v>
      </c>
      <c r="N19" s="17">
        <f t="shared" si="5"/>
        <v>26600001</v>
      </c>
      <c r="O19" s="15" t="s">
        <v>11</v>
      </c>
      <c r="P19" s="17">
        <v>28100000</v>
      </c>
      <c r="Q19" s="18">
        <v>9.9999999999999992E-2</v>
      </c>
      <c r="S19" s="126" t="s">
        <v>19</v>
      </c>
      <c r="T19" s="126"/>
      <c r="U19" s="25">
        <v>58500000</v>
      </c>
      <c r="V19" s="11"/>
      <c r="W19" s="11"/>
      <c r="X19" s="11"/>
      <c r="Y19" s="11"/>
    </row>
    <row r="20" spans="1:25" ht="15" customHeight="1">
      <c r="A20" s="15">
        <f t="shared" si="0"/>
        <v>18</v>
      </c>
      <c r="B20" s="17">
        <f t="shared" si="1"/>
        <v>16950001</v>
      </c>
      <c r="C20" s="15" t="s">
        <v>11</v>
      </c>
      <c r="D20" s="17">
        <v>19750000</v>
      </c>
      <c r="E20" s="18">
        <v>0.08</v>
      </c>
      <c r="G20" s="15">
        <f t="shared" si="2"/>
        <v>18</v>
      </c>
      <c r="H20" s="17">
        <f t="shared" si="3"/>
        <v>29350001</v>
      </c>
      <c r="I20" s="15" t="s">
        <v>11</v>
      </c>
      <c r="J20" s="17">
        <v>31450000</v>
      </c>
      <c r="K20" s="18">
        <v>0.11999999999999998</v>
      </c>
      <c r="M20" s="15">
        <f t="shared" si="4"/>
        <v>18</v>
      </c>
      <c r="N20" s="17">
        <f t="shared" si="5"/>
        <v>28100001</v>
      </c>
      <c r="O20" s="15" t="s">
        <v>11</v>
      </c>
      <c r="P20" s="17">
        <v>30100000</v>
      </c>
      <c r="Q20" s="18">
        <v>0.10999999999999999</v>
      </c>
      <c r="S20" s="126" t="s">
        <v>20</v>
      </c>
      <c r="T20" s="126"/>
      <c r="U20" s="25">
        <v>63000000</v>
      </c>
      <c r="V20" s="11"/>
      <c r="W20" s="11"/>
      <c r="X20" s="11"/>
      <c r="Y20" s="11"/>
    </row>
    <row r="21" spans="1:25" ht="15" customHeight="1">
      <c r="A21" s="15">
        <f t="shared" si="0"/>
        <v>19</v>
      </c>
      <c r="B21" s="17">
        <f t="shared" si="1"/>
        <v>19750001</v>
      </c>
      <c r="C21" s="15" t="s">
        <v>11</v>
      </c>
      <c r="D21" s="17">
        <v>24150000</v>
      </c>
      <c r="E21" s="18">
        <v>0.09</v>
      </c>
      <c r="G21" s="15">
        <f t="shared" si="2"/>
        <v>19</v>
      </c>
      <c r="H21" s="17">
        <f t="shared" si="3"/>
        <v>31450001</v>
      </c>
      <c r="I21" s="15" t="s">
        <v>11</v>
      </c>
      <c r="J21" s="17">
        <v>33950000</v>
      </c>
      <c r="K21" s="18">
        <v>0.12999999999999998</v>
      </c>
      <c r="M21" s="15">
        <f t="shared" si="4"/>
        <v>19</v>
      </c>
      <c r="N21" s="17">
        <f t="shared" si="5"/>
        <v>30100001</v>
      </c>
      <c r="O21" s="15" t="s">
        <v>11</v>
      </c>
      <c r="P21" s="17">
        <v>32600000</v>
      </c>
      <c r="Q21" s="18">
        <v>0.11999999999999998</v>
      </c>
      <c r="S21" s="126" t="s">
        <v>21</v>
      </c>
      <c r="T21" s="126"/>
      <c r="U21" s="25">
        <v>67500000</v>
      </c>
      <c r="V21" s="11"/>
      <c r="W21" s="11"/>
      <c r="X21" s="11"/>
      <c r="Y21" s="11"/>
    </row>
    <row r="22" spans="1:25" ht="15" customHeight="1">
      <c r="A22" s="15">
        <f t="shared" si="0"/>
        <v>20</v>
      </c>
      <c r="B22" s="17">
        <f t="shared" si="1"/>
        <v>24150001</v>
      </c>
      <c r="C22" s="15" t="s">
        <v>11</v>
      </c>
      <c r="D22" s="17">
        <v>26450000</v>
      </c>
      <c r="E22" s="18">
        <v>9.9999999999999992E-2</v>
      </c>
      <c r="G22" s="15">
        <f t="shared" si="2"/>
        <v>20</v>
      </c>
      <c r="H22" s="17">
        <f t="shared" si="3"/>
        <v>33950001</v>
      </c>
      <c r="I22" s="15" t="s">
        <v>11</v>
      </c>
      <c r="J22" s="17">
        <v>37100000</v>
      </c>
      <c r="K22" s="18">
        <v>0.13999999999999999</v>
      </c>
      <c r="M22" s="15">
        <f t="shared" si="4"/>
        <v>20</v>
      </c>
      <c r="N22" s="17">
        <f t="shared" si="5"/>
        <v>32600001</v>
      </c>
      <c r="O22" s="15" t="s">
        <v>11</v>
      </c>
      <c r="P22" s="17">
        <v>35400000</v>
      </c>
      <c r="Q22" s="18">
        <v>0.12999999999999998</v>
      </c>
      <c r="S22" s="126" t="s">
        <v>22</v>
      </c>
      <c r="T22" s="126"/>
      <c r="U22" s="25">
        <v>58500000</v>
      </c>
      <c r="V22" s="11"/>
      <c r="W22" s="11"/>
      <c r="X22" s="11"/>
      <c r="Y22" s="11"/>
    </row>
    <row r="23" spans="1:25" ht="15" customHeight="1">
      <c r="A23" s="15">
        <f t="shared" si="0"/>
        <v>21</v>
      </c>
      <c r="B23" s="17">
        <f t="shared" si="1"/>
        <v>26450001</v>
      </c>
      <c r="C23" s="15" t="s">
        <v>11</v>
      </c>
      <c r="D23" s="17">
        <v>28000000</v>
      </c>
      <c r="E23" s="18">
        <v>0.10999999999999999</v>
      </c>
      <c r="G23" s="15">
        <f t="shared" si="2"/>
        <v>21</v>
      </c>
      <c r="H23" s="17">
        <f t="shared" si="3"/>
        <v>37100001</v>
      </c>
      <c r="I23" s="15" t="s">
        <v>11</v>
      </c>
      <c r="J23" s="17">
        <v>41100000</v>
      </c>
      <c r="K23" s="18">
        <v>0.15</v>
      </c>
      <c r="M23" s="15">
        <f t="shared" si="4"/>
        <v>21</v>
      </c>
      <c r="N23" s="17">
        <f t="shared" si="5"/>
        <v>35400001</v>
      </c>
      <c r="O23" s="15" t="s">
        <v>11</v>
      </c>
      <c r="P23" s="17">
        <v>38900000</v>
      </c>
      <c r="Q23" s="18">
        <v>0.13999999999999999</v>
      </c>
      <c r="S23" s="126" t="s">
        <v>23</v>
      </c>
      <c r="T23" s="126"/>
      <c r="U23" s="25">
        <v>63000000</v>
      </c>
      <c r="V23" s="11"/>
      <c r="W23" s="11"/>
      <c r="X23" s="11"/>
      <c r="Y23" s="11"/>
    </row>
    <row r="24" spans="1:25" ht="15" customHeight="1">
      <c r="A24" s="15">
        <f t="shared" si="0"/>
        <v>22</v>
      </c>
      <c r="B24" s="17">
        <f t="shared" si="1"/>
        <v>28000001</v>
      </c>
      <c r="C24" s="15" t="s">
        <v>11</v>
      </c>
      <c r="D24" s="17">
        <v>30050000</v>
      </c>
      <c r="E24" s="18">
        <v>0.11999999999999998</v>
      </c>
      <c r="G24" s="15">
        <f t="shared" si="2"/>
        <v>22</v>
      </c>
      <c r="H24" s="17">
        <f t="shared" si="3"/>
        <v>41100001</v>
      </c>
      <c r="I24" s="15" t="s">
        <v>11</v>
      </c>
      <c r="J24" s="17">
        <v>45800000</v>
      </c>
      <c r="K24" s="18">
        <v>0.16</v>
      </c>
      <c r="M24" s="15">
        <f t="shared" si="4"/>
        <v>22</v>
      </c>
      <c r="N24" s="17">
        <f t="shared" si="5"/>
        <v>38900001</v>
      </c>
      <c r="O24" s="15" t="s">
        <v>11</v>
      </c>
      <c r="P24" s="17">
        <v>43000000</v>
      </c>
      <c r="Q24" s="18">
        <v>0.15</v>
      </c>
      <c r="S24" s="126" t="s">
        <v>24</v>
      </c>
      <c r="T24" s="126"/>
      <c r="U24" s="25">
        <v>67500000</v>
      </c>
      <c r="V24" s="11"/>
      <c r="W24" s="11"/>
      <c r="X24" s="11"/>
      <c r="Y24" s="11"/>
    </row>
    <row r="25" spans="1:25" ht="15" customHeight="1">
      <c r="A25" s="15">
        <f t="shared" si="0"/>
        <v>23</v>
      </c>
      <c r="B25" s="17">
        <f t="shared" si="1"/>
        <v>30050001</v>
      </c>
      <c r="C25" s="15" t="s">
        <v>11</v>
      </c>
      <c r="D25" s="17">
        <v>32400000</v>
      </c>
      <c r="E25" s="18">
        <v>0.12999999999999998</v>
      </c>
      <c r="G25" s="15">
        <f t="shared" si="2"/>
        <v>23</v>
      </c>
      <c r="H25" s="17">
        <f t="shared" si="3"/>
        <v>45800001</v>
      </c>
      <c r="I25" s="15" t="s">
        <v>11</v>
      </c>
      <c r="J25" s="17">
        <v>49500000</v>
      </c>
      <c r="K25" s="18">
        <v>0.17</v>
      </c>
      <c r="M25" s="15">
        <f t="shared" si="4"/>
        <v>23</v>
      </c>
      <c r="N25" s="17">
        <f t="shared" si="5"/>
        <v>43000001</v>
      </c>
      <c r="O25" s="15" t="s">
        <v>11</v>
      </c>
      <c r="P25" s="17">
        <v>47400000</v>
      </c>
      <c r="Q25" s="18">
        <v>0.16</v>
      </c>
      <c r="S25" s="126" t="s">
        <v>25</v>
      </c>
      <c r="T25" s="126"/>
      <c r="U25" s="25">
        <v>72000000</v>
      </c>
      <c r="V25" s="11"/>
      <c r="W25" s="11"/>
      <c r="X25" s="11"/>
      <c r="Y25" s="11"/>
    </row>
    <row r="26" spans="1:25" ht="15" customHeight="1">
      <c r="A26" s="15">
        <f t="shared" si="0"/>
        <v>24</v>
      </c>
      <c r="B26" s="17">
        <f t="shared" si="1"/>
        <v>32400001</v>
      </c>
      <c r="C26" s="15" t="s">
        <v>11</v>
      </c>
      <c r="D26" s="17">
        <v>35400000</v>
      </c>
      <c r="E26" s="18">
        <v>0.13999999999999999</v>
      </c>
      <c r="G26" s="15">
        <f t="shared" si="2"/>
        <v>24</v>
      </c>
      <c r="H26" s="17">
        <f t="shared" si="3"/>
        <v>49500001</v>
      </c>
      <c r="I26" s="15" t="s">
        <v>11</v>
      </c>
      <c r="J26" s="17">
        <v>53800000</v>
      </c>
      <c r="K26" s="18">
        <v>0.18000000000000002</v>
      </c>
      <c r="M26" s="15">
        <f t="shared" si="4"/>
        <v>24</v>
      </c>
      <c r="N26" s="17">
        <f t="shared" si="5"/>
        <v>47400001</v>
      </c>
      <c r="O26" s="15" t="s">
        <v>11</v>
      </c>
      <c r="P26" s="17">
        <v>51200000</v>
      </c>
      <c r="Q26" s="18">
        <v>0.17</v>
      </c>
      <c r="V26" s="11"/>
      <c r="W26" s="11"/>
      <c r="X26" s="11"/>
      <c r="Y26" s="11"/>
    </row>
    <row r="27" spans="1:25" ht="15" customHeight="1">
      <c r="A27" s="15">
        <f t="shared" si="0"/>
        <v>25</v>
      </c>
      <c r="B27" s="17">
        <f t="shared" si="1"/>
        <v>35400001</v>
      </c>
      <c r="C27" s="15" t="s">
        <v>11</v>
      </c>
      <c r="D27" s="17">
        <v>39100000</v>
      </c>
      <c r="E27" s="18">
        <v>0.15</v>
      </c>
      <c r="G27" s="15">
        <f t="shared" si="2"/>
        <v>25</v>
      </c>
      <c r="H27" s="17">
        <f t="shared" si="3"/>
        <v>53800001</v>
      </c>
      <c r="I27" s="15" t="s">
        <v>11</v>
      </c>
      <c r="J27" s="17">
        <v>58500000</v>
      </c>
      <c r="K27" s="18">
        <v>0.19000000000000003</v>
      </c>
      <c r="M27" s="15">
        <f t="shared" si="4"/>
        <v>25</v>
      </c>
      <c r="N27" s="17">
        <f t="shared" si="5"/>
        <v>51200001</v>
      </c>
      <c r="O27" s="15" t="s">
        <v>11</v>
      </c>
      <c r="P27" s="17">
        <v>55800000</v>
      </c>
      <c r="Q27" s="18">
        <v>0.18000000000000002</v>
      </c>
      <c r="V27" s="11"/>
      <c r="W27" s="11"/>
      <c r="X27" s="11"/>
      <c r="Y27" s="11"/>
    </row>
    <row r="28" spans="1:25" ht="15" customHeight="1">
      <c r="A28" s="15">
        <f t="shared" si="0"/>
        <v>26</v>
      </c>
      <c r="B28" s="17">
        <f t="shared" si="1"/>
        <v>39100001</v>
      </c>
      <c r="C28" s="15" t="s">
        <v>11</v>
      </c>
      <c r="D28" s="17">
        <v>43850000</v>
      </c>
      <c r="E28" s="18">
        <v>0.16</v>
      </c>
      <c r="G28" s="15">
        <f t="shared" si="2"/>
        <v>26</v>
      </c>
      <c r="H28" s="17">
        <f t="shared" si="3"/>
        <v>58500001</v>
      </c>
      <c r="I28" s="15" t="s">
        <v>11</v>
      </c>
      <c r="J28" s="17">
        <v>64000000</v>
      </c>
      <c r="K28" s="18">
        <v>0.20000000000000004</v>
      </c>
      <c r="M28" s="15">
        <f t="shared" si="4"/>
        <v>26</v>
      </c>
      <c r="N28" s="17">
        <f t="shared" si="5"/>
        <v>55800001</v>
      </c>
      <c r="O28" s="15" t="s">
        <v>11</v>
      </c>
      <c r="P28" s="17">
        <v>60400000</v>
      </c>
      <c r="Q28" s="18">
        <v>0.19000000000000003</v>
      </c>
      <c r="V28" s="11"/>
      <c r="W28" s="11"/>
      <c r="X28" s="11"/>
      <c r="Y28" s="11"/>
    </row>
    <row r="29" spans="1:25" ht="15" customHeight="1">
      <c r="A29" s="15">
        <f t="shared" si="0"/>
        <v>27</v>
      </c>
      <c r="B29" s="17">
        <f t="shared" si="1"/>
        <v>43850001</v>
      </c>
      <c r="C29" s="15" t="s">
        <v>11</v>
      </c>
      <c r="D29" s="17">
        <v>47800000</v>
      </c>
      <c r="E29" s="18">
        <v>0.17</v>
      </c>
      <c r="G29" s="15">
        <f t="shared" si="2"/>
        <v>27</v>
      </c>
      <c r="H29" s="17">
        <f t="shared" si="3"/>
        <v>64000001</v>
      </c>
      <c r="I29" s="15" t="s">
        <v>11</v>
      </c>
      <c r="J29" s="17">
        <v>71000000</v>
      </c>
      <c r="K29" s="18">
        <v>0.21000000000000005</v>
      </c>
      <c r="M29" s="15">
        <f t="shared" si="4"/>
        <v>27</v>
      </c>
      <c r="N29" s="17">
        <f t="shared" si="5"/>
        <v>60400001</v>
      </c>
      <c r="O29" s="15" t="s">
        <v>11</v>
      </c>
      <c r="P29" s="17">
        <v>66700000</v>
      </c>
      <c r="Q29" s="18">
        <v>0.20000000000000004</v>
      </c>
      <c r="V29" s="11"/>
      <c r="W29" s="11"/>
      <c r="X29" s="11"/>
      <c r="Y29" s="11"/>
    </row>
    <row r="30" spans="1:25" ht="15" customHeight="1">
      <c r="A30" s="15">
        <f t="shared" si="0"/>
        <v>28</v>
      </c>
      <c r="B30" s="17">
        <f t="shared" si="1"/>
        <v>47800001</v>
      </c>
      <c r="C30" s="15" t="s">
        <v>11</v>
      </c>
      <c r="D30" s="17">
        <v>51400000</v>
      </c>
      <c r="E30" s="18">
        <v>0.18000000000000002</v>
      </c>
      <c r="G30" s="15">
        <f t="shared" si="2"/>
        <v>28</v>
      </c>
      <c r="H30" s="17">
        <f t="shared" si="3"/>
        <v>71000001</v>
      </c>
      <c r="I30" s="15" t="s">
        <v>11</v>
      </c>
      <c r="J30" s="17">
        <v>80000000</v>
      </c>
      <c r="K30" s="18">
        <v>0.22000000000000006</v>
      </c>
      <c r="M30" s="15">
        <f t="shared" si="4"/>
        <v>28</v>
      </c>
      <c r="N30" s="17">
        <f t="shared" si="5"/>
        <v>66700001</v>
      </c>
      <c r="O30" s="15" t="s">
        <v>11</v>
      </c>
      <c r="P30" s="17">
        <v>74500000</v>
      </c>
      <c r="Q30" s="18">
        <v>0.21000000000000005</v>
      </c>
      <c r="V30" s="11"/>
      <c r="W30" s="11"/>
      <c r="X30" s="11"/>
      <c r="Y30" s="11"/>
    </row>
    <row r="31" spans="1:25" ht="15" customHeight="1">
      <c r="A31" s="15">
        <f t="shared" si="0"/>
        <v>29</v>
      </c>
      <c r="B31" s="17">
        <f t="shared" si="1"/>
        <v>51400001</v>
      </c>
      <c r="C31" s="15" t="s">
        <v>11</v>
      </c>
      <c r="D31" s="17">
        <v>56300000</v>
      </c>
      <c r="E31" s="18">
        <v>0.19000000000000003</v>
      </c>
      <c r="G31" s="15">
        <f t="shared" si="2"/>
        <v>29</v>
      </c>
      <c r="H31" s="17">
        <f t="shared" si="3"/>
        <v>80000001</v>
      </c>
      <c r="I31" s="15" t="s">
        <v>11</v>
      </c>
      <c r="J31" s="17">
        <v>93000000</v>
      </c>
      <c r="K31" s="18">
        <v>0.23000000000000007</v>
      </c>
      <c r="M31" s="15">
        <f t="shared" si="4"/>
        <v>29</v>
      </c>
      <c r="N31" s="17">
        <f t="shared" si="5"/>
        <v>74500001</v>
      </c>
      <c r="O31" s="15" t="s">
        <v>11</v>
      </c>
      <c r="P31" s="17">
        <v>83200000</v>
      </c>
      <c r="Q31" s="18">
        <v>0.22000000000000006</v>
      </c>
      <c r="S31" s="26"/>
      <c r="U31" s="27"/>
      <c r="V31" s="11"/>
      <c r="W31" s="11"/>
      <c r="X31" s="11"/>
      <c r="Y31" s="11"/>
    </row>
    <row r="32" spans="1:25" ht="15" customHeight="1">
      <c r="A32" s="15">
        <f t="shared" si="0"/>
        <v>30</v>
      </c>
      <c r="B32" s="17">
        <f t="shared" si="1"/>
        <v>56300001</v>
      </c>
      <c r="C32" s="15" t="s">
        <v>11</v>
      </c>
      <c r="D32" s="17">
        <v>62200000</v>
      </c>
      <c r="E32" s="18">
        <v>0.20000000000000004</v>
      </c>
      <c r="G32" s="15">
        <f t="shared" si="2"/>
        <v>30</v>
      </c>
      <c r="H32" s="17">
        <f t="shared" si="3"/>
        <v>93000001</v>
      </c>
      <c r="I32" s="15" t="s">
        <v>11</v>
      </c>
      <c r="J32" s="17">
        <v>109000000</v>
      </c>
      <c r="K32" s="18">
        <v>0.24000000000000007</v>
      </c>
      <c r="M32" s="15">
        <f t="shared" si="4"/>
        <v>30</v>
      </c>
      <c r="N32" s="17">
        <f t="shared" si="5"/>
        <v>83200001</v>
      </c>
      <c r="O32" s="15" t="s">
        <v>11</v>
      </c>
      <c r="P32" s="17">
        <v>95600000</v>
      </c>
      <c r="Q32" s="18">
        <v>0.23000000000000007</v>
      </c>
      <c r="V32" s="11"/>
      <c r="W32" s="11"/>
      <c r="X32" s="11"/>
      <c r="Y32" s="11"/>
    </row>
    <row r="33" spans="1:25" ht="15" customHeight="1">
      <c r="A33" s="15">
        <f t="shared" si="0"/>
        <v>31</v>
      </c>
      <c r="B33" s="17">
        <f t="shared" si="1"/>
        <v>62200001</v>
      </c>
      <c r="C33" s="15" t="s">
        <v>11</v>
      </c>
      <c r="D33" s="17">
        <v>68600000</v>
      </c>
      <c r="E33" s="18">
        <v>0.21000000000000005</v>
      </c>
      <c r="G33" s="15">
        <f t="shared" si="2"/>
        <v>31</v>
      </c>
      <c r="H33" s="17">
        <f t="shared" si="3"/>
        <v>109000001</v>
      </c>
      <c r="I33" s="15" t="s">
        <v>11</v>
      </c>
      <c r="J33" s="17">
        <v>129000000</v>
      </c>
      <c r="K33" s="18">
        <v>0.25000000000000006</v>
      </c>
      <c r="M33" s="15">
        <f t="shared" si="4"/>
        <v>31</v>
      </c>
      <c r="N33" s="17">
        <f t="shared" si="5"/>
        <v>95600001</v>
      </c>
      <c r="O33" s="15" t="s">
        <v>11</v>
      </c>
      <c r="P33" s="17">
        <v>110000000</v>
      </c>
      <c r="Q33" s="18">
        <v>0.24000000000000007</v>
      </c>
      <c r="S33" s="28"/>
      <c r="T33" s="11"/>
      <c r="U33" s="11"/>
      <c r="V33" s="11"/>
      <c r="W33" s="11"/>
      <c r="X33" s="11"/>
      <c r="Y33" s="11"/>
    </row>
    <row r="34" spans="1:25" ht="15" customHeight="1">
      <c r="A34" s="15">
        <f t="shared" si="0"/>
        <v>32</v>
      </c>
      <c r="B34" s="17">
        <f t="shared" si="1"/>
        <v>68600001</v>
      </c>
      <c r="C34" s="15" t="s">
        <v>11</v>
      </c>
      <c r="D34" s="17">
        <v>77500000</v>
      </c>
      <c r="E34" s="18">
        <v>0.22000000000000006</v>
      </c>
      <c r="G34" s="15">
        <f t="shared" si="2"/>
        <v>32</v>
      </c>
      <c r="H34" s="17">
        <f t="shared" si="3"/>
        <v>129000001</v>
      </c>
      <c r="I34" s="15" t="s">
        <v>11</v>
      </c>
      <c r="J34" s="17">
        <v>163000000</v>
      </c>
      <c r="K34" s="18">
        <v>0.26000000000000006</v>
      </c>
      <c r="M34" s="15">
        <f t="shared" si="4"/>
        <v>32</v>
      </c>
      <c r="N34" s="17">
        <f t="shared" si="5"/>
        <v>110000001</v>
      </c>
      <c r="O34" s="15" t="s">
        <v>11</v>
      </c>
      <c r="P34" s="17">
        <v>134000000</v>
      </c>
      <c r="Q34" s="18">
        <v>0.25000000000000006</v>
      </c>
      <c r="T34" s="11"/>
      <c r="U34" s="11"/>
      <c r="V34" s="11"/>
      <c r="W34" s="11"/>
      <c r="X34" s="11"/>
      <c r="Y34" s="11"/>
    </row>
    <row r="35" spans="1:25" ht="15" customHeight="1">
      <c r="A35" s="15">
        <f t="shared" si="0"/>
        <v>33</v>
      </c>
      <c r="B35" s="17">
        <f t="shared" si="1"/>
        <v>77500001</v>
      </c>
      <c r="C35" s="15" t="s">
        <v>11</v>
      </c>
      <c r="D35" s="17">
        <v>89000000</v>
      </c>
      <c r="E35" s="18">
        <v>0.23000000000000007</v>
      </c>
      <c r="G35" s="15">
        <f t="shared" si="2"/>
        <v>33</v>
      </c>
      <c r="H35" s="17">
        <f t="shared" si="3"/>
        <v>163000001</v>
      </c>
      <c r="I35" s="15" t="s">
        <v>11</v>
      </c>
      <c r="J35" s="17">
        <v>211000000</v>
      </c>
      <c r="K35" s="18">
        <v>0.27000000000000007</v>
      </c>
      <c r="M35" s="15">
        <f t="shared" si="4"/>
        <v>33</v>
      </c>
      <c r="N35" s="17">
        <f t="shared" si="5"/>
        <v>134000001</v>
      </c>
      <c r="O35" s="15" t="s">
        <v>11</v>
      </c>
      <c r="P35" s="17">
        <v>169000000</v>
      </c>
      <c r="Q35" s="18">
        <v>0.26000000000000006</v>
      </c>
      <c r="T35" s="11"/>
      <c r="U35" s="11"/>
      <c r="V35" s="11"/>
      <c r="W35" s="11"/>
      <c r="X35" s="11"/>
      <c r="Y35" s="11"/>
    </row>
    <row r="36" spans="1:25" ht="15" customHeight="1">
      <c r="A36" s="15">
        <f t="shared" si="0"/>
        <v>34</v>
      </c>
      <c r="B36" s="17">
        <f t="shared" si="1"/>
        <v>89000001</v>
      </c>
      <c r="C36" s="15" t="s">
        <v>11</v>
      </c>
      <c r="D36" s="17">
        <v>103000000</v>
      </c>
      <c r="E36" s="18">
        <v>0.24000000000000007</v>
      </c>
      <c r="G36" s="15">
        <f t="shared" si="2"/>
        <v>34</v>
      </c>
      <c r="H36" s="17">
        <f t="shared" si="3"/>
        <v>211000001</v>
      </c>
      <c r="I36" s="15" t="s">
        <v>11</v>
      </c>
      <c r="J36" s="17">
        <v>374000000</v>
      </c>
      <c r="K36" s="18">
        <v>0.28000000000000008</v>
      </c>
      <c r="M36" s="15">
        <f t="shared" si="4"/>
        <v>34</v>
      </c>
      <c r="N36" s="17">
        <f t="shared" si="5"/>
        <v>169000001</v>
      </c>
      <c r="O36" s="15" t="s">
        <v>11</v>
      </c>
      <c r="P36" s="17">
        <v>221000000</v>
      </c>
      <c r="Q36" s="18">
        <v>0.27000000000000007</v>
      </c>
      <c r="T36" s="11"/>
      <c r="U36" s="11"/>
      <c r="V36" s="11"/>
      <c r="W36" s="11"/>
      <c r="X36" s="11"/>
      <c r="Y36" s="11"/>
    </row>
    <row r="37" spans="1:25" ht="15" customHeight="1">
      <c r="A37" s="15">
        <f t="shared" si="0"/>
        <v>35</v>
      </c>
      <c r="B37" s="17">
        <f t="shared" si="1"/>
        <v>103000001</v>
      </c>
      <c r="C37" s="15" t="s">
        <v>11</v>
      </c>
      <c r="D37" s="17">
        <v>125000000</v>
      </c>
      <c r="E37" s="18">
        <v>0.25000000000000006</v>
      </c>
      <c r="G37" s="15">
        <f t="shared" si="2"/>
        <v>35</v>
      </c>
      <c r="H37" s="17">
        <f t="shared" si="3"/>
        <v>374000001</v>
      </c>
      <c r="I37" s="15" t="s">
        <v>11</v>
      </c>
      <c r="J37" s="17">
        <v>459000000</v>
      </c>
      <c r="K37" s="18">
        <v>0.29000000000000009</v>
      </c>
      <c r="M37" s="15">
        <f t="shared" si="4"/>
        <v>35</v>
      </c>
      <c r="N37" s="17">
        <f t="shared" si="5"/>
        <v>221000001</v>
      </c>
      <c r="O37" s="15" t="s">
        <v>11</v>
      </c>
      <c r="P37" s="17">
        <v>390000000</v>
      </c>
      <c r="Q37" s="18">
        <v>0.28000000000000008</v>
      </c>
      <c r="T37" s="11"/>
      <c r="U37" s="11"/>
      <c r="V37" s="11"/>
      <c r="W37" s="11"/>
      <c r="X37" s="11"/>
      <c r="Y37" s="11"/>
    </row>
    <row r="38" spans="1:25" ht="15" customHeight="1">
      <c r="A38" s="15">
        <f t="shared" si="0"/>
        <v>36</v>
      </c>
      <c r="B38" s="17">
        <f t="shared" si="1"/>
        <v>125000001</v>
      </c>
      <c r="C38" s="15" t="s">
        <v>11</v>
      </c>
      <c r="D38" s="17">
        <v>157000000</v>
      </c>
      <c r="E38" s="18">
        <v>0.26000000000000006</v>
      </c>
      <c r="G38" s="15">
        <f t="shared" si="2"/>
        <v>36</v>
      </c>
      <c r="H38" s="17">
        <f t="shared" si="3"/>
        <v>459000001</v>
      </c>
      <c r="I38" s="15" t="s">
        <v>11</v>
      </c>
      <c r="J38" s="17">
        <v>555000000</v>
      </c>
      <c r="K38" s="18">
        <v>0.3000000000000001</v>
      </c>
      <c r="M38" s="15">
        <f t="shared" si="4"/>
        <v>36</v>
      </c>
      <c r="N38" s="17">
        <f t="shared" si="5"/>
        <v>390000001</v>
      </c>
      <c r="O38" s="15" t="s">
        <v>11</v>
      </c>
      <c r="P38" s="17">
        <v>463000000</v>
      </c>
      <c r="Q38" s="18">
        <v>0.29000000000000009</v>
      </c>
      <c r="T38" s="11"/>
      <c r="U38" s="11"/>
      <c r="V38" s="11"/>
      <c r="W38" s="11"/>
      <c r="X38" s="11"/>
      <c r="Y38" s="11"/>
    </row>
    <row r="39" spans="1:25" ht="15" customHeight="1">
      <c r="A39" s="15">
        <f t="shared" si="0"/>
        <v>37</v>
      </c>
      <c r="B39" s="17">
        <f t="shared" si="1"/>
        <v>157000001</v>
      </c>
      <c r="C39" s="15" t="s">
        <v>11</v>
      </c>
      <c r="D39" s="17">
        <v>206000000</v>
      </c>
      <c r="E39" s="18">
        <v>0.27000000000000007</v>
      </c>
      <c r="G39" s="15">
        <f t="shared" si="2"/>
        <v>37</v>
      </c>
      <c r="H39" s="17">
        <f t="shared" si="3"/>
        <v>555000001</v>
      </c>
      <c r="I39" s="15" t="s">
        <v>11</v>
      </c>
      <c r="J39" s="17">
        <v>704000000</v>
      </c>
      <c r="K39" s="18">
        <v>0.31000000000000011</v>
      </c>
      <c r="M39" s="15">
        <f t="shared" si="4"/>
        <v>37</v>
      </c>
      <c r="N39" s="17">
        <f t="shared" si="5"/>
        <v>463000001</v>
      </c>
      <c r="O39" s="15" t="s">
        <v>11</v>
      </c>
      <c r="P39" s="17">
        <v>561000000</v>
      </c>
      <c r="Q39" s="18">
        <v>0.3000000000000001</v>
      </c>
      <c r="T39" s="11"/>
      <c r="U39" s="11"/>
      <c r="V39" s="11"/>
      <c r="W39" s="11"/>
      <c r="X39" s="11"/>
      <c r="Y39" s="11"/>
    </row>
    <row r="40" spans="1:25" ht="15" customHeight="1">
      <c r="A40" s="15">
        <f t="shared" si="0"/>
        <v>38</v>
      </c>
      <c r="B40" s="17">
        <f t="shared" si="1"/>
        <v>206000001</v>
      </c>
      <c r="C40" s="15" t="s">
        <v>11</v>
      </c>
      <c r="D40" s="17">
        <v>337000000</v>
      </c>
      <c r="E40" s="18">
        <v>0.28000000000000008</v>
      </c>
      <c r="G40" s="15">
        <f t="shared" si="2"/>
        <v>38</v>
      </c>
      <c r="H40" s="17">
        <f t="shared" si="3"/>
        <v>704000001</v>
      </c>
      <c r="I40" s="15" t="s">
        <v>11</v>
      </c>
      <c r="J40" s="17">
        <v>957000000</v>
      </c>
      <c r="K40" s="18">
        <v>0.32000000000000012</v>
      </c>
      <c r="M40" s="15">
        <f t="shared" si="4"/>
        <v>38</v>
      </c>
      <c r="N40" s="17">
        <f t="shared" si="5"/>
        <v>561000001</v>
      </c>
      <c r="O40" s="15" t="s">
        <v>11</v>
      </c>
      <c r="P40" s="17">
        <v>709000000</v>
      </c>
      <c r="Q40" s="18">
        <v>0.31000000000000011</v>
      </c>
      <c r="T40" s="11"/>
      <c r="U40" s="11"/>
      <c r="V40" s="11"/>
      <c r="W40" s="11"/>
      <c r="X40" s="11"/>
      <c r="Y40" s="11"/>
    </row>
    <row r="41" spans="1:25" ht="15" customHeight="1">
      <c r="A41" s="15">
        <f t="shared" si="0"/>
        <v>39</v>
      </c>
      <c r="B41" s="17">
        <f t="shared" si="1"/>
        <v>337000001</v>
      </c>
      <c r="C41" s="15" t="s">
        <v>11</v>
      </c>
      <c r="D41" s="17">
        <v>454000000</v>
      </c>
      <c r="E41" s="18">
        <v>0.29000000000000009</v>
      </c>
      <c r="G41" s="15">
        <f t="shared" si="2"/>
        <v>39</v>
      </c>
      <c r="H41" s="17">
        <f t="shared" si="3"/>
        <v>957000001</v>
      </c>
      <c r="I41" s="15" t="s">
        <v>11</v>
      </c>
      <c r="J41" s="17">
        <v>1405000000</v>
      </c>
      <c r="K41" s="18">
        <v>0.33000000000000013</v>
      </c>
      <c r="M41" s="15">
        <f t="shared" si="4"/>
        <v>39</v>
      </c>
      <c r="N41" s="17">
        <f t="shared" si="5"/>
        <v>709000001</v>
      </c>
      <c r="O41" s="15" t="s">
        <v>11</v>
      </c>
      <c r="P41" s="17">
        <v>965000000</v>
      </c>
      <c r="Q41" s="18">
        <v>0.32000000000000012</v>
      </c>
      <c r="T41" s="11"/>
      <c r="U41" s="11"/>
      <c r="V41" s="11"/>
      <c r="W41" s="11"/>
      <c r="X41" s="11"/>
      <c r="Y41" s="11"/>
    </row>
    <row r="42" spans="1:25" ht="15" customHeight="1">
      <c r="A42" s="15">
        <f t="shared" si="0"/>
        <v>40</v>
      </c>
      <c r="B42" s="17">
        <f t="shared" si="1"/>
        <v>454000001</v>
      </c>
      <c r="C42" s="15" t="s">
        <v>11</v>
      </c>
      <c r="D42" s="17">
        <v>550000000</v>
      </c>
      <c r="E42" s="18">
        <v>0.3000000000000001</v>
      </c>
      <c r="G42" s="15">
        <f t="shared" si="2"/>
        <v>40</v>
      </c>
      <c r="H42" s="17">
        <f t="shared" si="3"/>
        <v>1405000001</v>
      </c>
      <c r="I42" s="15" t="s">
        <v>11</v>
      </c>
      <c r="J42" s="17" t="s">
        <v>14</v>
      </c>
      <c r="K42" s="18">
        <v>0.34000000000000014</v>
      </c>
      <c r="M42" s="15">
        <f t="shared" si="4"/>
        <v>40</v>
      </c>
      <c r="N42" s="17">
        <f t="shared" si="5"/>
        <v>965000001</v>
      </c>
      <c r="O42" s="15" t="s">
        <v>11</v>
      </c>
      <c r="P42" s="17">
        <v>1419000000</v>
      </c>
      <c r="Q42" s="18">
        <v>0.33000000000000013</v>
      </c>
      <c r="T42" s="11"/>
      <c r="U42" s="11"/>
      <c r="V42" s="11"/>
      <c r="W42" s="11"/>
      <c r="X42" s="11"/>
      <c r="Y42" s="11"/>
    </row>
    <row r="43" spans="1:25" ht="15" customHeight="1">
      <c r="A43" s="15">
        <f t="shared" si="0"/>
        <v>41</v>
      </c>
      <c r="B43" s="17">
        <f t="shared" si="1"/>
        <v>550000001</v>
      </c>
      <c r="C43" s="15" t="s">
        <v>11</v>
      </c>
      <c r="D43" s="17">
        <v>695000000</v>
      </c>
      <c r="E43" s="18">
        <v>0.31000000000000011</v>
      </c>
      <c r="M43" s="15">
        <f>M42+1</f>
        <v>41</v>
      </c>
      <c r="N43" s="17">
        <f t="shared" si="5"/>
        <v>1419000001</v>
      </c>
      <c r="O43" s="15" t="s">
        <v>11</v>
      </c>
      <c r="P43" s="17" t="s">
        <v>14</v>
      </c>
      <c r="Q43" s="18">
        <v>0.34000000000000014</v>
      </c>
      <c r="T43" s="11"/>
      <c r="U43" s="11"/>
      <c r="V43" s="11"/>
      <c r="W43" s="11"/>
      <c r="X43" s="11"/>
      <c r="Y43" s="11"/>
    </row>
    <row r="44" spans="1:25" ht="15" customHeight="1">
      <c r="A44" s="15">
        <f t="shared" si="0"/>
        <v>42</v>
      </c>
      <c r="B44" s="17">
        <f t="shared" si="1"/>
        <v>695000001</v>
      </c>
      <c r="C44" s="15" t="s">
        <v>11</v>
      </c>
      <c r="D44" s="17">
        <v>910000000</v>
      </c>
      <c r="E44" s="18">
        <v>0.32000000000000012</v>
      </c>
      <c r="T44" s="11"/>
      <c r="U44" s="11"/>
      <c r="V44" s="11"/>
      <c r="W44" s="11"/>
      <c r="X44" s="11"/>
      <c r="Y44" s="11"/>
    </row>
    <row r="45" spans="1:25" ht="15" customHeight="1">
      <c r="A45" s="15">
        <f t="shared" si="0"/>
        <v>43</v>
      </c>
      <c r="B45" s="17">
        <f t="shared" si="1"/>
        <v>910000001</v>
      </c>
      <c r="C45" s="15" t="s">
        <v>11</v>
      </c>
      <c r="D45" s="17">
        <v>1400000000</v>
      </c>
      <c r="E45" s="18">
        <v>0.33000000000000013</v>
      </c>
      <c r="T45" s="11"/>
      <c r="U45" s="11"/>
      <c r="V45" s="11"/>
      <c r="W45" s="11"/>
      <c r="X45" s="11"/>
      <c r="Y45" s="11"/>
    </row>
    <row r="46" spans="1:25" ht="15" customHeight="1">
      <c r="A46" s="15">
        <f t="shared" si="0"/>
        <v>44</v>
      </c>
      <c r="B46" s="17">
        <f t="shared" si="1"/>
        <v>1400000001</v>
      </c>
      <c r="C46" s="15" t="s">
        <v>11</v>
      </c>
      <c r="D46" s="17" t="s">
        <v>14</v>
      </c>
      <c r="E46" s="18">
        <v>0.34000000000000014</v>
      </c>
      <c r="J46" s="29"/>
      <c r="T46" s="11"/>
      <c r="U46" s="11"/>
      <c r="V46" s="11"/>
      <c r="W46" s="11"/>
      <c r="X46" s="11"/>
      <c r="Y46" s="11"/>
    </row>
    <row r="47" spans="1:25" ht="15" customHeight="1">
      <c r="J47" s="32"/>
      <c r="T47" s="11"/>
      <c r="U47" s="11"/>
      <c r="V47" s="11"/>
      <c r="W47" s="11"/>
      <c r="X47" s="11"/>
      <c r="Y47" s="11"/>
    </row>
    <row r="48" spans="1:25" ht="15" customHeight="1">
      <c r="J48" s="32"/>
      <c r="T48" s="11"/>
      <c r="U48" s="11"/>
      <c r="V48" s="11"/>
      <c r="W48" s="11"/>
      <c r="X48" s="11"/>
      <c r="Y48" s="11"/>
    </row>
    <row r="54" spans="2:25" ht="15" customHeight="1">
      <c r="B54" s="11"/>
      <c r="D54" s="11"/>
      <c r="E54" s="11"/>
      <c r="J54" s="12"/>
      <c r="K54" s="11"/>
      <c r="Q54" s="11"/>
      <c r="S54" s="11"/>
      <c r="T54" s="11"/>
      <c r="U54" s="11"/>
      <c r="V54" s="11"/>
      <c r="W54" s="11"/>
      <c r="X54" s="11"/>
      <c r="Y54" s="11"/>
    </row>
    <row r="55" spans="2:25" ht="15" customHeight="1">
      <c r="B55" s="11"/>
      <c r="D55" s="11"/>
      <c r="E55" s="11"/>
      <c r="J55" s="12">
        <v>20000000</v>
      </c>
      <c r="K55" s="11"/>
      <c r="Q55" s="11"/>
      <c r="S55" s="11"/>
      <c r="T55" s="11"/>
      <c r="U55" s="11"/>
      <c r="V55" s="11"/>
      <c r="W55" s="11"/>
      <c r="X55" s="11"/>
      <c r="Y55" s="11"/>
    </row>
    <row r="56" spans="2:25" ht="15" customHeight="1">
      <c r="B56" s="11"/>
      <c r="D56" s="11"/>
      <c r="E56" s="11"/>
      <c r="J56" s="12">
        <f ca="1">J61</f>
        <v>1739130.4347826089</v>
      </c>
      <c r="K56" s="11"/>
      <c r="Q56" s="11"/>
      <c r="S56" s="11"/>
      <c r="T56" s="11"/>
      <c r="U56" s="11"/>
      <c r="V56" s="11"/>
      <c r="W56" s="11"/>
      <c r="X56" s="11"/>
      <c r="Y56" s="11"/>
    </row>
    <row r="57" spans="2:25" ht="15" customHeight="1">
      <c r="B57" s="11"/>
      <c r="D57" s="11"/>
      <c r="E57" s="11"/>
      <c r="J57" s="12">
        <f ca="1">SUM(J55:J56)</f>
        <v>21739130.434782609</v>
      </c>
      <c r="K57" s="11"/>
      <c r="Q57" s="11"/>
      <c r="S57" s="11"/>
      <c r="T57" s="11"/>
      <c r="U57" s="11"/>
      <c r="V57" s="11"/>
      <c r="W57" s="11"/>
      <c r="X57" s="11"/>
      <c r="Y57" s="11"/>
    </row>
    <row r="59" spans="2:25" ht="15" customHeight="1">
      <c r="B59" s="11"/>
      <c r="D59" s="11"/>
      <c r="E59" s="11"/>
      <c r="J59" s="12"/>
      <c r="K59" s="11"/>
      <c r="Q59" s="11"/>
      <c r="S59" s="11"/>
      <c r="T59" s="11"/>
      <c r="U59" s="11"/>
      <c r="V59" s="11"/>
      <c r="W59" s="11"/>
      <c r="X59" s="11"/>
      <c r="Y59" s="11"/>
    </row>
    <row r="60" spans="2:25" ht="15" customHeight="1">
      <c r="B60" s="11"/>
      <c r="D60" s="11"/>
      <c r="E60" s="11"/>
      <c r="J60" s="12"/>
      <c r="K60" s="11"/>
      <c r="Q60" s="11"/>
      <c r="S60" s="11"/>
      <c r="T60" s="11"/>
      <c r="U60" s="11"/>
      <c r="V60" s="11"/>
      <c r="W60" s="11"/>
      <c r="X60" s="11"/>
      <c r="Y60" s="11"/>
    </row>
    <row r="61" spans="2:25" ht="15" customHeight="1">
      <c r="B61" s="11"/>
      <c r="D61" s="11"/>
      <c r="E61" s="11"/>
      <c r="J61" s="12">
        <f ca="1">J57*8%</f>
        <v>1739130.4347826089</v>
      </c>
      <c r="K61" s="11"/>
      <c r="Q61" s="11"/>
      <c r="S61" s="11"/>
      <c r="T61" s="11"/>
      <c r="U61" s="11"/>
      <c r="V61" s="11"/>
      <c r="W61" s="11"/>
      <c r="X61" s="11"/>
      <c r="Y61" s="11"/>
    </row>
  </sheetData>
  <mergeCells count="15">
    <mergeCell ref="T14:U14"/>
    <mergeCell ref="B2:D2"/>
    <mergeCell ref="H2:J2"/>
    <mergeCell ref="N2:P2"/>
    <mergeCell ref="S2:U2"/>
    <mergeCell ref="S8:U8"/>
    <mergeCell ref="S23:T23"/>
    <mergeCell ref="S24:T24"/>
    <mergeCell ref="S25:T25"/>
    <mergeCell ref="S17:T17"/>
    <mergeCell ref="S18:T18"/>
    <mergeCell ref="S19:T19"/>
    <mergeCell ref="S20:T20"/>
    <mergeCell ref="S21:T21"/>
    <mergeCell ref="S22:T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B92"/>
  <sheetViews>
    <sheetView tabSelected="1" view="pageBreakPreview" zoomScale="85" zoomScaleNormal="55" zoomScaleSheetLayoutView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2" sqref="D12"/>
    </sheetView>
  </sheetViews>
  <sheetFormatPr defaultColWidth="9.28515625" defaultRowHeight="12.75" outlineLevelCol="1"/>
  <cols>
    <col min="1" max="1" width="1.5703125" style="40" customWidth="1"/>
    <col min="2" max="2" width="5.7109375" style="33" customWidth="1"/>
    <col min="3" max="3" width="21" style="34" customWidth="1"/>
    <col min="4" max="4" width="18.5703125" style="35" customWidth="1" outlineLevel="1"/>
    <col min="5" max="5" width="19.42578125" style="36" customWidth="1" outlineLevel="1"/>
    <col min="6" max="6" width="34.5703125" style="34" customWidth="1" outlineLevel="1"/>
    <col min="7" max="7" width="25.140625" style="37" customWidth="1" outlineLevel="1"/>
    <col min="8" max="8" width="6" style="38" customWidth="1" outlineLevel="1"/>
    <col min="9" max="9" width="6.7109375" style="38" customWidth="1" outlineLevel="1"/>
    <col min="10" max="10" width="10.85546875" style="38" customWidth="1" outlineLevel="1"/>
    <col min="11" max="11" width="14.140625" style="34" customWidth="1"/>
    <col min="12" max="12" width="11.7109375" style="34" customWidth="1"/>
    <col min="13" max="22" width="12.7109375" style="34" customWidth="1"/>
    <col min="23" max="23" width="7.85546875" style="34" customWidth="1"/>
    <col min="24" max="25" width="12.7109375" style="34" customWidth="1"/>
    <col min="26" max="26" width="12.7109375" style="34" hidden="1" customWidth="1"/>
    <col min="27" max="28" width="12.7109375" style="34" customWidth="1"/>
    <col min="29" max="29" width="16.42578125" style="34" customWidth="1"/>
    <col min="30" max="31" width="7" style="34" customWidth="1"/>
    <col min="32" max="32" width="16.140625" style="34" customWidth="1" collapsed="1"/>
    <col min="33" max="33" width="7.7109375" style="39" customWidth="1"/>
    <col min="34" max="34" width="12.7109375" style="34" customWidth="1"/>
    <col min="35" max="35" width="16.85546875" style="33" customWidth="1"/>
    <col min="36" max="36" width="13.7109375" style="33" customWidth="1"/>
    <col min="37" max="37" width="12.42578125" style="33" customWidth="1"/>
    <col min="38" max="16384" width="9.28515625" style="40"/>
  </cols>
  <sheetData>
    <row r="1" spans="2:37">
      <c r="B1" s="33" t="s">
        <v>26</v>
      </c>
      <c r="AI1" s="40"/>
      <c r="AJ1" s="40"/>
      <c r="AK1" s="40"/>
    </row>
    <row r="2" spans="2:37">
      <c r="B2" s="33" t="s">
        <v>27</v>
      </c>
      <c r="AI2" s="40"/>
      <c r="AJ2" s="40"/>
      <c r="AK2" s="40"/>
    </row>
    <row r="3" spans="2:37">
      <c r="B3" s="33" t="s">
        <v>28</v>
      </c>
      <c r="AI3" s="40"/>
      <c r="AJ3" s="40"/>
      <c r="AK3" s="40"/>
    </row>
    <row r="4" spans="2:37" s="33" customFormat="1" ht="13.5" thickBot="1">
      <c r="C4" s="41" t="s">
        <v>29</v>
      </c>
      <c r="D4" s="35"/>
      <c r="E4" s="36"/>
      <c r="F4" s="34"/>
      <c r="G4" s="37"/>
      <c r="H4" s="38"/>
      <c r="I4" s="38"/>
      <c r="J4" s="38"/>
      <c r="K4" s="42">
        <v>31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9"/>
      <c r="AH4" s="34"/>
    </row>
    <row r="5" spans="2:37" s="33" customFormat="1" ht="59.25" customHeight="1" thickBot="1">
      <c r="B5" s="43" t="s">
        <v>30</v>
      </c>
      <c r="C5" s="44" t="s">
        <v>31</v>
      </c>
      <c r="D5" s="45" t="s">
        <v>32</v>
      </c>
      <c r="E5" s="46" t="s">
        <v>33</v>
      </c>
      <c r="F5" s="44" t="s">
        <v>34</v>
      </c>
      <c r="G5" s="47" t="s">
        <v>35</v>
      </c>
      <c r="H5" s="48" t="s">
        <v>36</v>
      </c>
      <c r="I5" s="49" t="s">
        <v>15</v>
      </c>
      <c r="J5" s="49" t="s">
        <v>37</v>
      </c>
      <c r="K5" s="50" t="s">
        <v>38</v>
      </c>
      <c r="L5" s="51" t="s">
        <v>39</v>
      </c>
      <c r="M5" s="52" t="s">
        <v>40</v>
      </c>
      <c r="N5" s="52" t="s">
        <v>41</v>
      </c>
      <c r="O5" s="51" t="s">
        <v>42</v>
      </c>
      <c r="P5" s="51" t="s">
        <v>43</v>
      </c>
      <c r="Q5" s="51" t="s">
        <v>44</v>
      </c>
      <c r="R5" s="51" t="s">
        <v>45</v>
      </c>
      <c r="S5" s="52" t="s">
        <v>46</v>
      </c>
      <c r="T5" s="52" t="s">
        <v>47</v>
      </c>
      <c r="U5" s="52" t="s">
        <v>48</v>
      </c>
      <c r="V5" s="52" t="s">
        <v>49</v>
      </c>
      <c r="W5" s="52" t="s">
        <v>50</v>
      </c>
      <c r="X5" s="52" t="s">
        <v>51</v>
      </c>
      <c r="Y5" s="52" t="s">
        <v>52</v>
      </c>
      <c r="Z5" s="52" t="s">
        <v>51</v>
      </c>
      <c r="AA5" s="52" t="s">
        <v>53</v>
      </c>
      <c r="AB5" s="52" t="s">
        <v>54</v>
      </c>
      <c r="AC5" s="52" t="s">
        <v>55</v>
      </c>
      <c r="AD5" s="52" t="s">
        <v>56</v>
      </c>
      <c r="AE5" s="52" t="s">
        <v>57</v>
      </c>
      <c r="AF5" s="52" t="s">
        <v>58</v>
      </c>
      <c r="AG5" s="53" t="s">
        <v>59</v>
      </c>
      <c r="AH5" s="52" t="s">
        <v>60</v>
      </c>
      <c r="AJ5" s="54" t="s">
        <v>61</v>
      </c>
    </row>
    <row r="6" spans="2:37" s="33" customFormat="1" ht="13.5" customHeight="1">
      <c r="B6" s="55">
        <v>1</v>
      </c>
      <c r="C6" s="56" t="s">
        <v>62</v>
      </c>
      <c r="D6" s="57" t="s">
        <v>63</v>
      </c>
      <c r="E6" s="58" t="s">
        <v>64</v>
      </c>
      <c r="F6" s="56" t="s">
        <v>65</v>
      </c>
      <c r="G6" s="59" t="s">
        <v>66</v>
      </c>
      <c r="H6" s="60" t="s">
        <v>67</v>
      </c>
      <c r="I6" s="61" t="s">
        <v>24</v>
      </c>
      <c r="J6" s="61" t="str">
        <f t="shared" ref="J6:J53" si="0">IF(ISBLANK(I6),"",IF(OR(I6="TK/0",I6="TK/1",I6="K/0"),"TER A",IF(I6="K/3","TER C","TER B")))</f>
        <v>TER B</v>
      </c>
      <c r="K6" s="62">
        <f t="shared" ref="K6:K53" si="1">$K$4*134500</f>
        <v>4169500</v>
      </c>
      <c r="L6" s="63">
        <f>(4035000+N6)*0.84%</f>
        <v>34318.199999999997</v>
      </c>
      <c r="M6" s="63">
        <f>'[5]MAINTENANCE-1'!AO11</f>
        <v>163420</v>
      </c>
      <c r="N6" s="64">
        <f>'[5]MAINTENANCE-1'!AB11</f>
        <v>50500</v>
      </c>
      <c r="O6" s="64">
        <f>'[5]MAINTENANCE-1'!W11</f>
        <v>160950</v>
      </c>
      <c r="P6" s="64">
        <f>'[5]MAINTENANCE-1'!Z11</f>
        <v>80500</v>
      </c>
      <c r="Q6" s="64">
        <f>'[5]MAINTENANCE-1'!AF11</f>
        <v>0</v>
      </c>
      <c r="R6" s="64"/>
      <c r="S6" s="64"/>
      <c r="T6" s="63">
        <f>'[5]MAINTENANCE-1'!AD11</f>
        <v>0</v>
      </c>
      <c r="U6" s="63"/>
      <c r="V6" s="63"/>
      <c r="W6" s="63"/>
      <c r="X6" s="63"/>
      <c r="Y6" s="63"/>
      <c r="Z6" s="63"/>
      <c r="AA6" s="63"/>
      <c r="AB6" s="63"/>
      <c r="AC6" s="64">
        <f>('[5]MAINTENANCE-1'!AY11+'[5]MAINTENANCE-1'!AZ11)*-134500</f>
        <v>-269000</v>
      </c>
      <c r="AD6" s="65"/>
      <c r="AE6" s="64"/>
      <c r="AF6" s="63">
        <f t="shared" ref="AF6:AF68" si="2">ROUND(SUM(K6:AE6),0)</f>
        <v>4390188</v>
      </c>
      <c r="AG6" s="66">
        <f t="shared" ref="AG6:AG53" si="3">IF(J6="TER A",VLOOKUP(AF6,Ter_A,4,TRUE),IF(J6="TER B",VLOOKUP(AF6,Ter_B,4,TRUE),VLOOKUP(AF6,Ter_C,4,TRUE)))</f>
        <v>0</v>
      </c>
      <c r="AH6" s="67">
        <f t="shared" ref="AH6:AH53" si="4">ROUND(IF(E6=0,AF6*AG6*120%,AF6*AG6),0)</f>
        <v>0</v>
      </c>
      <c r="AI6" s="68">
        <f t="shared" ref="AI6:AI67" si="5">AF6-L6-M6</f>
        <v>4192449.8</v>
      </c>
      <c r="AJ6" s="69">
        <f>'[5]MAINTENANCE-1'!AJ11</f>
        <v>4192450</v>
      </c>
      <c r="AK6" s="70">
        <f>AI6-AJ6</f>
        <v>-0.20000000018626451</v>
      </c>
    </row>
    <row r="7" spans="2:37" s="33" customFormat="1" ht="13.5" customHeight="1">
      <c r="B7" s="71">
        <v>2</v>
      </c>
      <c r="C7" s="72" t="s">
        <v>68</v>
      </c>
      <c r="D7" s="73" t="s">
        <v>69</v>
      </c>
      <c r="E7" s="74" t="s">
        <v>70</v>
      </c>
      <c r="F7" s="72" t="s">
        <v>71</v>
      </c>
      <c r="G7" s="75" t="s">
        <v>72</v>
      </c>
      <c r="H7" s="76" t="s">
        <v>67</v>
      </c>
      <c r="I7" s="77" t="s">
        <v>23</v>
      </c>
      <c r="J7" s="78" t="str">
        <f t="shared" si="0"/>
        <v>TER B</v>
      </c>
      <c r="K7" s="62">
        <f t="shared" si="1"/>
        <v>4169500</v>
      </c>
      <c r="L7" s="63">
        <f>(4035000+N7)*0.84%</f>
        <v>34146</v>
      </c>
      <c r="M7" s="63">
        <f>'[5]MAINTENANCE-1'!AO12</f>
        <v>162600</v>
      </c>
      <c r="N7" s="63">
        <f>'[5]MAINTENANCE-1'!AB12</f>
        <v>30000</v>
      </c>
      <c r="O7" s="63">
        <f>'[5]MAINTENANCE-1'!W12</f>
        <v>144150</v>
      </c>
      <c r="P7" s="63">
        <f>'[5]MAINTENANCE-1'!Z12</f>
        <v>62500</v>
      </c>
      <c r="Q7" s="63">
        <f>'[5]MAINTENANCE-1'!AF12</f>
        <v>4186604.15</v>
      </c>
      <c r="R7" s="63"/>
      <c r="S7" s="63"/>
      <c r="T7" s="63">
        <f>'[5]MAINTENANCE-1'!AD12</f>
        <v>0</v>
      </c>
      <c r="U7" s="63"/>
      <c r="V7" s="63"/>
      <c r="W7" s="63"/>
      <c r="X7" s="63"/>
      <c r="Y7" s="63"/>
      <c r="Z7" s="63"/>
      <c r="AA7" s="63"/>
      <c r="AB7" s="63"/>
      <c r="AC7" s="63">
        <f>('[5]MAINTENANCE-1'!AY12+'[5]MAINTENANCE-1'!AZ12)*-134500</f>
        <v>0</v>
      </c>
      <c r="AD7" s="79"/>
      <c r="AE7" s="63"/>
      <c r="AF7" s="63">
        <f t="shared" si="2"/>
        <v>8789500</v>
      </c>
      <c r="AG7" s="80">
        <f t="shared" si="3"/>
        <v>0.01</v>
      </c>
      <c r="AH7" s="67">
        <f t="shared" si="4"/>
        <v>87895</v>
      </c>
      <c r="AI7" s="68">
        <f t="shared" si="5"/>
        <v>8592754</v>
      </c>
      <c r="AJ7" s="69">
        <f>'[5]MAINTENANCE-1'!AJ12</f>
        <v>8592754.1500000004</v>
      </c>
      <c r="AK7" s="70">
        <f t="shared" ref="AK7:AK65" si="6">AI7-AJ7</f>
        <v>-0.15000000037252903</v>
      </c>
    </row>
    <row r="8" spans="2:37" s="33" customFormat="1" ht="13.5" customHeight="1">
      <c r="B8" s="71">
        <v>3</v>
      </c>
      <c r="C8" s="72" t="s">
        <v>73</v>
      </c>
      <c r="D8" s="73" t="s">
        <v>74</v>
      </c>
      <c r="E8" s="74" t="s">
        <v>75</v>
      </c>
      <c r="F8" s="72" t="s">
        <v>76</v>
      </c>
      <c r="G8" s="75" t="s">
        <v>77</v>
      </c>
      <c r="H8" s="76" t="s">
        <v>67</v>
      </c>
      <c r="I8" s="77" t="s">
        <v>24</v>
      </c>
      <c r="J8" s="78" t="str">
        <f t="shared" si="0"/>
        <v>TER B</v>
      </c>
      <c r="K8" s="62">
        <f t="shared" si="1"/>
        <v>4169500</v>
      </c>
      <c r="L8" s="63">
        <f t="shared" ref="L8:L67" si="7">(4035000+N8)*0.84%</f>
        <v>34171.199999999997</v>
      </c>
      <c r="M8" s="63">
        <f>'[5]MAINTENANCE-1'!AO13</f>
        <v>162720</v>
      </c>
      <c r="N8" s="63">
        <f>'[5]MAINTENANCE-1'!AB13</f>
        <v>33000</v>
      </c>
      <c r="O8" s="63">
        <f>'[5]MAINTENANCE-1'!W13</f>
        <v>160950</v>
      </c>
      <c r="P8" s="63">
        <f>'[5]MAINTENANCE-1'!Z13</f>
        <v>0</v>
      </c>
      <c r="Q8" s="63">
        <f>'[5]MAINTENANCE-1'!AF13</f>
        <v>0</v>
      </c>
      <c r="R8" s="63"/>
      <c r="S8" s="63"/>
      <c r="T8" s="63">
        <f>'[5]MAINTENANCE-1'!AD13</f>
        <v>0</v>
      </c>
      <c r="U8" s="63"/>
      <c r="V8" s="63"/>
      <c r="W8" s="63"/>
      <c r="X8" s="63"/>
      <c r="Y8" s="63"/>
      <c r="Z8" s="63"/>
      <c r="AA8" s="63"/>
      <c r="AB8" s="63"/>
      <c r="AC8" s="63">
        <f>('[5]MAINTENANCE-1'!AY13+'[5]MAINTENANCE-1'!AZ13)*-134500</f>
        <v>-269000</v>
      </c>
      <c r="AD8" s="79"/>
      <c r="AE8" s="63"/>
      <c r="AF8" s="63">
        <f t="shared" si="2"/>
        <v>4291341</v>
      </c>
      <c r="AG8" s="80">
        <f t="shared" si="3"/>
        <v>0</v>
      </c>
      <c r="AH8" s="67">
        <f t="shared" si="4"/>
        <v>0</v>
      </c>
      <c r="AI8" s="68">
        <f t="shared" si="5"/>
        <v>4094449.8</v>
      </c>
      <c r="AJ8" s="69">
        <f>'[5]MAINTENANCE-1'!AJ13</f>
        <v>4094450</v>
      </c>
      <c r="AK8" s="70">
        <f t="shared" si="6"/>
        <v>-0.20000000018626451</v>
      </c>
    </row>
    <row r="9" spans="2:37" s="33" customFormat="1" ht="13.5" customHeight="1">
      <c r="B9" s="71">
        <v>4</v>
      </c>
      <c r="C9" s="72" t="s">
        <v>78</v>
      </c>
      <c r="D9" s="73" t="s">
        <v>79</v>
      </c>
      <c r="E9" s="74" t="s">
        <v>80</v>
      </c>
      <c r="F9" s="72" t="s">
        <v>81</v>
      </c>
      <c r="G9" s="75" t="s">
        <v>77</v>
      </c>
      <c r="H9" s="76" t="s">
        <v>67</v>
      </c>
      <c r="I9" s="77" t="s">
        <v>18</v>
      </c>
      <c r="J9" s="78" t="str">
        <f t="shared" si="0"/>
        <v>TER A</v>
      </c>
      <c r="K9" s="62">
        <f t="shared" si="1"/>
        <v>4169500</v>
      </c>
      <c r="L9" s="63">
        <f t="shared" si="7"/>
        <v>34200.6</v>
      </c>
      <c r="M9" s="63">
        <f>'[5]MAINTENANCE-1'!AO14</f>
        <v>162860</v>
      </c>
      <c r="N9" s="63">
        <f>'[5]MAINTENANCE-1'!AB14</f>
        <v>36500</v>
      </c>
      <c r="O9" s="63">
        <f>'[5]MAINTENANCE-1'!W14</f>
        <v>67500</v>
      </c>
      <c r="P9" s="63">
        <f>'[5]MAINTENANCE-1'!Z14</f>
        <v>0</v>
      </c>
      <c r="Q9" s="63">
        <f>'[5]MAINTENANCE-1'!AF14</f>
        <v>233237</v>
      </c>
      <c r="R9" s="63"/>
      <c r="S9" s="63"/>
      <c r="T9" s="63">
        <f>'[5]MAINTENANCE-1'!AD14</f>
        <v>202400</v>
      </c>
      <c r="U9" s="63"/>
      <c r="V9" s="63"/>
      <c r="W9" s="63"/>
      <c r="X9" s="63"/>
      <c r="Y9" s="63"/>
      <c r="Z9" s="63"/>
      <c r="AA9" s="63"/>
      <c r="AB9" s="63"/>
      <c r="AC9" s="63">
        <f>('[5]MAINTENANCE-1'!AY14+'[5]MAINTENANCE-1'!AZ14)*-134500</f>
        <v>-134500</v>
      </c>
      <c r="AD9" s="79"/>
      <c r="AE9" s="63"/>
      <c r="AF9" s="63">
        <f t="shared" si="2"/>
        <v>4771698</v>
      </c>
      <c r="AG9" s="80">
        <f t="shared" si="3"/>
        <v>0</v>
      </c>
      <c r="AH9" s="67">
        <f t="shared" si="4"/>
        <v>0</v>
      </c>
      <c r="AI9" s="68">
        <f t="shared" si="5"/>
        <v>4574637.4000000004</v>
      </c>
      <c r="AJ9" s="69">
        <f>'[5]MAINTENANCE-1'!AJ14</f>
        <v>4574637</v>
      </c>
      <c r="AK9" s="70">
        <f t="shared" si="6"/>
        <v>0.40000000037252903</v>
      </c>
    </row>
    <row r="10" spans="2:37" s="33" customFormat="1" ht="13.5" customHeight="1">
      <c r="B10" s="71">
        <v>5</v>
      </c>
      <c r="C10" s="72" t="s">
        <v>82</v>
      </c>
      <c r="D10" s="73" t="s">
        <v>83</v>
      </c>
      <c r="E10" s="74" t="s">
        <v>84</v>
      </c>
      <c r="F10" s="72" t="s">
        <v>85</v>
      </c>
      <c r="G10" s="75" t="s">
        <v>77</v>
      </c>
      <c r="H10" s="76" t="s">
        <v>67</v>
      </c>
      <c r="I10" s="77" t="s">
        <v>24</v>
      </c>
      <c r="J10" s="78" t="str">
        <f t="shared" si="0"/>
        <v>TER B</v>
      </c>
      <c r="K10" s="62">
        <f t="shared" si="1"/>
        <v>4169500</v>
      </c>
      <c r="L10" s="63">
        <f t="shared" si="7"/>
        <v>34200.6</v>
      </c>
      <c r="M10" s="63">
        <f>'[5]MAINTENANCE-1'!AO15</f>
        <v>162860</v>
      </c>
      <c r="N10" s="63">
        <f>'[5]MAINTENANCE-1'!AB15</f>
        <v>36500</v>
      </c>
      <c r="O10" s="63">
        <f>'[5]MAINTENANCE-1'!W15</f>
        <v>172050</v>
      </c>
      <c r="P10" s="63">
        <f>'[5]MAINTENANCE-1'!Z15</f>
        <v>0</v>
      </c>
      <c r="Q10" s="63">
        <f>'[5]MAINTENANCE-1'!AF15</f>
        <v>0</v>
      </c>
      <c r="R10" s="63"/>
      <c r="S10" s="63"/>
      <c r="T10" s="63">
        <f>'[5]MAINTENANCE-1'!AD15</f>
        <v>0</v>
      </c>
      <c r="U10" s="63"/>
      <c r="V10" s="63"/>
      <c r="W10" s="63"/>
      <c r="X10" s="63"/>
      <c r="Y10" s="63"/>
      <c r="Z10" s="63"/>
      <c r="AA10" s="63"/>
      <c r="AB10" s="63"/>
      <c r="AC10" s="63">
        <f>('[5]MAINTENANCE-1'!AY15+'[5]MAINTENANCE-1'!AZ15)*-134500</f>
        <v>0</v>
      </c>
      <c r="AD10" s="79"/>
      <c r="AE10" s="63"/>
      <c r="AF10" s="63">
        <f t="shared" si="2"/>
        <v>4575111</v>
      </c>
      <c r="AG10" s="80">
        <f t="shared" si="3"/>
        <v>0</v>
      </c>
      <c r="AH10" s="67">
        <f t="shared" si="4"/>
        <v>0</v>
      </c>
      <c r="AI10" s="68">
        <f t="shared" si="5"/>
        <v>4378050.4000000004</v>
      </c>
      <c r="AJ10" s="69">
        <f>'[5]MAINTENANCE-1'!AJ15</f>
        <v>4378050</v>
      </c>
      <c r="AK10" s="70">
        <f t="shared" si="6"/>
        <v>0.40000000037252903</v>
      </c>
    </row>
    <row r="11" spans="2:37" s="33" customFormat="1" ht="13.5" customHeight="1">
      <c r="B11" s="71">
        <v>6</v>
      </c>
      <c r="C11" s="72" t="s">
        <v>86</v>
      </c>
      <c r="D11" s="73" t="s">
        <v>87</v>
      </c>
      <c r="E11" s="74" t="s">
        <v>88</v>
      </c>
      <c r="F11" s="72" t="s">
        <v>89</v>
      </c>
      <c r="G11" s="75" t="s">
        <v>77</v>
      </c>
      <c r="H11" s="76" t="s">
        <v>67</v>
      </c>
      <c r="I11" s="77" t="s">
        <v>24</v>
      </c>
      <c r="J11" s="78" t="str">
        <f t="shared" si="0"/>
        <v>TER B</v>
      </c>
      <c r="K11" s="62">
        <f t="shared" si="1"/>
        <v>4169500</v>
      </c>
      <c r="L11" s="63">
        <f t="shared" si="7"/>
        <v>34171.199999999997</v>
      </c>
      <c r="M11" s="63">
        <f>'[5]MAINTENANCE-1'!AO16</f>
        <v>162720</v>
      </c>
      <c r="N11" s="63">
        <f>'[5]MAINTENANCE-1'!AB16</f>
        <v>33000</v>
      </c>
      <c r="O11" s="63">
        <f>'[5]MAINTENANCE-1'!W16</f>
        <v>160950</v>
      </c>
      <c r="P11" s="63">
        <f>'[5]MAINTENANCE-1'!Z16</f>
        <v>0</v>
      </c>
      <c r="Q11" s="63">
        <f>'[5]MAINTENANCE-1'!AF16</f>
        <v>384841.05000000005</v>
      </c>
      <c r="R11" s="63"/>
      <c r="S11" s="63"/>
      <c r="T11" s="63">
        <f>'[5]MAINTENANCE-1'!AD16</f>
        <v>261760</v>
      </c>
      <c r="U11" s="63"/>
      <c r="V11" s="63"/>
      <c r="W11" s="63"/>
      <c r="X11" s="63"/>
      <c r="Y11" s="63"/>
      <c r="Z11" s="63"/>
      <c r="AA11" s="63"/>
      <c r="AB11" s="63"/>
      <c r="AC11" s="63">
        <f>('[5]MAINTENANCE-1'!AY16+'[5]MAINTENANCE-1'!AZ16)*-134500</f>
        <v>-269000</v>
      </c>
      <c r="AD11" s="79"/>
      <c r="AE11" s="63"/>
      <c r="AF11" s="63">
        <f t="shared" si="2"/>
        <v>4937942</v>
      </c>
      <c r="AG11" s="80">
        <f t="shared" si="3"/>
        <v>0</v>
      </c>
      <c r="AH11" s="67">
        <f t="shared" si="4"/>
        <v>0</v>
      </c>
      <c r="AI11" s="68">
        <f t="shared" si="5"/>
        <v>4741050.8</v>
      </c>
      <c r="AJ11" s="69">
        <f>'[5]MAINTENANCE-1'!AJ16</f>
        <v>4741051.05</v>
      </c>
      <c r="AK11" s="70">
        <f t="shared" si="6"/>
        <v>-0.25</v>
      </c>
    </row>
    <row r="12" spans="2:37" s="33" customFormat="1" ht="13.5" customHeight="1">
      <c r="B12" s="71">
        <v>7</v>
      </c>
      <c r="C12" s="72" t="s">
        <v>90</v>
      </c>
      <c r="D12" s="134" t="s">
        <v>304</v>
      </c>
      <c r="E12" s="74" t="s">
        <v>91</v>
      </c>
      <c r="F12" s="72" t="s">
        <v>92</v>
      </c>
      <c r="G12" s="75" t="s">
        <v>77</v>
      </c>
      <c r="H12" s="76" t="s">
        <v>67</v>
      </c>
      <c r="I12" s="77" t="s">
        <v>24</v>
      </c>
      <c r="J12" s="78" t="str">
        <f t="shared" si="0"/>
        <v>TER B</v>
      </c>
      <c r="K12" s="62">
        <f t="shared" si="1"/>
        <v>4169500</v>
      </c>
      <c r="L12" s="63">
        <f t="shared" si="7"/>
        <v>34318.199999999997</v>
      </c>
      <c r="M12" s="63">
        <f>'[5]MAINTENANCE-1'!AO17</f>
        <v>163420</v>
      </c>
      <c r="N12" s="63">
        <f>'[5]MAINTENANCE-1'!AB17</f>
        <v>50500</v>
      </c>
      <c r="O12" s="63">
        <f>'[5]MAINTENANCE-1'!W17</f>
        <v>166500</v>
      </c>
      <c r="P12" s="63">
        <f>'[5]MAINTENANCE-1'!Z17</f>
        <v>0</v>
      </c>
      <c r="Q12" s="63">
        <f>'[5]MAINTENANCE-1'!AF17</f>
        <v>0</v>
      </c>
      <c r="R12" s="63"/>
      <c r="S12" s="63"/>
      <c r="T12" s="63">
        <f>'[5]MAINTENANCE-1'!AD17</f>
        <v>0</v>
      </c>
      <c r="U12" s="63"/>
      <c r="V12" s="63"/>
      <c r="W12" s="63"/>
      <c r="X12" s="63"/>
      <c r="Y12" s="63"/>
      <c r="Z12" s="63"/>
      <c r="AA12" s="63"/>
      <c r="AB12" s="63"/>
      <c r="AC12" s="63">
        <f>('[5]MAINTENANCE-1'!AY17+'[5]MAINTENANCE-1'!AZ17)*-134500</f>
        <v>-134500</v>
      </c>
      <c r="AD12" s="79"/>
      <c r="AE12" s="63"/>
      <c r="AF12" s="63">
        <f t="shared" si="2"/>
        <v>4449738</v>
      </c>
      <c r="AG12" s="80">
        <f t="shared" si="3"/>
        <v>0</v>
      </c>
      <c r="AH12" s="67">
        <f t="shared" si="4"/>
        <v>0</v>
      </c>
      <c r="AI12" s="68">
        <f t="shared" si="5"/>
        <v>4251999.8</v>
      </c>
      <c r="AJ12" s="69">
        <f>'[5]MAINTENANCE-1'!AJ17</f>
        <v>4252000</v>
      </c>
      <c r="AK12" s="70">
        <f t="shared" si="6"/>
        <v>-0.20000000018626451</v>
      </c>
    </row>
    <row r="13" spans="2:37" s="33" customFormat="1" ht="13.5" customHeight="1">
      <c r="B13" s="71">
        <v>8</v>
      </c>
      <c r="C13" s="72" t="s">
        <v>93</v>
      </c>
      <c r="D13" s="73" t="s">
        <v>94</v>
      </c>
      <c r="E13" s="74" t="s">
        <v>95</v>
      </c>
      <c r="F13" s="72" t="s">
        <v>96</v>
      </c>
      <c r="G13" s="75" t="s">
        <v>77</v>
      </c>
      <c r="H13" s="76" t="s">
        <v>97</v>
      </c>
      <c r="I13" s="77" t="s">
        <v>18</v>
      </c>
      <c r="J13" s="78" t="str">
        <f t="shared" si="0"/>
        <v>TER A</v>
      </c>
      <c r="K13" s="62">
        <f t="shared" si="1"/>
        <v>4169500</v>
      </c>
      <c r="L13" s="63">
        <f t="shared" si="7"/>
        <v>34318.199999999997</v>
      </c>
      <c r="M13" s="63">
        <f>'[5]MAINTENANCE-1'!AO18</f>
        <v>163420</v>
      </c>
      <c r="N13" s="63">
        <f>'[5]MAINTENANCE-1'!AB18</f>
        <v>50500</v>
      </c>
      <c r="O13" s="63">
        <f>'[5]MAINTENANCE-1'!W18</f>
        <v>69750</v>
      </c>
      <c r="P13" s="63">
        <f>'[5]MAINTENANCE-1'!Z18</f>
        <v>0</v>
      </c>
      <c r="Q13" s="63">
        <f>'[5]MAINTENANCE-1'!AF18</f>
        <v>0</v>
      </c>
      <c r="R13" s="63"/>
      <c r="S13" s="63"/>
      <c r="T13" s="63">
        <f>'[5]MAINTENANCE-1'!AD18</f>
        <v>0</v>
      </c>
      <c r="U13" s="63"/>
      <c r="V13" s="63"/>
      <c r="W13" s="63"/>
      <c r="X13" s="63"/>
      <c r="Y13" s="63"/>
      <c r="Z13" s="63"/>
      <c r="AA13" s="63"/>
      <c r="AB13" s="63"/>
      <c r="AC13" s="63">
        <f>('[5]MAINTENANCE-1'!AY18+'[5]MAINTENANCE-1'!AZ18)*-134500</f>
        <v>0</v>
      </c>
      <c r="AD13" s="79"/>
      <c r="AE13" s="63"/>
      <c r="AF13" s="63">
        <f t="shared" si="2"/>
        <v>4487488</v>
      </c>
      <c r="AG13" s="80">
        <f t="shared" si="3"/>
        <v>0</v>
      </c>
      <c r="AH13" s="67">
        <f t="shared" si="4"/>
        <v>0</v>
      </c>
      <c r="AI13" s="68">
        <f t="shared" si="5"/>
        <v>4289749.8</v>
      </c>
      <c r="AJ13" s="69">
        <f>'[5]MAINTENANCE-1'!AJ18</f>
        <v>4289750</v>
      </c>
      <c r="AK13" s="70">
        <f t="shared" si="6"/>
        <v>-0.20000000018626451</v>
      </c>
    </row>
    <row r="14" spans="2:37" s="33" customFormat="1" ht="13.5" customHeight="1">
      <c r="B14" s="71">
        <v>9</v>
      </c>
      <c r="C14" s="72" t="s">
        <v>98</v>
      </c>
      <c r="D14" s="73" t="s">
        <v>99</v>
      </c>
      <c r="E14" s="74" t="s">
        <v>100</v>
      </c>
      <c r="F14" s="72" t="s">
        <v>101</v>
      </c>
      <c r="G14" s="75" t="s">
        <v>77</v>
      </c>
      <c r="H14" s="76" t="s">
        <v>97</v>
      </c>
      <c r="I14" s="77" t="s">
        <v>18</v>
      </c>
      <c r="J14" s="78" t="str">
        <f t="shared" si="0"/>
        <v>TER A</v>
      </c>
      <c r="K14" s="62">
        <f t="shared" si="1"/>
        <v>4169500</v>
      </c>
      <c r="L14" s="63">
        <f t="shared" si="7"/>
        <v>34377</v>
      </c>
      <c r="M14" s="63">
        <f>'[5]MAINTENANCE-1'!AO19</f>
        <v>163700</v>
      </c>
      <c r="N14" s="63">
        <f>'[5]MAINTENANCE-1'!AB19</f>
        <v>57500</v>
      </c>
      <c r="O14" s="63">
        <f>'[5]MAINTENANCE-1'!W19</f>
        <v>69750</v>
      </c>
      <c r="P14" s="63">
        <f>'[5]MAINTENANCE-1'!Z19</f>
        <v>0</v>
      </c>
      <c r="Q14" s="63">
        <f>'[5]MAINTENANCE-1'!AF19</f>
        <v>0</v>
      </c>
      <c r="R14" s="63"/>
      <c r="S14" s="63"/>
      <c r="T14" s="63">
        <f>'[5]MAINTENANCE-1'!AD19</f>
        <v>0</v>
      </c>
      <c r="U14" s="63"/>
      <c r="V14" s="63"/>
      <c r="W14" s="63"/>
      <c r="X14" s="63"/>
      <c r="Y14" s="63"/>
      <c r="Z14" s="63"/>
      <c r="AA14" s="63"/>
      <c r="AB14" s="63"/>
      <c r="AC14" s="63">
        <f>('[5]MAINTENANCE-1'!AY19+'[5]MAINTENANCE-1'!AZ19)*-134500</f>
        <v>0</v>
      </c>
      <c r="AD14" s="79"/>
      <c r="AE14" s="63"/>
      <c r="AF14" s="63">
        <f t="shared" si="2"/>
        <v>4494827</v>
      </c>
      <c r="AG14" s="80">
        <f t="shared" si="3"/>
        <v>0</v>
      </c>
      <c r="AH14" s="67">
        <f t="shared" si="4"/>
        <v>0</v>
      </c>
      <c r="AI14" s="68">
        <f t="shared" si="5"/>
        <v>4296750</v>
      </c>
      <c r="AJ14" s="69">
        <f>'[5]MAINTENANCE-1'!AJ19</f>
        <v>4296750</v>
      </c>
      <c r="AK14" s="70">
        <f t="shared" si="6"/>
        <v>0</v>
      </c>
    </row>
    <row r="15" spans="2:37" s="33" customFormat="1" ht="13.5" customHeight="1">
      <c r="B15" s="71">
        <v>10</v>
      </c>
      <c r="C15" s="72" t="s">
        <v>102</v>
      </c>
      <c r="D15" s="73" t="s">
        <v>103</v>
      </c>
      <c r="E15" s="74" t="s">
        <v>104</v>
      </c>
      <c r="F15" s="72" t="s">
        <v>105</v>
      </c>
      <c r="G15" s="75" t="s">
        <v>77</v>
      </c>
      <c r="H15" s="76" t="s">
        <v>97</v>
      </c>
      <c r="I15" s="77" t="s">
        <v>18</v>
      </c>
      <c r="J15" s="78" t="str">
        <f t="shared" si="0"/>
        <v>TER A</v>
      </c>
      <c r="K15" s="62">
        <f t="shared" si="1"/>
        <v>4169500</v>
      </c>
      <c r="L15" s="63">
        <f t="shared" si="7"/>
        <v>34377</v>
      </c>
      <c r="M15" s="63">
        <f>'[5]MAINTENANCE-1'!AO20</f>
        <v>163700</v>
      </c>
      <c r="N15" s="63">
        <f>'[5]MAINTENANCE-1'!AB20</f>
        <v>57500</v>
      </c>
      <c r="O15" s="63">
        <f>'[5]MAINTENANCE-1'!W20</f>
        <v>69750</v>
      </c>
      <c r="P15" s="63">
        <f>'[5]MAINTENANCE-1'!Z20</f>
        <v>0</v>
      </c>
      <c r="Q15" s="63">
        <f>'[5]MAINTENANCE-1'!AF20</f>
        <v>0</v>
      </c>
      <c r="R15" s="63"/>
      <c r="S15" s="63"/>
      <c r="T15" s="63">
        <f>'[5]MAINTENANCE-1'!AD20</f>
        <v>0</v>
      </c>
      <c r="U15" s="63"/>
      <c r="V15" s="63"/>
      <c r="W15" s="63"/>
      <c r="X15" s="63"/>
      <c r="Y15" s="63"/>
      <c r="Z15" s="63"/>
      <c r="AA15" s="63"/>
      <c r="AB15" s="63"/>
      <c r="AC15" s="63">
        <f>('[5]MAINTENANCE-1'!AY20+'[5]MAINTENANCE-1'!AZ20)*-134500</f>
        <v>0</v>
      </c>
      <c r="AD15" s="79"/>
      <c r="AE15" s="63"/>
      <c r="AF15" s="63">
        <f t="shared" si="2"/>
        <v>4494827</v>
      </c>
      <c r="AG15" s="80">
        <f t="shared" si="3"/>
        <v>0</v>
      </c>
      <c r="AH15" s="67">
        <f t="shared" si="4"/>
        <v>0</v>
      </c>
      <c r="AI15" s="68">
        <f t="shared" si="5"/>
        <v>4296750</v>
      </c>
      <c r="AJ15" s="69">
        <f>'[5]MAINTENANCE-1'!AJ20</f>
        <v>4296750</v>
      </c>
      <c r="AK15" s="70">
        <f t="shared" si="6"/>
        <v>0</v>
      </c>
    </row>
    <row r="16" spans="2:37" s="33" customFormat="1" ht="13.5" customHeight="1">
      <c r="B16" s="71">
        <v>11</v>
      </c>
      <c r="C16" s="72" t="s">
        <v>106</v>
      </c>
      <c r="D16" s="73" t="s">
        <v>107</v>
      </c>
      <c r="E16" s="74" t="s">
        <v>108</v>
      </c>
      <c r="F16" s="72" t="s">
        <v>109</v>
      </c>
      <c r="G16" s="75" t="s">
        <v>77</v>
      </c>
      <c r="H16" s="76" t="s">
        <v>97</v>
      </c>
      <c r="I16" s="77" t="s">
        <v>18</v>
      </c>
      <c r="J16" s="78" t="str">
        <f t="shared" si="0"/>
        <v>TER A</v>
      </c>
      <c r="K16" s="62">
        <f t="shared" si="1"/>
        <v>4169500</v>
      </c>
      <c r="L16" s="63">
        <f t="shared" si="7"/>
        <v>34347.599999999999</v>
      </c>
      <c r="M16" s="63">
        <f>'[5]MAINTENANCE-1'!AO21</f>
        <v>163560</v>
      </c>
      <c r="N16" s="63">
        <f>'[5]MAINTENANCE-1'!AB21</f>
        <v>54000</v>
      </c>
      <c r="O16" s="63">
        <f>'[5]MAINTENANCE-1'!W21</f>
        <v>69750</v>
      </c>
      <c r="P16" s="63">
        <f>'[5]MAINTENANCE-1'!Z21</f>
        <v>0</v>
      </c>
      <c r="Q16" s="63">
        <f>'[5]MAINTENANCE-1'!AF21</f>
        <v>0</v>
      </c>
      <c r="R16" s="63"/>
      <c r="S16" s="63"/>
      <c r="T16" s="63">
        <f>'[5]MAINTENANCE-1'!AD21</f>
        <v>0</v>
      </c>
      <c r="U16" s="63"/>
      <c r="V16" s="63"/>
      <c r="W16" s="63"/>
      <c r="X16" s="63"/>
      <c r="Y16" s="63"/>
      <c r="Z16" s="63"/>
      <c r="AA16" s="63"/>
      <c r="AB16" s="63"/>
      <c r="AC16" s="63">
        <f>('[5]MAINTENANCE-1'!AY21+'[5]MAINTENANCE-1'!AZ21)*-134500</f>
        <v>0</v>
      </c>
      <c r="AD16" s="79"/>
      <c r="AE16" s="63"/>
      <c r="AF16" s="63">
        <f t="shared" si="2"/>
        <v>4491158</v>
      </c>
      <c r="AG16" s="80">
        <f t="shared" si="3"/>
        <v>0</v>
      </c>
      <c r="AH16" s="67">
        <f t="shared" si="4"/>
        <v>0</v>
      </c>
      <c r="AI16" s="68">
        <f t="shared" si="5"/>
        <v>4293250.4000000004</v>
      </c>
      <c r="AJ16" s="69">
        <f>'[5]MAINTENANCE-1'!AJ21</f>
        <v>4293250</v>
      </c>
      <c r="AK16" s="70">
        <f t="shared" si="6"/>
        <v>0.40000000037252903</v>
      </c>
    </row>
    <row r="17" spans="2:37" s="33" customFormat="1" ht="13.5" customHeight="1">
      <c r="B17" s="71">
        <v>12</v>
      </c>
      <c r="C17" s="72" t="s">
        <v>110</v>
      </c>
      <c r="D17" s="73" t="s">
        <v>111</v>
      </c>
      <c r="E17" s="74" t="s">
        <v>112</v>
      </c>
      <c r="F17" s="72" t="s">
        <v>113</v>
      </c>
      <c r="G17" s="75" t="s">
        <v>77</v>
      </c>
      <c r="H17" s="76" t="s">
        <v>97</v>
      </c>
      <c r="I17" s="77" t="s">
        <v>18</v>
      </c>
      <c r="J17" s="78" t="str">
        <f t="shared" si="0"/>
        <v>TER A</v>
      </c>
      <c r="K17" s="62">
        <f t="shared" si="1"/>
        <v>4169500</v>
      </c>
      <c r="L17" s="63">
        <f t="shared" si="7"/>
        <v>34377</v>
      </c>
      <c r="M17" s="63">
        <f>'[5]MAINTENANCE-1'!AO22</f>
        <v>163700</v>
      </c>
      <c r="N17" s="63">
        <f>'[5]MAINTENANCE-1'!AB22</f>
        <v>57500</v>
      </c>
      <c r="O17" s="63">
        <f>'[5]MAINTENANCE-1'!W22</f>
        <v>69750</v>
      </c>
      <c r="P17" s="63">
        <f>'[5]MAINTENANCE-1'!Z22</f>
        <v>0</v>
      </c>
      <c r="Q17" s="63">
        <f>'[5]MAINTENANCE-1'!AF22</f>
        <v>0</v>
      </c>
      <c r="R17" s="63"/>
      <c r="S17" s="63"/>
      <c r="T17" s="63">
        <f>'[5]MAINTENANCE-1'!AD22</f>
        <v>0</v>
      </c>
      <c r="U17" s="63"/>
      <c r="V17" s="63"/>
      <c r="W17" s="63"/>
      <c r="X17" s="63"/>
      <c r="Y17" s="63"/>
      <c r="Z17" s="63"/>
      <c r="AA17" s="63"/>
      <c r="AB17" s="63"/>
      <c r="AC17" s="63">
        <f>('[5]MAINTENANCE-1'!AY22+'[5]MAINTENANCE-1'!AZ22)*-134500</f>
        <v>0</v>
      </c>
      <c r="AD17" s="79"/>
      <c r="AE17" s="63"/>
      <c r="AF17" s="63">
        <f t="shared" si="2"/>
        <v>4494827</v>
      </c>
      <c r="AG17" s="80">
        <f t="shared" si="3"/>
        <v>0</v>
      </c>
      <c r="AH17" s="67">
        <f t="shared" si="4"/>
        <v>0</v>
      </c>
      <c r="AI17" s="68">
        <f t="shared" si="5"/>
        <v>4296750</v>
      </c>
      <c r="AJ17" s="69">
        <f>'[5]MAINTENANCE-1'!AJ22</f>
        <v>4296750</v>
      </c>
      <c r="AK17" s="70">
        <f t="shared" si="6"/>
        <v>0</v>
      </c>
    </row>
    <row r="18" spans="2:37" s="33" customFormat="1" ht="13.5" customHeight="1">
      <c r="B18" s="71">
        <v>13</v>
      </c>
      <c r="C18" s="72" t="s">
        <v>114</v>
      </c>
      <c r="D18" s="73" t="s">
        <v>115</v>
      </c>
      <c r="E18" s="74" t="s">
        <v>116</v>
      </c>
      <c r="F18" s="72" t="s">
        <v>117</v>
      </c>
      <c r="G18" s="75" t="s">
        <v>77</v>
      </c>
      <c r="H18" s="76" t="s">
        <v>97</v>
      </c>
      <c r="I18" s="77" t="s">
        <v>18</v>
      </c>
      <c r="J18" s="78" t="str">
        <f t="shared" si="0"/>
        <v>TER A</v>
      </c>
      <c r="K18" s="62">
        <f t="shared" si="1"/>
        <v>4169500</v>
      </c>
      <c r="L18" s="63">
        <f t="shared" si="7"/>
        <v>34318.199999999997</v>
      </c>
      <c r="M18" s="63">
        <f>'[5]MAINTENANCE-1'!AO23</f>
        <v>163420</v>
      </c>
      <c r="N18" s="63">
        <f>'[5]MAINTENANCE-1'!AB23</f>
        <v>50500</v>
      </c>
      <c r="O18" s="63">
        <f>'[5]MAINTENANCE-1'!W23</f>
        <v>69750</v>
      </c>
      <c r="P18" s="63">
        <f>'[5]MAINTENANCE-1'!Z23</f>
        <v>0</v>
      </c>
      <c r="Q18" s="63">
        <f>'[5]MAINTENANCE-1'!AF23</f>
        <v>0</v>
      </c>
      <c r="R18" s="63"/>
      <c r="S18" s="63"/>
      <c r="T18" s="63">
        <f>'[5]MAINTENANCE-1'!AD23</f>
        <v>0</v>
      </c>
      <c r="U18" s="63"/>
      <c r="V18" s="63"/>
      <c r="W18" s="63"/>
      <c r="X18" s="63"/>
      <c r="Y18" s="63"/>
      <c r="Z18" s="63"/>
      <c r="AA18" s="63"/>
      <c r="AB18" s="63"/>
      <c r="AC18" s="63">
        <f>('[5]MAINTENANCE-1'!AY23+'[5]MAINTENANCE-1'!AZ23)*-134500</f>
        <v>0</v>
      </c>
      <c r="AD18" s="79"/>
      <c r="AE18" s="63"/>
      <c r="AF18" s="63">
        <f t="shared" si="2"/>
        <v>4487488</v>
      </c>
      <c r="AG18" s="80">
        <f t="shared" si="3"/>
        <v>0</v>
      </c>
      <c r="AH18" s="67">
        <f t="shared" si="4"/>
        <v>0</v>
      </c>
      <c r="AI18" s="68">
        <f t="shared" si="5"/>
        <v>4289749.8</v>
      </c>
      <c r="AJ18" s="69">
        <f>'[5]MAINTENANCE-1'!AJ23</f>
        <v>4289750</v>
      </c>
      <c r="AK18" s="70">
        <f t="shared" si="6"/>
        <v>-0.20000000018626451</v>
      </c>
    </row>
    <row r="19" spans="2:37" s="33" customFormat="1" ht="13.5" customHeight="1">
      <c r="B19" s="71">
        <v>14</v>
      </c>
      <c r="C19" s="72" t="s">
        <v>118</v>
      </c>
      <c r="D19" s="73" t="s">
        <v>119</v>
      </c>
      <c r="E19" s="74" t="s">
        <v>120</v>
      </c>
      <c r="F19" s="72" t="s">
        <v>121</v>
      </c>
      <c r="G19" s="75" t="s">
        <v>77</v>
      </c>
      <c r="H19" s="76" t="s">
        <v>97</v>
      </c>
      <c r="I19" s="77" t="s">
        <v>18</v>
      </c>
      <c r="J19" s="78" t="str">
        <f t="shared" si="0"/>
        <v>TER A</v>
      </c>
      <c r="K19" s="62">
        <f t="shared" si="1"/>
        <v>4169500</v>
      </c>
      <c r="L19" s="63">
        <f t="shared" si="7"/>
        <v>34347.599999999999</v>
      </c>
      <c r="M19" s="63">
        <f>'[5]MAINTENANCE-1'!AO24</f>
        <v>163560</v>
      </c>
      <c r="N19" s="63">
        <f>'[5]MAINTENANCE-1'!AB24</f>
        <v>54000</v>
      </c>
      <c r="O19" s="63">
        <f>'[5]MAINTENANCE-1'!W24</f>
        <v>100750</v>
      </c>
      <c r="P19" s="63">
        <f>'[5]MAINTENANCE-1'!Z24</f>
        <v>0</v>
      </c>
      <c r="Q19" s="63">
        <f>'[5]MAINTENANCE-1'!AF24</f>
        <v>0</v>
      </c>
      <c r="R19" s="63"/>
      <c r="S19" s="63"/>
      <c r="T19" s="63">
        <f>'[5]MAINTENANCE-1'!AD24</f>
        <v>0</v>
      </c>
      <c r="U19" s="63"/>
      <c r="V19" s="63"/>
      <c r="W19" s="63"/>
      <c r="X19" s="63"/>
      <c r="Y19" s="63"/>
      <c r="Z19" s="63"/>
      <c r="AA19" s="63"/>
      <c r="AB19" s="63"/>
      <c r="AC19" s="63">
        <f>('[5]MAINTENANCE-1'!AY24+'[5]MAINTENANCE-1'!AZ24)*-134500</f>
        <v>0</v>
      </c>
      <c r="AD19" s="79"/>
      <c r="AE19" s="63"/>
      <c r="AF19" s="63">
        <f t="shared" si="2"/>
        <v>4522158</v>
      </c>
      <c r="AG19" s="80">
        <f t="shared" si="3"/>
        <v>0</v>
      </c>
      <c r="AH19" s="67">
        <f t="shared" si="4"/>
        <v>0</v>
      </c>
      <c r="AI19" s="68">
        <f t="shared" si="5"/>
        <v>4324250.4000000004</v>
      </c>
      <c r="AJ19" s="69">
        <f>'[5]MAINTENANCE-1'!AJ24</f>
        <v>4324250</v>
      </c>
      <c r="AK19" s="70">
        <f t="shared" si="6"/>
        <v>0.40000000037252903</v>
      </c>
    </row>
    <row r="20" spans="2:37" s="33" customFormat="1" ht="13.5" customHeight="1">
      <c r="B20" s="71">
        <v>15</v>
      </c>
      <c r="C20" s="72" t="s">
        <v>122</v>
      </c>
      <c r="D20" s="73" t="s">
        <v>123</v>
      </c>
      <c r="E20" s="74" t="s">
        <v>124</v>
      </c>
      <c r="F20" s="72" t="s">
        <v>125</v>
      </c>
      <c r="G20" s="75" t="s">
        <v>77</v>
      </c>
      <c r="H20" s="76" t="s">
        <v>97</v>
      </c>
      <c r="I20" s="77" t="s">
        <v>18</v>
      </c>
      <c r="J20" s="78" t="str">
        <f t="shared" si="0"/>
        <v>TER A</v>
      </c>
      <c r="K20" s="62">
        <f t="shared" si="1"/>
        <v>4169500</v>
      </c>
      <c r="L20" s="63">
        <f t="shared" si="7"/>
        <v>34318.199999999997</v>
      </c>
      <c r="M20" s="63">
        <f>'[5]MAINTENANCE-1'!AO25</f>
        <v>163420</v>
      </c>
      <c r="N20" s="63">
        <f>'[5]MAINTENANCE-1'!AB25</f>
        <v>50500</v>
      </c>
      <c r="O20" s="63">
        <f>'[5]MAINTENANCE-1'!W25</f>
        <v>67500</v>
      </c>
      <c r="P20" s="63">
        <f>'[5]MAINTENANCE-1'!Z25</f>
        <v>0</v>
      </c>
      <c r="Q20" s="63">
        <f>'[5]MAINTENANCE-1'!AF25</f>
        <v>0</v>
      </c>
      <c r="R20" s="63"/>
      <c r="S20" s="63"/>
      <c r="T20" s="63">
        <f>'[5]MAINTENANCE-1'!AD25</f>
        <v>0</v>
      </c>
      <c r="U20" s="63"/>
      <c r="V20" s="63"/>
      <c r="W20" s="63"/>
      <c r="X20" s="63"/>
      <c r="Y20" s="63"/>
      <c r="Z20" s="63"/>
      <c r="AA20" s="63"/>
      <c r="AB20" s="63"/>
      <c r="AC20" s="63">
        <f>('[5]MAINTENANCE-1'!AY25+'[5]MAINTENANCE-1'!AZ25)*-134500</f>
        <v>-134500</v>
      </c>
      <c r="AD20" s="79"/>
      <c r="AE20" s="63"/>
      <c r="AF20" s="63">
        <f t="shared" si="2"/>
        <v>4350738</v>
      </c>
      <c r="AG20" s="80">
        <f t="shared" si="3"/>
        <v>0</v>
      </c>
      <c r="AH20" s="67">
        <f t="shared" si="4"/>
        <v>0</v>
      </c>
      <c r="AI20" s="68">
        <f t="shared" si="5"/>
        <v>4152999.8</v>
      </c>
      <c r="AJ20" s="69">
        <f>'[5]MAINTENANCE-1'!AJ25</f>
        <v>4153000</v>
      </c>
      <c r="AK20" s="70">
        <f t="shared" si="6"/>
        <v>-0.20000000018626451</v>
      </c>
    </row>
    <row r="21" spans="2:37" s="33" customFormat="1" ht="13.5" customHeight="1">
      <c r="B21" s="71">
        <v>16</v>
      </c>
      <c r="C21" s="72" t="s">
        <v>126</v>
      </c>
      <c r="D21" s="73" t="s">
        <v>127</v>
      </c>
      <c r="E21" s="74" t="s">
        <v>128</v>
      </c>
      <c r="F21" s="72" t="s">
        <v>129</v>
      </c>
      <c r="G21" s="75" t="s">
        <v>77</v>
      </c>
      <c r="H21" s="76" t="s">
        <v>97</v>
      </c>
      <c r="I21" s="77" t="s">
        <v>18</v>
      </c>
      <c r="J21" s="78" t="str">
        <f t="shared" si="0"/>
        <v>TER A</v>
      </c>
      <c r="K21" s="62">
        <f t="shared" si="1"/>
        <v>4169500</v>
      </c>
      <c r="L21" s="63">
        <f t="shared" si="7"/>
        <v>34671</v>
      </c>
      <c r="M21" s="63">
        <f>'[5]MAINTENANCE-1'!AO26</f>
        <v>165100</v>
      </c>
      <c r="N21" s="63">
        <f>'[5]MAINTENANCE-1'!AB26</f>
        <v>92500</v>
      </c>
      <c r="O21" s="63">
        <f>'[5]MAINTENANCE-1'!W26</f>
        <v>67500</v>
      </c>
      <c r="P21" s="63">
        <f>'[5]MAINTENANCE-1'!Z26</f>
        <v>0</v>
      </c>
      <c r="Q21" s="63">
        <f>'[5]MAINTENANCE-1'!AF26</f>
        <v>0</v>
      </c>
      <c r="R21" s="63"/>
      <c r="S21" s="63"/>
      <c r="T21" s="63">
        <f>'[5]MAINTENANCE-1'!AD26</f>
        <v>0</v>
      </c>
      <c r="U21" s="63"/>
      <c r="V21" s="63"/>
      <c r="W21" s="63"/>
      <c r="X21" s="63"/>
      <c r="Y21" s="63"/>
      <c r="Z21" s="63"/>
      <c r="AA21" s="63"/>
      <c r="AB21" s="63"/>
      <c r="AC21" s="63">
        <f>('[5]MAINTENANCE-1'!AY26+'[5]MAINTENANCE-1'!AZ26)*-134500</f>
        <v>-134500</v>
      </c>
      <c r="AD21" s="79"/>
      <c r="AE21" s="63"/>
      <c r="AF21" s="63">
        <f t="shared" si="2"/>
        <v>4394771</v>
      </c>
      <c r="AG21" s="80">
        <f t="shared" si="3"/>
        <v>0</v>
      </c>
      <c r="AH21" s="67">
        <f t="shared" si="4"/>
        <v>0</v>
      </c>
      <c r="AI21" s="68">
        <f t="shared" si="5"/>
        <v>4195000</v>
      </c>
      <c r="AJ21" s="69">
        <f>'[5]MAINTENANCE-1'!AJ26</f>
        <v>4195000</v>
      </c>
      <c r="AK21" s="70">
        <f t="shared" si="6"/>
        <v>0</v>
      </c>
    </row>
    <row r="22" spans="2:37" s="33" customFormat="1" ht="13.5" customHeight="1">
      <c r="B22" s="71">
        <v>17</v>
      </c>
      <c r="C22" s="72" t="s">
        <v>130</v>
      </c>
      <c r="D22" s="73" t="s">
        <v>131</v>
      </c>
      <c r="E22" s="74" t="s">
        <v>132</v>
      </c>
      <c r="F22" s="72" t="s">
        <v>133</v>
      </c>
      <c r="G22" s="75" t="s">
        <v>77</v>
      </c>
      <c r="H22" s="76" t="s">
        <v>97</v>
      </c>
      <c r="I22" s="77" t="s">
        <v>18</v>
      </c>
      <c r="J22" s="78" t="str">
        <f t="shared" si="0"/>
        <v>TER A</v>
      </c>
      <c r="K22" s="62">
        <f t="shared" si="1"/>
        <v>4169500</v>
      </c>
      <c r="L22" s="63">
        <f t="shared" si="7"/>
        <v>34120.799999999996</v>
      </c>
      <c r="M22" s="63">
        <f>'[5]MAINTENANCE-1'!AO27</f>
        <v>162480</v>
      </c>
      <c r="N22" s="63">
        <f>'[5]MAINTENANCE-1'!AB27</f>
        <v>27000</v>
      </c>
      <c r="O22" s="63">
        <f>'[5]MAINTENANCE-1'!W27</f>
        <v>69750</v>
      </c>
      <c r="P22" s="63">
        <f>'[5]MAINTENANCE-1'!Z27</f>
        <v>0</v>
      </c>
      <c r="Q22" s="63">
        <f>'[5]MAINTENANCE-1'!AF27</f>
        <v>0</v>
      </c>
      <c r="R22" s="63"/>
      <c r="S22" s="63"/>
      <c r="T22" s="63">
        <f>'[5]MAINTENANCE-1'!AD27</f>
        <v>0</v>
      </c>
      <c r="U22" s="63"/>
      <c r="V22" s="63"/>
      <c r="W22" s="63"/>
      <c r="X22" s="63"/>
      <c r="Y22" s="63"/>
      <c r="Z22" s="63"/>
      <c r="AA22" s="63"/>
      <c r="AB22" s="63"/>
      <c r="AC22" s="63">
        <f>('[5]MAINTENANCE-1'!AY27+'[5]MAINTENANCE-1'!AZ27)*-134500</f>
        <v>0</v>
      </c>
      <c r="AD22" s="79"/>
      <c r="AE22" s="63"/>
      <c r="AF22" s="63">
        <f t="shared" si="2"/>
        <v>4462851</v>
      </c>
      <c r="AG22" s="80">
        <f t="shared" si="3"/>
        <v>0</v>
      </c>
      <c r="AH22" s="67">
        <f t="shared" si="4"/>
        <v>0</v>
      </c>
      <c r="AI22" s="68">
        <f t="shared" si="5"/>
        <v>4266250.2</v>
      </c>
      <c r="AJ22" s="69">
        <f>'[5]MAINTENANCE-1'!AJ27</f>
        <v>4266250</v>
      </c>
      <c r="AK22" s="70">
        <f t="shared" si="6"/>
        <v>0.20000000018626451</v>
      </c>
    </row>
    <row r="23" spans="2:37" s="33" customFormat="1" ht="13.5" customHeight="1">
      <c r="B23" s="71">
        <v>18</v>
      </c>
      <c r="C23" s="72" t="s">
        <v>134</v>
      </c>
      <c r="D23" s="81" t="s">
        <v>135</v>
      </c>
      <c r="E23" s="82" t="s">
        <v>136</v>
      </c>
      <c r="F23" s="83" t="s">
        <v>101</v>
      </c>
      <c r="G23" s="75" t="s">
        <v>77</v>
      </c>
      <c r="H23" s="84" t="s">
        <v>97</v>
      </c>
      <c r="I23" s="77" t="s">
        <v>18</v>
      </c>
      <c r="J23" s="78" t="str">
        <f t="shared" si="0"/>
        <v>TER A</v>
      </c>
      <c r="K23" s="62">
        <f t="shared" si="1"/>
        <v>4169500</v>
      </c>
      <c r="L23" s="63">
        <f t="shared" si="7"/>
        <v>34120.799999999996</v>
      </c>
      <c r="M23" s="63">
        <f>'[5]MAINTENANCE-1'!AO28</f>
        <v>162480</v>
      </c>
      <c r="N23" s="63">
        <f>'[5]MAINTENANCE-1'!AB28</f>
        <v>27000</v>
      </c>
      <c r="O23" s="63">
        <f>'[5]MAINTENANCE-1'!W28</f>
        <v>69750</v>
      </c>
      <c r="P23" s="63">
        <f>'[5]MAINTENANCE-1'!Z28</f>
        <v>0</v>
      </c>
      <c r="Q23" s="63">
        <f>'[5]MAINTENANCE-1'!AF28</f>
        <v>0</v>
      </c>
      <c r="R23" s="85"/>
      <c r="S23" s="85"/>
      <c r="T23" s="63">
        <f>'[5]MAINTENANCE-1'!AD28</f>
        <v>0</v>
      </c>
      <c r="U23" s="85"/>
      <c r="V23" s="85"/>
      <c r="W23" s="63"/>
      <c r="X23" s="63"/>
      <c r="Y23" s="63"/>
      <c r="Z23" s="63"/>
      <c r="AA23" s="63"/>
      <c r="AB23" s="63"/>
      <c r="AC23" s="63">
        <f>('[5]MAINTENANCE-1'!AY28+'[5]MAINTENANCE-1'!AZ28)*-134500</f>
        <v>0</v>
      </c>
      <c r="AD23" s="79"/>
      <c r="AE23" s="85"/>
      <c r="AF23" s="63">
        <f t="shared" si="2"/>
        <v>4462851</v>
      </c>
      <c r="AG23" s="80">
        <f t="shared" si="3"/>
        <v>0</v>
      </c>
      <c r="AH23" s="67">
        <f t="shared" si="4"/>
        <v>0</v>
      </c>
      <c r="AI23" s="68">
        <f t="shared" si="5"/>
        <v>4266250.2</v>
      </c>
      <c r="AJ23" s="69">
        <f>'[5]MAINTENANCE-1'!AJ28</f>
        <v>4266250</v>
      </c>
      <c r="AK23" s="70">
        <f t="shared" si="6"/>
        <v>0.20000000018626451</v>
      </c>
    </row>
    <row r="24" spans="2:37" s="33" customFormat="1" ht="13.5" customHeight="1">
      <c r="B24" s="71">
        <v>19</v>
      </c>
      <c r="C24" s="72" t="s">
        <v>137</v>
      </c>
      <c r="D24" s="86" t="s">
        <v>138</v>
      </c>
      <c r="E24" s="82" t="s">
        <v>139</v>
      </c>
      <c r="F24" s="83" t="s">
        <v>140</v>
      </c>
      <c r="G24" s="75" t="s">
        <v>77</v>
      </c>
      <c r="H24" s="84" t="s">
        <v>97</v>
      </c>
      <c r="I24" s="77" t="s">
        <v>18</v>
      </c>
      <c r="J24" s="78" t="str">
        <f t="shared" si="0"/>
        <v>TER A</v>
      </c>
      <c r="K24" s="62">
        <f t="shared" si="1"/>
        <v>4169500</v>
      </c>
      <c r="L24" s="63">
        <f t="shared" si="7"/>
        <v>34070.400000000001</v>
      </c>
      <c r="M24" s="63">
        <f>'[5]MAINTENANCE-1'!AO29</f>
        <v>162240</v>
      </c>
      <c r="N24" s="63">
        <f>'[5]MAINTENANCE-1'!AB29</f>
        <v>21000</v>
      </c>
      <c r="O24" s="63">
        <f>'[5]MAINTENANCE-1'!W29</f>
        <v>65250</v>
      </c>
      <c r="P24" s="63">
        <f>'[5]MAINTENANCE-1'!Z29</f>
        <v>0</v>
      </c>
      <c r="Q24" s="63">
        <f>'[5]MAINTENANCE-1'!AF29</f>
        <v>0</v>
      </c>
      <c r="R24" s="85"/>
      <c r="S24" s="85"/>
      <c r="T24" s="63">
        <f>'[5]MAINTENANCE-1'!AD29</f>
        <v>0</v>
      </c>
      <c r="U24" s="85"/>
      <c r="V24" s="85"/>
      <c r="W24" s="63"/>
      <c r="X24" s="63"/>
      <c r="Y24" s="63"/>
      <c r="Z24" s="63"/>
      <c r="AA24" s="63"/>
      <c r="AB24" s="63"/>
      <c r="AC24" s="63">
        <f>('[5]MAINTENANCE-1'!AY29+'[5]MAINTENANCE-1'!AZ29)*-134500</f>
        <v>-269000</v>
      </c>
      <c r="AD24" s="79"/>
      <c r="AE24" s="85"/>
      <c r="AF24" s="63">
        <f t="shared" si="2"/>
        <v>4183060</v>
      </c>
      <c r="AG24" s="80">
        <f t="shared" si="3"/>
        <v>0</v>
      </c>
      <c r="AH24" s="67">
        <f t="shared" si="4"/>
        <v>0</v>
      </c>
      <c r="AI24" s="68">
        <f t="shared" si="5"/>
        <v>3986749.6</v>
      </c>
      <c r="AJ24" s="69">
        <f>'[5]MAINTENANCE-1'!AJ29</f>
        <v>3986750</v>
      </c>
      <c r="AK24" s="70">
        <f t="shared" si="6"/>
        <v>-0.39999999990686774</v>
      </c>
    </row>
    <row r="25" spans="2:37" s="33" customFormat="1" ht="13.5" customHeight="1">
      <c r="B25" s="71">
        <v>20</v>
      </c>
      <c r="C25" s="72" t="s">
        <v>141</v>
      </c>
      <c r="D25" s="81" t="s">
        <v>142</v>
      </c>
      <c r="E25" s="82" t="s">
        <v>120</v>
      </c>
      <c r="F25" s="83" t="s">
        <v>143</v>
      </c>
      <c r="G25" s="75" t="s">
        <v>77</v>
      </c>
      <c r="H25" s="84" t="s">
        <v>97</v>
      </c>
      <c r="I25" s="77" t="s">
        <v>18</v>
      </c>
      <c r="J25" s="78" t="str">
        <f t="shared" si="0"/>
        <v>TER A</v>
      </c>
      <c r="K25" s="62">
        <f t="shared" si="1"/>
        <v>4169500</v>
      </c>
      <c r="L25" s="63">
        <f t="shared" si="7"/>
        <v>34070.400000000001</v>
      </c>
      <c r="M25" s="63">
        <f>'[5]MAINTENANCE-1'!AO30</f>
        <v>162240</v>
      </c>
      <c r="N25" s="63">
        <f>'[5]MAINTENANCE-1'!AB30</f>
        <v>21000</v>
      </c>
      <c r="O25" s="63">
        <f>'[5]MAINTENANCE-1'!W30</f>
        <v>69750</v>
      </c>
      <c r="P25" s="63">
        <f>'[5]MAINTENANCE-1'!Z30</f>
        <v>0</v>
      </c>
      <c r="Q25" s="63">
        <f>'[5]MAINTENANCE-1'!AF30</f>
        <v>0</v>
      </c>
      <c r="R25" s="85"/>
      <c r="S25" s="85"/>
      <c r="T25" s="63">
        <f>'[5]MAINTENANCE-1'!AD30</f>
        <v>0</v>
      </c>
      <c r="U25" s="85"/>
      <c r="V25" s="85"/>
      <c r="W25" s="63"/>
      <c r="X25" s="63"/>
      <c r="Y25" s="63"/>
      <c r="Z25" s="63"/>
      <c r="AA25" s="63"/>
      <c r="AB25" s="63"/>
      <c r="AC25" s="63">
        <f>('[5]MAINTENANCE-1'!AY30+'[5]MAINTENANCE-1'!AZ30)*-134500</f>
        <v>0</v>
      </c>
      <c r="AD25" s="79"/>
      <c r="AE25" s="85"/>
      <c r="AF25" s="63">
        <f t="shared" si="2"/>
        <v>4456560</v>
      </c>
      <c r="AG25" s="80">
        <f t="shared" si="3"/>
        <v>0</v>
      </c>
      <c r="AH25" s="67">
        <f t="shared" si="4"/>
        <v>0</v>
      </c>
      <c r="AI25" s="68">
        <f t="shared" si="5"/>
        <v>4260249.5999999996</v>
      </c>
      <c r="AJ25" s="69">
        <f>'[5]MAINTENANCE-1'!AJ30</f>
        <v>4260250</v>
      </c>
      <c r="AK25" s="70">
        <f t="shared" si="6"/>
        <v>-0.40000000037252903</v>
      </c>
    </row>
    <row r="26" spans="2:37" s="33" customFormat="1" ht="13.5" customHeight="1">
      <c r="B26" s="71">
        <v>21</v>
      </c>
      <c r="C26" s="72" t="s">
        <v>144</v>
      </c>
      <c r="D26" s="81" t="s">
        <v>145</v>
      </c>
      <c r="E26" s="82" t="s">
        <v>146</v>
      </c>
      <c r="F26" s="83" t="s">
        <v>147</v>
      </c>
      <c r="G26" s="75" t="s">
        <v>77</v>
      </c>
      <c r="H26" s="84" t="s">
        <v>97</v>
      </c>
      <c r="I26" s="77" t="s">
        <v>18</v>
      </c>
      <c r="J26" s="78" t="str">
        <f t="shared" si="0"/>
        <v>TER A</v>
      </c>
      <c r="K26" s="62">
        <f t="shared" si="1"/>
        <v>4169500</v>
      </c>
      <c r="L26" s="63">
        <f t="shared" si="7"/>
        <v>34070.400000000001</v>
      </c>
      <c r="M26" s="63">
        <f>'[5]MAINTENANCE-1'!AO31</f>
        <v>162240</v>
      </c>
      <c r="N26" s="63">
        <f>'[5]MAINTENANCE-1'!AB31</f>
        <v>21000</v>
      </c>
      <c r="O26" s="63">
        <f>'[5]MAINTENANCE-1'!W31</f>
        <v>69750</v>
      </c>
      <c r="P26" s="63">
        <f>'[5]MAINTENANCE-1'!Z31</f>
        <v>0</v>
      </c>
      <c r="Q26" s="63">
        <f>'[5]MAINTENANCE-1'!AF31</f>
        <v>0</v>
      </c>
      <c r="R26" s="85"/>
      <c r="S26" s="85"/>
      <c r="T26" s="63">
        <f>'[5]MAINTENANCE-1'!AD31</f>
        <v>0</v>
      </c>
      <c r="U26" s="85"/>
      <c r="V26" s="85"/>
      <c r="W26" s="63"/>
      <c r="X26" s="63"/>
      <c r="Y26" s="63"/>
      <c r="Z26" s="63"/>
      <c r="AA26" s="63"/>
      <c r="AB26" s="63"/>
      <c r="AC26" s="63">
        <f>('[5]MAINTENANCE-1'!AY31+'[5]MAINTENANCE-1'!AZ31)*-134500</f>
        <v>0</v>
      </c>
      <c r="AD26" s="79"/>
      <c r="AE26" s="85"/>
      <c r="AF26" s="63">
        <f t="shared" si="2"/>
        <v>4456560</v>
      </c>
      <c r="AG26" s="80">
        <f t="shared" si="3"/>
        <v>0</v>
      </c>
      <c r="AH26" s="67">
        <f t="shared" si="4"/>
        <v>0</v>
      </c>
      <c r="AI26" s="68">
        <f t="shared" si="5"/>
        <v>4260249.5999999996</v>
      </c>
      <c r="AJ26" s="69">
        <f>'[5]MAINTENANCE-1'!AJ31</f>
        <v>4260250</v>
      </c>
      <c r="AK26" s="70">
        <f t="shared" si="6"/>
        <v>-0.40000000037252903</v>
      </c>
    </row>
    <row r="27" spans="2:37" s="33" customFormat="1" ht="13.5" customHeight="1">
      <c r="B27" s="71">
        <v>22</v>
      </c>
      <c r="C27" s="72" t="s">
        <v>148</v>
      </c>
      <c r="D27" s="81" t="s">
        <v>149</v>
      </c>
      <c r="E27" s="82" t="s">
        <v>120</v>
      </c>
      <c r="F27" s="83" t="s">
        <v>150</v>
      </c>
      <c r="G27" s="75" t="s">
        <v>77</v>
      </c>
      <c r="H27" s="84" t="s">
        <v>97</v>
      </c>
      <c r="I27" s="77" t="s">
        <v>18</v>
      </c>
      <c r="J27" s="78" t="str">
        <f t="shared" si="0"/>
        <v>TER A</v>
      </c>
      <c r="K27" s="62">
        <f t="shared" si="1"/>
        <v>4169500</v>
      </c>
      <c r="L27" s="63">
        <f t="shared" si="7"/>
        <v>34070.400000000001</v>
      </c>
      <c r="M27" s="63">
        <f>'[5]MAINTENANCE-1'!AO32</f>
        <v>162240</v>
      </c>
      <c r="N27" s="63">
        <f>'[5]MAINTENANCE-1'!AB32</f>
        <v>21000</v>
      </c>
      <c r="O27" s="63">
        <f>'[5]MAINTENANCE-1'!W32</f>
        <v>69750</v>
      </c>
      <c r="P27" s="63">
        <f>'[5]MAINTENANCE-1'!Z32</f>
        <v>0</v>
      </c>
      <c r="Q27" s="63">
        <f>'[5]MAINTENANCE-1'!AF32</f>
        <v>0</v>
      </c>
      <c r="R27" s="85"/>
      <c r="S27" s="85"/>
      <c r="T27" s="63">
        <f>'[5]MAINTENANCE-1'!AD32</f>
        <v>0</v>
      </c>
      <c r="U27" s="85"/>
      <c r="V27" s="85"/>
      <c r="W27" s="63"/>
      <c r="X27" s="63"/>
      <c r="Y27" s="63"/>
      <c r="Z27" s="63"/>
      <c r="AA27" s="63"/>
      <c r="AB27" s="63"/>
      <c r="AC27" s="63">
        <f>('[5]MAINTENANCE-1'!AY32+'[5]MAINTENANCE-1'!AZ32)*-134500</f>
        <v>0</v>
      </c>
      <c r="AD27" s="79"/>
      <c r="AE27" s="85"/>
      <c r="AF27" s="63">
        <f t="shared" si="2"/>
        <v>4456560</v>
      </c>
      <c r="AG27" s="80">
        <f t="shared" si="3"/>
        <v>0</v>
      </c>
      <c r="AH27" s="67">
        <f t="shared" si="4"/>
        <v>0</v>
      </c>
      <c r="AI27" s="68">
        <f t="shared" si="5"/>
        <v>4260249.5999999996</v>
      </c>
      <c r="AJ27" s="69">
        <f>'[5]MAINTENANCE-1'!AJ32</f>
        <v>4260250</v>
      </c>
      <c r="AK27" s="70">
        <f t="shared" si="6"/>
        <v>-0.40000000037252903</v>
      </c>
    </row>
    <row r="28" spans="2:37" s="33" customFormat="1" ht="13.5" customHeight="1">
      <c r="B28" s="71">
        <v>23</v>
      </c>
      <c r="C28" s="72" t="s">
        <v>151</v>
      </c>
      <c r="D28" s="81" t="s">
        <v>152</v>
      </c>
      <c r="E28" s="82" t="s">
        <v>153</v>
      </c>
      <c r="F28" s="83" t="s">
        <v>154</v>
      </c>
      <c r="G28" s="75" t="s">
        <v>155</v>
      </c>
      <c r="H28" s="84" t="s">
        <v>67</v>
      </c>
      <c r="I28" s="78" t="s">
        <v>23</v>
      </c>
      <c r="J28" s="78" t="str">
        <f t="shared" si="0"/>
        <v>TER B</v>
      </c>
      <c r="K28" s="62">
        <f t="shared" si="1"/>
        <v>4169500</v>
      </c>
      <c r="L28" s="63">
        <f t="shared" si="7"/>
        <v>34318.199999999997</v>
      </c>
      <c r="M28" s="85">
        <f>[5]HARVESTING!AT11</f>
        <v>163420</v>
      </c>
      <c r="N28" s="85">
        <f>[5]HARVESTING!AB11</f>
        <v>50500</v>
      </c>
      <c r="O28" s="63">
        <f>[5]HARVESTING!W11</f>
        <v>139500</v>
      </c>
      <c r="P28" s="85">
        <f>[5]HARVESTING!Z11</f>
        <v>80500</v>
      </c>
      <c r="Q28" s="85">
        <f>[5]HARVESTING!AG11</f>
        <v>0</v>
      </c>
      <c r="R28" s="85">
        <f>[5]HARVESTING!AC11</f>
        <v>0</v>
      </c>
      <c r="S28" s="85">
        <f>[5]HARVESTING!AD11</f>
        <v>0</v>
      </c>
      <c r="T28" s="85">
        <f>[5]HARVESTING!AE11</f>
        <v>0</v>
      </c>
      <c r="U28" s="85">
        <f>[5]HARVESTING!AF11</f>
        <v>0</v>
      </c>
      <c r="V28" s="85">
        <f>[5]HARVESTING!AH11</f>
        <v>0</v>
      </c>
      <c r="W28" s="63"/>
      <c r="X28" s="63">
        <f>[5]HARVESTING!AL11+[5]HARVESTING!AM11</f>
        <v>0</v>
      </c>
      <c r="Y28" s="63">
        <f>[5]HARVESTING!AN11</f>
        <v>1687000</v>
      </c>
      <c r="Z28" s="63"/>
      <c r="AA28" s="63">
        <f>([5]HARVESTING!AJ11)*-1</f>
        <v>0</v>
      </c>
      <c r="AB28" s="63">
        <f>[5]HARVESTING!AK11</f>
        <v>0</v>
      </c>
      <c r="AC28" s="63">
        <f>([5]HARVESTING!BD11+[5]HARVESTING!BE11)*-134500</f>
        <v>-134500</v>
      </c>
      <c r="AD28" s="79"/>
      <c r="AE28" s="85"/>
      <c r="AF28" s="63">
        <f t="shared" si="2"/>
        <v>6190238</v>
      </c>
      <c r="AG28" s="80">
        <f t="shared" si="3"/>
        <v>0</v>
      </c>
      <c r="AH28" s="67">
        <f t="shared" si="4"/>
        <v>0</v>
      </c>
      <c r="AI28" s="68">
        <f t="shared" si="5"/>
        <v>5992499.7999999998</v>
      </c>
      <c r="AJ28" s="69">
        <f>[5]HARVESTING!AO11</f>
        <v>5992500</v>
      </c>
      <c r="AK28" s="70">
        <f t="shared" si="6"/>
        <v>-0.20000000018626451</v>
      </c>
    </row>
    <row r="29" spans="2:37" s="33" customFormat="1" ht="13.5" customHeight="1">
      <c r="B29" s="71">
        <v>24</v>
      </c>
      <c r="C29" s="72" t="s">
        <v>156</v>
      </c>
      <c r="D29" s="81" t="s">
        <v>157</v>
      </c>
      <c r="E29" s="82" t="s">
        <v>158</v>
      </c>
      <c r="F29" s="83" t="s">
        <v>159</v>
      </c>
      <c r="G29" s="75" t="s">
        <v>160</v>
      </c>
      <c r="H29" s="84" t="s">
        <v>67</v>
      </c>
      <c r="I29" s="78" t="s">
        <v>24</v>
      </c>
      <c r="J29" s="78" t="str">
        <f t="shared" si="0"/>
        <v>TER B</v>
      </c>
      <c r="K29" s="62">
        <f t="shared" si="1"/>
        <v>4169500</v>
      </c>
      <c r="L29" s="63">
        <f t="shared" si="7"/>
        <v>34318.199999999997</v>
      </c>
      <c r="M29" s="85">
        <f>[5]HARVESTING!AT12</f>
        <v>163420</v>
      </c>
      <c r="N29" s="85">
        <f>[5]HARVESTING!AB12</f>
        <v>50500</v>
      </c>
      <c r="O29" s="63">
        <f>[5]HARVESTING!W12</f>
        <v>160950</v>
      </c>
      <c r="P29" s="85">
        <f>[5]HARVESTING!Z12</f>
        <v>55000</v>
      </c>
      <c r="Q29" s="85">
        <f>[5]HARVESTING!AG12</f>
        <v>0</v>
      </c>
      <c r="R29" s="85">
        <f>[5]HARVESTING!AC12</f>
        <v>0</v>
      </c>
      <c r="S29" s="85">
        <f>[5]HARVESTING!AD12</f>
        <v>0</v>
      </c>
      <c r="T29" s="85">
        <f>[5]HARVESTING!AE12</f>
        <v>0</v>
      </c>
      <c r="U29" s="85">
        <f>[5]HARVESTING!AF12</f>
        <v>0</v>
      </c>
      <c r="V29" s="85">
        <f>[5]HARVESTING!AH12</f>
        <v>0</v>
      </c>
      <c r="W29" s="63"/>
      <c r="X29" s="63">
        <f>[5]HARVESTING!AL12+[5]HARVESTING!AM12</f>
        <v>0</v>
      </c>
      <c r="Y29" s="63">
        <f>[5]HARVESTING!AN12</f>
        <v>1598000</v>
      </c>
      <c r="Z29" s="63"/>
      <c r="AA29" s="63">
        <f>([5]HARVESTING!AJ12)*-1</f>
        <v>0</v>
      </c>
      <c r="AB29" s="63">
        <f>[5]HARVESTING!AK12</f>
        <v>0</v>
      </c>
      <c r="AC29" s="63">
        <f>([5]HARVESTING!BD12+[5]HARVESTING!BE12)*-134500</f>
        <v>-269000</v>
      </c>
      <c r="AD29" s="79"/>
      <c r="AE29" s="85"/>
      <c r="AF29" s="63">
        <f t="shared" si="2"/>
        <v>5962688</v>
      </c>
      <c r="AG29" s="80">
        <f t="shared" si="3"/>
        <v>0</v>
      </c>
      <c r="AH29" s="67">
        <f t="shared" si="4"/>
        <v>0</v>
      </c>
      <c r="AI29" s="68">
        <f t="shared" si="5"/>
        <v>5764949.7999999998</v>
      </c>
      <c r="AJ29" s="69">
        <f>[5]HARVESTING!AO12</f>
        <v>5764950</v>
      </c>
      <c r="AK29" s="70">
        <f t="shared" si="6"/>
        <v>-0.20000000018626451</v>
      </c>
    </row>
    <row r="30" spans="2:37" s="33" customFormat="1" ht="13.5" customHeight="1">
      <c r="B30" s="71">
        <v>25</v>
      </c>
      <c r="C30" s="72" t="s">
        <v>161</v>
      </c>
      <c r="D30" s="81" t="s">
        <v>162</v>
      </c>
      <c r="E30" s="82" t="s">
        <v>120</v>
      </c>
      <c r="F30" s="83" t="s">
        <v>163</v>
      </c>
      <c r="G30" s="75" t="s">
        <v>160</v>
      </c>
      <c r="H30" s="84" t="s">
        <v>97</v>
      </c>
      <c r="I30" s="77" t="s">
        <v>19</v>
      </c>
      <c r="J30" s="78" t="str">
        <f t="shared" si="0"/>
        <v>TER A</v>
      </c>
      <c r="K30" s="62">
        <f t="shared" si="1"/>
        <v>4169500</v>
      </c>
      <c r="L30" s="63">
        <f t="shared" si="7"/>
        <v>34070.400000000001</v>
      </c>
      <c r="M30" s="85">
        <f>[5]HARVESTING!AT13</f>
        <v>162240</v>
      </c>
      <c r="N30" s="85">
        <f>[5]HARVESTING!AB13</f>
        <v>21000</v>
      </c>
      <c r="O30" s="63">
        <f>[5]HARVESTING!W13</f>
        <v>97500</v>
      </c>
      <c r="P30" s="85">
        <f>[5]HARVESTING!Z13</f>
        <v>50000</v>
      </c>
      <c r="Q30" s="85">
        <f>[5]HARVESTING!AG13</f>
        <v>0</v>
      </c>
      <c r="R30" s="85">
        <f>[5]HARVESTING!AC13</f>
        <v>0</v>
      </c>
      <c r="S30" s="85">
        <f>[5]HARVESTING!AD13</f>
        <v>0</v>
      </c>
      <c r="T30" s="85">
        <f>[5]HARVESTING!AE13</f>
        <v>0</v>
      </c>
      <c r="U30" s="85">
        <f>[5]HARVESTING!AF13</f>
        <v>0</v>
      </c>
      <c r="V30" s="85">
        <f>[5]HARVESTING!AH13</f>
        <v>0</v>
      </c>
      <c r="W30" s="63"/>
      <c r="X30" s="63">
        <f>[5]HARVESTING!AL13+[5]HARVESTING!AM13</f>
        <v>0</v>
      </c>
      <c r="Y30" s="63">
        <f>[5]HARVESTING!AN13</f>
        <v>425000</v>
      </c>
      <c r="Z30" s="63"/>
      <c r="AA30" s="63">
        <f>([5]HARVESTING!AJ13)*-1</f>
        <v>0</v>
      </c>
      <c r="AB30" s="63">
        <f>[5]HARVESTING!AK13</f>
        <v>0</v>
      </c>
      <c r="AC30" s="63">
        <f>([5]HARVESTING!BD13+[5]HARVESTING!BE13)*-134500</f>
        <v>-134500</v>
      </c>
      <c r="AD30" s="79"/>
      <c r="AE30" s="85"/>
      <c r="AF30" s="63">
        <f t="shared" si="2"/>
        <v>4824810</v>
      </c>
      <c r="AG30" s="80">
        <f t="shared" si="3"/>
        <v>0</v>
      </c>
      <c r="AH30" s="67">
        <f t="shared" si="4"/>
        <v>0</v>
      </c>
      <c r="AI30" s="68">
        <f t="shared" si="5"/>
        <v>4628499.5999999996</v>
      </c>
      <c r="AJ30" s="69">
        <f>[5]HARVESTING!AO13</f>
        <v>4628500</v>
      </c>
      <c r="AK30" s="70">
        <f t="shared" si="6"/>
        <v>-0.40000000037252903</v>
      </c>
    </row>
    <row r="31" spans="2:37" s="33" customFormat="1" ht="13.5" customHeight="1">
      <c r="B31" s="71">
        <v>26</v>
      </c>
      <c r="C31" s="72" t="s">
        <v>164</v>
      </c>
      <c r="D31" s="81" t="s">
        <v>165</v>
      </c>
      <c r="E31" s="82" t="s">
        <v>166</v>
      </c>
      <c r="F31" s="83" t="s">
        <v>167</v>
      </c>
      <c r="G31" s="75" t="s">
        <v>168</v>
      </c>
      <c r="H31" s="84" t="s">
        <v>67</v>
      </c>
      <c r="I31" s="78" t="s">
        <v>23</v>
      </c>
      <c r="J31" s="78" t="str">
        <f t="shared" si="0"/>
        <v>TER B</v>
      </c>
      <c r="K31" s="62">
        <f t="shared" si="1"/>
        <v>4169500</v>
      </c>
      <c r="L31" s="63">
        <f t="shared" si="7"/>
        <v>34347.599999999999</v>
      </c>
      <c r="M31" s="85">
        <f>[5]HARVESTING!AT14</f>
        <v>163560</v>
      </c>
      <c r="N31" s="85">
        <f>[5]HARVESTING!AB14</f>
        <v>54000</v>
      </c>
      <c r="O31" s="63">
        <f>[5]HARVESTING!W14</f>
        <v>144150</v>
      </c>
      <c r="P31" s="85">
        <f>[5]HARVESTING!Z14</f>
        <v>0</v>
      </c>
      <c r="Q31" s="85">
        <f>[5]HARVESTING!AG14</f>
        <v>0</v>
      </c>
      <c r="R31" s="85">
        <f>[5]HARVESTING!AC14</f>
        <v>186294</v>
      </c>
      <c r="S31" s="85">
        <f>[5]HARVESTING!AD14</f>
        <v>325500</v>
      </c>
      <c r="T31" s="85">
        <f>[5]HARVESTING!AE14</f>
        <v>0</v>
      </c>
      <c r="U31" s="85">
        <f>[5]HARVESTING!AF14</f>
        <v>0</v>
      </c>
      <c r="V31" s="85">
        <f>[5]HARVESTING!AH14</f>
        <v>0</v>
      </c>
      <c r="W31" s="63"/>
      <c r="X31" s="63">
        <f>[5]HARVESTING!AL14+[5]HARVESTING!AM14</f>
        <v>0</v>
      </c>
      <c r="Y31" s="63">
        <f>[5]HARVESTING!AN14</f>
        <v>0</v>
      </c>
      <c r="Z31" s="63"/>
      <c r="AA31" s="63">
        <f>([5]HARVESTING!AJ14)*-1</f>
        <v>0</v>
      </c>
      <c r="AB31" s="63">
        <f>[5]HARVESTING!AK14</f>
        <v>0</v>
      </c>
      <c r="AC31" s="63">
        <f>([5]HARVESTING!BD14+[5]HARVESTING!BE14)*-134500</f>
        <v>0</v>
      </c>
      <c r="AD31" s="79"/>
      <c r="AE31" s="85"/>
      <c r="AF31" s="63">
        <f t="shared" si="2"/>
        <v>5077352</v>
      </c>
      <c r="AG31" s="80">
        <f t="shared" si="3"/>
        <v>0</v>
      </c>
      <c r="AH31" s="67">
        <f t="shared" si="4"/>
        <v>0</v>
      </c>
      <c r="AI31" s="68">
        <f t="shared" si="5"/>
        <v>4879444.4000000004</v>
      </c>
      <c r="AJ31" s="69">
        <f>[5]HARVESTING!AO14</f>
        <v>4879444</v>
      </c>
      <c r="AK31" s="70">
        <f t="shared" si="6"/>
        <v>0.40000000037252903</v>
      </c>
    </row>
    <row r="32" spans="2:37" s="33" customFormat="1" ht="13.5" customHeight="1">
      <c r="B32" s="71">
        <v>27</v>
      </c>
      <c r="C32" s="72" t="s">
        <v>169</v>
      </c>
      <c r="D32" s="81" t="s">
        <v>170</v>
      </c>
      <c r="E32" s="82" t="s">
        <v>171</v>
      </c>
      <c r="F32" s="83" t="s">
        <v>172</v>
      </c>
      <c r="G32" s="75" t="s">
        <v>168</v>
      </c>
      <c r="H32" s="84" t="s">
        <v>67</v>
      </c>
      <c r="I32" s="78" t="s">
        <v>24</v>
      </c>
      <c r="J32" s="78" t="str">
        <f t="shared" si="0"/>
        <v>TER B</v>
      </c>
      <c r="K32" s="62">
        <f t="shared" si="1"/>
        <v>4169500</v>
      </c>
      <c r="L32" s="63">
        <f t="shared" si="7"/>
        <v>34318.199999999997</v>
      </c>
      <c r="M32" s="85">
        <f>[5]HARVESTING!AT15</f>
        <v>163420</v>
      </c>
      <c r="N32" s="85">
        <f>[5]HARVESTING!AB15</f>
        <v>50500</v>
      </c>
      <c r="O32" s="63">
        <f>[5]HARVESTING!W15</f>
        <v>172050</v>
      </c>
      <c r="P32" s="85">
        <f>[5]HARVESTING!Z15</f>
        <v>0</v>
      </c>
      <c r="Q32" s="85">
        <f>[5]HARVESTING!AG15</f>
        <v>0</v>
      </c>
      <c r="R32" s="85">
        <f>[5]HARVESTING!AC15</f>
        <v>245847</v>
      </c>
      <c r="S32" s="85">
        <f>[5]HARVESTING!AD15</f>
        <v>332500</v>
      </c>
      <c r="T32" s="85">
        <f>[5]HARVESTING!AE15</f>
        <v>0</v>
      </c>
      <c r="U32" s="85">
        <f>[5]HARVESTING!AF15</f>
        <v>0</v>
      </c>
      <c r="V32" s="85">
        <f>[5]HARVESTING!AH15</f>
        <v>0</v>
      </c>
      <c r="W32" s="63"/>
      <c r="X32" s="63">
        <f>[5]HARVESTING!AL15+[5]HARVESTING!AM15</f>
        <v>0</v>
      </c>
      <c r="Y32" s="63">
        <f>[5]HARVESTING!AN15</f>
        <v>0</v>
      </c>
      <c r="Z32" s="63"/>
      <c r="AA32" s="63">
        <f>([5]HARVESTING!AJ15)*-1</f>
        <v>0</v>
      </c>
      <c r="AB32" s="63">
        <f>[5]HARVESTING!AK15</f>
        <v>0</v>
      </c>
      <c r="AC32" s="63">
        <f>([5]HARVESTING!BD15+[5]HARVESTING!BE15)*-134500</f>
        <v>0</v>
      </c>
      <c r="AD32" s="79"/>
      <c r="AE32" s="85"/>
      <c r="AF32" s="63">
        <f t="shared" si="2"/>
        <v>5168135</v>
      </c>
      <c r="AG32" s="80">
        <f t="shared" si="3"/>
        <v>0</v>
      </c>
      <c r="AH32" s="67">
        <f t="shared" si="4"/>
        <v>0</v>
      </c>
      <c r="AI32" s="68">
        <f t="shared" si="5"/>
        <v>4970396.8</v>
      </c>
      <c r="AJ32" s="69">
        <f>[5]HARVESTING!AO15</f>
        <v>4970397</v>
      </c>
      <c r="AK32" s="70">
        <f t="shared" si="6"/>
        <v>-0.20000000018626451</v>
      </c>
    </row>
    <row r="33" spans="2:37" s="33" customFormat="1" ht="13.5" customHeight="1">
      <c r="B33" s="71">
        <v>28</v>
      </c>
      <c r="C33" s="72" t="s">
        <v>173</v>
      </c>
      <c r="D33" s="81" t="s">
        <v>174</v>
      </c>
      <c r="E33" s="82" t="s">
        <v>175</v>
      </c>
      <c r="F33" s="83" t="s">
        <v>176</v>
      </c>
      <c r="G33" s="75" t="s">
        <v>168</v>
      </c>
      <c r="H33" s="84" t="s">
        <v>67</v>
      </c>
      <c r="I33" s="77" t="s">
        <v>19</v>
      </c>
      <c r="J33" s="78" t="str">
        <f t="shared" si="0"/>
        <v>TER A</v>
      </c>
      <c r="K33" s="62">
        <f t="shared" si="1"/>
        <v>4169500</v>
      </c>
      <c r="L33" s="63">
        <f t="shared" si="7"/>
        <v>34318.199999999997</v>
      </c>
      <c r="M33" s="85">
        <f>[5]HARVESTING!AT16</f>
        <v>163420</v>
      </c>
      <c r="N33" s="85">
        <f>[5]HARVESTING!AB16</f>
        <v>50500</v>
      </c>
      <c r="O33" s="63">
        <f>[5]HARVESTING!W16</f>
        <v>94250</v>
      </c>
      <c r="P33" s="85">
        <f>[5]HARVESTING!Z16</f>
        <v>0</v>
      </c>
      <c r="Q33" s="85">
        <f>[5]HARVESTING!AG16</f>
        <v>0</v>
      </c>
      <c r="R33" s="85">
        <f>[5]HARVESTING!AC16</f>
        <v>100782</v>
      </c>
      <c r="S33" s="85">
        <f>[5]HARVESTING!AD16</f>
        <v>280000</v>
      </c>
      <c r="T33" s="85">
        <f>[5]HARVESTING!AE16</f>
        <v>0</v>
      </c>
      <c r="U33" s="85">
        <f>[5]HARVESTING!AF16</f>
        <v>0</v>
      </c>
      <c r="V33" s="85">
        <f>[5]HARVESTING!AH16</f>
        <v>0</v>
      </c>
      <c r="W33" s="63"/>
      <c r="X33" s="63">
        <f>[5]HARVESTING!AL16+[5]HARVESTING!AM16</f>
        <v>0</v>
      </c>
      <c r="Y33" s="63">
        <f>[5]HARVESTING!AN16</f>
        <v>0</v>
      </c>
      <c r="Z33" s="63"/>
      <c r="AA33" s="63">
        <f>([5]HARVESTING!AJ16)*-1</f>
        <v>-182981</v>
      </c>
      <c r="AB33" s="63">
        <f>([5]HARVESTING!AK16)*-1</f>
        <v>-19214</v>
      </c>
      <c r="AC33" s="63">
        <f>([5]HARVESTING!BD16+[5]HARVESTING!BE16)*-134500</f>
        <v>-269000</v>
      </c>
      <c r="AD33" s="79"/>
      <c r="AE33" s="85"/>
      <c r="AF33" s="63">
        <f t="shared" si="2"/>
        <v>4421575</v>
      </c>
      <c r="AG33" s="80">
        <f t="shared" si="3"/>
        <v>0</v>
      </c>
      <c r="AH33" s="67">
        <f t="shared" si="4"/>
        <v>0</v>
      </c>
      <c r="AI33" s="68">
        <f>AF33-L33-M33</f>
        <v>4223836.8</v>
      </c>
      <c r="AJ33" s="69">
        <f>[5]HARVESTING!AO16</f>
        <v>4223837</v>
      </c>
      <c r="AK33" s="70">
        <f t="shared" si="6"/>
        <v>-0.20000000018626451</v>
      </c>
    </row>
    <row r="34" spans="2:37" s="33" customFormat="1" ht="13.5" customHeight="1">
      <c r="B34" s="71">
        <v>29</v>
      </c>
      <c r="C34" s="72" t="s">
        <v>177</v>
      </c>
      <c r="D34" s="81" t="s">
        <v>178</v>
      </c>
      <c r="E34" s="82" t="s">
        <v>120</v>
      </c>
      <c r="F34" s="83" t="s">
        <v>101</v>
      </c>
      <c r="G34" s="75" t="s">
        <v>168</v>
      </c>
      <c r="H34" s="84" t="s">
        <v>67</v>
      </c>
      <c r="I34" s="78" t="s">
        <v>24</v>
      </c>
      <c r="J34" s="78" t="str">
        <f t="shared" si="0"/>
        <v>TER B</v>
      </c>
      <c r="K34" s="62">
        <f t="shared" si="1"/>
        <v>4169500</v>
      </c>
      <c r="L34" s="63">
        <f t="shared" si="7"/>
        <v>34347.599999999999</v>
      </c>
      <c r="M34" s="85">
        <f>[5]HARVESTING!AT17</f>
        <v>163560</v>
      </c>
      <c r="N34" s="85">
        <f>[5]HARVESTING!AB17</f>
        <v>54000</v>
      </c>
      <c r="O34" s="63">
        <f>[5]HARVESTING!W17</f>
        <v>172050</v>
      </c>
      <c r="P34" s="85">
        <f>[5]HARVESTING!Z17</f>
        <v>0</v>
      </c>
      <c r="Q34" s="85">
        <f>[5]HARVESTING!AG17</f>
        <v>0</v>
      </c>
      <c r="R34" s="85">
        <f>[5]HARVESTING!AC17</f>
        <v>235158</v>
      </c>
      <c r="S34" s="85">
        <f>[5]HARVESTING!AD17</f>
        <v>358750</v>
      </c>
      <c r="T34" s="85">
        <f>[5]HARVESTING!AE17</f>
        <v>0</v>
      </c>
      <c r="U34" s="85">
        <f>[5]HARVESTING!AF17</f>
        <v>0</v>
      </c>
      <c r="V34" s="85">
        <f>[5]HARVESTING!AH17</f>
        <v>0</v>
      </c>
      <c r="W34" s="63"/>
      <c r="X34" s="63">
        <f>[5]HARVESTING!AL17+[5]HARVESTING!AM17</f>
        <v>0</v>
      </c>
      <c r="Y34" s="63">
        <f>[5]HARVESTING!AN17</f>
        <v>0</v>
      </c>
      <c r="Z34" s="63"/>
      <c r="AA34" s="63">
        <f>([5]HARVESTING!AJ17)*-1</f>
        <v>0</v>
      </c>
      <c r="AB34" s="63">
        <f>[5]HARVESTING!AK17</f>
        <v>0</v>
      </c>
      <c r="AC34" s="63">
        <f>([5]HARVESTING!BD17+[5]HARVESTING!BE17)*-134500</f>
        <v>0</v>
      </c>
      <c r="AD34" s="79"/>
      <c r="AE34" s="85"/>
      <c r="AF34" s="63">
        <f t="shared" si="2"/>
        <v>5187366</v>
      </c>
      <c r="AG34" s="80">
        <f t="shared" si="3"/>
        <v>0</v>
      </c>
      <c r="AH34" s="67">
        <f t="shared" si="4"/>
        <v>0</v>
      </c>
      <c r="AI34" s="68">
        <f t="shared" si="5"/>
        <v>4989458.4000000004</v>
      </c>
      <c r="AJ34" s="69">
        <f>[5]HARVESTING!AO17</f>
        <v>4989458</v>
      </c>
      <c r="AK34" s="70">
        <f t="shared" si="6"/>
        <v>0.40000000037252903</v>
      </c>
    </row>
    <row r="35" spans="2:37" s="33" customFormat="1" ht="13.5" customHeight="1">
      <c r="B35" s="71">
        <v>30</v>
      </c>
      <c r="C35" s="72" t="s">
        <v>179</v>
      </c>
      <c r="D35" s="81" t="s">
        <v>180</v>
      </c>
      <c r="E35" s="82" t="s">
        <v>181</v>
      </c>
      <c r="F35" s="83" t="s">
        <v>182</v>
      </c>
      <c r="G35" s="75" t="s">
        <v>168</v>
      </c>
      <c r="H35" s="84" t="s">
        <v>67</v>
      </c>
      <c r="I35" s="78" t="s">
        <v>22</v>
      </c>
      <c r="J35" s="78" t="str">
        <f t="shared" si="0"/>
        <v>TER A</v>
      </c>
      <c r="K35" s="62">
        <f t="shared" si="1"/>
        <v>4169500</v>
      </c>
      <c r="L35" s="63">
        <f t="shared" si="7"/>
        <v>34171.199999999997</v>
      </c>
      <c r="M35" s="85">
        <f>[5]HARVESTING!AT18</f>
        <v>162720</v>
      </c>
      <c r="N35" s="85">
        <f>[5]HARVESTING!AB18</f>
        <v>33000</v>
      </c>
      <c r="O35" s="63">
        <f>[5]HARVESTING!W18</f>
        <v>107300</v>
      </c>
      <c r="P35" s="85">
        <f>[5]HARVESTING!Z18</f>
        <v>0</v>
      </c>
      <c r="Q35" s="85">
        <f>[5]HARVESTING!AG18</f>
        <v>0</v>
      </c>
      <c r="R35" s="85">
        <f>[5]HARVESTING!AC18</f>
        <v>258063</v>
      </c>
      <c r="S35" s="85">
        <f>[5]HARVESTING!AD18</f>
        <v>308000</v>
      </c>
      <c r="T35" s="85">
        <f>[5]HARVESTING!AE18</f>
        <v>0</v>
      </c>
      <c r="U35" s="85">
        <f>[5]HARVESTING!AF18</f>
        <v>0</v>
      </c>
      <c r="V35" s="85">
        <f>[5]HARVESTING!AH18</f>
        <v>0</v>
      </c>
      <c r="W35" s="63"/>
      <c r="X35" s="63">
        <f>[5]HARVESTING!AL18+[5]HARVESTING!AM18</f>
        <v>0</v>
      </c>
      <c r="Y35" s="63">
        <f>[5]HARVESTING!AN18</f>
        <v>0</v>
      </c>
      <c r="Z35" s="63"/>
      <c r="AA35" s="63">
        <f>([5]HARVESTING!AJ18)*-1</f>
        <v>-131372</v>
      </c>
      <c r="AB35" s="63">
        <f>[5]HARVESTING!AK18</f>
        <v>0</v>
      </c>
      <c r="AC35" s="63">
        <f>([5]HARVESTING!BD18+[5]HARVESTING!BE18)*-134500</f>
        <v>-269000</v>
      </c>
      <c r="AD35" s="79"/>
      <c r="AE35" s="85"/>
      <c r="AF35" s="63">
        <f t="shared" si="2"/>
        <v>4672382</v>
      </c>
      <c r="AG35" s="80">
        <f t="shared" si="3"/>
        <v>0</v>
      </c>
      <c r="AH35" s="67">
        <f t="shared" si="4"/>
        <v>0</v>
      </c>
      <c r="AI35" s="68">
        <f t="shared" si="5"/>
        <v>4475490.8</v>
      </c>
      <c r="AJ35" s="69">
        <f>[5]HARVESTING!AO18</f>
        <v>4475491</v>
      </c>
      <c r="AK35" s="70">
        <f t="shared" si="6"/>
        <v>-0.20000000018626451</v>
      </c>
    </row>
    <row r="36" spans="2:37" s="33" customFormat="1" ht="13.5" customHeight="1">
      <c r="B36" s="71">
        <v>31</v>
      </c>
      <c r="C36" s="72" t="s">
        <v>183</v>
      </c>
      <c r="D36" s="81" t="s">
        <v>184</v>
      </c>
      <c r="E36" s="82" t="s">
        <v>185</v>
      </c>
      <c r="F36" s="83" t="s">
        <v>186</v>
      </c>
      <c r="G36" s="75" t="s">
        <v>168</v>
      </c>
      <c r="H36" s="84" t="s">
        <v>67</v>
      </c>
      <c r="I36" s="78" t="s">
        <v>24</v>
      </c>
      <c r="J36" s="78" t="str">
        <f t="shared" si="0"/>
        <v>TER B</v>
      </c>
      <c r="K36" s="62">
        <f t="shared" si="1"/>
        <v>4169500</v>
      </c>
      <c r="L36" s="63">
        <f t="shared" si="7"/>
        <v>34171.199999999997</v>
      </c>
      <c r="M36" s="85">
        <f>[5]HARVESTING!AT19</f>
        <v>162720</v>
      </c>
      <c r="N36" s="85">
        <f>[5]HARVESTING!AB19</f>
        <v>33000</v>
      </c>
      <c r="O36" s="63">
        <f>[5]HARVESTING!W19</f>
        <v>172050</v>
      </c>
      <c r="P36" s="85">
        <f>[5]HARVESTING!Z19</f>
        <v>0</v>
      </c>
      <c r="Q36" s="85">
        <f>[5]HARVESTING!AG19</f>
        <v>0</v>
      </c>
      <c r="R36" s="85">
        <f>[5]HARVESTING!AC19</f>
        <v>377169</v>
      </c>
      <c r="S36" s="85">
        <f>[5]HARVESTING!AD19</f>
        <v>362250</v>
      </c>
      <c r="T36" s="85">
        <f>[5]HARVESTING!AE19</f>
        <v>0</v>
      </c>
      <c r="U36" s="85">
        <f>[5]HARVESTING!AF19</f>
        <v>0</v>
      </c>
      <c r="V36" s="85">
        <f>[5]HARVESTING!AH19</f>
        <v>0</v>
      </c>
      <c r="W36" s="63"/>
      <c r="X36" s="63">
        <f>[5]HARVESTING!AL19+[5]HARVESTING!AM19</f>
        <v>0</v>
      </c>
      <c r="Y36" s="63">
        <f>[5]HARVESTING!AN19</f>
        <v>0</v>
      </c>
      <c r="Z36" s="63"/>
      <c r="AA36" s="63">
        <f>([5]HARVESTING!AJ19)*-1</f>
        <v>0</v>
      </c>
      <c r="AB36" s="63">
        <f>[5]HARVESTING!AK19</f>
        <v>0</v>
      </c>
      <c r="AC36" s="63">
        <f>([5]HARVESTING!BD19+[5]HARVESTING!BE19)*-134500</f>
        <v>0</v>
      </c>
      <c r="AD36" s="79"/>
      <c r="AE36" s="85"/>
      <c r="AF36" s="63">
        <f t="shared" si="2"/>
        <v>5310860</v>
      </c>
      <c r="AG36" s="80">
        <f t="shared" si="3"/>
        <v>0</v>
      </c>
      <c r="AH36" s="67">
        <f t="shared" si="4"/>
        <v>0</v>
      </c>
      <c r="AI36" s="68">
        <f t="shared" si="5"/>
        <v>5113968.8</v>
      </c>
      <c r="AJ36" s="69">
        <f>[5]HARVESTING!AO19</f>
        <v>5113969</v>
      </c>
      <c r="AK36" s="70">
        <f t="shared" si="6"/>
        <v>-0.20000000018626451</v>
      </c>
    </row>
    <row r="37" spans="2:37" s="33" customFormat="1" ht="13.5" customHeight="1">
      <c r="B37" s="71">
        <v>32</v>
      </c>
      <c r="C37" s="72" t="s">
        <v>187</v>
      </c>
      <c r="D37" s="81" t="s">
        <v>188</v>
      </c>
      <c r="E37" s="82" t="s">
        <v>120</v>
      </c>
      <c r="F37" s="83" t="s">
        <v>189</v>
      </c>
      <c r="G37" s="75" t="s">
        <v>168</v>
      </c>
      <c r="H37" s="84" t="s">
        <v>67</v>
      </c>
      <c r="I37" s="78" t="s">
        <v>23</v>
      </c>
      <c r="J37" s="78" t="str">
        <f t="shared" si="0"/>
        <v>TER B</v>
      </c>
      <c r="K37" s="62">
        <f t="shared" si="1"/>
        <v>4169500</v>
      </c>
      <c r="L37" s="63">
        <f t="shared" si="7"/>
        <v>34095.599999999999</v>
      </c>
      <c r="M37" s="85">
        <f>[5]HARVESTING!AT20</f>
        <v>162360</v>
      </c>
      <c r="N37" s="85">
        <f>[5]HARVESTING!AB20</f>
        <v>24000</v>
      </c>
      <c r="O37" s="63">
        <f>[5]HARVESTING!W20</f>
        <v>144150</v>
      </c>
      <c r="P37" s="85">
        <f>[5]HARVESTING!Z20</f>
        <v>0</v>
      </c>
      <c r="Q37" s="85">
        <f>[5]HARVESTING!AG20</f>
        <v>0</v>
      </c>
      <c r="R37" s="85">
        <f>[5]HARVESTING!AC20</f>
        <v>297765</v>
      </c>
      <c r="S37" s="85">
        <f>[5]HARVESTING!AD20</f>
        <v>399000</v>
      </c>
      <c r="T37" s="85">
        <f>[5]HARVESTING!AE20</f>
        <v>0</v>
      </c>
      <c r="U37" s="85">
        <f>[5]HARVESTING!AF20</f>
        <v>0</v>
      </c>
      <c r="V37" s="85">
        <f>[5]HARVESTING!AH20</f>
        <v>0</v>
      </c>
      <c r="W37" s="63"/>
      <c r="X37" s="63">
        <f>[5]HARVESTING!AL20+[5]HARVESTING!AM20</f>
        <v>0</v>
      </c>
      <c r="Y37" s="63">
        <f>[5]HARVESTING!AN20</f>
        <v>150000</v>
      </c>
      <c r="Z37" s="63"/>
      <c r="AA37" s="63">
        <f>([5]HARVESTING!AJ20)*-1</f>
        <v>0</v>
      </c>
      <c r="AB37" s="63">
        <f>[5]HARVESTING!AK20</f>
        <v>0</v>
      </c>
      <c r="AC37" s="63">
        <f>([5]HARVESTING!BD20+[5]HARVESTING!BE20)*-134500</f>
        <v>0</v>
      </c>
      <c r="AD37" s="79"/>
      <c r="AE37" s="85"/>
      <c r="AF37" s="63">
        <f t="shared" si="2"/>
        <v>5380871</v>
      </c>
      <c r="AG37" s="80">
        <f t="shared" si="3"/>
        <v>0</v>
      </c>
      <c r="AH37" s="67">
        <f t="shared" si="4"/>
        <v>0</v>
      </c>
      <c r="AI37" s="68">
        <f t="shared" si="5"/>
        <v>5184415.4000000004</v>
      </c>
      <c r="AJ37" s="69">
        <f>[5]HARVESTING!AO20</f>
        <v>5184415</v>
      </c>
      <c r="AK37" s="70">
        <f t="shared" si="6"/>
        <v>0.40000000037252903</v>
      </c>
    </row>
    <row r="38" spans="2:37" s="33" customFormat="1" ht="13.5" customHeight="1">
      <c r="B38" s="71">
        <v>33</v>
      </c>
      <c r="C38" s="72" t="s">
        <v>190</v>
      </c>
      <c r="D38" s="81" t="s">
        <v>191</v>
      </c>
      <c r="E38" s="82" t="s">
        <v>120</v>
      </c>
      <c r="F38" s="83" t="s">
        <v>192</v>
      </c>
      <c r="G38" s="75" t="s">
        <v>168</v>
      </c>
      <c r="H38" s="84" t="s">
        <v>67</v>
      </c>
      <c r="I38" s="78" t="s">
        <v>23</v>
      </c>
      <c r="J38" s="78" t="str">
        <f t="shared" si="0"/>
        <v>TER B</v>
      </c>
      <c r="K38" s="62">
        <f t="shared" si="1"/>
        <v>4169500</v>
      </c>
      <c r="L38" s="63">
        <f t="shared" si="7"/>
        <v>34070.400000000001</v>
      </c>
      <c r="M38" s="85">
        <f>[5]HARVESTING!AT21</f>
        <v>162240</v>
      </c>
      <c r="N38" s="85">
        <f>[5]HARVESTING!AB21</f>
        <v>21000</v>
      </c>
      <c r="O38" s="63">
        <f>[5]HARVESTING!W21</f>
        <v>144150</v>
      </c>
      <c r="P38" s="85">
        <f>[5]HARVESTING!Z21</f>
        <v>0</v>
      </c>
      <c r="Q38" s="85">
        <f>[5]HARVESTING!AG21</f>
        <v>0</v>
      </c>
      <c r="R38" s="85">
        <f>[5]HARVESTING!AC21</f>
        <v>236685</v>
      </c>
      <c r="S38" s="85">
        <f>[5]HARVESTING!AD21</f>
        <v>322000</v>
      </c>
      <c r="T38" s="85">
        <f>[5]HARVESTING!AE21</f>
        <v>0</v>
      </c>
      <c r="U38" s="85">
        <f>[5]HARVESTING!AF21</f>
        <v>0</v>
      </c>
      <c r="V38" s="85">
        <f>[5]HARVESTING!AH21</f>
        <v>0</v>
      </c>
      <c r="W38" s="63"/>
      <c r="X38" s="63">
        <f>[5]HARVESTING!AL21+[5]HARVESTING!AM21</f>
        <v>0</v>
      </c>
      <c r="Y38" s="63">
        <f>[5]HARVESTING!AN21</f>
        <v>0</v>
      </c>
      <c r="Z38" s="63"/>
      <c r="AA38" s="63">
        <f>([5]HARVESTING!AJ21)*-1</f>
        <v>0</v>
      </c>
      <c r="AB38" s="63">
        <f>[5]HARVESTING!AK21</f>
        <v>0</v>
      </c>
      <c r="AC38" s="63">
        <f>([5]HARVESTING!BD21+[5]HARVESTING!BE21)*-134500</f>
        <v>0</v>
      </c>
      <c r="AD38" s="79"/>
      <c r="AE38" s="85"/>
      <c r="AF38" s="63">
        <f t="shared" si="2"/>
        <v>5089645</v>
      </c>
      <c r="AG38" s="80">
        <f t="shared" si="3"/>
        <v>0</v>
      </c>
      <c r="AH38" s="67">
        <f t="shared" si="4"/>
        <v>0</v>
      </c>
      <c r="AI38" s="68">
        <f t="shared" si="5"/>
        <v>4893334.5999999996</v>
      </c>
      <c r="AJ38" s="69">
        <f>[5]HARVESTING!AO21</f>
        <v>4893335</v>
      </c>
      <c r="AK38" s="70">
        <f t="shared" si="6"/>
        <v>-0.40000000037252903</v>
      </c>
    </row>
    <row r="39" spans="2:37" s="33" customFormat="1" ht="13.5" customHeight="1">
      <c r="B39" s="71">
        <v>34</v>
      </c>
      <c r="C39" s="72" t="s">
        <v>193</v>
      </c>
      <c r="D39" s="81" t="s">
        <v>194</v>
      </c>
      <c r="E39" s="82" t="s">
        <v>120</v>
      </c>
      <c r="F39" s="83" t="s">
        <v>195</v>
      </c>
      <c r="G39" s="75" t="s">
        <v>168</v>
      </c>
      <c r="H39" s="84" t="s">
        <v>67</v>
      </c>
      <c r="I39" s="78" t="s">
        <v>24</v>
      </c>
      <c r="J39" s="78" t="str">
        <f t="shared" si="0"/>
        <v>TER B</v>
      </c>
      <c r="K39" s="62">
        <f t="shared" si="1"/>
        <v>4169500</v>
      </c>
      <c r="L39" s="63">
        <f t="shared" si="7"/>
        <v>33999</v>
      </c>
      <c r="M39" s="85">
        <f>[5]HARVESTING!AT22</f>
        <v>161900</v>
      </c>
      <c r="N39" s="85">
        <f>[5]HARVESTING!AB22</f>
        <v>12500</v>
      </c>
      <c r="O39" s="63">
        <f>[5]HARVESTING!W22</f>
        <v>155400</v>
      </c>
      <c r="P39" s="85">
        <f>[5]HARVESTING!Z22</f>
        <v>0</v>
      </c>
      <c r="Q39" s="85">
        <f>[5]HARVESTING!AG22</f>
        <v>0</v>
      </c>
      <c r="R39" s="85">
        <f>[5]HARVESTING!AC22</f>
        <v>106890</v>
      </c>
      <c r="S39" s="85">
        <f>[5]HARVESTING!AD22</f>
        <v>301000</v>
      </c>
      <c r="T39" s="85">
        <f>[5]HARVESTING!AE22</f>
        <v>0</v>
      </c>
      <c r="U39" s="85">
        <f>[5]HARVESTING!AF22</f>
        <v>0</v>
      </c>
      <c r="V39" s="85">
        <f>[5]HARVESTING!AH22</f>
        <v>0</v>
      </c>
      <c r="W39" s="63"/>
      <c r="X39" s="63">
        <f>[5]HARVESTING!AL22+[5]HARVESTING!AM22</f>
        <v>0</v>
      </c>
      <c r="Y39" s="63">
        <f>[5]HARVESTING!AN22</f>
        <v>0</v>
      </c>
      <c r="Z39" s="63"/>
      <c r="AA39" s="63">
        <f>([5]HARVESTING!AJ22)*-1</f>
        <v>0</v>
      </c>
      <c r="AB39" s="63">
        <f>[5]HARVESTING!AK22</f>
        <v>0</v>
      </c>
      <c r="AC39" s="63">
        <f>([5]HARVESTING!BD22+[5]HARVESTING!BE22)*-134500</f>
        <v>-403500</v>
      </c>
      <c r="AD39" s="79"/>
      <c r="AE39" s="85"/>
      <c r="AF39" s="63">
        <f t="shared" si="2"/>
        <v>4537689</v>
      </c>
      <c r="AG39" s="80">
        <f t="shared" si="3"/>
        <v>0</v>
      </c>
      <c r="AH39" s="67">
        <f t="shared" si="4"/>
        <v>0</v>
      </c>
      <c r="AI39" s="68">
        <f t="shared" si="5"/>
        <v>4341790</v>
      </c>
      <c r="AJ39" s="69">
        <f>[5]HARVESTING!AO22</f>
        <v>4341790</v>
      </c>
      <c r="AK39" s="70">
        <f t="shared" si="6"/>
        <v>0</v>
      </c>
    </row>
    <row r="40" spans="2:37" s="33" customFormat="1" ht="13.5" customHeight="1">
      <c r="B40" s="71">
        <v>35</v>
      </c>
      <c r="C40" s="72" t="s">
        <v>196</v>
      </c>
      <c r="D40" s="81" t="s">
        <v>197</v>
      </c>
      <c r="E40" s="82" t="s">
        <v>120</v>
      </c>
      <c r="F40" s="83" t="s">
        <v>198</v>
      </c>
      <c r="G40" s="75" t="s">
        <v>168</v>
      </c>
      <c r="H40" s="84" t="s">
        <v>67</v>
      </c>
      <c r="I40" s="78" t="s">
        <v>23</v>
      </c>
      <c r="J40" s="78" t="str">
        <f t="shared" si="0"/>
        <v>TER B</v>
      </c>
      <c r="K40" s="62">
        <f t="shared" si="1"/>
        <v>4169500</v>
      </c>
      <c r="L40" s="63">
        <f t="shared" si="7"/>
        <v>33999</v>
      </c>
      <c r="M40" s="85">
        <f>[5]HARVESTING!AT23</f>
        <v>161900</v>
      </c>
      <c r="N40" s="85">
        <f>[5]HARVESTING!AB23</f>
        <v>12500</v>
      </c>
      <c r="O40" s="63">
        <f>[5]HARVESTING!W23</f>
        <v>144150</v>
      </c>
      <c r="P40" s="85">
        <f>[5]HARVESTING!Z23</f>
        <v>0</v>
      </c>
      <c r="Q40" s="85">
        <f>[5]HARVESTING!AG23</f>
        <v>0</v>
      </c>
      <c r="R40" s="85">
        <f>[5]HARVESTING!AC23</f>
        <v>218361</v>
      </c>
      <c r="S40" s="85">
        <f>[5]HARVESTING!AD23</f>
        <v>313250</v>
      </c>
      <c r="T40" s="85">
        <f>[5]HARVESTING!AE23</f>
        <v>0</v>
      </c>
      <c r="U40" s="85">
        <f>[5]HARVESTING!AF23</f>
        <v>0</v>
      </c>
      <c r="V40" s="85">
        <f>[5]HARVESTING!AH23</f>
        <v>0</v>
      </c>
      <c r="W40" s="63"/>
      <c r="X40" s="63">
        <f>[5]HARVESTING!AL23+[5]HARVESTING!AM23</f>
        <v>0</v>
      </c>
      <c r="Y40" s="63">
        <f>[5]HARVESTING!AN23</f>
        <v>0</v>
      </c>
      <c r="Z40" s="63"/>
      <c r="AA40" s="63">
        <f>([5]HARVESTING!AJ23)*-1</f>
        <v>0</v>
      </c>
      <c r="AB40" s="63">
        <f>[5]HARVESTING!AK23</f>
        <v>0</v>
      </c>
      <c r="AC40" s="63">
        <f>([5]HARVESTING!BD23+[5]HARVESTING!BE23)*-134500</f>
        <v>0</v>
      </c>
      <c r="AD40" s="79"/>
      <c r="AE40" s="85"/>
      <c r="AF40" s="63">
        <f t="shared" si="2"/>
        <v>5053660</v>
      </c>
      <c r="AG40" s="80">
        <f t="shared" si="3"/>
        <v>0</v>
      </c>
      <c r="AH40" s="67">
        <f t="shared" si="4"/>
        <v>0</v>
      </c>
      <c r="AI40" s="68">
        <f t="shared" si="5"/>
        <v>4857761</v>
      </c>
      <c r="AJ40" s="69">
        <f>[5]HARVESTING!AO23</f>
        <v>4857761</v>
      </c>
      <c r="AK40" s="70">
        <f t="shared" si="6"/>
        <v>0</v>
      </c>
    </row>
    <row r="41" spans="2:37" s="33" customFormat="1" ht="13.5" customHeight="1">
      <c r="B41" s="71">
        <v>36</v>
      </c>
      <c r="C41" s="72" t="s">
        <v>199</v>
      </c>
      <c r="D41" s="81" t="s">
        <v>200</v>
      </c>
      <c r="E41" s="82" t="s">
        <v>120</v>
      </c>
      <c r="F41" s="83" t="s">
        <v>201</v>
      </c>
      <c r="G41" s="75" t="s">
        <v>168</v>
      </c>
      <c r="H41" s="84" t="s">
        <v>67</v>
      </c>
      <c r="I41" s="78" t="s">
        <v>18</v>
      </c>
      <c r="J41" s="78" t="str">
        <f t="shared" si="0"/>
        <v>TER A</v>
      </c>
      <c r="K41" s="62">
        <f t="shared" si="1"/>
        <v>4169500</v>
      </c>
      <c r="L41" s="63">
        <f t="shared" si="7"/>
        <v>33957</v>
      </c>
      <c r="M41" s="85">
        <f>[5]HARVESTING!AT24</f>
        <v>161700</v>
      </c>
      <c r="N41" s="85">
        <f>[5]HARVESTING!AB24</f>
        <v>7500</v>
      </c>
      <c r="O41" s="63">
        <f>[5]HARVESTING!W24</f>
        <v>67500</v>
      </c>
      <c r="P41" s="85">
        <f>[5]HARVESTING!Z24</f>
        <v>0</v>
      </c>
      <c r="Q41" s="85">
        <f>[5]HARVESTING!AG24</f>
        <v>0</v>
      </c>
      <c r="R41" s="85">
        <f>[5]HARVESTING!AC24</f>
        <v>316089</v>
      </c>
      <c r="S41" s="85">
        <f>[5]HARVESTING!AD24</f>
        <v>385000</v>
      </c>
      <c r="T41" s="85">
        <f>[5]HARVESTING!AE24</f>
        <v>0</v>
      </c>
      <c r="U41" s="85">
        <f>[5]HARVESTING!AF24</f>
        <v>0</v>
      </c>
      <c r="V41" s="85">
        <f>[5]HARVESTING!AH24</f>
        <v>0</v>
      </c>
      <c r="W41" s="63"/>
      <c r="X41" s="63">
        <f>[5]HARVESTING!AL24+[5]HARVESTING!AM24</f>
        <v>0</v>
      </c>
      <c r="Y41" s="63">
        <f>[5]HARVESTING!AN24</f>
        <v>0</v>
      </c>
      <c r="Z41" s="63"/>
      <c r="AA41" s="63">
        <f>([5]HARVESTING!AJ24)*-1</f>
        <v>0</v>
      </c>
      <c r="AB41" s="63">
        <f>[5]HARVESTING!AK24</f>
        <v>0</v>
      </c>
      <c r="AC41" s="63">
        <f>([5]HARVESTING!BD24+[5]HARVESTING!BE24)*-134500</f>
        <v>-134500</v>
      </c>
      <c r="AD41" s="79"/>
      <c r="AE41" s="85"/>
      <c r="AF41" s="63">
        <f t="shared" si="2"/>
        <v>5006746</v>
      </c>
      <c r="AG41" s="80">
        <f t="shared" si="3"/>
        <v>0</v>
      </c>
      <c r="AH41" s="67">
        <f t="shared" si="4"/>
        <v>0</v>
      </c>
      <c r="AI41" s="68">
        <f t="shared" si="5"/>
        <v>4811089</v>
      </c>
      <c r="AJ41" s="69">
        <f>[5]HARVESTING!AO24</f>
        <v>4811089</v>
      </c>
      <c r="AK41" s="70">
        <f t="shared" si="6"/>
        <v>0</v>
      </c>
    </row>
    <row r="42" spans="2:37" s="33" customFormat="1" ht="13.5" customHeight="1">
      <c r="B42" s="71">
        <v>37</v>
      </c>
      <c r="C42" s="72" t="s">
        <v>202</v>
      </c>
      <c r="D42" s="81" t="s">
        <v>203</v>
      </c>
      <c r="E42" s="82" t="s">
        <v>120</v>
      </c>
      <c r="F42" s="83" t="s">
        <v>204</v>
      </c>
      <c r="G42" s="75" t="s">
        <v>168</v>
      </c>
      <c r="H42" s="84" t="s">
        <v>67</v>
      </c>
      <c r="I42" s="78" t="s">
        <v>23</v>
      </c>
      <c r="J42" s="78" t="str">
        <f t="shared" si="0"/>
        <v>TER B</v>
      </c>
      <c r="K42" s="62">
        <f t="shared" si="1"/>
        <v>4169500</v>
      </c>
      <c r="L42" s="63">
        <f t="shared" si="7"/>
        <v>33957</v>
      </c>
      <c r="M42" s="85">
        <f>[5]HARVESTING!AT25</f>
        <v>161700</v>
      </c>
      <c r="N42" s="85">
        <f>[5]HARVESTING!AB25</f>
        <v>7500</v>
      </c>
      <c r="O42" s="63">
        <f>[5]HARVESTING!W25</f>
        <v>144150</v>
      </c>
      <c r="P42" s="85">
        <f>[5]HARVESTING!Z25</f>
        <v>0</v>
      </c>
      <c r="Q42" s="85">
        <f>[5]HARVESTING!AG25</f>
        <v>0</v>
      </c>
      <c r="R42" s="85">
        <f>[5]HARVESTING!AC25</f>
        <v>299292</v>
      </c>
      <c r="S42" s="85">
        <f>[5]HARVESTING!AD25</f>
        <v>358750</v>
      </c>
      <c r="T42" s="85">
        <f>[5]HARVESTING!AE25</f>
        <v>146880</v>
      </c>
      <c r="U42" s="85">
        <f>[5]HARVESTING!AF25</f>
        <v>0</v>
      </c>
      <c r="V42" s="85">
        <f>[5]HARVESTING!AH25</f>
        <v>0</v>
      </c>
      <c r="W42" s="63"/>
      <c r="X42" s="63">
        <f>[5]HARVESTING!AL25+[5]HARVESTING!AM25</f>
        <v>0</v>
      </c>
      <c r="Y42" s="63">
        <f>[5]HARVESTING!AN25</f>
        <v>0</v>
      </c>
      <c r="Z42" s="63"/>
      <c r="AA42" s="63">
        <f>([5]HARVESTING!AJ25)*-1</f>
        <v>0</v>
      </c>
      <c r="AB42" s="63">
        <f>[5]HARVESTING!AK25</f>
        <v>0</v>
      </c>
      <c r="AC42" s="63">
        <f>([5]HARVESTING!BD25+[5]HARVESTING!BE25)*-134500</f>
        <v>0</v>
      </c>
      <c r="AD42" s="79"/>
      <c r="AE42" s="85"/>
      <c r="AF42" s="63">
        <f t="shared" si="2"/>
        <v>5321729</v>
      </c>
      <c r="AG42" s="80">
        <f t="shared" si="3"/>
        <v>0</v>
      </c>
      <c r="AH42" s="67">
        <f t="shared" si="4"/>
        <v>0</v>
      </c>
      <c r="AI42" s="68">
        <f t="shared" si="5"/>
        <v>5126072</v>
      </c>
      <c r="AJ42" s="69">
        <f>[5]HARVESTING!AO25</f>
        <v>5126072</v>
      </c>
      <c r="AK42" s="70">
        <f t="shared" si="6"/>
        <v>0</v>
      </c>
    </row>
    <row r="43" spans="2:37" s="33" customFormat="1" ht="13.5" customHeight="1">
      <c r="B43" s="71">
        <v>38</v>
      </c>
      <c r="C43" s="72" t="s">
        <v>205</v>
      </c>
      <c r="D43" s="81" t="s">
        <v>206</v>
      </c>
      <c r="E43" s="82" t="s">
        <v>120</v>
      </c>
      <c r="F43" s="83" t="s">
        <v>207</v>
      </c>
      <c r="G43" s="75" t="s">
        <v>168</v>
      </c>
      <c r="H43" s="84" t="s">
        <v>67</v>
      </c>
      <c r="I43" s="78" t="s">
        <v>18</v>
      </c>
      <c r="J43" s="78" t="str">
        <f t="shared" si="0"/>
        <v>TER A</v>
      </c>
      <c r="K43" s="62">
        <f t="shared" si="1"/>
        <v>4169500</v>
      </c>
      <c r="L43" s="63">
        <f t="shared" si="7"/>
        <v>33936</v>
      </c>
      <c r="M43" s="85">
        <f>[5]HARVESTING!AT26</f>
        <v>161600</v>
      </c>
      <c r="N43" s="85">
        <f>[5]HARVESTING!AB26</f>
        <v>5000</v>
      </c>
      <c r="O43" s="63">
        <f>[5]HARVESTING!W26</f>
        <v>69750</v>
      </c>
      <c r="P43" s="85">
        <f>[5]HARVESTING!Z26</f>
        <v>0</v>
      </c>
      <c r="Q43" s="85">
        <f>[5]HARVESTING!AG26</f>
        <v>0</v>
      </c>
      <c r="R43" s="85">
        <f>[5]HARVESTING!AC26</f>
        <v>279441</v>
      </c>
      <c r="S43" s="85">
        <f>[5]HARVESTING!AD26</f>
        <v>323750</v>
      </c>
      <c r="T43" s="85">
        <f>[5]HARVESTING!AE26</f>
        <v>0</v>
      </c>
      <c r="U43" s="85">
        <f>[5]HARVESTING!AF26</f>
        <v>0</v>
      </c>
      <c r="V43" s="85">
        <f>[5]HARVESTING!AH26</f>
        <v>0</v>
      </c>
      <c r="W43" s="63"/>
      <c r="X43" s="63">
        <f>[5]HARVESTING!AL26+[5]HARVESTING!AM26</f>
        <v>0</v>
      </c>
      <c r="Y43" s="63">
        <f>[5]HARVESTING!AN26</f>
        <v>0</v>
      </c>
      <c r="Z43" s="63"/>
      <c r="AA43" s="63">
        <f>([5]HARVESTING!AJ26)*-1</f>
        <v>0</v>
      </c>
      <c r="AB43" s="63">
        <f>[5]HARVESTING!AK26</f>
        <v>0</v>
      </c>
      <c r="AC43" s="63">
        <f>([5]HARVESTING!BD26+[5]HARVESTING!BE26)*-134500</f>
        <v>0</v>
      </c>
      <c r="AD43" s="85"/>
      <c r="AE43" s="85"/>
      <c r="AF43" s="63">
        <f t="shared" si="2"/>
        <v>5042977</v>
      </c>
      <c r="AG43" s="80">
        <f t="shared" si="3"/>
        <v>0</v>
      </c>
      <c r="AH43" s="67">
        <f t="shared" si="4"/>
        <v>0</v>
      </c>
      <c r="AI43" s="68">
        <f t="shared" si="5"/>
        <v>4847441</v>
      </c>
      <c r="AJ43" s="69">
        <f>[5]HARVESTING!AO26</f>
        <v>4847441</v>
      </c>
      <c r="AK43" s="70">
        <f t="shared" si="6"/>
        <v>0</v>
      </c>
    </row>
    <row r="44" spans="2:37" s="33" customFormat="1" ht="13.5" customHeight="1">
      <c r="B44" s="71">
        <v>39</v>
      </c>
      <c r="C44" s="72" t="s">
        <v>208</v>
      </c>
      <c r="D44" s="81" t="s">
        <v>209</v>
      </c>
      <c r="E44" s="82" t="s">
        <v>120</v>
      </c>
      <c r="F44" s="83" t="s">
        <v>210</v>
      </c>
      <c r="G44" s="75" t="s">
        <v>168</v>
      </c>
      <c r="H44" s="84" t="s">
        <v>67</v>
      </c>
      <c r="I44" s="78" t="s">
        <v>18</v>
      </c>
      <c r="J44" s="78" t="str">
        <f t="shared" si="0"/>
        <v>TER A</v>
      </c>
      <c r="K44" s="62">
        <f t="shared" si="1"/>
        <v>4169500</v>
      </c>
      <c r="L44" s="63">
        <f t="shared" si="7"/>
        <v>33978</v>
      </c>
      <c r="M44" s="85">
        <f>[5]HARVESTING!AT27</f>
        <v>161800</v>
      </c>
      <c r="N44" s="85">
        <f>[5]HARVESTING!AB27</f>
        <v>10000</v>
      </c>
      <c r="O44" s="63">
        <f>[5]HARVESTING!W27</f>
        <v>69750</v>
      </c>
      <c r="P44" s="85">
        <f>[5]HARVESTING!Z27</f>
        <v>0</v>
      </c>
      <c r="Q44" s="85">
        <f>[5]HARVESTING!AG27</f>
        <v>0</v>
      </c>
      <c r="R44" s="85">
        <f>[5]HARVESTING!AC27</f>
        <v>198510</v>
      </c>
      <c r="S44" s="85">
        <f>[5]HARVESTING!AD27</f>
        <v>322000</v>
      </c>
      <c r="T44" s="85">
        <f>[5]HARVESTING!AE27</f>
        <v>0</v>
      </c>
      <c r="U44" s="85">
        <f>[5]HARVESTING!AF27</f>
        <v>0</v>
      </c>
      <c r="V44" s="85">
        <f>[5]HARVESTING!AH27</f>
        <v>0</v>
      </c>
      <c r="W44" s="63"/>
      <c r="X44" s="63">
        <f>[5]HARVESTING!AL27+[5]HARVESTING!AM27</f>
        <v>0</v>
      </c>
      <c r="Y44" s="63">
        <f>[5]HARVESTING!AN27</f>
        <v>0</v>
      </c>
      <c r="Z44" s="63"/>
      <c r="AA44" s="63">
        <f>([5]HARVESTING!AJ27)*-1</f>
        <v>0</v>
      </c>
      <c r="AB44" s="63">
        <f>[5]HARVESTING!AK27</f>
        <v>0</v>
      </c>
      <c r="AC44" s="63">
        <f>([5]HARVESTING!BD27+[5]HARVESTING!BE27)*-134500</f>
        <v>0</v>
      </c>
      <c r="AD44" s="85"/>
      <c r="AE44" s="85"/>
      <c r="AF44" s="63">
        <f t="shared" si="2"/>
        <v>4965538</v>
      </c>
      <c r="AG44" s="80">
        <f t="shared" si="3"/>
        <v>0</v>
      </c>
      <c r="AH44" s="67">
        <f t="shared" si="4"/>
        <v>0</v>
      </c>
      <c r="AI44" s="68">
        <f t="shared" si="5"/>
        <v>4769760</v>
      </c>
      <c r="AJ44" s="69">
        <f>[5]HARVESTING!AO27</f>
        <v>4769760</v>
      </c>
      <c r="AK44" s="70">
        <f t="shared" si="6"/>
        <v>0</v>
      </c>
    </row>
    <row r="45" spans="2:37" s="33" customFormat="1" ht="13.5" customHeight="1">
      <c r="B45" s="71">
        <v>40</v>
      </c>
      <c r="C45" s="72" t="s">
        <v>211</v>
      </c>
      <c r="D45" s="81" t="s">
        <v>212</v>
      </c>
      <c r="E45" s="82" t="s">
        <v>213</v>
      </c>
      <c r="F45" s="83" t="s">
        <v>214</v>
      </c>
      <c r="G45" s="75" t="s">
        <v>168</v>
      </c>
      <c r="H45" s="84" t="s">
        <v>67</v>
      </c>
      <c r="I45" s="78" t="s">
        <v>20</v>
      </c>
      <c r="J45" s="78" t="str">
        <f t="shared" si="0"/>
        <v>TER B</v>
      </c>
      <c r="K45" s="62">
        <f t="shared" si="1"/>
        <v>4169500</v>
      </c>
      <c r="L45" s="63">
        <f t="shared" si="7"/>
        <v>34230</v>
      </c>
      <c r="M45" s="85">
        <f>[5]HARVESTING!AT28</f>
        <v>163000</v>
      </c>
      <c r="N45" s="85">
        <f>[5]HARVESTING!AB28</f>
        <v>40000</v>
      </c>
      <c r="O45" s="63">
        <f>[5]HARVESTING!W28</f>
        <v>130200</v>
      </c>
      <c r="P45" s="85">
        <f>[5]HARVESTING!Z28</f>
        <v>0</v>
      </c>
      <c r="Q45" s="85">
        <f>[5]HARVESTING!AG28</f>
        <v>0</v>
      </c>
      <c r="R45" s="85">
        <f>[5]HARVESTING!AC28</f>
        <v>239739</v>
      </c>
      <c r="S45" s="85">
        <f>[5]HARVESTING!AD28</f>
        <v>302750</v>
      </c>
      <c r="T45" s="85">
        <f>[5]HARVESTING!AE28</f>
        <v>0</v>
      </c>
      <c r="U45" s="85">
        <f>[5]HARVESTING!AF28</f>
        <v>0</v>
      </c>
      <c r="V45" s="85">
        <f>[5]HARVESTING!AH28</f>
        <v>0</v>
      </c>
      <c r="W45" s="63"/>
      <c r="X45" s="63">
        <f>[5]HARVESTING!AL28+[5]HARVESTING!AM28</f>
        <v>0</v>
      </c>
      <c r="Y45" s="63">
        <f>[5]HARVESTING!AN28</f>
        <v>0</v>
      </c>
      <c r="Z45" s="63"/>
      <c r="AA45" s="63">
        <f>([5]HARVESTING!AJ28)*-1</f>
        <v>0</v>
      </c>
      <c r="AB45" s="63">
        <f>[5]HARVESTING!AK28</f>
        <v>0</v>
      </c>
      <c r="AC45" s="63">
        <f>([5]HARVESTING!BD28+[5]HARVESTING!BE28)*-134500</f>
        <v>0</v>
      </c>
      <c r="AD45" s="85"/>
      <c r="AE45" s="85"/>
      <c r="AF45" s="63">
        <f t="shared" si="2"/>
        <v>5079419</v>
      </c>
      <c r="AG45" s="80">
        <f t="shared" si="3"/>
        <v>0</v>
      </c>
      <c r="AH45" s="67">
        <f t="shared" si="4"/>
        <v>0</v>
      </c>
      <c r="AI45" s="68">
        <f t="shared" si="5"/>
        <v>4882189</v>
      </c>
      <c r="AJ45" s="69">
        <f>[5]HARVESTING!AO28</f>
        <v>4882189</v>
      </c>
      <c r="AK45" s="70">
        <f t="shared" si="6"/>
        <v>0</v>
      </c>
    </row>
    <row r="46" spans="2:37" s="33" customFormat="1" ht="13.5" customHeight="1">
      <c r="B46" s="71">
        <v>41</v>
      </c>
      <c r="C46" s="72" t="s">
        <v>215</v>
      </c>
      <c r="D46" s="81" t="s">
        <v>216</v>
      </c>
      <c r="E46" s="82" t="s">
        <v>217</v>
      </c>
      <c r="F46" s="83" t="s">
        <v>218</v>
      </c>
      <c r="G46" s="75" t="s">
        <v>168</v>
      </c>
      <c r="H46" s="84" t="s">
        <v>67</v>
      </c>
      <c r="I46" s="78" t="s">
        <v>23</v>
      </c>
      <c r="J46" s="78" t="str">
        <f t="shared" si="0"/>
        <v>TER B</v>
      </c>
      <c r="K46" s="62">
        <f t="shared" si="1"/>
        <v>4169500</v>
      </c>
      <c r="L46" s="63">
        <f t="shared" si="7"/>
        <v>33999</v>
      </c>
      <c r="M46" s="85">
        <f>[5]HARVESTING!AT29</f>
        <v>161900</v>
      </c>
      <c r="N46" s="85">
        <f>[5]HARVESTING!AB29</f>
        <v>12500</v>
      </c>
      <c r="O46" s="63">
        <f>[5]HARVESTING!W29</f>
        <v>144150</v>
      </c>
      <c r="P46" s="85">
        <f>[5]HARVESTING!Z29</f>
        <v>0</v>
      </c>
      <c r="Q46" s="85">
        <f>[5]HARVESTING!AG29</f>
        <v>0</v>
      </c>
      <c r="R46" s="85">
        <f>[5]HARVESTING!AC29</f>
        <v>247374</v>
      </c>
      <c r="S46" s="85">
        <f>[5]HARVESTING!AD29</f>
        <v>332500</v>
      </c>
      <c r="T46" s="85">
        <f>[5]HARVESTING!AE29</f>
        <v>0</v>
      </c>
      <c r="U46" s="85">
        <f>[5]HARVESTING!AF29</f>
        <v>0</v>
      </c>
      <c r="V46" s="85">
        <f>[5]HARVESTING!AH29</f>
        <v>0</v>
      </c>
      <c r="W46" s="63"/>
      <c r="X46" s="63">
        <f>[5]HARVESTING!AL29+[5]HARVESTING!AM29</f>
        <v>0</v>
      </c>
      <c r="Y46" s="63">
        <f>[5]HARVESTING!AN29</f>
        <v>0</v>
      </c>
      <c r="Z46" s="63"/>
      <c r="AA46" s="63">
        <f>([5]HARVESTING!AJ29)*-1</f>
        <v>0</v>
      </c>
      <c r="AB46" s="63">
        <f>[5]HARVESTING!AK29</f>
        <v>0</v>
      </c>
      <c r="AC46" s="63">
        <f>([5]HARVESTING!BD29+[5]HARVESTING!BE29)*-134500</f>
        <v>0</v>
      </c>
      <c r="AD46" s="85"/>
      <c r="AE46" s="85"/>
      <c r="AF46" s="63">
        <f t="shared" si="2"/>
        <v>5101923</v>
      </c>
      <c r="AG46" s="80">
        <f t="shared" si="3"/>
        <v>0</v>
      </c>
      <c r="AH46" s="67">
        <f t="shared" si="4"/>
        <v>0</v>
      </c>
      <c r="AI46" s="68">
        <f t="shared" si="5"/>
        <v>4906024</v>
      </c>
      <c r="AJ46" s="69">
        <f>[5]HARVESTING!AO29</f>
        <v>4906024</v>
      </c>
      <c r="AK46" s="70">
        <f t="shared" si="6"/>
        <v>0</v>
      </c>
    </row>
    <row r="47" spans="2:37" s="33" customFormat="1" ht="13.5" customHeight="1">
      <c r="B47" s="71">
        <v>42</v>
      </c>
      <c r="C47" s="72" t="s">
        <v>219</v>
      </c>
      <c r="D47" s="81" t="s">
        <v>220</v>
      </c>
      <c r="E47" s="82" t="s">
        <v>120</v>
      </c>
      <c r="F47" s="83" t="s">
        <v>221</v>
      </c>
      <c r="G47" s="75" t="s">
        <v>168</v>
      </c>
      <c r="H47" s="84" t="s">
        <v>67</v>
      </c>
      <c r="I47" s="78" t="s">
        <v>18</v>
      </c>
      <c r="J47" s="78" t="str">
        <f t="shared" si="0"/>
        <v>TER A</v>
      </c>
      <c r="K47" s="62">
        <f t="shared" si="1"/>
        <v>4169500</v>
      </c>
      <c r="L47" s="63">
        <f t="shared" si="7"/>
        <v>34045.199999999997</v>
      </c>
      <c r="M47" s="85">
        <f>[5]HARVESTING!AT30</f>
        <v>162120</v>
      </c>
      <c r="N47" s="85">
        <f>[5]HARVESTING!AB30</f>
        <v>18000</v>
      </c>
      <c r="O47" s="63">
        <f>[5]HARVESTING!W30</f>
        <v>67500</v>
      </c>
      <c r="P47" s="85">
        <f>[5]HARVESTING!Z30</f>
        <v>0</v>
      </c>
      <c r="Q47" s="85">
        <f>[5]HARVESTING!AG30</f>
        <v>0</v>
      </c>
      <c r="R47" s="85">
        <f>[5]HARVESTING!AC30</f>
        <v>222942</v>
      </c>
      <c r="S47" s="85">
        <f>[5]HARVESTING!AD30</f>
        <v>297500</v>
      </c>
      <c r="T47" s="85">
        <f>[5]HARVESTING!AE30</f>
        <v>0</v>
      </c>
      <c r="U47" s="85">
        <f>[5]HARVESTING!AF30</f>
        <v>0</v>
      </c>
      <c r="V47" s="85">
        <f>[5]HARVESTING!AH30</f>
        <v>0</v>
      </c>
      <c r="W47" s="63"/>
      <c r="X47" s="63">
        <f>[5]HARVESTING!AL30+[5]HARVESTING!AM30</f>
        <v>0</v>
      </c>
      <c r="Y47" s="63">
        <f>[5]HARVESTING!AN30</f>
        <v>0</v>
      </c>
      <c r="Z47" s="63"/>
      <c r="AA47" s="63">
        <f>([5]HARVESTING!AJ30)*-1</f>
        <v>0</v>
      </c>
      <c r="AB47" s="63">
        <f>[5]HARVESTING!AK30</f>
        <v>0</v>
      </c>
      <c r="AC47" s="63">
        <f>([5]HARVESTING!BD30+[5]HARVESTING!BE30)*-134500</f>
        <v>-134500</v>
      </c>
      <c r="AD47" s="85"/>
      <c r="AE47" s="85"/>
      <c r="AF47" s="63">
        <f t="shared" si="2"/>
        <v>4837107</v>
      </c>
      <c r="AG47" s="80">
        <f t="shared" si="3"/>
        <v>0</v>
      </c>
      <c r="AH47" s="67">
        <f t="shared" si="4"/>
        <v>0</v>
      </c>
      <c r="AI47" s="68">
        <f t="shared" si="5"/>
        <v>4640941.8</v>
      </c>
      <c r="AJ47" s="69">
        <f>[5]HARVESTING!AO30</f>
        <v>4640942</v>
      </c>
      <c r="AK47" s="70">
        <f t="shared" si="6"/>
        <v>-0.20000000018626451</v>
      </c>
    </row>
    <row r="48" spans="2:37" s="33" customFormat="1" ht="13.5" customHeight="1">
      <c r="B48" s="71">
        <v>43</v>
      </c>
      <c r="C48" s="72" t="s">
        <v>222</v>
      </c>
      <c r="D48" s="86" t="s">
        <v>223</v>
      </c>
      <c r="E48" s="82" t="s">
        <v>120</v>
      </c>
      <c r="F48" s="83" t="s">
        <v>224</v>
      </c>
      <c r="G48" s="75" t="s">
        <v>168</v>
      </c>
      <c r="H48" s="84" t="s">
        <v>67</v>
      </c>
      <c r="I48" s="78" t="s">
        <v>23</v>
      </c>
      <c r="J48" s="78" t="str">
        <f t="shared" si="0"/>
        <v>TER B</v>
      </c>
      <c r="K48" s="62">
        <f t="shared" si="1"/>
        <v>4169500</v>
      </c>
      <c r="L48" s="63">
        <f t="shared" si="7"/>
        <v>33915</v>
      </c>
      <c r="M48" s="85">
        <f>[5]HARVESTING!AT31</f>
        <v>161500</v>
      </c>
      <c r="N48" s="85">
        <f>[5]HARVESTING!AB31</f>
        <v>2500</v>
      </c>
      <c r="O48" s="63">
        <f>[5]HARVESTING!W31</f>
        <v>139500</v>
      </c>
      <c r="P48" s="85">
        <f>[5]HARVESTING!Z31</f>
        <v>0</v>
      </c>
      <c r="Q48" s="85">
        <f>[5]HARVESTING!AG31</f>
        <v>0</v>
      </c>
      <c r="R48" s="85">
        <f>[5]HARVESTING!AC31</f>
        <v>296238</v>
      </c>
      <c r="S48" s="85">
        <f>[5]HARVESTING!AD31</f>
        <v>318500</v>
      </c>
      <c r="T48" s="85">
        <f>[5]HARVESTING!AE31</f>
        <v>0</v>
      </c>
      <c r="U48" s="85">
        <f>[5]HARVESTING!AF31</f>
        <v>0</v>
      </c>
      <c r="V48" s="85">
        <f>[5]HARVESTING!AH31</f>
        <v>0</v>
      </c>
      <c r="W48" s="63"/>
      <c r="X48" s="63">
        <f>[5]HARVESTING!AL31+[5]HARVESTING!AM31</f>
        <v>0</v>
      </c>
      <c r="Y48" s="63">
        <f>[5]HARVESTING!AN31</f>
        <v>0</v>
      </c>
      <c r="Z48" s="63"/>
      <c r="AA48" s="63">
        <f>([5]HARVESTING!AJ31)*-1</f>
        <v>-154831</v>
      </c>
      <c r="AB48" s="63">
        <f>[5]HARVESTING!AK31</f>
        <v>0</v>
      </c>
      <c r="AC48" s="63">
        <f>([5]HARVESTING!BD31+[5]HARVESTING!BE31)*-134500</f>
        <v>-134500</v>
      </c>
      <c r="AD48" s="85"/>
      <c r="AE48" s="85"/>
      <c r="AF48" s="63">
        <f t="shared" si="2"/>
        <v>4832322</v>
      </c>
      <c r="AG48" s="80">
        <f t="shared" si="3"/>
        <v>0</v>
      </c>
      <c r="AH48" s="67">
        <f t="shared" si="4"/>
        <v>0</v>
      </c>
      <c r="AI48" s="68">
        <f t="shared" si="5"/>
        <v>4636907</v>
      </c>
      <c r="AJ48" s="69">
        <f>[5]HARVESTING!AO31</f>
        <v>4636907</v>
      </c>
      <c r="AK48" s="70">
        <f t="shared" si="6"/>
        <v>0</v>
      </c>
    </row>
    <row r="49" spans="2:37" s="33" customFormat="1" ht="13.5" customHeight="1">
      <c r="B49" s="71">
        <v>44</v>
      </c>
      <c r="C49" s="72" t="s">
        <v>225</v>
      </c>
      <c r="D49" s="86" t="s">
        <v>226</v>
      </c>
      <c r="E49" s="82" t="s">
        <v>120</v>
      </c>
      <c r="F49" s="83" t="s">
        <v>227</v>
      </c>
      <c r="G49" s="75" t="s">
        <v>168</v>
      </c>
      <c r="H49" s="84" t="s">
        <v>67</v>
      </c>
      <c r="I49" s="78" t="s">
        <v>24</v>
      </c>
      <c r="J49" s="78" t="str">
        <f t="shared" si="0"/>
        <v>TER B</v>
      </c>
      <c r="K49" s="62">
        <f t="shared" si="1"/>
        <v>4169500</v>
      </c>
      <c r="L49" s="63">
        <f t="shared" si="7"/>
        <v>33915</v>
      </c>
      <c r="M49" s="85">
        <f>[5]HARVESTING!AT32</f>
        <v>161500</v>
      </c>
      <c r="N49" s="85">
        <f>[5]HARVESTING!AB32</f>
        <v>2500</v>
      </c>
      <c r="O49" s="63">
        <f>[5]HARVESTING!W32</f>
        <v>160950</v>
      </c>
      <c r="P49" s="85">
        <f>[5]HARVESTING!Z32</f>
        <v>0</v>
      </c>
      <c r="Q49" s="85">
        <f>[5]HARVESTING!AG32</f>
        <v>0</v>
      </c>
      <c r="R49" s="85">
        <f>[5]HARVESTING!AC32</f>
        <v>135903</v>
      </c>
      <c r="S49" s="85">
        <f>[5]HARVESTING!AD32</f>
        <v>322000</v>
      </c>
      <c r="T49" s="85">
        <f>[5]HARVESTING!AE32</f>
        <v>0</v>
      </c>
      <c r="U49" s="85">
        <f>[5]HARVESTING!AF32</f>
        <v>0</v>
      </c>
      <c r="V49" s="85">
        <f>[5]HARVESTING!AH32</f>
        <v>0</v>
      </c>
      <c r="W49" s="63"/>
      <c r="X49" s="63">
        <f>[5]HARVESTING!AL32+[5]HARVESTING!AM32</f>
        <v>0</v>
      </c>
      <c r="Y49" s="63">
        <f>[5]HARVESTING!AN32</f>
        <v>0</v>
      </c>
      <c r="Z49" s="63"/>
      <c r="AA49" s="63">
        <f>([5]HARVESTING!AJ32)*-1</f>
        <v>-87581</v>
      </c>
      <c r="AB49" s="63">
        <f>[5]HARVESTING!AK32</f>
        <v>0</v>
      </c>
      <c r="AC49" s="63">
        <f>([5]HARVESTING!BD32+[5]HARVESTING!BE32)*-134500</f>
        <v>-269000</v>
      </c>
      <c r="AD49" s="85"/>
      <c r="AE49" s="85"/>
      <c r="AF49" s="63">
        <f t="shared" si="2"/>
        <v>4629687</v>
      </c>
      <c r="AG49" s="80">
        <f t="shared" si="3"/>
        <v>0</v>
      </c>
      <c r="AH49" s="67">
        <f t="shared" si="4"/>
        <v>0</v>
      </c>
      <c r="AI49" s="68">
        <f t="shared" si="5"/>
        <v>4434272</v>
      </c>
      <c r="AJ49" s="69">
        <f>[5]HARVESTING!AO32</f>
        <v>4434272</v>
      </c>
      <c r="AK49" s="70">
        <f t="shared" si="6"/>
        <v>0</v>
      </c>
    </row>
    <row r="50" spans="2:37" s="33" customFormat="1" ht="13.5" customHeight="1">
      <c r="B50" s="71">
        <v>45</v>
      </c>
      <c r="C50" s="72" t="s">
        <v>228</v>
      </c>
      <c r="D50" s="86" t="s">
        <v>229</v>
      </c>
      <c r="E50" s="82" t="s">
        <v>120</v>
      </c>
      <c r="F50" s="83" t="s">
        <v>230</v>
      </c>
      <c r="G50" s="75" t="s">
        <v>168</v>
      </c>
      <c r="H50" s="84" t="s">
        <v>67</v>
      </c>
      <c r="I50" s="78" t="s">
        <v>25</v>
      </c>
      <c r="J50" s="78" t="str">
        <f t="shared" si="0"/>
        <v>TER C</v>
      </c>
      <c r="K50" s="62">
        <f t="shared" si="1"/>
        <v>4169500</v>
      </c>
      <c r="L50" s="63">
        <f t="shared" si="7"/>
        <v>33894</v>
      </c>
      <c r="M50" s="85">
        <f>[5]HARVESTING!AT33</f>
        <v>161400</v>
      </c>
      <c r="N50" s="85">
        <f>[5]HARVESTING!AB33</f>
        <v>0</v>
      </c>
      <c r="O50" s="63">
        <f>[5]HARVESTING!W33</f>
        <v>166500</v>
      </c>
      <c r="P50" s="85">
        <f>[5]HARVESTING!Z33</f>
        <v>0</v>
      </c>
      <c r="Q50" s="85">
        <f>[5]HARVESTING!AG33</f>
        <v>0</v>
      </c>
      <c r="R50" s="85">
        <f>[5]HARVESTING!AC33</f>
        <v>184767</v>
      </c>
      <c r="S50" s="85">
        <f>[5]HARVESTING!AD33</f>
        <v>341250</v>
      </c>
      <c r="T50" s="85">
        <f>[5]HARVESTING!AE33</f>
        <v>0</v>
      </c>
      <c r="U50" s="85">
        <f>[5]HARVESTING!AF33</f>
        <v>0</v>
      </c>
      <c r="V50" s="85">
        <f>[5]HARVESTING!AH33</f>
        <v>0</v>
      </c>
      <c r="W50" s="63"/>
      <c r="X50" s="63">
        <f>[5]HARVESTING!AL33+[5]HARVESTING!AM33</f>
        <v>0</v>
      </c>
      <c r="Y50" s="63">
        <f>[5]HARVESTING!AN33</f>
        <v>0</v>
      </c>
      <c r="Z50" s="63"/>
      <c r="AA50" s="63">
        <f>([5]HARVESTING!AJ33)*-1</f>
        <v>0</v>
      </c>
      <c r="AB50" s="63">
        <f>[5]HARVESTING!AK33</f>
        <v>0</v>
      </c>
      <c r="AC50" s="63">
        <f>([5]HARVESTING!BD33+[5]HARVESTING!BE33)*-134500</f>
        <v>-134500</v>
      </c>
      <c r="AD50" s="85"/>
      <c r="AE50" s="85"/>
      <c r="AF50" s="63">
        <f t="shared" si="2"/>
        <v>4922811</v>
      </c>
      <c r="AG50" s="80">
        <f t="shared" si="3"/>
        <v>0</v>
      </c>
      <c r="AH50" s="67">
        <f t="shared" si="4"/>
        <v>0</v>
      </c>
      <c r="AI50" s="68">
        <f t="shared" si="5"/>
        <v>4727517</v>
      </c>
      <c r="AJ50" s="69">
        <f>[5]HARVESTING!AO33</f>
        <v>4727517</v>
      </c>
      <c r="AK50" s="70">
        <f t="shared" si="6"/>
        <v>0</v>
      </c>
    </row>
    <row r="51" spans="2:37" s="33" customFormat="1" ht="13.5" customHeight="1">
      <c r="B51" s="71">
        <v>46</v>
      </c>
      <c r="C51" s="72" t="s">
        <v>231</v>
      </c>
      <c r="D51" s="86" t="s">
        <v>232</v>
      </c>
      <c r="E51" s="82" t="s">
        <v>120</v>
      </c>
      <c r="F51" s="83" t="s">
        <v>233</v>
      </c>
      <c r="G51" s="75" t="s">
        <v>168</v>
      </c>
      <c r="H51" s="84" t="s">
        <v>67</v>
      </c>
      <c r="I51" s="78" t="s">
        <v>24</v>
      </c>
      <c r="J51" s="78" t="str">
        <f t="shared" si="0"/>
        <v>TER B</v>
      </c>
      <c r="K51" s="62">
        <f t="shared" si="1"/>
        <v>4169500</v>
      </c>
      <c r="L51" s="63">
        <f t="shared" si="7"/>
        <v>33894</v>
      </c>
      <c r="M51" s="85">
        <f>[5]HARVESTING!AT34</f>
        <v>161400</v>
      </c>
      <c r="N51" s="85">
        <f>[5]HARVESTING!AB34</f>
        <v>0</v>
      </c>
      <c r="O51" s="63">
        <f>[5]HARVESTING!W34</f>
        <v>172050</v>
      </c>
      <c r="P51" s="85">
        <f>[5]HARVESTING!Z34</f>
        <v>0</v>
      </c>
      <c r="Q51" s="85">
        <f>[5]HARVESTING!AG34</f>
        <v>0</v>
      </c>
      <c r="R51" s="85">
        <f>[5]HARVESTING!AC34</f>
        <v>539031</v>
      </c>
      <c r="S51" s="85">
        <f>[5]HARVESTING!AD34</f>
        <v>376250</v>
      </c>
      <c r="T51" s="85">
        <f>[5]HARVESTING!AE34</f>
        <v>0</v>
      </c>
      <c r="U51" s="85">
        <f>[5]HARVESTING!AF34</f>
        <v>0</v>
      </c>
      <c r="V51" s="85">
        <f>[5]HARVESTING!AH34</f>
        <v>0</v>
      </c>
      <c r="W51" s="63"/>
      <c r="X51" s="63">
        <f>[5]HARVESTING!AL34+[5]HARVESTING!AM34</f>
        <v>0</v>
      </c>
      <c r="Y51" s="63">
        <f>[5]HARVESTING!AN34</f>
        <v>150000</v>
      </c>
      <c r="Z51" s="63"/>
      <c r="AA51" s="63">
        <f>([5]HARVESTING!AJ34)*-1</f>
        <v>0</v>
      </c>
      <c r="AB51" s="63">
        <f>[5]HARVESTING!AK34</f>
        <v>0</v>
      </c>
      <c r="AC51" s="63">
        <f>([5]HARVESTING!BD34+[5]HARVESTING!BE34)*-134500</f>
        <v>0</v>
      </c>
      <c r="AD51" s="85"/>
      <c r="AE51" s="85"/>
      <c r="AF51" s="63">
        <f t="shared" si="2"/>
        <v>5602125</v>
      </c>
      <c r="AG51" s="80">
        <f t="shared" si="3"/>
        <v>0</v>
      </c>
      <c r="AH51" s="67">
        <f t="shared" si="4"/>
        <v>0</v>
      </c>
      <c r="AI51" s="68">
        <f t="shared" si="5"/>
        <v>5406831</v>
      </c>
      <c r="AJ51" s="69">
        <f>[5]HARVESTING!AO34</f>
        <v>5406831</v>
      </c>
      <c r="AK51" s="70">
        <f t="shared" si="6"/>
        <v>0</v>
      </c>
    </row>
    <row r="52" spans="2:37" s="33" customFormat="1" ht="13.5" customHeight="1">
      <c r="B52" s="71">
        <v>47</v>
      </c>
      <c r="C52" s="72" t="s">
        <v>234</v>
      </c>
      <c r="D52" s="86" t="s">
        <v>235</v>
      </c>
      <c r="E52" s="82" t="s">
        <v>120</v>
      </c>
      <c r="F52" s="83" t="s">
        <v>233</v>
      </c>
      <c r="G52" s="75" t="s">
        <v>168</v>
      </c>
      <c r="H52" s="84" t="s">
        <v>67</v>
      </c>
      <c r="I52" s="78" t="s">
        <v>22</v>
      </c>
      <c r="J52" s="78" t="str">
        <f t="shared" si="0"/>
        <v>TER A</v>
      </c>
      <c r="K52" s="62">
        <f t="shared" si="1"/>
        <v>4169500</v>
      </c>
      <c r="L52" s="63">
        <f t="shared" si="7"/>
        <v>33894</v>
      </c>
      <c r="M52" s="85">
        <f>[5]HARVESTING!AT35</f>
        <v>161400</v>
      </c>
      <c r="N52" s="85">
        <f>[5]HARVESTING!AB35</f>
        <v>0</v>
      </c>
      <c r="O52" s="63">
        <f>[5]HARVESTING!W35</f>
        <v>111000</v>
      </c>
      <c r="P52" s="85">
        <f>[5]HARVESTING!Z35</f>
        <v>0</v>
      </c>
      <c r="Q52" s="85">
        <f>[5]HARVESTING!AG35</f>
        <v>0</v>
      </c>
      <c r="R52" s="85">
        <f>[5]HARVESTING!AC35</f>
        <v>61080</v>
      </c>
      <c r="S52" s="85">
        <f>[5]HARVESTING!AD35</f>
        <v>271250</v>
      </c>
      <c r="T52" s="85">
        <f>[5]HARVESTING!AE35</f>
        <v>0</v>
      </c>
      <c r="U52" s="85">
        <f>[5]HARVESTING!AF35</f>
        <v>0</v>
      </c>
      <c r="V52" s="85">
        <f>[5]HARVESTING!AH35</f>
        <v>0</v>
      </c>
      <c r="W52" s="63"/>
      <c r="X52" s="63">
        <f>[5]HARVESTING!AL35+[5]HARVESTING!AM35</f>
        <v>0</v>
      </c>
      <c r="Y52" s="63">
        <f>[5]HARVESTING!AN35</f>
        <v>0</v>
      </c>
      <c r="Z52" s="63"/>
      <c r="AA52" s="63">
        <f>([5]HARVESTING!AJ35)*-1</f>
        <v>-131372</v>
      </c>
      <c r="AB52" s="63">
        <f>[5]HARVESTING!AK35</f>
        <v>0</v>
      </c>
      <c r="AC52" s="63">
        <f>([5]HARVESTING!BD35+[5]HARVESTING!BE35)*-134500</f>
        <v>-134500</v>
      </c>
      <c r="AD52" s="85"/>
      <c r="AE52" s="85"/>
      <c r="AF52" s="63">
        <f t="shared" si="2"/>
        <v>4542252</v>
      </c>
      <c r="AG52" s="80">
        <f t="shared" si="3"/>
        <v>0</v>
      </c>
      <c r="AH52" s="67">
        <f t="shared" si="4"/>
        <v>0</v>
      </c>
      <c r="AI52" s="68">
        <f t="shared" si="5"/>
        <v>4346958</v>
      </c>
      <c r="AJ52" s="69">
        <f>[5]HARVESTING!AO35</f>
        <v>4346958</v>
      </c>
      <c r="AK52" s="70">
        <f t="shared" si="6"/>
        <v>0</v>
      </c>
    </row>
    <row r="53" spans="2:37" s="33" customFormat="1" ht="13.5" customHeight="1">
      <c r="B53" s="71">
        <v>48</v>
      </c>
      <c r="C53" s="72" t="s">
        <v>236</v>
      </c>
      <c r="D53" s="86" t="s">
        <v>237</v>
      </c>
      <c r="E53" s="82" t="s">
        <v>120</v>
      </c>
      <c r="F53" s="83" t="s">
        <v>238</v>
      </c>
      <c r="G53" s="75" t="s">
        <v>168</v>
      </c>
      <c r="H53" s="84" t="s">
        <v>67</v>
      </c>
      <c r="I53" s="78" t="s">
        <v>18</v>
      </c>
      <c r="J53" s="78" t="str">
        <f t="shared" si="0"/>
        <v>TER A</v>
      </c>
      <c r="K53" s="62">
        <f t="shared" si="1"/>
        <v>4169500</v>
      </c>
      <c r="L53" s="63">
        <f t="shared" si="7"/>
        <v>33894</v>
      </c>
      <c r="M53" s="85">
        <f>[5]HARVESTING!AT36</f>
        <v>161400</v>
      </c>
      <c r="N53" s="85">
        <f>[5]HARVESTING!AB36</f>
        <v>0</v>
      </c>
      <c r="O53" s="63">
        <f>[5]HARVESTING!W36</f>
        <v>69750</v>
      </c>
      <c r="P53" s="85">
        <f>[5]HARVESTING!Z36</f>
        <v>0</v>
      </c>
      <c r="Q53" s="85">
        <f>[5]HARVESTING!AG36</f>
        <v>0</v>
      </c>
      <c r="R53" s="85">
        <f>[5]HARVESTING!AC36</f>
        <v>284022</v>
      </c>
      <c r="S53" s="85">
        <f>[5]HARVESTING!AD36</f>
        <v>397250</v>
      </c>
      <c r="T53" s="85">
        <f>[5]HARVESTING!AE36</f>
        <v>0</v>
      </c>
      <c r="U53" s="85">
        <f>[5]HARVESTING!AF36</f>
        <v>0</v>
      </c>
      <c r="V53" s="85">
        <f>[5]HARVESTING!AH36</f>
        <v>0</v>
      </c>
      <c r="W53" s="63"/>
      <c r="X53" s="63">
        <f>[5]HARVESTING!AL36+[5]HARVESTING!AM36</f>
        <v>0</v>
      </c>
      <c r="Y53" s="63">
        <f>[5]HARVESTING!AN36</f>
        <v>0</v>
      </c>
      <c r="Z53" s="63"/>
      <c r="AA53" s="63">
        <f>([5]HARVESTING!AJ36)*-1</f>
        <v>0</v>
      </c>
      <c r="AB53" s="63">
        <f>[5]HARVESTING!AK36</f>
        <v>0</v>
      </c>
      <c r="AC53" s="63">
        <f>([5]HARVESTING!BD36+[5]HARVESTING!BE36)*-134500</f>
        <v>0</v>
      </c>
      <c r="AD53" s="85"/>
      <c r="AE53" s="85"/>
      <c r="AF53" s="63">
        <f t="shared" si="2"/>
        <v>5115816</v>
      </c>
      <c r="AG53" s="80">
        <f t="shared" si="3"/>
        <v>0</v>
      </c>
      <c r="AH53" s="67">
        <f t="shared" si="4"/>
        <v>0</v>
      </c>
      <c r="AI53" s="68">
        <f t="shared" si="5"/>
        <v>4920522</v>
      </c>
      <c r="AJ53" s="69">
        <f>[5]HARVESTING!AO36</f>
        <v>4920522</v>
      </c>
      <c r="AK53" s="70">
        <f t="shared" si="6"/>
        <v>0</v>
      </c>
    </row>
    <row r="54" spans="2:37" s="33" customFormat="1" ht="13.5" customHeight="1">
      <c r="B54" s="71">
        <v>49</v>
      </c>
      <c r="C54" s="72" t="s">
        <v>239</v>
      </c>
      <c r="D54" s="86" t="s">
        <v>240</v>
      </c>
      <c r="E54" s="82" t="s">
        <v>120</v>
      </c>
      <c r="F54" s="83" t="s">
        <v>241</v>
      </c>
      <c r="G54" s="75" t="s">
        <v>168</v>
      </c>
      <c r="H54" s="84" t="s">
        <v>67</v>
      </c>
      <c r="I54" s="78" t="s">
        <v>23</v>
      </c>
      <c r="J54" s="78" t="s">
        <v>7</v>
      </c>
      <c r="K54" s="62">
        <v>4169500</v>
      </c>
      <c r="L54" s="63">
        <f t="shared" si="7"/>
        <v>33894</v>
      </c>
      <c r="M54" s="85">
        <f>[5]HARVESTING!AT37</f>
        <v>161400</v>
      </c>
      <c r="N54" s="85">
        <f>[5]HARVESTING!AB37</f>
        <v>0</v>
      </c>
      <c r="O54" s="63">
        <f>[5]HARVESTING!W37</f>
        <v>144150</v>
      </c>
      <c r="P54" s="85">
        <f>[5]HARVESTING!Z37</f>
        <v>0</v>
      </c>
      <c r="Q54" s="85">
        <f>[5]HARVESTING!AG37</f>
        <v>0</v>
      </c>
      <c r="R54" s="85">
        <f>[5]HARVESTING!AC37</f>
        <v>212253</v>
      </c>
      <c r="S54" s="85">
        <f>[5]HARVESTING!AD37</f>
        <v>330750</v>
      </c>
      <c r="T54" s="85">
        <f>[5]HARVESTING!AE37</f>
        <v>0</v>
      </c>
      <c r="U54" s="85">
        <f>[5]HARVESTING!AF37</f>
        <v>0</v>
      </c>
      <c r="V54" s="85">
        <f>[5]HARVESTING!AH37</f>
        <v>0</v>
      </c>
      <c r="W54" s="63"/>
      <c r="X54" s="63">
        <f>[5]HARVESTING!AL37+[5]HARVESTING!AM37</f>
        <v>0</v>
      </c>
      <c r="Y54" s="63">
        <f>[5]HARVESTING!AN37</f>
        <v>0</v>
      </c>
      <c r="Z54" s="63"/>
      <c r="AA54" s="63">
        <f>([5]HARVESTING!AJ37)*-1</f>
        <v>0</v>
      </c>
      <c r="AB54" s="63">
        <f>[5]HARVESTING!AK37</f>
        <v>0</v>
      </c>
      <c r="AC54" s="63">
        <f>([5]HARVESTING!BD37+[5]HARVESTING!BE37)*-134500</f>
        <v>0</v>
      </c>
      <c r="AD54" s="85"/>
      <c r="AE54" s="85"/>
      <c r="AF54" s="63">
        <f t="shared" si="2"/>
        <v>5051947</v>
      </c>
      <c r="AG54" s="80">
        <v>0</v>
      </c>
      <c r="AH54" s="67">
        <v>0</v>
      </c>
      <c r="AI54" s="68">
        <f t="shared" si="5"/>
        <v>4856653</v>
      </c>
      <c r="AJ54" s="69">
        <f>[5]HARVESTING!AO37</f>
        <v>4856653</v>
      </c>
      <c r="AK54" s="70">
        <f t="shared" si="6"/>
        <v>0</v>
      </c>
    </row>
    <row r="55" spans="2:37" s="33" customFormat="1" ht="13.5" customHeight="1">
      <c r="B55" s="71">
        <v>50</v>
      </c>
      <c r="C55" s="72" t="s">
        <v>242</v>
      </c>
      <c r="D55" s="86" t="s">
        <v>243</v>
      </c>
      <c r="E55" s="82" t="s">
        <v>120</v>
      </c>
      <c r="F55" s="83" t="s">
        <v>233</v>
      </c>
      <c r="G55" s="75" t="s">
        <v>168</v>
      </c>
      <c r="H55" s="84" t="s">
        <v>67</v>
      </c>
      <c r="I55" s="78" t="s">
        <v>24</v>
      </c>
      <c r="J55" s="78" t="s">
        <v>7</v>
      </c>
      <c r="K55" s="62">
        <v>4169500</v>
      </c>
      <c r="L55" s="63">
        <f t="shared" si="7"/>
        <v>33894</v>
      </c>
      <c r="M55" s="85">
        <f>[5]HARVESTING!AT38</f>
        <v>161400</v>
      </c>
      <c r="N55" s="85">
        <f>[5]HARVESTING!AB38</f>
        <v>0</v>
      </c>
      <c r="O55" s="63">
        <f>[5]HARVESTING!W38</f>
        <v>160950</v>
      </c>
      <c r="P55" s="85">
        <f>[5]HARVESTING!Z38</f>
        <v>0</v>
      </c>
      <c r="Q55" s="85">
        <f>[5]HARVESTING!AG38</f>
        <v>0</v>
      </c>
      <c r="R55" s="85">
        <f>[5]HARVESTING!AC38</f>
        <v>189348</v>
      </c>
      <c r="S55" s="85">
        <f>[5]HARVESTING!AD38</f>
        <v>281750</v>
      </c>
      <c r="T55" s="85">
        <f>[5]HARVESTING!AE38</f>
        <v>0</v>
      </c>
      <c r="U55" s="85">
        <f>[5]HARVESTING!AF38</f>
        <v>0</v>
      </c>
      <c r="V55" s="85">
        <f>[5]HARVESTING!AH38</f>
        <v>0</v>
      </c>
      <c r="W55" s="63"/>
      <c r="X55" s="63">
        <f>[5]HARVESTING!AL38+[5]HARVESTING!AM38</f>
        <v>0</v>
      </c>
      <c r="Y55" s="63">
        <f>[5]HARVESTING!AN38</f>
        <v>0</v>
      </c>
      <c r="Z55" s="63"/>
      <c r="AA55" s="63">
        <f>([5]HARVESTING!AJ38)*-1</f>
        <v>-43791</v>
      </c>
      <c r="AB55" s="63">
        <f>[5]HARVESTING!AK38</f>
        <v>0</v>
      </c>
      <c r="AC55" s="63">
        <f>([5]HARVESTING!BD38+[5]HARVESTING!BE38)*-134500</f>
        <v>-269000</v>
      </c>
      <c r="AD55" s="85"/>
      <c r="AE55" s="85"/>
      <c r="AF55" s="63">
        <f t="shared" si="2"/>
        <v>4684051</v>
      </c>
      <c r="AG55" s="80">
        <v>0</v>
      </c>
      <c r="AH55" s="67">
        <v>0</v>
      </c>
      <c r="AI55" s="68">
        <f t="shared" si="5"/>
        <v>4488757</v>
      </c>
      <c r="AJ55" s="69">
        <f>[5]HARVESTING!AO38</f>
        <v>4488757</v>
      </c>
      <c r="AK55" s="70">
        <f t="shared" si="6"/>
        <v>0</v>
      </c>
    </row>
    <row r="56" spans="2:37" s="33" customFormat="1" ht="13.5" customHeight="1">
      <c r="B56" s="71">
        <v>51</v>
      </c>
      <c r="C56" s="72" t="s">
        <v>244</v>
      </c>
      <c r="D56" s="86" t="s">
        <v>245</v>
      </c>
      <c r="E56" s="82" t="s">
        <v>120</v>
      </c>
      <c r="F56" s="83" t="s">
        <v>233</v>
      </c>
      <c r="G56" s="75" t="s">
        <v>168</v>
      </c>
      <c r="H56" s="84" t="s">
        <v>67</v>
      </c>
      <c r="I56" s="78" t="s">
        <v>23</v>
      </c>
      <c r="J56" s="78" t="s">
        <v>7</v>
      </c>
      <c r="K56" s="62">
        <v>4169500</v>
      </c>
      <c r="L56" s="63">
        <f t="shared" si="7"/>
        <v>33894</v>
      </c>
      <c r="M56" s="85">
        <f>[5]HARVESTING!AT39</f>
        <v>161400</v>
      </c>
      <c r="N56" s="85">
        <f>[5]HARVESTING!AB39</f>
        <v>0</v>
      </c>
      <c r="O56" s="63">
        <f>[5]HARVESTING!W39</f>
        <v>144150</v>
      </c>
      <c r="P56" s="85">
        <f>[5]HARVESTING!Z39</f>
        <v>0</v>
      </c>
      <c r="Q56" s="85">
        <f>[5]HARVESTING!AG39</f>
        <v>0</v>
      </c>
      <c r="R56" s="85">
        <f>[5]HARVESTING!AC39</f>
        <v>258063</v>
      </c>
      <c r="S56" s="85">
        <f>[5]HARVESTING!AD39</f>
        <v>313250</v>
      </c>
      <c r="T56" s="85">
        <f>[5]HARVESTING!AE39</f>
        <v>0</v>
      </c>
      <c r="U56" s="85">
        <f>[5]HARVESTING!AF39</f>
        <v>0</v>
      </c>
      <c r="V56" s="85">
        <f>[5]HARVESTING!AH39</f>
        <v>0</v>
      </c>
      <c r="W56" s="63"/>
      <c r="X56" s="63">
        <f>[5]HARVESTING!AL39+[5]HARVESTING!AM39</f>
        <v>0</v>
      </c>
      <c r="Y56" s="63">
        <f>[5]HARVESTING!AN39</f>
        <v>0</v>
      </c>
      <c r="Z56" s="63"/>
      <c r="AA56" s="63">
        <f>([5]HARVESTING!AJ39)*-1</f>
        <v>-132936</v>
      </c>
      <c r="AB56" s="63">
        <f>[5]HARVESTING!AK39</f>
        <v>0</v>
      </c>
      <c r="AC56" s="63">
        <f>([5]HARVESTING!BD39+[5]HARVESTING!BE39)*-134500</f>
        <v>0</v>
      </c>
      <c r="AD56" s="85"/>
      <c r="AE56" s="85"/>
      <c r="AF56" s="63">
        <f t="shared" si="2"/>
        <v>4947321</v>
      </c>
      <c r="AG56" s="80">
        <v>0</v>
      </c>
      <c r="AH56" s="67">
        <v>0</v>
      </c>
      <c r="AI56" s="68">
        <f t="shared" si="5"/>
        <v>4752027</v>
      </c>
      <c r="AJ56" s="69">
        <f>[5]HARVESTING!AO39</f>
        <v>4752027</v>
      </c>
      <c r="AK56" s="70">
        <f t="shared" si="6"/>
        <v>0</v>
      </c>
    </row>
    <row r="57" spans="2:37" s="33" customFormat="1" ht="13.5" customHeight="1">
      <c r="B57" s="71">
        <v>52</v>
      </c>
      <c r="C57" s="72" t="s">
        <v>246</v>
      </c>
      <c r="D57" s="86" t="s">
        <v>247</v>
      </c>
      <c r="E57" s="82" t="s">
        <v>120</v>
      </c>
      <c r="F57" s="83" t="s">
        <v>233</v>
      </c>
      <c r="G57" s="75" t="s">
        <v>168</v>
      </c>
      <c r="H57" s="84" t="s">
        <v>67</v>
      </c>
      <c r="I57" s="78" t="s">
        <v>18</v>
      </c>
      <c r="J57" s="78" t="s">
        <v>6</v>
      </c>
      <c r="K57" s="62">
        <v>4169500</v>
      </c>
      <c r="L57" s="63">
        <f t="shared" si="7"/>
        <v>33894</v>
      </c>
      <c r="M57" s="85">
        <f>[5]HARVESTING!AT40</f>
        <v>161400</v>
      </c>
      <c r="N57" s="85">
        <f>[5]HARVESTING!AB40</f>
        <v>0</v>
      </c>
      <c r="O57" s="63">
        <f>[5]HARVESTING!W40</f>
        <v>67500</v>
      </c>
      <c r="P57" s="85">
        <f>[5]HARVESTING!Z40</f>
        <v>0</v>
      </c>
      <c r="Q57" s="85">
        <f>[5]HARVESTING!AG40</f>
        <v>0</v>
      </c>
      <c r="R57" s="85">
        <f>[5]HARVESTING!AC40</f>
        <v>481005</v>
      </c>
      <c r="S57" s="85">
        <f>[5]HARVESTING!AD40</f>
        <v>351750</v>
      </c>
      <c r="T57" s="85">
        <f>[5]HARVESTING!AE40</f>
        <v>0</v>
      </c>
      <c r="U57" s="85">
        <f>[5]HARVESTING!AF40</f>
        <v>0</v>
      </c>
      <c r="V57" s="85">
        <f>[5]HARVESTING!AH40</f>
        <v>0</v>
      </c>
      <c r="W57" s="63"/>
      <c r="X57" s="63">
        <f>[5]HARVESTING!AL40+[5]HARVESTING!AM40</f>
        <v>0</v>
      </c>
      <c r="Y57" s="63">
        <f>[5]HARVESTING!AN40</f>
        <v>0</v>
      </c>
      <c r="Z57" s="63"/>
      <c r="AA57" s="63">
        <f>([5]HARVESTING!AJ40)*-1</f>
        <v>0</v>
      </c>
      <c r="AB57" s="63">
        <f>[5]HARVESTING!AK40</f>
        <v>0</v>
      </c>
      <c r="AC57" s="63">
        <f>([5]HARVESTING!BD40+[5]HARVESTING!BE40)*-134500</f>
        <v>-134500</v>
      </c>
      <c r="AD57" s="85"/>
      <c r="AE57" s="85"/>
      <c r="AF57" s="63">
        <f t="shared" si="2"/>
        <v>5130549</v>
      </c>
      <c r="AG57" s="80">
        <v>0</v>
      </c>
      <c r="AH57" s="67">
        <v>0</v>
      </c>
      <c r="AI57" s="68">
        <f t="shared" si="5"/>
        <v>4935255</v>
      </c>
      <c r="AJ57" s="69">
        <f>[5]HARVESTING!AO40</f>
        <v>4935255</v>
      </c>
      <c r="AK57" s="70">
        <f t="shared" si="6"/>
        <v>0</v>
      </c>
    </row>
    <row r="58" spans="2:37" s="33" customFormat="1" ht="13.5" customHeight="1">
      <c r="B58" s="71">
        <v>53</v>
      </c>
      <c r="C58" s="72" t="s">
        <v>248</v>
      </c>
      <c r="D58" s="86" t="s">
        <v>249</v>
      </c>
      <c r="E58" s="82" t="s">
        <v>120</v>
      </c>
      <c r="F58" s="83" t="s">
        <v>250</v>
      </c>
      <c r="G58" s="75" t="s">
        <v>168</v>
      </c>
      <c r="H58" s="84" t="s">
        <v>67</v>
      </c>
      <c r="I58" s="78" t="s">
        <v>22</v>
      </c>
      <c r="J58" s="78" t="s">
        <v>6</v>
      </c>
      <c r="K58" s="62">
        <v>4169500</v>
      </c>
      <c r="L58" s="63">
        <f t="shared" si="7"/>
        <v>33894</v>
      </c>
      <c r="M58" s="85">
        <f>[5]HARVESTING!AT41</f>
        <v>161400</v>
      </c>
      <c r="N58" s="85">
        <f>[5]HARVESTING!AB41</f>
        <v>0</v>
      </c>
      <c r="O58" s="63">
        <f>[5]HARVESTING!W41</f>
        <v>114700</v>
      </c>
      <c r="P58" s="85">
        <f>[5]HARVESTING!Z41</f>
        <v>0</v>
      </c>
      <c r="Q58" s="85">
        <f>[5]HARVESTING!AG41</f>
        <v>0</v>
      </c>
      <c r="R58" s="85">
        <f>[5]HARVESTING!AC41</f>
        <v>227523</v>
      </c>
      <c r="S58" s="85">
        <f>[5]HARVESTING!AD41</f>
        <v>341250</v>
      </c>
      <c r="T58" s="85">
        <f>[5]HARVESTING!AE41</f>
        <v>0</v>
      </c>
      <c r="U58" s="85">
        <f>[5]HARVESTING!AF41</f>
        <v>0</v>
      </c>
      <c r="V58" s="85">
        <f>[5]HARVESTING!AH41</f>
        <v>0</v>
      </c>
      <c r="W58" s="63"/>
      <c r="X58" s="63">
        <f>[5]HARVESTING!AL41+[5]HARVESTING!AM41</f>
        <v>0</v>
      </c>
      <c r="Y58" s="63">
        <f>[5]HARVESTING!AN41</f>
        <v>0</v>
      </c>
      <c r="Z58" s="63"/>
      <c r="AA58" s="63">
        <f>([5]HARVESTING!AJ41)*-1</f>
        <v>-60994</v>
      </c>
      <c r="AB58" s="63">
        <f>[5]HARVESTING!AK41</f>
        <v>0</v>
      </c>
      <c r="AC58" s="63">
        <f>([5]HARVESTING!BD41+[5]HARVESTING!BE41)*-134500</f>
        <v>0</v>
      </c>
      <c r="AD58" s="85"/>
      <c r="AE58" s="85"/>
      <c r="AF58" s="63">
        <f t="shared" si="2"/>
        <v>4987273</v>
      </c>
      <c r="AG58" s="80">
        <v>0</v>
      </c>
      <c r="AH58" s="67">
        <v>0</v>
      </c>
      <c r="AI58" s="68">
        <f t="shared" si="5"/>
        <v>4791979</v>
      </c>
      <c r="AJ58" s="69">
        <f>[5]HARVESTING!AO41</f>
        <v>4791979</v>
      </c>
      <c r="AK58" s="70">
        <f t="shared" si="6"/>
        <v>0</v>
      </c>
    </row>
    <row r="59" spans="2:37" s="33" customFormat="1" ht="13.5" customHeight="1">
      <c r="B59" s="71">
        <v>54</v>
      </c>
      <c r="C59" s="72" t="s">
        <v>251</v>
      </c>
      <c r="D59" s="86" t="s">
        <v>252</v>
      </c>
      <c r="E59" s="82" t="s">
        <v>120</v>
      </c>
      <c r="F59" s="83" t="s">
        <v>253</v>
      </c>
      <c r="G59" s="75" t="s">
        <v>168</v>
      </c>
      <c r="H59" s="84" t="s">
        <v>67</v>
      </c>
      <c r="I59" s="78" t="s">
        <v>18</v>
      </c>
      <c r="J59" s="78" t="s">
        <v>6</v>
      </c>
      <c r="K59" s="62">
        <v>4169500</v>
      </c>
      <c r="L59" s="63">
        <f t="shared" si="7"/>
        <v>33894</v>
      </c>
      <c r="M59" s="85">
        <f>[5]HARVESTING!AT42</f>
        <v>161400</v>
      </c>
      <c r="N59" s="85">
        <f>[5]HARVESTING!AB42</f>
        <v>0</v>
      </c>
      <c r="O59" s="63">
        <f>[5]HARVESTING!W42</f>
        <v>69750</v>
      </c>
      <c r="P59" s="85">
        <f>[5]HARVESTING!Z42</f>
        <v>0</v>
      </c>
      <c r="Q59" s="85">
        <f>[5]HARVESTING!AG42</f>
        <v>0</v>
      </c>
      <c r="R59" s="85">
        <f>[5]HARVESTING!AC42</f>
        <v>209199</v>
      </c>
      <c r="S59" s="85">
        <f>[5]HARVESTING!AD42</f>
        <v>306250</v>
      </c>
      <c r="T59" s="85">
        <f>[5]HARVESTING!AE42</f>
        <v>0</v>
      </c>
      <c r="U59" s="85">
        <f>[5]HARVESTING!AF42</f>
        <v>0</v>
      </c>
      <c r="V59" s="85">
        <f>[5]HARVESTING!AH42</f>
        <v>0</v>
      </c>
      <c r="W59" s="63"/>
      <c r="X59" s="63">
        <f>[5]HARVESTING!AL42+[5]HARVESTING!AM42</f>
        <v>0</v>
      </c>
      <c r="Y59" s="63">
        <f>[5]HARVESTING!AN42</f>
        <v>0</v>
      </c>
      <c r="Z59" s="63"/>
      <c r="AA59" s="63">
        <f>([5]HARVESTING!AJ42)*-1</f>
        <v>-71942</v>
      </c>
      <c r="AB59" s="63">
        <f>[5]HARVESTING!AK42</f>
        <v>0</v>
      </c>
      <c r="AC59" s="63">
        <f>([5]HARVESTING!BD42+[5]HARVESTING!BE42)*-134500</f>
        <v>0</v>
      </c>
      <c r="AD59" s="85"/>
      <c r="AE59" s="85"/>
      <c r="AF59" s="63">
        <f t="shared" si="2"/>
        <v>4878051</v>
      </c>
      <c r="AG59" s="80">
        <v>0</v>
      </c>
      <c r="AH59" s="67">
        <v>0</v>
      </c>
      <c r="AI59" s="68">
        <f t="shared" si="5"/>
        <v>4682757</v>
      </c>
      <c r="AJ59" s="69">
        <f>[5]HARVESTING!AO42</f>
        <v>4682757</v>
      </c>
      <c r="AK59" s="70">
        <f t="shared" si="6"/>
        <v>0</v>
      </c>
    </row>
    <row r="60" spans="2:37" s="33" customFormat="1" ht="13.5" customHeight="1">
      <c r="B60" s="71">
        <v>55</v>
      </c>
      <c r="C60" s="72" t="s">
        <v>254</v>
      </c>
      <c r="D60" s="81" t="s">
        <v>255</v>
      </c>
      <c r="E60" s="82" t="s">
        <v>120</v>
      </c>
      <c r="F60" s="83" t="s">
        <v>256</v>
      </c>
      <c r="G60" s="75" t="s">
        <v>257</v>
      </c>
      <c r="H60" s="84" t="s">
        <v>67</v>
      </c>
      <c r="I60" s="78" t="s">
        <v>18</v>
      </c>
      <c r="J60" s="78" t="str">
        <f t="shared" ref="J60:J68" si="8">IF(ISBLANK(I60),"",IF(OR(I60="TK/0",I60="TK/1",I60="K/0"),"TER A",IF(I60="K/3","TER C","TER B")))</f>
        <v>TER A</v>
      </c>
      <c r="K60" s="62">
        <f t="shared" ref="K60:K67" si="9">$K$4*134500</f>
        <v>4169500</v>
      </c>
      <c r="L60" s="63">
        <f t="shared" si="7"/>
        <v>34070.400000000001</v>
      </c>
      <c r="M60" s="85">
        <f>[5]TRANSPORT!AK9</f>
        <v>162240</v>
      </c>
      <c r="N60" s="85">
        <f>[5]TRANSPORT!Z9</f>
        <v>21000</v>
      </c>
      <c r="O60" s="85">
        <f>[5]TRANSPORT!U9</f>
        <v>69750</v>
      </c>
      <c r="P60" s="85">
        <f>[5]TRANSPORT!X9</f>
        <v>87500</v>
      </c>
      <c r="Q60" s="85">
        <f>[5]TRANSPORT!AA9</f>
        <v>1224494.25</v>
      </c>
      <c r="R60" s="85"/>
      <c r="S60" s="85"/>
      <c r="T60" s="85">
        <f>[5]TRANSPORT!AB9</f>
        <v>1770850</v>
      </c>
      <c r="U60" s="85"/>
      <c r="V60" s="85">
        <f>[5]TRANSPORT!AC9</f>
        <v>0</v>
      </c>
      <c r="W60" s="63"/>
      <c r="X60" s="63"/>
      <c r="Y60" s="63"/>
      <c r="Z60" s="63"/>
      <c r="AA60" s="63"/>
      <c r="AB60" s="63"/>
      <c r="AC60" s="63">
        <f>([5]TRANSPORT!AU9+[5]TRANSPORT!AV9)*-134500</f>
        <v>0</v>
      </c>
      <c r="AD60" s="85"/>
      <c r="AE60" s="85"/>
      <c r="AF60" s="63">
        <f t="shared" si="2"/>
        <v>7539405</v>
      </c>
      <c r="AG60" s="80">
        <f t="shared" ref="AG60:AG68" si="10">IF(J60="TER A",VLOOKUP(AF60,Ter_A,4,TRUE),IF(J60="TER B",VLOOKUP(AF60,Ter_B,4,TRUE),VLOOKUP(AF60,Ter_C,4,TRUE)))</f>
        <v>1.5000000000000001E-2</v>
      </c>
      <c r="AH60" s="67">
        <f t="shared" ref="AH60:AH68" si="11">ROUND(IF(E60=0,AF60*AG60*120%,AF60*AG60),0)</f>
        <v>113091</v>
      </c>
      <c r="AI60" s="68">
        <f t="shared" si="5"/>
        <v>7343094.5999999996</v>
      </c>
      <c r="AJ60" s="69">
        <f>[5]TRANSPORT!AF9</f>
        <v>7343094.25</v>
      </c>
      <c r="AK60" s="70">
        <f t="shared" si="6"/>
        <v>0.34999999962747097</v>
      </c>
    </row>
    <row r="61" spans="2:37" s="33" customFormat="1" ht="13.5" customHeight="1">
      <c r="B61" s="71">
        <v>56</v>
      </c>
      <c r="C61" s="72" t="s">
        <v>258</v>
      </c>
      <c r="D61" s="81" t="s">
        <v>259</v>
      </c>
      <c r="E61" s="82" t="s">
        <v>120</v>
      </c>
      <c r="F61" s="83" t="s">
        <v>260</v>
      </c>
      <c r="G61" s="75" t="s">
        <v>261</v>
      </c>
      <c r="H61" s="84" t="s">
        <v>67</v>
      </c>
      <c r="I61" s="78" t="s">
        <v>24</v>
      </c>
      <c r="J61" s="78" t="str">
        <f t="shared" si="8"/>
        <v>TER B</v>
      </c>
      <c r="K61" s="62">
        <f t="shared" si="9"/>
        <v>4169500</v>
      </c>
      <c r="L61" s="63">
        <f t="shared" si="7"/>
        <v>34200.6</v>
      </c>
      <c r="M61" s="85">
        <f>[5]TRANSPORT!AK10</f>
        <v>162860</v>
      </c>
      <c r="N61" s="85">
        <f>[5]TRANSPORT!Z10</f>
        <v>36500</v>
      </c>
      <c r="O61" s="85">
        <f>[5]TRANSPORT!U10</f>
        <v>172050</v>
      </c>
      <c r="P61" s="85">
        <f>[5]TRANSPORT!X10</f>
        <v>60000</v>
      </c>
      <c r="Q61" s="85">
        <f>[5]TRANSPORT!AA10</f>
        <v>0</v>
      </c>
      <c r="R61" s="85"/>
      <c r="S61" s="85"/>
      <c r="T61" s="85">
        <f>[5]TRANSPORT!AB10</f>
        <v>0</v>
      </c>
      <c r="U61" s="85"/>
      <c r="V61" s="85">
        <f>[5]TRANSPORT!AC10</f>
        <v>0</v>
      </c>
      <c r="W61" s="63"/>
      <c r="X61" s="63"/>
      <c r="Y61" s="63"/>
      <c r="Z61" s="63"/>
      <c r="AA61" s="63"/>
      <c r="AB61" s="63"/>
      <c r="AC61" s="63">
        <f>([5]TRANSPORT!AU10+[5]TRANSPORT!AV10)*-134500</f>
        <v>0</v>
      </c>
      <c r="AD61" s="85"/>
      <c r="AE61" s="85"/>
      <c r="AF61" s="63">
        <f t="shared" si="2"/>
        <v>4635111</v>
      </c>
      <c r="AG61" s="80">
        <f t="shared" si="10"/>
        <v>0</v>
      </c>
      <c r="AH61" s="67">
        <f t="shared" si="11"/>
        <v>0</v>
      </c>
      <c r="AI61" s="68">
        <f t="shared" si="5"/>
        <v>4438050.4000000004</v>
      </c>
      <c r="AJ61" s="69">
        <f>[5]TRANSPORT!AF10</f>
        <v>4438050</v>
      </c>
      <c r="AK61" s="70">
        <f t="shared" si="6"/>
        <v>0.40000000037252903</v>
      </c>
    </row>
    <row r="62" spans="2:37" s="33" customFormat="1" ht="13.5" customHeight="1">
      <c r="B62" s="71">
        <v>57</v>
      </c>
      <c r="C62" s="72" t="s">
        <v>262</v>
      </c>
      <c r="D62" s="81" t="s">
        <v>263</v>
      </c>
      <c r="E62" s="82" t="s">
        <v>264</v>
      </c>
      <c r="F62" s="83" t="s">
        <v>265</v>
      </c>
      <c r="G62" s="75" t="s">
        <v>257</v>
      </c>
      <c r="H62" s="84" t="s">
        <v>67</v>
      </c>
      <c r="I62" s="78" t="s">
        <v>20</v>
      </c>
      <c r="J62" s="78" t="str">
        <f t="shared" si="8"/>
        <v>TER B</v>
      </c>
      <c r="K62" s="62">
        <f t="shared" si="9"/>
        <v>4169500</v>
      </c>
      <c r="L62" s="63">
        <f t="shared" si="7"/>
        <v>34120.799999999996</v>
      </c>
      <c r="M62" s="85">
        <f>[5]TRANSPORT!AK11</f>
        <v>162480</v>
      </c>
      <c r="N62" s="85">
        <f>[5]TRANSPORT!Z11</f>
        <v>27000</v>
      </c>
      <c r="O62" s="85">
        <f>[5]TRANSPORT!U11</f>
        <v>130200</v>
      </c>
      <c r="P62" s="85">
        <f>[5]TRANSPORT!X11</f>
        <v>84000</v>
      </c>
      <c r="Q62" s="85">
        <f>[5]TRANSPORT!AA11</f>
        <v>1224494.25</v>
      </c>
      <c r="R62" s="85"/>
      <c r="S62" s="85"/>
      <c r="T62" s="85">
        <f>[5]TRANSPORT!AB11</f>
        <v>1856420</v>
      </c>
      <c r="U62" s="85"/>
      <c r="V62" s="85">
        <f>[5]TRANSPORT!AC11</f>
        <v>0</v>
      </c>
      <c r="W62" s="63"/>
      <c r="X62" s="63"/>
      <c r="Y62" s="63"/>
      <c r="Z62" s="63"/>
      <c r="AA62" s="63"/>
      <c r="AB62" s="63"/>
      <c r="AC62" s="63">
        <f>([5]TRANSPORT!AU11+[5]TRANSPORT!AV11)*-134500</f>
        <v>0</v>
      </c>
      <c r="AD62" s="85"/>
      <c r="AE62" s="85"/>
      <c r="AF62" s="63">
        <f t="shared" si="2"/>
        <v>7688215</v>
      </c>
      <c r="AG62" s="80">
        <f t="shared" si="10"/>
        <v>0.01</v>
      </c>
      <c r="AH62" s="67">
        <f t="shared" si="11"/>
        <v>76882</v>
      </c>
      <c r="AI62" s="68">
        <f t="shared" si="5"/>
        <v>7491614.2000000002</v>
      </c>
      <c r="AJ62" s="69">
        <f>[5]TRANSPORT!AF11</f>
        <v>7491614.25</v>
      </c>
      <c r="AK62" s="70">
        <f t="shared" si="6"/>
        <v>-4.9999999813735485E-2</v>
      </c>
    </row>
    <row r="63" spans="2:37" s="33" customFormat="1" ht="13.5" customHeight="1">
      <c r="B63" s="71">
        <v>58</v>
      </c>
      <c r="C63" s="72" t="s">
        <v>266</v>
      </c>
      <c r="D63" s="81" t="s">
        <v>267</v>
      </c>
      <c r="E63" s="82" t="s">
        <v>268</v>
      </c>
      <c r="F63" s="83" t="s">
        <v>269</v>
      </c>
      <c r="G63" s="75" t="s">
        <v>261</v>
      </c>
      <c r="H63" s="84" t="s">
        <v>67</v>
      </c>
      <c r="I63" s="78" t="s">
        <v>24</v>
      </c>
      <c r="J63" s="78" t="str">
        <f t="shared" si="8"/>
        <v>TER B</v>
      </c>
      <c r="K63" s="62">
        <f t="shared" si="9"/>
        <v>4169500</v>
      </c>
      <c r="L63" s="63">
        <f t="shared" si="7"/>
        <v>34200.6</v>
      </c>
      <c r="M63" s="85">
        <f>[5]TRANSPORT!AK12</f>
        <v>162860</v>
      </c>
      <c r="N63" s="85">
        <f>[5]TRANSPORT!Z12</f>
        <v>36500</v>
      </c>
      <c r="O63" s="85">
        <f>[5]TRANSPORT!U12</f>
        <v>166500</v>
      </c>
      <c r="P63" s="85">
        <f>[5]TRANSPORT!X12</f>
        <v>60000</v>
      </c>
      <c r="Q63" s="85">
        <f>[5]TRANSPORT!AA12</f>
        <v>1224494.25</v>
      </c>
      <c r="R63" s="85"/>
      <c r="S63" s="85"/>
      <c r="T63" s="85">
        <f>[5]TRANSPORT!AB12</f>
        <v>1784485</v>
      </c>
      <c r="U63" s="85"/>
      <c r="V63" s="85">
        <f>[5]TRANSPORT!AC12</f>
        <v>0</v>
      </c>
      <c r="W63" s="63"/>
      <c r="X63" s="63"/>
      <c r="Y63" s="63"/>
      <c r="Z63" s="63"/>
      <c r="AA63" s="63"/>
      <c r="AB63" s="63"/>
      <c r="AC63" s="63">
        <f>([5]TRANSPORT!AU12+[5]TRANSPORT!AV12)*-134500</f>
        <v>-134500</v>
      </c>
      <c r="AD63" s="85"/>
      <c r="AE63" s="85"/>
      <c r="AF63" s="63">
        <f t="shared" si="2"/>
        <v>7504040</v>
      </c>
      <c r="AG63" s="80">
        <f t="shared" si="10"/>
        <v>0.01</v>
      </c>
      <c r="AH63" s="67">
        <f t="shared" si="11"/>
        <v>75040</v>
      </c>
      <c r="AI63" s="68">
        <f t="shared" si="5"/>
        <v>7306979.4000000004</v>
      </c>
      <c r="AJ63" s="69">
        <f>[5]TRANSPORT!AF12</f>
        <v>7306979.25</v>
      </c>
      <c r="AK63" s="70">
        <f t="shared" si="6"/>
        <v>0.15000000037252903</v>
      </c>
    </row>
    <row r="64" spans="2:37" s="33" customFormat="1" ht="13.5" customHeight="1">
      <c r="B64" s="71">
        <v>59</v>
      </c>
      <c r="C64" s="72" t="s">
        <v>270</v>
      </c>
      <c r="D64" s="81" t="s">
        <v>271</v>
      </c>
      <c r="E64" s="82" t="s">
        <v>272</v>
      </c>
      <c r="F64" s="83" t="s">
        <v>273</v>
      </c>
      <c r="G64" s="75" t="s">
        <v>257</v>
      </c>
      <c r="H64" s="84" t="s">
        <v>67</v>
      </c>
      <c r="I64" s="78" t="s">
        <v>24</v>
      </c>
      <c r="J64" s="78" t="str">
        <f t="shared" si="8"/>
        <v>TER B</v>
      </c>
      <c r="K64" s="62">
        <f t="shared" si="9"/>
        <v>4169500</v>
      </c>
      <c r="L64" s="63">
        <f t="shared" si="7"/>
        <v>34641.599999999999</v>
      </c>
      <c r="M64" s="85">
        <f>[5]TRANSPORT!AK13</f>
        <v>164960</v>
      </c>
      <c r="N64" s="85">
        <f>[5]TRANSPORT!Z13</f>
        <v>89000</v>
      </c>
      <c r="O64" s="85">
        <f>[5]TRANSPORT!U13</f>
        <v>160950</v>
      </c>
      <c r="P64" s="85">
        <f>[5]TRANSPORT!X13</f>
        <v>80500</v>
      </c>
      <c r="Q64" s="85">
        <f>[5]TRANSPORT!AA13</f>
        <v>897962.45000000007</v>
      </c>
      <c r="R64" s="85"/>
      <c r="S64" s="85"/>
      <c r="T64" s="85">
        <f>[5]TRANSPORT!AB13</f>
        <v>493289.99999999988</v>
      </c>
      <c r="U64" s="85"/>
      <c r="V64" s="85">
        <f>[5]TRANSPORT!AC13</f>
        <v>0</v>
      </c>
      <c r="W64" s="63"/>
      <c r="X64" s="63"/>
      <c r="Y64" s="63"/>
      <c r="Z64" s="63"/>
      <c r="AA64" s="63"/>
      <c r="AB64" s="63"/>
      <c r="AC64" s="63">
        <f>([5]TRANSPORT!AU13+[5]TRANSPORT!AV13)*-134500</f>
        <v>-269000</v>
      </c>
      <c r="AD64" s="85"/>
      <c r="AE64" s="85"/>
      <c r="AF64" s="63">
        <f t="shared" si="2"/>
        <v>5821804</v>
      </c>
      <c r="AG64" s="80">
        <f t="shared" si="10"/>
        <v>0</v>
      </c>
      <c r="AH64" s="67">
        <f t="shared" si="11"/>
        <v>0</v>
      </c>
      <c r="AI64" s="68">
        <f t="shared" si="5"/>
        <v>5622202.4000000004</v>
      </c>
      <c r="AJ64" s="69">
        <f>[5]TRANSPORT!AF13</f>
        <v>5622202.4500000002</v>
      </c>
      <c r="AK64" s="70">
        <f t="shared" si="6"/>
        <v>-4.9999999813735485E-2</v>
      </c>
    </row>
    <row r="65" spans="2:54" s="33" customFormat="1" ht="13.5" customHeight="1">
      <c r="B65" s="71">
        <v>60</v>
      </c>
      <c r="C65" s="72" t="s">
        <v>274</v>
      </c>
      <c r="D65" s="81" t="s">
        <v>275</v>
      </c>
      <c r="E65" s="82" t="s">
        <v>276</v>
      </c>
      <c r="F65" s="83" t="s">
        <v>277</v>
      </c>
      <c r="G65" s="75" t="s">
        <v>261</v>
      </c>
      <c r="H65" s="84" t="s">
        <v>67</v>
      </c>
      <c r="I65" s="78" t="s">
        <v>24</v>
      </c>
      <c r="J65" s="78" t="str">
        <f t="shared" si="8"/>
        <v>TER B</v>
      </c>
      <c r="K65" s="62">
        <f t="shared" si="9"/>
        <v>4169500</v>
      </c>
      <c r="L65" s="63">
        <f t="shared" si="7"/>
        <v>34200.6</v>
      </c>
      <c r="M65" s="85">
        <f>[5]TRANSPORT!AK14</f>
        <v>162860</v>
      </c>
      <c r="N65" s="85">
        <f>[5]TRANSPORT!Z14</f>
        <v>36500</v>
      </c>
      <c r="O65" s="85">
        <f>[5]TRANSPORT!U14</f>
        <v>160950</v>
      </c>
      <c r="P65" s="85">
        <f>[5]TRANSPORT!X14</f>
        <v>55000</v>
      </c>
      <c r="Q65" s="85">
        <f>[5]TRANSPORT!AA14</f>
        <v>944609.85000000009</v>
      </c>
      <c r="R65" s="85"/>
      <c r="S65" s="85"/>
      <c r="T65" s="85">
        <f>[5]TRANSPORT!AB14</f>
        <v>893040</v>
      </c>
      <c r="U65" s="85"/>
      <c r="V65" s="85">
        <f>[5]TRANSPORT!AC14</f>
        <v>0</v>
      </c>
      <c r="W65" s="63"/>
      <c r="X65" s="63"/>
      <c r="Y65" s="63"/>
      <c r="Z65" s="63"/>
      <c r="AA65" s="63"/>
      <c r="AB65" s="63"/>
      <c r="AC65" s="63">
        <f>([5]TRANSPORT!AU14+[5]TRANSPORT!AV14)*-134500</f>
        <v>-269000</v>
      </c>
      <c r="AD65" s="85"/>
      <c r="AE65" s="85"/>
      <c r="AF65" s="63">
        <f t="shared" si="2"/>
        <v>6187660</v>
      </c>
      <c r="AG65" s="80">
        <f t="shared" si="10"/>
        <v>0</v>
      </c>
      <c r="AH65" s="67">
        <f t="shared" si="11"/>
        <v>0</v>
      </c>
      <c r="AI65" s="68">
        <f t="shared" si="5"/>
        <v>5990599.4000000004</v>
      </c>
      <c r="AJ65" s="69">
        <f>[5]TRANSPORT!AF14</f>
        <v>5990599.8499999996</v>
      </c>
      <c r="AK65" s="70">
        <f t="shared" si="6"/>
        <v>-0.44999999925494194</v>
      </c>
    </row>
    <row r="66" spans="2:54" s="33" customFormat="1" ht="13.5" customHeight="1">
      <c r="B66" s="71">
        <v>61</v>
      </c>
      <c r="C66" s="72" t="s">
        <v>278</v>
      </c>
      <c r="D66" s="81" t="s">
        <v>279</v>
      </c>
      <c r="E66" s="82" t="s">
        <v>120</v>
      </c>
      <c r="F66" s="83" t="s">
        <v>280</v>
      </c>
      <c r="G66" s="75" t="s">
        <v>257</v>
      </c>
      <c r="H66" s="84" t="s">
        <v>67</v>
      </c>
      <c r="I66" s="78" t="s">
        <v>18</v>
      </c>
      <c r="J66" s="78" t="str">
        <f t="shared" si="8"/>
        <v>TER A</v>
      </c>
      <c r="K66" s="62">
        <f t="shared" si="9"/>
        <v>4169500</v>
      </c>
      <c r="L66" s="63">
        <f t="shared" si="7"/>
        <v>34230</v>
      </c>
      <c r="M66" s="85">
        <f>[5]TRANSPORT!AK15</f>
        <v>163000</v>
      </c>
      <c r="N66" s="85">
        <f>[5]TRANSPORT!Z15</f>
        <v>40000</v>
      </c>
      <c r="O66" s="85">
        <f>[5]TRANSPORT!U15</f>
        <v>65250</v>
      </c>
      <c r="P66" s="85">
        <f>[5]TRANSPORT!X15</f>
        <v>73500</v>
      </c>
      <c r="Q66" s="85">
        <f>[5]TRANSPORT!AA15</f>
        <v>1026242.8</v>
      </c>
      <c r="R66" s="85"/>
      <c r="S66" s="85"/>
      <c r="T66" s="85">
        <f>[5]TRANSPORT!AB15</f>
        <v>1649850</v>
      </c>
      <c r="U66" s="85"/>
      <c r="V66" s="85">
        <f>[5]TRANSPORT!AC15</f>
        <v>0</v>
      </c>
      <c r="W66" s="63"/>
      <c r="X66" s="63"/>
      <c r="Y66" s="63"/>
      <c r="Z66" s="63"/>
      <c r="AA66" s="63"/>
      <c r="AB66" s="63"/>
      <c r="AC66" s="63">
        <f>([5]TRANSPORT!AU15+[5]TRANSPORT!AV15)*-134500</f>
        <v>-269000</v>
      </c>
      <c r="AD66" s="85"/>
      <c r="AE66" s="85"/>
      <c r="AF66" s="63">
        <f t="shared" si="2"/>
        <v>6952573</v>
      </c>
      <c r="AG66" s="80">
        <f t="shared" si="10"/>
        <v>1.2500000000000001E-2</v>
      </c>
      <c r="AH66" s="67">
        <f t="shared" si="11"/>
        <v>86907</v>
      </c>
      <c r="AI66" s="68">
        <f>AF66-L66-M66</f>
        <v>6755343</v>
      </c>
      <c r="AJ66" s="87">
        <f>[5]TRANSPORT!AF15</f>
        <v>6755342.7999999998</v>
      </c>
      <c r="AK66" s="70">
        <f>AI66-AJ66</f>
        <v>0.20000000018626451</v>
      </c>
    </row>
    <row r="67" spans="2:54" s="33" customFormat="1" ht="13.5" customHeight="1">
      <c r="B67" s="71">
        <v>62</v>
      </c>
      <c r="C67" s="72" t="s">
        <v>281</v>
      </c>
      <c r="D67" s="81" t="s">
        <v>282</v>
      </c>
      <c r="E67" s="82" t="s">
        <v>283</v>
      </c>
      <c r="F67" s="83" t="s">
        <v>284</v>
      </c>
      <c r="G67" s="75" t="s">
        <v>261</v>
      </c>
      <c r="H67" s="84" t="s">
        <v>67</v>
      </c>
      <c r="I67" s="78" t="s">
        <v>24</v>
      </c>
      <c r="J67" s="78" t="str">
        <f t="shared" si="8"/>
        <v>TER B</v>
      </c>
      <c r="K67" s="62">
        <f t="shared" si="9"/>
        <v>4169500</v>
      </c>
      <c r="L67" s="63">
        <f t="shared" si="7"/>
        <v>34318.199999999997</v>
      </c>
      <c r="M67" s="85">
        <f>[5]TRANSPORT!AK16</f>
        <v>163420</v>
      </c>
      <c r="N67" s="85">
        <f>[5]TRANSPORT!Z16</f>
        <v>50500</v>
      </c>
      <c r="O67" s="85">
        <f>[5]TRANSPORT!U16</f>
        <v>149850</v>
      </c>
      <c r="P67" s="85">
        <f>[5]TRANSPORT!X16</f>
        <v>50000</v>
      </c>
      <c r="Q67" s="85">
        <f>[5]TRANSPORT!AA16</f>
        <v>1084552.05</v>
      </c>
      <c r="R67" s="85"/>
      <c r="S67" s="85"/>
      <c r="T67" s="85">
        <f>[5]TRANSPORT!AB16</f>
        <v>1376195</v>
      </c>
      <c r="U67" s="85"/>
      <c r="V67" s="85">
        <f>[5]TRANSPORT!AC16</f>
        <v>0</v>
      </c>
      <c r="W67" s="63"/>
      <c r="X67" s="63"/>
      <c r="Y67" s="63"/>
      <c r="Z67" s="63"/>
      <c r="AA67" s="63"/>
      <c r="AB67" s="63"/>
      <c r="AC67" s="63">
        <f>([5]TRANSPORT!AU16+[5]TRANSPORT!AV16)*-134500</f>
        <v>-538000</v>
      </c>
      <c r="AD67" s="85"/>
      <c r="AE67" s="85"/>
      <c r="AF67" s="63">
        <f t="shared" si="2"/>
        <v>6540335</v>
      </c>
      <c r="AG67" s="80">
        <f t="shared" si="10"/>
        <v>5.0000000000000001E-3</v>
      </c>
      <c r="AH67" s="67">
        <f t="shared" si="11"/>
        <v>32702</v>
      </c>
      <c r="AI67" s="68">
        <f t="shared" si="5"/>
        <v>6342596.7999999998</v>
      </c>
      <c r="AJ67" s="87">
        <f>[5]TRANSPORT!AF16</f>
        <v>6342597.0499999998</v>
      </c>
      <c r="AK67" s="70">
        <f t="shared" ref="AK67" si="12">AI67-AJ67</f>
        <v>-0.25</v>
      </c>
    </row>
    <row r="68" spans="2:54" s="33" customFormat="1" ht="13.5" customHeight="1">
      <c r="B68" s="71"/>
      <c r="C68" s="72"/>
      <c r="D68" s="81"/>
      <c r="E68" s="82"/>
      <c r="F68" s="83"/>
      <c r="G68" s="75"/>
      <c r="H68" s="84"/>
      <c r="I68" s="78"/>
      <c r="J68" s="78" t="str">
        <f t="shared" si="8"/>
        <v/>
      </c>
      <c r="K68" s="88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63">
        <f t="shared" si="2"/>
        <v>0</v>
      </c>
      <c r="AG68" s="80">
        <f t="shared" si="10"/>
        <v>0</v>
      </c>
      <c r="AH68" s="67">
        <f t="shared" si="11"/>
        <v>0</v>
      </c>
      <c r="AI68" s="68"/>
      <c r="AJ68" s="87"/>
      <c r="AK68" s="70"/>
    </row>
    <row r="69" spans="2:54" s="33" customFormat="1" ht="13.5" customHeight="1" thickBot="1">
      <c r="B69" s="71"/>
      <c r="C69" s="72"/>
      <c r="D69" s="81"/>
      <c r="E69" s="82"/>
      <c r="F69" s="83"/>
      <c r="G69" s="75"/>
      <c r="H69" s="84"/>
      <c r="I69" s="78"/>
      <c r="J69" s="78"/>
      <c r="K69" s="88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0"/>
      <c r="AH69" s="89"/>
      <c r="AK69" s="70"/>
    </row>
    <row r="70" spans="2:54" s="94" customFormat="1" ht="22.15" customHeight="1" thickBot="1">
      <c r="B70" s="90"/>
      <c r="C70" s="91"/>
      <c r="D70" s="91"/>
      <c r="E70" s="91"/>
      <c r="F70" s="91"/>
      <c r="G70" s="91"/>
      <c r="H70" s="91"/>
      <c r="I70" s="91"/>
      <c r="J70" s="91"/>
      <c r="K70" s="92">
        <f t="shared" ref="K70:V70" si="13">SUM(K6:K69)</f>
        <v>258509000</v>
      </c>
      <c r="L70" s="92">
        <f t="shared" si="13"/>
        <v>2116900.8000000003</v>
      </c>
      <c r="M70" s="92">
        <f t="shared" si="13"/>
        <v>10080480</v>
      </c>
      <c r="N70" s="92">
        <f t="shared" si="13"/>
        <v>1842000</v>
      </c>
      <c r="O70" s="92">
        <f t="shared" si="13"/>
        <v>7238400</v>
      </c>
      <c r="P70" s="92">
        <f t="shared" si="13"/>
        <v>879000</v>
      </c>
      <c r="Q70" s="92">
        <f t="shared" si="13"/>
        <v>12431532.1</v>
      </c>
      <c r="R70" s="92">
        <f t="shared" si="13"/>
        <v>7144833</v>
      </c>
      <c r="S70" s="92">
        <f t="shared" si="13"/>
        <v>9576000</v>
      </c>
      <c r="T70" s="92">
        <f t="shared" si="13"/>
        <v>10435170</v>
      </c>
      <c r="U70" s="92">
        <f t="shared" si="13"/>
        <v>0</v>
      </c>
      <c r="V70" s="92">
        <f t="shared" si="13"/>
        <v>0</v>
      </c>
      <c r="W70" s="92"/>
      <c r="X70" s="92">
        <f t="shared" ref="X70:AF70" si="14">SUM(X6:X69)</f>
        <v>0</v>
      </c>
      <c r="Y70" s="92">
        <f t="shared" si="14"/>
        <v>4010000</v>
      </c>
      <c r="Z70" s="92">
        <f t="shared" si="14"/>
        <v>0</v>
      </c>
      <c r="AA70" s="92">
        <f t="shared" si="14"/>
        <v>-997800</v>
      </c>
      <c r="AB70" s="92">
        <f t="shared" si="14"/>
        <v>-19214</v>
      </c>
      <c r="AC70" s="92">
        <f t="shared" si="14"/>
        <v>-5918000</v>
      </c>
      <c r="AD70" s="92">
        <f t="shared" si="14"/>
        <v>0</v>
      </c>
      <c r="AE70" s="92">
        <f t="shared" si="14"/>
        <v>0</v>
      </c>
      <c r="AF70" s="92">
        <f t="shared" si="14"/>
        <v>317328300</v>
      </c>
      <c r="AG70" s="92"/>
      <c r="AH70" s="92">
        <f>SUM(AH6:AH69)</f>
        <v>472517</v>
      </c>
      <c r="AI70" s="93"/>
      <c r="AJ70" s="93"/>
      <c r="AK70" s="87"/>
    </row>
    <row r="71" spans="2:54" ht="15" customHeight="1"/>
    <row r="72" spans="2:54" ht="15" customHeight="1">
      <c r="B72" s="93" t="s">
        <v>285</v>
      </c>
      <c r="M72" s="95"/>
      <c r="N72" s="95"/>
      <c r="O72" s="95"/>
      <c r="P72" s="95"/>
      <c r="Q72" s="95"/>
    </row>
    <row r="73" spans="2:54" ht="15" customHeight="1">
      <c r="B73" s="33" t="s">
        <v>286</v>
      </c>
      <c r="M73" s="95"/>
      <c r="N73" s="95"/>
      <c r="O73" s="95"/>
      <c r="P73" s="95"/>
      <c r="Q73" s="95"/>
    </row>
    <row r="74" spans="2:54" ht="15" customHeight="1">
      <c r="B74" s="33" t="s">
        <v>287</v>
      </c>
      <c r="M74" s="95"/>
      <c r="N74" s="95"/>
      <c r="O74" s="95"/>
      <c r="P74" s="95"/>
      <c r="Q74" s="95"/>
    </row>
    <row r="75" spans="2:54" ht="15" customHeight="1">
      <c r="B75" s="33" t="s">
        <v>288</v>
      </c>
      <c r="M75" s="95"/>
      <c r="N75" s="95"/>
      <c r="O75" s="95"/>
      <c r="P75" s="95"/>
      <c r="Q75" s="95"/>
    </row>
    <row r="76" spans="2:54" s="96" customFormat="1" ht="15" customHeight="1">
      <c r="B76" s="33" t="s">
        <v>289</v>
      </c>
      <c r="C76" s="34"/>
      <c r="D76" s="35"/>
      <c r="E76" s="36"/>
      <c r="F76" s="34"/>
      <c r="G76" s="37"/>
      <c r="H76" s="38"/>
      <c r="I76" s="38"/>
      <c r="J76" s="38"/>
      <c r="K76" s="34"/>
      <c r="L76" s="34"/>
      <c r="M76" s="95"/>
      <c r="N76" s="95"/>
      <c r="O76" s="95"/>
      <c r="P76" s="95"/>
      <c r="Q76" s="95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9"/>
      <c r="AH76" s="34"/>
      <c r="AI76" s="33"/>
      <c r="AJ76" s="33"/>
      <c r="AK76" s="33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2:54" s="96" customFormat="1" ht="15" customHeight="1">
      <c r="B77" s="33" t="s">
        <v>290</v>
      </c>
      <c r="C77" s="34"/>
      <c r="D77" s="35"/>
      <c r="E77" s="36"/>
      <c r="F77" s="34"/>
      <c r="G77" s="37"/>
      <c r="H77" s="38"/>
      <c r="I77" s="38"/>
      <c r="J77" s="38"/>
      <c r="K77" s="34"/>
      <c r="L77" s="34"/>
      <c r="M77" s="95"/>
      <c r="N77" s="95"/>
      <c r="O77" s="95"/>
      <c r="P77" s="95"/>
      <c r="Q77" s="95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9"/>
      <c r="AH77" s="34"/>
      <c r="AI77" s="33"/>
      <c r="AJ77" s="33"/>
      <c r="AK77" s="33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2:54" s="96" customFormat="1" ht="15" customHeight="1">
      <c r="B78" s="33" t="s">
        <v>291</v>
      </c>
      <c r="C78" s="34"/>
      <c r="D78" s="35"/>
      <c r="E78" s="36"/>
      <c r="F78" s="34"/>
      <c r="G78" s="37"/>
      <c r="H78" s="38"/>
      <c r="I78" s="38"/>
      <c r="J78" s="38"/>
      <c r="K78" s="34"/>
      <c r="L78" s="34"/>
      <c r="M78" s="95"/>
      <c r="N78" s="95"/>
      <c r="O78" s="95"/>
      <c r="P78" s="95"/>
      <c r="Q78" s="95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9"/>
      <c r="AH78" s="34"/>
      <c r="AI78" s="33"/>
      <c r="AJ78" s="33"/>
      <c r="AK78" s="33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2:54" s="96" customFormat="1" ht="15" customHeight="1">
      <c r="B79" s="33" t="s">
        <v>292</v>
      </c>
      <c r="C79" s="34"/>
      <c r="D79" s="35"/>
      <c r="E79" s="36"/>
      <c r="F79" s="34"/>
      <c r="G79" s="37"/>
      <c r="H79" s="38"/>
      <c r="I79" s="38"/>
      <c r="J79" s="38"/>
      <c r="K79" s="34"/>
      <c r="L79" s="34"/>
      <c r="M79" s="95"/>
      <c r="N79" s="95"/>
      <c r="O79" s="95"/>
      <c r="P79" s="95"/>
      <c r="Q79" s="95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9"/>
      <c r="AH79" s="34"/>
      <c r="AI79" s="33"/>
      <c r="AJ79" s="33"/>
      <c r="AK79" s="33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2:54" s="96" customFormat="1" ht="15" customHeight="1">
      <c r="B80" s="33" t="s">
        <v>293</v>
      </c>
      <c r="C80" s="34"/>
      <c r="D80" s="35"/>
      <c r="E80" s="36"/>
      <c r="F80" s="34"/>
      <c r="G80" s="37"/>
      <c r="H80" s="38"/>
      <c r="I80" s="38"/>
      <c r="J80" s="38"/>
      <c r="K80" s="34"/>
      <c r="L80" s="34"/>
      <c r="M80" s="95"/>
      <c r="N80" s="95"/>
      <c r="O80" s="95"/>
      <c r="P80" s="95"/>
      <c r="Q80" s="95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9"/>
      <c r="AH80" s="34"/>
      <c r="AI80" s="33"/>
      <c r="AJ80" s="33"/>
      <c r="AK80" s="33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2:54" s="96" customFormat="1" ht="15" customHeight="1">
      <c r="B81" s="33" t="s">
        <v>294</v>
      </c>
      <c r="C81" s="34"/>
      <c r="D81" s="35"/>
      <c r="E81" s="36"/>
      <c r="F81" s="34"/>
      <c r="G81" s="37"/>
      <c r="H81" s="38"/>
      <c r="I81" s="38"/>
      <c r="J81" s="38"/>
      <c r="K81" s="34"/>
      <c r="L81" s="34"/>
      <c r="M81" s="95"/>
      <c r="N81" s="95"/>
      <c r="O81" s="95"/>
      <c r="P81" s="95"/>
      <c r="Q81" s="95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9"/>
      <c r="AH81" s="34"/>
      <c r="AI81" s="33"/>
      <c r="AJ81" s="33"/>
      <c r="AK81" s="33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2:54" s="96" customFormat="1" ht="15" customHeight="1">
      <c r="B82" s="33" t="s">
        <v>295</v>
      </c>
      <c r="C82" s="34"/>
      <c r="D82" s="35"/>
      <c r="E82" s="36"/>
      <c r="F82" s="34"/>
      <c r="G82" s="37"/>
      <c r="H82" s="38"/>
      <c r="I82" s="38"/>
      <c r="J82" s="38"/>
      <c r="K82" s="34"/>
      <c r="L82" s="34"/>
      <c r="M82" s="95"/>
      <c r="N82" s="95"/>
      <c r="O82" s="95"/>
      <c r="P82" s="95"/>
      <c r="Q82" s="95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9"/>
      <c r="AH82" s="34"/>
      <c r="AI82" s="33"/>
      <c r="AJ82" s="33"/>
      <c r="AK82" s="33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2:54" s="96" customFormat="1" ht="15" customHeight="1">
      <c r="B83" s="33"/>
      <c r="C83" s="34"/>
      <c r="D83" s="35"/>
      <c r="E83" s="36"/>
      <c r="F83" s="34"/>
      <c r="G83" s="37"/>
      <c r="H83" s="38"/>
      <c r="I83" s="38"/>
      <c r="J83" s="38"/>
      <c r="K83" s="34"/>
      <c r="L83" s="34"/>
      <c r="M83" s="95"/>
      <c r="N83" s="95"/>
      <c r="O83" s="95"/>
      <c r="P83" s="95"/>
      <c r="Q83" s="95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9"/>
      <c r="AH83" s="34"/>
      <c r="AI83" s="33"/>
      <c r="AJ83" s="33"/>
      <c r="AK83" s="33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2:54" s="96" customFormat="1" ht="15" customHeight="1">
      <c r="B84" s="33"/>
      <c r="C84" s="34"/>
      <c r="D84" s="35"/>
      <c r="E84" s="36"/>
      <c r="F84" s="34"/>
      <c r="G84" s="37"/>
      <c r="H84" s="38"/>
      <c r="I84" s="38"/>
      <c r="J84" s="38"/>
      <c r="K84" s="34"/>
      <c r="L84" s="34"/>
      <c r="M84" s="95"/>
      <c r="N84" s="95"/>
      <c r="O84" s="95"/>
      <c r="P84" s="95"/>
      <c r="Q84" s="95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9"/>
      <c r="AH84" s="34"/>
      <c r="AI84" s="33"/>
      <c r="AJ84" s="33"/>
      <c r="AK84" s="33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2:54" s="108" customFormat="1" ht="15" customHeight="1">
      <c r="B85" s="97"/>
      <c r="C85" s="98" t="s">
        <v>296</v>
      </c>
      <c r="D85" s="99"/>
      <c r="E85" s="100"/>
      <c r="F85" s="101"/>
      <c r="G85" s="102"/>
      <c r="H85" s="102"/>
      <c r="I85" s="102"/>
      <c r="J85" s="102"/>
      <c r="K85" s="102"/>
      <c r="L85" s="103"/>
      <c r="M85" s="103"/>
      <c r="N85" s="103"/>
      <c r="O85" s="103"/>
      <c r="P85" s="103"/>
      <c r="Q85" s="131" t="s">
        <v>297</v>
      </c>
      <c r="R85" s="131"/>
      <c r="S85" s="131"/>
      <c r="T85" s="104"/>
      <c r="U85" s="105"/>
      <c r="V85" s="130" t="s">
        <v>297</v>
      </c>
      <c r="W85" s="130"/>
      <c r="X85" s="130"/>
      <c r="Y85" s="130"/>
      <c r="Z85" s="130"/>
      <c r="AA85" s="130"/>
      <c r="AB85" s="106"/>
      <c r="AC85" s="105"/>
      <c r="AD85" s="105"/>
      <c r="AE85" s="130"/>
      <c r="AF85" s="130"/>
      <c r="AG85" s="130"/>
      <c r="AH85" s="105"/>
      <c r="AI85" s="97"/>
      <c r="AJ85" s="97"/>
      <c r="AK85" s="9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</row>
    <row r="86" spans="2:54" s="107" customFormat="1">
      <c r="B86" s="97"/>
      <c r="C86" s="98"/>
      <c r="D86" s="99"/>
      <c r="E86" s="100"/>
      <c r="F86" s="109"/>
      <c r="G86" s="110"/>
      <c r="H86" s="110"/>
      <c r="I86" s="109"/>
      <c r="J86" s="109"/>
      <c r="K86" s="109"/>
      <c r="L86" s="103"/>
      <c r="M86" s="103"/>
      <c r="N86" s="103"/>
      <c r="O86" s="109"/>
      <c r="P86" s="109"/>
      <c r="Q86" s="111"/>
      <c r="R86" s="111"/>
      <c r="S86" s="111"/>
      <c r="T86" s="112"/>
      <c r="U86" s="105"/>
      <c r="V86" s="105"/>
      <c r="W86" s="105"/>
      <c r="X86" s="113"/>
      <c r="Y86" s="105"/>
      <c r="Z86" s="105"/>
      <c r="AA86" s="113"/>
      <c r="AB86" s="113"/>
      <c r="AC86" s="105"/>
      <c r="AD86" s="105"/>
      <c r="AE86" s="105"/>
      <c r="AF86" s="105"/>
      <c r="AG86" s="113"/>
      <c r="AH86" s="105"/>
      <c r="AI86" s="97"/>
      <c r="AJ86" s="97"/>
      <c r="AK86" s="97"/>
    </row>
    <row r="87" spans="2:54" s="107" customFormat="1">
      <c r="B87" s="97"/>
      <c r="C87" s="98"/>
      <c r="D87" s="99"/>
      <c r="E87" s="100"/>
      <c r="F87" s="103"/>
      <c r="G87" s="110"/>
      <c r="H87" s="110"/>
      <c r="I87" s="103"/>
      <c r="J87" s="103"/>
      <c r="K87" s="103"/>
      <c r="L87" s="103"/>
      <c r="M87" s="103"/>
      <c r="N87" s="103"/>
      <c r="O87" s="103"/>
      <c r="P87" s="103"/>
      <c r="Q87" s="114"/>
      <c r="R87" s="114"/>
      <c r="S87" s="114"/>
      <c r="T87" s="115"/>
      <c r="U87" s="105"/>
      <c r="V87" s="105"/>
      <c r="W87" s="105"/>
      <c r="X87" s="113"/>
      <c r="Y87" s="105"/>
      <c r="Z87" s="105"/>
      <c r="AA87" s="113"/>
      <c r="AB87" s="113"/>
      <c r="AC87" s="105"/>
      <c r="AD87" s="105"/>
      <c r="AE87" s="105"/>
      <c r="AF87" s="105"/>
      <c r="AG87" s="113"/>
      <c r="AH87" s="105"/>
      <c r="AI87" s="97"/>
      <c r="AJ87" s="97"/>
      <c r="AK87" s="97"/>
    </row>
    <row r="88" spans="2:54" s="107" customFormat="1">
      <c r="B88" s="97"/>
      <c r="C88" s="98"/>
      <c r="D88" s="99"/>
      <c r="E88" s="100"/>
      <c r="F88" s="103"/>
      <c r="G88" s="110"/>
      <c r="H88" s="110"/>
      <c r="I88" s="103"/>
      <c r="J88" s="103"/>
      <c r="K88" s="103"/>
      <c r="L88" s="103"/>
      <c r="M88" s="103"/>
      <c r="N88" s="103"/>
      <c r="O88" s="103"/>
      <c r="P88" s="103"/>
      <c r="Q88" s="116"/>
      <c r="R88" s="117"/>
      <c r="S88" s="117"/>
      <c r="T88" s="118"/>
      <c r="U88" s="105"/>
      <c r="V88" s="105"/>
      <c r="W88" s="105"/>
      <c r="X88" s="113"/>
      <c r="Y88" s="105"/>
      <c r="Z88" s="105"/>
      <c r="AA88" s="113"/>
      <c r="AB88" s="113"/>
      <c r="AC88" s="105"/>
      <c r="AD88" s="105"/>
      <c r="AE88" s="105"/>
      <c r="AF88" s="105"/>
      <c r="AG88" s="113"/>
      <c r="AH88" s="105"/>
      <c r="AI88" s="97"/>
      <c r="AJ88" s="97"/>
      <c r="AK88" s="97"/>
    </row>
    <row r="89" spans="2:54" s="107" customFormat="1">
      <c r="B89" s="97"/>
      <c r="C89" s="98"/>
      <c r="D89" s="99"/>
      <c r="E89" s="100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32"/>
      <c r="R89" s="132"/>
      <c r="S89" s="132"/>
      <c r="T89" s="132"/>
      <c r="U89" s="105"/>
      <c r="V89" s="105"/>
      <c r="W89" s="105"/>
      <c r="X89" s="113"/>
      <c r="Y89" s="105"/>
      <c r="Z89" s="105"/>
      <c r="AA89" s="113"/>
      <c r="AB89" s="113"/>
      <c r="AC89" s="105"/>
      <c r="AD89" s="105"/>
      <c r="AE89" s="105"/>
      <c r="AF89" s="105"/>
      <c r="AG89" s="113"/>
      <c r="AH89" s="105"/>
      <c r="AI89" s="97"/>
      <c r="AJ89" s="97"/>
      <c r="AK89" s="97"/>
    </row>
    <row r="90" spans="2:54" s="107" customFormat="1">
      <c r="B90" s="97"/>
      <c r="C90" s="98"/>
      <c r="D90" s="99"/>
      <c r="E90" s="10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33"/>
      <c r="R90" s="133"/>
      <c r="S90" s="133"/>
      <c r="T90" s="133"/>
      <c r="U90" s="105"/>
      <c r="V90" s="105"/>
      <c r="W90" s="105"/>
      <c r="X90" s="113"/>
      <c r="Y90" s="105"/>
      <c r="Z90" s="105"/>
      <c r="AA90" s="113"/>
      <c r="AB90" s="113"/>
      <c r="AC90" s="105"/>
      <c r="AD90" s="105"/>
      <c r="AE90" s="105"/>
      <c r="AF90" s="105"/>
      <c r="AG90" s="113"/>
      <c r="AH90" s="105"/>
      <c r="AI90" s="97"/>
      <c r="AJ90" s="97"/>
      <c r="AK90" s="97"/>
    </row>
    <row r="91" spans="2:54" s="107" customFormat="1" ht="18">
      <c r="B91" s="97"/>
      <c r="C91" s="121" t="s">
        <v>298</v>
      </c>
      <c r="D91" s="99"/>
      <c r="E91" s="100"/>
      <c r="F91" s="122"/>
      <c r="G91" s="123"/>
      <c r="H91" s="124"/>
      <c r="I91" s="124"/>
      <c r="J91" s="124"/>
      <c r="K91" s="105"/>
      <c r="L91" s="105"/>
      <c r="M91" s="105"/>
      <c r="N91" s="105"/>
      <c r="O91" s="105"/>
      <c r="P91" s="105"/>
      <c r="Q91" s="129" t="s">
        <v>299</v>
      </c>
      <c r="R91" s="129"/>
      <c r="S91" s="129"/>
      <c r="T91" s="105"/>
      <c r="U91" s="105"/>
      <c r="V91" s="129" t="s">
        <v>300</v>
      </c>
      <c r="W91" s="129"/>
      <c r="X91" s="129"/>
      <c r="Y91" s="129"/>
      <c r="Z91" s="129"/>
      <c r="AA91" s="129"/>
      <c r="AB91" s="122"/>
      <c r="AC91" s="105"/>
      <c r="AD91" s="105"/>
      <c r="AE91" s="129"/>
      <c r="AF91" s="129"/>
      <c r="AG91" s="129"/>
      <c r="AH91" s="105"/>
      <c r="AI91" s="97"/>
      <c r="AJ91" s="97"/>
      <c r="AK91" s="97"/>
    </row>
    <row r="92" spans="2:54" s="107" customFormat="1" ht="14.25">
      <c r="B92" s="97"/>
      <c r="C92" s="125" t="s">
        <v>301</v>
      </c>
      <c r="D92" s="99"/>
      <c r="E92" s="100"/>
      <c r="F92" s="106"/>
      <c r="G92" s="123"/>
      <c r="H92" s="124"/>
      <c r="I92" s="124"/>
      <c r="J92" s="124"/>
      <c r="K92" s="105"/>
      <c r="L92" s="105"/>
      <c r="M92" s="105"/>
      <c r="N92" s="105"/>
      <c r="O92" s="105"/>
      <c r="P92" s="105"/>
      <c r="Q92" s="130" t="s">
        <v>302</v>
      </c>
      <c r="R92" s="130"/>
      <c r="S92" s="130"/>
      <c r="T92" s="105"/>
      <c r="U92" s="105"/>
      <c r="V92" s="130" t="s">
        <v>303</v>
      </c>
      <c r="W92" s="130"/>
      <c r="X92" s="130"/>
      <c r="Y92" s="130"/>
      <c r="Z92" s="130"/>
      <c r="AA92" s="130"/>
      <c r="AB92" s="106"/>
      <c r="AC92" s="105"/>
      <c r="AD92" s="105"/>
      <c r="AE92" s="130"/>
      <c r="AF92" s="130"/>
      <c r="AG92" s="130"/>
      <c r="AH92" s="105"/>
      <c r="AI92" s="97"/>
      <c r="AJ92" s="97"/>
      <c r="AK92" s="97"/>
    </row>
  </sheetData>
  <mergeCells count="14">
    <mergeCell ref="Q90:T90"/>
    <mergeCell ref="Q85:S85"/>
    <mergeCell ref="V85:X85"/>
    <mergeCell ref="Y85:AA85"/>
    <mergeCell ref="AE85:AG85"/>
    <mergeCell ref="Q89:T89"/>
    <mergeCell ref="Q91:S91"/>
    <mergeCell ref="V91:X91"/>
    <mergeCell ref="Y91:AA91"/>
    <mergeCell ref="AE91:AG91"/>
    <mergeCell ref="Q92:S92"/>
    <mergeCell ref="V92:X92"/>
    <mergeCell ref="Y92:AA92"/>
    <mergeCell ref="AE92:AG92"/>
  </mergeCells>
  <dataValidations count="2">
    <dataValidation type="list" allowBlank="1" showInputMessage="1" showErrorMessage="1" sqref="H6:H69">
      <formula1>"L,P"</formula1>
    </dataValidation>
    <dataValidation type="list" allowBlank="1" showInputMessage="1" showErrorMessage="1" sqref="I6:I69">
      <formula1>"TK/0,TK/1,TK/2,TK/3,K/0,K/1,K/2,K/3"</formula1>
    </dataValidation>
  </dataValidations>
  <printOptions horizontalCentered="1"/>
  <pageMargins left="0" right="0" top="0.35433070866141703" bottom="0" header="0.118110236220472" footer="0.118110236220472"/>
  <pageSetup paperSize="10000" scale="38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TARIF</vt:lpstr>
      <vt:lpstr>PERHITUNGAN PPH 21 JAN26</vt:lpstr>
      <vt:lpstr>'PERHITUNGAN PPH 21 JAN26'!Print_Area</vt:lpstr>
      <vt:lpstr>Ter_A</vt:lpstr>
      <vt:lpstr>Ter_B</vt:lpstr>
      <vt:lpstr>Ter_C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PG1A</dc:creator>
  <cp:lastModifiedBy>PG1A</cp:lastModifiedBy>
  <dcterms:created xsi:type="dcterms:W3CDTF">2026-02-03T03:45:54Z</dcterms:created>
  <dcterms:modified xsi:type="dcterms:W3CDTF">2026-02-10T02:59:34Z</dcterms:modified>
</cp:coreProperties>
</file>