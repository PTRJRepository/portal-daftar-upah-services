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300" windowWidth="15480" windowHeight="7035" tabRatio="499" activeTab="14"/>
  </bookViews>
  <sheets>
    <sheet name="TARIF" sheetId="1" r:id="rId1"/>
    <sheet name="Des" sheetId="3" state="hidden" r:id="rId2"/>
    <sheet name="THR'24" sheetId="21" state="hidden" r:id="rId3"/>
    <sheet name="MARET'24 " sheetId="22" state="hidden" r:id="rId4"/>
    <sheet name="APRIL'24" sheetId="23" state="hidden" r:id="rId5"/>
    <sheet name="EXGRATIA'24" sheetId="24" state="hidden" r:id="rId6"/>
    <sheet name="MEI'24" sheetId="25" state="hidden" r:id="rId7"/>
    <sheet name="JUNI'24" sheetId="27" state="hidden" r:id="rId8"/>
    <sheet name="JULI'24" sheetId="26" state="hidden" r:id="rId9"/>
    <sheet name="AGUSTUS'24" sheetId="28" state="hidden" r:id="rId10"/>
    <sheet name="SEPTEMBER'24" sheetId="29" state="hidden" r:id="rId11"/>
    <sheet name="OKTOBER'24" sheetId="30" state="hidden" r:id="rId12"/>
    <sheet name="NOVEMBER'24" sheetId="31" state="hidden" r:id="rId13"/>
    <sheet name="DESEMBER'24" sheetId="32" state="hidden" r:id="rId14"/>
    <sheet name="JAN'26" sheetId="4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PH" localSheetId="9">[1]TARIF!#REF!</definedName>
    <definedName name="PH" localSheetId="4">[1]TARIF!#REF!</definedName>
    <definedName name="PH" localSheetId="13">[1]TARIF!#REF!</definedName>
    <definedName name="PH" localSheetId="5">[1]TARIF!#REF!</definedName>
    <definedName name="PH" localSheetId="14">TARIF!#REF!</definedName>
    <definedName name="PH" localSheetId="8">[1]TARIF!#REF!</definedName>
    <definedName name="PH" localSheetId="7">[2]TARIF!#REF!</definedName>
    <definedName name="PH" localSheetId="3">[1]TARIF!#REF!</definedName>
    <definedName name="PH" localSheetId="6">[1]TARIF!#REF!</definedName>
    <definedName name="PH" localSheetId="12">[1]TARIF!#REF!</definedName>
    <definedName name="PH" localSheetId="11">[1]TARIF!#REF!</definedName>
    <definedName name="PH" localSheetId="10">[1]TARIF!#REF!</definedName>
    <definedName name="PH" localSheetId="2">[1]TARIF!#REF!</definedName>
    <definedName name="PH">TARIF!#REF!</definedName>
    <definedName name="PTKP" localSheetId="9">[1]TARIF!#REF!</definedName>
    <definedName name="PTKP" localSheetId="4">[1]TARIF!#REF!</definedName>
    <definedName name="PTKP" localSheetId="13">[1]TARIF!#REF!</definedName>
    <definedName name="PTKP" localSheetId="5">[1]TARIF!#REF!</definedName>
    <definedName name="PTKP" localSheetId="14">TARIF!#REF!</definedName>
    <definedName name="PTKP" localSheetId="8">[1]TARIF!#REF!</definedName>
    <definedName name="PTKP" localSheetId="7">[2]TARIF!#REF!</definedName>
    <definedName name="PTKP" localSheetId="3">[1]TARIF!#REF!</definedName>
    <definedName name="PTKP" localSheetId="6">[1]TARIF!#REF!</definedName>
    <definedName name="PTKP" localSheetId="12">[1]TARIF!#REF!</definedName>
    <definedName name="PTKP" localSheetId="11">[1]TARIF!#REF!</definedName>
    <definedName name="PTKP" localSheetId="10">[1]TARIF!#REF!</definedName>
    <definedName name="PTKP" localSheetId="2">[1]TARIF!#REF!</definedName>
    <definedName name="PTKP">TARIF!#REF!</definedName>
    <definedName name="Ter_A" localSheetId="9">[1]TARIF!$B$3:$E$46</definedName>
    <definedName name="Ter_A" localSheetId="4">[1]TARIF!$B$3:$E$46</definedName>
    <definedName name="Ter_A" localSheetId="13">[1]TARIF!$B$3:$E$46</definedName>
    <definedName name="Ter_A" localSheetId="5">[1]TARIF!$B$3:$E$46</definedName>
    <definedName name="Ter_A" localSheetId="8">[1]TARIF!$B$3:$E$46</definedName>
    <definedName name="Ter_A" localSheetId="7">[2]TARIF!$B$3:$E$46</definedName>
    <definedName name="Ter_A" localSheetId="3">[1]TARIF!$B$3:$E$46</definedName>
    <definedName name="Ter_A" localSheetId="6">[1]TARIF!$B$3:$E$46</definedName>
    <definedName name="Ter_A" localSheetId="12">[1]TARIF!$B$3:$E$46</definedName>
    <definedName name="Ter_A" localSheetId="11">[1]TARIF!$B$3:$E$46</definedName>
    <definedName name="Ter_A" localSheetId="10">[1]TARIF!$B$3:$E$46</definedName>
    <definedName name="Ter_A" localSheetId="2">[1]TARIF!$B$3:$E$46</definedName>
    <definedName name="Ter_A">TARIF!$B$3:$E$46</definedName>
    <definedName name="Ter_B" localSheetId="9">[1]TARIF!$H$3:$K$42</definedName>
    <definedName name="Ter_B" localSheetId="4">[1]TARIF!$H$3:$K$42</definedName>
    <definedName name="Ter_B" localSheetId="13">[1]TARIF!$H$3:$K$42</definedName>
    <definedName name="Ter_B" localSheetId="5">[1]TARIF!$H$3:$K$42</definedName>
    <definedName name="Ter_B" localSheetId="8">[1]TARIF!$H$3:$K$42</definedName>
    <definedName name="Ter_B" localSheetId="7">[2]TARIF!$H$3:$K$42</definedName>
    <definedName name="Ter_B" localSheetId="3">[1]TARIF!$H$3:$K$42</definedName>
    <definedName name="Ter_B" localSheetId="6">[1]TARIF!$H$3:$K$42</definedName>
    <definedName name="Ter_B" localSheetId="12">[1]TARIF!$H$3:$K$42</definedName>
    <definedName name="Ter_B" localSheetId="11">[1]TARIF!$H$3:$K$42</definedName>
    <definedName name="Ter_B" localSheetId="10">[1]TARIF!$H$3:$K$42</definedName>
    <definedName name="Ter_B" localSheetId="2">[1]TARIF!$H$3:$K$42</definedName>
    <definedName name="Ter_B">TARIF!$H$3:$K$42</definedName>
    <definedName name="Ter_C" localSheetId="9">[1]TARIF!$N$3:$Q$43</definedName>
    <definedName name="Ter_C" localSheetId="4">[1]TARIF!$N$3:$Q$43</definedName>
    <definedName name="Ter_C" localSheetId="13">[1]TARIF!$N$3:$Q$43</definedName>
    <definedName name="Ter_C" localSheetId="5">[1]TARIF!$N$3:$Q$43</definedName>
    <definedName name="Ter_C" localSheetId="8">[1]TARIF!$N$3:$Q$43</definedName>
    <definedName name="Ter_C" localSheetId="7">[2]TARIF!$N$3:$Q$43</definedName>
    <definedName name="Ter_C" localSheetId="3">[1]TARIF!$N$3:$Q$43</definedName>
    <definedName name="Ter_C" localSheetId="6">[1]TARIF!$N$3:$Q$43</definedName>
    <definedName name="Ter_C" localSheetId="12">[1]TARIF!$N$3:$Q$43</definedName>
    <definedName name="Ter_C" localSheetId="11">[1]TARIF!$N$3:$Q$43</definedName>
    <definedName name="Ter_C" localSheetId="10">[1]TARIF!$N$3:$Q$43</definedName>
    <definedName name="Ter_C" localSheetId="2">[1]TARIF!$N$3:$Q$43</definedName>
    <definedName name="Ter_C">TARIF!$N$3:$Q$43</definedName>
  </definedNames>
  <calcPr calcId="144525"/>
</workbook>
</file>

<file path=xl/calcChain.xml><?xml version="1.0" encoding="utf-8"?>
<calcChain xmlns="http://schemas.openxmlformats.org/spreadsheetml/2006/main">
  <c r="Q75" i="45" l="1"/>
  <c r="AL7" i="45"/>
  <c r="AL8" i="45"/>
  <c r="AL9" i="45"/>
  <c r="AL10" i="45"/>
  <c r="AL11" i="45"/>
  <c r="AL12" i="45"/>
  <c r="AL13" i="45"/>
  <c r="AL14" i="45"/>
  <c r="AL15" i="45"/>
  <c r="AL16" i="45"/>
  <c r="AL18" i="45"/>
  <c r="AL19" i="45"/>
  <c r="AL20" i="45"/>
  <c r="AL21" i="45"/>
  <c r="AL22" i="45"/>
  <c r="AL23" i="45"/>
  <c r="AL24" i="45"/>
  <c r="AL25" i="45"/>
  <c r="AL26" i="45"/>
  <c r="AL27" i="45"/>
  <c r="AL28" i="45"/>
  <c r="AL29" i="45"/>
  <c r="AL30" i="45"/>
  <c r="AL31" i="45"/>
  <c r="AL32" i="45"/>
  <c r="AL33" i="45"/>
  <c r="AL34" i="45"/>
  <c r="AL35" i="45"/>
  <c r="AL36" i="45"/>
  <c r="AL37" i="45"/>
  <c r="AL38" i="45"/>
  <c r="AL40" i="45"/>
  <c r="AL41" i="45"/>
  <c r="AL42" i="45"/>
  <c r="AL43" i="45"/>
  <c r="AL44" i="45"/>
  <c r="AL45" i="45"/>
  <c r="AL46" i="45"/>
  <c r="AL47" i="45"/>
  <c r="AL48" i="45"/>
  <c r="AL49" i="45"/>
  <c r="AL50" i="45"/>
  <c r="AL51" i="45"/>
  <c r="AL52" i="45"/>
  <c r="AL53" i="45"/>
  <c r="AL54" i="45"/>
  <c r="AL55" i="45"/>
  <c r="AL56" i="45"/>
  <c r="AL57" i="45"/>
  <c r="AL59" i="45"/>
  <c r="AL60" i="45"/>
  <c r="AL61" i="45"/>
  <c r="AL62" i="45"/>
  <c r="AL63" i="45"/>
  <c r="AL64" i="45"/>
  <c r="AL65" i="45"/>
  <c r="AL66" i="45"/>
  <c r="AL67" i="45"/>
  <c r="AL68" i="45"/>
  <c r="AL69" i="45"/>
  <c r="AL70" i="45"/>
  <c r="AL71" i="45"/>
  <c r="AL72" i="45"/>
  <c r="AL73" i="45"/>
  <c r="AL6" i="45"/>
  <c r="Y77" i="45"/>
  <c r="Y75" i="45"/>
  <c r="Y74" i="45"/>
  <c r="Y7" i="45"/>
  <c r="Y8" i="45"/>
  <c r="Y9" i="45"/>
  <c r="Y10" i="45"/>
  <c r="Y11" i="45"/>
  <c r="Y12" i="45"/>
  <c r="Y13" i="45"/>
  <c r="Y14" i="45"/>
  <c r="Y15" i="45"/>
  <c r="Y16" i="45"/>
  <c r="Y17" i="45"/>
  <c r="Y18" i="45"/>
  <c r="Y19" i="45"/>
  <c r="Y20" i="45"/>
  <c r="Y21" i="45"/>
  <c r="Y22" i="45"/>
  <c r="Y23" i="45"/>
  <c r="Y24" i="45"/>
  <c r="Y25" i="45"/>
  <c r="Y26" i="45"/>
  <c r="Y27" i="45"/>
  <c r="Y28" i="45"/>
  <c r="Y29" i="45"/>
  <c r="Y30" i="45"/>
  <c r="Y31" i="45"/>
  <c r="Y32" i="45"/>
  <c r="Y33" i="45"/>
  <c r="Y34" i="45"/>
  <c r="Y35" i="45"/>
  <c r="Y36" i="45"/>
  <c r="Y37" i="45"/>
  <c r="Y38" i="45"/>
  <c r="Y39" i="45"/>
  <c r="Y40" i="45"/>
  <c r="Y41" i="45"/>
  <c r="Y42" i="45"/>
  <c r="Y43" i="45"/>
  <c r="Y44" i="45"/>
  <c r="Y45" i="45"/>
  <c r="Y46" i="45"/>
  <c r="Y47" i="45"/>
  <c r="Y48" i="45"/>
  <c r="Y49" i="45"/>
  <c r="Y50" i="45"/>
  <c r="Y51" i="45"/>
  <c r="Y52" i="45"/>
  <c r="Y53" i="45"/>
  <c r="Y54" i="45"/>
  <c r="Y55" i="45"/>
  <c r="Y56" i="45"/>
  <c r="Y57" i="45"/>
  <c r="Y58" i="45"/>
  <c r="Y59" i="45"/>
  <c r="Y60" i="45"/>
  <c r="Y61" i="45"/>
  <c r="Y62" i="45"/>
  <c r="Y63" i="45"/>
  <c r="Y64" i="45"/>
  <c r="Y65" i="45"/>
  <c r="Y66" i="45"/>
  <c r="Y67" i="45"/>
  <c r="Y68" i="45"/>
  <c r="Y69" i="45"/>
  <c r="Y70" i="45"/>
  <c r="Y71" i="45"/>
  <c r="Y72" i="45"/>
  <c r="Y73" i="45"/>
  <c r="Y6" i="45"/>
  <c r="W77" i="45"/>
  <c r="W75" i="45"/>
  <c r="W74" i="45"/>
  <c r="W7" i="45"/>
  <c r="W8" i="45"/>
  <c r="W9" i="45"/>
  <c r="W10" i="45"/>
  <c r="W11" i="45"/>
  <c r="W12" i="45"/>
  <c r="W13" i="45"/>
  <c r="W14" i="45"/>
  <c r="W15" i="45"/>
  <c r="W16" i="45"/>
  <c r="W17" i="45"/>
  <c r="W18" i="45"/>
  <c r="W19" i="45"/>
  <c r="W20" i="45"/>
  <c r="W21" i="45"/>
  <c r="W22" i="45"/>
  <c r="W23" i="45"/>
  <c r="W24" i="45"/>
  <c r="W25" i="45"/>
  <c r="W26" i="45"/>
  <c r="W27" i="45"/>
  <c r="W28" i="45"/>
  <c r="W29" i="45"/>
  <c r="W30" i="45"/>
  <c r="W31" i="45"/>
  <c r="W32" i="45"/>
  <c r="W33" i="45"/>
  <c r="W34" i="45"/>
  <c r="W35" i="45"/>
  <c r="W36" i="45"/>
  <c r="W37" i="45"/>
  <c r="W38" i="45"/>
  <c r="W39" i="45"/>
  <c r="W40" i="45"/>
  <c r="W41" i="45"/>
  <c r="W42" i="45"/>
  <c r="W43" i="45"/>
  <c r="W44" i="45"/>
  <c r="W45" i="45"/>
  <c r="W46" i="45"/>
  <c r="W47" i="45"/>
  <c r="W48" i="45"/>
  <c r="W49" i="45"/>
  <c r="W50" i="45"/>
  <c r="W51" i="45"/>
  <c r="W52" i="45"/>
  <c r="W53" i="45"/>
  <c r="W54" i="45"/>
  <c r="W55" i="45"/>
  <c r="W56" i="45"/>
  <c r="W57" i="45"/>
  <c r="W58" i="45"/>
  <c r="W59" i="45"/>
  <c r="W60" i="45"/>
  <c r="W61" i="45"/>
  <c r="W62" i="45"/>
  <c r="W63" i="45"/>
  <c r="W64" i="45"/>
  <c r="W65" i="45"/>
  <c r="W66" i="45"/>
  <c r="W67" i="45"/>
  <c r="W68" i="45"/>
  <c r="W69" i="45"/>
  <c r="W70" i="45"/>
  <c r="W71" i="45"/>
  <c r="W72" i="45"/>
  <c r="W73" i="45"/>
  <c r="W6" i="45"/>
  <c r="Q74" i="45"/>
  <c r="P75" i="45"/>
  <c r="P74" i="45"/>
  <c r="P7" i="45"/>
  <c r="P8" i="45"/>
  <c r="P9" i="45"/>
  <c r="P10" i="45"/>
  <c r="P11" i="45"/>
  <c r="P12" i="45"/>
  <c r="P13" i="45"/>
  <c r="P14" i="45"/>
  <c r="P15" i="45"/>
  <c r="P16" i="45"/>
  <c r="P17" i="45"/>
  <c r="P18" i="45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6" i="45"/>
  <c r="O77" i="45"/>
  <c r="N75" i="45"/>
  <c r="N74" i="45"/>
  <c r="N7" i="45"/>
  <c r="N8" i="45"/>
  <c r="N9" i="45"/>
  <c r="N10" i="45"/>
  <c r="N11" i="45"/>
  <c r="N12" i="45"/>
  <c r="N13" i="45"/>
  <c r="N14" i="45"/>
  <c r="N15" i="45"/>
  <c r="N16" i="45"/>
  <c r="N18" i="45"/>
  <c r="N19" i="45"/>
  <c r="N20" i="45"/>
  <c r="N21" i="45"/>
  <c r="N22" i="45"/>
  <c r="N23" i="45"/>
  <c r="N24" i="45"/>
  <c r="N25" i="45"/>
  <c r="N26" i="45"/>
  <c r="N27" i="45"/>
  <c r="N28" i="45"/>
  <c r="N29" i="45"/>
  <c r="N30" i="45"/>
  <c r="N31" i="45"/>
  <c r="N32" i="45"/>
  <c r="N33" i="45"/>
  <c r="N34" i="45"/>
  <c r="N35" i="45"/>
  <c r="N36" i="45"/>
  <c r="N37" i="45"/>
  <c r="N38" i="45"/>
  <c r="N39" i="45"/>
  <c r="N40" i="45"/>
  <c r="N41" i="45"/>
  <c r="N42" i="45"/>
  <c r="N43" i="45"/>
  <c r="N44" i="45"/>
  <c r="N45" i="45"/>
  <c r="N46" i="45"/>
  <c r="N47" i="45"/>
  <c r="N48" i="45"/>
  <c r="N49" i="45"/>
  <c r="N50" i="45"/>
  <c r="N51" i="45"/>
  <c r="N52" i="45"/>
  <c r="N53" i="45"/>
  <c r="N54" i="45"/>
  <c r="N55" i="45"/>
  <c r="N56" i="45"/>
  <c r="N57" i="45"/>
  <c r="N59" i="45"/>
  <c r="N60" i="45"/>
  <c r="N61" i="45"/>
  <c r="N62" i="45"/>
  <c r="N63" i="45"/>
  <c r="N64" i="45"/>
  <c r="N65" i="45"/>
  <c r="N66" i="45"/>
  <c r="N67" i="45"/>
  <c r="N68" i="45"/>
  <c r="N69" i="45"/>
  <c r="N70" i="45"/>
  <c r="N71" i="45"/>
  <c r="N72" i="45"/>
  <c r="N73" i="45"/>
  <c r="N6" i="45"/>
  <c r="M77" i="45"/>
  <c r="M75" i="45"/>
  <c r="M74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69" i="45"/>
  <c r="M70" i="45"/>
  <c r="M71" i="45"/>
  <c r="M72" i="45"/>
  <c r="M73" i="45"/>
  <c r="M6" i="45"/>
  <c r="L7" i="45" l="1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59" i="45"/>
  <c r="L60" i="45"/>
  <c r="L61" i="45"/>
  <c r="L62" i="45"/>
  <c r="L63" i="45"/>
  <c r="L64" i="45"/>
  <c r="L65" i="45"/>
  <c r="L66" i="45"/>
  <c r="L67" i="45"/>
  <c r="L68" i="45"/>
  <c r="L69" i="45"/>
  <c r="L70" i="45"/>
  <c r="L71" i="45"/>
  <c r="L72" i="45"/>
  <c r="L73" i="45"/>
  <c r="L74" i="45"/>
  <c r="L75" i="45"/>
  <c r="L6" i="45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6" i="45"/>
  <c r="AT28" i="45" l="1"/>
  <c r="AS75" i="45"/>
  <c r="AS74" i="45"/>
  <c r="AS60" i="45"/>
  <c r="AS59" i="45"/>
  <c r="AR33" i="45"/>
  <c r="AR21" i="45"/>
  <c r="AR60" i="45"/>
  <c r="AR59" i="45"/>
  <c r="AJ76" i="45"/>
  <c r="AF76" i="45"/>
  <c r="AB76" i="45"/>
  <c r="AA76" i="45"/>
  <c r="Z76" i="45"/>
  <c r="X76" i="45"/>
  <c r="V76" i="45"/>
  <c r="U76" i="45"/>
  <c r="T76" i="45"/>
  <c r="S76" i="45"/>
  <c r="R76" i="45"/>
  <c r="J75" i="45"/>
  <c r="J74" i="45"/>
  <c r="J73" i="45"/>
  <c r="J72" i="45"/>
  <c r="J71" i="45"/>
  <c r="J70" i="45"/>
  <c r="J69" i="45"/>
  <c r="J68" i="45"/>
  <c r="J67" i="45"/>
  <c r="J66" i="45"/>
  <c r="J65" i="45"/>
  <c r="J64" i="45"/>
  <c r="J63" i="45"/>
  <c r="J62" i="45"/>
  <c r="J61" i="45"/>
  <c r="J60" i="45"/>
  <c r="Q76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47" i="45"/>
  <c r="J46" i="45"/>
  <c r="J45" i="45"/>
  <c r="J44" i="45"/>
  <c r="J43" i="45"/>
  <c r="J42" i="45"/>
  <c r="J41" i="45"/>
  <c r="J40" i="45"/>
  <c r="J39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P76" i="45"/>
  <c r="J6" i="45"/>
  <c r="AR47" i="45" l="1"/>
  <c r="AR72" i="45"/>
  <c r="AR11" i="45"/>
  <c r="AS7" i="45"/>
  <c r="AS13" i="45"/>
  <c r="AS28" i="45"/>
  <c r="AS35" i="45"/>
  <c r="AS6" i="45"/>
  <c r="AS18" i="45"/>
  <c r="AR65" i="45"/>
  <c r="AT18" i="45"/>
  <c r="AR46" i="45"/>
  <c r="AR54" i="45"/>
  <c r="AS10" i="45"/>
  <c r="AS16" i="45"/>
  <c r="AS57" i="45"/>
  <c r="AR17" i="45"/>
  <c r="AR22" i="45"/>
  <c r="AR39" i="45"/>
  <c r="AS30" i="45"/>
  <c r="AS56" i="45"/>
  <c r="AM74" i="45"/>
  <c r="AR42" i="45"/>
  <c r="AR50" i="45"/>
  <c r="AM8" i="45"/>
  <c r="AN8" i="45" s="1"/>
  <c r="AM34" i="45"/>
  <c r="AN34" i="45" s="1"/>
  <c r="AR75" i="45"/>
  <c r="AS12" i="45"/>
  <c r="AS20" i="45"/>
  <c r="AR9" i="45"/>
  <c r="AT12" i="45"/>
  <c r="AT13" i="45"/>
  <c r="AT69" i="45"/>
  <c r="AR51" i="45"/>
  <c r="AT48" i="45"/>
  <c r="AT14" i="45"/>
  <c r="AT7" i="45"/>
  <c r="AR18" i="45"/>
  <c r="AT63" i="45"/>
  <c r="AR53" i="45"/>
  <c r="AT40" i="45"/>
  <c r="AR69" i="45"/>
  <c r="AM25" i="45"/>
  <c r="AN25" i="45" s="1"/>
  <c r="AR30" i="45"/>
  <c r="AR70" i="45"/>
  <c r="AS69" i="45"/>
  <c r="AR23" i="45"/>
  <c r="AR31" i="45"/>
  <c r="AT60" i="45"/>
  <c r="AS68" i="45"/>
  <c r="AR36" i="45"/>
  <c r="AR10" i="45"/>
  <c r="AR43" i="45"/>
  <c r="AS67" i="45"/>
  <c r="AT62" i="45"/>
  <c r="AT22" i="45"/>
  <c r="AT36" i="45"/>
  <c r="AR8" i="45"/>
  <c r="AR68" i="45"/>
  <c r="AR7" i="45"/>
  <c r="AR15" i="45"/>
  <c r="AR41" i="45"/>
  <c r="AR49" i="45"/>
  <c r="AS8" i="45"/>
  <c r="AS14" i="45"/>
  <c r="AS29" i="45"/>
  <c r="AS34" i="45"/>
  <c r="AS51" i="45"/>
  <c r="AS43" i="45"/>
  <c r="AS55" i="45"/>
  <c r="AS71" i="45"/>
  <c r="AR26" i="45"/>
  <c r="AR27" i="45"/>
  <c r="AT20" i="45"/>
  <c r="AT35" i="45"/>
  <c r="AR58" i="45"/>
  <c r="AR19" i="45"/>
  <c r="AR28" i="45"/>
  <c r="AR37" i="45"/>
  <c r="AS22" i="45"/>
  <c r="AT19" i="45"/>
  <c r="AT50" i="45"/>
  <c r="AT42" i="45"/>
  <c r="AT67" i="45"/>
  <c r="AR45" i="45"/>
  <c r="AR73" i="45"/>
  <c r="AT51" i="45"/>
  <c r="AT72" i="45"/>
  <c r="AT74" i="45"/>
  <c r="AR12" i="45"/>
  <c r="AR20" i="45"/>
  <c r="AR29" i="45"/>
  <c r="AR38" i="45"/>
  <c r="AR61" i="45"/>
  <c r="AM26" i="45"/>
  <c r="AN26" i="45" s="1"/>
  <c r="AM37" i="45"/>
  <c r="AN37" i="45" s="1"/>
  <c r="AT41" i="45"/>
  <c r="AS61" i="45"/>
  <c r="AR52" i="45"/>
  <c r="AR44" i="45"/>
  <c r="AR67" i="45"/>
  <c r="AM15" i="45"/>
  <c r="AN15" i="45" s="1"/>
  <c r="AR13" i="45"/>
  <c r="AR62" i="45"/>
  <c r="AT39" i="45"/>
  <c r="AT46" i="45"/>
  <c r="AS31" i="45"/>
  <c r="AS23" i="45"/>
  <c r="AS53" i="45"/>
  <c r="AS45" i="45"/>
  <c r="AS64" i="45"/>
  <c r="AT43" i="45"/>
  <c r="AR14" i="45"/>
  <c r="AR40" i="45"/>
  <c r="AR48" i="45"/>
  <c r="AR55" i="45"/>
  <c r="AR63" i="45"/>
  <c r="AR71" i="45"/>
  <c r="AT53" i="45"/>
  <c r="AT45" i="45"/>
  <c r="AS9" i="45"/>
  <c r="AS15" i="45"/>
  <c r="AS33" i="45"/>
  <c r="AS52" i="45"/>
  <c r="AS44" i="45"/>
  <c r="AS65" i="45"/>
  <c r="AM10" i="45"/>
  <c r="AN10" i="45" s="1"/>
  <c r="AT24" i="45"/>
  <c r="AT68" i="45"/>
  <c r="AS63" i="45"/>
  <c r="AM56" i="45"/>
  <c r="AN56" i="45" s="1"/>
  <c r="AR57" i="45"/>
  <c r="AT23" i="45"/>
  <c r="AT75" i="45"/>
  <c r="AR35" i="45"/>
  <c r="AR66" i="45"/>
  <c r="AS27" i="45"/>
  <c r="AS38" i="45"/>
  <c r="AT65" i="45"/>
  <c r="AT17" i="45"/>
  <c r="AT58" i="45"/>
  <c r="AT59" i="45"/>
  <c r="AT33" i="45"/>
  <c r="AT9" i="45"/>
  <c r="AS36" i="45"/>
  <c r="AR16" i="45"/>
  <c r="AR34" i="45"/>
  <c r="AC74" i="45"/>
  <c r="AM14" i="45"/>
  <c r="AN14" i="45" s="1"/>
  <c r="AT31" i="45"/>
  <c r="AS62" i="45"/>
  <c r="AT30" i="45"/>
  <c r="AT44" i="45"/>
  <c r="AS19" i="45"/>
  <c r="AS26" i="45"/>
  <c r="AS37" i="45"/>
  <c r="AT29" i="45"/>
  <c r="AR6" i="45"/>
  <c r="AR32" i="45"/>
  <c r="AT57" i="45"/>
  <c r="AM61" i="45"/>
  <c r="AN61" i="45" s="1"/>
  <c r="AS25" i="45"/>
  <c r="AS47" i="45"/>
  <c r="AS54" i="45"/>
  <c r="AM73" i="45"/>
  <c r="AN73" i="45" s="1"/>
  <c r="AR64" i="45"/>
  <c r="AT11" i="45"/>
  <c r="AR24" i="45"/>
  <c r="AR56" i="45"/>
  <c r="AT52" i="45"/>
  <c r="AM59" i="45"/>
  <c r="AN59" i="45" s="1"/>
  <c r="AT54" i="45"/>
  <c r="AT64" i="45"/>
  <c r="AS11" i="45"/>
  <c r="AS32" i="45"/>
  <c r="AS24" i="45"/>
  <c r="AS39" i="45"/>
  <c r="AS46" i="45"/>
  <c r="AS70" i="45"/>
  <c r="AT6" i="45"/>
  <c r="AT21" i="45"/>
  <c r="AT55" i="45"/>
  <c r="AT66" i="45"/>
  <c r="AR25" i="45"/>
  <c r="AM47" i="45"/>
  <c r="AN47" i="45" s="1"/>
  <c r="AT47" i="45"/>
  <c r="AM71" i="45"/>
  <c r="AN71" i="45" s="1"/>
  <c r="AT71" i="45"/>
  <c r="AM27" i="45"/>
  <c r="AN27" i="45" s="1"/>
  <c r="AT27" i="45"/>
  <c r="AM38" i="45"/>
  <c r="AN38" i="45" s="1"/>
  <c r="AT38" i="45"/>
  <c r="AM32" i="45"/>
  <c r="AN32" i="45" s="1"/>
  <c r="AT32" i="45"/>
  <c r="AM49" i="45"/>
  <c r="AN49" i="45" s="1"/>
  <c r="AT49" i="45"/>
  <c r="AC16" i="45"/>
  <c r="AT16" i="45"/>
  <c r="AM70" i="45"/>
  <c r="AN70" i="45" s="1"/>
  <c r="AT70" i="45"/>
  <c r="AM9" i="45"/>
  <c r="AN9" i="45" s="1"/>
  <c r="AS72" i="45"/>
  <c r="AS41" i="45"/>
  <c r="AC14" i="45"/>
  <c r="AD14" i="45" s="1"/>
  <c r="AE14" i="45" s="1"/>
  <c r="AG14" i="45" s="1"/>
  <c r="AI14" i="45" s="1"/>
  <c r="AS48" i="45"/>
  <c r="AT10" i="45"/>
  <c r="AT37" i="45"/>
  <c r="AS66" i="45"/>
  <c r="AM39" i="45"/>
  <c r="AR74" i="45"/>
  <c r="AS40" i="45"/>
  <c r="AM51" i="45"/>
  <c r="AN51" i="45" s="1"/>
  <c r="AM53" i="45"/>
  <c r="AN53" i="45" s="1"/>
  <c r="AC69" i="45"/>
  <c r="AD69" i="45" s="1"/>
  <c r="AE69" i="45" s="1"/>
  <c r="AT8" i="45"/>
  <c r="AS73" i="45"/>
  <c r="AS50" i="45"/>
  <c r="AS42" i="45"/>
  <c r="AS49" i="45"/>
  <c r="AS21" i="45"/>
  <c r="AT25" i="45"/>
  <c r="AM33" i="45"/>
  <c r="AN33" i="45" s="1"/>
  <c r="AM58" i="45"/>
  <c r="AM65" i="45"/>
  <c r="AN65" i="45" s="1"/>
  <c r="AT73" i="45"/>
  <c r="AT15" i="45"/>
  <c r="AT34" i="45"/>
  <c r="AM24" i="45"/>
  <c r="AN24" i="45" s="1"/>
  <c r="AM36" i="45"/>
  <c r="AN36" i="45" s="1"/>
  <c r="AT26" i="45"/>
  <c r="AM57" i="45"/>
  <c r="AN57" i="45" s="1"/>
  <c r="AC12" i="45"/>
  <c r="AD12" i="45" s="1"/>
  <c r="AE12" i="45" s="1"/>
  <c r="AG12" i="45" s="1"/>
  <c r="AI12" i="45" s="1"/>
  <c r="AC26" i="45"/>
  <c r="AD26" i="45" s="1"/>
  <c r="AE26" i="45" s="1"/>
  <c r="AG26" i="45" s="1"/>
  <c r="AI26" i="45" s="1"/>
  <c r="AM44" i="45"/>
  <c r="AN44" i="45" s="1"/>
  <c r="AT56" i="45"/>
  <c r="AC41" i="45"/>
  <c r="AD41" i="45" s="1"/>
  <c r="AE41" i="45" s="1"/>
  <c r="AG41" i="45" s="1"/>
  <c r="AI41" i="45" s="1"/>
  <c r="AM68" i="45"/>
  <c r="AN68" i="45" s="1"/>
  <c r="AC57" i="45"/>
  <c r="AD57" i="45" s="1"/>
  <c r="AE57" i="45" s="1"/>
  <c r="AG57" i="45" s="1"/>
  <c r="AI57" i="45" s="1"/>
  <c r="AC49" i="45"/>
  <c r="AD49" i="45" s="1"/>
  <c r="AE49" i="45" s="1"/>
  <c r="AG49" i="45" s="1"/>
  <c r="AI49" i="45" s="1"/>
  <c r="AM45" i="45"/>
  <c r="AN45" i="45" s="1"/>
  <c r="AC37" i="45"/>
  <c r="AD37" i="45" s="1"/>
  <c r="AE37" i="45" s="1"/>
  <c r="AG37" i="45" s="1"/>
  <c r="AI37" i="45" s="1"/>
  <c r="AM23" i="45"/>
  <c r="AN23" i="45" s="1"/>
  <c r="AC32" i="45"/>
  <c r="AD32" i="45" s="1"/>
  <c r="AE32" i="45" s="1"/>
  <c r="AH32" i="45" s="1"/>
  <c r="AI32" i="45" s="1"/>
  <c r="AM21" i="45"/>
  <c r="AN21" i="45" s="1"/>
  <c r="AC21" i="45"/>
  <c r="AD21" i="45" s="1"/>
  <c r="AE21" i="45" s="1"/>
  <c r="AG21" i="45" s="1"/>
  <c r="AI21" i="45" s="1"/>
  <c r="AC13" i="45"/>
  <c r="AC11" i="45"/>
  <c r="AD11" i="45" s="1"/>
  <c r="AE11" i="45" s="1"/>
  <c r="AG11" i="45" s="1"/>
  <c r="AI11" i="45" s="1"/>
  <c r="AC10" i="45"/>
  <c r="AD10" i="45" s="1"/>
  <c r="AE10" i="45" s="1"/>
  <c r="AG10" i="45" s="1"/>
  <c r="AI10" i="45" s="1"/>
  <c r="AC72" i="45"/>
  <c r="AD72" i="45" s="1"/>
  <c r="AE72" i="45" s="1"/>
  <c r="AC70" i="45"/>
  <c r="AD70" i="45" s="1"/>
  <c r="AE70" i="45" s="1"/>
  <c r="AC18" i="45"/>
  <c r="AD18" i="45" s="1"/>
  <c r="AE18" i="45" s="1"/>
  <c r="AG18" i="45" s="1"/>
  <c r="AI18" i="45" s="1"/>
  <c r="AC68" i="45"/>
  <c r="M76" i="45"/>
  <c r="AM48" i="45"/>
  <c r="AN48" i="45" s="1"/>
  <c r="AM40" i="45"/>
  <c r="AN40" i="45" s="1"/>
  <c r="AM52" i="45"/>
  <c r="AN52" i="45" s="1"/>
  <c r="AC44" i="45"/>
  <c r="AD44" i="45" s="1"/>
  <c r="AE44" i="45" s="1"/>
  <c r="AG44" i="45" s="1"/>
  <c r="AI44" i="45" s="1"/>
  <c r="AM75" i="45"/>
  <c r="AM72" i="45"/>
  <c r="AN72" i="45" s="1"/>
  <c r="AM69" i="45"/>
  <c r="AN69" i="45" s="1"/>
  <c r="AM66" i="45"/>
  <c r="AN66" i="45" s="1"/>
  <c r="AC66" i="45"/>
  <c r="AD66" i="45" s="1"/>
  <c r="AE66" i="45" s="1"/>
  <c r="AM64" i="45"/>
  <c r="AN64" i="45" s="1"/>
  <c r="AM63" i="45"/>
  <c r="AN63" i="45" s="1"/>
  <c r="AM60" i="45"/>
  <c r="AN60" i="45" s="1"/>
  <c r="AM55" i="45"/>
  <c r="AN55" i="45" s="1"/>
  <c r="AC55" i="45"/>
  <c r="AD55" i="45" s="1"/>
  <c r="AE55" i="45" s="1"/>
  <c r="AG55" i="45" s="1"/>
  <c r="AI55" i="45" s="1"/>
  <c r="AM54" i="45"/>
  <c r="AN54" i="45" s="1"/>
  <c r="AM41" i="45"/>
  <c r="AN41" i="45" s="1"/>
  <c r="AM42" i="45"/>
  <c r="AN42" i="45" s="1"/>
  <c r="AC39" i="45"/>
  <c r="AM35" i="45"/>
  <c r="AN35" i="45" s="1"/>
  <c r="AM29" i="45"/>
  <c r="AN29" i="45" s="1"/>
  <c r="AM30" i="45"/>
  <c r="AN30" i="45" s="1"/>
  <c r="AC23" i="45"/>
  <c r="AD23" i="45" s="1"/>
  <c r="AE23" i="45" s="1"/>
  <c r="AG23" i="45" s="1"/>
  <c r="AI23" i="45" s="1"/>
  <c r="AM31" i="45"/>
  <c r="AN31" i="45" s="1"/>
  <c r="AM28" i="45"/>
  <c r="AN28" i="45" s="1"/>
  <c r="AC29" i="45"/>
  <c r="AD29" i="45" s="1"/>
  <c r="AE29" i="45" s="1"/>
  <c r="AG29" i="45" s="1"/>
  <c r="AI29" i="45" s="1"/>
  <c r="AM22" i="45"/>
  <c r="AN22" i="45" s="1"/>
  <c r="AM20" i="45"/>
  <c r="AN20" i="45" s="1"/>
  <c r="AM13" i="45"/>
  <c r="AN13" i="45" s="1"/>
  <c r="AM17" i="45"/>
  <c r="AM18" i="45"/>
  <c r="AN18" i="45" s="1"/>
  <c r="AM19" i="45"/>
  <c r="AN19" i="45" s="1"/>
  <c r="AC19" i="45"/>
  <c r="AD19" i="45" s="1"/>
  <c r="AE19" i="45" s="1"/>
  <c r="AG19" i="45" s="1"/>
  <c r="AI19" i="45" s="1"/>
  <c r="AM12" i="45"/>
  <c r="AN12" i="45" s="1"/>
  <c r="AM11" i="45"/>
  <c r="AN11" i="45" s="1"/>
  <c r="AC67" i="45"/>
  <c r="AD67" i="45" s="1"/>
  <c r="AE67" i="45" s="1"/>
  <c r="AC63" i="45"/>
  <c r="AD63" i="45" s="1"/>
  <c r="AE63" i="45" s="1"/>
  <c r="AG63" i="45" s="1"/>
  <c r="AI63" i="45" s="1"/>
  <c r="AC45" i="45"/>
  <c r="AC52" i="45"/>
  <c r="AD52" i="45" s="1"/>
  <c r="AE52" i="45" s="1"/>
  <c r="AG52" i="45" s="1"/>
  <c r="AI52" i="45" s="1"/>
  <c r="AC51" i="45"/>
  <c r="AD51" i="45" s="1"/>
  <c r="AE51" i="45" s="1"/>
  <c r="AG51" i="45" s="1"/>
  <c r="AI51" i="45" s="1"/>
  <c r="AC46" i="45"/>
  <c r="AD46" i="45" s="1"/>
  <c r="AE46" i="45" s="1"/>
  <c r="AG46" i="45" s="1"/>
  <c r="AI46" i="45" s="1"/>
  <c r="AC34" i="45"/>
  <c r="AC24" i="45"/>
  <c r="AD24" i="45" s="1"/>
  <c r="AE24" i="45" s="1"/>
  <c r="AG24" i="45" s="1"/>
  <c r="AI24" i="45" s="1"/>
  <c r="AC9" i="45"/>
  <c r="AD9" i="45" s="1"/>
  <c r="AE9" i="45" s="1"/>
  <c r="AG9" i="45" s="1"/>
  <c r="AI9" i="45" s="1"/>
  <c r="AC43" i="45"/>
  <c r="AD43" i="45" s="1"/>
  <c r="AM43" i="45"/>
  <c r="AN43" i="45" s="1"/>
  <c r="AC7" i="45"/>
  <c r="AD7" i="45" s="1"/>
  <c r="AM7" i="45"/>
  <c r="AN7" i="45" s="1"/>
  <c r="AC6" i="45"/>
  <c r="AC25" i="45"/>
  <c r="AC35" i="45"/>
  <c r="AC56" i="45"/>
  <c r="AM46" i="45"/>
  <c r="AN46" i="45" s="1"/>
  <c r="AC15" i="45"/>
  <c r="AD15" i="45" s="1"/>
  <c r="AC33" i="45"/>
  <c r="AC28" i="45"/>
  <c r="AC27" i="45"/>
  <c r="AC36" i="45"/>
  <c r="AC48" i="45"/>
  <c r="K76" i="45"/>
  <c r="AC8" i="45"/>
  <c r="AM16" i="45"/>
  <c r="AN16" i="45" s="1"/>
  <c r="AM6" i="45"/>
  <c r="AC20" i="45"/>
  <c r="AC38" i="45"/>
  <c r="AC47" i="45"/>
  <c r="AC53" i="45"/>
  <c r="AD53" i="45" s="1"/>
  <c r="AC54" i="45"/>
  <c r="O76" i="45"/>
  <c r="AC30" i="45"/>
  <c r="AD30" i="45" s="1"/>
  <c r="AC42" i="45"/>
  <c r="AD42" i="45" s="1"/>
  <c r="AM50" i="45"/>
  <c r="AN50" i="45" s="1"/>
  <c r="AC59" i="45"/>
  <c r="AC64" i="45"/>
  <c r="AM67" i="45"/>
  <c r="AN67" i="45" s="1"/>
  <c r="AC65" i="45"/>
  <c r="AD65" i="45" s="1"/>
  <c r="AM62" i="45"/>
  <c r="AN62" i="45" s="1"/>
  <c r="AC60" i="45"/>
  <c r="AD60" i="45" s="1"/>
  <c r="AC31" i="45"/>
  <c r="W76" i="45"/>
  <c r="AC22" i="45"/>
  <c r="AC40" i="45"/>
  <c r="Y76" i="45"/>
  <c r="AC50" i="45"/>
  <c r="AC62" i="45"/>
  <c r="AD62" i="45" s="1"/>
  <c r="AC71" i="45"/>
  <c r="AC73" i="45"/>
  <c r="AD73" i="45" s="1"/>
  <c r="AC75" i="45"/>
  <c r="L76" i="45" l="1"/>
  <c r="AT61" i="45"/>
  <c r="AT76" i="45" s="1"/>
  <c r="AO26" i="45"/>
  <c r="AD74" i="45"/>
  <c r="AE74" i="45" s="1"/>
  <c r="AO34" i="45"/>
  <c r="AC61" i="45"/>
  <c r="AD61" i="45" s="1"/>
  <c r="AE61" i="45" s="1"/>
  <c r="AG61" i="45" s="1"/>
  <c r="AO47" i="45"/>
  <c r="AR76" i="45"/>
  <c r="AO12" i="45"/>
  <c r="AO18" i="45"/>
  <c r="AO38" i="45"/>
  <c r="AO23" i="45"/>
  <c r="AO21" i="45"/>
  <c r="AO22" i="45"/>
  <c r="AO25" i="45"/>
  <c r="AO69" i="45"/>
  <c r="AD16" i="45"/>
  <c r="AE16" i="45" s="1"/>
  <c r="AG16" i="45" s="1"/>
  <c r="AI16" i="45" s="1"/>
  <c r="AO14" i="45"/>
  <c r="AO16" i="45"/>
  <c r="AO56" i="45"/>
  <c r="AO8" i="45"/>
  <c r="AO13" i="45"/>
  <c r="AO10" i="45"/>
  <c r="AO68" i="45"/>
  <c r="AO41" i="45"/>
  <c r="AD13" i="45"/>
  <c r="AE13" i="45" s="1"/>
  <c r="AG13" i="45" s="1"/>
  <c r="AI13" i="45" s="1"/>
  <c r="AO57" i="45"/>
  <c r="AO51" i="45"/>
  <c r="AO45" i="45"/>
  <c r="AO49" i="45"/>
  <c r="AO37" i="45"/>
  <c r="AO32" i="45"/>
  <c r="AO27" i="45"/>
  <c r="AO11" i="45"/>
  <c r="AO70" i="45"/>
  <c r="AO29" i="45"/>
  <c r="AO63" i="45"/>
  <c r="AO72" i="45"/>
  <c r="AD68" i="45"/>
  <c r="AE68" i="45" s="1"/>
  <c r="AO67" i="45"/>
  <c r="AO44" i="45"/>
  <c r="AO43" i="45"/>
  <c r="AD34" i="45"/>
  <c r="AE34" i="45" s="1"/>
  <c r="AG34" i="45" s="1"/>
  <c r="AI34" i="45" s="1"/>
  <c r="AO19" i="45"/>
  <c r="AO9" i="45"/>
  <c r="AO55" i="45"/>
  <c r="AD39" i="45"/>
  <c r="AE39" i="45" s="1"/>
  <c r="AG39" i="45" s="1"/>
  <c r="AI39" i="45" s="1"/>
  <c r="AO66" i="45"/>
  <c r="AO65" i="45"/>
  <c r="AO62" i="45"/>
  <c r="AO54" i="45"/>
  <c r="AO52" i="45"/>
  <c r="AO53" i="45"/>
  <c r="AO24" i="45"/>
  <c r="AO60" i="45"/>
  <c r="AO42" i="45"/>
  <c r="AD45" i="45"/>
  <c r="AE45" i="45" s="1"/>
  <c r="AG45" i="45" s="1"/>
  <c r="AI45" i="45" s="1"/>
  <c r="AD47" i="45"/>
  <c r="AE47" i="45" s="1"/>
  <c r="AG47" i="45" s="1"/>
  <c r="AI47" i="45" s="1"/>
  <c r="AO46" i="45"/>
  <c r="AO31" i="45"/>
  <c r="AO15" i="45"/>
  <c r="AO7" i="45"/>
  <c r="AD40" i="45"/>
  <c r="AE40" i="45" s="1"/>
  <c r="AG40" i="45" s="1"/>
  <c r="AI40" i="45" s="1"/>
  <c r="AM76" i="45"/>
  <c r="AE7" i="45"/>
  <c r="AG7" i="45" s="1"/>
  <c r="AI7" i="45" s="1"/>
  <c r="AD35" i="45"/>
  <c r="AE35" i="45" s="1"/>
  <c r="AG35" i="45" s="1"/>
  <c r="AI35" i="45" s="1"/>
  <c r="AE73" i="45"/>
  <c r="AD54" i="45"/>
  <c r="AE54" i="45" s="1"/>
  <c r="AG54" i="45" s="1"/>
  <c r="AI54" i="45" s="1"/>
  <c r="AO48" i="45"/>
  <c r="AO71" i="45"/>
  <c r="AE42" i="45"/>
  <c r="AG42" i="45" s="1"/>
  <c r="AI42" i="45" s="1"/>
  <c r="AO73" i="45"/>
  <c r="AE30" i="45"/>
  <c r="AG30" i="45" s="1"/>
  <c r="AI30" i="45" s="1"/>
  <c r="AD25" i="45"/>
  <c r="AE25" i="45" s="1"/>
  <c r="AG25" i="45" s="1"/>
  <c r="AI25" i="45" s="1"/>
  <c r="AD50" i="45"/>
  <c r="AE50" i="45" s="1"/>
  <c r="AG50" i="45" s="1"/>
  <c r="AI50" i="45" s="1"/>
  <c r="AD64" i="45"/>
  <c r="AE64" i="45" s="1"/>
  <c r="AD20" i="45"/>
  <c r="AE20" i="45" s="1"/>
  <c r="AG20" i="45" s="1"/>
  <c r="AI20" i="45" s="1"/>
  <c r="AD33" i="45"/>
  <c r="AE33" i="45" s="1"/>
  <c r="AG33" i="45" s="1"/>
  <c r="AI33" i="45" s="1"/>
  <c r="AD22" i="45"/>
  <c r="AE22" i="45" s="1"/>
  <c r="AG22" i="45" s="1"/>
  <c r="AI22" i="45" s="1"/>
  <c r="AD48" i="45"/>
  <c r="AE48" i="45" s="1"/>
  <c r="AG48" i="45" s="1"/>
  <c r="AI48" i="45" s="1"/>
  <c r="AO36" i="45"/>
  <c r="AD36" i="45"/>
  <c r="AE36" i="45" s="1"/>
  <c r="AG36" i="45" s="1"/>
  <c r="AI36" i="45" s="1"/>
  <c r="AE62" i="45"/>
  <c r="AG62" i="45" s="1"/>
  <c r="AO40" i="45"/>
  <c r="AD27" i="45"/>
  <c r="AE27" i="45" s="1"/>
  <c r="AG27" i="45" s="1"/>
  <c r="AI27" i="45" s="1"/>
  <c r="AE15" i="45"/>
  <c r="AG15" i="45" s="1"/>
  <c r="AI15" i="45" s="1"/>
  <c r="AO33" i="45"/>
  <c r="AO59" i="45"/>
  <c r="AD59" i="45"/>
  <c r="AE59" i="45" s="1"/>
  <c r="AG59" i="45" s="1"/>
  <c r="AI59" i="45" s="1"/>
  <c r="AE60" i="45"/>
  <c r="AH60" i="45" s="1"/>
  <c r="AI60" i="45" s="1"/>
  <c r="AO50" i="45"/>
  <c r="AO64" i="45"/>
  <c r="AD8" i="45"/>
  <c r="AE8" i="45" s="1"/>
  <c r="AG8" i="45" s="1"/>
  <c r="AI8" i="45" s="1"/>
  <c r="AO28" i="45"/>
  <c r="AD28" i="45"/>
  <c r="AE28" i="45" s="1"/>
  <c r="AG28" i="45" s="1"/>
  <c r="AI28" i="45" s="1"/>
  <c r="AD75" i="45"/>
  <c r="AE75" i="45" s="1"/>
  <c r="AE53" i="45"/>
  <c r="AG53" i="45" s="1"/>
  <c r="AI53" i="45" s="1"/>
  <c r="AD31" i="45"/>
  <c r="AE31" i="45" s="1"/>
  <c r="AG31" i="45" s="1"/>
  <c r="AI31" i="45" s="1"/>
  <c r="AE43" i="45"/>
  <c r="AG43" i="45" s="1"/>
  <c r="AI43" i="45" s="1"/>
  <c r="AE65" i="45"/>
  <c r="AD71" i="45"/>
  <c r="AE71" i="45" s="1"/>
  <c r="AD38" i="45"/>
  <c r="AE38" i="45" s="1"/>
  <c r="AG38" i="45" s="1"/>
  <c r="AI38" i="45" s="1"/>
  <c r="AO35" i="45"/>
  <c r="AD56" i="45"/>
  <c r="AE56" i="45" s="1"/>
  <c r="AG56" i="45" s="1"/>
  <c r="AI56" i="45" s="1"/>
  <c r="AD6" i="45"/>
  <c r="AO20" i="45"/>
  <c r="AO30" i="45"/>
  <c r="AO61" i="45" l="1"/>
  <c r="AE6" i="45"/>
  <c r="AH6" i="45" l="1"/>
  <c r="AG6" i="45"/>
  <c r="AI6" i="45" l="1"/>
  <c r="AE16" i="25" l="1"/>
  <c r="AL110" i="32" l="1"/>
  <c r="AK109" i="32"/>
  <c r="AN107" i="32"/>
  <c r="AK107" i="32"/>
  <c r="AP94" i="32"/>
  <c r="AO94" i="32"/>
  <c r="AN94" i="32"/>
  <c r="AL94" i="32"/>
  <c r="AK94" i="32"/>
  <c r="AJ94" i="32"/>
  <c r="AI94" i="32"/>
  <c r="AE94" i="32"/>
  <c r="AD94" i="32"/>
  <c r="AC94" i="32"/>
  <c r="AB94" i="32"/>
  <c r="AA94" i="32"/>
  <c r="Z94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AP93" i="32"/>
  <c r="AO93" i="32"/>
  <c r="AN93" i="32"/>
  <c r="AL93" i="32"/>
  <c r="AK93" i="32"/>
  <c r="AJ93" i="32"/>
  <c r="AI93" i="32"/>
  <c r="AF93" i="32"/>
  <c r="AG93" i="32" s="1"/>
  <c r="AE93" i="32"/>
  <c r="AB93" i="32"/>
  <c r="X93" i="32"/>
  <c r="N93" i="32"/>
  <c r="M93" i="32"/>
  <c r="L93" i="32"/>
  <c r="K93" i="32"/>
  <c r="J93" i="32"/>
  <c r="AP92" i="32"/>
  <c r="AO92" i="32"/>
  <c r="AN92" i="32"/>
  <c r="AL92" i="32"/>
  <c r="AK92" i="32"/>
  <c r="AJ92" i="32"/>
  <c r="AI92" i="32"/>
  <c r="AG92" i="32"/>
  <c r="AF92" i="32"/>
  <c r="AE92" i="32"/>
  <c r="AB92" i="32"/>
  <c r="X92" i="32"/>
  <c r="N92" i="32"/>
  <c r="M92" i="32"/>
  <c r="L92" i="32"/>
  <c r="K92" i="32"/>
  <c r="J92" i="32"/>
  <c r="AP91" i="32"/>
  <c r="AO91" i="32"/>
  <c r="AN91" i="32"/>
  <c r="AL91" i="32"/>
  <c r="AK91" i="32"/>
  <c r="AJ91" i="32"/>
  <c r="AI91" i="32"/>
  <c r="AF91" i="32"/>
  <c r="AG91" i="32" s="1"/>
  <c r="AE91" i="32"/>
  <c r="AB91" i="32"/>
  <c r="X91" i="32"/>
  <c r="P91" i="32"/>
  <c r="N91" i="32"/>
  <c r="M91" i="32"/>
  <c r="L91" i="32"/>
  <c r="K91" i="32"/>
  <c r="J91" i="32"/>
  <c r="AP90" i="32"/>
  <c r="AO90" i="32"/>
  <c r="AN90" i="32"/>
  <c r="AL90" i="32"/>
  <c r="AK90" i="32"/>
  <c r="AJ90" i="32"/>
  <c r="AI90" i="32"/>
  <c r="AF90" i="32"/>
  <c r="AG90" i="32" s="1"/>
  <c r="AE90" i="32"/>
  <c r="AB90" i="32"/>
  <c r="X90" i="32"/>
  <c r="N90" i="32"/>
  <c r="M90" i="32"/>
  <c r="L90" i="32"/>
  <c r="K90" i="32"/>
  <c r="J90" i="32"/>
  <c r="AP89" i="32"/>
  <c r="AO89" i="32"/>
  <c r="AN89" i="32"/>
  <c r="AL89" i="32"/>
  <c r="AK89" i="32"/>
  <c r="AJ89" i="32"/>
  <c r="AI89" i="32"/>
  <c r="AF89" i="32"/>
  <c r="AG89" i="32" s="1"/>
  <c r="AE89" i="32"/>
  <c r="AB89" i="32"/>
  <c r="X89" i="32"/>
  <c r="N89" i="32"/>
  <c r="M89" i="32"/>
  <c r="L89" i="32"/>
  <c r="K89" i="32"/>
  <c r="J89" i="32"/>
  <c r="AP88" i="32"/>
  <c r="AO88" i="32"/>
  <c r="AN88" i="32"/>
  <c r="AL88" i="32"/>
  <c r="AK88" i="32"/>
  <c r="AJ88" i="32"/>
  <c r="AI88" i="32"/>
  <c r="AF88" i="32"/>
  <c r="AG88" i="32" s="1"/>
  <c r="AE88" i="32"/>
  <c r="AB88" i="32"/>
  <c r="X88" i="32"/>
  <c r="N88" i="32"/>
  <c r="M88" i="32"/>
  <c r="L88" i="32"/>
  <c r="K88" i="32"/>
  <c r="J88" i="32"/>
  <c r="AP87" i="32"/>
  <c r="AO87" i="32"/>
  <c r="AN87" i="32"/>
  <c r="AL87" i="32"/>
  <c r="AK87" i="32"/>
  <c r="AJ87" i="32"/>
  <c r="AI87" i="32"/>
  <c r="AF87" i="32"/>
  <c r="AG87" i="32" s="1"/>
  <c r="AE87" i="32"/>
  <c r="AB87" i="32"/>
  <c r="X87" i="32"/>
  <c r="N87" i="32"/>
  <c r="M87" i="32"/>
  <c r="L87" i="32"/>
  <c r="K87" i="32"/>
  <c r="J87" i="32"/>
  <c r="AP86" i="32"/>
  <c r="AO86" i="32"/>
  <c r="AN86" i="32"/>
  <c r="AL86" i="32"/>
  <c r="AK86" i="32"/>
  <c r="AJ86" i="32"/>
  <c r="AI86" i="32"/>
  <c r="AF86" i="32"/>
  <c r="AG86" i="32" s="1"/>
  <c r="AE86" i="32"/>
  <c r="AB86" i="32"/>
  <c r="X86" i="32"/>
  <c r="N86" i="32"/>
  <c r="M86" i="32"/>
  <c r="L86" i="32"/>
  <c r="K86" i="32"/>
  <c r="J86" i="32"/>
  <c r="AP85" i="32"/>
  <c r="AO85" i="32"/>
  <c r="AN85" i="32"/>
  <c r="AL85" i="32"/>
  <c r="AK85" i="32"/>
  <c r="AJ85" i="32"/>
  <c r="AI85" i="32"/>
  <c r="AF85" i="32"/>
  <c r="AG85" i="32" s="1"/>
  <c r="AE85" i="32"/>
  <c r="AB85" i="32"/>
  <c r="X85" i="32"/>
  <c r="P85" i="32"/>
  <c r="N85" i="32"/>
  <c r="M85" i="32"/>
  <c r="L85" i="32"/>
  <c r="K85" i="32"/>
  <c r="J85" i="32"/>
  <c r="AP84" i="32"/>
  <c r="AO84" i="32"/>
  <c r="AN84" i="32"/>
  <c r="AL84" i="32"/>
  <c r="AK84" i="32"/>
  <c r="AJ84" i="32"/>
  <c r="AI84" i="32"/>
  <c r="AF84" i="32"/>
  <c r="AG84" i="32" s="1"/>
  <c r="AE84" i="32"/>
  <c r="AB84" i="32"/>
  <c r="X84" i="32"/>
  <c r="N84" i="32"/>
  <c r="M84" i="32"/>
  <c r="L84" i="32"/>
  <c r="K84" i="32"/>
  <c r="J84" i="32"/>
  <c r="AP83" i="32"/>
  <c r="AO83" i="32"/>
  <c r="AN83" i="32"/>
  <c r="AL83" i="32"/>
  <c r="AK83" i="32"/>
  <c r="AJ83" i="32"/>
  <c r="AI83" i="32"/>
  <c r="AF83" i="32"/>
  <c r="AG83" i="32" s="1"/>
  <c r="AE83" i="32"/>
  <c r="AB83" i="32"/>
  <c r="X83" i="32"/>
  <c r="N83" i="32"/>
  <c r="M83" i="32"/>
  <c r="L83" i="32"/>
  <c r="K83" i="32"/>
  <c r="J83" i="32"/>
  <c r="AP82" i="32"/>
  <c r="AO82" i="32"/>
  <c r="AN82" i="32"/>
  <c r="AL82" i="32"/>
  <c r="AK82" i="32"/>
  <c r="AJ82" i="32"/>
  <c r="AI82" i="32"/>
  <c r="AF82" i="32"/>
  <c r="AG82" i="32" s="1"/>
  <c r="AE82" i="32"/>
  <c r="AB82" i="32"/>
  <c r="X82" i="32"/>
  <c r="S82" i="32"/>
  <c r="R82" i="32"/>
  <c r="N82" i="32"/>
  <c r="M82" i="32"/>
  <c r="L82" i="32"/>
  <c r="K82" i="32"/>
  <c r="J82" i="32"/>
  <c r="AP81" i="32"/>
  <c r="AO81" i="32"/>
  <c r="AN81" i="32"/>
  <c r="AL81" i="32"/>
  <c r="AK81" i="32"/>
  <c r="AJ81" i="32"/>
  <c r="AI81" i="32"/>
  <c r="AF81" i="32"/>
  <c r="AG81" i="32" s="1"/>
  <c r="AE81" i="32"/>
  <c r="AB81" i="32"/>
  <c r="X81" i="32"/>
  <c r="N81" i="32"/>
  <c r="M81" i="32"/>
  <c r="L81" i="32"/>
  <c r="K81" i="32"/>
  <c r="J81" i="32"/>
  <c r="AP80" i="32"/>
  <c r="AO80" i="32"/>
  <c r="AN80" i="32"/>
  <c r="AL80" i="32"/>
  <c r="AK80" i="32"/>
  <c r="AJ80" i="32"/>
  <c r="AI80" i="32"/>
  <c r="AF80" i="32"/>
  <c r="AG80" i="32" s="1"/>
  <c r="AE80" i="32"/>
  <c r="AB80" i="32"/>
  <c r="X80" i="32"/>
  <c r="N80" i="32"/>
  <c r="M80" i="32"/>
  <c r="L80" i="32"/>
  <c r="K80" i="32"/>
  <c r="J80" i="32"/>
  <c r="AP79" i="32"/>
  <c r="AO79" i="32"/>
  <c r="AN79" i="32"/>
  <c r="AL79" i="32"/>
  <c r="AK79" i="32"/>
  <c r="AJ79" i="32"/>
  <c r="AI79" i="32"/>
  <c r="AF79" i="32"/>
  <c r="AG79" i="32" s="1"/>
  <c r="AE79" i="32"/>
  <c r="AB79" i="32"/>
  <c r="X79" i="32"/>
  <c r="N79" i="32"/>
  <c r="M79" i="32"/>
  <c r="L79" i="32"/>
  <c r="K79" i="32"/>
  <c r="J79" i="32"/>
  <c r="AP78" i="32"/>
  <c r="AO78" i="32"/>
  <c r="AN78" i="32"/>
  <c r="AL78" i="32"/>
  <c r="AK78" i="32"/>
  <c r="AJ78" i="32"/>
  <c r="AI78" i="32"/>
  <c r="AF78" i="32"/>
  <c r="AG78" i="32" s="1"/>
  <c r="AE78" i="32"/>
  <c r="AB78" i="32"/>
  <c r="X78" i="32"/>
  <c r="N78" i="32"/>
  <c r="M78" i="32"/>
  <c r="L78" i="32"/>
  <c r="K78" i="32"/>
  <c r="J78" i="32"/>
  <c r="AP77" i="32"/>
  <c r="AO77" i="32"/>
  <c r="AN77" i="32"/>
  <c r="AL77" i="32"/>
  <c r="AK77" i="32"/>
  <c r="AJ77" i="32"/>
  <c r="AI77" i="32"/>
  <c r="AF77" i="32"/>
  <c r="AG77" i="32" s="1"/>
  <c r="AE77" i="32"/>
  <c r="AB77" i="32"/>
  <c r="X77" i="32"/>
  <c r="N77" i="32"/>
  <c r="M77" i="32"/>
  <c r="L77" i="32"/>
  <c r="K77" i="32"/>
  <c r="J77" i="32"/>
  <c r="AP76" i="32"/>
  <c r="AO76" i="32"/>
  <c r="AN76" i="32"/>
  <c r="AL76" i="32"/>
  <c r="AK76" i="32"/>
  <c r="AJ76" i="32"/>
  <c r="AI76" i="32"/>
  <c r="AF76" i="32"/>
  <c r="AG76" i="32" s="1"/>
  <c r="AE76" i="32"/>
  <c r="AB76" i="32"/>
  <c r="X76" i="32"/>
  <c r="S76" i="32"/>
  <c r="R76" i="32"/>
  <c r="N76" i="32"/>
  <c r="M76" i="32"/>
  <c r="L76" i="32"/>
  <c r="K76" i="32"/>
  <c r="J76" i="32"/>
  <c r="AP75" i="32"/>
  <c r="AO75" i="32"/>
  <c r="AN75" i="32"/>
  <c r="AL75" i="32"/>
  <c r="AK75" i="32"/>
  <c r="AJ75" i="32"/>
  <c r="AI75" i="32"/>
  <c r="AF75" i="32"/>
  <c r="AG75" i="32" s="1"/>
  <c r="AE75" i="32"/>
  <c r="AB75" i="32"/>
  <c r="X75" i="32"/>
  <c r="S75" i="32"/>
  <c r="R75" i="32"/>
  <c r="N75" i="32"/>
  <c r="M75" i="32"/>
  <c r="L75" i="32"/>
  <c r="K75" i="32"/>
  <c r="J75" i="32"/>
  <c r="AP74" i="32"/>
  <c r="AO74" i="32"/>
  <c r="AN74" i="32"/>
  <c r="AL74" i="32"/>
  <c r="AK74" i="32"/>
  <c r="AJ74" i="32"/>
  <c r="AI74" i="32"/>
  <c r="AF74" i="32"/>
  <c r="AG74" i="32" s="1"/>
  <c r="AE74" i="32"/>
  <c r="AB74" i="32"/>
  <c r="X74" i="32"/>
  <c r="S74" i="32"/>
  <c r="R74" i="32"/>
  <c r="N74" i="32"/>
  <c r="M74" i="32"/>
  <c r="L74" i="32"/>
  <c r="K74" i="32"/>
  <c r="J74" i="32"/>
  <c r="AP73" i="32"/>
  <c r="AO73" i="32"/>
  <c r="AN73" i="32"/>
  <c r="AL73" i="32"/>
  <c r="AK73" i="32"/>
  <c r="AJ73" i="32"/>
  <c r="AI73" i="32"/>
  <c r="AF73" i="32"/>
  <c r="AG73" i="32" s="1"/>
  <c r="AE73" i="32"/>
  <c r="AB73" i="32"/>
  <c r="X73" i="32"/>
  <c r="S73" i="32"/>
  <c r="R73" i="32"/>
  <c r="N73" i="32"/>
  <c r="M73" i="32"/>
  <c r="L73" i="32"/>
  <c r="K73" i="32"/>
  <c r="J73" i="32"/>
  <c r="AP72" i="32"/>
  <c r="AO72" i="32"/>
  <c r="AN72" i="32"/>
  <c r="AL72" i="32"/>
  <c r="AK72" i="32"/>
  <c r="AJ72" i="32"/>
  <c r="AI72" i="32"/>
  <c r="AF72" i="32"/>
  <c r="AG72" i="32" s="1"/>
  <c r="AE72" i="32"/>
  <c r="AB72" i="32"/>
  <c r="X72" i="32"/>
  <c r="S72" i="32"/>
  <c r="R72" i="32"/>
  <c r="N72" i="32"/>
  <c r="M72" i="32"/>
  <c r="L72" i="32"/>
  <c r="K72" i="32"/>
  <c r="J72" i="32"/>
  <c r="AP71" i="32"/>
  <c r="AO71" i="32"/>
  <c r="AN71" i="32"/>
  <c r="AL71" i="32"/>
  <c r="AK71" i="32"/>
  <c r="AJ71" i="32"/>
  <c r="AI71" i="32"/>
  <c r="AF71" i="32"/>
  <c r="AG71" i="32" s="1"/>
  <c r="AE71" i="32"/>
  <c r="AB71" i="32"/>
  <c r="X71" i="32"/>
  <c r="S71" i="32"/>
  <c r="R71" i="32"/>
  <c r="N71" i="32"/>
  <c r="M71" i="32"/>
  <c r="L71" i="32"/>
  <c r="K71" i="32"/>
  <c r="J71" i="32"/>
  <c r="AP70" i="32"/>
  <c r="AO70" i="32"/>
  <c r="AN70" i="32"/>
  <c r="AL70" i="32"/>
  <c r="AK70" i="32"/>
  <c r="AJ70" i="32"/>
  <c r="AI70" i="32"/>
  <c r="AF70" i="32"/>
  <c r="AG70" i="32" s="1"/>
  <c r="AE70" i="32"/>
  <c r="AB70" i="32"/>
  <c r="X70" i="32"/>
  <c r="S70" i="32"/>
  <c r="R70" i="32"/>
  <c r="N70" i="32"/>
  <c r="M70" i="32"/>
  <c r="L70" i="32"/>
  <c r="K70" i="32"/>
  <c r="J70" i="32"/>
  <c r="AP69" i="32"/>
  <c r="AO69" i="32"/>
  <c r="AN69" i="32"/>
  <c r="AL69" i="32"/>
  <c r="AK69" i="32"/>
  <c r="AJ69" i="32"/>
  <c r="AI69" i="32"/>
  <c r="AF69" i="32"/>
  <c r="AG69" i="32" s="1"/>
  <c r="AE69" i="32"/>
  <c r="AB69" i="32"/>
  <c r="X69" i="32"/>
  <c r="S69" i="32"/>
  <c r="R69" i="32"/>
  <c r="N69" i="32"/>
  <c r="M69" i="32"/>
  <c r="L69" i="32"/>
  <c r="K69" i="32"/>
  <c r="J69" i="32"/>
  <c r="AP68" i="32"/>
  <c r="AO68" i="32"/>
  <c r="AN68" i="32"/>
  <c r="AL68" i="32"/>
  <c r="AK68" i="32"/>
  <c r="AJ68" i="32"/>
  <c r="AI68" i="32"/>
  <c r="AF68" i="32"/>
  <c r="AG68" i="32" s="1"/>
  <c r="AE68" i="32"/>
  <c r="AB68" i="32"/>
  <c r="X68" i="32"/>
  <c r="S68" i="32"/>
  <c r="R68" i="32"/>
  <c r="N68" i="32"/>
  <c r="M68" i="32"/>
  <c r="L68" i="32"/>
  <c r="K68" i="32"/>
  <c r="J68" i="32"/>
  <c r="AP67" i="32"/>
  <c r="AO67" i="32"/>
  <c r="AN67" i="32"/>
  <c r="AL67" i="32"/>
  <c r="AK67" i="32"/>
  <c r="AJ67" i="32"/>
  <c r="AI67" i="32"/>
  <c r="AF67" i="32"/>
  <c r="AG67" i="32" s="1"/>
  <c r="AE67" i="32"/>
  <c r="AB67" i="32"/>
  <c r="X67" i="32"/>
  <c r="S67" i="32"/>
  <c r="R67" i="32"/>
  <c r="N67" i="32"/>
  <c r="M67" i="32"/>
  <c r="L67" i="32"/>
  <c r="K67" i="32"/>
  <c r="J67" i="32"/>
  <c r="AP66" i="32"/>
  <c r="AO66" i="32"/>
  <c r="AN66" i="32"/>
  <c r="AL66" i="32"/>
  <c r="AK66" i="32"/>
  <c r="AJ66" i="32"/>
  <c r="AI66" i="32"/>
  <c r="AF66" i="32"/>
  <c r="AG66" i="32" s="1"/>
  <c r="AE66" i="32"/>
  <c r="AB66" i="32"/>
  <c r="X66" i="32"/>
  <c r="Q66" i="32"/>
  <c r="P66" i="32"/>
  <c r="O66" i="32"/>
  <c r="N66" i="32"/>
  <c r="M66" i="32"/>
  <c r="L66" i="32"/>
  <c r="K66" i="32"/>
  <c r="J66" i="32"/>
  <c r="AP65" i="32"/>
  <c r="AO65" i="32"/>
  <c r="AN65" i="32"/>
  <c r="AL65" i="32"/>
  <c r="AK65" i="32"/>
  <c r="AJ65" i="32"/>
  <c r="AI65" i="32"/>
  <c r="AF65" i="32"/>
  <c r="AG65" i="32" s="1"/>
  <c r="AE65" i="32"/>
  <c r="AB65" i="32"/>
  <c r="X65" i="32"/>
  <c r="Q65" i="32"/>
  <c r="P65" i="32"/>
  <c r="O65" i="32"/>
  <c r="N65" i="32"/>
  <c r="M65" i="32"/>
  <c r="L65" i="32"/>
  <c r="K65" i="32"/>
  <c r="J65" i="32"/>
  <c r="AP64" i="32"/>
  <c r="AO64" i="32"/>
  <c r="AN64" i="32"/>
  <c r="AL64" i="32"/>
  <c r="AK64" i="32"/>
  <c r="AJ64" i="32"/>
  <c r="AI64" i="32"/>
  <c r="AF64" i="32"/>
  <c r="AG64" i="32" s="1"/>
  <c r="AE64" i="32"/>
  <c r="AB64" i="32"/>
  <c r="X64" i="32"/>
  <c r="Q64" i="32"/>
  <c r="P64" i="32"/>
  <c r="O64" i="32"/>
  <c r="N64" i="32"/>
  <c r="M64" i="32"/>
  <c r="L64" i="32"/>
  <c r="K64" i="32"/>
  <c r="J64" i="32"/>
  <c r="AP63" i="32"/>
  <c r="AO63" i="32"/>
  <c r="AN63" i="32"/>
  <c r="AL63" i="32"/>
  <c r="AK63" i="32"/>
  <c r="AJ63" i="32"/>
  <c r="AI63" i="32"/>
  <c r="AF63" i="32"/>
  <c r="AG63" i="32" s="1"/>
  <c r="AE63" i="32"/>
  <c r="AB63" i="32"/>
  <c r="X63" i="32"/>
  <c r="Q63" i="32"/>
  <c r="P63" i="32"/>
  <c r="O63" i="32"/>
  <c r="N63" i="32"/>
  <c r="M63" i="32"/>
  <c r="L63" i="32"/>
  <c r="K63" i="32"/>
  <c r="J63" i="32"/>
  <c r="AP62" i="32"/>
  <c r="AO62" i="32"/>
  <c r="AN62" i="32"/>
  <c r="AL62" i="32"/>
  <c r="AK62" i="32"/>
  <c r="AJ62" i="32"/>
  <c r="AI62" i="32"/>
  <c r="AF62" i="32"/>
  <c r="AG62" i="32" s="1"/>
  <c r="AE62" i="32"/>
  <c r="AB62" i="32"/>
  <c r="X62" i="32"/>
  <c r="S62" i="32"/>
  <c r="R62" i="32"/>
  <c r="N62" i="32"/>
  <c r="M62" i="32"/>
  <c r="L62" i="32"/>
  <c r="K62" i="32"/>
  <c r="J62" i="32"/>
  <c r="AP61" i="32"/>
  <c r="AO61" i="32"/>
  <c r="AN61" i="32"/>
  <c r="AL61" i="32"/>
  <c r="AK61" i="32"/>
  <c r="AJ61" i="32"/>
  <c r="AF61" i="32"/>
  <c r="AG61" i="32" s="1"/>
  <c r="AE61" i="32"/>
  <c r="J61" i="32"/>
  <c r="AP60" i="32"/>
  <c r="AO60" i="32"/>
  <c r="AN60" i="32"/>
  <c r="AL60" i="32"/>
  <c r="AK60" i="32"/>
  <c r="AJ60" i="32"/>
  <c r="AI60" i="32"/>
  <c r="AF60" i="32"/>
  <c r="AG60" i="32" s="1"/>
  <c r="AE60" i="32"/>
  <c r="AB60" i="32"/>
  <c r="X60" i="32"/>
  <c r="S60" i="32"/>
  <c r="R60" i="32"/>
  <c r="P60" i="32"/>
  <c r="N60" i="32"/>
  <c r="M60" i="32"/>
  <c r="L60" i="32"/>
  <c r="K60" i="32"/>
  <c r="J60" i="32"/>
  <c r="AP59" i="32"/>
  <c r="AO59" i="32"/>
  <c r="AN59" i="32"/>
  <c r="AL59" i="32"/>
  <c r="AK59" i="32"/>
  <c r="AJ59" i="32"/>
  <c r="AF59" i="32"/>
  <c r="AG59" i="32" s="1"/>
  <c r="AE59" i="32"/>
  <c r="J59" i="32"/>
  <c r="AP58" i="32"/>
  <c r="AO58" i="32"/>
  <c r="AN58" i="32"/>
  <c r="AL58" i="32"/>
  <c r="AK58" i="32"/>
  <c r="AJ58" i="32"/>
  <c r="AI58" i="32"/>
  <c r="AF58" i="32"/>
  <c r="AG58" i="32" s="1"/>
  <c r="AE58" i="32"/>
  <c r="AB58" i="32"/>
  <c r="X58" i="32"/>
  <c r="S58" i="32"/>
  <c r="R58" i="32"/>
  <c r="N58" i="32"/>
  <c r="M58" i="32"/>
  <c r="L58" i="32"/>
  <c r="K58" i="32"/>
  <c r="J58" i="32"/>
  <c r="AP57" i="32"/>
  <c r="AO57" i="32"/>
  <c r="AN57" i="32"/>
  <c r="AL57" i="32"/>
  <c r="AK57" i="32"/>
  <c r="AJ57" i="32"/>
  <c r="AI57" i="32"/>
  <c r="AF57" i="32"/>
  <c r="AG57" i="32" s="1"/>
  <c r="AE57" i="32"/>
  <c r="AB57" i="32"/>
  <c r="X57" i="32"/>
  <c r="S57" i="32"/>
  <c r="R57" i="32"/>
  <c r="N57" i="32"/>
  <c r="M57" i="32"/>
  <c r="L57" i="32"/>
  <c r="K57" i="32"/>
  <c r="J57" i="32"/>
  <c r="AP56" i="32"/>
  <c r="AO56" i="32"/>
  <c r="AN56" i="32"/>
  <c r="AL56" i="32"/>
  <c r="AK56" i="32"/>
  <c r="AJ56" i="32"/>
  <c r="AF56" i="32"/>
  <c r="AG56" i="32" s="1"/>
  <c r="AE56" i="32"/>
  <c r="J56" i="32"/>
  <c r="AP55" i="32"/>
  <c r="AO55" i="32"/>
  <c r="AN55" i="32"/>
  <c r="AL55" i="32"/>
  <c r="AK55" i="32"/>
  <c r="AJ55" i="32"/>
  <c r="AF55" i="32"/>
  <c r="AG55" i="32" s="1"/>
  <c r="AE55" i="32"/>
  <c r="J55" i="32"/>
  <c r="AP54" i="32"/>
  <c r="AO54" i="32"/>
  <c r="AN54" i="32"/>
  <c r="AL54" i="32"/>
  <c r="AK54" i="32"/>
  <c r="AJ54" i="32"/>
  <c r="AF54" i="32"/>
  <c r="AG54" i="32" s="1"/>
  <c r="AE54" i="32"/>
  <c r="J54" i="32"/>
  <c r="AP53" i="32"/>
  <c r="AO53" i="32"/>
  <c r="AN53" i="32"/>
  <c r="AL53" i="32"/>
  <c r="AK53" i="32"/>
  <c r="AJ53" i="32"/>
  <c r="AI53" i="32"/>
  <c r="AF53" i="32"/>
  <c r="AG53" i="32" s="1"/>
  <c r="AE53" i="32"/>
  <c r="AB53" i="32"/>
  <c r="X53" i="32"/>
  <c r="S53" i="32"/>
  <c r="R53" i="32"/>
  <c r="N53" i="32"/>
  <c r="M53" i="32"/>
  <c r="L53" i="32"/>
  <c r="K53" i="32"/>
  <c r="J53" i="32"/>
  <c r="AP52" i="32"/>
  <c r="AO52" i="32"/>
  <c r="AN52" i="32"/>
  <c r="AL52" i="32"/>
  <c r="AK52" i="32"/>
  <c r="AJ52" i="32"/>
  <c r="AF52" i="32"/>
  <c r="AG52" i="32" s="1"/>
  <c r="AE52" i="32"/>
  <c r="J52" i="32"/>
  <c r="AP51" i="32"/>
  <c r="AO51" i="32"/>
  <c r="AN51" i="32"/>
  <c r="AL51" i="32"/>
  <c r="AK51" i="32"/>
  <c r="AJ51" i="32"/>
  <c r="AF51" i="32"/>
  <c r="AG51" i="32" s="1"/>
  <c r="AE51" i="32"/>
  <c r="J51" i="32"/>
  <c r="AP50" i="32"/>
  <c r="AO50" i="32"/>
  <c r="AN50" i="32"/>
  <c r="AL50" i="32"/>
  <c r="AK50" i="32"/>
  <c r="AJ50" i="32"/>
  <c r="AF50" i="32"/>
  <c r="AG50" i="32" s="1"/>
  <c r="AE50" i="32"/>
  <c r="J50" i="32"/>
  <c r="AP49" i="32"/>
  <c r="AO49" i="32"/>
  <c r="AN49" i="32"/>
  <c r="AL49" i="32"/>
  <c r="AK49" i="32"/>
  <c r="AJ49" i="32"/>
  <c r="AF49" i="32"/>
  <c r="AG49" i="32" s="1"/>
  <c r="AE49" i="32"/>
  <c r="J49" i="32"/>
  <c r="AP48" i="32"/>
  <c r="AO48" i="32"/>
  <c r="AN48" i="32"/>
  <c r="AL48" i="32"/>
  <c r="AK48" i="32"/>
  <c r="AJ48" i="32"/>
  <c r="AF48" i="32"/>
  <c r="AG48" i="32" s="1"/>
  <c r="AE48" i="32"/>
  <c r="J48" i="32"/>
  <c r="AP47" i="32"/>
  <c r="AO47" i="32"/>
  <c r="AN47" i="32"/>
  <c r="AL47" i="32"/>
  <c r="AK47" i="32"/>
  <c r="AJ47" i="32"/>
  <c r="AF47" i="32"/>
  <c r="AG47" i="32" s="1"/>
  <c r="AE47" i="32"/>
  <c r="J47" i="32"/>
  <c r="AP46" i="32"/>
  <c r="AO46" i="32"/>
  <c r="AN46" i="32"/>
  <c r="AL46" i="32"/>
  <c r="AK46" i="32"/>
  <c r="AJ46" i="32"/>
  <c r="AI46" i="32"/>
  <c r="AF46" i="32"/>
  <c r="AG46" i="32" s="1"/>
  <c r="AE46" i="32"/>
  <c r="AB46" i="32"/>
  <c r="X46" i="32"/>
  <c r="S46" i="32"/>
  <c r="R46" i="32"/>
  <c r="P46" i="32"/>
  <c r="N46" i="32"/>
  <c r="M46" i="32"/>
  <c r="L46" i="32"/>
  <c r="K46" i="32"/>
  <c r="J46" i="32"/>
  <c r="AP45" i="32"/>
  <c r="AO45" i="32"/>
  <c r="AN45" i="32"/>
  <c r="AL45" i="32"/>
  <c r="AK45" i="32"/>
  <c r="AJ45" i="32"/>
  <c r="AI45" i="32"/>
  <c r="AF45" i="32"/>
  <c r="AG45" i="32" s="1"/>
  <c r="AE45" i="32"/>
  <c r="AB45" i="32"/>
  <c r="X45" i="32"/>
  <c r="S45" i="32"/>
  <c r="R45" i="32"/>
  <c r="N45" i="32"/>
  <c r="M45" i="32"/>
  <c r="L45" i="32"/>
  <c r="K45" i="32"/>
  <c r="J45" i="32"/>
  <c r="AP44" i="32"/>
  <c r="AO44" i="32"/>
  <c r="AN44" i="32"/>
  <c r="AL44" i="32"/>
  <c r="AK44" i="32"/>
  <c r="AJ44" i="32"/>
  <c r="AF44" i="32"/>
  <c r="AG44" i="32" s="1"/>
  <c r="AE44" i="32"/>
  <c r="J44" i="32"/>
  <c r="AP43" i="32"/>
  <c r="AO43" i="32"/>
  <c r="AN43" i="32"/>
  <c r="AL43" i="32"/>
  <c r="AK43" i="32"/>
  <c r="AJ43" i="32"/>
  <c r="AF43" i="32"/>
  <c r="AG43" i="32" s="1"/>
  <c r="AE43" i="32"/>
  <c r="J43" i="32"/>
  <c r="AP42" i="32"/>
  <c r="AO42" i="32"/>
  <c r="AN42" i="32"/>
  <c r="AL42" i="32"/>
  <c r="AK42" i="32"/>
  <c r="AJ42" i="32"/>
  <c r="AI42" i="32"/>
  <c r="AF42" i="32"/>
  <c r="AG42" i="32" s="1"/>
  <c r="AE42" i="32"/>
  <c r="AB42" i="32"/>
  <c r="X42" i="32"/>
  <c r="S42" i="32"/>
  <c r="R42" i="32"/>
  <c r="N42" i="32"/>
  <c r="M42" i="32"/>
  <c r="L42" i="32"/>
  <c r="K42" i="32"/>
  <c r="J42" i="32"/>
  <c r="AP41" i="32"/>
  <c r="AO41" i="32"/>
  <c r="AN41" i="32"/>
  <c r="AL41" i="32"/>
  <c r="AK41" i="32"/>
  <c r="AJ41" i="32"/>
  <c r="AI41" i="32"/>
  <c r="AF41" i="32"/>
  <c r="AG41" i="32" s="1"/>
  <c r="AE41" i="32"/>
  <c r="AB41" i="32"/>
  <c r="X41" i="32"/>
  <c r="S41" i="32"/>
  <c r="R41" i="32"/>
  <c r="N41" i="32"/>
  <c r="M41" i="32"/>
  <c r="L41" i="32"/>
  <c r="K41" i="32"/>
  <c r="J41" i="32"/>
  <c r="AP40" i="32"/>
  <c r="AO40" i="32"/>
  <c r="AN40" i="32"/>
  <c r="AL40" i="32"/>
  <c r="AK40" i="32"/>
  <c r="AJ40" i="32"/>
  <c r="AF40" i="32"/>
  <c r="AG40" i="32" s="1"/>
  <c r="AE40" i="32"/>
  <c r="J40" i="32"/>
  <c r="AP39" i="32"/>
  <c r="AO39" i="32"/>
  <c r="AN39" i="32"/>
  <c r="AL39" i="32"/>
  <c r="AK39" i="32"/>
  <c r="AJ39" i="32"/>
  <c r="AF39" i="32"/>
  <c r="AG39" i="32" s="1"/>
  <c r="AE39" i="32"/>
  <c r="J39" i="32"/>
  <c r="AP38" i="32"/>
  <c r="AO38" i="32"/>
  <c r="AN38" i="32"/>
  <c r="AL38" i="32"/>
  <c r="AK38" i="32"/>
  <c r="AJ38" i="32"/>
  <c r="AF38" i="32"/>
  <c r="AG38" i="32" s="1"/>
  <c r="AE38" i="32"/>
  <c r="J38" i="32"/>
  <c r="AP37" i="32"/>
  <c r="AO37" i="32"/>
  <c r="AN37" i="32"/>
  <c r="AL37" i="32"/>
  <c r="AK37" i="32"/>
  <c r="AJ37" i="32"/>
  <c r="AI37" i="32"/>
  <c r="AF37" i="32"/>
  <c r="AG37" i="32" s="1"/>
  <c r="AE37" i="32"/>
  <c r="AB37" i="32"/>
  <c r="X37" i="32"/>
  <c r="S37" i="32"/>
  <c r="R37" i="32"/>
  <c r="N37" i="32"/>
  <c r="M37" i="32"/>
  <c r="L37" i="32"/>
  <c r="K37" i="32"/>
  <c r="J37" i="32"/>
  <c r="AP36" i="32"/>
  <c r="AO36" i="32"/>
  <c r="AN36" i="32"/>
  <c r="AL36" i="32"/>
  <c r="AK36" i="32"/>
  <c r="AJ36" i="32"/>
  <c r="AF36" i="32"/>
  <c r="AG36" i="32" s="1"/>
  <c r="AE36" i="32"/>
  <c r="J36" i="32"/>
  <c r="AP35" i="32"/>
  <c r="AO35" i="32"/>
  <c r="AN35" i="32"/>
  <c r="AL35" i="32"/>
  <c r="AK35" i="32"/>
  <c r="AJ35" i="32"/>
  <c r="AF35" i="32"/>
  <c r="AG35" i="32" s="1"/>
  <c r="AE35" i="32"/>
  <c r="J35" i="32"/>
  <c r="AP34" i="32"/>
  <c r="AO34" i="32"/>
  <c r="AN34" i="32"/>
  <c r="AL34" i="32"/>
  <c r="AK34" i="32"/>
  <c r="AJ34" i="32"/>
  <c r="AF34" i="32"/>
  <c r="AG34" i="32" s="1"/>
  <c r="AE34" i="32"/>
  <c r="J34" i="32"/>
  <c r="AP33" i="32"/>
  <c r="AO33" i="32"/>
  <c r="AN33" i="32"/>
  <c r="AL33" i="32"/>
  <c r="AK33" i="32"/>
  <c r="AJ33" i="32"/>
  <c r="AF33" i="32"/>
  <c r="AG33" i="32" s="1"/>
  <c r="AE33" i="32"/>
  <c r="J33" i="32"/>
  <c r="AP32" i="32"/>
  <c r="AO32" i="32"/>
  <c r="AN32" i="32"/>
  <c r="AL32" i="32"/>
  <c r="AK32" i="32"/>
  <c r="AJ32" i="32"/>
  <c r="AF32" i="32"/>
  <c r="AG32" i="32" s="1"/>
  <c r="AE32" i="32"/>
  <c r="J32" i="32"/>
  <c r="AP31" i="32"/>
  <c r="AO31" i="32"/>
  <c r="AN31" i="32"/>
  <c r="AL31" i="32"/>
  <c r="AK31" i="32"/>
  <c r="AJ31" i="32"/>
  <c r="AI31" i="32"/>
  <c r="AF31" i="32"/>
  <c r="AG31" i="32" s="1"/>
  <c r="AE31" i="32"/>
  <c r="AB31" i="32"/>
  <c r="X31" i="32"/>
  <c r="S31" i="32"/>
  <c r="R31" i="32"/>
  <c r="N31" i="32"/>
  <c r="M31" i="32"/>
  <c r="L31" i="32"/>
  <c r="K31" i="32"/>
  <c r="J31" i="32"/>
  <c r="AP30" i="32"/>
  <c r="AO30" i="32"/>
  <c r="AN30" i="32"/>
  <c r="AL30" i="32"/>
  <c r="AK30" i="32"/>
  <c r="AJ30" i="32"/>
  <c r="AF30" i="32"/>
  <c r="AG30" i="32" s="1"/>
  <c r="AE30" i="32"/>
  <c r="J30" i="32"/>
  <c r="AP29" i="32"/>
  <c r="AO29" i="32"/>
  <c r="AN29" i="32"/>
  <c r="AL29" i="32"/>
  <c r="AK29" i="32"/>
  <c r="AJ29" i="32"/>
  <c r="AI29" i="32"/>
  <c r="AF29" i="32"/>
  <c r="AG29" i="32" s="1"/>
  <c r="AE29" i="32"/>
  <c r="AB29" i="32"/>
  <c r="X29" i="32"/>
  <c r="P29" i="32"/>
  <c r="O29" i="32"/>
  <c r="N29" i="32"/>
  <c r="M29" i="32"/>
  <c r="L29" i="32"/>
  <c r="K29" i="32"/>
  <c r="J29" i="32"/>
  <c r="AP28" i="32"/>
  <c r="AO28" i="32"/>
  <c r="AN28" i="32"/>
  <c r="AL28" i="32"/>
  <c r="AK28" i="32"/>
  <c r="AJ28" i="32"/>
  <c r="AF28" i="32"/>
  <c r="AG28" i="32" s="1"/>
  <c r="AE28" i="32"/>
  <c r="J28" i="32"/>
  <c r="AP27" i="32"/>
  <c r="AO27" i="32"/>
  <c r="AN27" i="32"/>
  <c r="AL27" i="32"/>
  <c r="AK27" i="32"/>
  <c r="AJ27" i="32"/>
  <c r="AI27" i="32"/>
  <c r="AF27" i="32"/>
  <c r="AG27" i="32" s="1"/>
  <c r="AE27" i="32"/>
  <c r="AB27" i="32"/>
  <c r="X27" i="32"/>
  <c r="N27" i="32"/>
  <c r="M27" i="32"/>
  <c r="L27" i="32"/>
  <c r="K27" i="32"/>
  <c r="J27" i="32"/>
  <c r="AP26" i="32"/>
  <c r="AO26" i="32"/>
  <c r="AN26" i="32"/>
  <c r="AL26" i="32"/>
  <c r="AK26" i="32"/>
  <c r="AJ26" i="32"/>
  <c r="AI26" i="32"/>
  <c r="AF26" i="32"/>
  <c r="AG26" i="32" s="1"/>
  <c r="AE26" i="32"/>
  <c r="AB26" i="32"/>
  <c r="X26" i="32"/>
  <c r="N26" i="32"/>
  <c r="M26" i="32"/>
  <c r="L26" i="32"/>
  <c r="K26" i="32"/>
  <c r="J26" i="32"/>
  <c r="AP25" i="32"/>
  <c r="AO25" i="32"/>
  <c r="AN25" i="32"/>
  <c r="AL25" i="32"/>
  <c r="AK25" i="32"/>
  <c r="AJ25" i="32"/>
  <c r="AI25" i="32"/>
  <c r="AF25" i="32"/>
  <c r="AG25" i="32" s="1"/>
  <c r="AE25" i="32"/>
  <c r="AB25" i="32"/>
  <c r="X25" i="32"/>
  <c r="P25" i="32"/>
  <c r="N25" i="32"/>
  <c r="M25" i="32"/>
  <c r="L25" i="32"/>
  <c r="K25" i="32"/>
  <c r="J25" i="32"/>
  <c r="AP24" i="32"/>
  <c r="AO24" i="32"/>
  <c r="AN24" i="32"/>
  <c r="AL24" i="32"/>
  <c r="AK24" i="32"/>
  <c r="AJ24" i="32"/>
  <c r="AI24" i="32"/>
  <c r="AF24" i="32"/>
  <c r="AG24" i="32" s="1"/>
  <c r="AE24" i="32"/>
  <c r="AB24" i="32"/>
  <c r="X24" i="32"/>
  <c r="P24" i="32"/>
  <c r="O24" i="32"/>
  <c r="N24" i="32"/>
  <c r="M24" i="32"/>
  <c r="L24" i="32"/>
  <c r="K24" i="32"/>
  <c r="J24" i="32"/>
  <c r="AP23" i="32"/>
  <c r="AO23" i="32"/>
  <c r="AN23" i="32"/>
  <c r="AL23" i="32"/>
  <c r="AK23" i="32"/>
  <c r="AJ23" i="32"/>
  <c r="AI23" i="32"/>
  <c r="AF23" i="32"/>
  <c r="AG23" i="32" s="1"/>
  <c r="AE23" i="32"/>
  <c r="AB23" i="32"/>
  <c r="X23" i="32"/>
  <c r="N23" i="32"/>
  <c r="M23" i="32"/>
  <c r="L23" i="32"/>
  <c r="K23" i="32"/>
  <c r="J23" i="32"/>
  <c r="AP22" i="32"/>
  <c r="AO22" i="32"/>
  <c r="AN22" i="32"/>
  <c r="AL22" i="32"/>
  <c r="AK22" i="32"/>
  <c r="AJ22" i="32"/>
  <c r="AI22" i="32"/>
  <c r="AF22" i="32"/>
  <c r="AG22" i="32" s="1"/>
  <c r="AE22" i="32"/>
  <c r="AB22" i="32"/>
  <c r="X22" i="32"/>
  <c r="N22" i="32"/>
  <c r="M22" i="32"/>
  <c r="L22" i="32"/>
  <c r="K22" i="32"/>
  <c r="J22" i="32"/>
  <c r="AP21" i="32"/>
  <c r="AO21" i="32"/>
  <c r="AN21" i="32"/>
  <c r="AL21" i="32"/>
  <c r="AK21" i="32"/>
  <c r="AJ21" i="32"/>
  <c r="AI21" i="32"/>
  <c r="AF21" i="32"/>
  <c r="AG21" i="32" s="1"/>
  <c r="AE21" i="32"/>
  <c r="AB21" i="32"/>
  <c r="X21" i="32"/>
  <c r="P21" i="32"/>
  <c r="N21" i="32"/>
  <c r="M21" i="32"/>
  <c r="L21" i="32"/>
  <c r="K21" i="32"/>
  <c r="J21" i="32"/>
  <c r="AP20" i="32"/>
  <c r="AO20" i="32"/>
  <c r="AN20" i="32"/>
  <c r="AL20" i="32"/>
  <c r="AK20" i="32"/>
  <c r="AJ20" i="32"/>
  <c r="AF20" i="32"/>
  <c r="AG20" i="32" s="1"/>
  <c r="AE20" i="32"/>
  <c r="J20" i="32"/>
  <c r="AP19" i="32"/>
  <c r="AO19" i="32"/>
  <c r="AN19" i="32"/>
  <c r="AL19" i="32"/>
  <c r="AK19" i="32"/>
  <c r="AJ19" i="32"/>
  <c r="AI19" i="32"/>
  <c r="AF19" i="32"/>
  <c r="AG19" i="32" s="1"/>
  <c r="AE19" i="32"/>
  <c r="AB19" i="32"/>
  <c r="X19" i="32"/>
  <c r="N19" i="32"/>
  <c r="M19" i="32"/>
  <c r="L19" i="32"/>
  <c r="K19" i="32"/>
  <c r="J19" i="32"/>
  <c r="AP18" i="32"/>
  <c r="AO18" i="32"/>
  <c r="AN18" i="32"/>
  <c r="AL18" i="32"/>
  <c r="AK18" i="32"/>
  <c r="AJ18" i="32"/>
  <c r="AI18" i="32"/>
  <c r="AF18" i="32"/>
  <c r="AG18" i="32" s="1"/>
  <c r="AE18" i="32"/>
  <c r="AB18" i="32"/>
  <c r="X18" i="32"/>
  <c r="N18" i="32"/>
  <c r="M18" i="32"/>
  <c r="L18" i="32"/>
  <c r="K18" i="32"/>
  <c r="J18" i="32"/>
  <c r="AP17" i="32"/>
  <c r="AO17" i="32"/>
  <c r="AN17" i="32"/>
  <c r="AL17" i="32"/>
  <c r="AK17" i="32"/>
  <c r="AJ17" i="32"/>
  <c r="AI17" i="32"/>
  <c r="AF17" i="32"/>
  <c r="AG17" i="32" s="1"/>
  <c r="AE17" i="32"/>
  <c r="AB17" i="32"/>
  <c r="X17" i="32"/>
  <c r="N17" i="32"/>
  <c r="M17" i="32"/>
  <c r="L17" i="32"/>
  <c r="K17" i="32"/>
  <c r="J17" i="32"/>
  <c r="AP16" i="32"/>
  <c r="AO16" i="32"/>
  <c r="AN16" i="32"/>
  <c r="AL16" i="32"/>
  <c r="AK16" i="32"/>
  <c r="AJ16" i="32"/>
  <c r="AI16" i="32"/>
  <c r="AF16" i="32"/>
  <c r="AG16" i="32" s="1"/>
  <c r="AE16" i="32"/>
  <c r="AB16" i="32"/>
  <c r="X16" i="32"/>
  <c r="N16" i="32"/>
  <c r="M16" i="32"/>
  <c r="L16" i="32"/>
  <c r="K16" i="32"/>
  <c r="J16" i="32"/>
  <c r="AP15" i="32"/>
  <c r="AO15" i="32"/>
  <c r="AN15" i="32"/>
  <c r="AL15" i="32"/>
  <c r="AK15" i="32"/>
  <c r="AJ15" i="32"/>
  <c r="AI15" i="32"/>
  <c r="AF15" i="32"/>
  <c r="AG15" i="32" s="1"/>
  <c r="AE15" i="32"/>
  <c r="AB15" i="32"/>
  <c r="X15" i="32"/>
  <c r="N15" i="32"/>
  <c r="M15" i="32"/>
  <c r="L15" i="32"/>
  <c r="K15" i="32"/>
  <c r="J15" i="32"/>
  <c r="AP14" i="32"/>
  <c r="AO14" i="32"/>
  <c r="AN14" i="32"/>
  <c r="AL14" i="32"/>
  <c r="AK14" i="32"/>
  <c r="AJ14" i="32"/>
  <c r="AI14" i="32"/>
  <c r="AF14" i="32"/>
  <c r="AG14" i="32" s="1"/>
  <c r="AE14" i="32"/>
  <c r="AB14" i="32"/>
  <c r="X14" i="32"/>
  <c r="N14" i="32"/>
  <c r="M14" i="32"/>
  <c r="L14" i="32"/>
  <c r="K14" i="32"/>
  <c r="J14" i="32"/>
  <c r="AP13" i="32"/>
  <c r="AO13" i="32"/>
  <c r="AN13" i="32"/>
  <c r="AL13" i="32"/>
  <c r="AK13" i="32"/>
  <c r="AJ13" i="32"/>
  <c r="AI13" i="32"/>
  <c r="AF13" i="32"/>
  <c r="AG13" i="32" s="1"/>
  <c r="AE13" i="32"/>
  <c r="AB13" i="32"/>
  <c r="X13" i="32"/>
  <c r="N13" i="32"/>
  <c r="M13" i="32"/>
  <c r="L13" i="32"/>
  <c r="K13" i="32"/>
  <c r="J13" i="32"/>
  <c r="AP12" i="32"/>
  <c r="AO12" i="32"/>
  <c r="AN12" i="32"/>
  <c r="AL12" i="32"/>
  <c r="AK12" i="32"/>
  <c r="AJ12" i="32"/>
  <c r="AI12" i="32"/>
  <c r="AF12" i="32"/>
  <c r="AG12" i="32" s="1"/>
  <c r="AE12" i="32"/>
  <c r="AB12" i="32"/>
  <c r="X12" i="32"/>
  <c r="N12" i="32"/>
  <c r="M12" i="32"/>
  <c r="L12" i="32"/>
  <c r="K12" i="32"/>
  <c r="J12" i="32"/>
  <c r="AP11" i="32"/>
  <c r="AO11" i="32"/>
  <c r="AN11" i="32"/>
  <c r="AL11" i="32"/>
  <c r="AK11" i="32"/>
  <c r="AJ11" i="32"/>
  <c r="AI11" i="32"/>
  <c r="AF11" i="32"/>
  <c r="AG11" i="32" s="1"/>
  <c r="AE11" i="32"/>
  <c r="AB11" i="32"/>
  <c r="X11" i="32"/>
  <c r="N11" i="32"/>
  <c r="M11" i="32"/>
  <c r="L11" i="32"/>
  <c r="K11" i="32"/>
  <c r="J11" i="32"/>
  <c r="AP10" i="32"/>
  <c r="AO10" i="32"/>
  <c r="AN10" i="32"/>
  <c r="AL10" i="32"/>
  <c r="AK10" i="32"/>
  <c r="AJ10" i="32"/>
  <c r="AI10" i="32"/>
  <c r="AF10" i="32"/>
  <c r="AG10" i="32" s="1"/>
  <c r="AE10" i="32"/>
  <c r="AB10" i="32"/>
  <c r="X10" i="32"/>
  <c r="N10" i="32"/>
  <c r="M10" i="32"/>
  <c r="L10" i="32"/>
  <c r="K10" i="32"/>
  <c r="J10" i="32"/>
  <c r="AP9" i="32"/>
  <c r="AO9" i="32"/>
  <c r="AN9" i="32"/>
  <c r="AL9" i="32"/>
  <c r="AK9" i="32"/>
  <c r="AJ9" i="32"/>
  <c r="AI9" i="32"/>
  <c r="AF9" i="32"/>
  <c r="AG9" i="32" s="1"/>
  <c r="AE9" i="32"/>
  <c r="AB9" i="32"/>
  <c r="X9" i="32"/>
  <c r="N9" i="32"/>
  <c r="M9" i="32"/>
  <c r="L9" i="32"/>
  <c r="K9" i="32"/>
  <c r="J9" i="32"/>
  <c r="AP8" i="32"/>
  <c r="AO8" i="32"/>
  <c r="AN8" i="32"/>
  <c r="AL8" i="32"/>
  <c r="AK8" i="32"/>
  <c r="AJ8" i="32"/>
  <c r="AI8" i="32"/>
  <c r="AF8" i="32"/>
  <c r="AG8" i="32" s="1"/>
  <c r="AE8" i="32"/>
  <c r="AB8" i="32"/>
  <c r="X8" i="32"/>
  <c r="N8" i="32"/>
  <c r="M8" i="32"/>
  <c r="L8" i="32"/>
  <c r="K8" i="32"/>
  <c r="J8" i="32"/>
  <c r="AP7" i="32"/>
  <c r="AO7" i="32"/>
  <c r="AN7" i="32"/>
  <c r="AL7" i="32"/>
  <c r="AK7" i="32"/>
  <c r="AJ7" i="32"/>
  <c r="AI7" i="32"/>
  <c r="AF7" i="32"/>
  <c r="AE7" i="32"/>
  <c r="AB7" i="32"/>
  <c r="X7" i="32"/>
  <c r="N7" i="32"/>
  <c r="M7" i="32"/>
  <c r="L7" i="32"/>
  <c r="K7" i="32"/>
  <c r="J7" i="32"/>
  <c r="AP6" i="32"/>
  <c r="AO6" i="32"/>
  <c r="AN6" i="32"/>
  <c r="AL6" i="32"/>
  <c r="AK6" i="32"/>
  <c r="AJ6" i="32"/>
  <c r="AI6" i="32"/>
  <c r="AF6" i="32"/>
  <c r="AG6" i="32" s="1"/>
  <c r="AE6" i="32"/>
  <c r="AB6" i="32"/>
  <c r="X6" i="32"/>
  <c r="P6" i="32"/>
  <c r="O6" i="32"/>
  <c r="N6" i="32"/>
  <c r="M6" i="32"/>
  <c r="L6" i="32"/>
  <c r="K6" i="32"/>
  <c r="J6" i="32"/>
  <c r="AL99" i="31"/>
  <c r="AK98" i="31"/>
  <c r="AK96" i="31"/>
  <c r="AL83" i="31"/>
  <c r="AK83" i="31"/>
  <c r="AJ83" i="31"/>
  <c r="AI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AL82" i="31"/>
  <c r="AK82" i="31"/>
  <c r="AJ82" i="31"/>
  <c r="AI82" i="31"/>
  <c r="AF82" i="31"/>
  <c r="AG82" i="31" s="1"/>
  <c r="AE82" i="31"/>
  <c r="AB82" i="31"/>
  <c r="X82" i="31"/>
  <c r="V82" i="31"/>
  <c r="S82" i="31"/>
  <c r="R82" i="31"/>
  <c r="N82" i="31"/>
  <c r="M82" i="31"/>
  <c r="L82" i="31"/>
  <c r="K82" i="31"/>
  <c r="J82" i="31"/>
  <c r="AL81" i="31"/>
  <c r="AK81" i="31"/>
  <c r="AJ81" i="31"/>
  <c r="AI81" i="31"/>
  <c r="AF81" i="31"/>
  <c r="AG81" i="31" s="1"/>
  <c r="AE81" i="31"/>
  <c r="AB81" i="31"/>
  <c r="X81" i="31"/>
  <c r="P81" i="31"/>
  <c r="N81" i="31"/>
  <c r="M81" i="31"/>
  <c r="L81" i="31"/>
  <c r="K81" i="31"/>
  <c r="J81" i="31"/>
  <c r="AL80" i="31"/>
  <c r="AK80" i="31"/>
  <c r="AJ80" i="31"/>
  <c r="AI80" i="31"/>
  <c r="AF80" i="31"/>
  <c r="AG80" i="31" s="1"/>
  <c r="AE80" i="31"/>
  <c r="AB80" i="31"/>
  <c r="X80" i="31"/>
  <c r="P80" i="31"/>
  <c r="N80" i="31"/>
  <c r="M80" i="31"/>
  <c r="L80" i="31"/>
  <c r="K80" i="31"/>
  <c r="J80" i="31"/>
  <c r="AL79" i="31"/>
  <c r="AK79" i="31"/>
  <c r="AJ79" i="31"/>
  <c r="AI79" i="31"/>
  <c r="AF79" i="31"/>
  <c r="AG79" i="31" s="1"/>
  <c r="AE79" i="31"/>
  <c r="AB79" i="31"/>
  <c r="X79" i="31"/>
  <c r="P79" i="31"/>
  <c r="N79" i="31"/>
  <c r="M79" i="31"/>
  <c r="L79" i="31"/>
  <c r="K79" i="31"/>
  <c r="J79" i="31"/>
  <c r="AL78" i="31"/>
  <c r="AK78" i="31"/>
  <c r="AJ78" i="31"/>
  <c r="AI78" i="31"/>
  <c r="AF78" i="31"/>
  <c r="AG78" i="31" s="1"/>
  <c r="AE78" i="31"/>
  <c r="AB78" i="31"/>
  <c r="X78" i="31"/>
  <c r="P78" i="31"/>
  <c r="N78" i="31"/>
  <c r="M78" i="31"/>
  <c r="L78" i="31"/>
  <c r="K78" i="31"/>
  <c r="J78" i="31"/>
  <c r="AL77" i="31"/>
  <c r="AK77" i="31"/>
  <c r="AJ77" i="31"/>
  <c r="AI77" i="31"/>
  <c r="AF77" i="31"/>
  <c r="AG77" i="31" s="1"/>
  <c r="AE77" i="31"/>
  <c r="AB77" i="31"/>
  <c r="X77" i="31"/>
  <c r="P77" i="31"/>
  <c r="N77" i="31"/>
  <c r="M77" i="31"/>
  <c r="L77" i="31"/>
  <c r="K77" i="31"/>
  <c r="J77" i="31"/>
  <c r="AL76" i="31"/>
  <c r="AK76" i="31"/>
  <c r="AJ76" i="31"/>
  <c r="AI76" i="31"/>
  <c r="AF76" i="31"/>
  <c r="AG76" i="31" s="1"/>
  <c r="AE76" i="31"/>
  <c r="AB76" i="31"/>
  <c r="X76" i="31"/>
  <c r="V76" i="31"/>
  <c r="S76" i="31"/>
  <c r="R76" i="31"/>
  <c r="N76" i="31"/>
  <c r="M76" i="31"/>
  <c r="L76" i="31"/>
  <c r="K76" i="31"/>
  <c r="J76" i="31"/>
  <c r="AL75" i="31"/>
  <c r="AK75" i="31"/>
  <c r="AJ75" i="31"/>
  <c r="AI75" i="31"/>
  <c r="AF75" i="31"/>
  <c r="AG75" i="31" s="1"/>
  <c r="AE75" i="31"/>
  <c r="AB75" i="31"/>
  <c r="X75" i="31"/>
  <c r="V75" i="31"/>
  <c r="S75" i="31"/>
  <c r="R75" i="31"/>
  <c r="N75" i="31"/>
  <c r="M75" i="31"/>
  <c r="L75" i="31"/>
  <c r="K75" i="31"/>
  <c r="J75" i="31"/>
  <c r="AL74" i="31"/>
  <c r="AK74" i="31"/>
  <c r="AJ74" i="31"/>
  <c r="AI74" i="31"/>
  <c r="AF74" i="31"/>
  <c r="AG74" i="31" s="1"/>
  <c r="AE74" i="31"/>
  <c r="AB74" i="31"/>
  <c r="X74" i="31"/>
  <c r="V74" i="31"/>
  <c r="S74" i="31"/>
  <c r="R74" i="31"/>
  <c r="N74" i="31"/>
  <c r="M74" i="31"/>
  <c r="L74" i="31"/>
  <c r="K74" i="31"/>
  <c r="J74" i="31"/>
  <c r="AL73" i="31"/>
  <c r="AK73" i="31"/>
  <c r="AJ73" i="31"/>
  <c r="AI73" i="31"/>
  <c r="AF73" i="31"/>
  <c r="AG73" i="31" s="1"/>
  <c r="AE73" i="31"/>
  <c r="AB73" i="31"/>
  <c r="X73" i="31"/>
  <c r="V73" i="31"/>
  <c r="S73" i="31"/>
  <c r="R73" i="31"/>
  <c r="N73" i="31"/>
  <c r="M73" i="31"/>
  <c r="L73" i="31"/>
  <c r="K73" i="31"/>
  <c r="J73" i="31"/>
  <c r="AL72" i="31"/>
  <c r="AK72" i="31"/>
  <c r="AJ72" i="31"/>
  <c r="AI72" i="31"/>
  <c r="AF72" i="31"/>
  <c r="AG72" i="31" s="1"/>
  <c r="AE72" i="31"/>
  <c r="AB72" i="31"/>
  <c r="X72" i="31"/>
  <c r="V72" i="31"/>
  <c r="S72" i="31"/>
  <c r="R72" i="31"/>
  <c r="N72" i="31"/>
  <c r="M72" i="31"/>
  <c r="L72" i="31"/>
  <c r="K72" i="31"/>
  <c r="J72" i="31"/>
  <c r="AL71" i="31"/>
  <c r="AK71" i="31"/>
  <c r="AJ71" i="31"/>
  <c r="AI71" i="31"/>
  <c r="AF71" i="31"/>
  <c r="AG71" i="31" s="1"/>
  <c r="AE71" i="31"/>
  <c r="AB71" i="31"/>
  <c r="X71" i="31"/>
  <c r="V71" i="31"/>
  <c r="S71" i="31"/>
  <c r="R71" i="31"/>
  <c r="N71" i="31"/>
  <c r="M71" i="31"/>
  <c r="L71" i="31"/>
  <c r="K71" i="31"/>
  <c r="J71" i="31"/>
  <c r="AL70" i="31"/>
  <c r="AK70" i="31"/>
  <c r="AJ70" i="31"/>
  <c r="AI70" i="31"/>
  <c r="AF70" i="31"/>
  <c r="AG70" i="31" s="1"/>
  <c r="AE70" i="31"/>
  <c r="AB70" i="31"/>
  <c r="X70" i="31"/>
  <c r="V70" i="31"/>
  <c r="S70" i="31"/>
  <c r="R70" i="31"/>
  <c r="N70" i="31"/>
  <c r="M70" i="31"/>
  <c r="L70" i="31"/>
  <c r="K70" i="31"/>
  <c r="J70" i="31"/>
  <c r="AL69" i="31"/>
  <c r="AK69" i="31"/>
  <c r="AJ69" i="31"/>
  <c r="AI69" i="31"/>
  <c r="AF69" i="31"/>
  <c r="AG69" i="31" s="1"/>
  <c r="AE69" i="31"/>
  <c r="AB69" i="31"/>
  <c r="X69" i="31"/>
  <c r="V69" i="31"/>
  <c r="S69" i="31"/>
  <c r="R69" i="31"/>
  <c r="N69" i="31"/>
  <c r="M69" i="31"/>
  <c r="L69" i="31"/>
  <c r="K69" i="31"/>
  <c r="J69" i="31"/>
  <c r="AL68" i="31"/>
  <c r="AK68" i="31"/>
  <c r="AJ68" i="31"/>
  <c r="AI68" i="31"/>
  <c r="AF68" i="31"/>
  <c r="AG68" i="31" s="1"/>
  <c r="AE68" i="31"/>
  <c r="AB68" i="31"/>
  <c r="X68" i="31"/>
  <c r="V68" i="31"/>
  <c r="S68" i="31"/>
  <c r="R68" i="31"/>
  <c r="N68" i="31"/>
  <c r="M68" i="31"/>
  <c r="L68" i="31"/>
  <c r="K68" i="31"/>
  <c r="J68" i="31"/>
  <c r="AL67" i="31"/>
  <c r="AK67" i="31"/>
  <c r="AJ67" i="31"/>
  <c r="AI67" i="31"/>
  <c r="AF67" i="31"/>
  <c r="AG67" i="31" s="1"/>
  <c r="AE67" i="31"/>
  <c r="AB67" i="31"/>
  <c r="X67" i="31"/>
  <c r="V67" i="31"/>
  <c r="S67" i="31"/>
  <c r="R67" i="31"/>
  <c r="N67" i="31"/>
  <c r="M67" i="31"/>
  <c r="L67" i="31"/>
  <c r="K67" i="31"/>
  <c r="J67" i="31"/>
  <c r="AL66" i="31"/>
  <c r="AK66" i="31"/>
  <c r="AJ66" i="31"/>
  <c r="AI66" i="31"/>
  <c r="AF66" i="31"/>
  <c r="AG66" i="31" s="1"/>
  <c r="AE66" i="31"/>
  <c r="AB66" i="31"/>
  <c r="X66" i="31"/>
  <c r="Q66" i="31"/>
  <c r="P66" i="31"/>
  <c r="O66" i="31"/>
  <c r="N66" i="31"/>
  <c r="M66" i="31"/>
  <c r="L66" i="31"/>
  <c r="K66" i="31"/>
  <c r="J66" i="31"/>
  <c r="AL65" i="31"/>
  <c r="AK65" i="31"/>
  <c r="AJ65" i="31"/>
  <c r="AI65" i="31"/>
  <c r="AF65" i="31"/>
  <c r="AG65" i="31" s="1"/>
  <c r="AE65" i="31"/>
  <c r="AB65" i="31"/>
  <c r="X65" i="31"/>
  <c r="Q65" i="31"/>
  <c r="P65" i="31"/>
  <c r="O65" i="31"/>
  <c r="N65" i="31"/>
  <c r="M65" i="31"/>
  <c r="L65" i="31"/>
  <c r="K65" i="31"/>
  <c r="J65" i="31"/>
  <c r="AL64" i="31"/>
  <c r="AK64" i="31"/>
  <c r="AJ64" i="31"/>
  <c r="AI64" i="31"/>
  <c r="AF64" i="31"/>
  <c r="AG64" i="31" s="1"/>
  <c r="AE64" i="31"/>
  <c r="AB64" i="31"/>
  <c r="X64" i="31"/>
  <c r="Q64" i="31"/>
  <c r="P64" i="31"/>
  <c r="O64" i="31"/>
  <c r="N64" i="31"/>
  <c r="M64" i="31"/>
  <c r="L64" i="31"/>
  <c r="K64" i="31"/>
  <c r="J64" i="31"/>
  <c r="AL63" i="31"/>
  <c r="AK63" i="31"/>
  <c r="AJ63" i="31"/>
  <c r="AI63" i="31"/>
  <c r="AF63" i="31"/>
  <c r="AG63" i="31" s="1"/>
  <c r="AE63" i="31"/>
  <c r="AB63" i="31"/>
  <c r="X63" i="31"/>
  <c r="Q63" i="31"/>
  <c r="P63" i="31"/>
  <c r="O63" i="31"/>
  <c r="N63" i="31"/>
  <c r="M63" i="31"/>
  <c r="L63" i="31"/>
  <c r="K63" i="31"/>
  <c r="J63" i="31"/>
  <c r="AL62" i="31"/>
  <c r="AK62" i="31"/>
  <c r="AJ62" i="31"/>
  <c r="AI62" i="31"/>
  <c r="AF62" i="31"/>
  <c r="AG62" i="31" s="1"/>
  <c r="AE62" i="31"/>
  <c r="AB62" i="31"/>
  <c r="X62" i="31"/>
  <c r="W62" i="31"/>
  <c r="V62" i="31"/>
  <c r="S62" i="31"/>
  <c r="R62" i="31"/>
  <c r="N62" i="31"/>
  <c r="M62" i="31"/>
  <c r="L62" i="31"/>
  <c r="K62" i="31"/>
  <c r="J62" i="31"/>
  <c r="AL61" i="31"/>
  <c r="AK61" i="31"/>
  <c r="AJ61" i="31"/>
  <c r="AF61" i="31"/>
  <c r="AG61" i="31" s="1"/>
  <c r="AE61" i="31"/>
  <c r="W61" i="31"/>
  <c r="J61" i="31"/>
  <c r="AL60" i="31"/>
  <c r="AK60" i="31"/>
  <c r="AJ60" i="31"/>
  <c r="AI60" i="31"/>
  <c r="AF60" i="31"/>
  <c r="AG60" i="31" s="1"/>
  <c r="AE60" i="31"/>
  <c r="AB60" i="31"/>
  <c r="X60" i="31"/>
  <c r="W60" i="31"/>
  <c r="V60" i="31"/>
  <c r="S60" i="31"/>
  <c r="R60" i="31"/>
  <c r="N60" i="31"/>
  <c r="M60" i="31"/>
  <c r="L60" i="31"/>
  <c r="K60" i="31"/>
  <c r="J60" i="31"/>
  <c r="AL59" i="31"/>
  <c r="AK59" i="31"/>
  <c r="AJ59" i="31"/>
  <c r="AF59" i="31"/>
  <c r="AG59" i="31" s="1"/>
  <c r="AE59" i="31"/>
  <c r="J59" i="31"/>
  <c r="AL58" i="31"/>
  <c r="AK58" i="31"/>
  <c r="AJ58" i="31"/>
  <c r="AI58" i="31"/>
  <c r="AF58" i="31"/>
  <c r="AG58" i="31" s="1"/>
  <c r="AE58" i="31"/>
  <c r="AB58" i="31"/>
  <c r="X58" i="31"/>
  <c r="W58" i="31"/>
  <c r="V58" i="31"/>
  <c r="S58" i="31"/>
  <c r="R58" i="31"/>
  <c r="N58" i="31"/>
  <c r="M58" i="31"/>
  <c r="L58" i="31"/>
  <c r="K58" i="31"/>
  <c r="J58" i="31"/>
  <c r="AL57" i="31"/>
  <c r="AK57" i="31"/>
  <c r="AJ57" i="31"/>
  <c r="AI57" i="31"/>
  <c r="AF57" i="31"/>
  <c r="AG57" i="31" s="1"/>
  <c r="AE57" i="31"/>
  <c r="AB57" i="31"/>
  <c r="X57" i="31"/>
  <c r="W57" i="31"/>
  <c r="V57" i="31"/>
  <c r="S57" i="31"/>
  <c r="R57" i="31"/>
  <c r="N57" i="31"/>
  <c r="M57" i="31"/>
  <c r="L57" i="31"/>
  <c r="K57" i="31"/>
  <c r="J57" i="31"/>
  <c r="AL56" i="31"/>
  <c r="AK56" i="31"/>
  <c r="AJ56" i="31"/>
  <c r="AF56" i="31"/>
  <c r="AG56" i="31" s="1"/>
  <c r="AE56" i="31"/>
  <c r="J56" i="31"/>
  <c r="AL55" i="31"/>
  <c r="AK55" i="31"/>
  <c r="AJ55" i="31"/>
  <c r="AF55" i="31"/>
  <c r="AG55" i="31" s="1"/>
  <c r="AE55" i="31"/>
  <c r="W55" i="31"/>
  <c r="J55" i="31"/>
  <c r="AL54" i="31"/>
  <c r="AK54" i="31"/>
  <c r="AJ54" i="31"/>
  <c r="AF54" i="31"/>
  <c r="AG54" i="31" s="1"/>
  <c r="AE54" i="31"/>
  <c r="W54" i="31"/>
  <c r="J54" i="31"/>
  <c r="AL53" i="31"/>
  <c r="AK53" i="31"/>
  <c r="AJ53" i="31"/>
  <c r="AI53" i="31"/>
  <c r="AF53" i="31"/>
  <c r="AG53" i="31" s="1"/>
  <c r="AE53" i="31"/>
  <c r="AB53" i="31"/>
  <c r="X53" i="31"/>
  <c r="W53" i="31"/>
  <c r="V53" i="31"/>
  <c r="S53" i="31"/>
  <c r="R53" i="31"/>
  <c r="N53" i="31"/>
  <c r="M53" i="31"/>
  <c r="L53" i="31"/>
  <c r="K53" i="31"/>
  <c r="J53" i="31"/>
  <c r="AL52" i="31"/>
  <c r="AK52" i="31"/>
  <c r="AJ52" i="31"/>
  <c r="AF52" i="31"/>
  <c r="AG52" i="31" s="1"/>
  <c r="AE52" i="31"/>
  <c r="J52" i="31"/>
  <c r="AL51" i="31"/>
  <c r="AK51" i="31"/>
  <c r="AJ51" i="31"/>
  <c r="AF51" i="31"/>
  <c r="AG51" i="31" s="1"/>
  <c r="AE51" i="31"/>
  <c r="J51" i="31"/>
  <c r="AL50" i="31"/>
  <c r="AK50" i="31"/>
  <c r="AJ50" i="31"/>
  <c r="AF50" i="31"/>
  <c r="AG50" i="31" s="1"/>
  <c r="AE50" i="31"/>
  <c r="J50" i="31"/>
  <c r="AL49" i="31"/>
  <c r="AK49" i="31"/>
  <c r="AJ49" i="31"/>
  <c r="AF49" i="31"/>
  <c r="AG49" i="31" s="1"/>
  <c r="AE49" i="31"/>
  <c r="J49" i="31"/>
  <c r="AL48" i="31"/>
  <c r="AK48" i="31"/>
  <c r="AJ48" i="31"/>
  <c r="AF48" i="31"/>
  <c r="AG48" i="31" s="1"/>
  <c r="AE48" i="31"/>
  <c r="J48" i="31"/>
  <c r="AL47" i="31"/>
  <c r="AK47" i="31"/>
  <c r="AJ47" i="31"/>
  <c r="AF47" i="31"/>
  <c r="AG47" i="31" s="1"/>
  <c r="AE47" i="31"/>
  <c r="W47" i="31"/>
  <c r="J47" i="31"/>
  <c r="AL46" i="31"/>
  <c r="AK46" i="31"/>
  <c r="AJ46" i="31"/>
  <c r="AI46" i="31"/>
  <c r="AF46" i="31"/>
  <c r="AG46" i="31" s="1"/>
  <c r="AE46" i="31"/>
  <c r="AB46" i="31"/>
  <c r="X46" i="31"/>
  <c r="W46" i="31"/>
  <c r="V46" i="31"/>
  <c r="S46" i="31"/>
  <c r="R46" i="31"/>
  <c r="N46" i="31"/>
  <c r="M46" i="31"/>
  <c r="L46" i="31"/>
  <c r="K46" i="31"/>
  <c r="J46" i="31"/>
  <c r="AL45" i="31"/>
  <c r="AK45" i="31"/>
  <c r="AJ45" i="31"/>
  <c r="AI45" i="31"/>
  <c r="AF45" i="31"/>
  <c r="AG45" i="31" s="1"/>
  <c r="AE45" i="31"/>
  <c r="AB45" i="31"/>
  <c r="X45" i="31"/>
  <c r="W45" i="31"/>
  <c r="V45" i="31"/>
  <c r="S45" i="31"/>
  <c r="R45" i="31"/>
  <c r="N45" i="31"/>
  <c r="M45" i="31"/>
  <c r="L45" i="31"/>
  <c r="K45" i="31"/>
  <c r="J45" i="31"/>
  <c r="AL44" i="31"/>
  <c r="AK44" i="31"/>
  <c r="AJ44" i="31"/>
  <c r="AF44" i="31"/>
  <c r="AG44" i="31" s="1"/>
  <c r="AE44" i="31"/>
  <c r="J44" i="31"/>
  <c r="AL43" i="31"/>
  <c r="AK43" i="31"/>
  <c r="AJ43" i="31"/>
  <c r="AF43" i="31"/>
  <c r="AG43" i="31" s="1"/>
  <c r="AE43" i="31"/>
  <c r="J43" i="31"/>
  <c r="AL42" i="31"/>
  <c r="AK42" i="31"/>
  <c r="AJ42" i="31"/>
  <c r="AI42" i="31"/>
  <c r="AF42" i="31"/>
  <c r="AG42" i="31" s="1"/>
  <c r="AE42" i="31"/>
  <c r="AB42" i="31"/>
  <c r="X42" i="31"/>
  <c r="W42" i="31"/>
  <c r="V42" i="31"/>
  <c r="S42" i="31"/>
  <c r="R42" i="31"/>
  <c r="N42" i="31"/>
  <c r="M42" i="31"/>
  <c r="L42" i="31"/>
  <c r="K42" i="31"/>
  <c r="J42" i="31"/>
  <c r="AL41" i="31"/>
  <c r="AK41" i="31"/>
  <c r="AJ41" i="31"/>
  <c r="AI41" i="31"/>
  <c r="AF41" i="31"/>
  <c r="AG41" i="31" s="1"/>
  <c r="AE41" i="31"/>
  <c r="AB41" i="31"/>
  <c r="X41" i="31"/>
  <c r="W41" i="31"/>
  <c r="V41" i="31"/>
  <c r="S41" i="31"/>
  <c r="R41" i="31"/>
  <c r="N41" i="31"/>
  <c r="M41" i="31"/>
  <c r="L41" i="31"/>
  <c r="K41" i="31"/>
  <c r="J41" i="31"/>
  <c r="AL40" i="31"/>
  <c r="AK40" i="31"/>
  <c r="AJ40" i="31"/>
  <c r="AF40" i="31"/>
  <c r="AG40" i="31" s="1"/>
  <c r="AE40" i="31"/>
  <c r="J40" i="31"/>
  <c r="AL39" i="31"/>
  <c r="AK39" i="31"/>
  <c r="AJ39" i="31"/>
  <c r="AF39" i="31"/>
  <c r="AG39" i="31" s="1"/>
  <c r="AE39" i="31"/>
  <c r="J39" i="31"/>
  <c r="AL38" i="31"/>
  <c r="AK38" i="31"/>
  <c r="AJ38" i="31"/>
  <c r="AF38" i="31"/>
  <c r="AG38" i="31" s="1"/>
  <c r="AE38" i="31"/>
  <c r="J38" i="31"/>
  <c r="AL37" i="31"/>
  <c r="AK37" i="31"/>
  <c r="AJ37" i="31"/>
  <c r="AI37" i="31"/>
  <c r="AF37" i="31"/>
  <c r="AG37" i="31" s="1"/>
  <c r="AE37" i="31"/>
  <c r="AB37" i="31"/>
  <c r="X37" i="31"/>
  <c r="W37" i="31"/>
  <c r="V37" i="31"/>
  <c r="S37" i="31"/>
  <c r="R37" i="31"/>
  <c r="N37" i="31"/>
  <c r="M37" i="31"/>
  <c r="L37" i="31"/>
  <c r="K37" i="31"/>
  <c r="J37" i="31"/>
  <c r="AL36" i="31"/>
  <c r="AK36" i="31"/>
  <c r="AJ36" i="31"/>
  <c r="AF36" i="31"/>
  <c r="AG36" i="31" s="1"/>
  <c r="AE36" i="31"/>
  <c r="W36" i="31"/>
  <c r="J36" i="31"/>
  <c r="AL35" i="31"/>
  <c r="AK35" i="31"/>
  <c r="AJ35" i="31"/>
  <c r="AF35" i="31"/>
  <c r="AG35" i="31" s="1"/>
  <c r="AE35" i="31"/>
  <c r="W35" i="31"/>
  <c r="J35" i="31"/>
  <c r="AL34" i="31"/>
  <c r="AK34" i="31"/>
  <c r="AJ34" i="31"/>
  <c r="AF34" i="31"/>
  <c r="AG34" i="31" s="1"/>
  <c r="AE34" i="31"/>
  <c r="W34" i="31"/>
  <c r="J34" i="31"/>
  <c r="AL33" i="31"/>
  <c r="AK33" i="31"/>
  <c r="AJ33" i="31"/>
  <c r="AF33" i="31"/>
  <c r="AG33" i="31" s="1"/>
  <c r="AE33" i="31"/>
  <c r="J33" i="31"/>
  <c r="AL32" i="31"/>
  <c r="AK32" i="31"/>
  <c r="AJ32" i="31"/>
  <c r="AF32" i="31"/>
  <c r="AG32" i="31" s="1"/>
  <c r="AE32" i="31"/>
  <c r="J32" i="31"/>
  <c r="AL31" i="31"/>
  <c r="AK31" i="31"/>
  <c r="AJ31" i="31"/>
  <c r="AI31" i="31"/>
  <c r="AF31" i="31"/>
  <c r="AG31" i="31" s="1"/>
  <c r="AE31" i="31"/>
  <c r="AB31" i="31"/>
  <c r="X31" i="31"/>
  <c r="W31" i="31"/>
  <c r="V31" i="31"/>
  <c r="S31" i="31"/>
  <c r="R31" i="31"/>
  <c r="N31" i="31"/>
  <c r="M31" i="31"/>
  <c r="L31" i="31"/>
  <c r="K31" i="31"/>
  <c r="J31" i="31"/>
  <c r="AL30" i="31"/>
  <c r="AK30" i="31"/>
  <c r="AJ30" i="31"/>
  <c r="AF30" i="31"/>
  <c r="AG30" i="31" s="1"/>
  <c r="AE30" i="31"/>
  <c r="W30" i="31"/>
  <c r="J30" i="31"/>
  <c r="AL29" i="31"/>
  <c r="AK29" i="31"/>
  <c r="AJ29" i="31"/>
  <c r="AI29" i="31"/>
  <c r="AF29" i="31"/>
  <c r="AG29" i="31" s="1"/>
  <c r="AE29" i="31"/>
  <c r="AB29" i="31"/>
  <c r="X29" i="31"/>
  <c r="W29" i="31"/>
  <c r="P29" i="31"/>
  <c r="O29" i="31"/>
  <c r="N29" i="31"/>
  <c r="M29" i="31"/>
  <c r="L29" i="31"/>
  <c r="K29" i="31"/>
  <c r="J29" i="31"/>
  <c r="AL28" i="31"/>
  <c r="AK28" i="31"/>
  <c r="AJ28" i="31"/>
  <c r="AF28" i="31"/>
  <c r="AG28" i="31" s="1"/>
  <c r="AE28" i="31"/>
  <c r="W28" i="31"/>
  <c r="J28" i="31"/>
  <c r="AL27" i="31"/>
  <c r="AK27" i="31"/>
  <c r="AJ27" i="31"/>
  <c r="AI27" i="31"/>
  <c r="AF27" i="31"/>
  <c r="AG27" i="31" s="1"/>
  <c r="AE27" i="31"/>
  <c r="AB27" i="31"/>
  <c r="X27" i="31"/>
  <c r="P27" i="31"/>
  <c r="N27" i="31"/>
  <c r="M27" i="31"/>
  <c r="L27" i="31"/>
  <c r="K27" i="31"/>
  <c r="J27" i="31"/>
  <c r="AL26" i="31"/>
  <c r="AK26" i="31"/>
  <c r="AJ26" i="31"/>
  <c r="AI26" i="31"/>
  <c r="AF26" i="31"/>
  <c r="AG26" i="31" s="1"/>
  <c r="AE26" i="31"/>
  <c r="AB26" i="31"/>
  <c r="X26" i="31"/>
  <c r="P26" i="31"/>
  <c r="N26" i="31"/>
  <c r="M26" i="31"/>
  <c r="L26" i="31"/>
  <c r="K26" i="31"/>
  <c r="J26" i="31"/>
  <c r="AL25" i="31"/>
  <c r="AK25" i="31"/>
  <c r="AJ25" i="31"/>
  <c r="AI25" i="31"/>
  <c r="AF25" i="31"/>
  <c r="AG25" i="31" s="1"/>
  <c r="AE25" i="31"/>
  <c r="AB25" i="31"/>
  <c r="X25" i="31"/>
  <c r="P25" i="31"/>
  <c r="N25" i="31"/>
  <c r="M25" i="31"/>
  <c r="L25" i="31"/>
  <c r="K25" i="31"/>
  <c r="J25" i="31"/>
  <c r="AL24" i="31"/>
  <c r="AK24" i="31"/>
  <c r="AJ24" i="31"/>
  <c r="AI24" i="31"/>
  <c r="AF24" i="31"/>
  <c r="AG24" i="31" s="1"/>
  <c r="AE24" i="31"/>
  <c r="AB24" i="31"/>
  <c r="X24" i="31"/>
  <c r="P24" i="31"/>
  <c r="O24" i="31"/>
  <c r="N24" i="31"/>
  <c r="M24" i="31"/>
  <c r="L24" i="31"/>
  <c r="K24" i="31"/>
  <c r="J24" i="31"/>
  <c r="AL23" i="31"/>
  <c r="AK23" i="31"/>
  <c r="AJ23" i="31"/>
  <c r="AI23" i="31"/>
  <c r="AF23" i="31"/>
  <c r="AG23" i="31" s="1"/>
  <c r="AE23" i="31"/>
  <c r="AB23" i="31"/>
  <c r="X23" i="31"/>
  <c r="P23" i="31"/>
  <c r="N23" i="31"/>
  <c r="M23" i="31"/>
  <c r="L23" i="31"/>
  <c r="K23" i="31"/>
  <c r="J23" i="31"/>
  <c r="AL22" i="31"/>
  <c r="AK22" i="31"/>
  <c r="AJ22" i="31"/>
  <c r="AI22" i="31"/>
  <c r="AF22" i="31"/>
  <c r="AG22" i="31" s="1"/>
  <c r="AE22" i="31"/>
  <c r="AB22" i="31"/>
  <c r="X22" i="31"/>
  <c r="P22" i="31"/>
  <c r="N22" i="31"/>
  <c r="M22" i="31"/>
  <c r="L22" i="31"/>
  <c r="K22" i="31"/>
  <c r="J22" i="31"/>
  <c r="AL21" i="31"/>
  <c r="AK21" i="31"/>
  <c r="AJ21" i="31"/>
  <c r="AI21" i="31"/>
  <c r="AF21" i="31"/>
  <c r="AG21" i="31" s="1"/>
  <c r="AE21" i="31"/>
  <c r="AB21" i="31"/>
  <c r="X21" i="31"/>
  <c r="S21" i="31"/>
  <c r="R21" i="31"/>
  <c r="P21" i="31"/>
  <c r="N21" i="31"/>
  <c r="M21" i="31"/>
  <c r="L21" i="31"/>
  <c r="K21" i="31"/>
  <c r="J21" i="31"/>
  <c r="AL20" i="31"/>
  <c r="AK20" i="31"/>
  <c r="AJ20" i="31"/>
  <c r="AF20" i="31"/>
  <c r="AG20" i="31" s="1"/>
  <c r="AE20" i="31"/>
  <c r="J20" i="31"/>
  <c r="AL19" i="31"/>
  <c r="AK19" i="31"/>
  <c r="AJ19" i="31"/>
  <c r="AI19" i="31"/>
  <c r="AF19" i="31"/>
  <c r="AG19" i="31" s="1"/>
  <c r="AE19" i="31"/>
  <c r="AB19" i="31"/>
  <c r="X19" i="31"/>
  <c r="P19" i="31"/>
  <c r="N19" i="31"/>
  <c r="M19" i="31"/>
  <c r="L19" i="31"/>
  <c r="K19" i="31"/>
  <c r="J19" i="31"/>
  <c r="AL18" i="31"/>
  <c r="AK18" i="31"/>
  <c r="AJ18" i="31"/>
  <c r="AI18" i="31"/>
  <c r="AF18" i="31"/>
  <c r="AG18" i="31" s="1"/>
  <c r="AE18" i="31"/>
  <c r="AB18" i="31"/>
  <c r="X18" i="31"/>
  <c r="P18" i="31"/>
  <c r="N18" i="31"/>
  <c r="M18" i="31"/>
  <c r="L18" i="31"/>
  <c r="K18" i="31"/>
  <c r="J18" i="31"/>
  <c r="AL17" i="31"/>
  <c r="AK17" i="31"/>
  <c r="AJ17" i="31"/>
  <c r="AI17" i="31"/>
  <c r="AF17" i="31"/>
  <c r="AG17" i="31" s="1"/>
  <c r="AE17" i="31"/>
  <c r="AB17" i="31"/>
  <c r="X17" i="31"/>
  <c r="P17" i="31"/>
  <c r="N17" i="31"/>
  <c r="M17" i="31"/>
  <c r="L17" i="31"/>
  <c r="K17" i="31"/>
  <c r="J17" i="31"/>
  <c r="AL16" i="31"/>
  <c r="AK16" i="31"/>
  <c r="AJ16" i="31"/>
  <c r="AI16" i="31"/>
  <c r="AF16" i="31"/>
  <c r="AG16" i="31" s="1"/>
  <c r="AE16" i="31"/>
  <c r="AB16" i="31"/>
  <c r="X16" i="31"/>
  <c r="P16" i="31"/>
  <c r="N16" i="31"/>
  <c r="M16" i="31"/>
  <c r="L16" i="31"/>
  <c r="K16" i="31"/>
  <c r="J16" i="31"/>
  <c r="AL15" i="31"/>
  <c r="AK15" i="31"/>
  <c r="AJ15" i="31"/>
  <c r="AI15" i="31"/>
  <c r="AF15" i="31"/>
  <c r="AG15" i="31" s="1"/>
  <c r="AE15" i="31"/>
  <c r="AB15" i="31"/>
  <c r="X15" i="31"/>
  <c r="P15" i="31"/>
  <c r="N15" i="31"/>
  <c r="M15" i="31"/>
  <c r="L15" i="31"/>
  <c r="K15" i="31"/>
  <c r="J15" i="31"/>
  <c r="AL14" i="31"/>
  <c r="AK14" i="31"/>
  <c r="AJ14" i="31"/>
  <c r="AI14" i="31"/>
  <c r="AF14" i="31"/>
  <c r="AG14" i="31" s="1"/>
  <c r="AE14" i="31"/>
  <c r="AB14" i="31"/>
  <c r="X14" i="31"/>
  <c r="P14" i="31"/>
  <c r="N14" i="31"/>
  <c r="M14" i="31"/>
  <c r="L14" i="31"/>
  <c r="K14" i="31"/>
  <c r="J14" i="31"/>
  <c r="AL13" i="31"/>
  <c r="AK13" i="31"/>
  <c r="AJ13" i="31"/>
  <c r="AI13" i="31"/>
  <c r="AF13" i="31"/>
  <c r="AG13" i="31" s="1"/>
  <c r="AE13" i="31"/>
  <c r="AB13" i="31"/>
  <c r="X13" i="31"/>
  <c r="P13" i="31"/>
  <c r="N13" i="31"/>
  <c r="M13" i="31"/>
  <c r="L13" i="31"/>
  <c r="K13" i="31"/>
  <c r="J13" i="31"/>
  <c r="AL12" i="31"/>
  <c r="AK12" i="31"/>
  <c r="AJ12" i="31"/>
  <c r="AI12" i="31"/>
  <c r="AF12" i="31"/>
  <c r="AG12" i="31" s="1"/>
  <c r="AE12" i="31"/>
  <c r="AB12" i="31"/>
  <c r="X12" i="31"/>
  <c r="P12" i="31"/>
  <c r="N12" i="31"/>
  <c r="M12" i="31"/>
  <c r="L12" i="31"/>
  <c r="K12" i="31"/>
  <c r="J12" i="31"/>
  <c r="AL11" i="31"/>
  <c r="AK11" i="31"/>
  <c r="AJ11" i="31"/>
  <c r="AI11" i="31"/>
  <c r="AF11" i="31"/>
  <c r="AG11" i="31" s="1"/>
  <c r="AE11" i="31"/>
  <c r="AB11" i="31"/>
  <c r="X11" i="31"/>
  <c r="P11" i="31"/>
  <c r="N11" i="31"/>
  <c r="M11" i="31"/>
  <c r="L11" i="31"/>
  <c r="K11" i="31"/>
  <c r="J11" i="31"/>
  <c r="AL10" i="31"/>
  <c r="AK10" i="31"/>
  <c r="AJ10" i="31"/>
  <c r="AI10" i="31"/>
  <c r="AF10" i="31"/>
  <c r="AG10" i="31" s="1"/>
  <c r="AE10" i="31"/>
  <c r="AB10" i="31"/>
  <c r="X10" i="31"/>
  <c r="P10" i="31"/>
  <c r="N10" i="31"/>
  <c r="M10" i="31"/>
  <c r="L10" i="31"/>
  <c r="K10" i="31"/>
  <c r="J10" i="31"/>
  <c r="AN9" i="31"/>
  <c r="AL9" i="31"/>
  <c r="AK9" i="31"/>
  <c r="AJ9" i="31"/>
  <c r="AI9" i="31"/>
  <c r="AF9" i="31"/>
  <c r="AG9" i="31" s="1"/>
  <c r="AE9" i="31"/>
  <c r="AB9" i="31"/>
  <c r="X9" i="31"/>
  <c r="P9" i="31"/>
  <c r="N9" i="31"/>
  <c r="M9" i="31"/>
  <c r="L9" i="31"/>
  <c r="K9" i="31"/>
  <c r="J9" i="31"/>
  <c r="AN8" i="31"/>
  <c r="AL8" i="31"/>
  <c r="AK8" i="31"/>
  <c r="AJ8" i="31"/>
  <c r="AI8" i="31"/>
  <c r="AF8" i="31"/>
  <c r="AG8" i="31" s="1"/>
  <c r="AE8" i="31"/>
  <c r="AB8" i="31"/>
  <c r="X8" i="31"/>
  <c r="P8" i="31"/>
  <c r="N8" i="31"/>
  <c r="M8" i="31"/>
  <c r="L8" i="31"/>
  <c r="K8" i="31"/>
  <c r="J8" i="31"/>
  <c r="AL7" i="31"/>
  <c r="AK7" i="31"/>
  <c r="AJ7" i="31"/>
  <c r="AI7" i="31"/>
  <c r="AF7" i="31"/>
  <c r="AG7" i="31" s="1"/>
  <c r="AE7" i="31"/>
  <c r="AB7" i="31"/>
  <c r="X7" i="31"/>
  <c r="P7" i="31"/>
  <c r="N7" i="31"/>
  <c r="M7" i="31"/>
  <c r="L7" i="31"/>
  <c r="K7" i="31"/>
  <c r="J7" i="31"/>
  <c r="AL6" i="31"/>
  <c r="AK6" i="31"/>
  <c r="AJ6" i="31"/>
  <c r="AI6" i="31"/>
  <c r="AF6" i="31"/>
  <c r="AE6" i="31"/>
  <c r="AB6" i="31"/>
  <c r="X6" i="31"/>
  <c r="P6" i="31"/>
  <c r="O6" i="31"/>
  <c r="N6" i="31"/>
  <c r="M6" i="31"/>
  <c r="L6" i="31"/>
  <c r="K6" i="31"/>
  <c r="J6" i="31"/>
  <c r="AL94" i="30"/>
  <c r="AK93" i="30"/>
  <c r="AK91" i="30"/>
  <c r="AL78" i="30"/>
  <c r="AK78" i="30"/>
  <c r="AJ78" i="30"/>
  <c r="AI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L77" i="30"/>
  <c r="AK77" i="30"/>
  <c r="AJ77" i="30"/>
  <c r="AI77" i="30"/>
  <c r="AF77" i="30"/>
  <c r="AG77" i="30" s="1"/>
  <c r="AE77" i="30"/>
  <c r="AB77" i="30"/>
  <c r="X77" i="30"/>
  <c r="P77" i="30"/>
  <c r="N77" i="30"/>
  <c r="M77" i="30"/>
  <c r="L77" i="30"/>
  <c r="K77" i="30"/>
  <c r="J77" i="30"/>
  <c r="AL76" i="30"/>
  <c r="AK76" i="30"/>
  <c r="AJ76" i="30"/>
  <c r="AI76" i="30"/>
  <c r="AF76" i="30"/>
  <c r="AG76" i="30" s="1"/>
  <c r="AE76" i="30"/>
  <c r="AB76" i="30"/>
  <c r="X76" i="30"/>
  <c r="T76" i="30"/>
  <c r="S76" i="30"/>
  <c r="R76" i="30"/>
  <c r="N76" i="30"/>
  <c r="M76" i="30"/>
  <c r="L76" i="30"/>
  <c r="K76" i="30"/>
  <c r="J76" i="30"/>
  <c r="AL75" i="30"/>
  <c r="AK75" i="30"/>
  <c r="AJ75" i="30"/>
  <c r="AI75" i="30"/>
  <c r="AF75" i="30"/>
  <c r="AG75" i="30" s="1"/>
  <c r="AE75" i="30"/>
  <c r="AB75" i="30"/>
  <c r="X75" i="30"/>
  <c r="T75" i="30"/>
  <c r="S75" i="30"/>
  <c r="R75" i="30"/>
  <c r="N75" i="30"/>
  <c r="M75" i="30"/>
  <c r="L75" i="30"/>
  <c r="K75" i="30"/>
  <c r="J75" i="30"/>
  <c r="AL74" i="30"/>
  <c r="AK74" i="30"/>
  <c r="AJ74" i="30"/>
  <c r="AI74" i="30"/>
  <c r="AF74" i="30"/>
  <c r="AG74" i="30" s="1"/>
  <c r="AE74" i="30"/>
  <c r="AB74" i="30"/>
  <c r="X74" i="30"/>
  <c r="T74" i="30"/>
  <c r="S74" i="30"/>
  <c r="R74" i="30"/>
  <c r="N74" i="30"/>
  <c r="M74" i="30"/>
  <c r="L74" i="30"/>
  <c r="K74" i="30"/>
  <c r="J74" i="30"/>
  <c r="AL73" i="30"/>
  <c r="AK73" i="30"/>
  <c r="AJ73" i="30"/>
  <c r="AI73" i="30"/>
  <c r="AF73" i="30"/>
  <c r="AG73" i="30" s="1"/>
  <c r="AE73" i="30"/>
  <c r="AB73" i="30"/>
  <c r="X73" i="30"/>
  <c r="T73" i="30"/>
  <c r="S73" i="30"/>
  <c r="R73" i="30"/>
  <c r="N73" i="30"/>
  <c r="M73" i="30"/>
  <c r="L73" i="30"/>
  <c r="K73" i="30"/>
  <c r="J73" i="30"/>
  <c r="AL72" i="30"/>
  <c r="AK72" i="30"/>
  <c r="AJ72" i="30"/>
  <c r="AI72" i="30"/>
  <c r="AF72" i="30"/>
  <c r="AG72" i="30" s="1"/>
  <c r="AE72" i="30"/>
  <c r="AB72" i="30"/>
  <c r="X72" i="30"/>
  <c r="T72" i="30"/>
  <c r="S72" i="30"/>
  <c r="R72" i="30"/>
  <c r="N72" i="30"/>
  <c r="M72" i="30"/>
  <c r="L72" i="30"/>
  <c r="K72" i="30"/>
  <c r="J72" i="30"/>
  <c r="AL71" i="30"/>
  <c r="AK71" i="30"/>
  <c r="AJ71" i="30"/>
  <c r="AI71" i="30"/>
  <c r="AF71" i="30"/>
  <c r="AG71" i="30" s="1"/>
  <c r="AE71" i="30"/>
  <c r="AB71" i="30"/>
  <c r="X71" i="30"/>
  <c r="T71" i="30"/>
  <c r="S71" i="30"/>
  <c r="R71" i="30"/>
  <c r="N71" i="30"/>
  <c r="M71" i="30"/>
  <c r="L71" i="30"/>
  <c r="K71" i="30"/>
  <c r="J71" i="30"/>
  <c r="AL70" i="30"/>
  <c r="AK70" i="30"/>
  <c r="AJ70" i="30"/>
  <c r="AI70" i="30"/>
  <c r="AF70" i="30"/>
  <c r="AG70" i="30" s="1"/>
  <c r="AE70" i="30"/>
  <c r="AB70" i="30"/>
  <c r="X70" i="30"/>
  <c r="T70" i="30"/>
  <c r="S70" i="30"/>
  <c r="R70" i="30"/>
  <c r="N70" i="30"/>
  <c r="M70" i="30"/>
  <c r="L70" i="30"/>
  <c r="K70" i="30"/>
  <c r="J70" i="30"/>
  <c r="AL69" i="30"/>
  <c r="AK69" i="30"/>
  <c r="AJ69" i="30"/>
  <c r="AI69" i="30"/>
  <c r="AF69" i="30"/>
  <c r="AG69" i="30" s="1"/>
  <c r="AE69" i="30"/>
  <c r="AB69" i="30"/>
  <c r="X69" i="30"/>
  <c r="T69" i="30"/>
  <c r="S69" i="30"/>
  <c r="R69" i="30"/>
  <c r="N69" i="30"/>
  <c r="M69" i="30"/>
  <c r="L69" i="30"/>
  <c r="K69" i="30"/>
  <c r="J69" i="30"/>
  <c r="AL68" i="30"/>
  <c r="AK68" i="30"/>
  <c r="AJ68" i="30"/>
  <c r="AI68" i="30"/>
  <c r="AF68" i="30"/>
  <c r="AG68" i="30" s="1"/>
  <c r="AE68" i="30"/>
  <c r="AB68" i="30"/>
  <c r="X68" i="30"/>
  <c r="T68" i="30"/>
  <c r="S68" i="30"/>
  <c r="R68" i="30"/>
  <c r="N68" i="30"/>
  <c r="M68" i="30"/>
  <c r="L68" i="30"/>
  <c r="K68" i="30"/>
  <c r="J68" i="30"/>
  <c r="AL67" i="30"/>
  <c r="AK67" i="30"/>
  <c r="AJ67" i="30"/>
  <c r="AI67" i="30"/>
  <c r="AF67" i="30"/>
  <c r="AG67" i="30" s="1"/>
  <c r="AE67" i="30"/>
  <c r="AB67" i="30"/>
  <c r="X67" i="30"/>
  <c r="T67" i="30"/>
  <c r="S67" i="30"/>
  <c r="R67" i="30"/>
  <c r="N67" i="30"/>
  <c r="M67" i="30"/>
  <c r="L67" i="30"/>
  <c r="K67" i="30"/>
  <c r="J67" i="30"/>
  <c r="AL66" i="30"/>
  <c r="AK66" i="30"/>
  <c r="AJ66" i="30"/>
  <c r="AI66" i="30"/>
  <c r="AF66" i="30"/>
  <c r="AG66" i="30" s="1"/>
  <c r="AE66" i="30"/>
  <c r="AB66" i="30"/>
  <c r="X66" i="30"/>
  <c r="Q66" i="30"/>
  <c r="P66" i="30"/>
  <c r="O66" i="30"/>
  <c r="N66" i="30"/>
  <c r="M66" i="30"/>
  <c r="L66" i="30"/>
  <c r="K66" i="30"/>
  <c r="J66" i="30"/>
  <c r="AL65" i="30"/>
  <c r="AK65" i="30"/>
  <c r="AJ65" i="30"/>
  <c r="AI65" i="30"/>
  <c r="AF65" i="30"/>
  <c r="AG65" i="30" s="1"/>
  <c r="AE65" i="30"/>
  <c r="AB65" i="30"/>
  <c r="X65" i="30"/>
  <c r="Q65" i="30"/>
  <c r="P65" i="30"/>
  <c r="O65" i="30"/>
  <c r="N65" i="30"/>
  <c r="M65" i="30"/>
  <c r="L65" i="30"/>
  <c r="K65" i="30"/>
  <c r="J65" i="30"/>
  <c r="AL64" i="30"/>
  <c r="AK64" i="30"/>
  <c r="AJ64" i="30"/>
  <c r="AI64" i="30"/>
  <c r="AF64" i="30"/>
  <c r="AG64" i="30" s="1"/>
  <c r="AE64" i="30"/>
  <c r="AB64" i="30"/>
  <c r="X64" i="30"/>
  <c r="Q64" i="30"/>
  <c r="P64" i="30"/>
  <c r="O64" i="30"/>
  <c r="N64" i="30"/>
  <c r="M64" i="30"/>
  <c r="L64" i="30"/>
  <c r="K64" i="30"/>
  <c r="J64" i="30"/>
  <c r="AL63" i="30"/>
  <c r="AK63" i="30"/>
  <c r="AJ63" i="30"/>
  <c r="AI63" i="30"/>
  <c r="AF63" i="30"/>
  <c r="AG63" i="30" s="1"/>
  <c r="AE63" i="30"/>
  <c r="AB63" i="30"/>
  <c r="X63" i="30"/>
  <c r="Q63" i="30"/>
  <c r="P63" i="30"/>
  <c r="O63" i="30"/>
  <c r="N63" i="30"/>
  <c r="M63" i="30"/>
  <c r="L63" i="30"/>
  <c r="K63" i="30"/>
  <c r="J63" i="30"/>
  <c r="AL62" i="30"/>
  <c r="AK62" i="30"/>
  <c r="AJ62" i="30"/>
  <c r="AI62" i="30"/>
  <c r="AF62" i="30"/>
  <c r="AG62" i="30" s="1"/>
  <c r="AE62" i="30"/>
  <c r="AB62" i="30"/>
  <c r="X62" i="30"/>
  <c r="W62" i="30"/>
  <c r="V62" i="30"/>
  <c r="T62" i="30"/>
  <c r="S62" i="30"/>
  <c r="R62" i="30"/>
  <c r="N62" i="30"/>
  <c r="M62" i="30"/>
  <c r="L62" i="30"/>
  <c r="K62" i="30"/>
  <c r="J62" i="30"/>
  <c r="AL61" i="30"/>
  <c r="AK61" i="30"/>
  <c r="AJ61" i="30"/>
  <c r="AF61" i="30"/>
  <c r="AG61" i="30" s="1"/>
  <c r="AE61" i="30"/>
  <c r="W61" i="30"/>
  <c r="J61" i="30"/>
  <c r="AL60" i="30"/>
  <c r="AK60" i="30"/>
  <c r="AJ60" i="30"/>
  <c r="AI60" i="30"/>
  <c r="AF60" i="30"/>
  <c r="AG60" i="30" s="1"/>
  <c r="AE60" i="30"/>
  <c r="AB60" i="30"/>
  <c r="X60" i="30"/>
  <c r="W60" i="30"/>
  <c r="V60" i="30"/>
  <c r="T60" i="30"/>
  <c r="S60" i="30"/>
  <c r="R60" i="30"/>
  <c r="N60" i="30"/>
  <c r="M60" i="30"/>
  <c r="L60" i="30"/>
  <c r="K60" i="30"/>
  <c r="J60" i="30"/>
  <c r="AL59" i="30"/>
  <c r="AK59" i="30"/>
  <c r="AJ59" i="30"/>
  <c r="AF59" i="30"/>
  <c r="AG59" i="30" s="1"/>
  <c r="AE59" i="30"/>
  <c r="J59" i="30"/>
  <c r="AL58" i="30"/>
  <c r="AK58" i="30"/>
  <c r="AJ58" i="30"/>
  <c r="AI58" i="30"/>
  <c r="AF58" i="30"/>
  <c r="AG58" i="30" s="1"/>
  <c r="AE58" i="30"/>
  <c r="AB58" i="30"/>
  <c r="X58" i="30"/>
  <c r="W58" i="30"/>
  <c r="V58" i="30"/>
  <c r="T58" i="30"/>
  <c r="S58" i="30"/>
  <c r="R58" i="30"/>
  <c r="N58" i="30"/>
  <c r="M58" i="30"/>
  <c r="L58" i="30"/>
  <c r="K58" i="30"/>
  <c r="J58" i="30"/>
  <c r="AL57" i="30"/>
  <c r="AK57" i="30"/>
  <c r="AJ57" i="30"/>
  <c r="AI57" i="30"/>
  <c r="AF57" i="30"/>
  <c r="AG57" i="30" s="1"/>
  <c r="AE57" i="30"/>
  <c r="AB57" i="30"/>
  <c r="X57" i="30"/>
  <c r="W57" i="30"/>
  <c r="V57" i="30"/>
  <c r="T57" i="30"/>
  <c r="S57" i="30"/>
  <c r="R57" i="30"/>
  <c r="N57" i="30"/>
  <c r="M57" i="30"/>
  <c r="L57" i="30"/>
  <c r="K57" i="30"/>
  <c r="J57" i="30"/>
  <c r="AL56" i="30"/>
  <c r="AK56" i="30"/>
  <c r="AJ56" i="30"/>
  <c r="AF56" i="30"/>
  <c r="AG56" i="30" s="1"/>
  <c r="AE56" i="30"/>
  <c r="J56" i="30"/>
  <c r="AL55" i="30"/>
  <c r="AK55" i="30"/>
  <c r="AJ55" i="30"/>
  <c r="AF55" i="30"/>
  <c r="AG55" i="30" s="1"/>
  <c r="AE55" i="30"/>
  <c r="W55" i="30"/>
  <c r="J55" i="30"/>
  <c r="AL54" i="30"/>
  <c r="AK54" i="30"/>
  <c r="AJ54" i="30"/>
  <c r="AF54" i="30"/>
  <c r="AG54" i="30" s="1"/>
  <c r="AE54" i="30"/>
  <c r="W54" i="30"/>
  <c r="J54" i="30"/>
  <c r="AL53" i="30"/>
  <c r="AK53" i="30"/>
  <c r="AJ53" i="30"/>
  <c r="AI53" i="30"/>
  <c r="AF53" i="30"/>
  <c r="AG53" i="30" s="1"/>
  <c r="AE53" i="30"/>
  <c r="AB53" i="30"/>
  <c r="X53" i="30"/>
  <c r="W53" i="30"/>
  <c r="V53" i="30"/>
  <c r="T53" i="30"/>
  <c r="S53" i="30"/>
  <c r="R53" i="30"/>
  <c r="N53" i="30"/>
  <c r="M53" i="30"/>
  <c r="L53" i="30"/>
  <c r="K53" i="30"/>
  <c r="J53" i="30"/>
  <c r="AL52" i="30"/>
  <c r="AK52" i="30"/>
  <c r="AJ52" i="30"/>
  <c r="AF52" i="30"/>
  <c r="AG52" i="30" s="1"/>
  <c r="AE52" i="30"/>
  <c r="J52" i="30"/>
  <c r="AL51" i="30"/>
  <c r="AK51" i="30"/>
  <c r="AJ51" i="30"/>
  <c r="AF51" i="30"/>
  <c r="AG51" i="30" s="1"/>
  <c r="AE51" i="30"/>
  <c r="J51" i="30"/>
  <c r="AL50" i="30"/>
  <c r="AK50" i="30"/>
  <c r="AJ50" i="30"/>
  <c r="AF50" i="30"/>
  <c r="AG50" i="30" s="1"/>
  <c r="AE50" i="30"/>
  <c r="J50" i="30"/>
  <c r="AL49" i="30"/>
  <c r="AK49" i="30"/>
  <c r="AJ49" i="30"/>
  <c r="AF49" i="30"/>
  <c r="AG49" i="30" s="1"/>
  <c r="AE49" i="30"/>
  <c r="J49" i="30"/>
  <c r="AL48" i="30"/>
  <c r="AK48" i="30"/>
  <c r="AJ48" i="30"/>
  <c r="AF48" i="30"/>
  <c r="AG48" i="30" s="1"/>
  <c r="AE48" i="30"/>
  <c r="J48" i="30"/>
  <c r="AL47" i="30"/>
  <c r="AK47" i="30"/>
  <c r="AJ47" i="30"/>
  <c r="AF47" i="30"/>
  <c r="AG47" i="30" s="1"/>
  <c r="AE47" i="30"/>
  <c r="W47" i="30"/>
  <c r="J47" i="30"/>
  <c r="AL46" i="30"/>
  <c r="AK46" i="30"/>
  <c r="AJ46" i="30"/>
  <c r="AI46" i="30"/>
  <c r="AF46" i="30"/>
  <c r="AG46" i="30" s="1"/>
  <c r="AE46" i="30"/>
  <c r="AB46" i="30"/>
  <c r="X46" i="30"/>
  <c r="W46" i="30"/>
  <c r="V46" i="30"/>
  <c r="T46" i="30"/>
  <c r="S46" i="30"/>
  <c r="R46" i="30"/>
  <c r="N46" i="30"/>
  <c r="M46" i="30"/>
  <c r="L46" i="30"/>
  <c r="K46" i="30"/>
  <c r="J46" i="30"/>
  <c r="AL45" i="30"/>
  <c r="AK45" i="30"/>
  <c r="AJ45" i="30"/>
  <c r="AI45" i="30"/>
  <c r="AF45" i="30"/>
  <c r="AG45" i="30" s="1"/>
  <c r="AE45" i="30"/>
  <c r="AB45" i="30"/>
  <c r="X45" i="30"/>
  <c r="W45" i="30"/>
  <c r="V45" i="30"/>
  <c r="T45" i="30"/>
  <c r="S45" i="30"/>
  <c r="R45" i="30"/>
  <c r="N45" i="30"/>
  <c r="M45" i="30"/>
  <c r="L45" i="30"/>
  <c r="K45" i="30"/>
  <c r="J45" i="30"/>
  <c r="AL44" i="30"/>
  <c r="AK44" i="30"/>
  <c r="AJ44" i="30"/>
  <c r="AF44" i="30"/>
  <c r="AG44" i="30" s="1"/>
  <c r="AE44" i="30"/>
  <c r="J44" i="30"/>
  <c r="AL43" i="30"/>
  <c r="AK43" i="30"/>
  <c r="AJ43" i="30"/>
  <c r="AF43" i="30"/>
  <c r="AG43" i="30" s="1"/>
  <c r="AE43" i="30"/>
  <c r="J43" i="30"/>
  <c r="AL42" i="30"/>
  <c r="AK42" i="30"/>
  <c r="AJ42" i="30"/>
  <c r="AI42" i="30"/>
  <c r="AF42" i="30"/>
  <c r="AG42" i="30" s="1"/>
  <c r="AE42" i="30"/>
  <c r="AB42" i="30"/>
  <c r="X42" i="30"/>
  <c r="W42" i="30"/>
  <c r="V42" i="30"/>
  <c r="T42" i="30"/>
  <c r="S42" i="30"/>
  <c r="R42" i="30"/>
  <c r="N42" i="30"/>
  <c r="M42" i="30"/>
  <c r="L42" i="30"/>
  <c r="K42" i="30"/>
  <c r="J42" i="30"/>
  <c r="AL41" i="30"/>
  <c r="AK41" i="30"/>
  <c r="AJ41" i="30"/>
  <c r="AI41" i="30"/>
  <c r="AF41" i="30"/>
  <c r="AG41" i="30" s="1"/>
  <c r="AE41" i="30"/>
  <c r="AB41" i="30"/>
  <c r="X41" i="30"/>
  <c r="W41" i="30"/>
  <c r="V41" i="30"/>
  <c r="T41" i="30"/>
  <c r="S41" i="30"/>
  <c r="R41" i="30"/>
  <c r="N41" i="30"/>
  <c r="M41" i="30"/>
  <c r="L41" i="30"/>
  <c r="K41" i="30"/>
  <c r="J41" i="30"/>
  <c r="AL40" i="30"/>
  <c r="AK40" i="30"/>
  <c r="AJ40" i="30"/>
  <c r="AF40" i="30"/>
  <c r="AG40" i="30" s="1"/>
  <c r="AE40" i="30"/>
  <c r="J40" i="30"/>
  <c r="AL39" i="30"/>
  <c r="AK39" i="30"/>
  <c r="AJ39" i="30"/>
  <c r="AF39" i="30"/>
  <c r="AG39" i="30" s="1"/>
  <c r="AE39" i="30"/>
  <c r="J39" i="30"/>
  <c r="AL38" i="30"/>
  <c r="AK38" i="30"/>
  <c r="AJ38" i="30"/>
  <c r="AF38" i="30"/>
  <c r="AG38" i="30" s="1"/>
  <c r="AE38" i="30"/>
  <c r="J38" i="30"/>
  <c r="AL37" i="30"/>
  <c r="AK37" i="30"/>
  <c r="AJ37" i="30"/>
  <c r="AI37" i="30"/>
  <c r="AF37" i="30"/>
  <c r="AG37" i="30" s="1"/>
  <c r="AE37" i="30"/>
  <c r="AB37" i="30"/>
  <c r="X37" i="30"/>
  <c r="W37" i="30"/>
  <c r="V37" i="30"/>
  <c r="T37" i="30"/>
  <c r="S37" i="30"/>
  <c r="R37" i="30"/>
  <c r="N37" i="30"/>
  <c r="M37" i="30"/>
  <c r="L37" i="30"/>
  <c r="K37" i="30"/>
  <c r="J37" i="30"/>
  <c r="AL36" i="30"/>
  <c r="AK36" i="30"/>
  <c r="AJ36" i="30"/>
  <c r="AF36" i="30"/>
  <c r="AG36" i="30" s="1"/>
  <c r="AE36" i="30"/>
  <c r="W36" i="30"/>
  <c r="J36" i="30"/>
  <c r="AL35" i="30"/>
  <c r="AK35" i="30"/>
  <c r="AJ35" i="30"/>
  <c r="AF35" i="30"/>
  <c r="AG35" i="30" s="1"/>
  <c r="AE35" i="30"/>
  <c r="W35" i="30"/>
  <c r="J35" i="30"/>
  <c r="AL34" i="30"/>
  <c r="AK34" i="30"/>
  <c r="AJ34" i="30"/>
  <c r="AF34" i="30"/>
  <c r="AG34" i="30" s="1"/>
  <c r="AE34" i="30"/>
  <c r="W34" i="30"/>
  <c r="J34" i="30"/>
  <c r="AL33" i="30"/>
  <c r="AK33" i="30"/>
  <c r="AJ33" i="30"/>
  <c r="AF33" i="30"/>
  <c r="AG33" i="30" s="1"/>
  <c r="AE33" i="30"/>
  <c r="J33" i="30"/>
  <c r="AL32" i="30"/>
  <c r="AK32" i="30"/>
  <c r="AJ32" i="30"/>
  <c r="AF32" i="30"/>
  <c r="AG32" i="30" s="1"/>
  <c r="AE32" i="30"/>
  <c r="J32" i="30"/>
  <c r="AL31" i="30"/>
  <c r="AK31" i="30"/>
  <c r="AJ31" i="30"/>
  <c r="AI31" i="30"/>
  <c r="AF31" i="30"/>
  <c r="AG31" i="30" s="1"/>
  <c r="AE31" i="30"/>
  <c r="AB31" i="30"/>
  <c r="X31" i="30"/>
  <c r="W31" i="30"/>
  <c r="V31" i="30"/>
  <c r="T31" i="30"/>
  <c r="S31" i="30"/>
  <c r="R31" i="30"/>
  <c r="N31" i="30"/>
  <c r="M31" i="30"/>
  <c r="L31" i="30"/>
  <c r="K31" i="30"/>
  <c r="J31" i="30"/>
  <c r="AL30" i="30"/>
  <c r="AK30" i="30"/>
  <c r="AJ30" i="30"/>
  <c r="AF30" i="30"/>
  <c r="AG30" i="30" s="1"/>
  <c r="AE30" i="30"/>
  <c r="W30" i="30"/>
  <c r="J30" i="30"/>
  <c r="AL29" i="30"/>
  <c r="AK29" i="30"/>
  <c r="AJ29" i="30"/>
  <c r="AI29" i="30"/>
  <c r="AF29" i="30"/>
  <c r="AG29" i="30" s="1"/>
  <c r="AE29" i="30"/>
  <c r="AB29" i="30"/>
  <c r="X29" i="30"/>
  <c r="W29" i="30"/>
  <c r="P29" i="30"/>
  <c r="O29" i="30"/>
  <c r="N29" i="30"/>
  <c r="M29" i="30"/>
  <c r="L29" i="30"/>
  <c r="K29" i="30"/>
  <c r="J29" i="30"/>
  <c r="AL28" i="30"/>
  <c r="AK28" i="30"/>
  <c r="AJ28" i="30"/>
  <c r="AF28" i="30"/>
  <c r="AG28" i="30" s="1"/>
  <c r="AE28" i="30"/>
  <c r="W28" i="30"/>
  <c r="J28" i="30"/>
  <c r="AL27" i="30"/>
  <c r="AK27" i="30"/>
  <c r="AJ27" i="30"/>
  <c r="AI27" i="30"/>
  <c r="AF27" i="30"/>
  <c r="AG27" i="30" s="1"/>
  <c r="AE27" i="30"/>
  <c r="AB27" i="30"/>
  <c r="X27" i="30"/>
  <c r="P27" i="30"/>
  <c r="N27" i="30"/>
  <c r="M27" i="30"/>
  <c r="L27" i="30"/>
  <c r="K27" i="30"/>
  <c r="J27" i="30"/>
  <c r="AL26" i="30"/>
  <c r="AK26" i="30"/>
  <c r="AJ26" i="30"/>
  <c r="AI26" i="30"/>
  <c r="AF26" i="30"/>
  <c r="AG26" i="30" s="1"/>
  <c r="AE26" i="30"/>
  <c r="AB26" i="30"/>
  <c r="X26" i="30"/>
  <c r="P26" i="30"/>
  <c r="N26" i="30"/>
  <c r="M26" i="30"/>
  <c r="L26" i="30"/>
  <c r="K26" i="30"/>
  <c r="J26" i="30"/>
  <c r="AL25" i="30"/>
  <c r="AK25" i="30"/>
  <c r="AJ25" i="30"/>
  <c r="AI25" i="30"/>
  <c r="AF25" i="30"/>
  <c r="AG25" i="30" s="1"/>
  <c r="AE25" i="30"/>
  <c r="AB25" i="30"/>
  <c r="X25" i="30"/>
  <c r="P25" i="30"/>
  <c r="N25" i="30"/>
  <c r="M25" i="30"/>
  <c r="L25" i="30"/>
  <c r="K25" i="30"/>
  <c r="J25" i="30"/>
  <c r="AL24" i="30"/>
  <c r="AK24" i="30"/>
  <c r="AJ24" i="30"/>
  <c r="AI24" i="30"/>
  <c r="AF24" i="30"/>
  <c r="AG24" i="30" s="1"/>
  <c r="AE24" i="30"/>
  <c r="AB24" i="30"/>
  <c r="X24" i="30"/>
  <c r="P24" i="30"/>
  <c r="O24" i="30"/>
  <c r="N24" i="30"/>
  <c r="M24" i="30"/>
  <c r="L24" i="30"/>
  <c r="K24" i="30"/>
  <c r="J24" i="30"/>
  <c r="AL23" i="30"/>
  <c r="AK23" i="30"/>
  <c r="AJ23" i="30"/>
  <c r="AI23" i="30"/>
  <c r="AF23" i="30"/>
  <c r="AG23" i="30" s="1"/>
  <c r="AE23" i="30"/>
  <c r="AB23" i="30"/>
  <c r="X23" i="30"/>
  <c r="P23" i="30"/>
  <c r="N23" i="30"/>
  <c r="M23" i="30"/>
  <c r="L23" i="30"/>
  <c r="K23" i="30"/>
  <c r="J23" i="30"/>
  <c r="AL22" i="30"/>
  <c r="AK22" i="30"/>
  <c r="AJ22" i="30"/>
  <c r="AI22" i="30"/>
  <c r="AF22" i="30"/>
  <c r="AG22" i="30" s="1"/>
  <c r="AE22" i="30"/>
  <c r="AB22" i="30"/>
  <c r="X22" i="30"/>
  <c r="P22" i="30"/>
  <c r="N22" i="30"/>
  <c r="M22" i="30"/>
  <c r="L22" i="30"/>
  <c r="K22" i="30"/>
  <c r="J22" i="30"/>
  <c r="AL21" i="30"/>
  <c r="AK21" i="30"/>
  <c r="AJ21" i="30"/>
  <c r="AI21" i="30"/>
  <c r="AF21" i="30"/>
  <c r="AG21" i="30" s="1"/>
  <c r="AE21" i="30"/>
  <c r="AB21" i="30"/>
  <c r="X21" i="30"/>
  <c r="S21" i="30"/>
  <c r="R21" i="30"/>
  <c r="P21" i="30"/>
  <c r="N21" i="30"/>
  <c r="M21" i="30"/>
  <c r="L21" i="30"/>
  <c r="K21" i="30"/>
  <c r="J21" i="30"/>
  <c r="AL20" i="30"/>
  <c r="AK20" i="30"/>
  <c r="AJ20" i="30"/>
  <c r="AI20" i="30"/>
  <c r="AF20" i="30"/>
  <c r="AG20" i="30" s="1"/>
  <c r="AE20" i="30"/>
  <c r="AB20" i="30"/>
  <c r="X20" i="30"/>
  <c r="P20" i="30"/>
  <c r="N20" i="30"/>
  <c r="M20" i="30"/>
  <c r="L20" i="30"/>
  <c r="K20" i="30"/>
  <c r="J20" i="30"/>
  <c r="AL19" i="30"/>
  <c r="AK19" i="30"/>
  <c r="AJ19" i="30"/>
  <c r="AI19" i="30"/>
  <c r="AF19" i="30"/>
  <c r="AG19" i="30" s="1"/>
  <c r="AE19" i="30"/>
  <c r="AB19" i="30"/>
  <c r="X19" i="30"/>
  <c r="P19" i="30"/>
  <c r="N19" i="30"/>
  <c r="M19" i="30"/>
  <c r="L19" i="30"/>
  <c r="K19" i="30"/>
  <c r="J19" i="30"/>
  <c r="AL18" i="30"/>
  <c r="AK18" i="30"/>
  <c r="AJ18" i="30"/>
  <c r="AI18" i="30"/>
  <c r="AF18" i="30"/>
  <c r="AG18" i="30" s="1"/>
  <c r="AE18" i="30"/>
  <c r="AB18" i="30"/>
  <c r="X18" i="30"/>
  <c r="P18" i="30"/>
  <c r="N18" i="30"/>
  <c r="M18" i="30"/>
  <c r="L18" i="30"/>
  <c r="K18" i="30"/>
  <c r="J18" i="30"/>
  <c r="AL17" i="30"/>
  <c r="AK17" i="30"/>
  <c r="AJ17" i="30"/>
  <c r="AI17" i="30"/>
  <c r="AF17" i="30"/>
  <c r="AG17" i="30" s="1"/>
  <c r="AE17" i="30"/>
  <c r="AB17" i="30"/>
  <c r="X17" i="30"/>
  <c r="P17" i="30"/>
  <c r="N17" i="30"/>
  <c r="M17" i="30"/>
  <c r="L17" i="30"/>
  <c r="K17" i="30"/>
  <c r="J17" i="30"/>
  <c r="AL16" i="30"/>
  <c r="AK16" i="30"/>
  <c r="AJ16" i="30"/>
  <c r="AI16" i="30"/>
  <c r="AF16" i="30"/>
  <c r="AG16" i="30" s="1"/>
  <c r="AE16" i="30"/>
  <c r="AB16" i="30"/>
  <c r="X16" i="30"/>
  <c r="P16" i="30"/>
  <c r="N16" i="30"/>
  <c r="M16" i="30"/>
  <c r="L16" i="30"/>
  <c r="K16" i="30"/>
  <c r="J16" i="30"/>
  <c r="AL15" i="30"/>
  <c r="AK15" i="30"/>
  <c r="AJ15" i="30"/>
  <c r="AI15" i="30"/>
  <c r="AF15" i="30"/>
  <c r="AG15" i="30" s="1"/>
  <c r="AE15" i="30"/>
  <c r="AB15" i="30"/>
  <c r="X15" i="30"/>
  <c r="P15" i="30"/>
  <c r="N15" i="30"/>
  <c r="M15" i="30"/>
  <c r="L15" i="30"/>
  <c r="K15" i="30"/>
  <c r="J15" i="30"/>
  <c r="AL14" i="30"/>
  <c r="AK14" i="30"/>
  <c r="AJ14" i="30"/>
  <c r="AI14" i="30"/>
  <c r="AF14" i="30"/>
  <c r="AG14" i="30" s="1"/>
  <c r="AE14" i="30"/>
  <c r="AB14" i="30"/>
  <c r="X14" i="30"/>
  <c r="P14" i="30"/>
  <c r="N14" i="30"/>
  <c r="M14" i="30"/>
  <c r="L14" i="30"/>
  <c r="K14" i="30"/>
  <c r="J14" i="30"/>
  <c r="AL13" i="30"/>
  <c r="AK13" i="30"/>
  <c r="AJ13" i="30"/>
  <c r="AI13" i="30"/>
  <c r="AF13" i="30"/>
  <c r="AG13" i="30" s="1"/>
  <c r="AE13" i="30"/>
  <c r="AB13" i="30"/>
  <c r="X13" i="30"/>
  <c r="P13" i="30"/>
  <c r="N13" i="30"/>
  <c r="M13" i="30"/>
  <c r="L13" i="30"/>
  <c r="K13" i="30"/>
  <c r="J13" i="30"/>
  <c r="AL12" i="30"/>
  <c r="AK12" i="30"/>
  <c r="AJ12" i="30"/>
  <c r="AI12" i="30"/>
  <c r="AF12" i="30"/>
  <c r="AG12" i="30" s="1"/>
  <c r="AE12" i="30"/>
  <c r="AB12" i="30"/>
  <c r="X12" i="30"/>
  <c r="P12" i="30"/>
  <c r="N12" i="30"/>
  <c r="M12" i="30"/>
  <c r="L12" i="30"/>
  <c r="K12" i="30"/>
  <c r="J12" i="30"/>
  <c r="AL11" i="30"/>
  <c r="AK11" i="30"/>
  <c r="AJ11" i="30"/>
  <c r="AI11" i="30"/>
  <c r="AF11" i="30"/>
  <c r="AG11" i="30" s="1"/>
  <c r="AE11" i="30"/>
  <c r="AB11" i="30"/>
  <c r="X11" i="30"/>
  <c r="P11" i="30"/>
  <c r="N11" i="30"/>
  <c r="M11" i="30"/>
  <c r="L11" i="30"/>
  <c r="K11" i="30"/>
  <c r="J11" i="30"/>
  <c r="AL10" i="30"/>
  <c r="AK10" i="30"/>
  <c r="AJ10" i="30"/>
  <c r="AI10" i="30"/>
  <c r="AF10" i="30"/>
  <c r="AG10" i="30" s="1"/>
  <c r="AE10" i="30"/>
  <c r="AB10" i="30"/>
  <c r="X10" i="30"/>
  <c r="P10" i="30"/>
  <c r="N10" i="30"/>
  <c r="M10" i="30"/>
  <c r="L10" i="30"/>
  <c r="K10" i="30"/>
  <c r="J10" i="30"/>
  <c r="AN9" i="30"/>
  <c r="AL9" i="30"/>
  <c r="AK9" i="30"/>
  <c r="AJ9" i="30"/>
  <c r="AI9" i="30"/>
  <c r="AF9" i="30"/>
  <c r="AG9" i="30" s="1"/>
  <c r="AE9" i="30"/>
  <c r="AB9" i="30"/>
  <c r="X9" i="30"/>
  <c r="P9" i="30"/>
  <c r="N9" i="30"/>
  <c r="M9" i="30"/>
  <c r="L9" i="30"/>
  <c r="K9" i="30"/>
  <c r="J9" i="30"/>
  <c r="AN8" i="30"/>
  <c r="AL8" i="30"/>
  <c r="AK8" i="30"/>
  <c r="AJ8" i="30"/>
  <c r="AI8" i="30"/>
  <c r="AF8" i="30"/>
  <c r="AG8" i="30" s="1"/>
  <c r="AE8" i="30"/>
  <c r="AB8" i="30"/>
  <c r="X8" i="30"/>
  <c r="P8" i="30"/>
  <c r="N8" i="30"/>
  <c r="M8" i="30"/>
  <c r="L8" i="30"/>
  <c r="K8" i="30"/>
  <c r="J8" i="30"/>
  <c r="AL7" i="30"/>
  <c r="AK7" i="30"/>
  <c r="AJ7" i="30"/>
  <c r="AI7" i="30"/>
  <c r="AF7" i="30"/>
  <c r="AG7" i="30" s="1"/>
  <c r="AE7" i="30"/>
  <c r="AB7" i="30"/>
  <c r="X7" i="30"/>
  <c r="P7" i="30"/>
  <c r="N7" i="30"/>
  <c r="M7" i="30"/>
  <c r="L7" i="30"/>
  <c r="K7" i="30"/>
  <c r="J7" i="30"/>
  <c r="AL6" i="30"/>
  <c r="AK6" i="30"/>
  <c r="AJ6" i="30"/>
  <c r="AI6" i="30"/>
  <c r="AF6" i="30"/>
  <c r="AE6" i="30"/>
  <c r="AB6" i="30"/>
  <c r="X6" i="30"/>
  <c r="P6" i="30"/>
  <c r="O6" i="30"/>
  <c r="N6" i="30"/>
  <c r="M6" i="30"/>
  <c r="L6" i="30"/>
  <c r="K6" i="30"/>
  <c r="J6" i="30"/>
  <c r="AL94" i="29"/>
  <c r="AK93" i="29"/>
  <c r="AK91" i="29"/>
  <c r="AL78" i="29"/>
  <c r="AK78" i="29"/>
  <c r="AJ78" i="29"/>
  <c r="AI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AL77" i="29"/>
  <c r="AK77" i="29"/>
  <c r="AJ77" i="29"/>
  <c r="AI77" i="29"/>
  <c r="AF77" i="29"/>
  <c r="AG77" i="29" s="1"/>
  <c r="AE77" i="29"/>
  <c r="AB77" i="29"/>
  <c r="X77" i="29"/>
  <c r="P77" i="29"/>
  <c r="N77" i="29"/>
  <c r="M77" i="29"/>
  <c r="L77" i="29"/>
  <c r="K77" i="29"/>
  <c r="J77" i="29"/>
  <c r="AL76" i="29"/>
  <c r="AK76" i="29"/>
  <c r="AJ76" i="29"/>
  <c r="AI76" i="29"/>
  <c r="AF76" i="29"/>
  <c r="AG76" i="29" s="1"/>
  <c r="AE76" i="29"/>
  <c r="AB76" i="29"/>
  <c r="X76" i="29"/>
  <c r="S76" i="29"/>
  <c r="R76" i="29"/>
  <c r="N76" i="29"/>
  <c r="M76" i="29"/>
  <c r="L76" i="29"/>
  <c r="K76" i="29"/>
  <c r="J76" i="29"/>
  <c r="AL75" i="29"/>
  <c r="AK75" i="29"/>
  <c r="AJ75" i="29"/>
  <c r="AI75" i="29"/>
  <c r="AF75" i="29"/>
  <c r="AG75" i="29" s="1"/>
  <c r="AE75" i="29"/>
  <c r="AB75" i="29"/>
  <c r="X75" i="29"/>
  <c r="S75" i="29"/>
  <c r="R75" i="29"/>
  <c r="N75" i="29"/>
  <c r="M75" i="29"/>
  <c r="L75" i="29"/>
  <c r="K75" i="29"/>
  <c r="J75" i="29"/>
  <c r="AL74" i="29"/>
  <c r="AK74" i="29"/>
  <c r="AJ74" i="29"/>
  <c r="AI74" i="29"/>
  <c r="AF74" i="29"/>
  <c r="AG74" i="29" s="1"/>
  <c r="AE74" i="29"/>
  <c r="AB74" i="29"/>
  <c r="X74" i="29"/>
  <c r="S74" i="29"/>
  <c r="R74" i="29"/>
  <c r="N74" i="29"/>
  <c r="M74" i="29"/>
  <c r="L74" i="29"/>
  <c r="K74" i="29"/>
  <c r="J74" i="29"/>
  <c r="AL73" i="29"/>
  <c r="AK73" i="29"/>
  <c r="AJ73" i="29"/>
  <c r="AI73" i="29"/>
  <c r="AF73" i="29"/>
  <c r="AG73" i="29" s="1"/>
  <c r="AE73" i="29"/>
  <c r="AB73" i="29"/>
  <c r="X73" i="29"/>
  <c r="S73" i="29"/>
  <c r="R73" i="29"/>
  <c r="N73" i="29"/>
  <c r="M73" i="29"/>
  <c r="L73" i="29"/>
  <c r="K73" i="29"/>
  <c r="J73" i="29"/>
  <c r="AL72" i="29"/>
  <c r="AK72" i="29"/>
  <c r="AJ72" i="29"/>
  <c r="AI72" i="29"/>
  <c r="AF72" i="29"/>
  <c r="AG72" i="29" s="1"/>
  <c r="AE72" i="29"/>
  <c r="AB72" i="29"/>
  <c r="X72" i="29"/>
  <c r="S72" i="29"/>
  <c r="R72" i="29"/>
  <c r="N72" i="29"/>
  <c r="M72" i="29"/>
  <c r="L72" i="29"/>
  <c r="K72" i="29"/>
  <c r="J72" i="29"/>
  <c r="AL71" i="29"/>
  <c r="AK71" i="29"/>
  <c r="AJ71" i="29"/>
  <c r="AI71" i="29"/>
  <c r="AF71" i="29"/>
  <c r="AG71" i="29" s="1"/>
  <c r="AE71" i="29"/>
  <c r="AB71" i="29"/>
  <c r="X71" i="29"/>
  <c r="S71" i="29"/>
  <c r="R71" i="29"/>
  <c r="N71" i="29"/>
  <c r="M71" i="29"/>
  <c r="L71" i="29"/>
  <c r="K71" i="29"/>
  <c r="J71" i="29"/>
  <c r="AL70" i="29"/>
  <c r="AK70" i="29"/>
  <c r="AJ70" i="29"/>
  <c r="AI70" i="29"/>
  <c r="AF70" i="29"/>
  <c r="AG70" i="29" s="1"/>
  <c r="AE70" i="29"/>
  <c r="AB70" i="29"/>
  <c r="X70" i="29"/>
  <c r="S70" i="29"/>
  <c r="R70" i="29"/>
  <c r="N70" i="29"/>
  <c r="M70" i="29"/>
  <c r="L70" i="29"/>
  <c r="K70" i="29"/>
  <c r="J70" i="29"/>
  <c r="AL69" i="29"/>
  <c r="AK69" i="29"/>
  <c r="AJ69" i="29"/>
  <c r="AI69" i="29"/>
  <c r="AF69" i="29"/>
  <c r="AG69" i="29" s="1"/>
  <c r="AE69" i="29"/>
  <c r="AB69" i="29"/>
  <c r="X69" i="29"/>
  <c r="S69" i="29"/>
  <c r="R69" i="29"/>
  <c r="N69" i="29"/>
  <c r="M69" i="29"/>
  <c r="L69" i="29"/>
  <c r="K69" i="29"/>
  <c r="J69" i="29"/>
  <c r="AL68" i="29"/>
  <c r="AK68" i="29"/>
  <c r="AJ68" i="29"/>
  <c r="AI68" i="29"/>
  <c r="AF68" i="29"/>
  <c r="AG68" i="29" s="1"/>
  <c r="AE68" i="29"/>
  <c r="AB68" i="29"/>
  <c r="X68" i="29"/>
  <c r="S68" i="29"/>
  <c r="R68" i="29"/>
  <c r="N68" i="29"/>
  <c r="M68" i="29"/>
  <c r="L68" i="29"/>
  <c r="K68" i="29"/>
  <c r="J68" i="29"/>
  <c r="AL67" i="29"/>
  <c r="AK67" i="29"/>
  <c r="AJ67" i="29"/>
  <c r="AI67" i="29"/>
  <c r="AF67" i="29"/>
  <c r="AG67" i="29" s="1"/>
  <c r="AE67" i="29"/>
  <c r="AB67" i="29"/>
  <c r="X67" i="29"/>
  <c r="S67" i="29"/>
  <c r="R67" i="29"/>
  <c r="N67" i="29"/>
  <c r="M67" i="29"/>
  <c r="L67" i="29"/>
  <c r="K67" i="29"/>
  <c r="J67" i="29"/>
  <c r="AL66" i="29"/>
  <c r="AK66" i="29"/>
  <c r="AJ66" i="29"/>
  <c r="AI66" i="29"/>
  <c r="AF66" i="29"/>
  <c r="AG66" i="29" s="1"/>
  <c r="AE66" i="29"/>
  <c r="AB66" i="29"/>
  <c r="X66" i="29"/>
  <c r="Q66" i="29"/>
  <c r="P66" i="29"/>
  <c r="O66" i="29"/>
  <c r="N66" i="29"/>
  <c r="M66" i="29"/>
  <c r="L66" i="29"/>
  <c r="K66" i="29"/>
  <c r="J66" i="29"/>
  <c r="AL65" i="29"/>
  <c r="AK65" i="29"/>
  <c r="AJ65" i="29"/>
  <c r="AI65" i="29"/>
  <c r="AF65" i="29"/>
  <c r="AG65" i="29" s="1"/>
  <c r="AE65" i="29"/>
  <c r="AB65" i="29"/>
  <c r="X65" i="29"/>
  <c r="Q65" i="29"/>
  <c r="P65" i="29"/>
  <c r="O65" i="29"/>
  <c r="N65" i="29"/>
  <c r="M65" i="29"/>
  <c r="L65" i="29"/>
  <c r="K65" i="29"/>
  <c r="J65" i="29"/>
  <c r="AL64" i="29"/>
  <c r="AK64" i="29"/>
  <c r="AJ64" i="29"/>
  <c r="AI64" i="29"/>
  <c r="AF64" i="29"/>
  <c r="AG64" i="29" s="1"/>
  <c r="AE64" i="29"/>
  <c r="AB64" i="29"/>
  <c r="X64" i="29"/>
  <c r="Q64" i="29"/>
  <c r="P64" i="29"/>
  <c r="O64" i="29"/>
  <c r="N64" i="29"/>
  <c r="M64" i="29"/>
  <c r="L64" i="29"/>
  <c r="K64" i="29"/>
  <c r="J64" i="29"/>
  <c r="AL63" i="29"/>
  <c r="AK63" i="29"/>
  <c r="AJ63" i="29"/>
  <c r="AI63" i="29"/>
  <c r="AF63" i="29"/>
  <c r="AG63" i="29" s="1"/>
  <c r="AE63" i="29"/>
  <c r="AB63" i="29"/>
  <c r="X63" i="29"/>
  <c r="Q63" i="29"/>
  <c r="P63" i="29"/>
  <c r="O63" i="29"/>
  <c r="N63" i="29"/>
  <c r="M63" i="29"/>
  <c r="L63" i="29"/>
  <c r="K63" i="29"/>
  <c r="J63" i="29"/>
  <c r="AL62" i="29"/>
  <c r="AK62" i="29"/>
  <c r="AJ62" i="29"/>
  <c r="AI62" i="29"/>
  <c r="AF62" i="29"/>
  <c r="AG62" i="29" s="1"/>
  <c r="AE62" i="29"/>
  <c r="AB62" i="29"/>
  <c r="X62" i="29"/>
  <c r="W62" i="29"/>
  <c r="V62" i="29"/>
  <c r="T62" i="29"/>
  <c r="S62" i="29"/>
  <c r="R62" i="29"/>
  <c r="N62" i="29"/>
  <c r="M62" i="29"/>
  <c r="L62" i="29"/>
  <c r="K62" i="29"/>
  <c r="J62" i="29"/>
  <c r="AL61" i="29"/>
  <c r="AK61" i="29"/>
  <c r="AJ61" i="29"/>
  <c r="AF61" i="29"/>
  <c r="AG61" i="29" s="1"/>
  <c r="AE61" i="29"/>
  <c r="W61" i="29"/>
  <c r="J61" i="29"/>
  <c r="AL60" i="29"/>
  <c r="AK60" i="29"/>
  <c r="AJ60" i="29"/>
  <c r="AI60" i="29"/>
  <c r="AF60" i="29"/>
  <c r="AG60" i="29" s="1"/>
  <c r="AE60" i="29"/>
  <c r="AB60" i="29"/>
  <c r="X60" i="29"/>
  <c r="W60" i="29"/>
  <c r="T60" i="29"/>
  <c r="S60" i="29"/>
  <c r="R60" i="29"/>
  <c r="P60" i="29"/>
  <c r="N60" i="29"/>
  <c r="M60" i="29"/>
  <c r="L60" i="29"/>
  <c r="K60" i="29"/>
  <c r="J60" i="29"/>
  <c r="AL59" i="29"/>
  <c r="AK59" i="29"/>
  <c r="AJ59" i="29"/>
  <c r="AF59" i="29"/>
  <c r="AG59" i="29" s="1"/>
  <c r="AE59" i="29"/>
  <c r="J59" i="29"/>
  <c r="AL58" i="29"/>
  <c r="AK58" i="29"/>
  <c r="AJ58" i="29"/>
  <c r="AI58" i="29"/>
  <c r="AF58" i="29"/>
  <c r="AG58" i="29" s="1"/>
  <c r="AE58" i="29"/>
  <c r="AB58" i="29"/>
  <c r="X58" i="29"/>
  <c r="W58" i="29"/>
  <c r="T58" i="29"/>
  <c r="S58" i="29"/>
  <c r="R58" i="29"/>
  <c r="N58" i="29"/>
  <c r="M58" i="29"/>
  <c r="L58" i="29"/>
  <c r="K58" i="29"/>
  <c r="J58" i="29"/>
  <c r="AL57" i="29"/>
  <c r="AK57" i="29"/>
  <c r="AJ57" i="29"/>
  <c r="AI57" i="29"/>
  <c r="AF57" i="29"/>
  <c r="AG57" i="29" s="1"/>
  <c r="AE57" i="29"/>
  <c r="AB57" i="29"/>
  <c r="X57" i="29"/>
  <c r="W57" i="29"/>
  <c r="T57" i="29"/>
  <c r="S57" i="29"/>
  <c r="R57" i="29"/>
  <c r="N57" i="29"/>
  <c r="M57" i="29"/>
  <c r="L57" i="29"/>
  <c r="K57" i="29"/>
  <c r="J57" i="29"/>
  <c r="AL56" i="29"/>
  <c r="AK56" i="29"/>
  <c r="AJ56" i="29"/>
  <c r="AF56" i="29"/>
  <c r="AG56" i="29" s="1"/>
  <c r="AE56" i="29"/>
  <c r="J56" i="29"/>
  <c r="AL55" i="29"/>
  <c r="AK55" i="29"/>
  <c r="AJ55" i="29"/>
  <c r="AF55" i="29"/>
  <c r="AG55" i="29" s="1"/>
  <c r="AE55" i="29"/>
  <c r="W55" i="29"/>
  <c r="J55" i="29"/>
  <c r="AL54" i="29"/>
  <c r="AK54" i="29"/>
  <c r="AJ54" i="29"/>
  <c r="AF54" i="29"/>
  <c r="AG54" i="29" s="1"/>
  <c r="AE54" i="29"/>
  <c r="W54" i="29"/>
  <c r="J54" i="29"/>
  <c r="AL53" i="29"/>
  <c r="AK53" i="29"/>
  <c r="AJ53" i="29"/>
  <c r="AI53" i="29"/>
  <c r="AF53" i="29"/>
  <c r="AG53" i="29" s="1"/>
  <c r="AE53" i="29"/>
  <c r="AB53" i="29"/>
  <c r="X53" i="29"/>
  <c r="W53" i="29"/>
  <c r="T53" i="29"/>
  <c r="S53" i="29"/>
  <c r="R53" i="29"/>
  <c r="N53" i="29"/>
  <c r="M53" i="29"/>
  <c r="L53" i="29"/>
  <c r="K53" i="29"/>
  <c r="J53" i="29"/>
  <c r="AL52" i="29"/>
  <c r="AK52" i="29"/>
  <c r="AJ52" i="29"/>
  <c r="AF52" i="29"/>
  <c r="AG52" i="29" s="1"/>
  <c r="AE52" i="29"/>
  <c r="J52" i="29"/>
  <c r="AL51" i="29"/>
  <c r="AK51" i="29"/>
  <c r="AJ51" i="29"/>
  <c r="AF51" i="29"/>
  <c r="AG51" i="29" s="1"/>
  <c r="AE51" i="29"/>
  <c r="J51" i="29"/>
  <c r="AL50" i="29"/>
  <c r="AK50" i="29"/>
  <c r="AJ50" i="29"/>
  <c r="AF50" i="29"/>
  <c r="AG50" i="29" s="1"/>
  <c r="AE50" i="29"/>
  <c r="J50" i="29"/>
  <c r="AL49" i="29"/>
  <c r="AK49" i="29"/>
  <c r="AJ49" i="29"/>
  <c r="AF49" i="29"/>
  <c r="AG49" i="29" s="1"/>
  <c r="AE49" i="29"/>
  <c r="J49" i="29"/>
  <c r="AL48" i="29"/>
  <c r="AK48" i="29"/>
  <c r="AJ48" i="29"/>
  <c r="AF48" i="29"/>
  <c r="AG48" i="29" s="1"/>
  <c r="AE48" i="29"/>
  <c r="J48" i="29"/>
  <c r="AL47" i="29"/>
  <c r="AK47" i="29"/>
  <c r="AJ47" i="29"/>
  <c r="AF47" i="29"/>
  <c r="AG47" i="29" s="1"/>
  <c r="AE47" i="29"/>
  <c r="W47" i="29"/>
  <c r="J47" i="29"/>
  <c r="AL46" i="29"/>
  <c r="AK46" i="29"/>
  <c r="AJ46" i="29"/>
  <c r="AI46" i="29"/>
  <c r="AF46" i="29"/>
  <c r="AG46" i="29" s="1"/>
  <c r="AE46" i="29"/>
  <c r="AB46" i="29"/>
  <c r="X46" i="29"/>
  <c r="W46" i="29"/>
  <c r="T46" i="29"/>
  <c r="S46" i="29"/>
  <c r="R46" i="29"/>
  <c r="N46" i="29"/>
  <c r="M46" i="29"/>
  <c r="L46" i="29"/>
  <c r="K46" i="29"/>
  <c r="J46" i="29"/>
  <c r="AL45" i="29"/>
  <c r="AK45" i="29"/>
  <c r="AJ45" i="29"/>
  <c r="AI45" i="29"/>
  <c r="AF45" i="29"/>
  <c r="AG45" i="29" s="1"/>
  <c r="AE45" i="29"/>
  <c r="AB45" i="29"/>
  <c r="X45" i="29"/>
  <c r="W45" i="29"/>
  <c r="T45" i="29"/>
  <c r="S45" i="29"/>
  <c r="R45" i="29"/>
  <c r="N45" i="29"/>
  <c r="M45" i="29"/>
  <c r="L45" i="29"/>
  <c r="K45" i="29"/>
  <c r="J45" i="29"/>
  <c r="AL44" i="29"/>
  <c r="AK44" i="29"/>
  <c r="AJ44" i="29"/>
  <c r="AF44" i="29"/>
  <c r="AG44" i="29" s="1"/>
  <c r="AE44" i="29"/>
  <c r="J44" i="29"/>
  <c r="AL43" i="29"/>
  <c r="AK43" i="29"/>
  <c r="AJ43" i="29"/>
  <c r="AF43" i="29"/>
  <c r="AG43" i="29" s="1"/>
  <c r="AE43" i="29"/>
  <c r="J43" i="29"/>
  <c r="AL42" i="29"/>
  <c r="AK42" i="29"/>
  <c r="AJ42" i="29"/>
  <c r="AI42" i="29"/>
  <c r="AF42" i="29"/>
  <c r="AG42" i="29" s="1"/>
  <c r="AE42" i="29"/>
  <c r="AB42" i="29"/>
  <c r="X42" i="29"/>
  <c r="W42" i="29"/>
  <c r="T42" i="29"/>
  <c r="S42" i="29"/>
  <c r="R42" i="29"/>
  <c r="N42" i="29"/>
  <c r="M42" i="29"/>
  <c r="L42" i="29"/>
  <c r="K42" i="29"/>
  <c r="J42" i="29"/>
  <c r="AL41" i="29"/>
  <c r="AK41" i="29"/>
  <c r="AJ41" i="29"/>
  <c r="AI41" i="29"/>
  <c r="AF41" i="29"/>
  <c r="AG41" i="29" s="1"/>
  <c r="AE41" i="29"/>
  <c r="AB41" i="29"/>
  <c r="X41" i="29"/>
  <c r="W41" i="29"/>
  <c r="T41" i="29"/>
  <c r="S41" i="29"/>
  <c r="R41" i="29"/>
  <c r="N41" i="29"/>
  <c r="M41" i="29"/>
  <c r="L41" i="29"/>
  <c r="K41" i="29"/>
  <c r="J41" i="29"/>
  <c r="AL40" i="29"/>
  <c r="AK40" i="29"/>
  <c r="AJ40" i="29"/>
  <c r="AF40" i="29"/>
  <c r="AG40" i="29" s="1"/>
  <c r="AE40" i="29"/>
  <c r="J40" i="29"/>
  <c r="AL39" i="29"/>
  <c r="AK39" i="29"/>
  <c r="AJ39" i="29"/>
  <c r="AF39" i="29"/>
  <c r="AG39" i="29" s="1"/>
  <c r="AE39" i="29"/>
  <c r="J39" i="29"/>
  <c r="AL38" i="29"/>
  <c r="AK38" i="29"/>
  <c r="AJ38" i="29"/>
  <c r="AF38" i="29"/>
  <c r="AG38" i="29" s="1"/>
  <c r="AE38" i="29"/>
  <c r="J38" i="29"/>
  <c r="AL37" i="29"/>
  <c r="AK37" i="29"/>
  <c r="AJ37" i="29"/>
  <c r="AI37" i="29"/>
  <c r="AF37" i="29"/>
  <c r="AG37" i="29" s="1"/>
  <c r="AE37" i="29"/>
  <c r="AB37" i="29"/>
  <c r="X37" i="29"/>
  <c r="W37" i="29"/>
  <c r="T37" i="29"/>
  <c r="S37" i="29"/>
  <c r="R37" i="29"/>
  <c r="N37" i="29"/>
  <c r="M37" i="29"/>
  <c r="L37" i="29"/>
  <c r="K37" i="29"/>
  <c r="J37" i="29"/>
  <c r="AL36" i="29"/>
  <c r="AK36" i="29"/>
  <c r="AJ36" i="29"/>
  <c r="AF36" i="29"/>
  <c r="AG36" i="29" s="1"/>
  <c r="AE36" i="29"/>
  <c r="W36" i="29"/>
  <c r="J36" i="29"/>
  <c r="AL35" i="29"/>
  <c r="AK35" i="29"/>
  <c r="AJ35" i="29"/>
  <c r="AF35" i="29"/>
  <c r="AG35" i="29" s="1"/>
  <c r="AE35" i="29"/>
  <c r="W35" i="29"/>
  <c r="J35" i="29"/>
  <c r="AL34" i="29"/>
  <c r="AK34" i="29"/>
  <c r="AJ34" i="29"/>
  <c r="AF34" i="29"/>
  <c r="AG34" i="29" s="1"/>
  <c r="AE34" i="29"/>
  <c r="W34" i="29"/>
  <c r="J34" i="29"/>
  <c r="AL33" i="29"/>
  <c r="AK33" i="29"/>
  <c r="AJ33" i="29"/>
  <c r="AF33" i="29"/>
  <c r="AG33" i="29" s="1"/>
  <c r="AE33" i="29"/>
  <c r="J33" i="29"/>
  <c r="AL32" i="29"/>
  <c r="AK32" i="29"/>
  <c r="AJ32" i="29"/>
  <c r="AF32" i="29"/>
  <c r="AG32" i="29" s="1"/>
  <c r="AE32" i="29"/>
  <c r="J32" i="29"/>
  <c r="AL31" i="29"/>
  <c r="AK31" i="29"/>
  <c r="AJ31" i="29"/>
  <c r="AI31" i="29"/>
  <c r="AF31" i="29"/>
  <c r="AG31" i="29" s="1"/>
  <c r="AE31" i="29"/>
  <c r="AB31" i="29"/>
  <c r="X31" i="29"/>
  <c r="W31" i="29"/>
  <c r="T31" i="29"/>
  <c r="S31" i="29"/>
  <c r="R31" i="29"/>
  <c r="N31" i="29"/>
  <c r="M31" i="29"/>
  <c r="L31" i="29"/>
  <c r="K31" i="29"/>
  <c r="J31" i="29"/>
  <c r="AL30" i="29"/>
  <c r="AK30" i="29"/>
  <c r="AJ30" i="29"/>
  <c r="AF30" i="29"/>
  <c r="AG30" i="29" s="1"/>
  <c r="AE30" i="29"/>
  <c r="W30" i="29"/>
  <c r="J30" i="29"/>
  <c r="AL29" i="29"/>
  <c r="AK29" i="29"/>
  <c r="AJ29" i="29"/>
  <c r="AI29" i="29"/>
  <c r="AF29" i="29"/>
  <c r="AG29" i="29" s="1"/>
  <c r="AE29" i="29"/>
  <c r="AB29" i="29"/>
  <c r="X29" i="29"/>
  <c r="W29" i="29"/>
  <c r="P29" i="29"/>
  <c r="O29" i="29"/>
  <c r="N29" i="29"/>
  <c r="M29" i="29"/>
  <c r="L29" i="29"/>
  <c r="K29" i="29"/>
  <c r="J29" i="29"/>
  <c r="AL28" i="29"/>
  <c r="AK28" i="29"/>
  <c r="AJ28" i="29"/>
  <c r="AF28" i="29"/>
  <c r="AG28" i="29" s="1"/>
  <c r="AE28" i="29"/>
  <c r="W28" i="29"/>
  <c r="J28" i="29"/>
  <c r="AL27" i="29"/>
  <c r="AK27" i="29"/>
  <c r="AJ27" i="29"/>
  <c r="AI27" i="29"/>
  <c r="AF27" i="29"/>
  <c r="AG27" i="29" s="1"/>
  <c r="AE27" i="29"/>
  <c r="AB27" i="29"/>
  <c r="X27" i="29"/>
  <c r="N27" i="29"/>
  <c r="M27" i="29"/>
  <c r="L27" i="29"/>
  <c r="K27" i="29"/>
  <c r="J27" i="29"/>
  <c r="AL26" i="29"/>
  <c r="AK26" i="29"/>
  <c r="AJ26" i="29"/>
  <c r="AI26" i="29"/>
  <c r="AF26" i="29"/>
  <c r="AG26" i="29" s="1"/>
  <c r="AE26" i="29"/>
  <c r="AB26" i="29"/>
  <c r="X26" i="29"/>
  <c r="N26" i="29"/>
  <c r="M26" i="29"/>
  <c r="L26" i="29"/>
  <c r="K26" i="29"/>
  <c r="J26" i="29"/>
  <c r="AL25" i="29"/>
  <c r="AK25" i="29"/>
  <c r="AJ25" i="29"/>
  <c r="AI25" i="29"/>
  <c r="AF25" i="29"/>
  <c r="AG25" i="29" s="1"/>
  <c r="AE25" i="29"/>
  <c r="AB25" i="29"/>
  <c r="X25" i="29"/>
  <c r="P25" i="29"/>
  <c r="N25" i="29"/>
  <c r="M25" i="29"/>
  <c r="L25" i="29"/>
  <c r="K25" i="29"/>
  <c r="J25" i="29"/>
  <c r="AL24" i="29"/>
  <c r="AK24" i="29"/>
  <c r="AJ24" i="29"/>
  <c r="AI24" i="29"/>
  <c r="AF24" i="29"/>
  <c r="AG24" i="29" s="1"/>
  <c r="AE24" i="29"/>
  <c r="AB24" i="29"/>
  <c r="X24" i="29"/>
  <c r="P24" i="29"/>
  <c r="O24" i="29"/>
  <c r="N24" i="29"/>
  <c r="M24" i="29"/>
  <c r="L24" i="29"/>
  <c r="K24" i="29"/>
  <c r="J24" i="29"/>
  <c r="AL23" i="29"/>
  <c r="AK23" i="29"/>
  <c r="AJ23" i="29"/>
  <c r="AI23" i="29"/>
  <c r="AF23" i="29"/>
  <c r="AG23" i="29" s="1"/>
  <c r="AE23" i="29"/>
  <c r="AB23" i="29"/>
  <c r="X23" i="29"/>
  <c r="N23" i="29"/>
  <c r="M23" i="29"/>
  <c r="L23" i="29"/>
  <c r="K23" i="29"/>
  <c r="J23" i="29"/>
  <c r="AL22" i="29"/>
  <c r="AK22" i="29"/>
  <c r="AJ22" i="29"/>
  <c r="AI22" i="29"/>
  <c r="AF22" i="29"/>
  <c r="AG22" i="29" s="1"/>
  <c r="AE22" i="29"/>
  <c r="AB22" i="29"/>
  <c r="X22" i="29"/>
  <c r="N22" i="29"/>
  <c r="M22" i="29"/>
  <c r="L22" i="29"/>
  <c r="K22" i="29"/>
  <c r="J22" i="29"/>
  <c r="AL21" i="29"/>
  <c r="AK21" i="29"/>
  <c r="AJ21" i="29"/>
  <c r="AI21" i="29"/>
  <c r="AF21" i="29"/>
  <c r="AG21" i="29" s="1"/>
  <c r="AE21" i="29"/>
  <c r="AB21" i="29"/>
  <c r="X21" i="29"/>
  <c r="S21" i="29"/>
  <c r="R21" i="29"/>
  <c r="P21" i="29"/>
  <c r="N21" i="29"/>
  <c r="M21" i="29"/>
  <c r="L21" i="29"/>
  <c r="K21" i="29"/>
  <c r="J21" i="29"/>
  <c r="AL20" i="29"/>
  <c r="AK20" i="29"/>
  <c r="AJ20" i="29"/>
  <c r="AI20" i="29"/>
  <c r="AF20" i="29"/>
  <c r="AG20" i="29" s="1"/>
  <c r="AE20" i="29"/>
  <c r="AB20" i="29"/>
  <c r="X20" i="29"/>
  <c r="P20" i="29"/>
  <c r="N20" i="29"/>
  <c r="M20" i="29"/>
  <c r="L20" i="29"/>
  <c r="K20" i="29"/>
  <c r="J20" i="29"/>
  <c r="AL19" i="29"/>
  <c r="AK19" i="29"/>
  <c r="AJ19" i="29"/>
  <c r="AI19" i="29"/>
  <c r="AF19" i="29"/>
  <c r="AG19" i="29" s="1"/>
  <c r="AE19" i="29"/>
  <c r="AB19" i="29"/>
  <c r="X19" i="29"/>
  <c r="P19" i="29"/>
  <c r="N19" i="29"/>
  <c r="M19" i="29"/>
  <c r="L19" i="29"/>
  <c r="K19" i="29"/>
  <c r="J19" i="29"/>
  <c r="AL18" i="29"/>
  <c r="AK18" i="29"/>
  <c r="AJ18" i="29"/>
  <c r="AI18" i="29"/>
  <c r="AF18" i="29"/>
  <c r="AG18" i="29" s="1"/>
  <c r="AE18" i="29"/>
  <c r="AB18" i="29"/>
  <c r="X18" i="29"/>
  <c r="P18" i="29"/>
  <c r="N18" i="29"/>
  <c r="M18" i="29"/>
  <c r="L18" i="29"/>
  <c r="K18" i="29"/>
  <c r="J18" i="29"/>
  <c r="AL17" i="29"/>
  <c r="AK17" i="29"/>
  <c r="AJ17" i="29"/>
  <c r="AI17" i="29"/>
  <c r="AF17" i="29"/>
  <c r="AG17" i="29" s="1"/>
  <c r="AE17" i="29"/>
  <c r="AB17" i="29"/>
  <c r="X17" i="29"/>
  <c r="P17" i="29"/>
  <c r="N17" i="29"/>
  <c r="M17" i="29"/>
  <c r="L17" i="29"/>
  <c r="K17" i="29"/>
  <c r="J17" i="29"/>
  <c r="AL16" i="29"/>
  <c r="AK16" i="29"/>
  <c r="AJ16" i="29"/>
  <c r="AI16" i="29"/>
  <c r="AF16" i="29"/>
  <c r="AG16" i="29" s="1"/>
  <c r="AE16" i="29"/>
  <c r="AB16" i="29"/>
  <c r="X16" i="29"/>
  <c r="P16" i="29"/>
  <c r="N16" i="29"/>
  <c r="M16" i="29"/>
  <c r="L16" i="29"/>
  <c r="K16" i="29"/>
  <c r="J16" i="29"/>
  <c r="AL15" i="29"/>
  <c r="AK15" i="29"/>
  <c r="AJ15" i="29"/>
  <c r="AI15" i="29"/>
  <c r="AF15" i="29"/>
  <c r="AG15" i="29" s="1"/>
  <c r="AE15" i="29"/>
  <c r="AB15" i="29"/>
  <c r="X15" i="29"/>
  <c r="P15" i="29"/>
  <c r="N15" i="29"/>
  <c r="M15" i="29"/>
  <c r="L15" i="29"/>
  <c r="K15" i="29"/>
  <c r="J15" i="29"/>
  <c r="AL14" i="29"/>
  <c r="AK14" i="29"/>
  <c r="AJ14" i="29"/>
  <c r="AI14" i="29"/>
  <c r="AF14" i="29"/>
  <c r="AG14" i="29" s="1"/>
  <c r="AE14" i="29"/>
  <c r="AB14" i="29"/>
  <c r="X14" i="29"/>
  <c r="N14" i="29"/>
  <c r="M14" i="29"/>
  <c r="L14" i="29"/>
  <c r="K14" i="29"/>
  <c r="J14" i="29"/>
  <c r="AL13" i="29"/>
  <c r="AK13" i="29"/>
  <c r="AJ13" i="29"/>
  <c r="AI13" i="29"/>
  <c r="AF13" i="29"/>
  <c r="AG13" i="29" s="1"/>
  <c r="AE13" i="29"/>
  <c r="AB13" i="29"/>
  <c r="X13" i="29"/>
  <c r="N13" i="29"/>
  <c r="M13" i="29"/>
  <c r="L13" i="29"/>
  <c r="K13" i="29"/>
  <c r="J13" i="29"/>
  <c r="AL12" i="29"/>
  <c r="AK12" i="29"/>
  <c r="AJ12" i="29"/>
  <c r="AI12" i="29"/>
  <c r="AF12" i="29"/>
  <c r="AG12" i="29" s="1"/>
  <c r="AE12" i="29"/>
  <c r="AB12" i="29"/>
  <c r="X12" i="29"/>
  <c r="N12" i="29"/>
  <c r="M12" i="29"/>
  <c r="L12" i="29"/>
  <c r="K12" i="29"/>
  <c r="J12" i="29"/>
  <c r="AL11" i="29"/>
  <c r="AK11" i="29"/>
  <c r="AJ11" i="29"/>
  <c r="AI11" i="29"/>
  <c r="AF11" i="29"/>
  <c r="AG11" i="29" s="1"/>
  <c r="AE11" i="29"/>
  <c r="AB11" i="29"/>
  <c r="X11" i="29"/>
  <c r="N11" i="29"/>
  <c r="M11" i="29"/>
  <c r="L11" i="29"/>
  <c r="K11" i="29"/>
  <c r="J11" i="29"/>
  <c r="AL10" i="29"/>
  <c r="AK10" i="29"/>
  <c r="AJ10" i="29"/>
  <c r="AI10" i="29"/>
  <c r="AF10" i="29"/>
  <c r="AG10" i="29" s="1"/>
  <c r="AE10" i="29"/>
  <c r="AB10" i="29"/>
  <c r="X10" i="29"/>
  <c r="N10" i="29"/>
  <c r="M10" i="29"/>
  <c r="L10" i="29"/>
  <c r="K10" i="29"/>
  <c r="J10" i="29"/>
  <c r="AN9" i="29"/>
  <c r="AL9" i="29"/>
  <c r="AK9" i="29"/>
  <c r="AJ9" i="29"/>
  <c r="AI9" i="29"/>
  <c r="AF9" i="29"/>
  <c r="AG9" i="29" s="1"/>
  <c r="AE9" i="29"/>
  <c r="AB9" i="29"/>
  <c r="X9" i="29"/>
  <c r="N9" i="29"/>
  <c r="M9" i="29"/>
  <c r="L9" i="29"/>
  <c r="K9" i="29"/>
  <c r="J9" i="29"/>
  <c r="AN8" i="29"/>
  <c r="AL8" i="29"/>
  <c r="AK8" i="29"/>
  <c r="AJ8" i="29"/>
  <c r="AI8" i="29"/>
  <c r="AF8" i="29"/>
  <c r="AG8" i="29" s="1"/>
  <c r="AE8" i="29"/>
  <c r="AB8" i="29"/>
  <c r="X8" i="29"/>
  <c r="N8" i="29"/>
  <c r="M8" i="29"/>
  <c r="L8" i="29"/>
  <c r="K8" i="29"/>
  <c r="J8" i="29"/>
  <c r="AL7" i="29"/>
  <c r="AK7" i="29"/>
  <c r="AJ7" i="29"/>
  <c r="AI7" i="29"/>
  <c r="AF7" i="29"/>
  <c r="AG7" i="29" s="1"/>
  <c r="AE7" i="29"/>
  <c r="AB7" i="29"/>
  <c r="X7" i="29"/>
  <c r="N7" i="29"/>
  <c r="M7" i="29"/>
  <c r="L7" i="29"/>
  <c r="K7" i="29"/>
  <c r="J7" i="29"/>
  <c r="AL6" i="29"/>
  <c r="AK6" i="29"/>
  <c r="AJ6" i="29"/>
  <c r="AI6" i="29"/>
  <c r="AF6" i="29"/>
  <c r="AE6" i="29"/>
  <c r="AB6" i="29"/>
  <c r="X6" i="29"/>
  <c r="P6" i="29"/>
  <c r="O6" i="29"/>
  <c r="N6" i="29"/>
  <c r="M6" i="29"/>
  <c r="L6" i="29"/>
  <c r="K6" i="29"/>
  <c r="J6" i="29"/>
  <c r="AL83" i="28"/>
  <c r="AK82" i="28"/>
  <c r="AK80" i="28"/>
  <c r="AL67" i="28"/>
  <c r="AK67" i="28"/>
  <c r="AJ67" i="28"/>
  <c r="AI67" i="28"/>
  <c r="AE67" i="28"/>
  <c r="AD67" i="28"/>
  <c r="AC67" i="28"/>
  <c r="AB67" i="28"/>
  <c r="AA67" i="28"/>
  <c r="Z67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AL66" i="28"/>
  <c r="AK66" i="28"/>
  <c r="AJ66" i="28"/>
  <c r="AI66" i="28"/>
  <c r="AF66" i="28"/>
  <c r="AG66" i="28" s="1"/>
  <c r="AE66" i="28"/>
  <c r="AB66" i="28"/>
  <c r="X66" i="28"/>
  <c r="Q66" i="28"/>
  <c r="P66" i="28"/>
  <c r="O66" i="28"/>
  <c r="N66" i="28"/>
  <c r="M66" i="28"/>
  <c r="L66" i="28"/>
  <c r="K66" i="28"/>
  <c r="J66" i="28"/>
  <c r="AL65" i="28"/>
  <c r="AK65" i="28"/>
  <c r="AJ65" i="28"/>
  <c r="AI65" i="28"/>
  <c r="AF65" i="28"/>
  <c r="AG65" i="28" s="1"/>
  <c r="AE65" i="28"/>
  <c r="AB65" i="28"/>
  <c r="X65" i="28"/>
  <c r="Q65" i="28"/>
  <c r="P65" i="28"/>
  <c r="O65" i="28"/>
  <c r="N65" i="28"/>
  <c r="M65" i="28"/>
  <c r="L65" i="28"/>
  <c r="K65" i="28"/>
  <c r="J65" i="28"/>
  <c r="AL64" i="28"/>
  <c r="AK64" i="28"/>
  <c r="AJ64" i="28"/>
  <c r="AI64" i="28"/>
  <c r="AF64" i="28"/>
  <c r="AG64" i="28" s="1"/>
  <c r="AE64" i="28"/>
  <c r="AB64" i="28"/>
  <c r="X64" i="28"/>
  <c r="Q64" i="28"/>
  <c r="P64" i="28"/>
  <c r="O64" i="28"/>
  <c r="N64" i="28"/>
  <c r="M64" i="28"/>
  <c r="L64" i="28"/>
  <c r="K64" i="28"/>
  <c r="J64" i="28"/>
  <c r="AL63" i="28"/>
  <c r="AK63" i="28"/>
  <c r="AJ63" i="28"/>
  <c r="AI63" i="28"/>
  <c r="AF63" i="28"/>
  <c r="AG63" i="28" s="1"/>
  <c r="AE63" i="28"/>
  <c r="AB63" i="28"/>
  <c r="X63" i="28"/>
  <c r="Q63" i="28"/>
  <c r="P63" i="28"/>
  <c r="O63" i="28"/>
  <c r="N63" i="28"/>
  <c r="M63" i="28"/>
  <c r="L63" i="28"/>
  <c r="K63" i="28"/>
  <c r="J63" i="28"/>
  <c r="AL62" i="28"/>
  <c r="AK62" i="28"/>
  <c r="AJ62" i="28"/>
  <c r="AI62" i="28"/>
  <c r="AF62" i="28"/>
  <c r="AG62" i="28" s="1"/>
  <c r="AE62" i="28"/>
  <c r="AB62" i="28"/>
  <c r="X62" i="28"/>
  <c r="W62" i="28"/>
  <c r="V62" i="28"/>
  <c r="T62" i="28"/>
  <c r="S62" i="28"/>
  <c r="R62" i="28"/>
  <c r="N62" i="28"/>
  <c r="M62" i="28"/>
  <c r="L62" i="28"/>
  <c r="K62" i="28"/>
  <c r="J62" i="28"/>
  <c r="AL61" i="28"/>
  <c r="AK61" i="28"/>
  <c r="AJ61" i="28"/>
  <c r="AF61" i="28"/>
  <c r="AG61" i="28" s="1"/>
  <c r="AE61" i="28"/>
  <c r="W61" i="28"/>
  <c r="J61" i="28"/>
  <c r="AL60" i="28"/>
  <c r="AK60" i="28"/>
  <c r="AJ60" i="28"/>
  <c r="AI60" i="28"/>
  <c r="AF60" i="28"/>
  <c r="AG60" i="28" s="1"/>
  <c r="AE60" i="28"/>
  <c r="AB60" i="28"/>
  <c r="X60" i="28"/>
  <c r="W60" i="28"/>
  <c r="V60" i="28"/>
  <c r="T60" i="28"/>
  <c r="S60" i="28"/>
  <c r="R60" i="28"/>
  <c r="N60" i="28"/>
  <c r="M60" i="28"/>
  <c r="L60" i="28"/>
  <c r="K60" i="28"/>
  <c r="J60" i="28"/>
  <c r="AL59" i="28"/>
  <c r="AK59" i="28"/>
  <c r="AJ59" i="28"/>
  <c r="AF59" i="28"/>
  <c r="AG59" i="28" s="1"/>
  <c r="AE59" i="28"/>
  <c r="J59" i="28"/>
  <c r="AL58" i="28"/>
  <c r="AK58" i="28"/>
  <c r="AJ58" i="28"/>
  <c r="AI58" i="28"/>
  <c r="AF58" i="28"/>
  <c r="AG58" i="28" s="1"/>
  <c r="AE58" i="28"/>
  <c r="AB58" i="28"/>
  <c r="X58" i="28"/>
  <c r="W58" i="28"/>
  <c r="V58" i="28"/>
  <c r="T58" i="28"/>
  <c r="S58" i="28"/>
  <c r="R58" i="28"/>
  <c r="N58" i="28"/>
  <c r="M58" i="28"/>
  <c r="L58" i="28"/>
  <c r="K58" i="28"/>
  <c r="J58" i="28"/>
  <c r="AL57" i="28"/>
  <c r="AK57" i="28"/>
  <c r="AJ57" i="28"/>
  <c r="AI57" i="28"/>
  <c r="AF57" i="28"/>
  <c r="AG57" i="28" s="1"/>
  <c r="AE57" i="28"/>
  <c r="AB57" i="28"/>
  <c r="X57" i="28"/>
  <c r="W57" i="28"/>
  <c r="V57" i="28"/>
  <c r="T57" i="28"/>
  <c r="S57" i="28"/>
  <c r="R57" i="28"/>
  <c r="N57" i="28"/>
  <c r="M57" i="28"/>
  <c r="L57" i="28"/>
  <c r="K57" i="28"/>
  <c r="J57" i="28"/>
  <c r="AL56" i="28"/>
  <c r="AK56" i="28"/>
  <c r="AJ56" i="28"/>
  <c r="AF56" i="28"/>
  <c r="AG56" i="28" s="1"/>
  <c r="AE56" i="28"/>
  <c r="J56" i="28"/>
  <c r="AL55" i="28"/>
  <c r="AK55" i="28"/>
  <c r="AJ55" i="28"/>
  <c r="AF55" i="28"/>
  <c r="AG55" i="28" s="1"/>
  <c r="AE55" i="28"/>
  <c r="W55" i="28"/>
  <c r="J55" i="28"/>
  <c r="AL54" i="28"/>
  <c r="AK54" i="28"/>
  <c r="AJ54" i="28"/>
  <c r="AF54" i="28"/>
  <c r="AG54" i="28" s="1"/>
  <c r="AE54" i="28"/>
  <c r="W54" i="28"/>
  <c r="J54" i="28"/>
  <c r="AL53" i="28"/>
  <c r="AK53" i="28"/>
  <c r="AJ53" i="28"/>
  <c r="AI53" i="28"/>
  <c r="AF53" i="28"/>
  <c r="AG53" i="28" s="1"/>
  <c r="AE53" i="28"/>
  <c r="AB53" i="28"/>
  <c r="X53" i="28"/>
  <c r="W53" i="28"/>
  <c r="V53" i="28"/>
  <c r="T53" i="28"/>
  <c r="S53" i="28"/>
  <c r="R53" i="28"/>
  <c r="N53" i="28"/>
  <c r="M53" i="28"/>
  <c r="L53" i="28"/>
  <c r="K53" i="28"/>
  <c r="J53" i="28"/>
  <c r="AL52" i="28"/>
  <c r="AK52" i="28"/>
  <c r="AJ52" i="28"/>
  <c r="AF52" i="28"/>
  <c r="AG52" i="28" s="1"/>
  <c r="AE52" i="28"/>
  <c r="J52" i="28"/>
  <c r="AL51" i="28"/>
  <c r="AK51" i="28"/>
  <c r="AJ51" i="28"/>
  <c r="AF51" i="28"/>
  <c r="AG51" i="28" s="1"/>
  <c r="AE51" i="28"/>
  <c r="J51" i="28"/>
  <c r="AL50" i="28"/>
  <c r="AK50" i="28"/>
  <c r="AJ50" i="28"/>
  <c r="AF50" i="28"/>
  <c r="AG50" i="28" s="1"/>
  <c r="AE50" i="28"/>
  <c r="J50" i="28"/>
  <c r="AL49" i="28"/>
  <c r="AK49" i="28"/>
  <c r="AJ49" i="28"/>
  <c r="AF49" i="28"/>
  <c r="AG49" i="28" s="1"/>
  <c r="AE49" i="28"/>
  <c r="J49" i="28"/>
  <c r="AL48" i="28"/>
  <c r="AK48" i="28"/>
  <c r="AJ48" i="28"/>
  <c r="AF48" i="28"/>
  <c r="AG48" i="28" s="1"/>
  <c r="AE48" i="28"/>
  <c r="J48" i="28"/>
  <c r="AL47" i="28"/>
  <c r="AK47" i="28"/>
  <c r="AJ47" i="28"/>
  <c r="AF47" i="28"/>
  <c r="AG47" i="28" s="1"/>
  <c r="AE47" i="28"/>
  <c r="W47" i="28"/>
  <c r="J47" i="28"/>
  <c r="AL46" i="28"/>
  <c r="AK46" i="28"/>
  <c r="AJ46" i="28"/>
  <c r="AI46" i="28"/>
  <c r="AF46" i="28"/>
  <c r="AG46" i="28" s="1"/>
  <c r="AE46" i="28"/>
  <c r="AB46" i="28"/>
  <c r="X46" i="28"/>
  <c r="W46" i="28"/>
  <c r="V46" i="28"/>
  <c r="T46" i="28"/>
  <c r="S46" i="28"/>
  <c r="R46" i="28"/>
  <c r="N46" i="28"/>
  <c r="M46" i="28"/>
  <c r="L46" i="28"/>
  <c r="K46" i="28"/>
  <c r="J46" i="28"/>
  <c r="AL45" i="28"/>
  <c r="AK45" i="28"/>
  <c r="AJ45" i="28"/>
  <c r="AI45" i="28"/>
  <c r="AF45" i="28"/>
  <c r="AG45" i="28" s="1"/>
  <c r="AE45" i="28"/>
  <c r="AB45" i="28"/>
  <c r="X45" i="28"/>
  <c r="W45" i="28"/>
  <c r="V45" i="28"/>
  <c r="T45" i="28"/>
  <c r="S45" i="28"/>
  <c r="R45" i="28"/>
  <c r="N45" i="28"/>
  <c r="M45" i="28"/>
  <c r="L45" i="28"/>
  <c r="K45" i="28"/>
  <c r="J45" i="28"/>
  <c r="AL44" i="28"/>
  <c r="AK44" i="28"/>
  <c r="AJ44" i="28"/>
  <c r="AF44" i="28"/>
  <c r="AG44" i="28" s="1"/>
  <c r="AE44" i="28"/>
  <c r="J44" i="28"/>
  <c r="AL43" i="28"/>
  <c r="AK43" i="28"/>
  <c r="AJ43" i="28"/>
  <c r="AF43" i="28"/>
  <c r="AG43" i="28" s="1"/>
  <c r="AE43" i="28"/>
  <c r="J43" i="28"/>
  <c r="AL42" i="28"/>
  <c r="AK42" i="28"/>
  <c r="AJ42" i="28"/>
  <c r="AI42" i="28"/>
  <c r="AF42" i="28"/>
  <c r="AG42" i="28" s="1"/>
  <c r="AE42" i="28"/>
  <c r="AB42" i="28"/>
  <c r="X42" i="28"/>
  <c r="W42" i="28"/>
  <c r="V42" i="28"/>
  <c r="T42" i="28"/>
  <c r="S42" i="28"/>
  <c r="R42" i="28"/>
  <c r="N42" i="28"/>
  <c r="M42" i="28"/>
  <c r="L42" i="28"/>
  <c r="K42" i="28"/>
  <c r="J42" i="28"/>
  <c r="AL41" i="28"/>
  <c r="AK41" i="28"/>
  <c r="AJ41" i="28"/>
  <c r="AI41" i="28"/>
  <c r="AF41" i="28"/>
  <c r="AG41" i="28" s="1"/>
  <c r="AE41" i="28"/>
  <c r="AB41" i="28"/>
  <c r="X41" i="28"/>
  <c r="W41" i="28"/>
  <c r="V41" i="28"/>
  <c r="T41" i="28"/>
  <c r="S41" i="28"/>
  <c r="R41" i="28"/>
  <c r="N41" i="28"/>
  <c r="M41" i="28"/>
  <c r="L41" i="28"/>
  <c r="K41" i="28"/>
  <c r="J41" i="28"/>
  <c r="AL40" i="28"/>
  <c r="AK40" i="28"/>
  <c r="AJ40" i="28"/>
  <c r="AF40" i="28"/>
  <c r="AG40" i="28" s="1"/>
  <c r="AE40" i="28"/>
  <c r="J40" i="28"/>
  <c r="AL39" i="28"/>
  <c r="AK39" i="28"/>
  <c r="AJ39" i="28"/>
  <c r="AF39" i="28"/>
  <c r="AG39" i="28" s="1"/>
  <c r="AE39" i="28"/>
  <c r="J39" i="28"/>
  <c r="AL38" i="28"/>
  <c r="AK38" i="28"/>
  <c r="AJ38" i="28"/>
  <c r="AF38" i="28"/>
  <c r="AG38" i="28" s="1"/>
  <c r="AE38" i="28"/>
  <c r="J38" i="28"/>
  <c r="AL37" i="28"/>
  <c r="AK37" i="28"/>
  <c r="AJ37" i="28"/>
  <c r="AI37" i="28"/>
  <c r="AF37" i="28"/>
  <c r="AG37" i="28" s="1"/>
  <c r="AE37" i="28"/>
  <c r="AB37" i="28"/>
  <c r="X37" i="28"/>
  <c r="W37" i="28"/>
  <c r="V37" i="28"/>
  <c r="T37" i="28"/>
  <c r="S37" i="28"/>
  <c r="R37" i="28"/>
  <c r="N37" i="28"/>
  <c r="M37" i="28"/>
  <c r="L37" i="28"/>
  <c r="K37" i="28"/>
  <c r="J37" i="28"/>
  <c r="AL36" i="28"/>
  <c r="AK36" i="28"/>
  <c r="AJ36" i="28"/>
  <c r="AF36" i="28"/>
  <c r="AG36" i="28" s="1"/>
  <c r="AE36" i="28"/>
  <c r="W36" i="28"/>
  <c r="J36" i="28"/>
  <c r="AL35" i="28"/>
  <c r="AK35" i="28"/>
  <c r="AJ35" i="28"/>
  <c r="AF35" i="28"/>
  <c r="AG35" i="28" s="1"/>
  <c r="AE35" i="28"/>
  <c r="W35" i="28"/>
  <c r="J35" i="28"/>
  <c r="AL34" i="28"/>
  <c r="AK34" i="28"/>
  <c r="AJ34" i="28"/>
  <c r="AF34" i="28"/>
  <c r="AG34" i="28" s="1"/>
  <c r="AE34" i="28"/>
  <c r="W34" i="28"/>
  <c r="J34" i="28"/>
  <c r="AL33" i="28"/>
  <c r="AK33" i="28"/>
  <c r="AJ33" i="28"/>
  <c r="AF33" i="28"/>
  <c r="AG33" i="28" s="1"/>
  <c r="AE33" i="28"/>
  <c r="J33" i="28"/>
  <c r="AL32" i="28"/>
  <c r="AK32" i="28"/>
  <c r="AJ32" i="28"/>
  <c r="AF32" i="28"/>
  <c r="AG32" i="28" s="1"/>
  <c r="AE32" i="28"/>
  <c r="J32" i="28"/>
  <c r="AL31" i="28"/>
  <c r="AK31" i="28"/>
  <c r="AJ31" i="28"/>
  <c r="AI31" i="28"/>
  <c r="AF31" i="28"/>
  <c r="AG31" i="28" s="1"/>
  <c r="AE31" i="28"/>
  <c r="AB31" i="28"/>
  <c r="X31" i="28"/>
  <c r="W31" i="28"/>
  <c r="V31" i="28"/>
  <c r="T31" i="28"/>
  <c r="S31" i="28"/>
  <c r="R31" i="28"/>
  <c r="N31" i="28"/>
  <c r="M31" i="28"/>
  <c r="L31" i="28"/>
  <c r="K31" i="28"/>
  <c r="J31" i="28"/>
  <c r="AL30" i="28"/>
  <c r="AK30" i="28"/>
  <c r="AJ30" i="28"/>
  <c r="AF30" i="28"/>
  <c r="AG30" i="28" s="1"/>
  <c r="AE30" i="28"/>
  <c r="W30" i="28"/>
  <c r="J30" i="28"/>
  <c r="AL29" i="28"/>
  <c r="AK29" i="28"/>
  <c r="AJ29" i="28"/>
  <c r="AI29" i="28"/>
  <c r="AF29" i="28"/>
  <c r="AG29" i="28" s="1"/>
  <c r="AE29" i="28"/>
  <c r="AB29" i="28"/>
  <c r="X29" i="28"/>
  <c r="W29" i="28"/>
  <c r="P29" i="28"/>
  <c r="O29" i="28"/>
  <c r="N29" i="28"/>
  <c r="M29" i="28"/>
  <c r="L29" i="28"/>
  <c r="K29" i="28"/>
  <c r="J29" i="28"/>
  <c r="AL28" i="28"/>
  <c r="AK28" i="28"/>
  <c r="AJ28" i="28"/>
  <c r="AF28" i="28"/>
  <c r="AG28" i="28" s="1"/>
  <c r="AE28" i="28"/>
  <c r="W28" i="28"/>
  <c r="J28" i="28"/>
  <c r="AL27" i="28"/>
  <c r="AK27" i="28"/>
  <c r="AJ27" i="28"/>
  <c r="AI27" i="28"/>
  <c r="AF27" i="28"/>
  <c r="AG27" i="28" s="1"/>
  <c r="AE27" i="28"/>
  <c r="AB27" i="28"/>
  <c r="X27" i="28"/>
  <c r="N27" i="28"/>
  <c r="M27" i="28"/>
  <c r="L27" i="28"/>
  <c r="K27" i="28"/>
  <c r="J27" i="28"/>
  <c r="AL26" i="28"/>
  <c r="AK26" i="28"/>
  <c r="AJ26" i="28"/>
  <c r="AI26" i="28"/>
  <c r="AF26" i="28"/>
  <c r="AG26" i="28" s="1"/>
  <c r="AE26" i="28"/>
  <c r="AB26" i="28"/>
  <c r="X26" i="28"/>
  <c r="N26" i="28"/>
  <c r="M26" i="28"/>
  <c r="L26" i="28"/>
  <c r="K26" i="28"/>
  <c r="J26" i="28"/>
  <c r="AL25" i="28"/>
  <c r="AK25" i="28"/>
  <c r="AJ25" i="28"/>
  <c r="AI25" i="28"/>
  <c r="AF25" i="28"/>
  <c r="AG25" i="28" s="1"/>
  <c r="AE25" i="28"/>
  <c r="AB25" i="28"/>
  <c r="X25" i="28"/>
  <c r="P25" i="28"/>
  <c r="N25" i="28"/>
  <c r="M25" i="28"/>
  <c r="L25" i="28"/>
  <c r="K25" i="28"/>
  <c r="J25" i="28"/>
  <c r="AL24" i="28"/>
  <c r="AK24" i="28"/>
  <c r="AJ24" i="28"/>
  <c r="AI24" i="28"/>
  <c r="AF24" i="28"/>
  <c r="AG24" i="28" s="1"/>
  <c r="AE24" i="28"/>
  <c r="AB24" i="28"/>
  <c r="X24" i="28"/>
  <c r="P24" i="28"/>
  <c r="O24" i="28"/>
  <c r="N24" i="28"/>
  <c r="M24" i="28"/>
  <c r="L24" i="28"/>
  <c r="K24" i="28"/>
  <c r="J24" i="28"/>
  <c r="AL23" i="28"/>
  <c r="AK23" i="28"/>
  <c r="AJ23" i="28"/>
  <c r="AI23" i="28"/>
  <c r="AF23" i="28"/>
  <c r="AG23" i="28" s="1"/>
  <c r="AE23" i="28"/>
  <c r="AB23" i="28"/>
  <c r="X23" i="28"/>
  <c r="N23" i="28"/>
  <c r="M23" i="28"/>
  <c r="L23" i="28"/>
  <c r="K23" i="28"/>
  <c r="J23" i="28"/>
  <c r="AL22" i="28"/>
  <c r="AK22" i="28"/>
  <c r="AJ22" i="28"/>
  <c r="AI22" i="28"/>
  <c r="AF22" i="28"/>
  <c r="AG22" i="28" s="1"/>
  <c r="AE22" i="28"/>
  <c r="AB22" i="28"/>
  <c r="X22" i="28"/>
  <c r="P22" i="28"/>
  <c r="N22" i="28"/>
  <c r="M22" i="28"/>
  <c r="L22" i="28"/>
  <c r="K22" i="28"/>
  <c r="J22" i="28"/>
  <c r="AL21" i="28"/>
  <c r="AK21" i="28"/>
  <c r="AJ21" i="28"/>
  <c r="AI21" i="28"/>
  <c r="AF21" i="28"/>
  <c r="AG21" i="28" s="1"/>
  <c r="AE21" i="28"/>
  <c r="AB21" i="28"/>
  <c r="X21" i="28"/>
  <c r="S21" i="28"/>
  <c r="R21" i="28"/>
  <c r="P21" i="28"/>
  <c r="N21" i="28"/>
  <c r="M21" i="28"/>
  <c r="L21" i="28"/>
  <c r="K21" i="28"/>
  <c r="J21" i="28"/>
  <c r="AL20" i="28"/>
  <c r="AK20" i="28"/>
  <c r="AJ20" i="28"/>
  <c r="AI20" i="28"/>
  <c r="AF20" i="28"/>
  <c r="AG20" i="28" s="1"/>
  <c r="AE20" i="28"/>
  <c r="AB20" i="28"/>
  <c r="X20" i="28"/>
  <c r="P20" i="28"/>
  <c r="N20" i="28"/>
  <c r="M20" i="28"/>
  <c r="L20" i="28"/>
  <c r="K20" i="28"/>
  <c r="J20" i="28"/>
  <c r="AL19" i="28"/>
  <c r="AK19" i="28"/>
  <c r="AJ19" i="28"/>
  <c r="AI19" i="28"/>
  <c r="AF19" i="28"/>
  <c r="AG19" i="28" s="1"/>
  <c r="AE19" i="28"/>
  <c r="AB19" i="28"/>
  <c r="X19" i="28"/>
  <c r="N19" i="28"/>
  <c r="M19" i="28"/>
  <c r="L19" i="28"/>
  <c r="K19" i="28"/>
  <c r="J19" i="28"/>
  <c r="AL18" i="28"/>
  <c r="AK18" i="28"/>
  <c r="AJ18" i="28"/>
  <c r="AI18" i="28"/>
  <c r="AF18" i="28"/>
  <c r="AG18" i="28" s="1"/>
  <c r="AE18" i="28"/>
  <c r="AB18" i="28"/>
  <c r="X18" i="28"/>
  <c r="N18" i="28"/>
  <c r="M18" i="28"/>
  <c r="L18" i="28"/>
  <c r="K18" i="28"/>
  <c r="J18" i="28"/>
  <c r="AL17" i="28"/>
  <c r="AK17" i="28"/>
  <c r="AJ17" i="28"/>
  <c r="AI17" i="28"/>
  <c r="AF17" i="28"/>
  <c r="AG17" i="28" s="1"/>
  <c r="AE17" i="28"/>
  <c r="AB17" i="28"/>
  <c r="X17" i="28"/>
  <c r="N17" i="28"/>
  <c r="M17" i="28"/>
  <c r="L17" i="28"/>
  <c r="K17" i="28"/>
  <c r="J17" i="28"/>
  <c r="AL16" i="28"/>
  <c r="AK16" i="28"/>
  <c r="AJ16" i="28"/>
  <c r="AI16" i="28"/>
  <c r="AF16" i="28"/>
  <c r="AG16" i="28" s="1"/>
  <c r="AE16" i="28"/>
  <c r="AB16" i="28"/>
  <c r="X16" i="28"/>
  <c r="N16" i="28"/>
  <c r="M16" i="28"/>
  <c r="L16" i="28"/>
  <c r="K16" i="28"/>
  <c r="J16" i="28"/>
  <c r="AL15" i="28"/>
  <c r="AK15" i="28"/>
  <c r="AJ15" i="28"/>
  <c r="AI15" i="28"/>
  <c r="AF15" i="28"/>
  <c r="AG15" i="28" s="1"/>
  <c r="AE15" i="28"/>
  <c r="AB15" i="28"/>
  <c r="X15" i="28"/>
  <c r="N15" i="28"/>
  <c r="M15" i="28"/>
  <c r="L15" i="28"/>
  <c r="K15" i="28"/>
  <c r="J15" i="28"/>
  <c r="AL14" i="28"/>
  <c r="AK14" i="28"/>
  <c r="AJ14" i="28"/>
  <c r="AI14" i="28"/>
  <c r="AF14" i="28"/>
  <c r="AG14" i="28" s="1"/>
  <c r="AE14" i="28"/>
  <c r="AB14" i="28"/>
  <c r="X14" i="28"/>
  <c r="N14" i="28"/>
  <c r="M14" i="28"/>
  <c r="L14" i="28"/>
  <c r="K14" i="28"/>
  <c r="J14" i="28"/>
  <c r="AL13" i="28"/>
  <c r="AK13" i="28"/>
  <c r="AJ13" i="28"/>
  <c r="AI13" i="28"/>
  <c r="AF13" i="28"/>
  <c r="AG13" i="28" s="1"/>
  <c r="AE13" i="28"/>
  <c r="AB13" i="28"/>
  <c r="X13" i="28"/>
  <c r="N13" i="28"/>
  <c r="M13" i="28"/>
  <c r="L13" i="28"/>
  <c r="K13" i="28"/>
  <c r="J13" i="28"/>
  <c r="AL12" i="28"/>
  <c r="AK12" i="28"/>
  <c r="AJ12" i="28"/>
  <c r="AI12" i="28"/>
  <c r="AF12" i="28"/>
  <c r="AG12" i="28" s="1"/>
  <c r="AE12" i="28"/>
  <c r="AB12" i="28"/>
  <c r="X12" i="28"/>
  <c r="N12" i="28"/>
  <c r="M12" i="28"/>
  <c r="L12" i="28"/>
  <c r="K12" i="28"/>
  <c r="J12" i="28"/>
  <c r="AL11" i="28"/>
  <c r="AK11" i="28"/>
  <c r="AJ11" i="28"/>
  <c r="AI11" i="28"/>
  <c r="AF11" i="28"/>
  <c r="AG11" i="28" s="1"/>
  <c r="AE11" i="28"/>
  <c r="AB11" i="28"/>
  <c r="X11" i="28"/>
  <c r="N11" i="28"/>
  <c r="M11" i="28"/>
  <c r="L11" i="28"/>
  <c r="K11" i="28"/>
  <c r="J11" i="28"/>
  <c r="AL10" i="28"/>
  <c r="AK10" i="28"/>
  <c r="AJ10" i="28"/>
  <c r="AI10" i="28"/>
  <c r="AF10" i="28"/>
  <c r="AG10" i="28" s="1"/>
  <c r="AE10" i="28"/>
  <c r="AB10" i="28"/>
  <c r="X10" i="28"/>
  <c r="N10" i="28"/>
  <c r="M10" i="28"/>
  <c r="L10" i="28"/>
  <c r="K10" i="28"/>
  <c r="J10" i="28"/>
  <c r="AN9" i="28"/>
  <c r="AL9" i="28"/>
  <c r="AK9" i="28"/>
  <c r="AJ9" i="28"/>
  <c r="AI9" i="28"/>
  <c r="AF9" i="28"/>
  <c r="AG9" i="28" s="1"/>
  <c r="AE9" i="28"/>
  <c r="AB9" i="28"/>
  <c r="X9" i="28"/>
  <c r="N9" i="28"/>
  <c r="M9" i="28"/>
  <c r="L9" i="28"/>
  <c r="K9" i="28"/>
  <c r="J9" i="28"/>
  <c r="AN8" i="28"/>
  <c r="AL8" i="28"/>
  <c r="AK8" i="28"/>
  <c r="AJ8" i="28"/>
  <c r="AI8" i="28"/>
  <c r="AF8" i="28"/>
  <c r="AG8" i="28" s="1"/>
  <c r="AE8" i="28"/>
  <c r="AB8" i="28"/>
  <c r="X8" i="28"/>
  <c r="N8" i="28"/>
  <c r="M8" i="28"/>
  <c r="L8" i="28"/>
  <c r="K8" i="28"/>
  <c r="J8" i="28"/>
  <c r="AL7" i="28"/>
  <c r="AK7" i="28"/>
  <c r="AJ7" i="28"/>
  <c r="AI7" i="28"/>
  <c r="AF7" i="28"/>
  <c r="AG7" i="28" s="1"/>
  <c r="AE7" i="28"/>
  <c r="AB7" i="28"/>
  <c r="X7" i="28"/>
  <c r="N7" i="28"/>
  <c r="M7" i="28"/>
  <c r="L7" i="28"/>
  <c r="K7" i="28"/>
  <c r="J7" i="28"/>
  <c r="AL6" i="28"/>
  <c r="AK6" i="28"/>
  <c r="AJ6" i="28"/>
  <c r="AI6" i="28"/>
  <c r="AF6" i="28"/>
  <c r="AE6" i="28"/>
  <c r="AB6" i="28"/>
  <c r="X6" i="28"/>
  <c r="P6" i="28"/>
  <c r="O6" i="28"/>
  <c r="N6" i="28"/>
  <c r="M6" i="28"/>
  <c r="L6" i="28"/>
  <c r="K6" i="28"/>
  <c r="J6" i="28"/>
  <c r="AL83" i="26"/>
  <c r="AK82" i="26"/>
  <c r="AK80" i="26"/>
  <c r="AL67" i="26"/>
  <c r="AK67" i="26"/>
  <c r="AJ67" i="26"/>
  <c r="AI67" i="26"/>
  <c r="AE67" i="26"/>
  <c r="AD67" i="26"/>
  <c r="AC67" i="26"/>
  <c r="AB67" i="26"/>
  <c r="AA67" i="26"/>
  <c r="Z67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AL66" i="26"/>
  <c r="AK66" i="26"/>
  <c r="AJ66" i="26"/>
  <c r="AI66" i="26"/>
  <c r="AF66" i="26"/>
  <c r="AG66" i="26" s="1"/>
  <c r="AE66" i="26"/>
  <c r="AB66" i="26"/>
  <c r="X66" i="26"/>
  <c r="Q66" i="26"/>
  <c r="P66" i="26"/>
  <c r="O66" i="26"/>
  <c r="N66" i="26"/>
  <c r="M66" i="26"/>
  <c r="L66" i="26"/>
  <c r="K66" i="26"/>
  <c r="J66" i="26"/>
  <c r="AL65" i="26"/>
  <c r="AK65" i="26"/>
  <c r="AJ65" i="26"/>
  <c r="AI65" i="26"/>
  <c r="AF65" i="26"/>
  <c r="AG65" i="26" s="1"/>
  <c r="AE65" i="26"/>
  <c r="AB65" i="26"/>
  <c r="X65" i="26"/>
  <c r="Q65" i="26"/>
  <c r="P65" i="26"/>
  <c r="O65" i="26"/>
  <c r="N65" i="26"/>
  <c r="M65" i="26"/>
  <c r="L65" i="26"/>
  <c r="K65" i="26"/>
  <c r="J65" i="26"/>
  <c r="AL64" i="26"/>
  <c r="AK64" i="26"/>
  <c r="AJ64" i="26"/>
  <c r="AI64" i="26"/>
  <c r="AF64" i="26"/>
  <c r="AG64" i="26" s="1"/>
  <c r="AE64" i="26"/>
  <c r="AB64" i="26"/>
  <c r="X64" i="26"/>
  <c r="Q64" i="26"/>
  <c r="P64" i="26"/>
  <c r="O64" i="26"/>
  <c r="N64" i="26"/>
  <c r="M64" i="26"/>
  <c r="L64" i="26"/>
  <c r="K64" i="26"/>
  <c r="J64" i="26"/>
  <c r="AL63" i="26"/>
  <c r="AK63" i="26"/>
  <c r="AJ63" i="26"/>
  <c r="AI63" i="26"/>
  <c r="AF63" i="26"/>
  <c r="AG63" i="26" s="1"/>
  <c r="AE63" i="26"/>
  <c r="AB63" i="26"/>
  <c r="X63" i="26"/>
  <c r="Q63" i="26"/>
  <c r="P63" i="26"/>
  <c r="O63" i="26"/>
  <c r="N63" i="26"/>
  <c r="M63" i="26"/>
  <c r="L63" i="26"/>
  <c r="K63" i="26"/>
  <c r="J63" i="26"/>
  <c r="AL62" i="26"/>
  <c r="AK62" i="26"/>
  <c r="AJ62" i="26"/>
  <c r="AI62" i="26"/>
  <c r="AF62" i="26"/>
  <c r="AG62" i="26" s="1"/>
  <c r="AE62" i="26"/>
  <c r="AB62" i="26"/>
  <c r="X62" i="26"/>
  <c r="W62" i="26"/>
  <c r="V62" i="26"/>
  <c r="T62" i="26"/>
  <c r="S62" i="26"/>
  <c r="R62" i="26"/>
  <c r="N62" i="26"/>
  <c r="M62" i="26"/>
  <c r="L62" i="26"/>
  <c r="K62" i="26"/>
  <c r="J62" i="26"/>
  <c r="AL61" i="26"/>
  <c r="AK61" i="26"/>
  <c r="AJ61" i="26"/>
  <c r="AF61" i="26"/>
  <c r="AG61" i="26" s="1"/>
  <c r="AE61" i="26"/>
  <c r="W61" i="26"/>
  <c r="J61" i="26"/>
  <c r="AL60" i="26"/>
  <c r="AK60" i="26"/>
  <c r="AJ60" i="26"/>
  <c r="AI60" i="26"/>
  <c r="AF60" i="26"/>
  <c r="AG60" i="26" s="1"/>
  <c r="AE60" i="26"/>
  <c r="AB60" i="26"/>
  <c r="X60" i="26"/>
  <c r="W60" i="26"/>
  <c r="V60" i="26"/>
  <c r="T60" i="26"/>
  <c r="S60" i="26"/>
  <c r="R60" i="26"/>
  <c r="P60" i="26"/>
  <c r="N60" i="26"/>
  <c r="M60" i="26"/>
  <c r="L60" i="26"/>
  <c r="K60" i="26"/>
  <c r="J60" i="26"/>
  <c r="AL59" i="26"/>
  <c r="AK59" i="26"/>
  <c r="AJ59" i="26"/>
  <c r="AI59" i="26"/>
  <c r="AF59" i="26"/>
  <c r="AG59" i="26" s="1"/>
  <c r="AE59" i="26"/>
  <c r="AB59" i="26"/>
  <c r="X59" i="26"/>
  <c r="W59" i="26"/>
  <c r="V59" i="26"/>
  <c r="T59" i="26"/>
  <c r="S59" i="26"/>
  <c r="R59" i="26"/>
  <c r="N59" i="26"/>
  <c r="M59" i="26"/>
  <c r="L59" i="26"/>
  <c r="K59" i="26"/>
  <c r="J59" i="26"/>
  <c r="AL58" i="26"/>
  <c r="AK58" i="26"/>
  <c r="AJ58" i="26"/>
  <c r="AI58" i="26"/>
  <c r="AF58" i="26"/>
  <c r="AG58" i="26" s="1"/>
  <c r="AE58" i="26"/>
  <c r="AB58" i="26"/>
  <c r="X58" i="26"/>
  <c r="W58" i="26"/>
  <c r="V58" i="26"/>
  <c r="T58" i="26"/>
  <c r="S58" i="26"/>
  <c r="R58" i="26"/>
  <c r="N58" i="26"/>
  <c r="M58" i="26"/>
  <c r="L58" i="26"/>
  <c r="K58" i="26"/>
  <c r="J58" i="26"/>
  <c r="AL57" i="26"/>
  <c r="AK57" i="26"/>
  <c r="AJ57" i="26"/>
  <c r="AI57" i="26"/>
  <c r="AF57" i="26"/>
  <c r="AG57" i="26" s="1"/>
  <c r="AE57" i="26"/>
  <c r="AB57" i="26"/>
  <c r="X57" i="26"/>
  <c r="W57" i="26"/>
  <c r="V57" i="26"/>
  <c r="T57" i="26"/>
  <c r="S57" i="26"/>
  <c r="R57" i="26"/>
  <c r="N57" i="26"/>
  <c r="M57" i="26"/>
  <c r="L57" i="26"/>
  <c r="K57" i="26"/>
  <c r="J57" i="26"/>
  <c r="AL56" i="26"/>
  <c r="AK56" i="26"/>
  <c r="AJ56" i="26"/>
  <c r="AF56" i="26"/>
  <c r="AG56" i="26" s="1"/>
  <c r="AE56" i="26"/>
  <c r="J56" i="26"/>
  <c r="AL55" i="26"/>
  <c r="AK55" i="26"/>
  <c r="AJ55" i="26"/>
  <c r="AF55" i="26"/>
  <c r="AG55" i="26" s="1"/>
  <c r="AE55" i="26"/>
  <c r="W55" i="26"/>
  <c r="J55" i="26"/>
  <c r="AL54" i="26"/>
  <c r="AK54" i="26"/>
  <c r="AJ54" i="26"/>
  <c r="AF54" i="26"/>
  <c r="AG54" i="26" s="1"/>
  <c r="AE54" i="26"/>
  <c r="W54" i="26"/>
  <c r="J54" i="26"/>
  <c r="AL53" i="26"/>
  <c r="AK53" i="26"/>
  <c r="AJ53" i="26"/>
  <c r="AI53" i="26"/>
  <c r="AF53" i="26"/>
  <c r="AG53" i="26" s="1"/>
  <c r="AE53" i="26"/>
  <c r="AB53" i="26"/>
  <c r="X53" i="26"/>
  <c r="W53" i="26"/>
  <c r="V53" i="26"/>
  <c r="T53" i="26"/>
  <c r="S53" i="26"/>
  <c r="R53" i="26"/>
  <c r="N53" i="26"/>
  <c r="M53" i="26"/>
  <c r="L53" i="26"/>
  <c r="K53" i="26"/>
  <c r="J53" i="26"/>
  <c r="AL52" i="26"/>
  <c r="AK52" i="26"/>
  <c r="AJ52" i="26"/>
  <c r="AI52" i="26"/>
  <c r="AF52" i="26"/>
  <c r="AG52" i="26" s="1"/>
  <c r="AE52" i="26"/>
  <c r="AB52" i="26"/>
  <c r="X52" i="26"/>
  <c r="W52" i="26"/>
  <c r="V52" i="26"/>
  <c r="T52" i="26"/>
  <c r="S52" i="26"/>
  <c r="R52" i="26"/>
  <c r="N52" i="26"/>
  <c r="M52" i="26"/>
  <c r="L52" i="26"/>
  <c r="K52" i="26"/>
  <c r="J52" i="26"/>
  <c r="AL51" i="26"/>
  <c r="AK51" i="26"/>
  <c r="AJ51" i="26"/>
  <c r="AF51" i="26"/>
  <c r="AG51" i="26" s="1"/>
  <c r="AE51" i="26"/>
  <c r="J51" i="26"/>
  <c r="AL50" i="26"/>
  <c r="AK50" i="26"/>
  <c r="AJ50" i="26"/>
  <c r="AF50" i="26"/>
  <c r="AG50" i="26" s="1"/>
  <c r="AE50" i="26"/>
  <c r="J50" i="26"/>
  <c r="AL49" i="26"/>
  <c r="AK49" i="26"/>
  <c r="AJ49" i="26"/>
  <c r="AF49" i="26"/>
  <c r="AG49" i="26" s="1"/>
  <c r="AE49" i="26"/>
  <c r="J49" i="26"/>
  <c r="AL48" i="26"/>
  <c r="AK48" i="26"/>
  <c r="AJ48" i="26"/>
  <c r="AF48" i="26"/>
  <c r="AG48" i="26" s="1"/>
  <c r="AE48" i="26"/>
  <c r="J48" i="26"/>
  <c r="AL47" i="26"/>
  <c r="AK47" i="26"/>
  <c r="AJ47" i="26"/>
  <c r="AF47" i="26"/>
  <c r="AG47" i="26" s="1"/>
  <c r="AE47" i="26"/>
  <c r="W47" i="26"/>
  <c r="J47" i="26"/>
  <c r="AL46" i="26"/>
  <c r="AK46" i="26"/>
  <c r="AJ46" i="26"/>
  <c r="AI46" i="26"/>
  <c r="AF46" i="26"/>
  <c r="AG46" i="26" s="1"/>
  <c r="AE46" i="26"/>
  <c r="AB46" i="26"/>
  <c r="X46" i="26"/>
  <c r="W46" i="26"/>
  <c r="V46" i="26"/>
  <c r="T46" i="26"/>
  <c r="S46" i="26"/>
  <c r="R46" i="26"/>
  <c r="N46" i="26"/>
  <c r="M46" i="26"/>
  <c r="L46" i="26"/>
  <c r="K46" i="26"/>
  <c r="J46" i="26"/>
  <c r="AL45" i="26"/>
  <c r="AK45" i="26"/>
  <c r="AJ45" i="26"/>
  <c r="AI45" i="26"/>
  <c r="AF45" i="26"/>
  <c r="AG45" i="26" s="1"/>
  <c r="AE45" i="26"/>
  <c r="AB45" i="26"/>
  <c r="X45" i="26"/>
  <c r="W45" i="26"/>
  <c r="V45" i="26"/>
  <c r="T45" i="26"/>
  <c r="S45" i="26"/>
  <c r="R45" i="26"/>
  <c r="N45" i="26"/>
  <c r="M45" i="26"/>
  <c r="L45" i="26"/>
  <c r="K45" i="26"/>
  <c r="J45" i="26"/>
  <c r="AL44" i="26"/>
  <c r="AK44" i="26"/>
  <c r="AJ44" i="26"/>
  <c r="AF44" i="26"/>
  <c r="AG44" i="26" s="1"/>
  <c r="AE44" i="26"/>
  <c r="J44" i="26"/>
  <c r="AL43" i="26"/>
  <c r="AK43" i="26"/>
  <c r="AJ43" i="26"/>
  <c r="AF43" i="26"/>
  <c r="AG43" i="26" s="1"/>
  <c r="AE43" i="26"/>
  <c r="J43" i="26"/>
  <c r="AL42" i="26"/>
  <c r="AK42" i="26"/>
  <c r="AJ42" i="26"/>
  <c r="AI42" i="26"/>
  <c r="AF42" i="26"/>
  <c r="AG42" i="26" s="1"/>
  <c r="AE42" i="26"/>
  <c r="AB42" i="26"/>
  <c r="X42" i="26"/>
  <c r="W42" i="26"/>
  <c r="V42" i="26"/>
  <c r="T42" i="26"/>
  <c r="S42" i="26"/>
  <c r="R42" i="26"/>
  <c r="N42" i="26"/>
  <c r="M42" i="26"/>
  <c r="L42" i="26"/>
  <c r="K42" i="26"/>
  <c r="J42" i="26"/>
  <c r="AL41" i="26"/>
  <c r="AK41" i="26"/>
  <c r="AJ41" i="26"/>
  <c r="AI41" i="26"/>
  <c r="AF41" i="26"/>
  <c r="AG41" i="26" s="1"/>
  <c r="AE41" i="26"/>
  <c r="AB41" i="26"/>
  <c r="X41" i="26"/>
  <c r="W41" i="26"/>
  <c r="V41" i="26"/>
  <c r="T41" i="26"/>
  <c r="S41" i="26"/>
  <c r="R41" i="26"/>
  <c r="N41" i="26"/>
  <c r="M41" i="26"/>
  <c r="L41" i="26"/>
  <c r="K41" i="26"/>
  <c r="J41" i="26"/>
  <c r="AL40" i="26"/>
  <c r="AK40" i="26"/>
  <c r="AJ40" i="26"/>
  <c r="AI40" i="26"/>
  <c r="AF40" i="26"/>
  <c r="AG40" i="26" s="1"/>
  <c r="AE40" i="26"/>
  <c r="AB40" i="26"/>
  <c r="X40" i="26"/>
  <c r="W40" i="26"/>
  <c r="V40" i="26"/>
  <c r="T40" i="26"/>
  <c r="S40" i="26"/>
  <c r="R40" i="26"/>
  <c r="N40" i="26"/>
  <c r="M40" i="26"/>
  <c r="L40" i="26"/>
  <c r="K40" i="26"/>
  <c r="J40" i="26"/>
  <c r="AL39" i="26"/>
  <c r="AK39" i="26"/>
  <c r="AJ39" i="26"/>
  <c r="AI39" i="26"/>
  <c r="AF39" i="26"/>
  <c r="AG39" i="26" s="1"/>
  <c r="AE39" i="26"/>
  <c r="AB39" i="26"/>
  <c r="X39" i="26"/>
  <c r="W39" i="26"/>
  <c r="V39" i="26"/>
  <c r="T39" i="26"/>
  <c r="S39" i="26"/>
  <c r="R39" i="26"/>
  <c r="N39" i="26"/>
  <c r="M39" i="26"/>
  <c r="L39" i="26"/>
  <c r="K39" i="26"/>
  <c r="J39" i="26"/>
  <c r="AL38" i="26"/>
  <c r="AK38" i="26"/>
  <c r="AJ38" i="26"/>
  <c r="AF38" i="26"/>
  <c r="AG38" i="26" s="1"/>
  <c r="AE38" i="26"/>
  <c r="J38" i="26"/>
  <c r="AL37" i="26"/>
  <c r="AK37" i="26"/>
  <c r="AJ37" i="26"/>
  <c r="AI37" i="26"/>
  <c r="AF37" i="26"/>
  <c r="AG37" i="26" s="1"/>
  <c r="AE37" i="26"/>
  <c r="AB37" i="26"/>
  <c r="X37" i="26"/>
  <c r="W37" i="26"/>
  <c r="V37" i="26"/>
  <c r="T37" i="26"/>
  <c r="S37" i="26"/>
  <c r="R37" i="26"/>
  <c r="N37" i="26"/>
  <c r="M37" i="26"/>
  <c r="L37" i="26"/>
  <c r="K37" i="26"/>
  <c r="J37" i="26"/>
  <c r="AL36" i="26"/>
  <c r="AK36" i="26"/>
  <c r="AJ36" i="26"/>
  <c r="AF36" i="26"/>
  <c r="AG36" i="26" s="1"/>
  <c r="AE36" i="26"/>
  <c r="W36" i="26"/>
  <c r="J36" i="26"/>
  <c r="AL35" i="26"/>
  <c r="AK35" i="26"/>
  <c r="AJ35" i="26"/>
  <c r="AF35" i="26"/>
  <c r="AG35" i="26" s="1"/>
  <c r="AE35" i="26"/>
  <c r="W35" i="26"/>
  <c r="J35" i="26"/>
  <c r="AL34" i="26"/>
  <c r="AK34" i="26"/>
  <c r="AJ34" i="26"/>
  <c r="AF34" i="26"/>
  <c r="AG34" i="26" s="1"/>
  <c r="AE34" i="26"/>
  <c r="W34" i="26"/>
  <c r="J34" i="26"/>
  <c r="AL33" i="26"/>
  <c r="AK33" i="26"/>
  <c r="AJ33" i="26"/>
  <c r="AF33" i="26"/>
  <c r="AG33" i="26" s="1"/>
  <c r="AE33" i="26"/>
  <c r="J33" i="26"/>
  <c r="AL32" i="26"/>
  <c r="AK32" i="26"/>
  <c r="AJ32" i="26"/>
  <c r="AF32" i="26"/>
  <c r="AG32" i="26" s="1"/>
  <c r="AE32" i="26"/>
  <c r="J32" i="26"/>
  <c r="AL31" i="26"/>
  <c r="AK31" i="26"/>
  <c r="AJ31" i="26"/>
  <c r="AI31" i="26"/>
  <c r="AF31" i="26"/>
  <c r="AG31" i="26" s="1"/>
  <c r="AE31" i="26"/>
  <c r="AB31" i="26"/>
  <c r="X31" i="26"/>
  <c r="W31" i="26"/>
  <c r="V31" i="26"/>
  <c r="T31" i="26"/>
  <c r="S31" i="26"/>
  <c r="R31" i="26"/>
  <c r="N31" i="26"/>
  <c r="M31" i="26"/>
  <c r="L31" i="26"/>
  <c r="K31" i="26"/>
  <c r="J31" i="26"/>
  <c r="AL30" i="26"/>
  <c r="AK30" i="26"/>
  <c r="AJ30" i="26"/>
  <c r="AF30" i="26"/>
  <c r="AG30" i="26" s="1"/>
  <c r="AE30" i="26"/>
  <c r="W30" i="26"/>
  <c r="J30" i="26"/>
  <c r="AL29" i="26"/>
  <c r="AK29" i="26"/>
  <c r="AJ29" i="26"/>
  <c r="AI29" i="26"/>
  <c r="AF29" i="26"/>
  <c r="AG29" i="26" s="1"/>
  <c r="AE29" i="26"/>
  <c r="AB29" i="26"/>
  <c r="X29" i="26"/>
  <c r="W29" i="26"/>
  <c r="P29" i="26"/>
  <c r="O29" i="26"/>
  <c r="N29" i="26"/>
  <c r="M29" i="26"/>
  <c r="L29" i="26"/>
  <c r="K29" i="26"/>
  <c r="J29" i="26"/>
  <c r="AL28" i="26"/>
  <c r="AK28" i="26"/>
  <c r="AJ28" i="26"/>
  <c r="AF28" i="26"/>
  <c r="AG28" i="26" s="1"/>
  <c r="AE28" i="26"/>
  <c r="W28" i="26"/>
  <c r="J28" i="26"/>
  <c r="AL27" i="26"/>
  <c r="AK27" i="26"/>
  <c r="AJ27" i="26"/>
  <c r="AI27" i="26"/>
  <c r="AF27" i="26"/>
  <c r="AG27" i="26" s="1"/>
  <c r="AE27" i="26"/>
  <c r="AB27" i="26"/>
  <c r="X27" i="26"/>
  <c r="N27" i="26"/>
  <c r="M27" i="26"/>
  <c r="L27" i="26"/>
  <c r="K27" i="26"/>
  <c r="J27" i="26"/>
  <c r="AL26" i="26"/>
  <c r="AK26" i="26"/>
  <c r="AJ26" i="26"/>
  <c r="AI26" i="26"/>
  <c r="AF26" i="26"/>
  <c r="AG26" i="26" s="1"/>
  <c r="AE26" i="26"/>
  <c r="AB26" i="26"/>
  <c r="X26" i="26"/>
  <c r="P26" i="26"/>
  <c r="N26" i="26"/>
  <c r="M26" i="26"/>
  <c r="L26" i="26"/>
  <c r="K26" i="26"/>
  <c r="J26" i="26"/>
  <c r="AL25" i="26"/>
  <c r="AK25" i="26"/>
  <c r="AJ25" i="26"/>
  <c r="AI25" i="26"/>
  <c r="AF25" i="26"/>
  <c r="AG25" i="26" s="1"/>
  <c r="AE25" i="26"/>
  <c r="AB25" i="26"/>
  <c r="X25" i="26"/>
  <c r="P25" i="26"/>
  <c r="N25" i="26"/>
  <c r="M25" i="26"/>
  <c r="L25" i="26"/>
  <c r="K25" i="26"/>
  <c r="J25" i="26"/>
  <c r="AL24" i="26"/>
  <c r="AK24" i="26"/>
  <c r="AJ24" i="26"/>
  <c r="AI24" i="26"/>
  <c r="AF24" i="26"/>
  <c r="AG24" i="26" s="1"/>
  <c r="AE24" i="26"/>
  <c r="AB24" i="26"/>
  <c r="X24" i="26"/>
  <c r="P24" i="26"/>
  <c r="O24" i="26"/>
  <c r="N24" i="26"/>
  <c r="M24" i="26"/>
  <c r="L24" i="26"/>
  <c r="K24" i="26"/>
  <c r="J24" i="26"/>
  <c r="AL23" i="26"/>
  <c r="AK23" i="26"/>
  <c r="AJ23" i="26"/>
  <c r="AI23" i="26"/>
  <c r="AF23" i="26"/>
  <c r="AG23" i="26" s="1"/>
  <c r="AE23" i="26"/>
  <c r="AB23" i="26"/>
  <c r="X23" i="26"/>
  <c r="P23" i="26"/>
  <c r="N23" i="26"/>
  <c r="M23" i="26"/>
  <c r="L23" i="26"/>
  <c r="K23" i="26"/>
  <c r="J23" i="26"/>
  <c r="AL22" i="26"/>
  <c r="AK22" i="26"/>
  <c r="AJ22" i="26"/>
  <c r="AI22" i="26"/>
  <c r="AF22" i="26"/>
  <c r="AG22" i="26" s="1"/>
  <c r="AE22" i="26"/>
  <c r="AB22" i="26"/>
  <c r="X22" i="26"/>
  <c r="P22" i="26"/>
  <c r="N22" i="26"/>
  <c r="M22" i="26"/>
  <c r="L22" i="26"/>
  <c r="K22" i="26"/>
  <c r="J22" i="26"/>
  <c r="AL21" i="26"/>
  <c r="AK21" i="26"/>
  <c r="AJ21" i="26"/>
  <c r="AI21" i="26"/>
  <c r="AF21" i="26"/>
  <c r="AG21" i="26" s="1"/>
  <c r="AE21" i="26"/>
  <c r="AB21" i="26"/>
  <c r="X21" i="26"/>
  <c r="S21" i="26"/>
  <c r="P21" i="26"/>
  <c r="N21" i="26"/>
  <c r="M21" i="26"/>
  <c r="L21" i="26"/>
  <c r="K21" i="26"/>
  <c r="J21" i="26"/>
  <c r="AL20" i="26"/>
  <c r="AK20" i="26"/>
  <c r="AJ20" i="26"/>
  <c r="AI20" i="26"/>
  <c r="AF20" i="26"/>
  <c r="AG20" i="26" s="1"/>
  <c r="AE20" i="26"/>
  <c r="AB20" i="26"/>
  <c r="X20" i="26"/>
  <c r="P20" i="26"/>
  <c r="N20" i="26"/>
  <c r="M20" i="26"/>
  <c r="L20" i="26"/>
  <c r="K20" i="26"/>
  <c r="J20" i="26"/>
  <c r="AL19" i="26"/>
  <c r="AK19" i="26"/>
  <c r="AJ19" i="26"/>
  <c r="AI19" i="26"/>
  <c r="AF19" i="26"/>
  <c r="AG19" i="26" s="1"/>
  <c r="AE19" i="26"/>
  <c r="AB19" i="26"/>
  <c r="X19" i="26"/>
  <c r="N19" i="26"/>
  <c r="M19" i="26"/>
  <c r="L19" i="26"/>
  <c r="K19" i="26"/>
  <c r="J19" i="26"/>
  <c r="AL18" i="26"/>
  <c r="AK18" i="26"/>
  <c r="AJ18" i="26"/>
  <c r="AI18" i="26"/>
  <c r="AF18" i="26"/>
  <c r="AG18" i="26" s="1"/>
  <c r="AE18" i="26"/>
  <c r="AB18" i="26"/>
  <c r="X18" i="26"/>
  <c r="N18" i="26"/>
  <c r="M18" i="26"/>
  <c r="L18" i="26"/>
  <c r="K18" i="26"/>
  <c r="J18" i="26"/>
  <c r="AL17" i="26"/>
  <c r="AK17" i="26"/>
  <c r="AJ17" i="26"/>
  <c r="AI17" i="26"/>
  <c r="AF17" i="26"/>
  <c r="AG17" i="26" s="1"/>
  <c r="AE17" i="26"/>
  <c r="AB17" i="26"/>
  <c r="X17" i="26"/>
  <c r="N17" i="26"/>
  <c r="M17" i="26"/>
  <c r="L17" i="26"/>
  <c r="K17" i="26"/>
  <c r="J17" i="26"/>
  <c r="AL16" i="26"/>
  <c r="AK16" i="26"/>
  <c r="AJ16" i="26"/>
  <c r="AI16" i="26"/>
  <c r="AF16" i="26"/>
  <c r="AG16" i="26" s="1"/>
  <c r="AE16" i="26"/>
  <c r="AB16" i="26"/>
  <c r="X16" i="26"/>
  <c r="N16" i="26"/>
  <c r="M16" i="26"/>
  <c r="L16" i="26"/>
  <c r="K16" i="26"/>
  <c r="J16" i="26"/>
  <c r="AL15" i="26"/>
  <c r="AK15" i="26"/>
  <c r="AJ15" i="26"/>
  <c r="AI15" i="26"/>
  <c r="AF15" i="26"/>
  <c r="AG15" i="26" s="1"/>
  <c r="AE15" i="26"/>
  <c r="AB15" i="26"/>
  <c r="X15" i="26"/>
  <c r="N15" i="26"/>
  <c r="M15" i="26"/>
  <c r="L15" i="26"/>
  <c r="K15" i="26"/>
  <c r="J15" i="26"/>
  <c r="AL14" i="26"/>
  <c r="AK14" i="26"/>
  <c r="AJ14" i="26"/>
  <c r="AI14" i="26"/>
  <c r="AF14" i="26"/>
  <c r="AG14" i="26" s="1"/>
  <c r="AE14" i="26"/>
  <c r="AB14" i="26"/>
  <c r="X14" i="26"/>
  <c r="N14" i="26"/>
  <c r="M14" i="26"/>
  <c r="L14" i="26"/>
  <c r="K14" i="26"/>
  <c r="J14" i="26"/>
  <c r="AL13" i="26"/>
  <c r="AK13" i="26"/>
  <c r="AJ13" i="26"/>
  <c r="AI13" i="26"/>
  <c r="AF13" i="26"/>
  <c r="AG13" i="26" s="1"/>
  <c r="AE13" i="26"/>
  <c r="AB13" i="26"/>
  <c r="X13" i="26"/>
  <c r="N13" i="26"/>
  <c r="M13" i="26"/>
  <c r="L13" i="26"/>
  <c r="K13" i="26"/>
  <c r="J13" i="26"/>
  <c r="AL12" i="26"/>
  <c r="AK12" i="26"/>
  <c r="AJ12" i="26"/>
  <c r="AI12" i="26"/>
  <c r="AF12" i="26"/>
  <c r="AG12" i="26" s="1"/>
  <c r="AE12" i="26"/>
  <c r="AB12" i="26"/>
  <c r="X12" i="26"/>
  <c r="N12" i="26"/>
  <c r="M12" i="26"/>
  <c r="L12" i="26"/>
  <c r="K12" i="26"/>
  <c r="J12" i="26"/>
  <c r="AL11" i="26"/>
  <c r="AK11" i="26"/>
  <c r="AJ11" i="26"/>
  <c r="AI11" i="26"/>
  <c r="AF11" i="26"/>
  <c r="AG11" i="26" s="1"/>
  <c r="AE11" i="26"/>
  <c r="AB11" i="26"/>
  <c r="X11" i="26"/>
  <c r="N11" i="26"/>
  <c r="M11" i="26"/>
  <c r="L11" i="26"/>
  <c r="K11" i="26"/>
  <c r="J11" i="26"/>
  <c r="AL10" i="26"/>
  <c r="AK10" i="26"/>
  <c r="AJ10" i="26"/>
  <c r="AI10" i="26"/>
  <c r="AF10" i="26"/>
  <c r="AG10" i="26" s="1"/>
  <c r="AE10" i="26"/>
  <c r="AB10" i="26"/>
  <c r="X10" i="26"/>
  <c r="N10" i="26"/>
  <c r="M10" i="26"/>
  <c r="L10" i="26"/>
  <c r="K10" i="26"/>
  <c r="J10" i="26"/>
  <c r="AN9" i="26"/>
  <c r="AL9" i="26"/>
  <c r="AK9" i="26"/>
  <c r="AJ9" i="26"/>
  <c r="AI9" i="26"/>
  <c r="AF9" i="26"/>
  <c r="AG9" i="26" s="1"/>
  <c r="AE9" i="26"/>
  <c r="AB9" i="26"/>
  <c r="X9" i="26"/>
  <c r="N9" i="26"/>
  <c r="M9" i="26"/>
  <c r="L9" i="26"/>
  <c r="K9" i="26"/>
  <c r="J9" i="26"/>
  <c r="AN8" i="26"/>
  <c r="AL8" i="26"/>
  <c r="AK8" i="26"/>
  <c r="AJ8" i="26"/>
  <c r="AI8" i="26"/>
  <c r="AF8" i="26"/>
  <c r="AG8" i="26" s="1"/>
  <c r="AE8" i="26"/>
  <c r="AB8" i="26"/>
  <c r="X8" i="26"/>
  <c r="N8" i="26"/>
  <c r="M8" i="26"/>
  <c r="L8" i="26"/>
  <c r="K8" i="26"/>
  <c r="J8" i="26"/>
  <c r="AL7" i="26"/>
  <c r="AK7" i="26"/>
  <c r="AJ7" i="26"/>
  <c r="AI7" i="26"/>
  <c r="AF7" i="26"/>
  <c r="AG7" i="26" s="1"/>
  <c r="AE7" i="26"/>
  <c r="AB7" i="26"/>
  <c r="X7" i="26"/>
  <c r="N7" i="26"/>
  <c r="M7" i="26"/>
  <c r="L7" i="26"/>
  <c r="K7" i="26"/>
  <c r="J7" i="26"/>
  <c r="AL6" i="26"/>
  <c r="AK6" i="26"/>
  <c r="AJ6" i="26"/>
  <c r="AI6" i="26"/>
  <c r="AF6" i="26"/>
  <c r="AE6" i="26"/>
  <c r="AB6" i="26"/>
  <c r="X6" i="26"/>
  <c r="P6" i="26"/>
  <c r="O6" i="26"/>
  <c r="N6" i="26"/>
  <c r="M6" i="26"/>
  <c r="L6" i="26"/>
  <c r="K6" i="26"/>
  <c r="J6" i="26"/>
  <c r="AD67" i="27"/>
  <c r="AC67" i="27"/>
  <c r="AA67" i="27"/>
  <c r="Z67" i="27"/>
  <c r="U67" i="27"/>
  <c r="T67" i="27"/>
  <c r="L67" i="27"/>
  <c r="K67" i="27"/>
  <c r="AI66" i="27"/>
  <c r="AB66" i="27"/>
  <c r="X66" i="27"/>
  <c r="Q66" i="27"/>
  <c r="P66" i="27"/>
  <c r="O66" i="27"/>
  <c r="N66" i="27"/>
  <c r="M66" i="27"/>
  <c r="L66" i="27"/>
  <c r="K66" i="27"/>
  <c r="J66" i="27"/>
  <c r="AI65" i="27"/>
  <c r="AB65" i="27"/>
  <c r="X65" i="27"/>
  <c r="Q65" i="27"/>
  <c r="P65" i="27"/>
  <c r="O65" i="27"/>
  <c r="N65" i="27"/>
  <c r="M65" i="27"/>
  <c r="AJ65" i="27" s="1"/>
  <c r="L65" i="27"/>
  <c r="K65" i="27"/>
  <c r="J65" i="27"/>
  <c r="AI64" i="27"/>
  <c r="AB64" i="27"/>
  <c r="X64" i="27"/>
  <c r="Q64" i="27"/>
  <c r="P64" i="27"/>
  <c r="O64" i="27"/>
  <c r="N64" i="27"/>
  <c r="M64" i="27"/>
  <c r="AJ64" i="27" s="1"/>
  <c r="L64" i="27"/>
  <c r="K64" i="27"/>
  <c r="J64" i="27"/>
  <c r="AI63" i="27"/>
  <c r="AB63" i="27"/>
  <c r="X63" i="27"/>
  <c r="Q63" i="27"/>
  <c r="P63" i="27"/>
  <c r="O63" i="27"/>
  <c r="N63" i="27"/>
  <c r="M63" i="27"/>
  <c r="AJ63" i="27" s="1"/>
  <c r="L63" i="27"/>
  <c r="K63" i="27"/>
  <c r="J63" i="27"/>
  <c r="AI62" i="27"/>
  <c r="AB62" i="27"/>
  <c r="Y62" i="27"/>
  <c r="X62" i="27"/>
  <c r="W62" i="27"/>
  <c r="V62" i="27"/>
  <c r="S62" i="27"/>
  <c r="R62" i="27"/>
  <c r="N62" i="27"/>
  <c r="M62" i="27"/>
  <c r="L62" i="27"/>
  <c r="K62" i="27"/>
  <c r="J62" i="27"/>
  <c r="AK61" i="27"/>
  <c r="AJ61" i="27"/>
  <c r="W61" i="27"/>
  <c r="AE61" i="27" s="1"/>
  <c r="J61" i="27"/>
  <c r="AI60" i="27"/>
  <c r="AB60" i="27"/>
  <c r="Y60" i="27"/>
  <c r="X60" i="27"/>
  <c r="W60" i="27"/>
  <c r="V60" i="27"/>
  <c r="S60" i="27"/>
  <c r="R60" i="27"/>
  <c r="P60" i="27"/>
  <c r="N60" i="27"/>
  <c r="M60" i="27"/>
  <c r="AJ60" i="27" s="1"/>
  <c r="L60" i="27"/>
  <c r="K60" i="27"/>
  <c r="J60" i="27"/>
  <c r="AI59" i="27"/>
  <c r="AB59" i="27"/>
  <c r="Y59" i="27"/>
  <c r="X59" i="27"/>
  <c r="W59" i="27"/>
  <c r="V59" i="27"/>
  <c r="S59" i="27"/>
  <c r="R59" i="27"/>
  <c r="N59" i="27"/>
  <c r="M59" i="27"/>
  <c r="AJ59" i="27" s="1"/>
  <c r="L59" i="27"/>
  <c r="K59" i="27"/>
  <c r="J59" i="27"/>
  <c r="AI58" i="27"/>
  <c r="AB58" i="27"/>
  <c r="Y58" i="27"/>
  <c r="X58" i="27"/>
  <c r="W58" i="27"/>
  <c r="V58" i="27"/>
  <c r="S58" i="27"/>
  <c r="R58" i="27"/>
  <c r="N58" i="27"/>
  <c r="M58" i="27"/>
  <c r="L58" i="27"/>
  <c r="K58" i="27"/>
  <c r="J58" i="27"/>
  <c r="AI57" i="27"/>
  <c r="AB57" i="27"/>
  <c r="Y57" i="27"/>
  <c r="X57" i="27"/>
  <c r="W57" i="27"/>
  <c r="V57" i="27"/>
  <c r="S57" i="27"/>
  <c r="R57" i="27"/>
  <c r="N57" i="27"/>
  <c r="M57" i="27"/>
  <c r="AJ57" i="27" s="1"/>
  <c r="L57" i="27"/>
  <c r="K57" i="27"/>
  <c r="J57" i="27"/>
  <c r="AL56" i="27"/>
  <c r="AK56" i="27"/>
  <c r="AJ56" i="27"/>
  <c r="AF56" i="27"/>
  <c r="AG56" i="27" s="1"/>
  <c r="AE56" i="27"/>
  <c r="J56" i="27"/>
  <c r="AK55" i="27"/>
  <c r="AJ55" i="27"/>
  <c r="W55" i="27"/>
  <c r="AE55" i="27" s="1"/>
  <c r="J55" i="27"/>
  <c r="AK54" i="27"/>
  <c r="AJ54" i="27"/>
  <c r="W54" i="27"/>
  <c r="AE54" i="27" s="1"/>
  <c r="AL54" i="27" s="1"/>
  <c r="J54" i="27"/>
  <c r="AI53" i="27"/>
  <c r="AB53" i="27"/>
  <c r="Y53" i="27"/>
  <c r="X53" i="27"/>
  <c r="W53" i="27"/>
  <c r="V53" i="27"/>
  <c r="S53" i="27"/>
  <c r="R53" i="27"/>
  <c r="N53" i="27"/>
  <c r="M53" i="27"/>
  <c r="AJ53" i="27" s="1"/>
  <c r="L53" i="27"/>
  <c r="K53" i="27"/>
  <c r="J53" i="27"/>
  <c r="AI52" i="27"/>
  <c r="AB52" i="27"/>
  <c r="Y52" i="27"/>
  <c r="X52" i="27"/>
  <c r="W52" i="27"/>
  <c r="V52" i="27"/>
  <c r="S52" i="27"/>
  <c r="R52" i="27"/>
  <c r="N52" i="27"/>
  <c r="M52" i="27"/>
  <c r="AJ52" i="27" s="1"/>
  <c r="L52" i="27"/>
  <c r="K52" i="27"/>
  <c r="J52" i="27"/>
  <c r="AL51" i="27"/>
  <c r="AK51" i="27"/>
  <c r="AJ51" i="27"/>
  <c r="AF51" i="27"/>
  <c r="AG51" i="27" s="1"/>
  <c r="AE51" i="27"/>
  <c r="J51" i="27"/>
  <c r="AL50" i="27"/>
  <c r="AK50" i="27"/>
  <c r="AJ50" i="27"/>
  <c r="AF50" i="27"/>
  <c r="AG50" i="27" s="1"/>
  <c r="AE50" i="27"/>
  <c r="J50" i="27"/>
  <c r="AL49" i="27"/>
  <c r="AK49" i="27"/>
  <c r="AJ49" i="27"/>
  <c r="AF49" i="27"/>
  <c r="AG49" i="27" s="1"/>
  <c r="AE49" i="27"/>
  <c r="J49" i="27"/>
  <c r="AL48" i="27"/>
  <c r="AK48" i="27"/>
  <c r="AJ48" i="27"/>
  <c r="AF48" i="27"/>
  <c r="AG48" i="27" s="1"/>
  <c r="AE48" i="27"/>
  <c r="J48" i="27"/>
  <c r="AK47" i="27"/>
  <c r="AJ47" i="27"/>
  <c r="W47" i="27"/>
  <c r="AE47" i="27" s="1"/>
  <c r="AL47" i="27" s="1"/>
  <c r="J47" i="27"/>
  <c r="AI46" i="27"/>
  <c r="AB46" i="27"/>
  <c r="Y46" i="27"/>
  <c r="X46" i="27"/>
  <c r="W46" i="27"/>
  <c r="V46" i="27"/>
  <c r="S46" i="27"/>
  <c r="R46" i="27"/>
  <c r="P46" i="27"/>
  <c r="N46" i="27"/>
  <c r="M46" i="27"/>
  <c r="AJ46" i="27" s="1"/>
  <c r="L46" i="27"/>
  <c r="K46" i="27"/>
  <c r="J46" i="27"/>
  <c r="AI45" i="27"/>
  <c r="AB45" i="27"/>
  <c r="Y45" i="27"/>
  <c r="X45" i="27"/>
  <c r="W45" i="27"/>
  <c r="V45" i="27"/>
  <c r="S45" i="27"/>
  <c r="R45" i="27"/>
  <c r="N45" i="27"/>
  <c r="M45" i="27"/>
  <c r="AJ45" i="27" s="1"/>
  <c r="L45" i="27"/>
  <c r="K45" i="27"/>
  <c r="J45" i="27"/>
  <c r="AL44" i="27"/>
  <c r="AK44" i="27"/>
  <c r="AJ44" i="27"/>
  <c r="AF44" i="27"/>
  <c r="AG44" i="27" s="1"/>
  <c r="AE44" i="27"/>
  <c r="J44" i="27"/>
  <c r="AI43" i="27"/>
  <c r="AB43" i="27"/>
  <c r="Y43" i="27"/>
  <c r="X43" i="27"/>
  <c r="W43" i="27"/>
  <c r="V43" i="27"/>
  <c r="S43" i="27"/>
  <c r="R43" i="27"/>
  <c r="N43" i="27"/>
  <c r="M43" i="27"/>
  <c r="AJ43" i="27" s="1"/>
  <c r="L43" i="27"/>
  <c r="K43" i="27"/>
  <c r="J43" i="27"/>
  <c r="AI42" i="27"/>
  <c r="AB42" i="27"/>
  <c r="Y42" i="27"/>
  <c r="X42" i="27"/>
  <c r="W42" i="27"/>
  <c r="V42" i="27"/>
  <c r="S42" i="27"/>
  <c r="R42" i="27"/>
  <c r="N42" i="27"/>
  <c r="M42" i="27"/>
  <c r="AJ42" i="27" s="1"/>
  <c r="L42" i="27"/>
  <c r="K42" i="27"/>
  <c r="J42" i="27"/>
  <c r="AI41" i="27"/>
  <c r="AK41" i="27" s="1"/>
  <c r="AB41" i="27"/>
  <c r="Y41" i="27"/>
  <c r="X41" i="27"/>
  <c r="W41" i="27"/>
  <c r="V41" i="27"/>
  <c r="S41" i="27"/>
  <c r="R41" i="27"/>
  <c r="N41" i="27"/>
  <c r="M41" i="27"/>
  <c r="AJ41" i="27" s="1"/>
  <c r="L41" i="27"/>
  <c r="K41" i="27"/>
  <c r="J41" i="27"/>
  <c r="AI40" i="27"/>
  <c r="AB40" i="27"/>
  <c r="Y40" i="27"/>
  <c r="X40" i="27"/>
  <c r="W40" i="27"/>
  <c r="V40" i="27"/>
  <c r="S40" i="27"/>
  <c r="R40" i="27"/>
  <c r="N40" i="27"/>
  <c r="M40" i="27"/>
  <c r="L40" i="27"/>
  <c r="K40" i="27"/>
  <c r="J40" i="27"/>
  <c r="AI39" i="27"/>
  <c r="AB39" i="27"/>
  <c r="Y39" i="27"/>
  <c r="X39" i="27"/>
  <c r="W39" i="27"/>
  <c r="V39" i="27"/>
  <c r="S39" i="27"/>
  <c r="R39" i="27"/>
  <c r="N39" i="27"/>
  <c r="M39" i="27"/>
  <c r="AJ39" i="27" s="1"/>
  <c r="L39" i="27"/>
  <c r="K39" i="27"/>
  <c r="J39" i="27"/>
  <c r="AL38" i="27"/>
  <c r="AK38" i="27"/>
  <c r="AJ38" i="27"/>
  <c r="AF38" i="27"/>
  <c r="AG38" i="27" s="1"/>
  <c r="AE38" i="27"/>
  <c r="J38" i="27"/>
  <c r="AI37" i="27"/>
  <c r="AB37" i="27"/>
  <c r="Y37" i="27"/>
  <c r="X37" i="27"/>
  <c r="W37" i="27"/>
  <c r="V37" i="27"/>
  <c r="S37" i="27"/>
  <c r="R37" i="27"/>
  <c r="N37" i="27"/>
  <c r="M37" i="27"/>
  <c r="AJ37" i="27" s="1"/>
  <c r="L37" i="27"/>
  <c r="K37" i="27"/>
  <c r="J37" i="27"/>
  <c r="AK36" i="27"/>
  <c r="AJ36" i="27"/>
  <c r="W36" i="27"/>
  <c r="AE36" i="27" s="1"/>
  <c r="J36" i="27"/>
  <c r="AK35" i="27"/>
  <c r="AJ35" i="27"/>
  <c r="W35" i="27"/>
  <c r="AE35" i="27" s="1"/>
  <c r="J35" i="27"/>
  <c r="AK34" i="27"/>
  <c r="AJ34" i="27"/>
  <c r="W34" i="27"/>
  <c r="AE34" i="27" s="1"/>
  <c r="J34" i="27"/>
  <c r="AL33" i="27"/>
  <c r="AK33" i="27"/>
  <c r="AJ33" i="27"/>
  <c r="AF33" i="27"/>
  <c r="AG33" i="27" s="1"/>
  <c r="AE33" i="27"/>
  <c r="J33" i="27"/>
  <c r="AL32" i="27"/>
  <c r="AK32" i="27"/>
  <c r="AJ32" i="27"/>
  <c r="AF32" i="27"/>
  <c r="AG32" i="27" s="1"/>
  <c r="AE32" i="27"/>
  <c r="J32" i="27"/>
  <c r="AI31" i="27"/>
  <c r="AB31" i="27"/>
  <c r="Y31" i="27"/>
  <c r="X31" i="27"/>
  <c r="W31" i="27"/>
  <c r="V31" i="27"/>
  <c r="S31" i="27"/>
  <c r="R31" i="27"/>
  <c r="N31" i="27"/>
  <c r="M31" i="27"/>
  <c r="L31" i="27"/>
  <c r="K31" i="27"/>
  <c r="J31" i="27"/>
  <c r="AK30" i="27"/>
  <c r="AJ30" i="27"/>
  <c r="W30" i="27"/>
  <c r="AE30" i="27" s="1"/>
  <c r="AF30" i="27" s="1"/>
  <c r="AG30" i="27" s="1"/>
  <c r="J30" i="27"/>
  <c r="AI29" i="27"/>
  <c r="AB29" i="27"/>
  <c r="X29" i="27"/>
  <c r="W29" i="27"/>
  <c r="P29" i="27"/>
  <c r="O29" i="27"/>
  <c r="N29" i="27"/>
  <c r="M29" i="27"/>
  <c r="AJ29" i="27" s="1"/>
  <c r="L29" i="27"/>
  <c r="K29" i="27"/>
  <c r="J29" i="27"/>
  <c r="AK28" i="27"/>
  <c r="AJ28" i="27"/>
  <c r="W28" i="27"/>
  <c r="J28" i="27"/>
  <c r="AI27" i="27"/>
  <c r="AB27" i="27"/>
  <c r="X27" i="27"/>
  <c r="N27" i="27"/>
  <c r="M27" i="27"/>
  <c r="L27" i="27"/>
  <c r="K27" i="27"/>
  <c r="J27" i="27"/>
  <c r="AI26" i="27"/>
  <c r="AB26" i="27"/>
  <c r="X26" i="27"/>
  <c r="N26" i="27"/>
  <c r="M26" i="27"/>
  <c r="AJ26" i="27" s="1"/>
  <c r="L26" i="27"/>
  <c r="K26" i="27"/>
  <c r="J26" i="27"/>
  <c r="AI25" i="27"/>
  <c r="AB25" i="27"/>
  <c r="X25" i="27"/>
  <c r="S25" i="27"/>
  <c r="N25" i="27"/>
  <c r="M25" i="27"/>
  <c r="L25" i="27"/>
  <c r="K25" i="27"/>
  <c r="J25" i="27"/>
  <c r="AI24" i="27"/>
  <c r="AB24" i="27"/>
  <c r="X24" i="27"/>
  <c r="P24" i="27"/>
  <c r="O24" i="27"/>
  <c r="N24" i="27"/>
  <c r="M24" i="27"/>
  <c r="AJ24" i="27" s="1"/>
  <c r="L24" i="27"/>
  <c r="K24" i="27"/>
  <c r="J24" i="27"/>
  <c r="AI23" i="27"/>
  <c r="AB23" i="27"/>
  <c r="X23" i="27"/>
  <c r="N23" i="27"/>
  <c r="M23" i="27"/>
  <c r="AJ23" i="27" s="1"/>
  <c r="L23" i="27"/>
  <c r="K23" i="27"/>
  <c r="J23" i="27"/>
  <c r="AI22" i="27"/>
  <c r="AB22" i="27"/>
  <c r="X22" i="27"/>
  <c r="P22" i="27"/>
  <c r="N22" i="27"/>
  <c r="M22" i="27"/>
  <c r="AJ22" i="27" s="1"/>
  <c r="L22" i="27"/>
  <c r="K22" i="27"/>
  <c r="J22" i="27"/>
  <c r="AI21" i="27"/>
  <c r="AB21" i="27"/>
  <c r="X21" i="27"/>
  <c r="S21" i="27"/>
  <c r="Q21" i="27"/>
  <c r="P21" i="27"/>
  <c r="N21" i="27"/>
  <c r="M21" i="27"/>
  <c r="AJ21" i="27" s="1"/>
  <c r="L21" i="27"/>
  <c r="K21" i="27"/>
  <c r="J21" i="27"/>
  <c r="AI20" i="27"/>
  <c r="AB20" i="27"/>
  <c r="X20" i="27"/>
  <c r="N20" i="27"/>
  <c r="M20" i="27"/>
  <c r="AJ20" i="27" s="1"/>
  <c r="L20" i="27"/>
  <c r="K20" i="27"/>
  <c r="J20" i="27"/>
  <c r="AI19" i="27"/>
  <c r="AB19" i="27"/>
  <c r="X19" i="27"/>
  <c r="N19" i="27"/>
  <c r="M19" i="27"/>
  <c r="AJ19" i="27" s="1"/>
  <c r="L19" i="27"/>
  <c r="K19" i="27"/>
  <c r="J19" i="27"/>
  <c r="AI18" i="27"/>
  <c r="AB18" i="27"/>
  <c r="X18" i="27"/>
  <c r="N18" i="27"/>
  <c r="M18" i="27"/>
  <c r="AJ18" i="27" s="1"/>
  <c r="L18" i="27"/>
  <c r="K18" i="27"/>
  <c r="J18" i="27"/>
  <c r="AI17" i="27"/>
  <c r="AB17" i="27"/>
  <c r="X17" i="27"/>
  <c r="N17" i="27"/>
  <c r="M17" i="27"/>
  <c r="AJ17" i="27" s="1"/>
  <c r="L17" i="27"/>
  <c r="K17" i="27"/>
  <c r="J17" i="27"/>
  <c r="AI16" i="27"/>
  <c r="AB16" i="27"/>
  <c r="X16" i="27"/>
  <c r="N16" i="27"/>
  <c r="M16" i="27"/>
  <c r="AJ16" i="27" s="1"/>
  <c r="L16" i="27"/>
  <c r="K16" i="27"/>
  <c r="J16" i="27"/>
  <c r="AI15" i="27"/>
  <c r="AB15" i="27"/>
  <c r="X15" i="27"/>
  <c r="N15" i="27"/>
  <c r="M15" i="27"/>
  <c r="AJ15" i="27" s="1"/>
  <c r="L15" i="27"/>
  <c r="K15" i="27"/>
  <c r="J15" i="27"/>
  <c r="AI14" i="27"/>
  <c r="AB14" i="27"/>
  <c r="X14" i="27"/>
  <c r="N14" i="27"/>
  <c r="M14" i="27"/>
  <c r="AJ14" i="27" s="1"/>
  <c r="L14" i="27"/>
  <c r="K14" i="27"/>
  <c r="J14" i="27"/>
  <c r="AI13" i="27"/>
  <c r="AB13" i="27"/>
  <c r="X13" i="27"/>
  <c r="N13" i="27"/>
  <c r="M13" i="27"/>
  <c r="AJ13" i="27" s="1"/>
  <c r="L13" i="27"/>
  <c r="K13" i="27"/>
  <c r="J13" i="27"/>
  <c r="AI12" i="27"/>
  <c r="AB12" i="27"/>
  <c r="X12" i="27"/>
  <c r="N12" i="27"/>
  <c r="M12" i="27"/>
  <c r="AJ12" i="27" s="1"/>
  <c r="L12" i="27"/>
  <c r="K12" i="27"/>
  <c r="J12" i="27"/>
  <c r="AI11" i="27"/>
  <c r="AB11" i="27"/>
  <c r="X11" i="27"/>
  <c r="N11" i="27"/>
  <c r="M11" i="27"/>
  <c r="AJ11" i="27" s="1"/>
  <c r="L11" i="27"/>
  <c r="K11" i="27"/>
  <c r="J11" i="27"/>
  <c r="AI10" i="27"/>
  <c r="AB10" i="27"/>
  <c r="X10" i="27"/>
  <c r="N10" i="27"/>
  <c r="M10" i="27"/>
  <c r="AJ10" i="27" s="1"/>
  <c r="L10" i="27"/>
  <c r="K10" i="27"/>
  <c r="J10" i="27"/>
  <c r="AI9" i="27"/>
  <c r="AB9" i="27"/>
  <c r="X9" i="27"/>
  <c r="N9" i="27"/>
  <c r="M9" i="27"/>
  <c r="AJ9" i="27" s="1"/>
  <c r="L9" i="27"/>
  <c r="K9" i="27"/>
  <c r="J9" i="27"/>
  <c r="AI8" i="27"/>
  <c r="AB8" i="27"/>
  <c r="X8" i="27"/>
  <c r="N8" i="27"/>
  <c r="M8" i="27"/>
  <c r="AJ8" i="27" s="1"/>
  <c r="L8" i="27"/>
  <c r="K8" i="27"/>
  <c r="J8" i="27"/>
  <c r="AI7" i="27"/>
  <c r="AB7" i="27"/>
  <c r="X7" i="27"/>
  <c r="N7" i="27"/>
  <c r="M7" i="27"/>
  <c r="AJ7" i="27" s="1"/>
  <c r="L7" i="27"/>
  <c r="K7" i="27"/>
  <c r="J7" i="27"/>
  <c r="AI6" i="27"/>
  <c r="AB6" i="27"/>
  <c r="X6" i="27"/>
  <c r="P6" i="27"/>
  <c r="O6" i="27"/>
  <c r="N6" i="27"/>
  <c r="M6" i="27"/>
  <c r="L6" i="27"/>
  <c r="K6" i="27"/>
  <c r="J6" i="27"/>
  <c r="AL83" i="25"/>
  <c r="AK82" i="25"/>
  <c r="AK80" i="25"/>
  <c r="AL67" i="25"/>
  <c r="AK67" i="25"/>
  <c r="AJ67" i="25"/>
  <c r="AI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AL66" i="25"/>
  <c r="AK66" i="25"/>
  <c r="AJ66" i="25"/>
  <c r="AI66" i="25"/>
  <c r="AF66" i="25"/>
  <c r="AG66" i="25" s="1"/>
  <c r="AE66" i="25"/>
  <c r="AD66" i="25"/>
  <c r="AB66" i="25"/>
  <c r="X66" i="25"/>
  <c r="Q66" i="25"/>
  <c r="P66" i="25"/>
  <c r="O66" i="25"/>
  <c r="N66" i="25"/>
  <c r="M66" i="25"/>
  <c r="L66" i="25"/>
  <c r="K66" i="25"/>
  <c r="J66" i="25"/>
  <c r="AL65" i="25"/>
  <c r="AK65" i="25"/>
  <c r="AJ65" i="25"/>
  <c r="AI65" i="25"/>
  <c r="AF65" i="25"/>
  <c r="AG65" i="25" s="1"/>
  <c r="AE65" i="25"/>
  <c r="AD65" i="25"/>
  <c r="AB65" i="25"/>
  <c r="X65" i="25"/>
  <c r="Q65" i="25"/>
  <c r="P65" i="25"/>
  <c r="O65" i="25"/>
  <c r="N65" i="25"/>
  <c r="M65" i="25"/>
  <c r="L65" i="25"/>
  <c r="K65" i="25"/>
  <c r="J65" i="25"/>
  <c r="AL64" i="25"/>
  <c r="AK64" i="25"/>
  <c r="AJ64" i="25"/>
  <c r="AI64" i="25"/>
  <c r="AF64" i="25"/>
  <c r="AG64" i="25" s="1"/>
  <c r="AE64" i="25"/>
  <c r="AD64" i="25"/>
  <c r="AB64" i="25"/>
  <c r="X64" i="25"/>
  <c r="Q64" i="25"/>
  <c r="P64" i="25"/>
  <c r="O64" i="25"/>
  <c r="N64" i="25"/>
  <c r="M64" i="25"/>
  <c r="L64" i="25"/>
  <c r="K64" i="25"/>
  <c r="J64" i="25"/>
  <c r="AL63" i="25"/>
  <c r="AK63" i="25"/>
  <c r="AJ63" i="25"/>
  <c r="AI63" i="25"/>
  <c r="AF63" i="25"/>
  <c r="AG63" i="25" s="1"/>
  <c r="AE63" i="25"/>
  <c r="AD63" i="25"/>
  <c r="AB63" i="25"/>
  <c r="X63" i="25"/>
  <c r="Q63" i="25"/>
  <c r="P63" i="25"/>
  <c r="O63" i="25"/>
  <c r="N63" i="25"/>
  <c r="M63" i="25"/>
  <c r="L63" i="25"/>
  <c r="K63" i="25"/>
  <c r="J63" i="25"/>
  <c r="AL62" i="25"/>
  <c r="AK62" i="25"/>
  <c r="AJ62" i="25"/>
  <c r="AI62" i="25"/>
  <c r="AF62" i="25"/>
  <c r="AG62" i="25" s="1"/>
  <c r="AE62" i="25"/>
  <c r="AD62" i="25"/>
  <c r="AB62" i="25"/>
  <c r="Y62" i="25"/>
  <c r="X62" i="25"/>
  <c r="W62" i="25"/>
  <c r="V62" i="25"/>
  <c r="U62" i="25"/>
  <c r="T62" i="25"/>
  <c r="S62" i="25"/>
  <c r="R62" i="25"/>
  <c r="N62" i="25"/>
  <c r="M62" i="25"/>
  <c r="L62" i="25"/>
  <c r="K62" i="25"/>
  <c r="J62" i="25"/>
  <c r="AL61" i="25"/>
  <c r="AK61" i="25"/>
  <c r="AJ61" i="25"/>
  <c r="AI61" i="25"/>
  <c r="AF61" i="25"/>
  <c r="AG61" i="25" s="1"/>
  <c r="AE61" i="25"/>
  <c r="AD61" i="25"/>
  <c r="AB61" i="25"/>
  <c r="Y61" i="25"/>
  <c r="X61" i="25"/>
  <c r="W61" i="25"/>
  <c r="V61" i="25"/>
  <c r="U61" i="25"/>
  <c r="T61" i="25"/>
  <c r="S61" i="25"/>
  <c r="R61" i="25"/>
  <c r="N61" i="25"/>
  <c r="M61" i="25"/>
  <c r="L61" i="25"/>
  <c r="K61" i="25"/>
  <c r="J61" i="25"/>
  <c r="AL60" i="25"/>
  <c r="AK60" i="25"/>
  <c r="AJ60" i="25"/>
  <c r="AI60" i="25"/>
  <c r="AF60" i="25"/>
  <c r="AG60" i="25" s="1"/>
  <c r="AE60" i="25"/>
  <c r="AB60" i="25"/>
  <c r="Y60" i="25"/>
  <c r="X60" i="25"/>
  <c r="W60" i="25"/>
  <c r="V60" i="25"/>
  <c r="U60" i="25"/>
  <c r="T60" i="25"/>
  <c r="S60" i="25"/>
  <c r="R60" i="25"/>
  <c r="P60" i="25"/>
  <c r="N60" i="25"/>
  <c r="M60" i="25"/>
  <c r="L60" i="25"/>
  <c r="K60" i="25"/>
  <c r="J60" i="25"/>
  <c r="AL59" i="25"/>
  <c r="AK59" i="25"/>
  <c r="AJ59" i="25"/>
  <c r="AI59" i="25"/>
  <c r="AF59" i="25"/>
  <c r="AG59" i="25" s="1"/>
  <c r="AE59" i="25"/>
  <c r="AB59" i="25"/>
  <c r="Y59" i="25"/>
  <c r="X59" i="25"/>
  <c r="W59" i="25"/>
  <c r="V59" i="25"/>
  <c r="U59" i="25"/>
  <c r="T59" i="25"/>
  <c r="S59" i="25"/>
  <c r="R59" i="25"/>
  <c r="N59" i="25"/>
  <c r="M59" i="25"/>
  <c r="L59" i="25"/>
  <c r="K59" i="25"/>
  <c r="J59" i="25"/>
  <c r="AL58" i="25"/>
  <c r="AK58" i="25"/>
  <c r="AJ58" i="25"/>
  <c r="AI58" i="25"/>
  <c r="AF58" i="25"/>
  <c r="AG58" i="25" s="1"/>
  <c r="AE58" i="25"/>
  <c r="AD58" i="25"/>
  <c r="AB58" i="25"/>
  <c r="Y58" i="25"/>
  <c r="X58" i="25"/>
  <c r="W58" i="25"/>
  <c r="V58" i="25"/>
  <c r="U58" i="25"/>
  <c r="T58" i="25"/>
  <c r="S58" i="25"/>
  <c r="R58" i="25"/>
  <c r="N58" i="25"/>
  <c r="M58" i="25"/>
  <c r="L58" i="25"/>
  <c r="K58" i="25"/>
  <c r="J58" i="25"/>
  <c r="AL57" i="25"/>
  <c r="AK57" i="25"/>
  <c r="AJ57" i="25"/>
  <c r="AI57" i="25"/>
  <c r="AF57" i="25"/>
  <c r="AG57" i="25" s="1"/>
  <c r="AE57" i="25"/>
  <c r="AD57" i="25"/>
  <c r="AB57" i="25"/>
  <c r="Y57" i="25"/>
  <c r="X57" i="25"/>
  <c r="W57" i="25"/>
  <c r="V57" i="25"/>
  <c r="U57" i="25"/>
  <c r="T57" i="25"/>
  <c r="S57" i="25"/>
  <c r="R57" i="25"/>
  <c r="N57" i="25"/>
  <c r="M57" i="25"/>
  <c r="L57" i="25"/>
  <c r="K57" i="25"/>
  <c r="J57" i="25"/>
  <c r="AL56" i="25"/>
  <c r="AK56" i="25"/>
  <c r="AJ56" i="25"/>
  <c r="AF56" i="25"/>
  <c r="AG56" i="25" s="1"/>
  <c r="AE56" i="25"/>
  <c r="J56" i="25"/>
  <c r="AL55" i="25"/>
  <c r="AK55" i="25"/>
  <c r="AJ55" i="25"/>
  <c r="AI55" i="25"/>
  <c r="AF55" i="25"/>
  <c r="AG55" i="25" s="1"/>
  <c r="AE55" i="25"/>
  <c r="AD55" i="25"/>
  <c r="AB55" i="25"/>
  <c r="Y55" i="25"/>
  <c r="X55" i="25"/>
  <c r="W55" i="25"/>
  <c r="V55" i="25"/>
  <c r="U55" i="25"/>
  <c r="T55" i="25"/>
  <c r="S55" i="25"/>
  <c r="R55" i="25"/>
  <c r="N55" i="25"/>
  <c r="M55" i="25"/>
  <c r="L55" i="25"/>
  <c r="K55" i="25"/>
  <c r="J55" i="25"/>
  <c r="AL54" i="25"/>
  <c r="AK54" i="25"/>
  <c r="AJ54" i="25"/>
  <c r="AI54" i="25"/>
  <c r="AF54" i="25"/>
  <c r="AG54" i="25" s="1"/>
  <c r="AE54" i="25"/>
  <c r="AD54" i="25"/>
  <c r="AB54" i="25"/>
  <c r="Y54" i="25"/>
  <c r="X54" i="25"/>
  <c r="W54" i="25"/>
  <c r="V54" i="25"/>
  <c r="U54" i="25"/>
  <c r="T54" i="25"/>
  <c r="S54" i="25"/>
  <c r="R54" i="25"/>
  <c r="N54" i="25"/>
  <c r="M54" i="25"/>
  <c r="L54" i="25"/>
  <c r="K54" i="25"/>
  <c r="J54" i="25"/>
  <c r="AL53" i="25"/>
  <c r="AK53" i="25"/>
  <c r="AJ53" i="25"/>
  <c r="AI53" i="25"/>
  <c r="AF53" i="25"/>
  <c r="AG53" i="25" s="1"/>
  <c r="AE53" i="25"/>
  <c r="AD53" i="25"/>
  <c r="AB53" i="25"/>
  <c r="Y53" i="25"/>
  <c r="X53" i="25"/>
  <c r="W53" i="25"/>
  <c r="V53" i="25"/>
  <c r="U53" i="25"/>
  <c r="T53" i="25"/>
  <c r="S53" i="25"/>
  <c r="R53" i="25"/>
  <c r="N53" i="25"/>
  <c r="M53" i="25"/>
  <c r="L53" i="25"/>
  <c r="K53" i="25"/>
  <c r="J53" i="25"/>
  <c r="AL52" i="25"/>
  <c r="AK52" i="25"/>
  <c r="AJ52" i="25"/>
  <c r="AI52" i="25"/>
  <c r="AF52" i="25"/>
  <c r="AG52" i="25" s="1"/>
  <c r="AE52" i="25"/>
  <c r="AD52" i="25"/>
  <c r="AB52" i="25"/>
  <c r="Y52" i="25"/>
  <c r="X52" i="25"/>
  <c r="W52" i="25"/>
  <c r="V52" i="25"/>
  <c r="U52" i="25"/>
  <c r="T52" i="25"/>
  <c r="S52" i="25"/>
  <c r="R52" i="25"/>
  <c r="N52" i="25"/>
  <c r="M52" i="25"/>
  <c r="L52" i="25"/>
  <c r="K52" i="25"/>
  <c r="J52" i="25"/>
  <c r="AL51" i="25"/>
  <c r="AK51" i="25"/>
  <c r="AJ51" i="25"/>
  <c r="AF51" i="25"/>
  <c r="AG51" i="25" s="1"/>
  <c r="AE51" i="25"/>
  <c r="J51" i="25"/>
  <c r="AL50" i="25"/>
  <c r="AK50" i="25"/>
  <c r="AJ50" i="25"/>
  <c r="AF50" i="25"/>
  <c r="AG50" i="25" s="1"/>
  <c r="AE50" i="25"/>
  <c r="J50" i="25"/>
  <c r="AL49" i="25"/>
  <c r="AK49" i="25"/>
  <c r="AJ49" i="25"/>
  <c r="AF49" i="25"/>
  <c r="AG49" i="25" s="1"/>
  <c r="AE49" i="25"/>
  <c r="J49" i="25"/>
  <c r="AL48" i="25"/>
  <c r="AK48" i="25"/>
  <c r="AJ48" i="25"/>
  <c r="AF48" i="25"/>
  <c r="AG48" i="25" s="1"/>
  <c r="AE48" i="25"/>
  <c r="J48" i="25"/>
  <c r="AL47" i="25"/>
  <c r="AK47" i="25"/>
  <c r="AJ47" i="25"/>
  <c r="AI47" i="25"/>
  <c r="AF47" i="25"/>
  <c r="AG47" i="25" s="1"/>
  <c r="AE47" i="25"/>
  <c r="AD47" i="25"/>
  <c r="AB47" i="25"/>
  <c r="Y47" i="25"/>
  <c r="X47" i="25"/>
  <c r="W47" i="25"/>
  <c r="V47" i="25"/>
  <c r="U47" i="25"/>
  <c r="T47" i="25"/>
  <c r="S47" i="25"/>
  <c r="R47" i="25"/>
  <c r="N47" i="25"/>
  <c r="M47" i="25"/>
  <c r="L47" i="25"/>
  <c r="K47" i="25"/>
  <c r="J47" i="25"/>
  <c r="AL46" i="25"/>
  <c r="AK46" i="25"/>
  <c r="AJ46" i="25"/>
  <c r="AI46" i="25"/>
  <c r="AF46" i="25"/>
  <c r="AG46" i="25" s="1"/>
  <c r="AE46" i="25"/>
  <c r="AD46" i="25"/>
  <c r="AB46" i="25"/>
  <c r="Y46" i="25"/>
  <c r="X46" i="25"/>
  <c r="W46" i="25"/>
  <c r="V46" i="25"/>
  <c r="U46" i="25"/>
  <c r="T46" i="25"/>
  <c r="S46" i="25"/>
  <c r="R46" i="25"/>
  <c r="N46" i="25"/>
  <c r="M46" i="25"/>
  <c r="L46" i="25"/>
  <c r="K46" i="25"/>
  <c r="J46" i="25"/>
  <c r="AL45" i="25"/>
  <c r="AK45" i="25"/>
  <c r="AJ45" i="25"/>
  <c r="AI45" i="25"/>
  <c r="AF45" i="25"/>
  <c r="AG45" i="25" s="1"/>
  <c r="AE45" i="25"/>
  <c r="AD45" i="25"/>
  <c r="AB45" i="25"/>
  <c r="Y45" i="25"/>
  <c r="X45" i="25"/>
  <c r="W45" i="25"/>
  <c r="V45" i="25"/>
  <c r="U45" i="25"/>
  <c r="T45" i="25"/>
  <c r="S45" i="25"/>
  <c r="R45" i="25"/>
  <c r="N45" i="25"/>
  <c r="M45" i="25"/>
  <c r="L45" i="25"/>
  <c r="K45" i="25"/>
  <c r="J45" i="25"/>
  <c r="AL44" i="25"/>
  <c r="AK44" i="25"/>
  <c r="AJ44" i="25"/>
  <c r="AF44" i="25"/>
  <c r="AG44" i="25" s="1"/>
  <c r="AE44" i="25"/>
  <c r="J44" i="25"/>
  <c r="AL43" i="25"/>
  <c r="AK43" i="25"/>
  <c r="AJ43" i="25"/>
  <c r="AI43" i="25"/>
  <c r="AF43" i="25"/>
  <c r="AG43" i="25" s="1"/>
  <c r="AE43" i="25"/>
  <c r="AD43" i="25"/>
  <c r="AB43" i="25"/>
  <c r="Y43" i="25"/>
  <c r="X43" i="25"/>
  <c r="W43" i="25"/>
  <c r="V43" i="25"/>
  <c r="U43" i="25"/>
  <c r="T43" i="25"/>
  <c r="S43" i="25"/>
  <c r="R43" i="25"/>
  <c r="N43" i="25"/>
  <c r="M43" i="25"/>
  <c r="L43" i="25"/>
  <c r="K43" i="25"/>
  <c r="J43" i="25"/>
  <c r="AL42" i="25"/>
  <c r="AK42" i="25"/>
  <c r="AJ42" i="25"/>
  <c r="AI42" i="25"/>
  <c r="AF42" i="25"/>
  <c r="AG42" i="25" s="1"/>
  <c r="AE42" i="25"/>
  <c r="AD42" i="25"/>
  <c r="AB42" i="25"/>
  <c r="Y42" i="25"/>
  <c r="X42" i="25"/>
  <c r="W42" i="25"/>
  <c r="V42" i="25"/>
  <c r="U42" i="25"/>
  <c r="T42" i="25"/>
  <c r="S42" i="25"/>
  <c r="R42" i="25"/>
  <c r="N42" i="25"/>
  <c r="M42" i="25"/>
  <c r="L42" i="25"/>
  <c r="K42" i="25"/>
  <c r="J42" i="25"/>
  <c r="AL41" i="25"/>
  <c r="AK41" i="25"/>
  <c r="AJ41" i="25"/>
  <c r="AI41" i="25"/>
  <c r="AF41" i="25"/>
  <c r="AG41" i="25" s="1"/>
  <c r="AE41" i="25"/>
  <c r="AD41" i="25"/>
  <c r="AB41" i="25"/>
  <c r="Y41" i="25"/>
  <c r="X41" i="25"/>
  <c r="W41" i="25"/>
  <c r="V41" i="25"/>
  <c r="U41" i="25"/>
  <c r="T41" i="25"/>
  <c r="S41" i="25"/>
  <c r="R41" i="25"/>
  <c r="N41" i="25"/>
  <c r="M41" i="25"/>
  <c r="L41" i="25"/>
  <c r="K41" i="25"/>
  <c r="J41" i="25"/>
  <c r="AL40" i="25"/>
  <c r="AK40" i="25"/>
  <c r="AJ40" i="25"/>
  <c r="AI40" i="25"/>
  <c r="AF40" i="25"/>
  <c r="AG40" i="25" s="1"/>
  <c r="AE40" i="25"/>
  <c r="AD40" i="25"/>
  <c r="AB40" i="25"/>
  <c r="Y40" i="25"/>
  <c r="X40" i="25"/>
  <c r="W40" i="25"/>
  <c r="V40" i="25"/>
  <c r="U40" i="25"/>
  <c r="T40" i="25"/>
  <c r="S40" i="25"/>
  <c r="R40" i="25"/>
  <c r="N40" i="25"/>
  <c r="M40" i="25"/>
  <c r="L40" i="25"/>
  <c r="K40" i="25"/>
  <c r="J40" i="25"/>
  <c r="AL39" i="25"/>
  <c r="AK39" i="25"/>
  <c r="AJ39" i="25"/>
  <c r="AI39" i="25"/>
  <c r="AF39" i="25"/>
  <c r="AG39" i="25" s="1"/>
  <c r="AE39" i="25"/>
  <c r="AD39" i="25"/>
  <c r="AB39" i="25"/>
  <c r="Y39" i="25"/>
  <c r="X39" i="25"/>
  <c r="W39" i="25"/>
  <c r="V39" i="25"/>
  <c r="U39" i="25"/>
  <c r="T39" i="25"/>
  <c r="S39" i="25"/>
  <c r="R39" i="25"/>
  <c r="N39" i="25"/>
  <c r="M39" i="25"/>
  <c r="L39" i="25"/>
  <c r="K39" i="25"/>
  <c r="J39" i="25"/>
  <c r="AL38" i="25"/>
  <c r="AK38" i="25"/>
  <c r="AJ38" i="25"/>
  <c r="AF38" i="25"/>
  <c r="AG38" i="25" s="1"/>
  <c r="AE38" i="25"/>
  <c r="J38" i="25"/>
  <c r="AL37" i="25"/>
  <c r="AK37" i="25"/>
  <c r="AJ37" i="25"/>
  <c r="AI37" i="25"/>
  <c r="AF37" i="25"/>
  <c r="AG37" i="25" s="1"/>
  <c r="AE37" i="25"/>
  <c r="AD37" i="25"/>
  <c r="AB37" i="25"/>
  <c r="Y37" i="25"/>
  <c r="X37" i="25"/>
  <c r="W37" i="25"/>
  <c r="V37" i="25"/>
  <c r="U37" i="25"/>
  <c r="T37" i="25"/>
  <c r="S37" i="25"/>
  <c r="R37" i="25"/>
  <c r="N37" i="25"/>
  <c r="M37" i="25"/>
  <c r="L37" i="25"/>
  <c r="K37" i="25"/>
  <c r="J37" i="25"/>
  <c r="AL36" i="25"/>
  <c r="AK36" i="25"/>
  <c r="AJ36" i="25"/>
  <c r="AI36" i="25"/>
  <c r="AF36" i="25"/>
  <c r="AG36" i="25" s="1"/>
  <c r="AE36" i="25"/>
  <c r="AD36" i="25"/>
  <c r="AB36" i="25"/>
  <c r="Y36" i="25"/>
  <c r="X36" i="25"/>
  <c r="W36" i="25"/>
  <c r="V36" i="25"/>
  <c r="U36" i="25"/>
  <c r="T36" i="25"/>
  <c r="S36" i="25"/>
  <c r="R36" i="25"/>
  <c r="N36" i="25"/>
  <c r="M36" i="25"/>
  <c r="L36" i="25"/>
  <c r="K36" i="25"/>
  <c r="J36" i="25"/>
  <c r="AL35" i="25"/>
  <c r="AK35" i="25"/>
  <c r="AJ35" i="25"/>
  <c r="AI35" i="25"/>
  <c r="AF35" i="25"/>
  <c r="AG35" i="25" s="1"/>
  <c r="AE35" i="25"/>
  <c r="AD35" i="25"/>
  <c r="AB35" i="25"/>
  <c r="Y35" i="25"/>
  <c r="X35" i="25"/>
  <c r="W35" i="25"/>
  <c r="V35" i="25"/>
  <c r="U35" i="25"/>
  <c r="T35" i="25"/>
  <c r="S35" i="25"/>
  <c r="R35" i="25"/>
  <c r="N35" i="25"/>
  <c r="M35" i="25"/>
  <c r="L35" i="25"/>
  <c r="K35" i="25"/>
  <c r="J35" i="25"/>
  <c r="AL34" i="25"/>
  <c r="AK34" i="25"/>
  <c r="AJ34" i="25"/>
  <c r="AI34" i="25"/>
  <c r="AF34" i="25"/>
  <c r="AG34" i="25" s="1"/>
  <c r="AE34" i="25"/>
  <c r="AD34" i="25"/>
  <c r="AB34" i="25"/>
  <c r="Y34" i="25"/>
  <c r="X34" i="25"/>
  <c r="W34" i="25"/>
  <c r="V34" i="25"/>
  <c r="U34" i="25"/>
  <c r="T34" i="25"/>
  <c r="S34" i="25"/>
  <c r="R34" i="25"/>
  <c r="N34" i="25"/>
  <c r="M34" i="25"/>
  <c r="L34" i="25"/>
  <c r="K34" i="25"/>
  <c r="J34" i="25"/>
  <c r="AL33" i="25"/>
  <c r="AK33" i="25"/>
  <c r="AJ33" i="25"/>
  <c r="AF33" i="25"/>
  <c r="AG33" i="25" s="1"/>
  <c r="AE33" i="25"/>
  <c r="J33" i="25"/>
  <c r="AL32" i="25"/>
  <c r="AK32" i="25"/>
  <c r="AJ32" i="25"/>
  <c r="AF32" i="25"/>
  <c r="AG32" i="25" s="1"/>
  <c r="AE32" i="25"/>
  <c r="J32" i="25"/>
  <c r="AL31" i="25"/>
  <c r="AK31" i="25"/>
  <c r="AJ31" i="25"/>
  <c r="AI31" i="25"/>
  <c r="AF31" i="25"/>
  <c r="AG31" i="25" s="1"/>
  <c r="AE31" i="25"/>
  <c r="AD31" i="25"/>
  <c r="AB31" i="25"/>
  <c r="Y31" i="25"/>
  <c r="X31" i="25"/>
  <c r="W31" i="25"/>
  <c r="V31" i="25"/>
  <c r="U31" i="25"/>
  <c r="T31" i="25"/>
  <c r="S31" i="25"/>
  <c r="R31" i="25"/>
  <c r="N31" i="25"/>
  <c r="M31" i="25"/>
  <c r="L31" i="25"/>
  <c r="K31" i="25"/>
  <c r="J31" i="25"/>
  <c r="AL30" i="25"/>
  <c r="AK30" i="25"/>
  <c r="AJ30" i="25"/>
  <c r="AI30" i="25"/>
  <c r="AF30" i="25"/>
  <c r="AG30" i="25" s="1"/>
  <c r="AE30" i="25"/>
  <c r="AD30" i="25"/>
  <c r="AB30" i="25"/>
  <c r="Y30" i="25"/>
  <c r="X30" i="25"/>
  <c r="W30" i="25"/>
  <c r="V30" i="25"/>
  <c r="U30" i="25"/>
  <c r="T30" i="25"/>
  <c r="S30" i="25"/>
  <c r="R30" i="25"/>
  <c r="N30" i="25"/>
  <c r="M30" i="25"/>
  <c r="L30" i="25"/>
  <c r="K30" i="25"/>
  <c r="J30" i="25"/>
  <c r="AL29" i="25"/>
  <c r="AK29" i="25"/>
  <c r="AJ29" i="25"/>
  <c r="AI29" i="25"/>
  <c r="AF29" i="25"/>
  <c r="AG29" i="25" s="1"/>
  <c r="AE29" i="25"/>
  <c r="AD29" i="25"/>
  <c r="AB29" i="25"/>
  <c r="Y29" i="25"/>
  <c r="X29" i="25"/>
  <c r="W29" i="25"/>
  <c r="V29" i="25"/>
  <c r="U29" i="25"/>
  <c r="P29" i="25"/>
  <c r="O29" i="25"/>
  <c r="N29" i="25"/>
  <c r="M29" i="25"/>
  <c r="L29" i="25"/>
  <c r="K29" i="25"/>
  <c r="J29" i="25"/>
  <c r="AL28" i="25"/>
  <c r="AK28" i="25"/>
  <c r="AJ28" i="25"/>
  <c r="AI28" i="25"/>
  <c r="AF28" i="25"/>
  <c r="AG28" i="25" s="1"/>
  <c r="AE28" i="25"/>
  <c r="AD28" i="25"/>
  <c r="AB28" i="25"/>
  <c r="Y28" i="25"/>
  <c r="X28" i="25"/>
  <c r="W28" i="25"/>
  <c r="V28" i="25"/>
  <c r="U28" i="25"/>
  <c r="P28" i="25"/>
  <c r="O28" i="25"/>
  <c r="N28" i="25"/>
  <c r="M28" i="25"/>
  <c r="L28" i="25"/>
  <c r="K28" i="25"/>
  <c r="J28" i="25"/>
  <c r="AL27" i="25"/>
  <c r="AK27" i="25"/>
  <c r="AJ27" i="25"/>
  <c r="AI27" i="25"/>
  <c r="AF27" i="25"/>
  <c r="AG27" i="25" s="1"/>
  <c r="AE27" i="25"/>
  <c r="AD27" i="25"/>
  <c r="AB27" i="25"/>
  <c r="X27" i="25"/>
  <c r="N27" i="25"/>
  <c r="M27" i="25"/>
  <c r="L27" i="25"/>
  <c r="K27" i="25"/>
  <c r="J27" i="25"/>
  <c r="AL26" i="25"/>
  <c r="AK26" i="25"/>
  <c r="AJ26" i="25"/>
  <c r="AI26" i="25"/>
  <c r="AF26" i="25"/>
  <c r="AG26" i="25" s="1"/>
  <c r="AE26" i="25"/>
  <c r="AD26" i="25"/>
  <c r="AB26" i="25"/>
  <c r="X26" i="25"/>
  <c r="N26" i="25"/>
  <c r="M26" i="25"/>
  <c r="L26" i="25"/>
  <c r="K26" i="25"/>
  <c r="J26" i="25"/>
  <c r="AL25" i="25"/>
  <c r="AK25" i="25"/>
  <c r="AJ25" i="25"/>
  <c r="AI25" i="25"/>
  <c r="AF25" i="25"/>
  <c r="AG25" i="25" s="1"/>
  <c r="AE25" i="25"/>
  <c r="AD25" i="25"/>
  <c r="AB25" i="25"/>
  <c r="X25" i="25"/>
  <c r="N25" i="25"/>
  <c r="M25" i="25"/>
  <c r="L25" i="25"/>
  <c r="K25" i="25"/>
  <c r="J25" i="25"/>
  <c r="AL24" i="25"/>
  <c r="AK24" i="25"/>
  <c r="AJ24" i="25"/>
  <c r="AI24" i="25"/>
  <c r="AF24" i="25"/>
  <c r="AG24" i="25" s="1"/>
  <c r="AE24" i="25"/>
  <c r="AD24" i="25"/>
  <c r="AB24" i="25"/>
  <c r="X24" i="25"/>
  <c r="P24" i="25"/>
  <c r="O24" i="25"/>
  <c r="N24" i="25"/>
  <c r="M24" i="25"/>
  <c r="L24" i="25"/>
  <c r="K24" i="25"/>
  <c r="J24" i="25"/>
  <c r="AL23" i="25"/>
  <c r="AK23" i="25"/>
  <c r="AJ23" i="25"/>
  <c r="AI23" i="25"/>
  <c r="AF23" i="25"/>
  <c r="AG23" i="25" s="1"/>
  <c r="AE23" i="25"/>
  <c r="AD23" i="25"/>
  <c r="AB23" i="25"/>
  <c r="X23" i="25"/>
  <c r="N23" i="25"/>
  <c r="M23" i="25"/>
  <c r="L23" i="25"/>
  <c r="K23" i="25"/>
  <c r="J23" i="25"/>
  <c r="AL22" i="25"/>
  <c r="AK22" i="25"/>
  <c r="AJ22" i="25"/>
  <c r="AI22" i="25"/>
  <c r="AF22" i="25"/>
  <c r="AG22" i="25" s="1"/>
  <c r="AE22" i="25"/>
  <c r="AD22" i="25"/>
  <c r="AB22" i="25"/>
  <c r="X22" i="25"/>
  <c r="P22" i="25"/>
  <c r="N22" i="25"/>
  <c r="M22" i="25"/>
  <c r="L22" i="25"/>
  <c r="K22" i="25"/>
  <c r="J22" i="25"/>
  <c r="AL21" i="25"/>
  <c r="AK21" i="25"/>
  <c r="AJ21" i="25"/>
  <c r="AI21" i="25"/>
  <c r="AF21" i="25"/>
  <c r="AG21" i="25" s="1"/>
  <c r="AE21" i="25"/>
  <c r="AD21" i="25"/>
  <c r="AB21" i="25"/>
  <c r="X21" i="25"/>
  <c r="S21" i="25"/>
  <c r="Q21" i="25"/>
  <c r="P21" i="25"/>
  <c r="N21" i="25"/>
  <c r="M21" i="25"/>
  <c r="L21" i="25"/>
  <c r="K21" i="25"/>
  <c r="J21" i="25"/>
  <c r="AL20" i="25"/>
  <c r="AK20" i="25"/>
  <c r="AJ20" i="25"/>
  <c r="AI20" i="25"/>
  <c r="AF20" i="25"/>
  <c r="AG20" i="25" s="1"/>
  <c r="AE20" i="25"/>
  <c r="AD20" i="25"/>
  <c r="AB20" i="25"/>
  <c r="X20" i="25"/>
  <c r="N20" i="25"/>
  <c r="M20" i="25"/>
  <c r="L20" i="25"/>
  <c r="K20" i="25"/>
  <c r="J20" i="25"/>
  <c r="AL19" i="25"/>
  <c r="AK19" i="25"/>
  <c r="AJ19" i="25"/>
  <c r="AI19" i="25"/>
  <c r="AF19" i="25"/>
  <c r="AG19" i="25" s="1"/>
  <c r="AE19" i="25"/>
  <c r="AD19" i="25"/>
  <c r="AB19" i="25"/>
  <c r="X19" i="25"/>
  <c r="N19" i="25"/>
  <c r="M19" i="25"/>
  <c r="L19" i="25"/>
  <c r="K19" i="25"/>
  <c r="J19" i="25"/>
  <c r="AL18" i="25"/>
  <c r="AK18" i="25"/>
  <c r="AJ18" i="25"/>
  <c r="AI18" i="25"/>
  <c r="AF18" i="25"/>
  <c r="AG18" i="25" s="1"/>
  <c r="AE18" i="25"/>
  <c r="AD18" i="25"/>
  <c r="AB18" i="25"/>
  <c r="X18" i="25"/>
  <c r="S18" i="25"/>
  <c r="N18" i="25"/>
  <c r="M18" i="25"/>
  <c r="L18" i="25"/>
  <c r="K18" i="25"/>
  <c r="J18" i="25"/>
  <c r="AL17" i="25"/>
  <c r="AK17" i="25"/>
  <c r="AJ17" i="25"/>
  <c r="AI17" i="25"/>
  <c r="AF17" i="25"/>
  <c r="AG17" i="25" s="1"/>
  <c r="AE17" i="25"/>
  <c r="AD17" i="25"/>
  <c r="AB17" i="25"/>
  <c r="X17" i="25"/>
  <c r="N17" i="25"/>
  <c r="M17" i="25"/>
  <c r="L17" i="25"/>
  <c r="K17" i="25"/>
  <c r="J17" i="25"/>
  <c r="AL16" i="25"/>
  <c r="AK16" i="25"/>
  <c r="AJ16" i="25"/>
  <c r="AI16" i="25"/>
  <c r="AF16" i="25"/>
  <c r="AG16" i="25" s="1"/>
  <c r="AD16" i="25"/>
  <c r="AB16" i="25"/>
  <c r="X16" i="25"/>
  <c r="N16" i="25"/>
  <c r="M16" i="25"/>
  <c r="L16" i="25"/>
  <c r="K16" i="25"/>
  <c r="J16" i="25"/>
  <c r="AL15" i="25"/>
  <c r="AK15" i="25"/>
  <c r="AJ15" i="25"/>
  <c r="AI15" i="25"/>
  <c r="AF15" i="25"/>
  <c r="AG15" i="25" s="1"/>
  <c r="AE15" i="25"/>
  <c r="AD15" i="25"/>
  <c r="AB15" i="25"/>
  <c r="X15" i="25"/>
  <c r="N15" i="25"/>
  <c r="M15" i="25"/>
  <c r="L15" i="25"/>
  <c r="K15" i="25"/>
  <c r="J15" i="25"/>
  <c r="AL14" i="25"/>
  <c r="AK14" i="25"/>
  <c r="AJ14" i="25"/>
  <c r="AI14" i="25"/>
  <c r="AF14" i="25"/>
  <c r="AG14" i="25" s="1"/>
  <c r="AE14" i="25"/>
  <c r="AD14" i="25"/>
  <c r="AB14" i="25"/>
  <c r="X14" i="25"/>
  <c r="N14" i="25"/>
  <c r="M14" i="25"/>
  <c r="L14" i="25"/>
  <c r="K14" i="25"/>
  <c r="J14" i="25"/>
  <c r="AL13" i="25"/>
  <c r="AK13" i="25"/>
  <c r="AJ13" i="25"/>
  <c r="AI13" i="25"/>
  <c r="AF13" i="25"/>
  <c r="AG13" i="25" s="1"/>
  <c r="AE13" i="25"/>
  <c r="AD13" i="25"/>
  <c r="AB13" i="25"/>
  <c r="X13" i="25"/>
  <c r="N13" i="25"/>
  <c r="M13" i="25"/>
  <c r="L13" i="25"/>
  <c r="K13" i="25"/>
  <c r="J13" i="25"/>
  <c r="AL12" i="25"/>
  <c r="AK12" i="25"/>
  <c r="AJ12" i="25"/>
  <c r="AI12" i="25"/>
  <c r="AF12" i="25"/>
  <c r="AG12" i="25" s="1"/>
  <c r="AE12" i="25"/>
  <c r="AD12" i="25"/>
  <c r="AB12" i="25"/>
  <c r="X12" i="25"/>
  <c r="N12" i="25"/>
  <c r="M12" i="25"/>
  <c r="L12" i="25"/>
  <c r="K12" i="25"/>
  <c r="J12" i="25"/>
  <c r="AL11" i="25"/>
  <c r="AK11" i="25"/>
  <c r="AJ11" i="25"/>
  <c r="AI11" i="25"/>
  <c r="AF11" i="25"/>
  <c r="AG11" i="25" s="1"/>
  <c r="AE11" i="25"/>
  <c r="AD11" i="25"/>
  <c r="AB11" i="25"/>
  <c r="X11" i="25"/>
  <c r="N11" i="25"/>
  <c r="M11" i="25"/>
  <c r="L11" i="25"/>
  <c r="K11" i="25"/>
  <c r="J11" i="25"/>
  <c r="AL10" i="25"/>
  <c r="AK10" i="25"/>
  <c r="AJ10" i="25"/>
  <c r="AI10" i="25"/>
  <c r="AF10" i="25"/>
  <c r="AG10" i="25" s="1"/>
  <c r="AE10" i="25"/>
  <c r="AD10" i="25"/>
  <c r="AB10" i="25"/>
  <c r="X10" i="25"/>
  <c r="N10" i="25"/>
  <c r="M10" i="25"/>
  <c r="L10" i="25"/>
  <c r="K10" i="25"/>
  <c r="J10" i="25"/>
  <c r="AN9" i="25"/>
  <c r="AL9" i="25"/>
  <c r="AK9" i="25"/>
  <c r="AJ9" i="25"/>
  <c r="AI9" i="25"/>
  <c r="AF9" i="25"/>
  <c r="AG9" i="25" s="1"/>
  <c r="AE9" i="25"/>
  <c r="AD9" i="25"/>
  <c r="AB9" i="25"/>
  <c r="X9" i="25"/>
  <c r="N9" i="25"/>
  <c r="M9" i="25"/>
  <c r="L9" i="25"/>
  <c r="K9" i="25"/>
  <c r="J9" i="25"/>
  <c r="AN8" i="25"/>
  <c r="AL8" i="25"/>
  <c r="AK8" i="25"/>
  <c r="AJ8" i="25"/>
  <c r="AI8" i="25"/>
  <c r="AF8" i="25"/>
  <c r="AG8" i="25" s="1"/>
  <c r="AE8" i="25"/>
  <c r="AD8" i="25"/>
  <c r="AB8" i="25"/>
  <c r="X8" i="25"/>
  <c r="N8" i="25"/>
  <c r="M8" i="25"/>
  <c r="L8" i="25"/>
  <c r="K8" i="25"/>
  <c r="J8" i="25"/>
  <c r="AL7" i="25"/>
  <c r="AK7" i="25"/>
  <c r="AJ7" i="25"/>
  <c r="AI7" i="25"/>
  <c r="AF7" i="25"/>
  <c r="AE7" i="25"/>
  <c r="AD7" i="25"/>
  <c r="AB7" i="25"/>
  <c r="X7" i="25"/>
  <c r="N7" i="25"/>
  <c r="M7" i="25"/>
  <c r="L7" i="25"/>
  <c r="K7" i="25"/>
  <c r="J7" i="25"/>
  <c r="AL6" i="25"/>
  <c r="AK6" i="25"/>
  <c r="AJ6" i="25"/>
  <c r="AI6" i="25"/>
  <c r="AF6" i="25"/>
  <c r="AG6" i="25" s="1"/>
  <c r="AE6" i="25"/>
  <c r="AD6" i="25"/>
  <c r="AB6" i="25"/>
  <c r="X6" i="25"/>
  <c r="P6" i="25"/>
  <c r="O6" i="25"/>
  <c r="N6" i="25"/>
  <c r="M6" i="25"/>
  <c r="L6" i="25"/>
  <c r="K6" i="25"/>
  <c r="J6" i="25"/>
  <c r="AT85" i="24"/>
  <c r="AS84" i="24"/>
  <c r="AS82" i="24"/>
  <c r="AL68" i="24"/>
  <c r="AT67" i="24"/>
  <c r="AS67" i="24"/>
  <c r="AR67" i="24"/>
  <c r="AQ67" i="24"/>
  <c r="AN67" i="24"/>
  <c r="AL67" i="24"/>
  <c r="AJ67" i="24"/>
  <c r="AE67" i="24"/>
  <c r="AD67" i="24"/>
  <c r="AC67" i="24"/>
  <c r="AB67" i="24"/>
  <c r="AA67" i="24"/>
  <c r="Z67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AT66" i="24"/>
  <c r="AS66" i="24"/>
  <c r="AR66" i="24"/>
  <c r="AQ66" i="24"/>
  <c r="AF66" i="24"/>
  <c r="AG66" i="24" s="1"/>
  <c r="AE66" i="24"/>
  <c r="AD66" i="24"/>
  <c r="AB66" i="24"/>
  <c r="X66" i="24"/>
  <c r="U66" i="24"/>
  <c r="Q66" i="24"/>
  <c r="P66" i="24"/>
  <c r="O66" i="24"/>
  <c r="N66" i="24"/>
  <c r="M66" i="24"/>
  <c r="L66" i="24"/>
  <c r="K66" i="24"/>
  <c r="J66" i="24"/>
  <c r="AT65" i="24"/>
  <c r="AS65" i="24"/>
  <c r="AR65" i="24"/>
  <c r="AQ65" i="24"/>
  <c r="AF65" i="24"/>
  <c r="AG65" i="24" s="1"/>
  <c r="AE65" i="24"/>
  <c r="AD65" i="24"/>
  <c r="AB65" i="24"/>
  <c r="X65" i="24"/>
  <c r="Q65" i="24"/>
  <c r="P65" i="24"/>
  <c r="O65" i="24"/>
  <c r="N65" i="24"/>
  <c r="M65" i="24"/>
  <c r="L65" i="24"/>
  <c r="K65" i="24"/>
  <c r="J65" i="24"/>
  <c r="AT64" i="24"/>
  <c r="AS64" i="24"/>
  <c r="AR64" i="24"/>
  <c r="AQ64" i="24"/>
  <c r="AM64" i="24"/>
  <c r="AF64" i="24"/>
  <c r="AG64" i="24" s="1"/>
  <c r="AE64" i="24"/>
  <c r="AD64" i="24"/>
  <c r="AB64" i="24"/>
  <c r="X64" i="24"/>
  <c r="Q64" i="24"/>
  <c r="P64" i="24"/>
  <c r="O64" i="24"/>
  <c r="N64" i="24"/>
  <c r="M64" i="24"/>
  <c r="L64" i="24"/>
  <c r="K64" i="24"/>
  <c r="J64" i="24"/>
  <c r="AT63" i="24"/>
  <c r="AS63" i="24"/>
  <c r="AR63" i="24"/>
  <c r="AQ63" i="24"/>
  <c r="AF63" i="24"/>
  <c r="AG63" i="24" s="1"/>
  <c r="AE63" i="24"/>
  <c r="AD63" i="24"/>
  <c r="AB63" i="24"/>
  <c r="X63" i="24"/>
  <c r="Q63" i="24"/>
  <c r="P63" i="24"/>
  <c r="O63" i="24"/>
  <c r="N63" i="24"/>
  <c r="M63" i="24"/>
  <c r="L63" i="24"/>
  <c r="K63" i="24"/>
  <c r="J63" i="24"/>
  <c r="AT62" i="24"/>
  <c r="AS62" i="24"/>
  <c r="AR62" i="24"/>
  <c r="AQ62" i="24"/>
  <c r="AM62" i="24"/>
  <c r="AF62" i="24"/>
  <c r="AG62" i="24" s="1"/>
  <c r="AE62" i="24"/>
  <c r="AD62" i="24"/>
  <c r="AB62" i="24"/>
  <c r="Y62" i="24"/>
  <c r="X62" i="24"/>
  <c r="W62" i="24"/>
  <c r="V62" i="24"/>
  <c r="U62" i="24"/>
  <c r="T62" i="24"/>
  <c r="S62" i="24"/>
  <c r="R62" i="24"/>
  <c r="Q62" i="24"/>
  <c r="P62" i="24"/>
  <c r="N62" i="24"/>
  <c r="M62" i="24"/>
  <c r="L62" i="24"/>
  <c r="K62" i="24"/>
  <c r="J62" i="24"/>
  <c r="AT61" i="24"/>
  <c r="AS61" i="24"/>
  <c r="AR61" i="24"/>
  <c r="AQ61" i="24"/>
  <c r="AF61" i="24"/>
  <c r="AG61" i="24" s="1"/>
  <c r="AE61" i="24"/>
  <c r="AD61" i="24"/>
  <c r="AB61" i="24"/>
  <c r="Y61" i="24"/>
  <c r="X61" i="24"/>
  <c r="W61" i="24"/>
  <c r="V61" i="24"/>
  <c r="U61" i="24"/>
  <c r="T61" i="24"/>
  <c r="S61" i="24"/>
  <c r="R61" i="24"/>
  <c r="Q61" i="24"/>
  <c r="P61" i="24"/>
  <c r="N61" i="24"/>
  <c r="M61" i="24"/>
  <c r="L61" i="24"/>
  <c r="K61" i="24"/>
  <c r="J61" i="24"/>
  <c r="AT60" i="24"/>
  <c r="AS60" i="24"/>
  <c r="AR60" i="24"/>
  <c r="AQ60" i="24"/>
  <c r="AM60" i="24"/>
  <c r="AF60" i="24"/>
  <c r="AG60" i="24" s="1"/>
  <c r="AE60" i="24"/>
  <c r="AB60" i="24"/>
  <c r="Y60" i="24"/>
  <c r="X60" i="24"/>
  <c r="W60" i="24"/>
  <c r="V60" i="24"/>
  <c r="U60" i="24"/>
  <c r="T60" i="24"/>
  <c r="S60" i="24"/>
  <c r="R60" i="24"/>
  <c r="Q60" i="24"/>
  <c r="P60" i="24"/>
  <c r="N60" i="24"/>
  <c r="M60" i="24"/>
  <c r="L60" i="24"/>
  <c r="K60" i="24"/>
  <c r="J60" i="24"/>
  <c r="AT59" i="24"/>
  <c r="AS59" i="24"/>
  <c r="AR59" i="24"/>
  <c r="AQ59" i="24"/>
  <c r="AF59" i="24"/>
  <c r="AG59" i="24" s="1"/>
  <c r="AE59" i="24"/>
  <c r="AB59" i="24"/>
  <c r="Y59" i="24"/>
  <c r="X59" i="24"/>
  <c r="W59" i="24"/>
  <c r="V59" i="24"/>
  <c r="U59" i="24"/>
  <c r="T59" i="24"/>
  <c r="S59" i="24"/>
  <c r="R59" i="24"/>
  <c r="Q59" i="24"/>
  <c r="P59" i="24"/>
  <c r="N59" i="24"/>
  <c r="M59" i="24"/>
  <c r="L59" i="24"/>
  <c r="K59" i="24"/>
  <c r="J59" i="24"/>
  <c r="AT58" i="24"/>
  <c r="AS58" i="24"/>
  <c r="AR58" i="24"/>
  <c r="AQ58" i="24"/>
  <c r="AF58" i="24"/>
  <c r="AG58" i="24" s="1"/>
  <c r="AE58" i="24"/>
  <c r="AD58" i="24"/>
  <c r="AB58" i="24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AT57" i="24"/>
  <c r="AS57" i="24"/>
  <c r="AR57" i="24"/>
  <c r="AQ57" i="24"/>
  <c r="AF57" i="24"/>
  <c r="AG57" i="24" s="1"/>
  <c r="AE57" i="24"/>
  <c r="AD57" i="24"/>
  <c r="AB57" i="24"/>
  <c r="Y57" i="24"/>
  <c r="X57" i="24"/>
  <c r="W57" i="24"/>
  <c r="V57" i="24"/>
  <c r="U57" i="24"/>
  <c r="T57" i="24"/>
  <c r="S57" i="24"/>
  <c r="R57" i="24"/>
  <c r="Q57" i="24"/>
  <c r="P57" i="24"/>
  <c r="N57" i="24"/>
  <c r="M57" i="24"/>
  <c r="L57" i="24"/>
  <c r="K57" i="24"/>
  <c r="J57" i="24"/>
  <c r="AT56" i="24"/>
  <c r="AS56" i="24"/>
  <c r="AR56" i="24"/>
  <c r="AQ56" i="24"/>
  <c r="AM56" i="24"/>
  <c r="AF56" i="24"/>
  <c r="AG56" i="24" s="1"/>
  <c r="AE56" i="24"/>
  <c r="AD56" i="24"/>
  <c r="AB56" i="24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AT55" i="24"/>
  <c r="AS55" i="24"/>
  <c r="AR55" i="24"/>
  <c r="AQ55" i="24"/>
  <c r="AM55" i="24"/>
  <c r="AF55" i="24"/>
  <c r="AG55" i="24" s="1"/>
  <c r="AE55" i="24"/>
  <c r="AD55" i="24"/>
  <c r="AB55" i="24"/>
  <c r="Y55" i="24"/>
  <c r="X55" i="24"/>
  <c r="W55" i="24"/>
  <c r="V55" i="24"/>
  <c r="U55" i="24"/>
  <c r="T55" i="24"/>
  <c r="S55" i="24"/>
  <c r="R55" i="24"/>
  <c r="Q55" i="24"/>
  <c r="P55" i="24"/>
  <c r="N55" i="24"/>
  <c r="M55" i="24"/>
  <c r="L55" i="24"/>
  <c r="K55" i="24"/>
  <c r="J55" i="24"/>
  <c r="AT54" i="24"/>
  <c r="AS54" i="24"/>
  <c r="AR54" i="24"/>
  <c r="AQ54" i="24"/>
  <c r="AF54" i="24"/>
  <c r="AG54" i="24" s="1"/>
  <c r="AE54" i="24"/>
  <c r="AD54" i="24"/>
  <c r="AB54" i="24"/>
  <c r="Y54" i="24"/>
  <c r="X54" i="24"/>
  <c r="W54" i="24"/>
  <c r="V54" i="24"/>
  <c r="U54" i="24"/>
  <c r="T54" i="24"/>
  <c r="S54" i="24"/>
  <c r="R54" i="24"/>
  <c r="Q54" i="24"/>
  <c r="P54" i="24"/>
  <c r="N54" i="24"/>
  <c r="M54" i="24"/>
  <c r="L54" i="24"/>
  <c r="K54" i="24"/>
  <c r="J54" i="24"/>
  <c r="AT53" i="24"/>
  <c r="AS53" i="24"/>
  <c r="AR53" i="24"/>
  <c r="AQ53" i="24"/>
  <c r="AF53" i="24"/>
  <c r="AG53" i="24" s="1"/>
  <c r="AE53" i="24"/>
  <c r="AD53" i="24"/>
  <c r="AB53" i="24"/>
  <c r="Y53" i="24"/>
  <c r="X53" i="24"/>
  <c r="W53" i="24"/>
  <c r="V53" i="24"/>
  <c r="U53" i="24"/>
  <c r="T53" i="24"/>
  <c r="S53" i="24"/>
  <c r="R53" i="24"/>
  <c r="Q53" i="24"/>
  <c r="P53" i="24"/>
  <c r="N53" i="24"/>
  <c r="M53" i="24"/>
  <c r="L53" i="24"/>
  <c r="K53" i="24"/>
  <c r="J53" i="24"/>
  <c r="AT52" i="24"/>
  <c r="AS52" i="24"/>
  <c r="AR52" i="24"/>
  <c r="AQ52" i="24"/>
  <c r="AF52" i="24"/>
  <c r="AG52" i="24" s="1"/>
  <c r="AE52" i="24"/>
  <c r="AD52" i="24"/>
  <c r="AB52" i="24"/>
  <c r="Y52" i="24"/>
  <c r="X52" i="24"/>
  <c r="W52" i="24"/>
  <c r="V52" i="24"/>
  <c r="U52" i="24"/>
  <c r="T52" i="24"/>
  <c r="S52" i="24"/>
  <c r="R52" i="24"/>
  <c r="Q52" i="24"/>
  <c r="P52" i="24"/>
  <c r="N52" i="24"/>
  <c r="M52" i="24"/>
  <c r="L52" i="24"/>
  <c r="K52" i="24"/>
  <c r="J52" i="24"/>
  <c r="AT51" i="24"/>
  <c r="AS51" i="24"/>
  <c r="AR51" i="24"/>
  <c r="AF51" i="24"/>
  <c r="AG51" i="24" s="1"/>
  <c r="AE51" i="24"/>
  <c r="J51" i="24"/>
  <c r="AT50" i="24"/>
  <c r="AS50" i="24"/>
  <c r="AR50" i="24"/>
  <c r="AM50" i="24"/>
  <c r="AF50" i="24"/>
  <c r="AG50" i="24" s="1"/>
  <c r="AE50" i="24"/>
  <c r="J50" i="24"/>
  <c r="AT49" i="24"/>
  <c r="AS49" i="24"/>
  <c r="AR49" i="24"/>
  <c r="AF49" i="24"/>
  <c r="AG49" i="24" s="1"/>
  <c r="AE49" i="24"/>
  <c r="J49" i="24"/>
  <c r="AT48" i="24"/>
  <c r="AS48" i="24"/>
  <c r="AR48" i="24"/>
  <c r="AF48" i="24"/>
  <c r="AG48" i="24" s="1"/>
  <c r="AE48" i="24"/>
  <c r="J48" i="24"/>
  <c r="AT47" i="24"/>
  <c r="AS47" i="24"/>
  <c r="AR47" i="24"/>
  <c r="AQ47" i="24"/>
  <c r="AF47" i="24"/>
  <c r="AG47" i="24" s="1"/>
  <c r="AE47" i="24"/>
  <c r="AD47" i="24"/>
  <c r="AB47" i="24"/>
  <c r="Y47" i="24"/>
  <c r="X47" i="24"/>
  <c r="W47" i="24"/>
  <c r="V47" i="24"/>
  <c r="U47" i="24"/>
  <c r="T47" i="24"/>
  <c r="S47" i="24"/>
  <c r="R47" i="24"/>
  <c r="Q47" i="24"/>
  <c r="P47" i="24"/>
  <c r="N47" i="24"/>
  <c r="M47" i="24"/>
  <c r="L47" i="24"/>
  <c r="K47" i="24"/>
  <c r="J47" i="24"/>
  <c r="AT46" i="24"/>
  <c r="AS46" i="24"/>
  <c r="AR46" i="24"/>
  <c r="AQ46" i="24"/>
  <c r="AM46" i="24"/>
  <c r="AF46" i="24"/>
  <c r="AG46" i="24" s="1"/>
  <c r="AE46" i="24"/>
  <c r="AD46" i="24"/>
  <c r="AB46" i="24"/>
  <c r="Y46" i="24"/>
  <c r="X46" i="24"/>
  <c r="W46" i="24"/>
  <c r="V46" i="24"/>
  <c r="U46" i="24"/>
  <c r="T46" i="24"/>
  <c r="S46" i="24"/>
  <c r="R46" i="24"/>
  <c r="Q46" i="24"/>
  <c r="P46" i="24"/>
  <c r="N46" i="24"/>
  <c r="M46" i="24"/>
  <c r="L46" i="24"/>
  <c r="K46" i="24"/>
  <c r="J46" i="24"/>
  <c r="AT45" i="24"/>
  <c r="AS45" i="24"/>
  <c r="AR45" i="24"/>
  <c r="AQ45" i="24"/>
  <c r="AF45" i="24"/>
  <c r="AG45" i="24" s="1"/>
  <c r="AE45" i="24"/>
  <c r="AD45" i="24"/>
  <c r="AB45" i="24"/>
  <c r="Y45" i="24"/>
  <c r="X45" i="24"/>
  <c r="W45" i="24"/>
  <c r="V45" i="24"/>
  <c r="U45" i="24"/>
  <c r="T45" i="24"/>
  <c r="S45" i="24"/>
  <c r="R45" i="24"/>
  <c r="Q45" i="24"/>
  <c r="P45" i="24"/>
  <c r="N45" i="24"/>
  <c r="M45" i="24"/>
  <c r="L45" i="24"/>
  <c r="K45" i="24"/>
  <c r="J45" i="24"/>
  <c r="AT44" i="24"/>
  <c r="AS44" i="24"/>
  <c r="AR44" i="24"/>
  <c r="AF44" i="24"/>
  <c r="AG44" i="24" s="1"/>
  <c r="AE44" i="24"/>
  <c r="J44" i="24"/>
  <c r="AT43" i="24"/>
  <c r="AS43" i="24"/>
  <c r="AR43" i="24"/>
  <c r="AQ43" i="24"/>
  <c r="AF43" i="24"/>
  <c r="AG43" i="24" s="1"/>
  <c r="AE43" i="24"/>
  <c r="AD43" i="24"/>
  <c r="AB43" i="24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AT42" i="24"/>
  <c r="AS42" i="24"/>
  <c r="AR42" i="24"/>
  <c r="AQ42" i="24"/>
  <c r="AF42" i="24"/>
  <c r="AG42" i="24" s="1"/>
  <c r="AE42" i="24"/>
  <c r="AD42" i="24"/>
  <c r="AB42" i="24"/>
  <c r="Y42" i="24"/>
  <c r="X42" i="24"/>
  <c r="W42" i="24"/>
  <c r="V42" i="24"/>
  <c r="U42" i="24"/>
  <c r="T42" i="24"/>
  <c r="S42" i="24"/>
  <c r="R42" i="24"/>
  <c r="Q42" i="24"/>
  <c r="P42" i="24"/>
  <c r="N42" i="24"/>
  <c r="M42" i="24"/>
  <c r="L42" i="24"/>
  <c r="K42" i="24"/>
  <c r="J42" i="24"/>
  <c r="AT41" i="24"/>
  <c r="AS41" i="24"/>
  <c r="AR41" i="24"/>
  <c r="AQ41" i="24"/>
  <c r="AF41" i="24"/>
  <c r="AG41" i="24" s="1"/>
  <c r="AE41" i="24"/>
  <c r="AD41" i="24"/>
  <c r="AB41" i="24"/>
  <c r="Y41" i="24"/>
  <c r="X41" i="24"/>
  <c r="W41" i="24"/>
  <c r="V41" i="24"/>
  <c r="U41" i="24"/>
  <c r="T41" i="24"/>
  <c r="S41" i="24"/>
  <c r="R41" i="24"/>
  <c r="Q41" i="24"/>
  <c r="P41" i="24"/>
  <c r="N41" i="24"/>
  <c r="M41" i="24"/>
  <c r="L41" i="24"/>
  <c r="K41" i="24"/>
  <c r="J41" i="24"/>
  <c r="AT40" i="24"/>
  <c r="AS40" i="24"/>
  <c r="AR40" i="24"/>
  <c r="AQ40" i="24"/>
  <c r="AF40" i="24"/>
  <c r="AG40" i="24" s="1"/>
  <c r="AE40" i="24"/>
  <c r="AD40" i="24"/>
  <c r="AB40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AT39" i="24"/>
  <c r="AS39" i="24"/>
  <c r="AR39" i="24"/>
  <c r="AQ39" i="24"/>
  <c r="AM39" i="24"/>
  <c r="AF39" i="24"/>
  <c r="AG39" i="24" s="1"/>
  <c r="AE39" i="24"/>
  <c r="AD39" i="24"/>
  <c r="AB39" i="24"/>
  <c r="Y39" i="24"/>
  <c r="X39" i="24"/>
  <c r="W39" i="24"/>
  <c r="V39" i="24"/>
  <c r="U39" i="24"/>
  <c r="T39" i="24"/>
  <c r="S39" i="24"/>
  <c r="R39" i="24"/>
  <c r="Q39" i="24"/>
  <c r="P39" i="24"/>
  <c r="N39" i="24"/>
  <c r="M39" i="24"/>
  <c r="L39" i="24"/>
  <c r="K39" i="24"/>
  <c r="J39" i="24"/>
  <c r="AT38" i="24"/>
  <c r="AS38" i="24"/>
  <c r="AR38" i="24"/>
  <c r="AF38" i="24"/>
  <c r="AG38" i="24" s="1"/>
  <c r="AE38" i="24"/>
  <c r="J38" i="24"/>
  <c r="AT37" i="24"/>
  <c r="AS37" i="24"/>
  <c r="AR37" i="24"/>
  <c r="AQ37" i="24"/>
  <c r="AF37" i="24"/>
  <c r="AG37" i="24" s="1"/>
  <c r="AE37" i="24"/>
  <c r="AD37" i="24"/>
  <c r="AB37" i="24"/>
  <c r="Y37" i="24"/>
  <c r="X37" i="24"/>
  <c r="W37" i="24"/>
  <c r="V37" i="24"/>
  <c r="U37" i="24"/>
  <c r="T37" i="24"/>
  <c r="S37" i="24"/>
  <c r="R37" i="24"/>
  <c r="Q37" i="24"/>
  <c r="P37" i="24"/>
  <c r="N37" i="24"/>
  <c r="M37" i="24"/>
  <c r="L37" i="24"/>
  <c r="K37" i="24"/>
  <c r="J37" i="24"/>
  <c r="AT36" i="24"/>
  <c r="AS36" i="24"/>
  <c r="AR36" i="24"/>
  <c r="AQ36" i="24"/>
  <c r="AM36" i="24"/>
  <c r="AF36" i="24"/>
  <c r="AG36" i="24" s="1"/>
  <c r="AE36" i="24"/>
  <c r="AD36" i="24"/>
  <c r="AB36" i="24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AT35" i="24"/>
  <c r="AS35" i="24"/>
  <c r="AR35" i="24"/>
  <c r="AQ35" i="24"/>
  <c r="AF35" i="24"/>
  <c r="AG35" i="24" s="1"/>
  <c r="AE35" i="24"/>
  <c r="AD35" i="24"/>
  <c r="AB35" i="24"/>
  <c r="Y35" i="24"/>
  <c r="X35" i="24"/>
  <c r="W35" i="24"/>
  <c r="V35" i="24"/>
  <c r="U35" i="24"/>
  <c r="T35" i="24"/>
  <c r="S35" i="24"/>
  <c r="R35" i="24"/>
  <c r="Q35" i="24"/>
  <c r="P35" i="24"/>
  <c r="N35" i="24"/>
  <c r="M35" i="24"/>
  <c r="L35" i="24"/>
  <c r="K35" i="24"/>
  <c r="J35" i="24"/>
  <c r="AT34" i="24"/>
  <c r="AS34" i="24"/>
  <c r="AR34" i="24"/>
  <c r="AQ34" i="24"/>
  <c r="AF34" i="24"/>
  <c r="AG34" i="24" s="1"/>
  <c r="AE34" i="24"/>
  <c r="AD34" i="24"/>
  <c r="AB34" i="24"/>
  <c r="Y34" i="24"/>
  <c r="X34" i="24"/>
  <c r="W34" i="24"/>
  <c r="V34" i="24"/>
  <c r="U34" i="24"/>
  <c r="T34" i="24"/>
  <c r="S34" i="24"/>
  <c r="R34" i="24"/>
  <c r="Q34" i="24"/>
  <c r="P34" i="24"/>
  <c r="N34" i="24"/>
  <c r="M34" i="24"/>
  <c r="L34" i="24"/>
  <c r="K34" i="24"/>
  <c r="J34" i="24"/>
  <c r="AT33" i="24"/>
  <c r="AS33" i="24"/>
  <c r="AR33" i="24"/>
  <c r="AM33" i="24"/>
  <c r="AF33" i="24"/>
  <c r="AG33" i="24" s="1"/>
  <c r="AE33" i="24"/>
  <c r="J33" i="24"/>
  <c r="AT32" i="24"/>
  <c r="AS32" i="24"/>
  <c r="AR32" i="24"/>
  <c r="AF32" i="24"/>
  <c r="AG32" i="24" s="1"/>
  <c r="AE32" i="24"/>
  <c r="J32" i="24"/>
  <c r="AT31" i="24"/>
  <c r="AS31" i="24"/>
  <c r="AR31" i="24"/>
  <c r="AQ31" i="24"/>
  <c r="AF31" i="24"/>
  <c r="AG31" i="24" s="1"/>
  <c r="AE31" i="24"/>
  <c r="AD31" i="24"/>
  <c r="AB31" i="24"/>
  <c r="Y31" i="24"/>
  <c r="X31" i="24"/>
  <c r="W31" i="24"/>
  <c r="V31" i="24"/>
  <c r="U31" i="24"/>
  <c r="T31" i="24"/>
  <c r="S31" i="24"/>
  <c r="R31" i="24"/>
  <c r="Q31" i="24"/>
  <c r="P31" i="24"/>
  <c r="N31" i="24"/>
  <c r="M31" i="24"/>
  <c r="L31" i="24"/>
  <c r="K31" i="24"/>
  <c r="J31" i="24"/>
  <c r="AT30" i="24"/>
  <c r="AS30" i="24"/>
  <c r="AR30" i="24"/>
  <c r="AQ30" i="24"/>
  <c r="AF30" i="24"/>
  <c r="AG30" i="24" s="1"/>
  <c r="AE30" i="24"/>
  <c r="AD30" i="24"/>
  <c r="AB30" i="24"/>
  <c r="Y30" i="24"/>
  <c r="X30" i="24"/>
  <c r="W30" i="24"/>
  <c r="V30" i="24"/>
  <c r="U30" i="24"/>
  <c r="T30" i="24"/>
  <c r="S30" i="24"/>
  <c r="R30" i="24"/>
  <c r="Q30" i="24"/>
  <c r="P30" i="24"/>
  <c r="N30" i="24"/>
  <c r="M30" i="24"/>
  <c r="L30" i="24"/>
  <c r="K30" i="24"/>
  <c r="J30" i="24"/>
  <c r="AT29" i="24"/>
  <c r="AS29" i="24"/>
  <c r="AR29" i="24"/>
  <c r="AQ29" i="24"/>
  <c r="AF29" i="24"/>
  <c r="AG29" i="24" s="1"/>
  <c r="AE29" i="24"/>
  <c r="AD29" i="24"/>
  <c r="AB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AT28" i="24"/>
  <c r="AS28" i="24"/>
  <c r="AR28" i="24"/>
  <c r="AQ28" i="24"/>
  <c r="AF28" i="24"/>
  <c r="AG28" i="24" s="1"/>
  <c r="AE28" i="24"/>
  <c r="AD28" i="24"/>
  <c r="AB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AT27" i="24"/>
  <c r="AS27" i="24"/>
  <c r="AR27" i="24"/>
  <c r="AQ27" i="24"/>
  <c r="AF27" i="24"/>
  <c r="AG27" i="24" s="1"/>
  <c r="AE27" i="24"/>
  <c r="AD27" i="24"/>
  <c r="AB27" i="24"/>
  <c r="X27" i="24"/>
  <c r="Q27" i="24"/>
  <c r="P27" i="24"/>
  <c r="N27" i="24"/>
  <c r="M27" i="24"/>
  <c r="L27" i="24"/>
  <c r="K27" i="24"/>
  <c r="J27" i="24"/>
  <c r="AT26" i="24"/>
  <c r="AS26" i="24"/>
  <c r="AR26" i="24"/>
  <c r="AQ26" i="24"/>
  <c r="AF26" i="24"/>
  <c r="AG26" i="24" s="1"/>
  <c r="AE26" i="24"/>
  <c r="AD26" i="24"/>
  <c r="AB26" i="24"/>
  <c r="X26" i="24"/>
  <c r="Q26" i="24"/>
  <c r="P26" i="24"/>
  <c r="N26" i="24"/>
  <c r="M26" i="24"/>
  <c r="L26" i="24"/>
  <c r="K26" i="24"/>
  <c r="J26" i="24"/>
  <c r="AT25" i="24"/>
  <c r="AS25" i="24"/>
  <c r="AR25" i="24"/>
  <c r="AQ25" i="24"/>
  <c r="AF25" i="24"/>
  <c r="AG25" i="24" s="1"/>
  <c r="AE25" i="24"/>
  <c r="AD25" i="24"/>
  <c r="AB25" i="24"/>
  <c r="X25" i="24"/>
  <c r="Q25" i="24"/>
  <c r="P25" i="24"/>
  <c r="N25" i="24"/>
  <c r="M25" i="24"/>
  <c r="L25" i="24"/>
  <c r="K25" i="24"/>
  <c r="J25" i="24"/>
  <c r="AT24" i="24"/>
  <c r="AS24" i="24"/>
  <c r="AR24" i="24"/>
  <c r="AQ24" i="24"/>
  <c r="AF24" i="24"/>
  <c r="AG24" i="24" s="1"/>
  <c r="AE24" i="24"/>
  <c r="AD24" i="24"/>
  <c r="AB24" i="24"/>
  <c r="X24" i="24"/>
  <c r="Q24" i="24"/>
  <c r="P24" i="24"/>
  <c r="O24" i="24"/>
  <c r="N24" i="24"/>
  <c r="M24" i="24"/>
  <c r="L24" i="24"/>
  <c r="K24" i="24"/>
  <c r="J24" i="24"/>
  <c r="AT23" i="24"/>
  <c r="AS23" i="24"/>
  <c r="AR23" i="24"/>
  <c r="AQ23" i="24"/>
  <c r="AF23" i="24"/>
  <c r="AG23" i="24" s="1"/>
  <c r="AE23" i="24"/>
  <c r="AD23" i="24"/>
  <c r="AB23" i="24"/>
  <c r="X23" i="24"/>
  <c r="Q23" i="24"/>
  <c r="P23" i="24"/>
  <c r="N23" i="24"/>
  <c r="M23" i="24"/>
  <c r="L23" i="24"/>
  <c r="K23" i="24"/>
  <c r="J23" i="24"/>
  <c r="AT22" i="24"/>
  <c r="AS22" i="24"/>
  <c r="AR22" i="24"/>
  <c r="AQ22" i="24"/>
  <c r="AF22" i="24"/>
  <c r="AG22" i="24" s="1"/>
  <c r="AE22" i="24"/>
  <c r="AD22" i="24"/>
  <c r="AB22" i="24"/>
  <c r="X22" i="24"/>
  <c r="Q22" i="24"/>
  <c r="P22" i="24"/>
  <c r="N22" i="24"/>
  <c r="M22" i="24"/>
  <c r="L22" i="24"/>
  <c r="K22" i="24"/>
  <c r="J22" i="24"/>
  <c r="AT21" i="24"/>
  <c r="AS21" i="24"/>
  <c r="AR21" i="24"/>
  <c r="AQ21" i="24"/>
  <c r="AF21" i="24"/>
  <c r="AG21" i="24" s="1"/>
  <c r="AE21" i="24"/>
  <c r="AD21" i="24"/>
  <c r="AB21" i="24"/>
  <c r="X21" i="24"/>
  <c r="S21" i="24"/>
  <c r="Q21" i="24"/>
  <c r="P21" i="24"/>
  <c r="N21" i="24"/>
  <c r="M21" i="24"/>
  <c r="L21" i="24"/>
  <c r="K21" i="24"/>
  <c r="J21" i="24"/>
  <c r="AT20" i="24"/>
  <c r="AS20" i="24"/>
  <c r="AR20" i="24"/>
  <c r="AQ20" i="24"/>
  <c r="AF20" i="24"/>
  <c r="AG20" i="24" s="1"/>
  <c r="AE20" i="24"/>
  <c r="AD20" i="24"/>
  <c r="AB20" i="24"/>
  <c r="X20" i="24"/>
  <c r="Q20" i="24"/>
  <c r="P20" i="24"/>
  <c r="N20" i="24"/>
  <c r="M20" i="24"/>
  <c r="L20" i="24"/>
  <c r="K20" i="24"/>
  <c r="J20" i="24"/>
  <c r="AT19" i="24"/>
  <c r="AS19" i="24"/>
  <c r="AR19" i="24"/>
  <c r="AQ19" i="24"/>
  <c r="AF19" i="24"/>
  <c r="AG19" i="24" s="1"/>
  <c r="AE19" i="24"/>
  <c r="AD19" i="24"/>
  <c r="AB19" i="24"/>
  <c r="X19" i="24"/>
  <c r="Q19" i="24"/>
  <c r="P19" i="24"/>
  <c r="N19" i="24"/>
  <c r="M19" i="24"/>
  <c r="L19" i="24"/>
  <c r="K19" i="24"/>
  <c r="J19" i="24"/>
  <c r="AT18" i="24"/>
  <c r="AS18" i="24"/>
  <c r="AR18" i="24"/>
  <c r="AQ18" i="24"/>
  <c r="AF18" i="24"/>
  <c r="AG18" i="24" s="1"/>
  <c r="AE18" i="24"/>
  <c r="AD18" i="24"/>
  <c r="AB18" i="24"/>
  <c r="X18" i="24"/>
  <c r="S18" i="24"/>
  <c r="Q18" i="24"/>
  <c r="P18" i="24"/>
  <c r="N18" i="24"/>
  <c r="M18" i="24"/>
  <c r="L18" i="24"/>
  <c r="K18" i="24"/>
  <c r="J18" i="24"/>
  <c r="AT17" i="24"/>
  <c r="AS17" i="24"/>
  <c r="AR17" i="24"/>
  <c r="AQ17" i="24"/>
  <c r="AF17" i="24"/>
  <c r="AG17" i="24" s="1"/>
  <c r="AE17" i="24"/>
  <c r="AD17" i="24"/>
  <c r="AB17" i="24"/>
  <c r="X17" i="24"/>
  <c r="Q17" i="24"/>
  <c r="P17" i="24"/>
  <c r="N17" i="24"/>
  <c r="M17" i="24"/>
  <c r="L17" i="24"/>
  <c r="K17" i="24"/>
  <c r="J17" i="24"/>
  <c r="AT16" i="24"/>
  <c r="AS16" i="24"/>
  <c r="AR16" i="24"/>
  <c r="AQ16" i="24"/>
  <c r="AF16" i="24"/>
  <c r="AG16" i="24" s="1"/>
  <c r="AE16" i="24"/>
  <c r="AD16" i="24"/>
  <c r="AB16" i="24"/>
  <c r="X16" i="24"/>
  <c r="Q16" i="24"/>
  <c r="P16" i="24"/>
  <c r="N16" i="24"/>
  <c r="M16" i="24"/>
  <c r="L16" i="24"/>
  <c r="K16" i="24"/>
  <c r="J16" i="24"/>
  <c r="AT15" i="24"/>
  <c r="AS15" i="24"/>
  <c r="AR15" i="24"/>
  <c r="AQ15" i="24"/>
  <c r="AF15" i="24"/>
  <c r="AG15" i="24" s="1"/>
  <c r="AE15" i="24"/>
  <c r="AD15" i="24"/>
  <c r="AB15" i="24"/>
  <c r="X15" i="24"/>
  <c r="Q15" i="24"/>
  <c r="P15" i="24"/>
  <c r="N15" i="24"/>
  <c r="M15" i="24"/>
  <c r="L15" i="24"/>
  <c r="K15" i="24"/>
  <c r="J15" i="24"/>
  <c r="AT14" i="24"/>
  <c r="AS14" i="24"/>
  <c r="AR14" i="24"/>
  <c r="AQ14" i="24"/>
  <c r="AF14" i="24"/>
  <c r="AG14" i="24" s="1"/>
  <c r="AE14" i="24"/>
  <c r="AD14" i="24"/>
  <c r="AB14" i="24"/>
  <c r="X14" i="24"/>
  <c r="Q14" i="24"/>
  <c r="P14" i="24"/>
  <c r="N14" i="24"/>
  <c r="M14" i="24"/>
  <c r="L14" i="24"/>
  <c r="K14" i="24"/>
  <c r="J14" i="24"/>
  <c r="AT13" i="24"/>
  <c r="AS13" i="24"/>
  <c r="AR13" i="24"/>
  <c r="AQ13" i="24"/>
  <c r="AF13" i="24"/>
  <c r="AG13" i="24" s="1"/>
  <c r="AE13" i="24"/>
  <c r="AD13" i="24"/>
  <c r="AB13" i="24"/>
  <c r="X13" i="24"/>
  <c r="Q13" i="24"/>
  <c r="P13" i="24"/>
  <c r="N13" i="24"/>
  <c r="M13" i="24"/>
  <c r="L13" i="24"/>
  <c r="K13" i="24"/>
  <c r="J13" i="24"/>
  <c r="AT12" i="24"/>
  <c r="AS12" i="24"/>
  <c r="AR12" i="24"/>
  <c r="AQ12" i="24"/>
  <c r="AF12" i="24"/>
  <c r="AG12" i="24" s="1"/>
  <c r="AE12" i="24"/>
  <c r="AD12" i="24"/>
  <c r="AB12" i="24"/>
  <c r="X12" i="24"/>
  <c r="Q12" i="24"/>
  <c r="P12" i="24"/>
  <c r="N12" i="24"/>
  <c r="M12" i="24"/>
  <c r="L12" i="24"/>
  <c r="K12" i="24"/>
  <c r="J12" i="24"/>
  <c r="AT11" i="24"/>
  <c r="AS11" i="24"/>
  <c r="AR11" i="24"/>
  <c r="AQ11" i="24"/>
  <c r="AF11" i="24"/>
  <c r="AG11" i="24" s="1"/>
  <c r="AE11" i="24"/>
  <c r="AD11" i="24"/>
  <c r="AB11" i="24"/>
  <c r="X11" i="24"/>
  <c r="Q11" i="24"/>
  <c r="P11" i="24"/>
  <c r="N11" i="24"/>
  <c r="M11" i="24"/>
  <c r="L11" i="24"/>
  <c r="K11" i="24"/>
  <c r="J11" i="24"/>
  <c r="AT10" i="24"/>
  <c r="AS10" i="24"/>
  <c r="AR10" i="24"/>
  <c r="AQ10" i="24"/>
  <c r="AF10" i="24"/>
  <c r="AG10" i="24" s="1"/>
  <c r="AE10" i="24"/>
  <c r="AD10" i="24"/>
  <c r="AB10" i="24"/>
  <c r="X10" i="24"/>
  <c r="Q10" i="24"/>
  <c r="P10" i="24"/>
  <c r="N10" i="24"/>
  <c r="M10" i="24"/>
  <c r="L10" i="24"/>
  <c r="K10" i="24"/>
  <c r="J10" i="24"/>
  <c r="AV9" i="24"/>
  <c r="AT9" i="24"/>
  <c r="AS9" i="24"/>
  <c r="AR9" i="24"/>
  <c r="AQ9" i="24"/>
  <c r="AF9" i="24"/>
  <c r="AG9" i="24" s="1"/>
  <c r="AE9" i="24"/>
  <c r="AD9" i="24"/>
  <c r="AB9" i="24"/>
  <c r="X9" i="24"/>
  <c r="Q9" i="24"/>
  <c r="P9" i="24"/>
  <c r="N9" i="24"/>
  <c r="M9" i="24"/>
  <c r="L9" i="24"/>
  <c r="K9" i="24"/>
  <c r="J9" i="24"/>
  <c r="AV8" i="24"/>
  <c r="AT8" i="24"/>
  <c r="AS8" i="24"/>
  <c r="AR8" i="24"/>
  <c r="AQ8" i="24"/>
  <c r="AF8" i="24"/>
  <c r="AG8" i="24" s="1"/>
  <c r="AE8" i="24"/>
  <c r="AD8" i="24"/>
  <c r="AB8" i="24"/>
  <c r="X8" i="24"/>
  <c r="Q8" i="24"/>
  <c r="P8" i="24"/>
  <c r="N8" i="24"/>
  <c r="M8" i="24"/>
  <c r="L8" i="24"/>
  <c r="K8" i="24"/>
  <c r="J8" i="24"/>
  <c r="AT7" i="24"/>
  <c r="AS7" i="24"/>
  <c r="AR7" i="24"/>
  <c r="AQ7" i="24"/>
  <c r="AF7" i="24"/>
  <c r="AG7" i="24" s="1"/>
  <c r="AE7" i="24"/>
  <c r="AD7" i="24"/>
  <c r="AB7" i="24"/>
  <c r="X7" i="24"/>
  <c r="Q7" i="24"/>
  <c r="P7" i="24"/>
  <c r="N7" i="24"/>
  <c r="M7" i="24"/>
  <c r="L7" i="24"/>
  <c r="K7" i="24"/>
  <c r="J7" i="24"/>
  <c r="AT6" i="24"/>
  <c r="AS6" i="24"/>
  <c r="AR6" i="24"/>
  <c r="AQ6" i="24"/>
  <c r="AF6" i="24"/>
  <c r="AE6" i="24"/>
  <c r="AD6" i="24"/>
  <c r="AB6" i="24"/>
  <c r="X6" i="24"/>
  <c r="Q6" i="24"/>
  <c r="P6" i="24"/>
  <c r="O6" i="24"/>
  <c r="N6" i="24"/>
  <c r="M6" i="24"/>
  <c r="L6" i="24"/>
  <c r="K6" i="24"/>
  <c r="J6" i="24"/>
  <c r="AR85" i="23"/>
  <c r="AQ84" i="23"/>
  <c r="AQ82" i="23"/>
  <c r="AJ68" i="23"/>
  <c r="AR67" i="23"/>
  <c r="AQ67" i="23"/>
  <c r="AP67" i="23"/>
  <c r="AO67" i="23"/>
  <c r="AL67" i="23"/>
  <c r="AJ67" i="23"/>
  <c r="AH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AR66" i="23"/>
  <c r="AQ66" i="23"/>
  <c r="AP66" i="23"/>
  <c r="AO66" i="23"/>
  <c r="AF66" i="23"/>
  <c r="AG66" i="23" s="1"/>
  <c r="AE66" i="23"/>
  <c r="AB66" i="23"/>
  <c r="X66" i="23"/>
  <c r="U66" i="23"/>
  <c r="Q66" i="23"/>
  <c r="P66" i="23"/>
  <c r="O66" i="23"/>
  <c r="N66" i="23"/>
  <c r="M66" i="23"/>
  <c r="L66" i="23"/>
  <c r="K66" i="23"/>
  <c r="J66" i="23"/>
  <c r="AR65" i="23"/>
  <c r="AQ65" i="23"/>
  <c r="AP65" i="23"/>
  <c r="AO65" i="23"/>
  <c r="AF65" i="23"/>
  <c r="AG65" i="23" s="1"/>
  <c r="AE65" i="23"/>
  <c r="AB65" i="23"/>
  <c r="X65" i="23"/>
  <c r="Q65" i="23"/>
  <c r="P65" i="23"/>
  <c r="O65" i="23"/>
  <c r="N65" i="23"/>
  <c r="M65" i="23"/>
  <c r="L65" i="23"/>
  <c r="K65" i="23"/>
  <c r="J65" i="23"/>
  <c r="AR64" i="23"/>
  <c r="AQ64" i="23"/>
  <c r="AP64" i="23"/>
  <c r="AO64" i="23"/>
  <c r="AK64" i="23"/>
  <c r="AF64" i="23"/>
  <c r="AG64" i="23" s="1"/>
  <c r="AH64" i="24" s="1"/>
  <c r="AE64" i="23"/>
  <c r="AB64" i="23"/>
  <c r="X64" i="23"/>
  <c r="Q64" i="23"/>
  <c r="P64" i="23"/>
  <c r="O64" i="23"/>
  <c r="N64" i="23"/>
  <c r="M64" i="23"/>
  <c r="L64" i="23"/>
  <c r="K64" i="23"/>
  <c r="J64" i="23"/>
  <c r="AR63" i="23"/>
  <c r="AQ63" i="23"/>
  <c r="AP63" i="23"/>
  <c r="AO63" i="23"/>
  <c r="AF63" i="23"/>
  <c r="AG63" i="23" s="1"/>
  <c r="AE63" i="23"/>
  <c r="AB63" i="23"/>
  <c r="X63" i="23"/>
  <c r="Q63" i="23"/>
  <c r="P63" i="23"/>
  <c r="O63" i="23"/>
  <c r="N63" i="23"/>
  <c r="M63" i="23"/>
  <c r="L63" i="23"/>
  <c r="K63" i="23"/>
  <c r="J63" i="23"/>
  <c r="AR62" i="23"/>
  <c r="AQ62" i="23"/>
  <c r="AP62" i="23"/>
  <c r="AO62" i="23"/>
  <c r="AK62" i="23"/>
  <c r="AF62" i="23"/>
  <c r="AG62" i="23" s="1"/>
  <c r="AH62" i="24" s="1"/>
  <c r="AE62" i="23"/>
  <c r="AB62" i="23"/>
  <c r="Y62" i="23"/>
  <c r="X62" i="23"/>
  <c r="W62" i="23"/>
  <c r="V62" i="23"/>
  <c r="U62" i="23"/>
  <c r="T62" i="23"/>
  <c r="S62" i="23"/>
  <c r="R62" i="23"/>
  <c r="Q62" i="23"/>
  <c r="P62" i="23"/>
  <c r="N62" i="23"/>
  <c r="M62" i="23"/>
  <c r="L62" i="23"/>
  <c r="K62" i="23"/>
  <c r="J62" i="23"/>
  <c r="AR61" i="23"/>
  <c r="AQ61" i="23"/>
  <c r="AP61" i="23"/>
  <c r="AO61" i="23"/>
  <c r="AF61" i="23"/>
  <c r="AG61" i="23" s="1"/>
  <c r="AE61" i="23"/>
  <c r="AB61" i="23"/>
  <c r="Y61" i="23"/>
  <c r="X61" i="23"/>
  <c r="W61" i="23"/>
  <c r="V61" i="23"/>
  <c r="U61" i="23"/>
  <c r="T61" i="23"/>
  <c r="S61" i="23"/>
  <c r="R61" i="23"/>
  <c r="Q61" i="23"/>
  <c r="P61" i="23"/>
  <c r="N61" i="23"/>
  <c r="M61" i="23"/>
  <c r="L61" i="23"/>
  <c r="K61" i="23"/>
  <c r="J61" i="23"/>
  <c r="AR60" i="23"/>
  <c r="AQ60" i="23"/>
  <c r="AP60" i="23"/>
  <c r="AO60" i="23"/>
  <c r="AK60" i="23"/>
  <c r="AF60" i="23"/>
  <c r="AG60" i="23" s="1"/>
  <c r="AM60" i="23" s="1"/>
  <c r="AE60" i="23"/>
  <c r="AB60" i="23"/>
  <c r="Y60" i="23"/>
  <c r="X60" i="23"/>
  <c r="W60" i="23"/>
  <c r="V60" i="23"/>
  <c r="U60" i="23"/>
  <c r="T60" i="23"/>
  <c r="S60" i="23"/>
  <c r="R60" i="23"/>
  <c r="Q60" i="23"/>
  <c r="P60" i="23"/>
  <c r="N60" i="23"/>
  <c r="M60" i="23"/>
  <c r="L60" i="23"/>
  <c r="K60" i="23"/>
  <c r="J60" i="23"/>
  <c r="AR59" i="23"/>
  <c r="AQ59" i="23"/>
  <c r="AP59" i="23"/>
  <c r="AO59" i="23"/>
  <c r="AF59" i="23"/>
  <c r="AG59" i="23" s="1"/>
  <c r="AE59" i="23"/>
  <c r="AB59" i="23"/>
  <c r="Y59" i="23"/>
  <c r="X59" i="23"/>
  <c r="W59" i="23"/>
  <c r="V59" i="23"/>
  <c r="U59" i="23"/>
  <c r="T59" i="23"/>
  <c r="S59" i="23"/>
  <c r="R59" i="23"/>
  <c r="Q59" i="23"/>
  <c r="P59" i="23"/>
  <c r="N59" i="23"/>
  <c r="M59" i="23"/>
  <c r="L59" i="23"/>
  <c r="K59" i="23"/>
  <c r="J59" i="23"/>
  <c r="AR58" i="23"/>
  <c r="AQ58" i="23"/>
  <c r="AP58" i="23"/>
  <c r="AO58" i="23"/>
  <c r="AF58" i="23"/>
  <c r="AG58" i="23" s="1"/>
  <c r="AH58" i="24" s="1"/>
  <c r="AE58" i="23"/>
  <c r="AB58" i="23"/>
  <c r="Y58" i="23"/>
  <c r="X58" i="23"/>
  <c r="W58" i="23"/>
  <c r="V58" i="23"/>
  <c r="U58" i="23"/>
  <c r="T58" i="23"/>
  <c r="S58" i="23"/>
  <c r="R58" i="23"/>
  <c r="Q58" i="23"/>
  <c r="P58" i="23"/>
  <c r="N58" i="23"/>
  <c r="M58" i="23"/>
  <c r="L58" i="23"/>
  <c r="K58" i="23"/>
  <c r="J58" i="23"/>
  <c r="AR57" i="23"/>
  <c r="AQ57" i="23"/>
  <c r="AP57" i="23"/>
  <c r="AO57" i="23"/>
  <c r="AF57" i="23"/>
  <c r="AG57" i="23" s="1"/>
  <c r="AE57" i="23"/>
  <c r="AB57" i="23"/>
  <c r="Y57" i="23"/>
  <c r="X57" i="23"/>
  <c r="W57" i="23"/>
  <c r="V57" i="23"/>
  <c r="U57" i="23"/>
  <c r="T57" i="23"/>
  <c r="S57" i="23"/>
  <c r="R57" i="23"/>
  <c r="Q57" i="23"/>
  <c r="P57" i="23"/>
  <c r="N57" i="23"/>
  <c r="M57" i="23"/>
  <c r="L57" i="23"/>
  <c r="K57" i="23"/>
  <c r="J57" i="23"/>
  <c r="AR56" i="23"/>
  <c r="AQ56" i="23"/>
  <c r="AP56" i="23"/>
  <c r="AO56" i="23"/>
  <c r="AK56" i="23"/>
  <c r="AF56" i="23"/>
  <c r="AG56" i="23" s="1"/>
  <c r="AE56" i="23"/>
  <c r="AB56" i="23"/>
  <c r="Y56" i="23"/>
  <c r="X56" i="23"/>
  <c r="W56" i="23"/>
  <c r="V56" i="23"/>
  <c r="U56" i="23"/>
  <c r="T56" i="23"/>
  <c r="S56" i="23"/>
  <c r="R56" i="23"/>
  <c r="Q56" i="23"/>
  <c r="P56" i="23"/>
  <c r="N56" i="23"/>
  <c r="M56" i="23"/>
  <c r="L56" i="23"/>
  <c r="K56" i="23"/>
  <c r="J56" i="23"/>
  <c r="AR55" i="23"/>
  <c r="AQ55" i="23"/>
  <c r="AP55" i="23"/>
  <c r="AO55" i="23"/>
  <c r="AK55" i="23"/>
  <c r="AF55" i="23"/>
  <c r="AG55" i="23" s="1"/>
  <c r="AE55" i="23"/>
  <c r="AB55" i="23"/>
  <c r="Y55" i="23"/>
  <c r="X55" i="23"/>
  <c r="W55" i="23"/>
  <c r="V55" i="23"/>
  <c r="U55" i="23"/>
  <c r="T55" i="23"/>
  <c r="S55" i="23"/>
  <c r="R55" i="23"/>
  <c r="Q55" i="23"/>
  <c r="P55" i="23"/>
  <c r="N55" i="23"/>
  <c r="M55" i="23"/>
  <c r="L55" i="23"/>
  <c r="K55" i="23"/>
  <c r="J55" i="23"/>
  <c r="AR54" i="23"/>
  <c r="AQ54" i="23"/>
  <c r="AP54" i="23"/>
  <c r="AO54" i="23"/>
  <c r="AF54" i="23"/>
  <c r="AG54" i="23" s="1"/>
  <c r="AE54" i="23"/>
  <c r="AB54" i="23"/>
  <c r="Y54" i="23"/>
  <c r="X54" i="23"/>
  <c r="W54" i="23"/>
  <c r="V54" i="23"/>
  <c r="U54" i="23"/>
  <c r="T54" i="23"/>
  <c r="S54" i="23"/>
  <c r="R54" i="23"/>
  <c r="Q54" i="23"/>
  <c r="P54" i="23"/>
  <c r="N54" i="23"/>
  <c r="M54" i="23"/>
  <c r="L54" i="23"/>
  <c r="K54" i="23"/>
  <c r="J54" i="23"/>
  <c r="AR53" i="23"/>
  <c r="AQ53" i="23"/>
  <c r="AP53" i="23"/>
  <c r="AO53" i="23"/>
  <c r="AF53" i="23"/>
  <c r="AG53" i="23" s="1"/>
  <c r="AH53" i="24" s="1"/>
  <c r="AE53" i="23"/>
  <c r="AB53" i="23"/>
  <c r="Y53" i="23"/>
  <c r="X53" i="23"/>
  <c r="W53" i="23"/>
  <c r="V53" i="23"/>
  <c r="U53" i="23"/>
  <c r="T53" i="23"/>
  <c r="S53" i="23"/>
  <c r="R53" i="23"/>
  <c r="Q53" i="23"/>
  <c r="P53" i="23"/>
  <c r="N53" i="23"/>
  <c r="M53" i="23"/>
  <c r="L53" i="23"/>
  <c r="K53" i="23"/>
  <c r="J53" i="23"/>
  <c r="AR52" i="23"/>
  <c r="AQ52" i="23"/>
  <c r="AP52" i="23"/>
  <c r="AO52" i="23"/>
  <c r="AF52" i="23"/>
  <c r="AG52" i="23" s="1"/>
  <c r="AE52" i="23"/>
  <c r="AB52" i="23"/>
  <c r="Y52" i="23"/>
  <c r="X52" i="23"/>
  <c r="W52" i="23"/>
  <c r="V52" i="23"/>
  <c r="U52" i="23"/>
  <c r="T52" i="23"/>
  <c r="S52" i="23"/>
  <c r="R52" i="23"/>
  <c r="Q52" i="23"/>
  <c r="P52" i="23"/>
  <c r="N52" i="23"/>
  <c r="M52" i="23"/>
  <c r="L52" i="23"/>
  <c r="K52" i="23"/>
  <c r="J52" i="23"/>
  <c r="AR51" i="23"/>
  <c r="AQ51" i="23"/>
  <c r="AP51" i="23"/>
  <c r="AF51" i="23"/>
  <c r="AG51" i="23" s="1"/>
  <c r="AE51" i="23"/>
  <c r="J51" i="23"/>
  <c r="AR50" i="23"/>
  <c r="AQ50" i="23"/>
  <c r="AP50" i="23"/>
  <c r="AK50" i="23"/>
  <c r="AF50" i="23"/>
  <c r="AG50" i="23" s="1"/>
  <c r="AE50" i="23"/>
  <c r="J50" i="23"/>
  <c r="AR49" i="23"/>
  <c r="AQ49" i="23"/>
  <c r="AP49" i="23"/>
  <c r="AF49" i="23"/>
  <c r="AG49" i="23" s="1"/>
  <c r="AE49" i="23"/>
  <c r="J49" i="23"/>
  <c r="AR48" i="23"/>
  <c r="AQ48" i="23"/>
  <c r="AP48" i="23"/>
  <c r="AF48" i="23"/>
  <c r="AG48" i="23" s="1"/>
  <c r="AH48" i="24" s="1"/>
  <c r="AE48" i="23"/>
  <c r="J48" i="23"/>
  <c r="AR47" i="23"/>
  <c r="AQ47" i="23"/>
  <c r="AP47" i="23"/>
  <c r="AO47" i="23"/>
  <c r="AF47" i="23"/>
  <c r="AG47" i="23" s="1"/>
  <c r="AH47" i="24" s="1"/>
  <c r="AE47" i="23"/>
  <c r="AB47" i="23"/>
  <c r="Y47" i="23"/>
  <c r="X47" i="23"/>
  <c r="W47" i="23"/>
  <c r="V47" i="23"/>
  <c r="U47" i="23"/>
  <c r="T47" i="23"/>
  <c r="S47" i="23"/>
  <c r="R47" i="23"/>
  <c r="Q47" i="23"/>
  <c r="P47" i="23"/>
  <c r="N47" i="23"/>
  <c r="M47" i="23"/>
  <c r="L47" i="23"/>
  <c r="K47" i="23"/>
  <c r="J47" i="23"/>
  <c r="AR46" i="23"/>
  <c r="AQ46" i="23"/>
  <c r="AP46" i="23"/>
  <c r="AO46" i="23"/>
  <c r="AK46" i="23"/>
  <c r="AF46" i="23"/>
  <c r="AG46" i="23" s="1"/>
  <c r="AH46" i="24" s="1"/>
  <c r="AE46" i="23"/>
  <c r="AB46" i="23"/>
  <c r="Y46" i="23"/>
  <c r="X46" i="23"/>
  <c r="W46" i="23"/>
  <c r="V46" i="23"/>
  <c r="U46" i="23"/>
  <c r="T46" i="23"/>
  <c r="S46" i="23"/>
  <c r="R46" i="23"/>
  <c r="Q46" i="23"/>
  <c r="P46" i="23"/>
  <c r="N46" i="23"/>
  <c r="M46" i="23"/>
  <c r="L46" i="23"/>
  <c r="K46" i="23"/>
  <c r="J46" i="23"/>
  <c r="AR45" i="23"/>
  <c r="AQ45" i="23"/>
  <c r="AP45" i="23"/>
  <c r="AO45" i="23"/>
  <c r="AF45" i="23"/>
  <c r="AG45" i="23" s="1"/>
  <c r="AH45" i="24" s="1"/>
  <c r="AE45" i="23"/>
  <c r="AB45" i="23"/>
  <c r="Y45" i="23"/>
  <c r="X45" i="23"/>
  <c r="W45" i="23"/>
  <c r="V45" i="23"/>
  <c r="U45" i="23"/>
  <c r="T45" i="23"/>
  <c r="S45" i="23"/>
  <c r="R45" i="23"/>
  <c r="Q45" i="23"/>
  <c r="P45" i="23"/>
  <c r="N45" i="23"/>
  <c r="M45" i="23"/>
  <c r="L45" i="23"/>
  <c r="K45" i="23"/>
  <c r="J45" i="23"/>
  <c r="AR44" i="23"/>
  <c r="AQ44" i="23"/>
  <c r="AP44" i="23"/>
  <c r="AF44" i="23"/>
  <c r="AG44" i="23" s="1"/>
  <c r="AH44" i="24" s="1"/>
  <c r="AE44" i="23"/>
  <c r="J44" i="23"/>
  <c r="AR43" i="23"/>
  <c r="AQ43" i="23"/>
  <c r="AP43" i="23"/>
  <c r="AO43" i="23"/>
  <c r="AF43" i="23"/>
  <c r="AG43" i="23" s="1"/>
  <c r="AH43" i="24" s="1"/>
  <c r="AE43" i="23"/>
  <c r="AB43" i="23"/>
  <c r="Y43" i="23"/>
  <c r="X43" i="23"/>
  <c r="W43" i="23"/>
  <c r="V43" i="23"/>
  <c r="U43" i="23"/>
  <c r="T43" i="23"/>
  <c r="S43" i="23"/>
  <c r="R43" i="23"/>
  <c r="Q43" i="23"/>
  <c r="P43" i="23"/>
  <c r="N43" i="23"/>
  <c r="M43" i="23"/>
  <c r="L43" i="23"/>
  <c r="K43" i="23"/>
  <c r="J43" i="23"/>
  <c r="AR42" i="23"/>
  <c r="AQ42" i="23"/>
  <c r="AP42" i="23"/>
  <c r="AO42" i="23"/>
  <c r="AF42" i="23"/>
  <c r="AG42" i="23" s="1"/>
  <c r="AE42" i="23"/>
  <c r="AB42" i="23"/>
  <c r="Y42" i="23"/>
  <c r="X42" i="23"/>
  <c r="W42" i="23"/>
  <c r="V42" i="23"/>
  <c r="U42" i="23"/>
  <c r="T42" i="23"/>
  <c r="S42" i="23"/>
  <c r="R42" i="23"/>
  <c r="Q42" i="23"/>
  <c r="P42" i="23"/>
  <c r="N42" i="23"/>
  <c r="M42" i="23"/>
  <c r="L42" i="23"/>
  <c r="K42" i="23"/>
  <c r="J42" i="23"/>
  <c r="AR41" i="23"/>
  <c r="AQ41" i="23"/>
  <c r="AP41" i="23"/>
  <c r="AO41" i="23"/>
  <c r="AF41" i="23"/>
  <c r="AG41" i="23" s="1"/>
  <c r="AH41" i="24" s="1"/>
  <c r="AE41" i="23"/>
  <c r="AB41" i="23"/>
  <c r="Y41" i="23"/>
  <c r="X41" i="23"/>
  <c r="W41" i="23"/>
  <c r="V41" i="23"/>
  <c r="U41" i="23"/>
  <c r="T41" i="23"/>
  <c r="S41" i="23"/>
  <c r="R41" i="23"/>
  <c r="Q41" i="23"/>
  <c r="P41" i="23"/>
  <c r="N41" i="23"/>
  <c r="M41" i="23"/>
  <c r="L41" i="23"/>
  <c r="K41" i="23"/>
  <c r="J41" i="23"/>
  <c r="AR40" i="23"/>
  <c r="AQ40" i="23"/>
  <c r="AP40" i="23"/>
  <c r="AO40" i="23"/>
  <c r="AF40" i="23"/>
  <c r="AG40" i="23" s="1"/>
  <c r="AE40" i="23"/>
  <c r="AB40" i="23"/>
  <c r="Y40" i="23"/>
  <c r="X40" i="23"/>
  <c r="W40" i="23"/>
  <c r="V40" i="23"/>
  <c r="U40" i="23"/>
  <c r="T40" i="23"/>
  <c r="S40" i="23"/>
  <c r="R40" i="23"/>
  <c r="Q40" i="23"/>
  <c r="P40" i="23"/>
  <c r="N40" i="23"/>
  <c r="M40" i="23"/>
  <c r="L40" i="23"/>
  <c r="K40" i="23"/>
  <c r="J40" i="23"/>
  <c r="AR39" i="23"/>
  <c r="AQ39" i="23"/>
  <c r="AP39" i="23"/>
  <c r="AO39" i="23"/>
  <c r="AK39" i="23"/>
  <c r="AF39" i="23"/>
  <c r="AG39" i="23" s="1"/>
  <c r="AE39" i="23"/>
  <c r="AB39" i="23"/>
  <c r="Y39" i="23"/>
  <c r="X39" i="23"/>
  <c r="W39" i="23"/>
  <c r="V39" i="23"/>
  <c r="U39" i="23"/>
  <c r="T39" i="23"/>
  <c r="S39" i="23"/>
  <c r="R39" i="23"/>
  <c r="Q39" i="23"/>
  <c r="P39" i="23"/>
  <c r="N39" i="23"/>
  <c r="M39" i="23"/>
  <c r="L39" i="23"/>
  <c r="K39" i="23"/>
  <c r="J39" i="23"/>
  <c r="AR38" i="23"/>
  <c r="AQ38" i="23"/>
  <c r="AP38" i="23"/>
  <c r="AF38" i="23"/>
  <c r="AG38" i="23" s="1"/>
  <c r="AH38" i="24" s="1"/>
  <c r="AE38" i="23"/>
  <c r="J38" i="23"/>
  <c r="AR37" i="23"/>
  <c r="AQ37" i="23"/>
  <c r="AP37" i="23"/>
  <c r="AO37" i="23"/>
  <c r="AF37" i="23"/>
  <c r="AG37" i="23" s="1"/>
  <c r="AH37" i="24" s="1"/>
  <c r="AE37" i="23"/>
  <c r="AB37" i="23"/>
  <c r="Y37" i="23"/>
  <c r="X37" i="23"/>
  <c r="W37" i="23"/>
  <c r="V37" i="23"/>
  <c r="U37" i="23"/>
  <c r="T37" i="23"/>
  <c r="S37" i="23"/>
  <c r="R37" i="23"/>
  <c r="Q37" i="23"/>
  <c r="P37" i="23"/>
  <c r="N37" i="23"/>
  <c r="M37" i="23"/>
  <c r="L37" i="23"/>
  <c r="K37" i="23"/>
  <c r="J37" i="23"/>
  <c r="AR36" i="23"/>
  <c r="AQ36" i="23"/>
  <c r="AP36" i="23"/>
  <c r="AO36" i="23"/>
  <c r="AK36" i="23"/>
  <c r="AF36" i="23"/>
  <c r="AG36" i="23" s="1"/>
  <c r="AH36" i="24" s="1"/>
  <c r="AE36" i="23"/>
  <c r="AB36" i="23"/>
  <c r="Y36" i="23"/>
  <c r="X36" i="23"/>
  <c r="W36" i="23"/>
  <c r="V36" i="23"/>
  <c r="U36" i="23"/>
  <c r="T36" i="23"/>
  <c r="S36" i="23"/>
  <c r="R36" i="23"/>
  <c r="Q36" i="23"/>
  <c r="P36" i="23"/>
  <c r="N36" i="23"/>
  <c r="M36" i="23"/>
  <c r="L36" i="23"/>
  <c r="K36" i="23"/>
  <c r="J36" i="23"/>
  <c r="AR35" i="23"/>
  <c r="AQ35" i="23"/>
  <c r="AP35" i="23"/>
  <c r="AO35" i="23"/>
  <c r="AF35" i="23"/>
  <c r="AG35" i="23" s="1"/>
  <c r="AH35" i="24" s="1"/>
  <c r="AE35" i="23"/>
  <c r="AB35" i="23"/>
  <c r="Y35" i="23"/>
  <c r="X35" i="23"/>
  <c r="W35" i="23"/>
  <c r="V35" i="23"/>
  <c r="U35" i="23"/>
  <c r="T35" i="23"/>
  <c r="S35" i="23"/>
  <c r="R35" i="23"/>
  <c r="Q35" i="23"/>
  <c r="P35" i="23"/>
  <c r="N35" i="23"/>
  <c r="M35" i="23"/>
  <c r="L35" i="23"/>
  <c r="K35" i="23"/>
  <c r="J35" i="23"/>
  <c r="AR34" i="23"/>
  <c r="AQ34" i="23"/>
  <c r="AP34" i="23"/>
  <c r="AO34" i="23"/>
  <c r="AF34" i="23"/>
  <c r="AG34" i="23" s="1"/>
  <c r="AE34" i="23"/>
  <c r="AB34" i="23"/>
  <c r="Y34" i="23"/>
  <c r="X34" i="23"/>
  <c r="W34" i="23"/>
  <c r="V34" i="23"/>
  <c r="U34" i="23"/>
  <c r="T34" i="23"/>
  <c r="S34" i="23"/>
  <c r="R34" i="23"/>
  <c r="Q34" i="23"/>
  <c r="P34" i="23"/>
  <c r="N34" i="23"/>
  <c r="M34" i="23"/>
  <c r="L34" i="23"/>
  <c r="K34" i="23"/>
  <c r="J34" i="23"/>
  <c r="AR33" i="23"/>
  <c r="AQ33" i="23"/>
  <c r="AP33" i="23"/>
  <c r="AK33" i="23"/>
  <c r="AF33" i="23"/>
  <c r="AG33" i="23" s="1"/>
  <c r="AH33" i="24" s="1"/>
  <c r="AE33" i="23"/>
  <c r="J33" i="23"/>
  <c r="AR32" i="23"/>
  <c r="AQ32" i="23"/>
  <c r="AP32" i="23"/>
  <c r="AF32" i="23"/>
  <c r="AG32" i="23" s="1"/>
  <c r="AH32" i="24" s="1"/>
  <c r="AE32" i="23"/>
  <c r="J32" i="23"/>
  <c r="AR31" i="23"/>
  <c r="AQ31" i="23"/>
  <c r="AP31" i="23"/>
  <c r="AO31" i="23"/>
  <c r="AF31" i="23"/>
  <c r="AG31" i="23" s="1"/>
  <c r="AH31" i="24" s="1"/>
  <c r="AE31" i="23"/>
  <c r="AB31" i="23"/>
  <c r="Y31" i="23"/>
  <c r="X31" i="23"/>
  <c r="W31" i="23"/>
  <c r="V31" i="23"/>
  <c r="U31" i="23"/>
  <c r="T31" i="23"/>
  <c r="S31" i="23"/>
  <c r="R31" i="23"/>
  <c r="Q31" i="23"/>
  <c r="P31" i="23"/>
  <c r="N31" i="23"/>
  <c r="M31" i="23"/>
  <c r="L31" i="23"/>
  <c r="K31" i="23"/>
  <c r="J31" i="23"/>
  <c r="AR30" i="23"/>
  <c r="AQ30" i="23"/>
  <c r="AP30" i="23"/>
  <c r="AO30" i="23"/>
  <c r="AF30" i="23"/>
  <c r="AG30" i="23" s="1"/>
  <c r="AE30" i="23"/>
  <c r="AB30" i="23"/>
  <c r="Y30" i="23"/>
  <c r="X30" i="23"/>
  <c r="W30" i="23"/>
  <c r="V30" i="23"/>
  <c r="U30" i="23"/>
  <c r="T30" i="23"/>
  <c r="S30" i="23"/>
  <c r="R30" i="23"/>
  <c r="Q30" i="23"/>
  <c r="P30" i="23"/>
  <c r="N30" i="23"/>
  <c r="M30" i="23"/>
  <c r="L30" i="23"/>
  <c r="K30" i="23"/>
  <c r="J30" i="23"/>
  <c r="AR29" i="23"/>
  <c r="AQ29" i="23"/>
  <c r="AP29" i="23"/>
  <c r="AO29" i="23"/>
  <c r="AF29" i="23"/>
  <c r="AG29" i="23" s="1"/>
  <c r="AH29" i="24" s="1"/>
  <c r="AE29" i="23"/>
  <c r="AB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AR28" i="23"/>
  <c r="AQ28" i="23"/>
  <c r="AP28" i="23"/>
  <c r="AO28" i="23"/>
  <c r="AF28" i="23"/>
  <c r="AG28" i="23" s="1"/>
  <c r="AH28" i="24" s="1"/>
  <c r="AE28" i="23"/>
  <c r="AB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AR27" i="23"/>
  <c r="AQ27" i="23"/>
  <c r="AP27" i="23"/>
  <c r="AO27" i="23"/>
  <c r="AF27" i="23"/>
  <c r="AG27" i="23" s="1"/>
  <c r="AH27" i="24" s="1"/>
  <c r="AE27" i="23"/>
  <c r="AB27" i="23"/>
  <c r="X27" i="23"/>
  <c r="Q27" i="23"/>
  <c r="P27" i="23"/>
  <c r="N27" i="23"/>
  <c r="M27" i="23"/>
  <c r="L27" i="23"/>
  <c r="K27" i="23"/>
  <c r="J27" i="23"/>
  <c r="AR26" i="23"/>
  <c r="AQ26" i="23"/>
  <c r="AP26" i="23"/>
  <c r="AO26" i="23"/>
  <c r="AF26" i="23"/>
  <c r="AG26" i="23" s="1"/>
  <c r="AH26" i="24" s="1"/>
  <c r="AE26" i="23"/>
  <c r="AB26" i="23"/>
  <c r="X26" i="23"/>
  <c r="Q26" i="23"/>
  <c r="P26" i="23"/>
  <c r="N26" i="23"/>
  <c r="M26" i="23"/>
  <c r="L26" i="23"/>
  <c r="K26" i="23"/>
  <c r="J26" i="23"/>
  <c r="AR25" i="23"/>
  <c r="AQ25" i="23"/>
  <c r="AP25" i="23"/>
  <c r="AO25" i="23"/>
  <c r="AF25" i="23"/>
  <c r="AG25" i="23" s="1"/>
  <c r="AH25" i="24" s="1"/>
  <c r="AE25" i="23"/>
  <c r="AB25" i="23"/>
  <c r="X25" i="23"/>
  <c r="Q25" i="23"/>
  <c r="P25" i="23"/>
  <c r="N25" i="23"/>
  <c r="M25" i="23"/>
  <c r="L25" i="23"/>
  <c r="K25" i="23"/>
  <c r="J25" i="23"/>
  <c r="AR24" i="23"/>
  <c r="AQ24" i="23"/>
  <c r="AP24" i="23"/>
  <c r="AO24" i="23"/>
  <c r="AF24" i="23"/>
  <c r="AG24" i="23" s="1"/>
  <c r="AH24" i="24" s="1"/>
  <c r="AE24" i="23"/>
  <c r="AB24" i="23"/>
  <c r="X24" i="23"/>
  <c r="Q24" i="23"/>
  <c r="P24" i="23"/>
  <c r="O24" i="23"/>
  <c r="N24" i="23"/>
  <c r="M24" i="23"/>
  <c r="L24" i="23"/>
  <c r="K24" i="23"/>
  <c r="J24" i="23"/>
  <c r="AR23" i="23"/>
  <c r="AQ23" i="23"/>
  <c r="AP23" i="23"/>
  <c r="AO23" i="23"/>
  <c r="AF23" i="23"/>
  <c r="AG23" i="23" s="1"/>
  <c r="AE23" i="23"/>
  <c r="AB23" i="23"/>
  <c r="X23" i="23"/>
  <c r="Q23" i="23"/>
  <c r="P23" i="23"/>
  <c r="N23" i="23"/>
  <c r="M23" i="23"/>
  <c r="L23" i="23"/>
  <c r="K23" i="23"/>
  <c r="J23" i="23"/>
  <c r="AR22" i="23"/>
  <c r="AQ22" i="23"/>
  <c r="AP22" i="23"/>
  <c r="AO22" i="23"/>
  <c r="AF22" i="23"/>
  <c r="AG22" i="23" s="1"/>
  <c r="AE22" i="23"/>
  <c r="AB22" i="23"/>
  <c r="X22" i="23"/>
  <c r="Q22" i="23"/>
  <c r="P22" i="23"/>
  <c r="N22" i="23"/>
  <c r="M22" i="23"/>
  <c r="L22" i="23"/>
  <c r="K22" i="23"/>
  <c r="J22" i="23"/>
  <c r="AR21" i="23"/>
  <c r="AQ21" i="23"/>
  <c r="AP21" i="23"/>
  <c r="AO21" i="23"/>
  <c r="AF21" i="23"/>
  <c r="AG21" i="23" s="1"/>
  <c r="AE21" i="23"/>
  <c r="AB21" i="23"/>
  <c r="X21" i="23"/>
  <c r="S21" i="23"/>
  <c r="Q21" i="23"/>
  <c r="P21" i="23"/>
  <c r="N21" i="23"/>
  <c r="M21" i="23"/>
  <c r="L21" i="23"/>
  <c r="K21" i="23"/>
  <c r="J21" i="23"/>
  <c r="AR20" i="23"/>
  <c r="AQ20" i="23"/>
  <c r="AP20" i="23"/>
  <c r="AO20" i="23"/>
  <c r="AF20" i="23"/>
  <c r="AG20" i="23" s="1"/>
  <c r="AH20" i="24" s="1"/>
  <c r="AE20" i="23"/>
  <c r="AB20" i="23"/>
  <c r="X20" i="23"/>
  <c r="Q20" i="23"/>
  <c r="P20" i="23"/>
  <c r="N20" i="23"/>
  <c r="M20" i="23"/>
  <c r="L20" i="23"/>
  <c r="K20" i="23"/>
  <c r="J20" i="23"/>
  <c r="AR19" i="23"/>
  <c r="AQ19" i="23"/>
  <c r="AP19" i="23"/>
  <c r="AO19" i="23"/>
  <c r="AF19" i="23"/>
  <c r="AG19" i="23" s="1"/>
  <c r="AH19" i="24" s="1"/>
  <c r="AE19" i="23"/>
  <c r="AB19" i="23"/>
  <c r="X19" i="23"/>
  <c r="Q19" i="23"/>
  <c r="P19" i="23"/>
  <c r="N19" i="23"/>
  <c r="M19" i="23"/>
  <c r="L19" i="23"/>
  <c r="K19" i="23"/>
  <c r="J19" i="23"/>
  <c r="AR18" i="23"/>
  <c r="AQ18" i="23"/>
  <c r="AP18" i="23"/>
  <c r="AO18" i="23"/>
  <c r="AF18" i="23"/>
  <c r="AG18" i="23" s="1"/>
  <c r="AH18" i="24" s="1"/>
  <c r="AE18" i="23"/>
  <c r="AB18" i="23"/>
  <c r="X18" i="23"/>
  <c r="S18" i="23"/>
  <c r="Q18" i="23"/>
  <c r="P18" i="23"/>
  <c r="N18" i="23"/>
  <c r="M18" i="23"/>
  <c r="L18" i="23"/>
  <c r="K18" i="23"/>
  <c r="J18" i="23"/>
  <c r="AR17" i="23"/>
  <c r="AQ17" i="23"/>
  <c r="AP17" i="23"/>
  <c r="AO17" i="23"/>
  <c r="AF17" i="23"/>
  <c r="AG17" i="23" s="1"/>
  <c r="AE17" i="23"/>
  <c r="AB17" i="23"/>
  <c r="X17" i="23"/>
  <c r="Q17" i="23"/>
  <c r="P17" i="23"/>
  <c r="N17" i="23"/>
  <c r="M17" i="23"/>
  <c r="L17" i="23"/>
  <c r="K17" i="23"/>
  <c r="J17" i="23"/>
  <c r="AR16" i="23"/>
  <c r="AQ16" i="23"/>
  <c r="AP16" i="23"/>
  <c r="AO16" i="23"/>
  <c r="AF16" i="23"/>
  <c r="AG16" i="23" s="1"/>
  <c r="AE16" i="23"/>
  <c r="AB16" i="23"/>
  <c r="X16" i="23"/>
  <c r="Q16" i="23"/>
  <c r="P16" i="23"/>
  <c r="N16" i="23"/>
  <c r="M16" i="23"/>
  <c r="L16" i="23"/>
  <c r="K16" i="23"/>
  <c r="J16" i="23"/>
  <c r="AR15" i="23"/>
  <c r="AQ15" i="23"/>
  <c r="AP15" i="23"/>
  <c r="AO15" i="23"/>
  <c r="AF15" i="23"/>
  <c r="AG15" i="23" s="1"/>
  <c r="AE15" i="23"/>
  <c r="AB15" i="23"/>
  <c r="X15" i="23"/>
  <c r="Q15" i="23"/>
  <c r="P15" i="23"/>
  <c r="N15" i="23"/>
  <c r="M15" i="23"/>
  <c r="L15" i="23"/>
  <c r="K15" i="23"/>
  <c r="J15" i="23"/>
  <c r="AR14" i="23"/>
  <c r="AQ14" i="23"/>
  <c r="AP14" i="23"/>
  <c r="AO14" i="23"/>
  <c r="AF14" i="23"/>
  <c r="AG14" i="23" s="1"/>
  <c r="AE14" i="23"/>
  <c r="AB14" i="23"/>
  <c r="X14" i="23"/>
  <c r="Q14" i="23"/>
  <c r="P14" i="23"/>
  <c r="N14" i="23"/>
  <c r="M14" i="23"/>
  <c r="L14" i="23"/>
  <c r="K14" i="23"/>
  <c r="J14" i="23"/>
  <c r="AR13" i="23"/>
  <c r="AQ13" i="23"/>
  <c r="AP13" i="23"/>
  <c r="AO13" i="23"/>
  <c r="AF13" i="23"/>
  <c r="AG13" i="23" s="1"/>
  <c r="AE13" i="23"/>
  <c r="AB13" i="23"/>
  <c r="X13" i="23"/>
  <c r="Q13" i="23"/>
  <c r="P13" i="23"/>
  <c r="N13" i="23"/>
  <c r="M13" i="23"/>
  <c r="L13" i="23"/>
  <c r="K13" i="23"/>
  <c r="J13" i="23"/>
  <c r="AR12" i="23"/>
  <c r="AQ12" i="23"/>
  <c r="AP12" i="23"/>
  <c r="AO12" i="23"/>
  <c r="AF12" i="23"/>
  <c r="AG12" i="23" s="1"/>
  <c r="AE12" i="23"/>
  <c r="AB12" i="23"/>
  <c r="X12" i="23"/>
  <c r="Q12" i="23"/>
  <c r="P12" i="23"/>
  <c r="N12" i="23"/>
  <c r="M12" i="23"/>
  <c r="L12" i="23"/>
  <c r="K12" i="23"/>
  <c r="J12" i="23"/>
  <c r="AR11" i="23"/>
  <c r="AQ11" i="23"/>
  <c r="AP11" i="23"/>
  <c r="AO11" i="23"/>
  <c r="AF11" i="23"/>
  <c r="AG11" i="23" s="1"/>
  <c r="AE11" i="23"/>
  <c r="AB11" i="23"/>
  <c r="X11" i="23"/>
  <c r="Q11" i="23"/>
  <c r="P11" i="23"/>
  <c r="N11" i="23"/>
  <c r="M11" i="23"/>
  <c r="L11" i="23"/>
  <c r="K11" i="23"/>
  <c r="J11" i="23"/>
  <c r="AR10" i="23"/>
  <c r="AQ10" i="23"/>
  <c r="AP10" i="23"/>
  <c r="AO10" i="23"/>
  <c r="AF10" i="23"/>
  <c r="AG10" i="23" s="1"/>
  <c r="AE10" i="23"/>
  <c r="AB10" i="23"/>
  <c r="X10" i="23"/>
  <c r="Q10" i="23"/>
  <c r="P10" i="23"/>
  <c r="N10" i="23"/>
  <c r="M10" i="23"/>
  <c r="L10" i="23"/>
  <c r="K10" i="23"/>
  <c r="J10" i="23"/>
  <c r="AT9" i="23"/>
  <c r="AR9" i="23"/>
  <c r="AQ9" i="23"/>
  <c r="AP9" i="23"/>
  <c r="AO9" i="23"/>
  <c r="AF9" i="23"/>
  <c r="AG9" i="23" s="1"/>
  <c r="AH9" i="24" s="1"/>
  <c r="AE9" i="23"/>
  <c r="AB9" i="23"/>
  <c r="X9" i="23"/>
  <c r="Q9" i="23"/>
  <c r="P9" i="23"/>
  <c r="N9" i="23"/>
  <c r="M9" i="23"/>
  <c r="L9" i="23"/>
  <c r="K9" i="23"/>
  <c r="J9" i="23"/>
  <c r="AT8" i="23"/>
  <c r="AR8" i="23"/>
  <c r="AQ8" i="23"/>
  <c r="AP8" i="23"/>
  <c r="AO8" i="23"/>
  <c r="AF8" i="23"/>
  <c r="AG8" i="23" s="1"/>
  <c r="AE8" i="23"/>
  <c r="AB8" i="23"/>
  <c r="X8" i="23"/>
  <c r="Q8" i="23"/>
  <c r="P8" i="23"/>
  <c r="N8" i="23"/>
  <c r="M8" i="23"/>
  <c r="L8" i="23"/>
  <c r="K8" i="23"/>
  <c r="J8" i="23"/>
  <c r="AR7" i="23"/>
  <c r="AQ7" i="23"/>
  <c r="AP7" i="23"/>
  <c r="AO7" i="23"/>
  <c r="AF7" i="23"/>
  <c r="AG7" i="23" s="1"/>
  <c r="AE7" i="23"/>
  <c r="AB7" i="23"/>
  <c r="X7" i="23"/>
  <c r="Q7" i="23"/>
  <c r="P7" i="23"/>
  <c r="N7" i="23"/>
  <c r="M7" i="23"/>
  <c r="L7" i="23"/>
  <c r="K7" i="23"/>
  <c r="J7" i="23"/>
  <c r="AR6" i="23"/>
  <c r="AQ6" i="23"/>
  <c r="AP6" i="23"/>
  <c r="AO6" i="23"/>
  <c r="AF6" i="23"/>
  <c r="AG6" i="23" s="1"/>
  <c r="AE6" i="23"/>
  <c r="AB6" i="23"/>
  <c r="X6" i="23"/>
  <c r="Q6" i="23"/>
  <c r="P6" i="23"/>
  <c r="O6" i="23"/>
  <c r="N6" i="23"/>
  <c r="M6" i="23"/>
  <c r="L6" i="23"/>
  <c r="K6" i="23"/>
  <c r="J6" i="23"/>
  <c r="AR85" i="22"/>
  <c r="AQ84" i="22"/>
  <c r="AQ82" i="22"/>
  <c r="AJ68" i="22"/>
  <c r="AR67" i="22"/>
  <c r="AQ67" i="22"/>
  <c r="AP67" i="22"/>
  <c r="AO67" i="22"/>
  <c r="AL67" i="22"/>
  <c r="AJ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AR66" i="22"/>
  <c r="AQ66" i="22"/>
  <c r="AP66" i="22"/>
  <c r="AO66" i="22"/>
  <c r="AF66" i="22"/>
  <c r="AG66" i="22" s="1"/>
  <c r="AE66" i="22"/>
  <c r="AC66" i="22"/>
  <c r="AB66" i="22"/>
  <c r="X66" i="22"/>
  <c r="Q66" i="22"/>
  <c r="P66" i="22"/>
  <c r="O66" i="22"/>
  <c r="N66" i="22"/>
  <c r="M66" i="22"/>
  <c r="L66" i="22"/>
  <c r="K66" i="22"/>
  <c r="J66" i="22"/>
  <c r="AR65" i="22"/>
  <c r="AQ65" i="22"/>
  <c r="AP65" i="22"/>
  <c r="AO65" i="22"/>
  <c r="AF65" i="22"/>
  <c r="AG65" i="22" s="1"/>
  <c r="AE65" i="22"/>
  <c r="AC65" i="22"/>
  <c r="AB65" i="22"/>
  <c r="X65" i="22"/>
  <c r="Q65" i="22"/>
  <c r="P65" i="22"/>
  <c r="O65" i="22"/>
  <c r="N65" i="22"/>
  <c r="M65" i="22"/>
  <c r="L65" i="22"/>
  <c r="K65" i="22"/>
  <c r="J65" i="22"/>
  <c r="AR64" i="22"/>
  <c r="AQ64" i="22"/>
  <c r="AP64" i="22"/>
  <c r="AO64" i="22"/>
  <c r="AK64" i="22"/>
  <c r="AF64" i="22"/>
  <c r="AG64" i="22" s="1"/>
  <c r="AE64" i="22"/>
  <c r="AC64" i="22"/>
  <c r="AB64" i="22"/>
  <c r="X64" i="22"/>
  <c r="Q64" i="22"/>
  <c r="P64" i="22"/>
  <c r="O64" i="22"/>
  <c r="N64" i="22"/>
  <c r="M64" i="22"/>
  <c r="L64" i="22"/>
  <c r="K64" i="22"/>
  <c r="J64" i="22"/>
  <c r="AR63" i="22"/>
  <c r="AQ63" i="22"/>
  <c r="AP63" i="22"/>
  <c r="AO63" i="22"/>
  <c r="AF63" i="22"/>
  <c r="AG63" i="22" s="1"/>
  <c r="AE63" i="22"/>
  <c r="AC63" i="22"/>
  <c r="AB63" i="22"/>
  <c r="X63" i="22"/>
  <c r="Q63" i="22"/>
  <c r="P63" i="22"/>
  <c r="O63" i="22"/>
  <c r="N63" i="22"/>
  <c r="M63" i="22"/>
  <c r="L63" i="22"/>
  <c r="K63" i="22"/>
  <c r="J63" i="22"/>
  <c r="AR62" i="22"/>
  <c r="AQ62" i="22"/>
  <c r="AP62" i="22"/>
  <c r="AO62" i="22"/>
  <c r="AK62" i="22"/>
  <c r="AF62" i="22"/>
  <c r="AG62" i="22" s="1"/>
  <c r="AE62" i="22"/>
  <c r="AC62" i="22"/>
  <c r="AB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AR61" i="22"/>
  <c r="AQ61" i="22"/>
  <c r="AP61" i="22"/>
  <c r="AO61" i="22"/>
  <c r="AF61" i="22"/>
  <c r="AG61" i="22" s="1"/>
  <c r="AE61" i="22"/>
  <c r="AC61" i="22"/>
  <c r="AB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M61" i="22"/>
  <c r="L61" i="22"/>
  <c r="K61" i="22"/>
  <c r="J61" i="22"/>
  <c r="AR60" i="22"/>
  <c r="AQ60" i="22"/>
  <c r="AP60" i="22"/>
  <c r="AO60" i="22"/>
  <c r="AK60" i="22"/>
  <c r="AF60" i="22"/>
  <c r="AG60" i="22" s="1"/>
  <c r="AE60" i="22"/>
  <c r="AC60" i="22"/>
  <c r="AB60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AR59" i="22"/>
  <c r="AQ59" i="22"/>
  <c r="AP59" i="22"/>
  <c r="AO59" i="22"/>
  <c r="AF59" i="22"/>
  <c r="AG59" i="22" s="1"/>
  <c r="AE59" i="22"/>
  <c r="AC59" i="22"/>
  <c r="AB59" i="22"/>
  <c r="Y59" i="22"/>
  <c r="X59" i="22"/>
  <c r="W59" i="22"/>
  <c r="V59" i="22"/>
  <c r="U59" i="22"/>
  <c r="T59" i="22"/>
  <c r="S59" i="22"/>
  <c r="R59" i="22"/>
  <c r="Q59" i="22"/>
  <c r="P59" i="22"/>
  <c r="O59" i="22"/>
  <c r="N59" i="22"/>
  <c r="M59" i="22"/>
  <c r="L59" i="22"/>
  <c r="K59" i="22"/>
  <c r="J59" i="22"/>
  <c r="AR58" i="22"/>
  <c r="AQ58" i="22"/>
  <c r="AP58" i="22"/>
  <c r="AO58" i="22"/>
  <c r="AF58" i="22"/>
  <c r="AG58" i="22" s="1"/>
  <c r="AE58" i="22"/>
  <c r="AC58" i="22"/>
  <c r="AB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M58" i="22"/>
  <c r="L58" i="22"/>
  <c r="K58" i="22"/>
  <c r="J58" i="22"/>
  <c r="AR57" i="22"/>
  <c r="AQ57" i="22"/>
  <c r="AP57" i="22"/>
  <c r="AO57" i="22"/>
  <c r="AF57" i="22"/>
  <c r="AG57" i="22" s="1"/>
  <c r="AE57" i="22"/>
  <c r="AC57" i="22"/>
  <c r="AB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AR56" i="22"/>
  <c r="AQ56" i="22"/>
  <c r="AP56" i="22"/>
  <c r="AO56" i="22"/>
  <c r="AK56" i="22"/>
  <c r="AF56" i="22"/>
  <c r="AG56" i="22" s="1"/>
  <c r="AE56" i="22"/>
  <c r="AC56" i="22"/>
  <c r="AB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AR55" i="22"/>
  <c r="AQ55" i="22"/>
  <c r="AP55" i="22"/>
  <c r="AO55" i="22"/>
  <c r="AK55" i="22"/>
  <c r="AF55" i="22"/>
  <c r="AG55" i="22" s="1"/>
  <c r="AE55" i="22"/>
  <c r="AC55" i="22"/>
  <c r="AB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AR54" i="22"/>
  <c r="AQ54" i="22"/>
  <c r="AP54" i="22"/>
  <c r="AO54" i="22"/>
  <c r="AF54" i="22"/>
  <c r="AG54" i="22" s="1"/>
  <c r="AE54" i="22"/>
  <c r="AC54" i="22"/>
  <c r="AB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AR53" i="22"/>
  <c r="AQ53" i="22"/>
  <c r="AP53" i="22"/>
  <c r="AO53" i="22"/>
  <c r="AF53" i="22"/>
  <c r="AG53" i="22" s="1"/>
  <c r="AE53" i="22"/>
  <c r="AC53" i="22"/>
  <c r="AB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AR52" i="22"/>
  <c r="AQ52" i="22"/>
  <c r="AP52" i="22"/>
  <c r="AO52" i="22"/>
  <c r="AF52" i="22"/>
  <c r="AG52" i="22" s="1"/>
  <c r="AE52" i="22"/>
  <c r="AC52" i="22"/>
  <c r="AB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AR51" i="22"/>
  <c r="AQ51" i="22"/>
  <c r="AP51" i="22"/>
  <c r="AO51" i="22"/>
  <c r="AF51" i="22"/>
  <c r="AG51" i="22" s="1"/>
  <c r="AE51" i="22"/>
  <c r="AC51" i="22"/>
  <c r="AB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AR50" i="22"/>
  <c r="AQ50" i="22"/>
  <c r="AP50" i="22"/>
  <c r="AO50" i="22"/>
  <c r="AK50" i="22"/>
  <c r="AF50" i="22"/>
  <c r="AG50" i="22" s="1"/>
  <c r="AE50" i="22"/>
  <c r="AC50" i="22"/>
  <c r="AB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AR49" i="22"/>
  <c r="AQ49" i="22"/>
  <c r="AP49" i="22"/>
  <c r="AO49" i="22"/>
  <c r="AF49" i="22"/>
  <c r="AG49" i="22" s="1"/>
  <c r="AE49" i="22"/>
  <c r="AC49" i="22"/>
  <c r="AB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AR48" i="22"/>
  <c r="AQ48" i="22"/>
  <c r="AP48" i="22"/>
  <c r="AO48" i="22"/>
  <c r="AF48" i="22"/>
  <c r="AG48" i="22" s="1"/>
  <c r="AE48" i="22"/>
  <c r="AC48" i="22"/>
  <c r="AB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AR47" i="22"/>
  <c r="AQ47" i="22"/>
  <c r="AP47" i="22"/>
  <c r="AO47" i="22"/>
  <c r="AF47" i="22"/>
  <c r="AG47" i="22" s="1"/>
  <c r="AE47" i="22"/>
  <c r="AC47" i="22"/>
  <c r="AB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AR46" i="22"/>
  <c r="AQ46" i="22"/>
  <c r="AP46" i="22"/>
  <c r="AO46" i="22"/>
  <c r="AK46" i="22"/>
  <c r="AF46" i="22"/>
  <c r="AG46" i="22" s="1"/>
  <c r="AE46" i="22"/>
  <c r="AC46" i="22"/>
  <c r="AB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AR45" i="22"/>
  <c r="AQ45" i="22"/>
  <c r="AP45" i="22"/>
  <c r="AO45" i="22"/>
  <c r="AF45" i="22"/>
  <c r="AG45" i="22" s="1"/>
  <c r="AE45" i="22"/>
  <c r="AC45" i="22"/>
  <c r="AB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AR44" i="22"/>
  <c r="AQ44" i="22"/>
  <c r="AP44" i="22"/>
  <c r="AO44" i="22"/>
  <c r="AF44" i="22"/>
  <c r="AG44" i="22" s="1"/>
  <c r="AE44" i="22"/>
  <c r="AC44" i="22"/>
  <c r="AB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AR43" i="22"/>
  <c r="AQ43" i="22"/>
  <c r="AP43" i="22"/>
  <c r="AO43" i="22"/>
  <c r="AF43" i="22"/>
  <c r="AG43" i="22" s="1"/>
  <c r="AE43" i="22"/>
  <c r="AC43" i="22"/>
  <c r="AB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AR42" i="22"/>
  <c r="AQ42" i="22"/>
  <c r="AP42" i="22"/>
  <c r="AO42" i="22"/>
  <c r="AF42" i="22"/>
  <c r="AG42" i="22" s="1"/>
  <c r="AE42" i="22"/>
  <c r="AC42" i="22"/>
  <c r="AB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AR41" i="22"/>
  <c r="AQ41" i="22"/>
  <c r="AP41" i="22"/>
  <c r="AO41" i="22"/>
  <c r="AF41" i="22"/>
  <c r="AG41" i="22" s="1"/>
  <c r="AE41" i="22"/>
  <c r="AC41" i="22"/>
  <c r="AB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AR40" i="22"/>
  <c r="AQ40" i="22"/>
  <c r="AP40" i="22"/>
  <c r="AO40" i="22"/>
  <c r="AF40" i="22"/>
  <c r="AG40" i="22" s="1"/>
  <c r="AE40" i="22"/>
  <c r="AC40" i="22"/>
  <c r="AB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AR39" i="22"/>
  <c r="AQ39" i="22"/>
  <c r="AP39" i="22"/>
  <c r="AO39" i="22"/>
  <c r="AK39" i="22"/>
  <c r="AF39" i="22"/>
  <c r="AG39" i="22" s="1"/>
  <c r="AE39" i="22"/>
  <c r="AC39" i="22"/>
  <c r="AB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AR38" i="22"/>
  <c r="AQ38" i="22"/>
  <c r="AP38" i="22"/>
  <c r="AO38" i="22"/>
  <c r="AF38" i="22"/>
  <c r="AG38" i="22" s="1"/>
  <c r="AE38" i="22"/>
  <c r="AC38" i="22"/>
  <c r="AB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AR37" i="22"/>
  <c r="AQ37" i="22"/>
  <c r="AP37" i="22"/>
  <c r="AO37" i="22"/>
  <c r="AF37" i="22"/>
  <c r="AG37" i="22" s="1"/>
  <c r="AE37" i="22"/>
  <c r="AC37" i="22"/>
  <c r="AB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AR36" i="22"/>
  <c r="AQ36" i="22"/>
  <c r="AP36" i="22"/>
  <c r="AO36" i="22"/>
  <c r="AK36" i="22"/>
  <c r="AF36" i="22"/>
  <c r="AG36" i="22" s="1"/>
  <c r="AE36" i="22"/>
  <c r="AC36" i="22"/>
  <c r="AB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AR35" i="22"/>
  <c r="AQ35" i="22"/>
  <c r="AP35" i="22"/>
  <c r="AO35" i="22"/>
  <c r="AF35" i="22"/>
  <c r="AG35" i="22" s="1"/>
  <c r="AE35" i="22"/>
  <c r="AC35" i="22"/>
  <c r="AB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AR34" i="22"/>
  <c r="AQ34" i="22"/>
  <c r="AP34" i="22"/>
  <c r="AO34" i="22"/>
  <c r="AF34" i="22"/>
  <c r="AG34" i="22" s="1"/>
  <c r="AE34" i="22"/>
  <c r="AC34" i="22"/>
  <c r="AB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AR33" i="22"/>
  <c r="AQ33" i="22"/>
  <c r="AP33" i="22"/>
  <c r="AO33" i="22"/>
  <c r="AK33" i="22"/>
  <c r="AF33" i="22"/>
  <c r="AG33" i="22" s="1"/>
  <c r="AE33" i="22"/>
  <c r="AC33" i="22"/>
  <c r="AB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AR32" i="22"/>
  <c r="AQ32" i="22"/>
  <c r="AP32" i="22"/>
  <c r="AO32" i="22"/>
  <c r="AF32" i="22"/>
  <c r="AG32" i="22" s="1"/>
  <c r="AE32" i="22"/>
  <c r="AC32" i="22"/>
  <c r="AB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AR31" i="22"/>
  <c r="AQ31" i="22"/>
  <c r="AP31" i="22"/>
  <c r="AO31" i="22"/>
  <c r="AF31" i="22"/>
  <c r="AG31" i="22" s="1"/>
  <c r="AE31" i="22"/>
  <c r="AC31" i="22"/>
  <c r="AB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AR30" i="22"/>
  <c r="AQ30" i="22"/>
  <c r="AP30" i="22"/>
  <c r="AO30" i="22"/>
  <c r="AF30" i="22"/>
  <c r="AG30" i="22" s="1"/>
  <c r="AE30" i="22"/>
  <c r="AC30" i="22"/>
  <c r="AB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AR29" i="22"/>
  <c r="AQ29" i="22"/>
  <c r="AP29" i="22"/>
  <c r="AO29" i="22"/>
  <c r="AF29" i="22"/>
  <c r="AG29" i="22" s="1"/>
  <c r="AE29" i="22"/>
  <c r="AC29" i="22"/>
  <c r="AB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AR28" i="22"/>
  <c r="AQ28" i="22"/>
  <c r="AP28" i="22"/>
  <c r="AO28" i="22"/>
  <c r="AF28" i="22"/>
  <c r="AG28" i="22" s="1"/>
  <c r="AE28" i="22"/>
  <c r="AC28" i="22"/>
  <c r="AB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AR27" i="22"/>
  <c r="AQ27" i="22"/>
  <c r="AP27" i="22"/>
  <c r="AO27" i="22"/>
  <c r="AF27" i="22"/>
  <c r="AG27" i="22" s="1"/>
  <c r="AE27" i="22"/>
  <c r="AC27" i="22"/>
  <c r="AB27" i="22"/>
  <c r="X27" i="22"/>
  <c r="Q27" i="22"/>
  <c r="P27" i="22"/>
  <c r="O27" i="22"/>
  <c r="N27" i="22"/>
  <c r="M27" i="22"/>
  <c r="L27" i="22"/>
  <c r="K27" i="22"/>
  <c r="J27" i="22"/>
  <c r="AR26" i="22"/>
  <c r="AQ26" i="22"/>
  <c r="AP26" i="22"/>
  <c r="AO26" i="22"/>
  <c r="AF26" i="22"/>
  <c r="AG26" i="22" s="1"/>
  <c r="AE26" i="22"/>
  <c r="AC26" i="22"/>
  <c r="AB26" i="22"/>
  <c r="X26" i="22"/>
  <c r="Q26" i="22"/>
  <c r="P26" i="22"/>
  <c r="O26" i="22"/>
  <c r="N26" i="22"/>
  <c r="M26" i="22"/>
  <c r="L26" i="22"/>
  <c r="K26" i="22"/>
  <c r="J26" i="22"/>
  <c r="AR25" i="22"/>
  <c r="AQ25" i="22"/>
  <c r="AP25" i="22"/>
  <c r="AO25" i="22"/>
  <c r="AF25" i="22"/>
  <c r="AG25" i="22" s="1"/>
  <c r="AE25" i="22"/>
  <c r="AC25" i="22"/>
  <c r="AB25" i="22"/>
  <c r="X25" i="22"/>
  <c r="Q25" i="22"/>
  <c r="P25" i="22"/>
  <c r="O25" i="22"/>
  <c r="N25" i="22"/>
  <c r="M25" i="22"/>
  <c r="L25" i="22"/>
  <c r="K25" i="22"/>
  <c r="J25" i="22"/>
  <c r="AR24" i="22"/>
  <c r="AQ24" i="22"/>
  <c r="AP24" i="22"/>
  <c r="AO24" i="22"/>
  <c r="AF24" i="22"/>
  <c r="AG24" i="22" s="1"/>
  <c r="AE24" i="22"/>
  <c r="AC24" i="22"/>
  <c r="AB24" i="22"/>
  <c r="X24" i="22"/>
  <c r="Q24" i="22"/>
  <c r="P24" i="22"/>
  <c r="O24" i="22"/>
  <c r="N24" i="22"/>
  <c r="M24" i="22"/>
  <c r="L24" i="22"/>
  <c r="K24" i="22"/>
  <c r="J24" i="22"/>
  <c r="AR23" i="22"/>
  <c r="AQ23" i="22"/>
  <c r="AP23" i="22"/>
  <c r="AO23" i="22"/>
  <c r="AF23" i="22"/>
  <c r="AG23" i="22" s="1"/>
  <c r="AE23" i="22"/>
  <c r="AC23" i="22"/>
  <c r="AB23" i="22"/>
  <c r="X23" i="22"/>
  <c r="Q23" i="22"/>
  <c r="P23" i="22"/>
  <c r="O23" i="22"/>
  <c r="N23" i="22"/>
  <c r="M23" i="22"/>
  <c r="L23" i="22"/>
  <c r="K23" i="22"/>
  <c r="J23" i="22"/>
  <c r="AR22" i="22"/>
  <c r="AQ22" i="22"/>
  <c r="AP22" i="22"/>
  <c r="AO22" i="22"/>
  <c r="AF22" i="22"/>
  <c r="AG22" i="22" s="1"/>
  <c r="AE22" i="22"/>
  <c r="AC22" i="22"/>
  <c r="AB22" i="22"/>
  <c r="X22" i="22"/>
  <c r="Q22" i="22"/>
  <c r="P22" i="22"/>
  <c r="O22" i="22"/>
  <c r="N22" i="22"/>
  <c r="M22" i="22"/>
  <c r="L22" i="22"/>
  <c r="K22" i="22"/>
  <c r="J22" i="22"/>
  <c r="AR21" i="22"/>
  <c r="AQ21" i="22"/>
  <c r="AP21" i="22"/>
  <c r="AO21" i="22"/>
  <c r="AF21" i="22"/>
  <c r="AG21" i="22" s="1"/>
  <c r="AE21" i="22"/>
  <c r="AC21" i="22"/>
  <c r="AB21" i="22"/>
  <c r="X21" i="22"/>
  <c r="Q21" i="22"/>
  <c r="P21" i="22"/>
  <c r="O21" i="22"/>
  <c r="N21" i="22"/>
  <c r="M21" i="22"/>
  <c r="L21" i="22"/>
  <c r="K21" i="22"/>
  <c r="J21" i="22"/>
  <c r="AR20" i="22"/>
  <c r="AQ20" i="22"/>
  <c r="AP20" i="22"/>
  <c r="AO20" i="22"/>
  <c r="AF20" i="22"/>
  <c r="AG20" i="22" s="1"/>
  <c r="AE20" i="22"/>
  <c r="AC20" i="22"/>
  <c r="AB20" i="22"/>
  <c r="X20" i="22"/>
  <c r="Q20" i="22"/>
  <c r="P20" i="22"/>
  <c r="O20" i="22"/>
  <c r="N20" i="22"/>
  <c r="M20" i="22"/>
  <c r="L20" i="22"/>
  <c r="K20" i="22"/>
  <c r="J20" i="22"/>
  <c r="AR19" i="22"/>
  <c r="AQ19" i="22"/>
  <c r="AP19" i="22"/>
  <c r="AO19" i="22"/>
  <c r="AF19" i="22"/>
  <c r="AG19" i="22" s="1"/>
  <c r="AE19" i="22"/>
  <c r="AC19" i="22"/>
  <c r="AB19" i="22"/>
  <c r="X19" i="22"/>
  <c r="Q19" i="22"/>
  <c r="P19" i="22"/>
  <c r="O19" i="22"/>
  <c r="N19" i="22"/>
  <c r="M19" i="22"/>
  <c r="L19" i="22"/>
  <c r="K19" i="22"/>
  <c r="J19" i="22"/>
  <c r="AR18" i="22"/>
  <c r="AQ18" i="22"/>
  <c r="AP18" i="22"/>
  <c r="AO18" i="22"/>
  <c r="AF18" i="22"/>
  <c r="AG18" i="22" s="1"/>
  <c r="AE18" i="22"/>
  <c r="AC18" i="22"/>
  <c r="AB18" i="22"/>
  <c r="X18" i="22"/>
  <c r="Q18" i="22"/>
  <c r="P18" i="22"/>
  <c r="O18" i="22"/>
  <c r="N18" i="22"/>
  <c r="M18" i="22"/>
  <c r="L18" i="22"/>
  <c r="K18" i="22"/>
  <c r="J18" i="22"/>
  <c r="AR17" i="22"/>
  <c r="AQ17" i="22"/>
  <c r="AP17" i="22"/>
  <c r="AO17" i="22"/>
  <c r="AF17" i="22"/>
  <c r="AG17" i="22" s="1"/>
  <c r="AE17" i="22"/>
  <c r="AC17" i="22"/>
  <c r="AB17" i="22"/>
  <c r="X17" i="22"/>
  <c r="Q17" i="22"/>
  <c r="P17" i="22"/>
  <c r="O17" i="22"/>
  <c r="N17" i="22"/>
  <c r="M17" i="22"/>
  <c r="L17" i="22"/>
  <c r="K17" i="22"/>
  <c r="J17" i="22"/>
  <c r="AR16" i="22"/>
  <c r="AQ16" i="22"/>
  <c r="AP16" i="22"/>
  <c r="AO16" i="22"/>
  <c r="AF16" i="22"/>
  <c r="AG16" i="22" s="1"/>
  <c r="AE16" i="22"/>
  <c r="AC16" i="22"/>
  <c r="AB16" i="22"/>
  <c r="X16" i="22"/>
  <c r="Q16" i="22"/>
  <c r="P16" i="22"/>
  <c r="O16" i="22"/>
  <c r="N16" i="22"/>
  <c r="M16" i="22"/>
  <c r="L16" i="22"/>
  <c r="K16" i="22"/>
  <c r="J16" i="22"/>
  <c r="AR15" i="22"/>
  <c r="AQ15" i="22"/>
  <c r="AP15" i="22"/>
  <c r="AO15" i="22"/>
  <c r="AF15" i="22"/>
  <c r="AG15" i="22" s="1"/>
  <c r="AE15" i="22"/>
  <c r="AC15" i="22"/>
  <c r="AB15" i="22"/>
  <c r="X15" i="22"/>
  <c r="Q15" i="22"/>
  <c r="P15" i="22"/>
  <c r="O15" i="22"/>
  <c r="N15" i="22"/>
  <c r="M15" i="22"/>
  <c r="L15" i="22"/>
  <c r="K15" i="22"/>
  <c r="J15" i="22"/>
  <c r="AR14" i="22"/>
  <c r="AQ14" i="22"/>
  <c r="AP14" i="22"/>
  <c r="AO14" i="22"/>
  <c r="AF14" i="22"/>
  <c r="AG14" i="22" s="1"/>
  <c r="AE14" i="22"/>
  <c r="AC14" i="22"/>
  <c r="AB14" i="22"/>
  <c r="X14" i="22"/>
  <c r="Q14" i="22"/>
  <c r="P14" i="22"/>
  <c r="O14" i="22"/>
  <c r="N14" i="22"/>
  <c r="M14" i="22"/>
  <c r="L14" i="22"/>
  <c r="K14" i="22"/>
  <c r="J14" i="22"/>
  <c r="AR13" i="22"/>
  <c r="AQ13" i="22"/>
  <c r="AP13" i="22"/>
  <c r="AO13" i="22"/>
  <c r="AF13" i="22"/>
  <c r="AG13" i="22" s="1"/>
  <c r="AE13" i="22"/>
  <c r="AC13" i="22"/>
  <c r="AB13" i="22"/>
  <c r="X13" i="22"/>
  <c r="Q13" i="22"/>
  <c r="P13" i="22"/>
  <c r="O13" i="22"/>
  <c r="N13" i="22"/>
  <c r="M13" i="22"/>
  <c r="L13" i="22"/>
  <c r="K13" i="22"/>
  <c r="J13" i="22"/>
  <c r="AR12" i="22"/>
  <c r="AQ12" i="22"/>
  <c r="AP12" i="22"/>
  <c r="AO12" i="22"/>
  <c r="AF12" i="22"/>
  <c r="AG12" i="22" s="1"/>
  <c r="AE12" i="22"/>
  <c r="AC12" i="22"/>
  <c r="AB12" i="22"/>
  <c r="X12" i="22"/>
  <c r="Q12" i="22"/>
  <c r="P12" i="22"/>
  <c r="O12" i="22"/>
  <c r="N12" i="22"/>
  <c r="M12" i="22"/>
  <c r="L12" i="22"/>
  <c r="K12" i="22"/>
  <c r="J12" i="22"/>
  <c r="AR11" i="22"/>
  <c r="AQ11" i="22"/>
  <c r="AP11" i="22"/>
  <c r="AO11" i="22"/>
  <c r="AF11" i="22"/>
  <c r="AG11" i="22" s="1"/>
  <c r="AE11" i="22"/>
  <c r="AC11" i="22"/>
  <c r="AB11" i="22"/>
  <c r="X11" i="22"/>
  <c r="Q11" i="22"/>
  <c r="P11" i="22"/>
  <c r="O11" i="22"/>
  <c r="N11" i="22"/>
  <c r="M11" i="22"/>
  <c r="L11" i="22"/>
  <c r="K11" i="22"/>
  <c r="J11" i="22"/>
  <c r="AR10" i="22"/>
  <c r="AQ10" i="22"/>
  <c r="AP10" i="22"/>
  <c r="AO10" i="22"/>
  <c r="AF10" i="22"/>
  <c r="AG10" i="22" s="1"/>
  <c r="AE10" i="22"/>
  <c r="AC10" i="22"/>
  <c r="AB10" i="22"/>
  <c r="X10" i="22"/>
  <c r="Q10" i="22"/>
  <c r="P10" i="22"/>
  <c r="O10" i="22"/>
  <c r="N10" i="22"/>
  <c r="M10" i="22"/>
  <c r="L10" i="22"/>
  <c r="K10" i="22"/>
  <c r="J10" i="22"/>
  <c r="AT9" i="22"/>
  <c r="AR9" i="22"/>
  <c r="AQ9" i="22"/>
  <c r="AP9" i="22"/>
  <c r="AO9" i="22"/>
  <c r="AF9" i="22"/>
  <c r="AG9" i="22" s="1"/>
  <c r="AE9" i="22"/>
  <c r="AC9" i="22"/>
  <c r="AB9" i="22"/>
  <c r="X9" i="22"/>
  <c r="Q9" i="22"/>
  <c r="P9" i="22"/>
  <c r="O9" i="22"/>
  <c r="N9" i="22"/>
  <c r="M9" i="22"/>
  <c r="L9" i="22"/>
  <c r="K9" i="22"/>
  <c r="J9" i="22"/>
  <c r="AT8" i="22"/>
  <c r="AR8" i="22"/>
  <c r="AQ8" i="22"/>
  <c r="AP8" i="22"/>
  <c r="AO8" i="22"/>
  <c r="AF8" i="22"/>
  <c r="AG8" i="22" s="1"/>
  <c r="AE8" i="22"/>
  <c r="AC8" i="22"/>
  <c r="AB8" i="22"/>
  <c r="X8" i="22"/>
  <c r="Q8" i="22"/>
  <c r="P8" i="22"/>
  <c r="O8" i="22"/>
  <c r="N8" i="22"/>
  <c r="M8" i="22"/>
  <c r="L8" i="22"/>
  <c r="K8" i="22"/>
  <c r="J8" i="22"/>
  <c r="AR7" i="22"/>
  <c r="AQ7" i="22"/>
  <c r="AP7" i="22"/>
  <c r="AO7" i="22"/>
  <c r="AF7" i="22"/>
  <c r="AG7" i="22" s="1"/>
  <c r="AE7" i="22"/>
  <c r="AC7" i="22"/>
  <c r="AB7" i="22"/>
  <c r="X7" i="22"/>
  <c r="Q7" i="22"/>
  <c r="P7" i="22"/>
  <c r="O7" i="22"/>
  <c r="N7" i="22"/>
  <c r="M7" i="22"/>
  <c r="L7" i="22"/>
  <c r="K7" i="22"/>
  <c r="J7" i="22"/>
  <c r="AR6" i="22"/>
  <c r="AQ6" i="22"/>
  <c r="AP6" i="22"/>
  <c r="AO6" i="22"/>
  <c r="AF6" i="22"/>
  <c r="AG6" i="22" s="1"/>
  <c r="AE6" i="22"/>
  <c r="AC6" i="22"/>
  <c r="AB6" i="22"/>
  <c r="X6" i="22"/>
  <c r="Q6" i="22"/>
  <c r="P6" i="22"/>
  <c r="O6" i="22"/>
  <c r="N6" i="22"/>
  <c r="M6" i="22"/>
  <c r="L6" i="22"/>
  <c r="K6" i="22"/>
  <c r="J6" i="22"/>
  <c r="AJ92" i="21"/>
  <c r="AQ91" i="21"/>
  <c r="AP91" i="21"/>
  <c r="AO91" i="21"/>
  <c r="AN91" i="21"/>
  <c r="AJ91" i="21"/>
  <c r="AH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AQ90" i="21"/>
  <c r="AP90" i="21"/>
  <c r="AG90" i="21"/>
  <c r="AQ89" i="21"/>
  <c r="AP89" i="21"/>
  <c r="AF89" i="21"/>
  <c r="AI89" i="21" s="1"/>
  <c r="AK89" i="21" s="1"/>
  <c r="AE89" i="21"/>
  <c r="J89" i="21"/>
  <c r="AQ88" i="21"/>
  <c r="AP88" i="21"/>
  <c r="AF88" i="21"/>
  <c r="AI88" i="21" s="1"/>
  <c r="AK88" i="21" s="1"/>
  <c r="AE88" i="21"/>
  <c r="J88" i="21"/>
  <c r="AQ87" i="21"/>
  <c r="AP87" i="21"/>
  <c r="AF87" i="21"/>
  <c r="AI87" i="21" s="1"/>
  <c r="AK87" i="21" s="1"/>
  <c r="AE87" i="21"/>
  <c r="J87" i="21"/>
  <c r="AQ86" i="21"/>
  <c r="AP86" i="21"/>
  <c r="AF86" i="21"/>
  <c r="AI86" i="21" s="1"/>
  <c r="AK86" i="21" s="1"/>
  <c r="AE86" i="21"/>
  <c r="J86" i="21"/>
  <c r="AQ85" i="21"/>
  <c r="AP85" i="21"/>
  <c r="AF85" i="21"/>
  <c r="AI85" i="21" s="1"/>
  <c r="AK85" i="21" s="1"/>
  <c r="AE85" i="21"/>
  <c r="J85" i="21"/>
  <c r="AQ84" i="21"/>
  <c r="AP84" i="21"/>
  <c r="AF84" i="21"/>
  <c r="AI84" i="21" s="1"/>
  <c r="AK84" i="21" s="1"/>
  <c r="AE84" i="21"/>
  <c r="J84" i="21"/>
  <c r="AQ83" i="21"/>
  <c r="AP83" i="21"/>
  <c r="AF83" i="21"/>
  <c r="AI83" i="21" s="1"/>
  <c r="AK83" i="21" s="1"/>
  <c r="AE83" i="21"/>
  <c r="J83" i="21"/>
  <c r="AQ82" i="21"/>
  <c r="AP82" i="21"/>
  <c r="AF82" i="21"/>
  <c r="AI82" i="21" s="1"/>
  <c r="AK82" i="21" s="1"/>
  <c r="AE82" i="21"/>
  <c r="J82" i="21"/>
  <c r="AQ81" i="21"/>
  <c r="AP81" i="21"/>
  <c r="AF81" i="21"/>
  <c r="AI81" i="21" s="1"/>
  <c r="AK81" i="21" s="1"/>
  <c r="AE81" i="21"/>
  <c r="J81" i="21"/>
  <c r="AQ80" i="21"/>
  <c r="AP80" i="21"/>
  <c r="AF80" i="21"/>
  <c r="AI80" i="21" s="1"/>
  <c r="AK80" i="21" s="1"/>
  <c r="AE80" i="21"/>
  <c r="J80" i="21"/>
  <c r="AQ79" i="21"/>
  <c r="AP79" i="21"/>
  <c r="AF79" i="21"/>
  <c r="AI79" i="21" s="1"/>
  <c r="AK79" i="21" s="1"/>
  <c r="AE79" i="21"/>
  <c r="J79" i="21"/>
  <c r="AQ78" i="21"/>
  <c r="AP78" i="21"/>
  <c r="AF78" i="21"/>
  <c r="AI78" i="21" s="1"/>
  <c r="AK78" i="21" s="1"/>
  <c r="AE78" i="21"/>
  <c r="J78" i="21"/>
  <c r="AQ77" i="21"/>
  <c r="AP77" i="21"/>
  <c r="AF77" i="21"/>
  <c r="AI77" i="21" s="1"/>
  <c r="AK77" i="21" s="1"/>
  <c r="AE77" i="21"/>
  <c r="J77" i="21"/>
  <c r="AQ76" i="21"/>
  <c r="AP76" i="21"/>
  <c r="AF76" i="21"/>
  <c r="AI76" i="21" s="1"/>
  <c r="AK76" i="21" s="1"/>
  <c r="AE76" i="21"/>
  <c r="J76" i="21"/>
  <c r="AQ75" i="21"/>
  <c r="AP75" i="21"/>
  <c r="AF75" i="21"/>
  <c r="AI75" i="21" s="1"/>
  <c r="AK75" i="21" s="1"/>
  <c r="AE75" i="21"/>
  <c r="J75" i="21"/>
  <c r="AQ74" i="21"/>
  <c r="AP74" i="21"/>
  <c r="AF74" i="21"/>
  <c r="AI74" i="21" s="1"/>
  <c r="AK74" i="21" s="1"/>
  <c r="AE74" i="21"/>
  <c r="J74" i="21"/>
  <c r="AQ73" i="21"/>
  <c r="AP73" i="21"/>
  <c r="AF73" i="21"/>
  <c r="AI73" i="21" s="1"/>
  <c r="AK73" i="21" s="1"/>
  <c r="AE73" i="21"/>
  <c r="J73" i="21"/>
  <c r="AQ72" i="21"/>
  <c r="AP72" i="21"/>
  <c r="AF72" i="21"/>
  <c r="AG72" i="21" s="1"/>
  <c r="AE72" i="21"/>
  <c r="J72" i="21"/>
  <c r="AQ71" i="21"/>
  <c r="AP71" i="21"/>
  <c r="AF71" i="21"/>
  <c r="AG71" i="21" s="1"/>
  <c r="AE71" i="21"/>
  <c r="J71" i="21"/>
  <c r="AQ70" i="21"/>
  <c r="AP70" i="21"/>
  <c r="AF70" i="21"/>
  <c r="AG70" i="21" s="1"/>
  <c r="AE70" i="21"/>
  <c r="J70" i="21"/>
  <c r="AQ69" i="21"/>
  <c r="AP69" i="21"/>
  <c r="AF69" i="21"/>
  <c r="AG69" i="21" s="1"/>
  <c r="AE69" i="21"/>
  <c r="J69" i="21"/>
  <c r="AQ68" i="21"/>
  <c r="AP68" i="21"/>
  <c r="AF68" i="21"/>
  <c r="AG68" i="21" s="1"/>
  <c r="AE68" i="21"/>
  <c r="J68" i="21"/>
  <c r="AQ67" i="21"/>
  <c r="AP67" i="21"/>
  <c r="AF67" i="21"/>
  <c r="AG67" i="21" s="1"/>
  <c r="AE67" i="21"/>
  <c r="J67" i="21"/>
  <c r="AQ66" i="21"/>
  <c r="AP66" i="21"/>
  <c r="AO66" i="21"/>
  <c r="AN66" i="21"/>
  <c r="AH66" i="21"/>
  <c r="AF66" i="21"/>
  <c r="AG66" i="21" s="1"/>
  <c r="AI66" i="21" s="1"/>
  <c r="AE66" i="21"/>
  <c r="AC66" i="21"/>
  <c r="AB66" i="21"/>
  <c r="X66" i="21"/>
  <c r="Q66" i="21"/>
  <c r="P66" i="21"/>
  <c r="O66" i="21"/>
  <c r="N66" i="21"/>
  <c r="M66" i="21"/>
  <c r="L66" i="21"/>
  <c r="K66" i="21"/>
  <c r="J66" i="21"/>
  <c r="AQ65" i="21"/>
  <c r="AP65" i="21"/>
  <c r="AO65" i="21"/>
  <c r="AN65" i="21"/>
  <c r="AH65" i="21"/>
  <c r="AF65" i="21"/>
  <c r="AG65" i="21" s="1"/>
  <c r="AI65" i="21" s="1"/>
  <c r="AH65" i="22" s="1"/>
  <c r="AE65" i="21"/>
  <c r="AC65" i="21"/>
  <c r="AB65" i="21"/>
  <c r="X65" i="21"/>
  <c r="Q65" i="21"/>
  <c r="P65" i="21"/>
  <c r="O65" i="21"/>
  <c r="N65" i="21"/>
  <c r="M65" i="21"/>
  <c r="L65" i="21"/>
  <c r="K65" i="21"/>
  <c r="J65" i="21"/>
  <c r="AQ64" i="21"/>
  <c r="AP64" i="21"/>
  <c r="AO64" i="21"/>
  <c r="AN64" i="21"/>
  <c r="AH64" i="21"/>
  <c r="AF64" i="21"/>
  <c r="AG64" i="21" s="1"/>
  <c r="AI64" i="21" s="1"/>
  <c r="AE64" i="21"/>
  <c r="AC64" i="21"/>
  <c r="AB64" i="21"/>
  <c r="X64" i="21"/>
  <c r="Q64" i="21"/>
  <c r="P64" i="21"/>
  <c r="O64" i="21"/>
  <c r="N64" i="21"/>
  <c r="M64" i="21"/>
  <c r="L64" i="21"/>
  <c r="K64" i="21"/>
  <c r="J64" i="21"/>
  <c r="AQ63" i="21"/>
  <c r="AP63" i="21"/>
  <c r="AO63" i="21"/>
  <c r="AN63" i="21"/>
  <c r="AH63" i="21"/>
  <c r="AF63" i="21"/>
  <c r="AG63" i="21" s="1"/>
  <c r="AI63" i="21" s="1"/>
  <c r="AH63" i="22" s="1"/>
  <c r="AE63" i="21"/>
  <c r="AC63" i="21"/>
  <c r="AB63" i="21"/>
  <c r="X63" i="21"/>
  <c r="Q63" i="21"/>
  <c r="P63" i="21"/>
  <c r="O63" i="21"/>
  <c r="N63" i="21"/>
  <c r="M63" i="21"/>
  <c r="L63" i="21"/>
  <c r="K63" i="21"/>
  <c r="J63" i="21"/>
  <c r="AQ62" i="21"/>
  <c r="AP62" i="21"/>
  <c r="AO62" i="21"/>
  <c r="AN62" i="21"/>
  <c r="AH62" i="21"/>
  <c r="AF62" i="21"/>
  <c r="AG62" i="21" s="1"/>
  <c r="AI62" i="21" s="1"/>
  <c r="AE62" i="21"/>
  <c r="AC62" i="21"/>
  <c r="AB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AQ61" i="21"/>
  <c r="AP61" i="21"/>
  <c r="AO61" i="21"/>
  <c r="AN61" i="21"/>
  <c r="AH61" i="21"/>
  <c r="AF61" i="21"/>
  <c r="AG61" i="21" s="1"/>
  <c r="AI61" i="21" s="1"/>
  <c r="AE61" i="21"/>
  <c r="AC61" i="21"/>
  <c r="AB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AQ60" i="21"/>
  <c r="AP60" i="21"/>
  <c r="AO60" i="21"/>
  <c r="AN60" i="21"/>
  <c r="AH60" i="21"/>
  <c r="AF60" i="21"/>
  <c r="AG60" i="21" s="1"/>
  <c r="AI60" i="21" s="1"/>
  <c r="AE60" i="21"/>
  <c r="AC60" i="21"/>
  <c r="AB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AQ59" i="21"/>
  <c r="AP59" i="21"/>
  <c r="AO59" i="21"/>
  <c r="AN59" i="21"/>
  <c r="AH59" i="21"/>
  <c r="AF59" i="21"/>
  <c r="AG59" i="21" s="1"/>
  <c r="AI59" i="21" s="1"/>
  <c r="AE59" i="21"/>
  <c r="AC59" i="21"/>
  <c r="AB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AQ58" i="21"/>
  <c r="AP58" i="21"/>
  <c r="AO58" i="21"/>
  <c r="AN58" i="21"/>
  <c r="AH58" i="21"/>
  <c r="AF58" i="21"/>
  <c r="AG58" i="21" s="1"/>
  <c r="AI58" i="21" s="1"/>
  <c r="AE58" i="21"/>
  <c r="AC58" i="21"/>
  <c r="AB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AQ57" i="21"/>
  <c r="AP57" i="21"/>
  <c r="AO57" i="21"/>
  <c r="AN57" i="21"/>
  <c r="AH57" i="21"/>
  <c r="AF57" i="21"/>
  <c r="AG57" i="21" s="1"/>
  <c r="AI57" i="21" s="1"/>
  <c r="AE57" i="21"/>
  <c r="AC57" i="21"/>
  <c r="AB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AQ56" i="21"/>
  <c r="AP56" i="21"/>
  <c r="AO56" i="21"/>
  <c r="AN56" i="21"/>
  <c r="AH56" i="21"/>
  <c r="AF56" i="21"/>
  <c r="AG56" i="21" s="1"/>
  <c r="AI56" i="21" s="1"/>
  <c r="AE56" i="21"/>
  <c r="AC56" i="21"/>
  <c r="AB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AQ55" i="21"/>
  <c r="AP55" i="21"/>
  <c r="AO55" i="21"/>
  <c r="AN55" i="21"/>
  <c r="AH55" i="21"/>
  <c r="AF55" i="21"/>
  <c r="AG55" i="21" s="1"/>
  <c r="AI55" i="21" s="1"/>
  <c r="AE55" i="21"/>
  <c r="AC55" i="21"/>
  <c r="AB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AQ54" i="21"/>
  <c r="AP54" i="21"/>
  <c r="AO54" i="21"/>
  <c r="AN54" i="21"/>
  <c r="AH54" i="21"/>
  <c r="AF54" i="21"/>
  <c r="AG54" i="21" s="1"/>
  <c r="AI54" i="21" s="1"/>
  <c r="AE54" i="21"/>
  <c r="AC54" i="21"/>
  <c r="AB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AQ53" i="21"/>
  <c r="AP53" i="21"/>
  <c r="AO53" i="21"/>
  <c r="AN53" i="21"/>
  <c r="AH53" i="21"/>
  <c r="AF53" i="21"/>
  <c r="AG53" i="21" s="1"/>
  <c r="AI53" i="21" s="1"/>
  <c r="AE53" i="21"/>
  <c r="AC53" i="21"/>
  <c r="AB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AQ52" i="21"/>
  <c r="AP52" i="21"/>
  <c r="AO52" i="21"/>
  <c r="AN52" i="21"/>
  <c r="AH52" i="21"/>
  <c r="AF52" i="21"/>
  <c r="AG52" i="21" s="1"/>
  <c r="AI52" i="21" s="1"/>
  <c r="AE52" i="21"/>
  <c r="AC52" i="21"/>
  <c r="AB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AQ51" i="21"/>
  <c r="AP51" i="21"/>
  <c r="AO51" i="21"/>
  <c r="AN51" i="21"/>
  <c r="AH51" i="21"/>
  <c r="AF51" i="21"/>
  <c r="AG51" i="21" s="1"/>
  <c r="AI51" i="21" s="1"/>
  <c r="AE51" i="21"/>
  <c r="AC51" i="21"/>
  <c r="AB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AQ50" i="21"/>
  <c r="AP50" i="21"/>
  <c r="AO50" i="21"/>
  <c r="AN50" i="21"/>
  <c r="AH50" i="21"/>
  <c r="AF50" i="21"/>
  <c r="AG50" i="21" s="1"/>
  <c r="AI50" i="21" s="1"/>
  <c r="AE50" i="21"/>
  <c r="AC50" i="21"/>
  <c r="AB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AQ49" i="21"/>
  <c r="AP49" i="21"/>
  <c r="AO49" i="21"/>
  <c r="AN49" i="21"/>
  <c r="AH49" i="21"/>
  <c r="AF49" i="21"/>
  <c r="AG49" i="21" s="1"/>
  <c r="AI49" i="21" s="1"/>
  <c r="AE49" i="21"/>
  <c r="AC49" i="21"/>
  <c r="AB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AQ48" i="21"/>
  <c r="AP48" i="21"/>
  <c r="AO48" i="21"/>
  <c r="AN48" i="21"/>
  <c r="AH48" i="21"/>
  <c r="AF48" i="21"/>
  <c r="AG48" i="21" s="1"/>
  <c r="AI48" i="21" s="1"/>
  <c r="AE48" i="21"/>
  <c r="AC48" i="21"/>
  <c r="AB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AQ47" i="21"/>
  <c r="AP47" i="21"/>
  <c r="AO47" i="21"/>
  <c r="AN47" i="21"/>
  <c r="AH47" i="21"/>
  <c r="AF47" i="21"/>
  <c r="AG47" i="21" s="1"/>
  <c r="AI47" i="21" s="1"/>
  <c r="AE47" i="21"/>
  <c r="AC47" i="21"/>
  <c r="AB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AQ46" i="21"/>
  <c r="AP46" i="21"/>
  <c r="AO46" i="21"/>
  <c r="AN46" i="21"/>
  <c r="AH46" i="21"/>
  <c r="AF46" i="21"/>
  <c r="AG46" i="21" s="1"/>
  <c r="AI46" i="21" s="1"/>
  <c r="AE46" i="21"/>
  <c r="AC46" i="21"/>
  <c r="AB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AQ45" i="21"/>
  <c r="AP45" i="21"/>
  <c r="AO45" i="21"/>
  <c r="AN45" i="21"/>
  <c r="AH45" i="21"/>
  <c r="AF45" i="21"/>
  <c r="AG45" i="21" s="1"/>
  <c r="AI45" i="21" s="1"/>
  <c r="AE45" i="21"/>
  <c r="AC45" i="21"/>
  <c r="AB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AQ44" i="21"/>
  <c r="AP44" i="21"/>
  <c r="AO44" i="21"/>
  <c r="AN44" i="21"/>
  <c r="AH44" i="21"/>
  <c r="AF44" i="21"/>
  <c r="AG44" i="21" s="1"/>
  <c r="AI44" i="21" s="1"/>
  <c r="AE44" i="21"/>
  <c r="AC44" i="21"/>
  <c r="AB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AQ43" i="21"/>
  <c r="AP43" i="21"/>
  <c r="AO43" i="21"/>
  <c r="AN43" i="21"/>
  <c r="AH43" i="21"/>
  <c r="AF43" i="21"/>
  <c r="AG43" i="21" s="1"/>
  <c r="AI43" i="21" s="1"/>
  <c r="AE43" i="21"/>
  <c r="AC43" i="21"/>
  <c r="AB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AQ42" i="21"/>
  <c r="AP42" i="21"/>
  <c r="AO42" i="21"/>
  <c r="AN42" i="21"/>
  <c r="AH42" i="21"/>
  <c r="AF42" i="21"/>
  <c r="AG42" i="21" s="1"/>
  <c r="AI42" i="21" s="1"/>
  <c r="AE42" i="21"/>
  <c r="AC42" i="21"/>
  <c r="AB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AQ41" i="21"/>
  <c r="AP41" i="21"/>
  <c r="AO41" i="21"/>
  <c r="AN41" i="21"/>
  <c r="AH41" i="21"/>
  <c r="AF41" i="21"/>
  <c r="AG41" i="21" s="1"/>
  <c r="AI41" i="21" s="1"/>
  <c r="AE41" i="21"/>
  <c r="AC41" i="21"/>
  <c r="AB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AQ40" i="21"/>
  <c r="AP40" i="21"/>
  <c r="AO40" i="21"/>
  <c r="AN40" i="21"/>
  <c r="AH40" i="21"/>
  <c r="AF40" i="21"/>
  <c r="AG40" i="21" s="1"/>
  <c r="AI40" i="21" s="1"/>
  <c r="AE40" i="21"/>
  <c r="AC40" i="21"/>
  <c r="AB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AQ39" i="21"/>
  <c r="AP39" i="21"/>
  <c r="AO39" i="21"/>
  <c r="AN39" i="21"/>
  <c r="AH39" i="21"/>
  <c r="AF39" i="21"/>
  <c r="AG39" i="21" s="1"/>
  <c r="AI39" i="21" s="1"/>
  <c r="AE39" i="21"/>
  <c r="AC39" i="21"/>
  <c r="AB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AQ38" i="21"/>
  <c r="AP38" i="21"/>
  <c r="AO38" i="21"/>
  <c r="AN38" i="21"/>
  <c r="AH38" i="21"/>
  <c r="AF38" i="21"/>
  <c r="AG38" i="21" s="1"/>
  <c r="AI38" i="21" s="1"/>
  <c r="AE38" i="21"/>
  <c r="AC38" i="21"/>
  <c r="AB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AQ37" i="21"/>
  <c r="AP37" i="21"/>
  <c r="AO37" i="21"/>
  <c r="AN37" i="21"/>
  <c r="AH37" i="21"/>
  <c r="AF37" i="21"/>
  <c r="AG37" i="21" s="1"/>
  <c r="AI37" i="21" s="1"/>
  <c r="AE37" i="21"/>
  <c r="AC37" i="21"/>
  <c r="AB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AQ36" i="21"/>
  <c r="AP36" i="21"/>
  <c r="AO36" i="21"/>
  <c r="AN36" i="21"/>
  <c r="AH36" i="21"/>
  <c r="AF36" i="21"/>
  <c r="AG36" i="21" s="1"/>
  <c r="AI36" i="21" s="1"/>
  <c r="AE36" i="21"/>
  <c r="AC36" i="21"/>
  <c r="AB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AQ35" i="21"/>
  <c r="AP35" i="21"/>
  <c r="AO35" i="21"/>
  <c r="AN35" i="21"/>
  <c r="AH35" i="21"/>
  <c r="AF35" i="21"/>
  <c r="AG35" i="21" s="1"/>
  <c r="AI35" i="21" s="1"/>
  <c r="AE35" i="21"/>
  <c r="AC35" i="21"/>
  <c r="AB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AQ34" i="21"/>
  <c r="AP34" i="21"/>
  <c r="AO34" i="21"/>
  <c r="AN34" i="21"/>
  <c r="AH34" i="21"/>
  <c r="AF34" i="21"/>
  <c r="AG34" i="21" s="1"/>
  <c r="AI34" i="21" s="1"/>
  <c r="AE34" i="21"/>
  <c r="AC34" i="21"/>
  <c r="AB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AQ33" i="21"/>
  <c r="AP33" i="21"/>
  <c r="AO33" i="21"/>
  <c r="AN33" i="21"/>
  <c r="AH33" i="21"/>
  <c r="AF33" i="21"/>
  <c r="AG33" i="21" s="1"/>
  <c r="AI33" i="21" s="1"/>
  <c r="AE33" i="21"/>
  <c r="AC33" i="21"/>
  <c r="AB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AQ32" i="21"/>
  <c r="AP32" i="21"/>
  <c r="AO32" i="21"/>
  <c r="AN32" i="21"/>
  <c r="AH32" i="21"/>
  <c r="AF32" i="21"/>
  <c r="AG32" i="21" s="1"/>
  <c r="AI32" i="21" s="1"/>
  <c r="AE32" i="21"/>
  <c r="AC32" i="21"/>
  <c r="AB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AQ31" i="21"/>
  <c r="AP31" i="21"/>
  <c r="AO31" i="21"/>
  <c r="AN31" i="21"/>
  <c r="AH31" i="21"/>
  <c r="AF31" i="21"/>
  <c r="AG31" i="21" s="1"/>
  <c r="AI31" i="21" s="1"/>
  <c r="AE31" i="21"/>
  <c r="AC31" i="21"/>
  <c r="AB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AQ30" i="21"/>
  <c r="AP30" i="21"/>
  <c r="AO30" i="21"/>
  <c r="AN30" i="21"/>
  <c r="AH30" i="21"/>
  <c r="AF30" i="21"/>
  <c r="AG30" i="21" s="1"/>
  <c r="AI30" i="21" s="1"/>
  <c r="AE30" i="21"/>
  <c r="AC30" i="21"/>
  <c r="AB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AQ29" i="21"/>
  <c r="AP29" i="21"/>
  <c r="AO29" i="21"/>
  <c r="AN29" i="21"/>
  <c r="AH29" i="21"/>
  <c r="AF29" i="21"/>
  <c r="AG29" i="21" s="1"/>
  <c r="AI29" i="21" s="1"/>
  <c r="AE29" i="21"/>
  <c r="AC29" i="21"/>
  <c r="AB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AQ28" i="21"/>
  <c r="AP28" i="21"/>
  <c r="AO28" i="21"/>
  <c r="AN28" i="21"/>
  <c r="AH28" i="21"/>
  <c r="AF28" i="21"/>
  <c r="AG28" i="21" s="1"/>
  <c r="AI28" i="21" s="1"/>
  <c r="AE28" i="21"/>
  <c r="AC28" i="21"/>
  <c r="AB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AQ27" i="21"/>
  <c r="AP27" i="21"/>
  <c r="AO27" i="21"/>
  <c r="AN27" i="21"/>
  <c r="AH27" i="21"/>
  <c r="AF27" i="21"/>
  <c r="AG27" i="21" s="1"/>
  <c r="AI27" i="21" s="1"/>
  <c r="AE27" i="21"/>
  <c r="AC27" i="21"/>
  <c r="AB27" i="21"/>
  <c r="X27" i="21"/>
  <c r="Q27" i="21"/>
  <c r="P27" i="21"/>
  <c r="O27" i="21"/>
  <c r="N27" i="21"/>
  <c r="M27" i="21"/>
  <c r="L27" i="21"/>
  <c r="K27" i="21"/>
  <c r="J27" i="21"/>
  <c r="AQ26" i="21"/>
  <c r="AP26" i="21"/>
  <c r="AO26" i="21"/>
  <c r="AN26" i="21"/>
  <c r="AH26" i="21"/>
  <c r="AF26" i="21"/>
  <c r="AG26" i="21" s="1"/>
  <c r="AI26" i="21" s="1"/>
  <c r="AH26" i="22" s="1"/>
  <c r="AE26" i="21"/>
  <c r="AC26" i="21"/>
  <c r="AB26" i="21"/>
  <c r="X26" i="21"/>
  <c r="Q26" i="21"/>
  <c r="P26" i="21"/>
  <c r="O26" i="21"/>
  <c r="N26" i="21"/>
  <c r="M26" i="21"/>
  <c r="L26" i="21"/>
  <c r="K26" i="21"/>
  <c r="J26" i="21"/>
  <c r="AQ25" i="21"/>
  <c r="AP25" i="21"/>
  <c r="AO25" i="21"/>
  <c r="AN25" i="21"/>
  <c r="AH25" i="21"/>
  <c r="AF25" i="21"/>
  <c r="AG25" i="21" s="1"/>
  <c r="AI25" i="21" s="1"/>
  <c r="AE25" i="21"/>
  <c r="AC25" i="21"/>
  <c r="AB25" i="21"/>
  <c r="X25" i="21"/>
  <c r="Q25" i="21"/>
  <c r="P25" i="21"/>
  <c r="O25" i="21"/>
  <c r="N25" i="21"/>
  <c r="M25" i="21"/>
  <c r="L25" i="21"/>
  <c r="K25" i="21"/>
  <c r="J25" i="21"/>
  <c r="AQ24" i="21"/>
  <c r="AP24" i="21"/>
  <c r="AO24" i="21"/>
  <c r="AN24" i="21"/>
  <c r="AH24" i="21"/>
  <c r="AF24" i="21"/>
  <c r="AG24" i="21" s="1"/>
  <c r="AI24" i="21" s="1"/>
  <c r="AH24" i="22" s="1"/>
  <c r="AE24" i="21"/>
  <c r="AC24" i="21"/>
  <c r="AB24" i="21"/>
  <c r="X24" i="21"/>
  <c r="Q24" i="21"/>
  <c r="P24" i="21"/>
  <c r="O24" i="21"/>
  <c r="N24" i="21"/>
  <c r="M24" i="21"/>
  <c r="L24" i="21"/>
  <c r="K24" i="21"/>
  <c r="J24" i="21"/>
  <c r="AQ23" i="21"/>
  <c r="AP23" i="21"/>
  <c r="AO23" i="21"/>
  <c r="AN23" i="21"/>
  <c r="AH23" i="21"/>
  <c r="AF23" i="21"/>
  <c r="AG23" i="21" s="1"/>
  <c r="AI23" i="21" s="1"/>
  <c r="AE23" i="21"/>
  <c r="AC23" i="21"/>
  <c r="AB23" i="21"/>
  <c r="X23" i="21"/>
  <c r="Q23" i="21"/>
  <c r="P23" i="21"/>
  <c r="O23" i="21"/>
  <c r="N23" i="21"/>
  <c r="M23" i="21"/>
  <c r="L23" i="21"/>
  <c r="K23" i="21"/>
  <c r="J23" i="21"/>
  <c r="AQ22" i="21"/>
  <c r="AP22" i="21"/>
  <c r="AO22" i="21"/>
  <c r="AN22" i="21"/>
  <c r="AH22" i="21"/>
  <c r="AF22" i="21"/>
  <c r="AG22" i="21" s="1"/>
  <c r="AI22" i="21" s="1"/>
  <c r="AH22" i="22" s="1"/>
  <c r="AE22" i="21"/>
  <c r="AC22" i="21"/>
  <c r="AB22" i="21"/>
  <c r="X22" i="21"/>
  <c r="Q22" i="21"/>
  <c r="P22" i="21"/>
  <c r="O22" i="21"/>
  <c r="N22" i="21"/>
  <c r="M22" i="21"/>
  <c r="L22" i="21"/>
  <c r="K22" i="21"/>
  <c r="J22" i="21"/>
  <c r="AQ21" i="21"/>
  <c r="AP21" i="21"/>
  <c r="AO21" i="21"/>
  <c r="AN21" i="21"/>
  <c r="AH21" i="21"/>
  <c r="AF21" i="21"/>
  <c r="AG21" i="21" s="1"/>
  <c r="AI21" i="21" s="1"/>
  <c r="AE21" i="21"/>
  <c r="AC21" i="21"/>
  <c r="AB21" i="21"/>
  <c r="X21" i="21"/>
  <c r="Q21" i="21"/>
  <c r="P21" i="21"/>
  <c r="O21" i="21"/>
  <c r="N21" i="21"/>
  <c r="M21" i="21"/>
  <c r="L21" i="21"/>
  <c r="K21" i="21"/>
  <c r="J21" i="21"/>
  <c r="AQ20" i="21"/>
  <c r="AP20" i="21"/>
  <c r="AO20" i="21"/>
  <c r="AN20" i="21"/>
  <c r="AH20" i="21"/>
  <c r="AF20" i="21"/>
  <c r="AG20" i="21" s="1"/>
  <c r="AI20" i="21" s="1"/>
  <c r="AH20" i="22" s="1"/>
  <c r="AE20" i="21"/>
  <c r="AC20" i="21"/>
  <c r="AB20" i="21"/>
  <c r="X20" i="21"/>
  <c r="Q20" i="21"/>
  <c r="P20" i="21"/>
  <c r="O20" i="21"/>
  <c r="N20" i="21"/>
  <c r="M20" i="21"/>
  <c r="L20" i="21"/>
  <c r="K20" i="21"/>
  <c r="J20" i="21"/>
  <c r="AQ19" i="21"/>
  <c r="AP19" i="21"/>
  <c r="AO19" i="21"/>
  <c r="AN19" i="21"/>
  <c r="AH19" i="21"/>
  <c r="AF19" i="21"/>
  <c r="AG19" i="21" s="1"/>
  <c r="AI19" i="21" s="1"/>
  <c r="AE19" i="21"/>
  <c r="AC19" i="21"/>
  <c r="AB19" i="21"/>
  <c r="X19" i="21"/>
  <c r="Q19" i="21"/>
  <c r="P19" i="21"/>
  <c r="O19" i="21"/>
  <c r="N19" i="21"/>
  <c r="M19" i="21"/>
  <c r="L19" i="21"/>
  <c r="K19" i="21"/>
  <c r="J19" i="21"/>
  <c r="AQ18" i="21"/>
  <c r="AP18" i="21"/>
  <c r="AO18" i="21"/>
  <c r="AN18" i="21"/>
  <c r="AH18" i="21"/>
  <c r="AF18" i="21"/>
  <c r="AG18" i="21" s="1"/>
  <c r="AI18" i="21" s="1"/>
  <c r="AH18" i="22" s="1"/>
  <c r="AE18" i="21"/>
  <c r="AC18" i="21"/>
  <c r="AB18" i="21"/>
  <c r="X18" i="21"/>
  <c r="Q18" i="21"/>
  <c r="P18" i="21"/>
  <c r="O18" i="21"/>
  <c r="N18" i="21"/>
  <c r="M18" i="21"/>
  <c r="L18" i="21"/>
  <c r="K18" i="21"/>
  <c r="J18" i="21"/>
  <c r="AQ17" i="21"/>
  <c r="AP17" i="21"/>
  <c r="AO17" i="21"/>
  <c r="AN17" i="21"/>
  <c r="AH17" i="21"/>
  <c r="AF17" i="21"/>
  <c r="AG17" i="21" s="1"/>
  <c r="AI17" i="21" s="1"/>
  <c r="AE17" i="21"/>
  <c r="AC17" i="21"/>
  <c r="AB17" i="21"/>
  <c r="X17" i="21"/>
  <c r="Q17" i="21"/>
  <c r="P17" i="21"/>
  <c r="O17" i="21"/>
  <c r="N17" i="21"/>
  <c r="M17" i="21"/>
  <c r="L17" i="21"/>
  <c r="K17" i="21"/>
  <c r="J17" i="21"/>
  <c r="AQ16" i="21"/>
  <c r="AP16" i="21"/>
  <c r="AO16" i="21"/>
  <c r="AN16" i="21"/>
  <c r="AH16" i="21"/>
  <c r="AF16" i="21"/>
  <c r="AG16" i="21" s="1"/>
  <c r="AI16" i="21" s="1"/>
  <c r="AH16" i="22" s="1"/>
  <c r="AE16" i="21"/>
  <c r="AC16" i="21"/>
  <c r="AB16" i="21"/>
  <c r="X16" i="21"/>
  <c r="Q16" i="21"/>
  <c r="P16" i="21"/>
  <c r="O16" i="21"/>
  <c r="N16" i="21"/>
  <c r="M16" i="21"/>
  <c r="L16" i="21"/>
  <c r="K16" i="21"/>
  <c r="J16" i="21"/>
  <c r="AQ15" i="21"/>
  <c r="AP15" i="21"/>
  <c r="AO15" i="21"/>
  <c r="AN15" i="21"/>
  <c r="AH15" i="21"/>
  <c r="AF15" i="21"/>
  <c r="AG15" i="21" s="1"/>
  <c r="AI15" i="21" s="1"/>
  <c r="AE15" i="21"/>
  <c r="AC15" i="21"/>
  <c r="AB15" i="21"/>
  <c r="X15" i="21"/>
  <c r="Q15" i="21"/>
  <c r="P15" i="21"/>
  <c r="O15" i="21"/>
  <c r="N15" i="21"/>
  <c r="M15" i="21"/>
  <c r="L15" i="21"/>
  <c r="K15" i="21"/>
  <c r="J15" i="21"/>
  <c r="AQ14" i="21"/>
  <c r="AP14" i="21"/>
  <c r="AO14" i="21"/>
  <c r="AN14" i="21"/>
  <c r="AH14" i="21"/>
  <c r="AF14" i="21"/>
  <c r="AG14" i="21" s="1"/>
  <c r="AI14" i="21" s="1"/>
  <c r="AH14" i="22" s="1"/>
  <c r="AE14" i="21"/>
  <c r="AC14" i="21"/>
  <c r="AB14" i="21"/>
  <c r="X14" i="21"/>
  <c r="Q14" i="21"/>
  <c r="P14" i="21"/>
  <c r="O14" i="21"/>
  <c r="N14" i="21"/>
  <c r="M14" i="21"/>
  <c r="L14" i="21"/>
  <c r="K14" i="21"/>
  <c r="J14" i="21"/>
  <c r="AQ13" i="21"/>
  <c r="AP13" i="21"/>
  <c r="AO13" i="21"/>
  <c r="AN13" i="21"/>
  <c r="AH13" i="21"/>
  <c r="AF13" i="21"/>
  <c r="AG13" i="21" s="1"/>
  <c r="AI13" i="21" s="1"/>
  <c r="AE13" i="21"/>
  <c r="AC13" i="21"/>
  <c r="AB13" i="21"/>
  <c r="X13" i="21"/>
  <c r="Q13" i="21"/>
  <c r="P13" i="21"/>
  <c r="O13" i="21"/>
  <c r="N13" i="21"/>
  <c r="M13" i="21"/>
  <c r="L13" i="21"/>
  <c r="K13" i="21"/>
  <c r="J13" i="21"/>
  <c r="AQ12" i="21"/>
  <c r="AP12" i="21"/>
  <c r="AO12" i="21"/>
  <c r="AN12" i="21"/>
  <c r="AH12" i="21"/>
  <c r="AF12" i="21"/>
  <c r="AG12" i="21" s="1"/>
  <c r="AI12" i="21" s="1"/>
  <c r="AH12" i="22" s="1"/>
  <c r="AE12" i="21"/>
  <c r="AC12" i="21"/>
  <c r="AB12" i="21"/>
  <c r="X12" i="21"/>
  <c r="Q12" i="21"/>
  <c r="P12" i="21"/>
  <c r="O12" i="21"/>
  <c r="N12" i="21"/>
  <c r="M12" i="21"/>
  <c r="L12" i="21"/>
  <c r="K12" i="21"/>
  <c r="J12" i="21"/>
  <c r="AQ11" i="21"/>
  <c r="AP11" i="21"/>
  <c r="AO11" i="21"/>
  <c r="AN11" i="21"/>
  <c r="AH11" i="21"/>
  <c r="AF11" i="21"/>
  <c r="AG11" i="21" s="1"/>
  <c r="AI11" i="21" s="1"/>
  <c r="AE11" i="21"/>
  <c r="AC11" i="21"/>
  <c r="AB11" i="21"/>
  <c r="X11" i="21"/>
  <c r="Q11" i="21"/>
  <c r="P11" i="21"/>
  <c r="O11" i="21"/>
  <c r="N11" i="21"/>
  <c r="M11" i="21"/>
  <c r="L11" i="21"/>
  <c r="K11" i="21"/>
  <c r="J11" i="21"/>
  <c r="AQ10" i="21"/>
  <c r="AP10" i="21"/>
  <c r="AO10" i="21"/>
  <c r="AN10" i="21"/>
  <c r="AH10" i="21"/>
  <c r="AF10" i="21"/>
  <c r="AG10" i="21" s="1"/>
  <c r="AI10" i="21" s="1"/>
  <c r="AH10" i="22" s="1"/>
  <c r="AE10" i="21"/>
  <c r="AC10" i="21"/>
  <c r="AB10" i="21"/>
  <c r="X10" i="21"/>
  <c r="Q10" i="21"/>
  <c r="P10" i="21"/>
  <c r="O10" i="21"/>
  <c r="N10" i="21"/>
  <c r="M10" i="21"/>
  <c r="L10" i="21"/>
  <c r="K10" i="21"/>
  <c r="J10" i="21"/>
  <c r="AS9" i="21"/>
  <c r="AQ9" i="21"/>
  <c r="AP9" i="21"/>
  <c r="AO9" i="21"/>
  <c r="AN9" i="21"/>
  <c r="AH9" i="21"/>
  <c r="AF9" i="21"/>
  <c r="AG9" i="21" s="1"/>
  <c r="AI9" i="21" s="1"/>
  <c r="AE9" i="21"/>
  <c r="AC9" i="21"/>
  <c r="AB9" i="21"/>
  <c r="X9" i="21"/>
  <c r="Q9" i="21"/>
  <c r="P9" i="21"/>
  <c r="O9" i="21"/>
  <c r="N9" i="21"/>
  <c r="M9" i="21"/>
  <c r="L9" i="21"/>
  <c r="K9" i="21"/>
  <c r="J9" i="21"/>
  <c r="AS8" i="21"/>
  <c r="AQ8" i="21"/>
  <c r="AP8" i="21"/>
  <c r="AO8" i="21"/>
  <c r="AN8" i="21"/>
  <c r="AH8" i="21"/>
  <c r="AF8" i="21"/>
  <c r="AG8" i="21" s="1"/>
  <c r="AI8" i="21" s="1"/>
  <c r="AE8" i="21"/>
  <c r="AC8" i="21"/>
  <c r="AB8" i="21"/>
  <c r="X8" i="21"/>
  <c r="Q8" i="21"/>
  <c r="P8" i="21"/>
  <c r="O8" i="21"/>
  <c r="N8" i="21"/>
  <c r="M8" i="21"/>
  <c r="L8" i="21"/>
  <c r="K8" i="21"/>
  <c r="J8" i="21"/>
  <c r="AQ7" i="21"/>
  <c r="AP7" i="21"/>
  <c r="AO7" i="21"/>
  <c r="AN7" i="21"/>
  <c r="AH7" i="21"/>
  <c r="AF7" i="21"/>
  <c r="AG7" i="21" s="1"/>
  <c r="AI7" i="21" s="1"/>
  <c r="AE7" i="21"/>
  <c r="AC7" i="21"/>
  <c r="AB7" i="21"/>
  <c r="X7" i="21"/>
  <c r="Q7" i="21"/>
  <c r="P7" i="21"/>
  <c r="O7" i="21"/>
  <c r="N7" i="21"/>
  <c r="M7" i="21"/>
  <c r="L7" i="21"/>
  <c r="K7" i="21"/>
  <c r="J7" i="21"/>
  <c r="AQ6" i="21"/>
  <c r="AP6" i="21"/>
  <c r="AO6" i="21"/>
  <c r="AN6" i="21"/>
  <c r="AH6" i="21"/>
  <c r="AF6" i="21"/>
  <c r="AG6" i="21" s="1"/>
  <c r="AE6" i="21"/>
  <c r="AC6" i="21"/>
  <c r="AB6" i="21"/>
  <c r="X6" i="21"/>
  <c r="Q6" i="21"/>
  <c r="P6" i="21"/>
  <c r="O6" i="21"/>
  <c r="N6" i="21"/>
  <c r="M6" i="21"/>
  <c r="L6" i="21"/>
  <c r="K6" i="21"/>
  <c r="J6" i="21"/>
  <c r="U24" i="3"/>
  <c r="V17" i="3"/>
  <c r="O17" i="3"/>
  <c r="N17" i="3"/>
  <c r="M17" i="3"/>
  <c r="R16" i="3"/>
  <c r="S16" i="3" s="1"/>
  <c r="T16" i="3" s="1"/>
  <c r="U16" i="3" s="1"/>
  <c r="W16" i="3" s="1"/>
  <c r="P16" i="3" s="1"/>
  <c r="Q16" i="3" s="1"/>
  <c r="J16" i="3"/>
  <c r="R15" i="3"/>
  <c r="S15" i="3" s="1"/>
  <c r="T15" i="3" s="1"/>
  <c r="U15" i="3" s="1"/>
  <c r="W15" i="3" s="1"/>
  <c r="P15" i="3" s="1"/>
  <c r="Q15" i="3" s="1"/>
  <c r="J15" i="3"/>
  <c r="R14" i="3"/>
  <c r="S14" i="3" s="1"/>
  <c r="T14" i="3" s="1"/>
  <c r="U14" i="3" s="1"/>
  <c r="W14" i="3" s="1"/>
  <c r="P14" i="3" s="1"/>
  <c r="Q14" i="3" s="1"/>
  <c r="J14" i="3"/>
  <c r="R13" i="3"/>
  <c r="S13" i="3" s="1"/>
  <c r="T13" i="3" s="1"/>
  <c r="U13" i="3" s="1"/>
  <c r="W13" i="3" s="1"/>
  <c r="P13" i="3" s="1"/>
  <c r="Q13" i="3" s="1"/>
  <c r="J13" i="3"/>
  <c r="R12" i="3"/>
  <c r="S12" i="3" s="1"/>
  <c r="T12" i="3" s="1"/>
  <c r="U12" i="3" s="1"/>
  <c r="W12" i="3" s="1"/>
  <c r="P12" i="3" s="1"/>
  <c r="Q12" i="3" s="1"/>
  <c r="J12" i="3"/>
  <c r="R11" i="3"/>
  <c r="S11" i="3" s="1"/>
  <c r="T11" i="3" s="1"/>
  <c r="U11" i="3" s="1"/>
  <c r="W11" i="3" s="1"/>
  <c r="P11" i="3" s="1"/>
  <c r="Q11" i="3" s="1"/>
  <c r="J11" i="3"/>
  <c r="R10" i="3"/>
  <c r="S10" i="3" s="1"/>
  <c r="T10" i="3" s="1"/>
  <c r="U10" i="3" s="1"/>
  <c r="W10" i="3" s="1"/>
  <c r="P10" i="3" s="1"/>
  <c r="Q10" i="3" s="1"/>
  <c r="J10" i="3"/>
  <c r="R9" i="3"/>
  <c r="S9" i="3" s="1"/>
  <c r="T9" i="3" s="1"/>
  <c r="U9" i="3" s="1"/>
  <c r="W9" i="3" s="1"/>
  <c r="P9" i="3" s="1"/>
  <c r="Q9" i="3" s="1"/>
  <c r="J9" i="3"/>
  <c r="R8" i="3"/>
  <c r="S8" i="3" s="1"/>
  <c r="T8" i="3" s="1"/>
  <c r="U8" i="3" s="1"/>
  <c r="W8" i="3" s="1"/>
  <c r="P8" i="3" s="1"/>
  <c r="Q8" i="3" s="1"/>
  <c r="J8" i="3"/>
  <c r="R7" i="3"/>
  <c r="S7" i="3" s="1"/>
  <c r="T7" i="3" s="1"/>
  <c r="U7" i="3" s="1"/>
  <c r="W7" i="3" s="1"/>
  <c r="P7" i="3" s="1"/>
  <c r="J7" i="3"/>
  <c r="R6" i="3"/>
  <c r="S6" i="3" s="1"/>
  <c r="Q6" i="3"/>
  <c r="O6" i="3"/>
  <c r="J6" i="3"/>
  <c r="B46" i="1"/>
  <c r="A46" i="1"/>
  <c r="B45" i="1"/>
  <c r="A45" i="1"/>
  <c r="B44" i="1"/>
  <c r="A44" i="1"/>
  <c r="N43" i="1"/>
  <c r="M43" i="1"/>
  <c r="B43" i="1"/>
  <c r="A43" i="1"/>
  <c r="N42" i="1"/>
  <c r="M42" i="1"/>
  <c r="H42" i="1"/>
  <c r="G42" i="1"/>
  <c r="B42" i="1"/>
  <c r="A42" i="1"/>
  <c r="N41" i="1"/>
  <c r="M41" i="1"/>
  <c r="H41" i="1"/>
  <c r="G41" i="1"/>
  <c r="B41" i="1"/>
  <c r="A41" i="1"/>
  <c r="N40" i="1"/>
  <c r="M40" i="1"/>
  <c r="H40" i="1"/>
  <c r="G40" i="1"/>
  <c r="B40" i="1"/>
  <c r="A40" i="1"/>
  <c r="N39" i="1"/>
  <c r="M39" i="1"/>
  <c r="H39" i="1"/>
  <c r="G39" i="1"/>
  <c r="B39" i="1"/>
  <c r="A39" i="1"/>
  <c r="N38" i="1"/>
  <c r="M38" i="1"/>
  <c r="H38" i="1"/>
  <c r="G38" i="1"/>
  <c r="B38" i="1"/>
  <c r="A38" i="1"/>
  <c r="N37" i="1"/>
  <c r="M37" i="1"/>
  <c r="H37" i="1"/>
  <c r="G37" i="1"/>
  <c r="B37" i="1"/>
  <c r="A37" i="1"/>
  <c r="N36" i="1"/>
  <c r="M36" i="1"/>
  <c r="H36" i="1"/>
  <c r="G36" i="1"/>
  <c r="B36" i="1"/>
  <c r="A36" i="1"/>
  <c r="N35" i="1"/>
  <c r="M35" i="1"/>
  <c r="H35" i="1"/>
  <c r="G35" i="1"/>
  <c r="B35" i="1"/>
  <c r="A35" i="1"/>
  <c r="N34" i="1"/>
  <c r="M34" i="1"/>
  <c r="H34" i="1"/>
  <c r="G34" i="1"/>
  <c r="B34" i="1"/>
  <c r="A34" i="1"/>
  <c r="N33" i="1"/>
  <c r="M33" i="1"/>
  <c r="H33" i="1"/>
  <c r="G33" i="1"/>
  <c r="B33" i="1"/>
  <c r="A33" i="1"/>
  <c r="N32" i="1"/>
  <c r="M32" i="1"/>
  <c r="H32" i="1"/>
  <c r="G32" i="1"/>
  <c r="B32" i="1"/>
  <c r="A32" i="1"/>
  <c r="N31" i="1"/>
  <c r="M31" i="1"/>
  <c r="H31" i="1"/>
  <c r="G31" i="1"/>
  <c r="B31" i="1"/>
  <c r="A31" i="1"/>
  <c r="N30" i="1"/>
  <c r="M30" i="1"/>
  <c r="H30" i="1"/>
  <c r="G30" i="1"/>
  <c r="B30" i="1"/>
  <c r="A30" i="1"/>
  <c r="N29" i="1"/>
  <c r="M29" i="1"/>
  <c r="H29" i="1"/>
  <c r="G29" i="1"/>
  <c r="B29" i="1"/>
  <c r="A29" i="1"/>
  <c r="N28" i="1"/>
  <c r="M28" i="1"/>
  <c r="H28" i="1"/>
  <c r="G28" i="1"/>
  <c r="B28" i="1"/>
  <c r="A28" i="1"/>
  <c r="N27" i="1"/>
  <c r="M27" i="1"/>
  <c r="H27" i="1"/>
  <c r="G27" i="1"/>
  <c r="B27" i="1"/>
  <c r="A27" i="1"/>
  <c r="N26" i="1"/>
  <c r="M26" i="1"/>
  <c r="H26" i="1"/>
  <c r="G26" i="1"/>
  <c r="B26" i="1"/>
  <c r="A26" i="1"/>
  <c r="N25" i="1"/>
  <c r="M25" i="1"/>
  <c r="H25" i="1"/>
  <c r="G25" i="1"/>
  <c r="B25" i="1"/>
  <c r="A25" i="1"/>
  <c r="N24" i="1"/>
  <c r="M24" i="1"/>
  <c r="H24" i="1"/>
  <c r="G24" i="1"/>
  <c r="B24" i="1"/>
  <c r="A24" i="1"/>
  <c r="N23" i="1"/>
  <c r="M23" i="1"/>
  <c r="H23" i="1"/>
  <c r="G23" i="1"/>
  <c r="B23" i="1"/>
  <c r="A23" i="1"/>
  <c r="N22" i="1"/>
  <c r="M22" i="1"/>
  <c r="H22" i="1"/>
  <c r="G22" i="1"/>
  <c r="B22" i="1"/>
  <c r="A22" i="1"/>
  <c r="N21" i="1"/>
  <c r="M21" i="1"/>
  <c r="H21" i="1"/>
  <c r="G21" i="1"/>
  <c r="B21" i="1"/>
  <c r="A21" i="1"/>
  <c r="N20" i="1"/>
  <c r="M20" i="1"/>
  <c r="H20" i="1"/>
  <c r="G20" i="1"/>
  <c r="B20" i="1"/>
  <c r="A20" i="1"/>
  <c r="N19" i="1"/>
  <c r="M19" i="1"/>
  <c r="H19" i="1"/>
  <c r="G19" i="1"/>
  <c r="B19" i="1"/>
  <c r="A19" i="1"/>
  <c r="N18" i="1"/>
  <c r="M18" i="1"/>
  <c r="H18" i="1"/>
  <c r="G18" i="1"/>
  <c r="B18" i="1"/>
  <c r="A18" i="1"/>
  <c r="N17" i="1"/>
  <c r="M17" i="1"/>
  <c r="H17" i="1"/>
  <c r="G17" i="1"/>
  <c r="B17" i="1"/>
  <c r="A17" i="1"/>
  <c r="N16" i="1"/>
  <c r="M16" i="1"/>
  <c r="H16" i="1"/>
  <c r="G16" i="1"/>
  <c r="B16" i="1"/>
  <c r="A16" i="1"/>
  <c r="N15" i="1"/>
  <c r="M15" i="1"/>
  <c r="H15" i="1"/>
  <c r="G15" i="1"/>
  <c r="B15" i="1"/>
  <c r="A15" i="1"/>
  <c r="N14" i="1"/>
  <c r="M14" i="1"/>
  <c r="H14" i="1"/>
  <c r="G14" i="1"/>
  <c r="B14" i="1"/>
  <c r="A14" i="1"/>
  <c r="S13" i="1"/>
  <c r="N13" i="1"/>
  <c r="M13" i="1"/>
  <c r="H13" i="1"/>
  <c r="G13" i="1"/>
  <c r="B13" i="1"/>
  <c r="A13" i="1"/>
  <c r="S12" i="1"/>
  <c r="N12" i="1"/>
  <c r="M12" i="1"/>
  <c r="H12" i="1"/>
  <c r="G12" i="1"/>
  <c r="B12" i="1"/>
  <c r="A12" i="1"/>
  <c r="S11" i="1"/>
  <c r="N11" i="1"/>
  <c r="M11" i="1"/>
  <c r="H11" i="1"/>
  <c r="G11" i="1"/>
  <c r="B11" i="1"/>
  <c r="A11" i="1"/>
  <c r="S10" i="1"/>
  <c r="N10" i="1"/>
  <c r="M10" i="1"/>
  <c r="H10" i="1"/>
  <c r="G10" i="1"/>
  <c r="B10" i="1"/>
  <c r="A10" i="1"/>
  <c r="N9" i="1"/>
  <c r="M9" i="1"/>
  <c r="H9" i="1"/>
  <c r="G9" i="1"/>
  <c r="B9" i="1"/>
  <c r="A9" i="1"/>
  <c r="N8" i="1"/>
  <c r="M8" i="1"/>
  <c r="H8" i="1"/>
  <c r="G8" i="1"/>
  <c r="B8" i="1"/>
  <c r="A8" i="1"/>
  <c r="N7" i="1"/>
  <c r="M7" i="1"/>
  <c r="H7" i="1"/>
  <c r="G7" i="1"/>
  <c r="B7" i="1"/>
  <c r="A7" i="1"/>
  <c r="N6" i="1"/>
  <c r="M6" i="1"/>
  <c r="H6" i="1"/>
  <c r="G6" i="1"/>
  <c r="B6" i="1"/>
  <c r="A6" i="1"/>
  <c r="N5" i="1"/>
  <c r="M5" i="1"/>
  <c r="H5" i="1"/>
  <c r="G5" i="1"/>
  <c r="B5" i="1"/>
  <c r="A5" i="1"/>
  <c r="N4" i="1"/>
  <c r="M4" i="1"/>
  <c r="H4" i="1"/>
  <c r="G4" i="1"/>
  <c r="B4" i="1"/>
  <c r="A4" i="1"/>
  <c r="AI31" i="23" l="1"/>
  <c r="AK31" i="23" s="1"/>
  <c r="AI32" i="23"/>
  <c r="AK32" i="23" s="1"/>
  <c r="AE27" i="27"/>
  <c r="AF27" i="27" s="1"/>
  <c r="AG27" i="27" s="1"/>
  <c r="AK29" i="27"/>
  <c r="AI24" i="24"/>
  <c r="AK24" i="24" s="1"/>
  <c r="AM24" i="24" s="1"/>
  <c r="AI20" i="24"/>
  <c r="AK20" i="24" s="1"/>
  <c r="AM20" i="24" s="1"/>
  <c r="AF67" i="25"/>
  <c r="AE22" i="27"/>
  <c r="AF22" i="27" s="1"/>
  <c r="AG22" i="27" s="1"/>
  <c r="AK43" i="27"/>
  <c r="P67" i="27"/>
  <c r="AE66" i="27"/>
  <c r="AF66" i="27" s="1"/>
  <c r="AG66" i="27" s="1"/>
  <c r="N67" i="27"/>
  <c r="AE58" i="27"/>
  <c r="AF58" i="27" s="1"/>
  <c r="AG58" i="27" s="1"/>
  <c r="Y67" i="27"/>
  <c r="AB67" i="27"/>
  <c r="AE62" i="27"/>
  <c r="AF62" i="27" s="1"/>
  <c r="AG62" i="27" s="1"/>
  <c r="AE40" i="27"/>
  <c r="AF40" i="27" s="1"/>
  <c r="AG40" i="27" s="1"/>
  <c r="AK39" i="27"/>
  <c r="AI9" i="23"/>
  <c r="AK9" i="23" s="1"/>
  <c r="AI28" i="24"/>
  <c r="AK28" i="24" s="1"/>
  <c r="AM28" i="24" s="1"/>
  <c r="AI44" i="24"/>
  <c r="AK44" i="24" s="1"/>
  <c r="AM44" i="24" s="1"/>
  <c r="AI12" i="22"/>
  <c r="AK12" i="22" s="1"/>
  <c r="AI20" i="22"/>
  <c r="AK20" i="22" s="1"/>
  <c r="AI19" i="23"/>
  <c r="AK19" i="23" s="1"/>
  <c r="AI20" i="23"/>
  <c r="AK20" i="23" s="1"/>
  <c r="AF67" i="24"/>
  <c r="AF67" i="26"/>
  <c r="AI33" i="24"/>
  <c r="AO33" i="24" s="1"/>
  <c r="AF78" i="30"/>
  <c r="AF67" i="28"/>
  <c r="AI63" i="22"/>
  <c r="AK63" i="22" s="1"/>
  <c r="AI26" i="24"/>
  <c r="AK26" i="24" s="1"/>
  <c r="AM26" i="24" s="1"/>
  <c r="AF78" i="29"/>
  <c r="AF83" i="31"/>
  <c r="AK10" i="27"/>
  <c r="AK11" i="27"/>
  <c r="AK12" i="27"/>
  <c r="AK13" i="27"/>
  <c r="AK14" i="27"/>
  <c r="AK15" i="27"/>
  <c r="AK16" i="27"/>
  <c r="AK17" i="27"/>
  <c r="AK22" i="27"/>
  <c r="M67" i="27"/>
  <c r="O67" i="27"/>
  <c r="X67" i="27"/>
  <c r="AI67" i="27"/>
  <c r="AE9" i="27"/>
  <c r="AF9" i="27" s="1"/>
  <c r="AG9" i="27" s="1"/>
  <c r="AE21" i="27"/>
  <c r="AF21" i="27" s="1"/>
  <c r="AG21" i="27" s="1"/>
  <c r="Q67" i="27"/>
  <c r="AE25" i="27"/>
  <c r="AF25" i="27" s="1"/>
  <c r="AG25" i="27" s="1"/>
  <c r="AJ27" i="27"/>
  <c r="AK27" i="27" s="1"/>
  <c r="AL27" i="27" s="1"/>
  <c r="W67" i="27"/>
  <c r="AE31" i="27"/>
  <c r="AF31" i="27" s="1"/>
  <c r="AG31" i="27" s="1"/>
  <c r="R67" i="27"/>
  <c r="V67" i="27"/>
  <c r="AK52" i="27"/>
  <c r="AK64" i="27"/>
  <c r="AI65" i="22"/>
  <c r="AK65" i="22" s="1"/>
  <c r="AG73" i="21"/>
  <c r="AG74" i="21"/>
  <c r="AG75" i="21"/>
  <c r="AG76" i="21"/>
  <c r="AG77" i="21"/>
  <c r="AG78" i="21"/>
  <c r="AG79" i="21"/>
  <c r="AG80" i="21"/>
  <c r="AG81" i="21"/>
  <c r="AG82" i="21"/>
  <c r="AG83" i="21"/>
  <c r="AG84" i="21"/>
  <c r="AG85" i="21"/>
  <c r="AG86" i="21"/>
  <c r="AG87" i="21"/>
  <c r="AG88" i="21"/>
  <c r="AG89" i="21"/>
  <c r="AI18" i="24"/>
  <c r="AK18" i="24" s="1"/>
  <c r="AM18" i="24" s="1"/>
  <c r="AI41" i="23"/>
  <c r="AK41" i="23" s="1"/>
  <c r="AI53" i="23"/>
  <c r="AK53" i="23" s="1"/>
  <c r="AG6" i="24"/>
  <c r="AG67" i="24" s="1"/>
  <c r="AI18" i="23"/>
  <c r="AK18" i="23" s="1"/>
  <c r="AI41" i="24"/>
  <c r="AK41" i="24" s="1"/>
  <c r="AM41" i="24" s="1"/>
  <c r="AI43" i="24"/>
  <c r="AK43" i="24" s="1"/>
  <c r="AM43" i="24" s="1"/>
  <c r="AI53" i="24"/>
  <c r="AK53" i="24" s="1"/>
  <c r="AM53" i="24" s="1"/>
  <c r="AF94" i="32"/>
  <c r="AK7" i="27"/>
  <c r="AK8" i="27"/>
  <c r="AE6" i="27"/>
  <c r="AJ6" i="27"/>
  <c r="AE7" i="27"/>
  <c r="AE8" i="27"/>
  <c r="AK18" i="27"/>
  <c r="AK19" i="27"/>
  <c r="AK20" i="27"/>
  <c r="AK26" i="27"/>
  <c r="AK6" i="27"/>
  <c r="AK9" i="27"/>
  <c r="AL9" i="27" s="1"/>
  <c r="AN9" i="27" s="1"/>
  <c r="AK21" i="27"/>
  <c r="AK23" i="27"/>
  <c r="AK24" i="27"/>
  <c r="AE23" i="27"/>
  <c r="AE24" i="27"/>
  <c r="AJ25" i="27"/>
  <c r="AK25" i="27" s="1"/>
  <c r="AE26" i="27"/>
  <c r="AF26" i="27" s="1"/>
  <c r="AG26" i="27" s="1"/>
  <c r="AL30" i="27"/>
  <c r="AJ31" i="27"/>
  <c r="AK31" i="27" s="1"/>
  <c r="AL31" i="27" s="1"/>
  <c r="AL34" i="27"/>
  <c r="AF34" i="27"/>
  <c r="AG34" i="27" s="1"/>
  <c r="AL35" i="27"/>
  <c r="AF35" i="27"/>
  <c r="AG35" i="27" s="1"/>
  <c r="AL36" i="27"/>
  <c r="AF36" i="27"/>
  <c r="AG36" i="27" s="1"/>
  <c r="AF55" i="27"/>
  <c r="AG55" i="27" s="1"/>
  <c r="AL55" i="27"/>
  <c r="AE10" i="27"/>
  <c r="AE11" i="27"/>
  <c r="AE12" i="27"/>
  <c r="AE13" i="27"/>
  <c r="AL13" i="27" s="1"/>
  <c r="AE14" i="27"/>
  <c r="AE15" i="27"/>
  <c r="AL15" i="27" s="1"/>
  <c r="AE16" i="27"/>
  <c r="AE17" i="27"/>
  <c r="AL17" i="27" s="1"/>
  <c r="AE18" i="27"/>
  <c r="AE19" i="27"/>
  <c r="AE20" i="27"/>
  <c r="S67" i="27"/>
  <c r="AE28" i="27"/>
  <c r="AE29" i="27"/>
  <c r="AL29" i="27" s="1"/>
  <c r="AK37" i="27"/>
  <c r="AK42" i="27"/>
  <c r="AK45" i="27"/>
  <c r="AK46" i="27"/>
  <c r="AK53" i="27"/>
  <c r="AK57" i="27"/>
  <c r="AK59" i="27"/>
  <c r="AK60" i="27"/>
  <c r="AF61" i="27"/>
  <c r="AG61" i="27" s="1"/>
  <c r="AL61" i="27"/>
  <c r="AK63" i="27"/>
  <c r="AK65" i="27"/>
  <c r="AE37" i="27"/>
  <c r="AE39" i="27"/>
  <c r="AJ40" i="27"/>
  <c r="AK40" i="27" s="1"/>
  <c r="AL40" i="27" s="1"/>
  <c r="AE42" i="27"/>
  <c r="AF42" i="27" s="1"/>
  <c r="AG42" i="27" s="1"/>
  <c r="AE43" i="27"/>
  <c r="AL43" i="27" s="1"/>
  <c r="AE45" i="27"/>
  <c r="AE46" i="27"/>
  <c r="AF47" i="27"/>
  <c r="AG47" i="27" s="1"/>
  <c r="AE52" i="27"/>
  <c r="AF52" i="27" s="1"/>
  <c r="AG52" i="27" s="1"/>
  <c r="AE53" i="27"/>
  <c r="AF54" i="27"/>
  <c r="AG54" i="27" s="1"/>
  <c r="AE57" i="27"/>
  <c r="AJ58" i="27"/>
  <c r="AK58" i="27" s="1"/>
  <c r="AL58" i="27" s="1"/>
  <c r="AJ62" i="27"/>
  <c r="AK62" i="27" s="1"/>
  <c r="AE64" i="27"/>
  <c r="AF64" i="27" s="1"/>
  <c r="AG64" i="27" s="1"/>
  <c r="AE65" i="27"/>
  <c r="AJ66" i="27"/>
  <c r="AK66" i="27" s="1"/>
  <c r="AL66" i="27" s="1"/>
  <c r="AE41" i="27"/>
  <c r="AE59" i="27"/>
  <c r="AE60" i="27"/>
  <c r="AE63" i="27"/>
  <c r="AH7" i="22"/>
  <c r="AI7" i="22" s="1"/>
  <c r="AK7" i="22" s="1"/>
  <c r="AK7" i="21"/>
  <c r="AH11" i="22"/>
  <c r="AI11" i="22" s="1"/>
  <c r="AK11" i="22" s="1"/>
  <c r="AK11" i="21"/>
  <c r="AK15" i="21"/>
  <c r="AH15" i="22"/>
  <c r="AI15" i="22" s="1"/>
  <c r="AK15" i="22" s="1"/>
  <c r="AH19" i="22"/>
  <c r="AI19" i="22" s="1"/>
  <c r="AK19" i="22" s="1"/>
  <c r="AK19" i="21"/>
  <c r="AK23" i="21"/>
  <c r="AH23" i="22"/>
  <c r="AI23" i="22" s="1"/>
  <c r="AK23" i="22" s="1"/>
  <c r="AH27" i="22"/>
  <c r="AI27" i="22" s="1"/>
  <c r="AK27" i="22" s="1"/>
  <c r="AK27" i="21"/>
  <c r="AK28" i="21"/>
  <c r="AH28" i="22"/>
  <c r="AI28" i="22" s="1"/>
  <c r="AK28" i="22" s="1"/>
  <c r="AH29" i="22"/>
  <c r="AI29" i="22" s="1"/>
  <c r="AK29" i="22" s="1"/>
  <c r="AK29" i="21"/>
  <c r="AH30" i="22"/>
  <c r="AI30" i="22" s="1"/>
  <c r="AK30" i="22" s="1"/>
  <c r="AK30" i="21"/>
  <c r="AK31" i="21"/>
  <c r="AH31" i="22"/>
  <c r="AI31" i="22" s="1"/>
  <c r="AK31" i="22" s="1"/>
  <c r="AH32" i="22"/>
  <c r="AI32" i="22" s="1"/>
  <c r="AK32" i="22" s="1"/>
  <c r="AK32" i="21"/>
  <c r="AH33" i="22"/>
  <c r="AM33" i="22" s="1"/>
  <c r="AM67" i="22" s="1"/>
  <c r="AK33" i="21"/>
  <c r="AK34" i="21"/>
  <c r="AH34" i="22"/>
  <c r="AI34" i="22" s="1"/>
  <c r="AK34" i="22" s="1"/>
  <c r="AH35" i="22"/>
  <c r="AI35" i="22" s="1"/>
  <c r="AK35" i="22" s="1"/>
  <c r="AK35" i="21"/>
  <c r="AH36" i="22"/>
  <c r="AM36" i="22" s="1"/>
  <c r="AK36" i="21"/>
  <c r="AK37" i="21"/>
  <c r="AH37" i="22"/>
  <c r="AI37" i="22" s="1"/>
  <c r="AK37" i="22" s="1"/>
  <c r="AH38" i="22"/>
  <c r="AI38" i="22" s="1"/>
  <c r="AK38" i="22" s="1"/>
  <c r="AK38" i="21"/>
  <c r="AH39" i="22"/>
  <c r="AM39" i="22" s="1"/>
  <c r="AK39" i="21"/>
  <c r="AK40" i="21"/>
  <c r="AH40" i="22"/>
  <c r="AI40" i="22" s="1"/>
  <c r="AK40" i="22" s="1"/>
  <c r="AH41" i="22"/>
  <c r="AI41" i="22" s="1"/>
  <c r="AK41" i="22" s="1"/>
  <c r="AK41" i="21"/>
  <c r="AH42" i="22"/>
  <c r="AI42" i="22" s="1"/>
  <c r="AK42" i="22" s="1"/>
  <c r="AK42" i="21"/>
  <c r="AH43" i="22"/>
  <c r="AI43" i="22" s="1"/>
  <c r="AK43" i="22" s="1"/>
  <c r="AK43" i="21"/>
  <c r="AH44" i="22"/>
  <c r="AI44" i="22" s="1"/>
  <c r="AK44" i="22" s="1"/>
  <c r="AK44" i="21"/>
  <c r="AK45" i="21"/>
  <c r="AH45" i="22"/>
  <c r="AI45" i="22" s="1"/>
  <c r="AK45" i="22" s="1"/>
  <c r="AH46" i="22"/>
  <c r="AM46" i="22" s="1"/>
  <c r="AK46" i="21"/>
  <c r="AH47" i="22"/>
  <c r="AI47" i="22" s="1"/>
  <c r="AK47" i="22" s="1"/>
  <c r="AK47" i="21"/>
  <c r="AK48" i="21"/>
  <c r="AH48" i="22"/>
  <c r="AI48" i="22" s="1"/>
  <c r="AK48" i="22" s="1"/>
  <c r="AH49" i="22"/>
  <c r="AI49" i="22" s="1"/>
  <c r="AK49" i="22" s="1"/>
  <c r="AK49" i="21"/>
  <c r="AH50" i="22"/>
  <c r="AM50" i="22" s="1"/>
  <c r="AK50" i="21"/>
  <c r="AK51" i="21"/>
  <c r="AH51" i="22"/>
  <c r="AI51" i="22" s="1"/>
  <c r="AK51" i="22" s="1"/>
  <c r="AH52" i="22"/>
  <c r="AI52" i="22" s="1"/>
  <c r="AK52" i="22" s="1"/>
  <c r="AK52" i="21"/>
  <c r="AH53" i="22"/>
  <c r="AI53" i="22" s="1"/>
  <c r="AK53" i="22" s="1"/>
  <c r="AK53" i="21"/>
  <c r="AK54" i="21"/>
  <c r="AH54" i="22"/>
  <c r="AI54" i="22" s="1"/>
  <c r="AK54" i="22" s="1"/>
  <c r="AH55" i="22"/>
  <c r="AM55" i="22" s="1"/>
  <c r="AK55" i="21"/>
  <c r="AH56" i="22"/>
  <c r="AM56" i="22" s="1"/>
  <c r="AK56" i="21"/>
  <c r="AH57" i="22"/>
  <c r="AI57" i="22" s="1"/>
  <c r="AK57" i="22" s="1"/>
  <c r="AK57" i="21"/>
  <c r="AH58" i="22"/>
  <c r="AI58" i="22" s="1"/>
  <c r="AK58" i="22" s="1"/>
  <c r="AK58" i="21"/>
  <c r="AH59" i="22"/>
  <c r="AI59" i="22" s="1"/>
  <c r="AK59" i="22" s="1"/>
  <c r="AK59" i="21"/>
  <c r="AH60" i="22"/>
  <c r="AM60" i="22" s="1"/>
  <c r="AK60" i="21"/>
  <c r="AH61" i="22"/>
  <c r="AI61" i="22" s="1"/>
  <c r="AK61" i="22" s="1"/>
  <c r="AK61" i="21"/>
  <c r="AH62" i="22"/>
  <c r="AM62" i="22" s="1"/>
  <c r="AK62" i="21"/>
  <c r="AH66" i="22"/>
  <c r="AI66" i="22" s="1"/>
  <c r="AK66" i="22" s="1"/>
  <c r="AK66" i="21"/>
  <c r="AH8" i="22"/>
  <c r="AI8" i="22" s="1"/>
  <c r="AK8" i="22" s="1"/>
  <c r="AK8" i="21"/>
  <c r="AH9" i="22"/>
  <c r="AI9" i="22" s="1"/>
  <c r="AK9" i="22" s="1"/>
  <c r="AK9" i="21"/>
  <c r="AH13" i="22"/>
  <c r="AI13" i="22" s="1"/>
  <c r="AK13" i="22" s="1"/>
  <c r="AK13" i="21"/>
  <c r="AH17" i="22"/>
  <c r="AI17" i="22" s="1"/>
  <c r="AK17" i="22" s="1"/>
  <c r="AK17" i="21"/>
  <c r="AH21" i="22"/>
  <c r="AI21" i="22" s="1"/>
  <c r="AK21" i="22" s="1"/>
  <c r="AK21" i="21"/>
  <c r="AH25" i="22"/>
  <c r="AI25" i="22" s="1"/>
  <c r="AK25" i="22" s="1"/>
  <c r="AK25" i="21"/>
  <c r="AH64" i="22"/>
  <c r="AM64" i="22" s="1"/>
  <c r="AK64" i="21"/>
  <c r="AI6" i="21"/>
  <c r="AK10" i="21"/>
  <c r="AK14" i="21"/>
  <c r="AK18" i="21"/>
  <c r="AK22" i="21"/>
  <c r="AK26" i="21"/>
  <c r="AK63" i="21"/>
  <c r="AI16" i="22"/>
  <c r="AK16" i="22" s="1"/>
  <c r="AI24" i="22"/>
  <c r="AK24" i="22" s="1"/>
  <c r="AF91" i="21"/>
  <c r="AK12" i="21"/>
  <c r="AK16" i="21"/>
  <c r="AK20" i="21"/>
  <c r="AK24" i="21"/>
  <c r="AK65" i="21"/>
  <c r="AI67" i="21"/>
  <c r="AK67" i="21" s="1"/>
  <c r="AI68" i="21"/>
  <c r="AK68" i="21" s="1"/>
  <c r="AI69" i="21"/>
  <c r="AK69" i="21" s="1"/>
  <c r="AI70" i="21"/>
  <c r="AK70" i="21" s="1"/>
  <c r="AI71" i="21"/>
  <c r="AK71" i="21" s="1"/>
  <c r="AI72" i="21"/>
  <c r="AK72" i="21" s="1"/>
  <c r="AI10" i="22"/>
  <c r="AK10" i="22" s="1"/>
  <c r="AI18" i="22"/>
  <c r="AK18" i="22" s="1"/>
  <c r="AI26" i="22"/>
  <c r="AK26" i="22" s="1"/>
  <c r="AG67" i="23"/>
  <c r="AH6" i="24"/>
  <c r="AI6" i="23"/>
  <c r="AH8" i="24"/>
  <c r="AI8" i="24" s="1"/>
  <c r="AK8" i="24" s="1"/>
  <c r="AM8" i="24" s="1"/>
  <c r="AI8" i="23"/>
  <c r="AK8" i="23" s="1"/>
  <c r="AH11" i="24"/>
  <c r="AI11" i="24" s="1"/>
  <c r="AK11" i="24" s="1"/>
  <c r="AM11" i="24" s="1"/>
  <c r="AI11" i="23"/>
  <c r="AK11" i="23" s="1"/>
  <c r="AH13" i="24"/>
  <c r="AI13" i="24" s="1"/>
  <c r="AK13" i="24" s="1"/>
  <c r="AM13" i="24" s="1"/>
  <c r="AI13" i="23"/>
  <c r="AK13" i="23" s="1"/>
  <c r="AH15" i="24"/>
  <c r="AI15" i="24" s="1"/>
  <c r="AK15" i="24" s="1"/>
  <c r="AM15" i="24" s="1"/>
  <c r="AI15" i="23"/>
  <c r="AK15" i="23" s="1"/>
  <c r="AH17" i="24"/>
  <c r="AI17" i="24" s="1"/>
  <c r="AK17" i="24" s="1"/>
  <c r="AM17" i="24" s="1"/>
  <c r="AI17" i="23"/>
  <c r="AK17" i="23" s="1"/>
  <c r="AH22" i="24"/>
  <c r="AI22" i="24" s="1"/>
  <c r="AK22" i="24" s="1"/>
  <c r="AM22" i="24" s="1"/>
  <c r="AI22" i="23"/>
  <c r="AK22" i="23" s="1"/>
  <c r="AH30" i="24"/>
  <c r="AI30" i="24" s="1"/>
  <c r="AK30" i="24" s="1"/>
  <c r="AM30" i="24" s="1"/>
  <c r="AI30" i="23"/>
  <c r="AK30" i="23" s="1"/>
  <c r="AM36" i="23"/>
  <c r="AH39" i="24"/>
  <c r="AI39" i="24" s="1"/>
  <c r="AO39" i="24" s="1"/>
  <c r="AM39" i="23"/>
  <c r="AH40" i="24"/>
  <c r="AI40" i="24" s="1"/>
  <c r="AK40" i="24" s="1"/>
  <c r="AM40" i="24" s="1"/>
  <c r="AI40" i="23"/>
  <c r="AK40" i="23" s="1"/>
  <c r="AM46" i="23"/>
  <c r="AH49" i="24"/>
  <c r="AI49" i="24" s="1"/>
  <c r="AK49" i="24" s="1"/>
  <c r="AM49" i="24" s="1"/>
  <c r="AI49" i="23"/>
  <c r="AK49" i="23" s="1"/>
  <c r="AH52" i="24"/>
  <c r="AI52" i="24" s="1"/>
  <c r="AK52" i="24" s="1"/>
  <c r="AM52" i="24" s="1"/>
  <c r="AI52" i="23"/>
  <c r="AK52" i="23" s="1"/>
  <c r="AH55" i="24"/>
  <c r="AI55" i="24" s="1"/>
  <c r="AO55" i="24" s="1"/>
  <c r="AM55" i="23"/>
  <c r="AH56" i="24"/>
  <c r="AI56" i="24" s="1"/>
  <c r="AO56" i="24" s="1"/>
  <c r="AM56" i="23"/>
  <c r="AI59" i="23"/>
  <c r="AK59" i="23" s="1"/>
  <c r="AH59" i="24"/>
  <c r="AI59" i="24" s="1"/>
  <c r="AK59" i="24" s="1"/>
  <c r="AM59" i="24" s="1"/>
  <c r="AH61" i="24"/>
  <c r="AI61" i="24" s="1"/>
  <c r="AK61" i="24" s="1"/>
  <c r="AM61" i="24" s="1"/>
  <c r="AI61" i="23"/>
  <c r="AK61" i="23" s="1"/>
  <c r="AI63" i="23"/>
  <c r="AK63" i="23" s="1"/>
  <c r="AH63" i="24"/>
  <c r="AI63" i="24" s="1"/>
  <c r="AK63" i="24" s="1"/>
  <c r="AM63" i="24" s="1"/>
  <c r="AI65" i="23"/>
  <c r="AK65" i="23" s="1"/>
  <c r="AH65" i="24"/>
  <c r="AI65" i="24" s="1"/>
  <c r="AK65" i="24" s="1"/>
  <c r="AM65" i="24" s="1"/>
  <c r="AI27" i="24"/>
  <c r="AK27" i="24" s="1"/>
  <c r="AM27" i="24" s="1"/>
  <c r="AI29" i="24"/>
  <c r="AK29" i="24" s="1"/>
  <c r="AM29" i="24" s="1"/>
  <c r="AI35" i="24"/>
  <c r="AK35" i="24" s="1"/>
  <c r="AM35" i="24" s="1"/>
  <c r="AI36" i="24"/>
  <c r="AO36" i="24" s="1"/>
  <c r="AI37" i="24"/>
  <c r="AK37" i="24" s="1"/>
  <c r="AM37" i="24" s="1"/>
  <c r="AI46" i="24"/>
  <c r="AO46" i="24" s="1"/>
  <c r="AI48" i="24"/>
  <c r="AK48" i="24" s="1"/>
  <c r="AM48" i="24" s="1"/>
  <c r="AI58" i="24"/>
  <c r="AK58" i="24" s="1"/>
  <c r="AM58" i="24" s="1"/>
  <c r="AG67" i="22"/>
  <c r="AI14" i="22"/>
  <c r="AK14" i="22" s="1"/>
  <c r="AI22" i="22"/>
  <c r="AK22" i="22" s="1"/>
  <c r="AF67" i="22"/>
  <c r="AF67" i="23"/>
  <c r="AH7" i="24"/>
  <c r="AI7" i="24" s="1"/>
  <c r="AK7" i="24" s="1"/>
  <c r="AM7" i="24" s="1"/>
  <c r="AI7" i="23"/>
  <c r="AK7" i="23" s="1"/>
  <c r="AH10" i="24"/>
  <c r="AI10" i="24" s="1"/>
  <c r="AK10" i="24" s="1"/>
  <c r="AM10" i="24" s="1"/>
  <c r="AI10" i="23"/>
  <c r="AK10" i="23" s="1"/>
  <c r="AH12" i="24"/>
  <c r="AI12" i="24" s="1"/>
  <c r="AK12" i="24" s="1"/>
  <c r="AM12" i="24" s="1"/>
  <c r="AI12" i="23"/>
  <c r="AK12" i="23" s="1"/>
  <c r="AH14" i="24"/>
  <c r="AI14" i="24" s="1"/>
  <c r="AK14" i="24" s="1"/>
  <c r="AM14" i="24" s="1"/>
  <c r="AI14" i="23"/>
  <c r="AK14" i="23" s="1"/>
  <c r="AH16" i="24"/>
  <c r="AI16" i="24" s="1"/>
  <c r="AI16" i="23"/>
  <c r="AK16" i="23" s="1"/>
  <c r="AH21" i="24"/>
  <c r="AI21" i="24" s="1"/>
  <c r="AK21" i="24" s="1"/>
  <c r="AM21" i="24" s="1"/>
  <c r="AI21" i="23"/>
  <c r="AK21" i="23" s="1"/>
  <c r="AH23" i="24"/>
  <c r="AI23" i="24" s="1"/>
  <c r="AK23" i="24" s="1"/>
  <c r="AM23" i="24" s="1"/>
  <c r="AI23" i="23"/>
  <c r="AK23" i="23" s="1"/>
  <c r="AI24" i="23"/>
  <c r="AK24" i="23" s="1"/>
  <c r="AI25" i="23"/>
  <c r="AK25" i="23" s="1"/>
  <c r="AI26" i="23"/>
  <c r="AK26" i="23" s="1"/>
  <c r="AI27" i="23"/>
  <c r="AK27" i="23" s="1"/>
  <c r="AI28" i="23"/>
  <c r="AK28" i="23" s="1"/>
  <c r="AI29" i="23"/>
  <c r="AK29" i="23" s="1"/>
  <c r="AM33" i="23"/>
  <c r="AH34" i="24"/>
  <c r="AI34" i="24" s="1"/>
  <c r="AK34" i="24" s="1"/>
  <c r="AM34" i="24" s="1"/>
  <c r="AI34" i="23"/>
  <c r="AK34" i="23" s="1"/>
  <c r="AI35" i="23"/>
  <c r="AK35" i="23" s="1"/>
  <c r="AI37" i="23"/>
  <c r="AK37" i="23" s="1"/>
  <c r="AI38" i="23"/>
  <c r="AK38" i="23" s="1"/>
  <c r="AH42" i="24"/>
  <c r="AI42" i="24" s="1"/>
  <c r="AK42" i="24" s="1"/>
  <c r="AM42" i="24" s="1"/>
  <c r="AI42" i="23"/>
  <c r="AK42" i="23" s="1"/>
  <c r="AI43" i="23"/>
  <c r="AK43" i="23" s="1"/>
  <c r="AI44" i="23"/>
  <c r="AK44" i="23" s="1"/>
  <c r="AI45" i="23"/>
  <c r="AK45" i="23" s="1"/>
  <c r="AI47" i="23"/>
  <c r="AK47" i="23" s="1"/>
  <c r="AI48" i="23"/>
  <c r="AK48" i="23" s="1"/>
  <c r="AH50" i="24"/>
  <c r="AI50" i="24" s="1"/>
  <c r="AO50" i="24" s="1"/>
  <c r="AM50" i="23"/>
  <c r="AH51" i="24"/>
  <c r="AI51" i="24" s="1"/>
  <c r="AK51" i="24" s="1"/>
  <c r="AM51" i="24" s="1"/>
  <c r="AI51" i="23"/>
  <c r="AK51" i="23" s="1"/>
  <c r="AH54" i="24"/>
  <c r="AI54" i="24" s="1"/>
  <c r="AK54" i="24" s="1"/>
  <c r="AM54" i="24" s="1"/>
  <c r="AI54" i="23"/>
  <c r="AK54" i="23" s="1"/>
  <c r="AI57" i="23"/>
  <c r="AK57" i="23" s="1"/>
  <c r="AH57" i="24"/>
  <c r="AI57" i="24" s="1"/>
  <c r="AK57" i="24" s="1"/>
  <c r="AM57" i="24" s="1"/>
  <c r="AH66" i="24"/>
  <c r="AI66" i="24" s="1"/>
  <c r="AK66" i="24" s="1"/>
  <c r="AM66" i="24" s="1"/>
  <c r="AI66" i="23"/>
  <c r="AK66" i="23" s="1"/>
  <c r="AI9" i="24"/>
  <c r="AK9" i="24" s="1"/>
  <c r="AM9" i="24" s="1"/>
  <c r="AI19" i="24"/>
  <c r="AK19" i="24" s="1"/>
  <c r="AM19" i="24" s="1"/>
  <c r="AI25" i="24"/>
  <c r="AK25" i="24" s="1"/>
  <c r="AM25" i="24" s="1"/>
  <c r="AI31" i="24"/>
  <c r="AK31" i="24" s="1"/>
  <c r="AM31" i="24" s="1"/>
  <c r="AI32" i="24"/>
  <c r="AK32" i="24" s="1"/>
  <c r="AM32" i="24" s="1"/>
  <c r="AI38" i="24"/>
  <c r="AK38" i="24" s="1"/>
  <c r="AM38" i="24" s="1"/>
  <c r="AI45" i="24"/>
  <c r="AK45" i="24" s="1"/>
  <c r="AM45" i="24" s="1"/>
  <c r="AI47" i="24"/>
  <c r="AK47" i="24" s="1"/>
  <c r="AM47" i="24" s="1"/>
  <c r="AI62" i="24"/>
  <c r="AO62" i="24" s="1"/>
  <c r="AI64" i="24"/>
  <c r="AO64" i="24" s="1"/>
  <c r="AI58" i="23"/>
  <c r="AK58" i="23" s="1"/>
  <c r="AH60" i="24"/>
  <c r="AI60" i="24" s="1"/>
  <c r="AO60" i="24" s="1"/>
  <c r="AG7" i="25"/>
  <c r="AG67" i="25" s="1"/>
  <c r="AG6" i="26"/>
  <c r="AG67" i="26" s="1"/>
  <c r="AG6" i="28"/>
  <c r="AG67" i="28" s="1"/>
  <c r="AG6" i="29"/>
  <c r="AG78" i="29" s="1"/>
  <c r="AG6" i="30"/>
  <c r="AG78" i="30" s="1"/>
  <c r="AG6" i="31"/>
  <c r="AG83" i="31" s="1"/>
  <c r="AG7" i="32"/>
  <c r="AG94" i="32" s="1"/>
  <c r="AM62" i="23"/>
  <c r="AM64" i="23"/>
  <c r="S17" i="3"/>
  <c r="T6" i="3"/>
  <c r="Q7" i="3"/>
  <c r="Q17" i="3" s="1"/>
  <c r="P17" i="3"/>
  <c r="R17" i="3"/>
  <c r="AL22" i="27" l="1"/>
  <c r="AL11" i="27"/>
  <c r="AL62" i="27"/>
  <c r="AI6" i="24"/>
  <c r="AK6" i="24" s="1"/>
  <c r="AM6" i="24" s="1"/>
  <c r="AL21" i="27"/>
  <c r="AL25" i="27"/>
  <c r="AG91" i="21"/>
  <c r="AL37" i="27"/>
  <c r="AL46" i="27"/>
  <c r="AF60" i="27"/>
  <c r="AG60" i="27" s="1"/>
  <c r="AF41" i="27"/>
  <c r="AG41" i="27" s="1"/>
  <c r="AF65" i="27"/>
  <c r="AG65" i="27" s="1"/>
  <c r="AF57" i="27"/>
  <c r="AG57" i="27" s="1"/>
  <c r="AF53" i="27"/>
  <c r="AG53" i="27" s="1"/>
  <c r="AF45" i="27"/>
  <c r="AG45" i="27" s="1"/>
  <c r="AF39" i="27"/>
  <c r="AG39" i="27" s="1"/>
  <c r="AL65" i="27"/>
  <c r="AL60" i="27"/>
  <c r="AL57" i="27"/>
  <c r="AL42" i="27"/>
  <c r="AL28" i="27"/>
  <c r="AF28" i="27"/>
  <c r="AG28" i="27" s="1"/>
  <c r="AF20" i="27"/>
  <c r="AG20" i="27" s="1"/>
  <c r="AF18" i="27"/>
  <c r="AG18" i="27" s="1"/>
  <c r="AF16" i="27"/>
  <c r="AG16" i="27" s="1"/>
  <c r="AF14" i="27"/>
  <c r="AG14" i="27" s="1"/>
  <c r="AF12" i="27"/>
  <c r="AG12" i="27" s="1"/>
  <c r="AF10" i="27"/>
  <c r="AG10" i="27" s="1"/>
  <c r="AL64" i="27"/>
  <c r="AL39" i="27"/>
  <c r="AF24" i="27"/>
  <c r="AG24" i="27" s="1"/>
  <c r="AL24" i="27"/>
  <c r="AK67" i="27"/>
  <c r="AL6" i="27"/>
  <c r="AL26" i="27"/>
  <c r="AL19" i="27"/>
  <c r="AF7" i="27"/>
  <c r="AG7" i="27" s="1"/>
  <c r="AE67" i="27"/>
  <c r="AF6" i="27"/>
  <c r="AG6" i="27" s="1"/>
  <c r="AL7" i="27"/>
  <c r="AF63" i="27"/>
  <c r="AG63" i="27" s="1"/>
  <c r="AF59" i="27"/>
  <c r="AG59" i="27" s="1"/>
  <c r="AF46" i="27"/>
  <c r="AG46" i="27" s="1"/>
  <c r="AF43" i="27"/>
  <c r="AG43" i="27" s="1"/>
  <c r="AF37" i="27"/>
  <c r="AG37" i="27" s="1"/>
  <c r="AL63" i="27"/>
  <c r="AL59" i="27"/>
  <c r="AL53" i="27"/>
  <c r="AL45" i="27"/>
  <c r="AF29" i="27"/>
  <c r="AG29" i="27" s="1"/>
  <c r="AF19" i="27"/>
  <c r="AG19" i="27" s="1"/>
  <c r="AF17" i="27"/>
  <c r="AG17" i="27" s="1"/>
  <c r="AF15" i="27"/>
  <c r="AG15" i="27" s="1"/>
  <c r="AF13" i="27"/>
  <c r="AG13" i="27" s="1"/>
  <c r="AF11" i="27"/>
  <c r="AG11" i="27" s="1"/>
  <c r="AL52" i="27"/>
  <c r="AL41" i="27"/>
  <c r="AF23" i="27"/>
  <c r="AG23" i="27" s="1"/>
  <c r="AL23" i="27"/>
  <c r="AL20" i="27"/>
  <c r="AL18" i="27"/>
  <c r="AF8" i="27"/>
  <c r="AG8" i="27" s="1"/>
  <c r="AJ67" i="27"/>
  <c r="AL8" i="27"/>
  <c r="AN8" i="27" s="1"/>
  <c r="AL16" i="27"/>
  <c r="AL14" i="27"/>
  <c r="AL12" i="27"/>
  <c r="AL10" i="27"/>
  <c r="AO67" i="24"/>
  <c r="AK16" i="24"/>
  <c r="AI67" i="24"/>
  <c r="AM67" i="23"/>
  <c r="AI67" i="23"/>
  <c r="AK6" i="23"/>
  <c r="AK67" i="23" s="1"/>
  <c r="AI91" i="21"/>
  <c r="AK91" i="21" s="1"/>
  <c r="AH6" i="22"/>
  <c r="AK6" i="21"/>
  <c r="AH67" i="24"/>
  <c r="U6" i="3"/>
  <c r="T17" i="3"/>
  <c r="AF67" i="27" l="1"/>
  <c r="AL67" i="27"/>
  <c r="AG67" i="27"/>
  <c r="AK80" i="27"/>
  <c r="AL83" i="27" s="1"/>
  <c r="AK82" i="27" s="1"/>
  <c r="AM16" i="24"/>
  <c r="AM67" i="24" s="1"/>
  <c r="AK67" i="24"/>
  <c r="AI6" i="22"/>
  <c r="AH67" i="22"/>
  <c r="U17" i="3"/>
  <c r="W6" i="3"/>
  <c r="W17" i="3" s="1"/>
  <c r="AI67" i="22" l="1"/>
  <c r="AK6" i="22"/>
  <c r="AK67" i="22" s="1"/>
  <c r="AN6" i="45" l="1"/>
  <c r="AL77" i="45"/>
  <c r="AO6" i="45" l="1"/>
  <c r="Q77" i="45" l="1"/>
  <c r="N58" i="45" l="1"/>
  <c r="AC58" i="45" l="1"/>
  <c r="AS58" i="45"/>
  <c r="AL58" i="45" l="1"/>
  <c r="AD58" i="45"/>
  <c r="AE58" i="45" l="1"/>
  <c r="AN58" i="45"/>
  <c r="AO58" i="45" l="1"/>
  <c r="AH58" i="45"/>
  <c r="AI58" i="45" l="1"/>
  <c r="AH76" i="45"/>
  <c r="P77" i="45" l="1"/>
  <c r="N17" i="45" l="1"/>
  <c r="AC17" i="45" l="1"/>
  <c r="AS17" i="45"/>
  <c r="AS76" i="45" s="1"/>
  <c r="N76" i="45"/>
  <c r="N77" i="45"/>
  <c r="AL75" i="45"/>
  <c r="AN75" i="45" s="1"/>
  <c r="AO75" i="45" s="1"/>
  <c r="AL74" i="45"/>
  <c r="AL39" i="45" l="1"/>
  <c r="AN39" i="45" s="1"/>
  <c r="AO39" i="45" s="1"/>
  <c r="AL17" i="45"/>
  <c r="AN17" i="45" s="1"/>
  <c r="AO17" i="45" s="1"/>
  <c r="AD17" i="45"/>
  <c r="AD76" i="45" s="1"/>
  <c r="AC76" i="45"/>
  <c r="AN74" i="45"/>
  <c r="AL76" i="45" l="1"/>
  <c r="AE17" i="45"/>
  <c r="AO74" i="45"/>
  <c r="AO76" i="45" s="1"/>
  <c r="AN76" i="45"/>
  <c r="AG17" i="45" l="1"/>
  <c r="AE76" i="45"/>
  <c r="AI17" i="45" l="1"/>
  <c r="AI76" i="45" s="1"/>
  <c r="AG76" i="45"/>
  <c r="AE77" i="45" l="1"/>
  <c r="J61" i="1"/>
  <c r="J56" i="1"/>
  <c r="J57" i="1"/>
</calcChain>
</file>

<file path=xl/comments1.xml><?xml version="1.0" encoding="utf-8"?>
<comments xmlns="http://schemas.openxmlformats.org/spreadsheetml/2006/main">
  <authors>
    <author>NSP</author>
  </authors>
  <commentList>
    <comment ref="O381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comments2.xml><?xml version="1.0" encoding="utf-8"?>
<comments xmlns="http://schemas.openxmlformats.org/spreadsheetml/2006/main">
  <authors>
    <author>PG1A</author>
  </authors>
  <commentList>
    <comment ref="Q6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ANGKUT TANAH 126.000
TBS 779.715</t>
        </r>
      </text>
    </comment>
    <comment ref="Q66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ANGKUT TANAH 126.000
TBS 969.165</t>
        </r>
      </text>
    </comment>
  </commentList>
</comments>
</file>

<file path=xl/comments3.xml><?xml version="1.0" encoding="utf-8"?>
<comments xmlns="http://schemas.openxmlformats.org/spreadsheetml/2006/main">
  <authors>
    <author>PG1A</author>
  </authors>
  <commentList>
    <comment ref="Q6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ANGKUT TBS : 316.570
ANGKUT KAYU : 6.000
ANGKUT TANAH : 60.000</t>
        </r>
      </text>
    </comment>
    <comment ref="Q66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ANGKUT TBS : 553.320
ANGKUT KAYU : 6.000
ANGKUT TANAH : 60.000</t>
        </r>
      </text>
    </comment>
  </commentList>
</comments>
</file>

<file path=xl/comments4.xml><?xml version="1.0" encoding="utf-8"?>
<comments xmlns="http://schemas.openxmlformats.org/spreadsheetml/2006/main">
  <authors>
    <author>PG1A</author>
  </authors>
  <commentList>
    <comment ref="Q6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ANGKUT TBS : 316.570
ANGKUT KAYU : 6.000
ANGKUT TANAH : 60.000</t>
        </r>
      </text>
    </comment>
    <comment ref="Q66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ANGKUT TBS : 553.320
ANGKUT KAYU : 6.000
ANGKUT TANAH : 60.000</t>
        </r>
      </text>
    </comment>
  </commentList>
</comments>
</file>

<file path=xl/comments5.xml><?xml version="1.0" encoding="utf-8"?>
<comments xmlns="http://schemas.openxmlformats.org/spreadsheetml/2006/main">
  <authors>
    <author>PG1A</author>
  </authors>
  <commentList>
    <comment ref="P63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TBS: 1.199.120
MATERIAL : 84.000</t>
        </r>
      </text>
    </comment>
    <comment ref="P64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TBS : 1.049.495
MATERIAL : 78.000</t>
        </r>
      </text>
    </comment>
    <comment ref="P6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TBS: 560.000
MATERIAL : 36.000
TANAH : 42.000</t>
        </r>
      </text>
    </comment>
    <comment ref="P66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TBS: 745.955
MATERIAL :36.000
TANAH: 42.000</t>
        </r>
      </text>
    </comment>
  </commentList>
</comments>
</file>

<file path=xl/sharedStrings.xml><?xml version="1.0" encoding="utf-8"?>
<sst xmlns="http://schemas.openxmlformats.org/spreadsheetml/2006/main" count="7428" uniqueCount="604">
  <si>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</si>
  <si>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</si>
  <si>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</si>
  <si>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</si>
  <si>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</si>
  <si>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</si>
  <si>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</si>
  <si>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</si>
  <si>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</si>
  <si>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</si>
  <si>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</si>
  <si>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</si>
  <si>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</si>
  <si>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</si>
  <si>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</si>
  <si>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</si>
  <si>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</si>
  <si>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</si>
  <si>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</si>
  <si>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</si>
  <si>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</si>
  <si>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</si>
  <si>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</si>
  <si>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</si>
  <si>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</si>
  <si>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</si>
  <si>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</si>
  <si>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</si>
  <si>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</si>
  <si>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</si>
  <si>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</si>
  <si>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</si>
  <si>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</si>
  <si>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</si>
  <si>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</si>
  <si>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</si>
  <si>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</si>
  <si>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</si>
  <si>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</si>
  <si>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</si>
  <si>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</si>
  <si>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</si>
  <si>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</si>
  <si>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</si>
  <si>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</si>
  <si>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</si>
  <si>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</si>
  <si>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</si>
  <si>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</si>
  <si>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</si>
  <si>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</si>
  <si>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</si>
  <si>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</si>
  <si>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</si>
  <si>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</si>
  <si>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</si>
  <si>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</si>
  <si>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</si>
  <si>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</si>
  <si>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</si>
  <si>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DD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</si>
  <si>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</si>
  <si>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</si>
  <si>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</si>
  <si>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</si>
  <si>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</si>
  <si>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</si>
  <si>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AGUS SRI ASTUTI</t>
  </si>
  <si>
    <t>Astek Ins (0,84%)</t>
  </si>
  <si>
    <t>BPJS KESEHATAN (4%)</t>
  </si>
  <si>
    <t>PPh 21 Pot Jan'24</t>
  </si>
  <si>
    <t>Selisih</t>
  </si>
  <si>
    <t>PT. REBINMAS JAYA</t>
  </si>
  <si>
    <t>Ket</t>
  </si>
  <si>
    <t>-</t>
  </si>
  <si>
    <t>SECURITY</t>
  </si>
  <si>
    <t>JL MANGGAR DSN BUKIT INDAH RT. 011 RW. 004 DESA KACANG BUTOR KEC. BADAU</t>
  </si>
  <si>
    <t>DSN PESARAKAN RT. 007 RW. 003 DESA CENDIL KEC. KELAPA KAMPIT</t>
  </si>
  <si>
    <t>DSN CENDIL RT. 004 RW. 002 DESA CENDIL KEC. KELAPA KAMPIT</t>
  </si>
  <si>
    <t>INCOME TAX ARTICLE 21 FOR FEB 2024</t>
  </si>
  <si>
    <t>Rice  Allow</t>
  </si>
  <si>
    <t>Structural  Allow</t>
  </si>
  <si>
    <t>THR</t>
  </si>
  <si>
    <t>Bonus</t>
  </si>
  <si>
    <t>Service Time Allow</t>
  </si>
  <si>
    <t>Masa Kerja</t>
  </si>
  <si>
    <t>Lembur Bayar HK Penjagaan HGU</t>
  </si>
  <si>
    <t>Bensin Patroli</t>
  </si>
  <si>
    <t>SAHDAN</t>
  </si>
  <si>
    <t>RUSLAN</t>
  </si>
  <si>
    <t>AIR BEGANTUNG RT. 009 RW. 003 DESA KACANG BUTOR KEC. BADAU</t>
  </si>
  <si>
    <t>JL MANGGAR RT. 012 RW. 004 DESA KACANG BUTOR KEC. BADAU</t>
  </si>
  <si>
    <t>OPERATOR</t>
  </si>
  <si>
    <t>HELPER</t>
  </si>
  <si>
    <t>MANDOR PANEN</t>
  </si>
  <si>
    <t>T.Jabatan</t>
  </si>
  <si>
    <t>Lembur</t>
  </si>
  <si>
    <t>T.Beras</t>
  </si>
  <si>
    <t>POT. ALPA &amp; POT. CTH ( CUTI TANPA HK )</t>
  </si>
  <si>
    <t>PGE 1A (AIR KUNDO)</t>
  </si>
  <si>
    <t>MARTONO</t>
  </si>
  <si>
    <t>YUNIARTI</t>
  </si>
  <si>
    <t>ATIK KUSMIATI</t>
  </si>
  <si>
    <t>SALMIAH</t>
  </si>
  <si>
    <t>NURAINI</t>
  </si>
  <si>
    <t>ELYANI</t>
  </si>
  <si>
    <t>SUSINAH</t>
  </si>
  <si>
    <t>JUMIA</t>
  </si>
  <si>
    <t>NELI LISMANA</t>
  </si>
  <si>
    <t>KARMILA</t>
  </si>
  <si>
    <t>SADIAH</t>
  </si>
  <si>
    <t>PERA SUSANTI</t>
  </si>
  <si>
    <t>MARYOTO</t>
  </si>
  <si>
    <t>FENTI APRIANTI</t>
  </si>
  <si>
    <t>YUSPANDI</t>
  </si>
  <si>
    <t>JEMU</t>
  </si>
  <si>
    <t>RITA</t>
  </si>
  <si>
    <t>VERA NATALIA</t>
  </si>
  <si>
    <t>WIWIS</t>
  </si>
  <si>
    <t>DEDY KURNIAWAN</t>
  </si>
  <si>
    <t>NOVIANTI</t>
  </si>
  <si>
    <t>1902050504860001</t>
  </si>
  <si>
    <t>1902016806780001</t>
  </si>
  <si>
    <t>1902056004860002</t>
  </si>
  <si>
    <t>1902054908770002</t>
  </si>
  <si>
    <t>1906026909880002</t>
  </si>
  <si>
    <t>1902055206760002</t>
  </si>
  <si>
    <t>1902055109700001</t>
  </si>
  <si>
    <t>1902055205740001</t>
  </si>
  <si>
    <t>1902055212860002</t>
  </si>
  <si>
    <t>1902056009750001</t>
  </si>
  <si>
    <t>1902054808730002</t>
  </si>
  <si>
    <t>1902056301790001</t>
  </si>
  <si>
    <t>1902050908740001</t>
  </si>
  <si>
    <t>1902014204930001</t>
  </si>
  <si>
    <t>1902011410690002</t>
  </si>
  <si>
    <t>1902051001810001</t>
  </si>
  <si>
    <t>1902055510740001</t>
  </si>
  <si>
    <t>1906046512810004</t>
  </si>
  <si>
    <t>1902055003920002</t>
  </si>
  <si>
    <t>1902010509730004</t>
  </si>
  <si>
    <t>1902056607790002</t>
  </si>
  <si>
    <t>1902054101820001</t>
  </si>
  <si>
    <t>97.237.826.9-305.000</t>
  </si>
  <si>
    <t>75.585.294.4-305.000</t>
  </si>
  <si>
    <t>54.533.929.3-305.000</t>
  </si>
  <si>
    <t>97.237.535.6-305.000</t>
  </si>
  <si>
    <t>54.533.747.9-305.000</t>
  </si>
  <si>
    <t>97.237.582.8-305.000</t>
  </si>
  <si>
    <t>97.228.366.7-305.000</t>
  </si>
  <si>
    <t>97.237.569.5-305.000</t>
  </si>
  <si>
    <t>97.237.563.8-305.000</t>
  </si>
  <si>
    <t>97.237.568.7-305.000</t>
  </si>
  <si>
    <t>97.237.536.4-305.000</t>
  </si>
  <si>
    <t>97.237.532.3-305.000</t>
  </si>
  <si>
    <t>97.237.599.2-305.000</t>
  </si>
  <si>
    <t>97.237.578.6-305.000</t>
  </si>
  <si>
    <t>97.237.828.5-305.000</t>
  </si>
  <si>
    <t>72.110.458.6-305.000</t>
  </si>
  <si>
    <t>97.237.539.8-305.000</t>
  </si>
  <si>
    <t>97.237.549.7-305.000</t>
  </si>
  <si>
    <t>54.534.114.1.305.000</t>
  </si>
  <si>
    <t>97.237.618.0-305.000</t>
  </si>
  <si>
    <t>97.237.836.8-305.000</t>
  </si>
  <si>
    <t>97.228.396.4-305.000</t>
  </si>
  <si>
    <t>JL MANGGAR KM 28 DSN BUKIT INDAH RT. 011 RW. 004 DESA KACANG BUTOR BADAU</t>
  </si>
  <si>
    <t>BULUH TUMBANG RT 019 RW 005 DESA BULUH TUMNAH KEC. TANJUNG PANDAN</t>
  </si>
  <si>
    <t>JLN MANGGAR DSN KEPAYANG RT. 006 RW. 002 DS KACANG BUTOR BADAU</t>
  </si>
  <si>
    <t>JL MANGGAR DSN PARIT GUNUNG RT. 005 RW. 003 DS AIR BATU BUDING KEC BADAU</t>
  </si>
  <si>
    <t>DSN PARIT GUNUNG RT. 005 RW. 003 DS AIR BATU BUDING BADAU</t>
  </si>
  <si>
    <t>JL MANGGAR AIR BEGANTUNG RT. 008 RW. 003 DESA KACANG BUTOR KEC. BADAU</t>
  </si>
  <si>
    <t>DSN PARIT GUNUNG  RT. 005 RW. 003 DS AIR BATU BUDING BADAU</t>
  </si>
  <si>
    <t>JL MANGGAR KM 28 DSN BUKIT INDAH RT. 011 RW. 004 DESA KACANG BUTOR KEC. BADAU</t>
  </si>
  <si>
    <t>JL MANGGAR AIR BEGANTUNG RT. 010 RW. 003 DESA KACANG BUTOR KEC. BADAU</t>
  </si>
  <si>
    <t>JL MANGGAR RT. 012 RW. 004 DS KACANG BUTOR KEC. BADAU</t>
  </si>
  <si>
    <t>AIR BEGANTUNG RT. 010 RW. 003 DESA KACANG BUTOR KEC. BADAU</t>
  </si>
  <si>
    <t>JL PILANG GG MELATI RT. 007 RW. 002 DESA DUKONG KEC. TANJUNGPANDAN</t>
  </si>
  <si>
    <t>DUSUN BUKIT INDAH RT. 011 RW. 004 DESA KACANG BUTOR KEC. BADAU</t>
  </si>
  <si>
    <t>DSN AIR BEGANTUNG RT. 010 RW. 003 DESA KACANG BUTOR KEC. BADAU</t>
  </si>
  <si>
    <t xml:space="preserve">DSN AIR SAGU RT. 015 RW. 007 DESA MAYANG KEC. KELAPA KAMPIT </t>
  </si>
  <si>
    <t>JL MANGGAR DSN KEPAYANG RT. 006 RW. 002 DS KACANG BUTOR BADAU</t>
  </si>
  <si>
    <t>JL DAHLAN NO. 03 RT. 011 RW. 005 DS PANGKAL LALANG KEC TANJUNGPANDAN</t>
  </si>
  <si>
    <t>DSN AIR BATU BUDING RT. 001 RW. 001 DS AIR BATU BUDING KEC.BADAU</t>
  </si>
  <si>
    <t>DSN AIR BATU BUDING RT.002 RW.001 DESA AIR BATU BUDING KEC. BADAU</t>
  </si>
  <si>
    <t>MANDOR PERAWATAN</t>
  </si>
  <si>
    <t>PERAWATAN</t>
  </si>
  <si>
    <t>KERANI DIVISI</t>
  </si>
  <si>
    <t>YULI TRIANTO</t>
  </si>
  <si>
    <t>SALASATUN</t>
  </si>
  <si>
    <t>MUHAMMAD SAID</t>
  </si>
  <si>
    <t>NANO</t>
  </si>
  <si>
    <t>SUHAELI</t>
  </si>
  <si>
    <t>RUSTAM</t>
  </si>
  <si>
    <t>SAPRIANTO</t>
  </si>
  <si>
    <t>NANDAR ASMARA</t>
  </si>
  <si>
    <t>JUPRI</t>
  </si>
  <si>
    <t>HERNAWADI</t>
  </si>
  <si>
    <t>JAHARUDIN</t>
  </si>
  <si>
    <t>BAHARI</t>
  </si>
  <si>
    <t>SAPARUDIN</t>
  </si>
  <si>
    <t>HARDI</t>
  </si>
  <si>
    <t>RUSDIANA</t>
  </si>
  <si>
    <t>NAHARUDDIN</t>
  </si>
  <si>
    <t>SAPRIADI</t>
  </si>
  <si>
    <t>SURIADI</t>
  </si>
  <si>
    <t>HAINI</t>
  </si>
  <si>
    <t>KHAIRUL ANAM</t>
  </si>
  <si>
    <t>RODI</t>
  </si>
  <si>
    <t>RIADUSSHOLIHIN</t>
  </si>
  <si>
    <t>MIZAN ASRORI</t>
  </si>
  <si>
    <t>DARMAWAN</t>
  </si>
  <si>
    <t>SAWALUDIN</t>
  </si>
  <si>
    <t>HALIK</t>
  </si>
  <si>
    <t>ABDURRAHIM</t>
  </si>
  <si>
    <t>HERI PURNAMA</t>
  </si>
  <si>
    <t>MUSTAAN</t>
  </si>
  <si>
    <t>RUMIYAH</t>
  </si>
  <si>
    <t>SUPARDI</t>
  </si>
  <si>
    <t>GASRA</t>
  </si>
  <si>
    <t>JUMADIL</t>
  </si>
  <si>
    <t>97.228.397.2-305.000</t>
  </si>
  <si>
    <t>97.237.607.3-305.000</t>
  </si>
  <si>
    <t>04.970.518.9-305.000</t>
  </si>
  <si>
    <t>75.733.492.5-305.000</t>
  </si>
  <si>
    <t>1902050304890002</t>
  </si>
  <si>
    <t>1902054509770001</t>
  </si>
  <si>
    <t>5203041206820007</t>
  </si>
  <si>
    <t>3313162910710002</t>
  </si>
  <si>
    <t>5203144107750742</t>
  </si>
  <si>
    <t>5203183112790211</t>
  </si>
  <si>
    <t>1902052605910003</t>
  </si>
  <si>
    <t>3202262009710002</t>
  </si>
  <si>
    <t>5203120107650934</t>
  </si>
  <si>
    <t>5203100912940002</t>
  </si>
  <si>
    <t>5203173112780193</t>
  </si>
  <si>
    <t>5203070107770764</t>
  </si>
  <si>
    <t>5202090109840002</t>
  </si>
  <si>
    <t>1902040308890003</t>
  </si>
  <si>
    <t>1902043009700001</t>
  </si>
  <si>
    <t>5203181101800001</t>
  </si>
  <si>
    <t>5203011806820001</t>
  </si>
  <si>
    <t>5203033112850538</t>
  </si>
  <si>
    <t>5203060107910397</t>
  </si>
  <si>
    <t>1902041106830003</t>
  </si>
  <si>
    <t>5203192710020004</t>
  </si>
  <si>
    <t>5202092911910001</t>
  </si>
  <si>
    <t>5202031604000002</t>
  </si>
  <si>
    <t>5203051506870003</t>
  </si>
  <si>
    <t>5203023112800294</t>
  </si>
  <si>
    <t>5203193112720202</t>
  </si>
  <si>
    <t>1906011402870003</t>
  </si>
  <si>
    <t>5203193112750530</t>
  </si>
  <si>
    <t>5203023112870335</t>
  </si>
  <si>
    <t>5203192712750002</t>
  </si>
  <si>
    <t>5203190107800567</t>
  </si>
  <si>
    <t>5204051609820001</t>
  </si>
  <si>
    <t>5203021009770001</t>
  </si>
  <si>
    <t>5203041311750001</t>
  </si>
  <si>
    <t>5203010107780410</t>
  </si>
  <si>
    <t>DSN BUKIT INDAH RT. 011 RW. 004 DESA KACANG BUTOR DESA BADAU</t>
  </si>
  <si>
    <t>DASAN PETUNG DESA KOTARAJA KEC. SIKUR LOMBOK TIMUR</t>
  </si>
  <si>
    <t>GONDANGREJO RT. 001 RW. 008 DESA KARANG REJO KEC. KERJO KARANGANYAR JAWA TENGAH</t>
  </si>
  <si>
    <t>BEAK DAYA DESA WANASAB KEC. WANASABA KEC. LOMBOK TIMUR</t>
  </si>
  <si>
    <t>BARE LUNGKAK DESA GERENENG KEC. SAKRA TIMUR KAB. LOMBOK TIMUR</t>
  </si>
  <si>
    <t>KP NYALINDUNG RT. 034 RW. 008 DESA CIRACAP KEC. CIRACAP KAB. SUKABUMI JAWA BARAT</t>
  </si>
  <si>
    <t xml:space="preserve">MONTOR DAKOK  DESA PENGADANGAN KEC. PRINGGASELA KAB. LOMBOK TIMUR </t>
  </si>
  <si>
    <t>KOKOK RAJAK RT.003/RW.000 DESA DADAP KEC. SAMBELIA KAB. LOMBOK TIMUR</t>
  </si>
  <si>
    <t>GUNUNG TIMBA RT.006/ RW.003 DESA DENGGAN TIMUR KEC. SELONG KAB. LOMBOK TIMUR</t>
  </si>
  <si>
    <t>DASAN GEDANG DAYA DESA DENGGEN KEC. SELONG KAB. LOMBOK TIMUR</t>
  </si>
  <si>
    <t>PENGKORES RT.005/RW.- DESA KOPANG REMBIGA KEC. KOPANG KAB. LOMBOK TENGAH</t>
  </si>
  <si>
    <t>JL RAYA PELEPAK PUTE RT. 005 RW. 003 DESA PELEPAK PUTE KEC. SIJUK</t>
  </si>
  <si>
    <t>PELEPAK PUTE RT. 004 RW. 002 DESA PELEPAK PUTE KEC. SIJUK</t>
  </si>
  <si>
    <t>MONTE DESA SURABAYA UTARA KEC. SAKRA TIMUR KAB. LOMBOK TIMUR</t>
  </si>
  <si>
    <t xml:space="preserve">KETANGGA BARAT DESA KETANGGA JERAENG KEC. KERUAK KAB. LOMBOK TIMUR
</t>
  </si>
  <si>
    <t>LISUNG BATU, RT.004/- DS. PANDAN DURI KEC. TERARA KAB LOMBOK TIMUR</t>
  </si>
  <si>
    <t xml:space="preserve">DUSUN GUBUK KEBON DESA SUKAMULIA KEC. SUKAMULIA KAB. LOMBOK TIMUR </t>
  </si>
  <si>
    <t>JL TARUNA  RT. 011 RW. 006 DESA SIJUK KEC. SIJUK</t>
  </si>
  <si>
    <t>CAOK DESA BUNGTIANG KEC. SAKRA BARAT KAB. LOMBOK TIMUR</t>
  </si>
  <si>
    <t>PENGKORES RT.005/- DS. KOPANG REMBIGA KEC. KOPANG KAB. LOMBOK TENGAH</t>
  </si>
  <si>
    <t>MERTAK PAOK DS. MEKAR BERSATU KEC. BATUKLIANG KAB. LOMBOK TENGAH</t>
  </si>
  <si>
    <t>LINGKOK JOET TENGAK TIMUR DESA KESIK KEC. MASBAGIK KAB. LOMBOK TIMUR</t>
  </si>
  <si>
    <t>LUHUN DESA SAKRA SELATAN KEC. SAKRA KAB. LOMBOK TIMUR NTB</t>
  </si>
  <si>
    <t>TEMINYAK DESA KEMBANG ARE SAMPAI KEC. SAKRA BARAT KAB. LOMBOK BARAT</t>
  </si>
  <si>
    <t>DSN. NIBUNG PUNGGUR RT.003/RT.002 DS. MENTAWAK KEC. KELAPA KAMPIT KAB. BELITUNG TIMUR</t>
  </si>
  <si>
    <t>GUBUK MAJLOK DS. BUNGTIANG KEC. SAKRA BARAT KAB. LOMBOK TIMUR</t>
  </si>
  <si>
    <t>PEROA LAUK EAT DS. SAKRA KEC. SAKRA KAB. LOMBOK TIMUR</t>
  </si>
  <si>
    <t>ENKA - ENJAK DESA GADUNG MAS KEC. SAKRA BARAT KAB. LOMBOK TIMUR</t>
  </si>
  <si>
    <t>ENJAK - ENJAK DS. GADUNG MAS KEC. SAKRA BARAT KAB. LOMBOK TIMUR</t>
  </si>
  <si>
    <t>DSN. BRANG BAGE RT.002/RW.008 DS. JURAN ALAS KEC. ALAS KAB. SUMBAWA</t>
  </si>
  <si>
    <t>ORONG DEWE DS. SAKRA SELATAN KEC. SAKRA KAB. LOMBOK TIMUR</t>
  </si>
  <si>
    <t>BAGIK BONGKANG DESA DARMASARI KEC. SIKUR KAB. LOMBOK TIMUR</t>
  </si>
  <si>
    <t>DASAN BARU DESA SENYIUR KEC. KERUAK KAB. LOMBOK TIMUR</t>
  </si>
  <si>
    <t>KERANI PANEN</t>
  </si>
  <si>
    <t>PANEN</t>
  </si>
  <si>
    <t>FITRIADI</t>
  </si>
  <si>
    <t>HENDRIYADI</t>
  </si>
  <si>
    <t>HADI</t>
  </si>
  <si>
    <t>RUSDI</t>
  </si>
  <si>
    <t>1902010208830005</t>
  </si>
  <si>
    <t>1902051710890001</t>
  </si>
  <si>
    <t>1902051206780003</t>
  </si>
  <si>
    <t>1902040111850001</t>
  </si>
  <si>
    <t>97.237.617.2-305.000</t>
  </si>
  <si>
    <t>97.228.562.1-305.000</t>
  </si>
  <si>
    <t>75.803.617.2-305.000</t>
  </si>
  <si>
    <t>JL. SIJUK RT. 028 RW. 010 KELURAHAN PAAL SATU KEC. TANJUNGPANDAN</t>
  </si>
  <si>
    <t>PARIT GUNUNG RT. 005 RW. 003 DESA AIR BATU BUDING KEC. BADAU</t>
  </si>
  <si>
    <t>JL MANGGAR RT. 010 RW. 003 DESA KACANG BUTOR KEC. BADAU</t>
  </si>
  <si>
    <t>DSN PELEPAK PUTIH RT. 021 RW. 011 DESA SIJUK KEC. SIJUK</t>
  </si>
  <si>
    <t>Premi Harvesting</t>
  </si>
  <si>
    <t>Premi Brondol</t>
  </si>
  <si>
    <t>Incentive Panen</t>
  </si>
  <si>
    <t>Pengembalian Uang Tiket</t>
  </si>
  <si>
    <t>Potongan Premi (Koreksi)</t>
  </si>
  <si>
    <t>DSN CENDIL RT 005 RW 002 DESA CENDIL KEC.KELAPA KAMPIT</t>
  </si>
  <si>
    <t>Premi Kontanan</t>
  </si>
  <si>
    <t>g.kotor daftar upah</t>
  </si>
  <si>
    <t>astek+bpjs</t>
  </si>
  <si>
    <t>bruto</t>
  </si>
  <si>
    <t>Premi Transport</t>
  </si>
  <si>
    <t>Premi Pruning</t>
  </si>
  <si>
    <t>Diketahui Oleh,</t>
  </si>
  <si>
    <t>Gohi Maruli L Toruan,SP</t>
  </si>
  <si>
    <t>Estate Manager PG1/2B</t>
  </si>
  <si>
    <t>Dibuat Oleh,</t>
  </si>
  <si>
    <t>Wiwis</t>
  </si>
  <si>
    <t>Kerani</t>
  </si>
  <si>
    <t>PPh 21 GAJI+THR</t>
  </si>
  <si>
    <t>Pajak GAJI  Feb'24</t>
  </si>
  <si>
    <t>PPh 21 THR</t>
  </si>
  <si>
    <t>PPh 21 MARET</t>
  </si>
  <si>
    <t>PPh21 THR</t>
  </si>
  <si>
    <t>PPh 21 GAJI MARET+THR</t>
  </si>
  <si>
    <t>INCOME TAX ARTICLE 21 FOR MAR 2024</t>
  </si>
  <si>
    <t>LEBIH POTONG PAJAK THR</t>
  </si>
  <si>
    <t xml:space="preserve">PPh 21 </t>
  </si>
  <si>
    <t>INCOME TAX ARTICLE 21 FOR APR 2024</t>
  </si>
  <si>
    <t>PPh 21 GAJI+EXGRATIA</t>
  </si>
  <si>
    <t>Pajak GAJI APR'24</t>
  </si>
  <si>
    <t>PPh 21 Exgratia</t>
  </si>
  <si>
    <t>INCOME TAX ARTICLE 21 FOR MEI 2024</t>
  </si>
  <si>
    <t>Diperiksa Oleh,</t>
  </si>
  <si>
    <t>Kibar Silton Nasir</t>
  </si>
  <si>
    <t>Askep PG1A</t>
  </si>
  <si>
    <t>INCOME TAX ARTICLE 21 FOR JULI 2024</t>
  </si>
  <si>
    <t>INCOME TAX ARTICLE 21 FOR JUNI 2024</t>
  </si>
  <si>
    <t>INCOME TAX ARTICLE 21 FOR AGUSTUS 2024</t>
  </si>
  <si>
    <t>SAPARWADI</t>
  </si>
  <si>
    <t>DAMSYAH</t>
  </si>
  <si>
    <t>JUNAIDI SOLEH</t>
  </si>
  <si>
    <t>RIJAL</t>
  </si>
  <si>
    <t>ANGGA SAPUTRA</t>
  </si>
  <si>
    <t>75.753.840.0-305.000</t>
  </si>
  <si>
    <t>97.237.831.9-305.000</t>
  </si>
  <si>
    <t>ISMAH</t>
  </si>
  <si>
    <t>66.914.415.6-305.000</t>
  </si>
  <si>
    <t>INCOME TAX ARTICLE 21 FOR SEPTEMBER 2024</t>
  </si>
  <si>
    <t>DOLOP RT. 030 RW. 010 DESA DOLOPO KEC. DOLOPO KAB. MADIUN JAWA TIMUR</t>
  </si>
  <si>
    <t>KETANGGA TIMUR DESA KETANGGA JERAENG KEC. KERUAK LOMBOK TIMUR</t>
  </si>
  <si>
    <t>5203011706860003</t>
  </si>
  <si>
    <t>5203010203740001</t>
  </si>
  <si>
    <t>1906040809920003</t>
  </si>
  <si>
    <t>DSN SELINDANG RT. 006 RW. 003 DESA SENYUBUK KEC. KELAPA KAMPIT</t>
  </si>
  <si>
    <t>1902012706890008</t>
  </si>
  <si>
    <t>DSN SELINDANG RT. 006 RW. 002 DESA SENYUBUK KEC. KELAPA KAMPIT</t>
  </si>
  <si>
    <t>1906040102900001</t>
  </si>
  <si>
    <t>DSN CENDIL RT. 004 RW. 004 DESA CENDIL KEC. KELAPA KAMPIT</t>
  </si>
  <si>
    <t>1902016804750005</t>
  </si>
  <si>
    <t>JL JEND SUDIRMAN RT. 045 RW. 015 DS PERAWAS KEC TANJUNGPANDAN</t>
  </si>
  <si>
    <t>SUHADI</t>
  </si>
  <si>
    <t>FRANSISKO.G</t>
  </si>
  <si>
    <t>EDI ZULKARNADI</t>
  </si>
  <si>
    <t>SUMARDI .H</t>
  </si>
  <si>
    <t>EKO SUMANJAYA</t>
  </si>
  <si>
    <t>1902050109780001</t>
  </si>
  <si>
    <t>97.228.401.2-305.000</t>
  </si>
  <si>
    <t>JL MANGGAR RT. 006 RW. 002 DESA KACANG BUTOR KEC. BADAU</t>
  </si>
  <si>
    <t>1906041411920002</t>
  </si>
  <si>
    <t>97.228.354.3-305.000</t>
  </si>
  <si>
    <t>DSN CENDIL RT. 001 RW. 001 DESA CENDIL KEC. KELAPA KAMPIT</t>
  </si>
  <si>
    <t>1906040102760001</t>
  </si>
  <si>
    <t>75.748.971.1-305.000</t>
  </si>
  <si>
    <t>1906042410840002</t>
  </si>
  <si>
    <t>75.816.999.9-305.000</t>
  </si>
  <si>
    <t>DSN CENDIL RT. 005 RW. 002 DESA CENDIL KEC. KELAPA KAMPIT</t>
  </si>
  <si>
    <t>1902041601840001</t>
  </si>
  <si>
    <t>75.739.968.8-305.000</t>
  </si>
  <si>
    <t>JL. SIJUK RT. 002 RW. 001 DESA AIR SELUMAR KEC. SIJUK</t>
  </si>
  <si>
    <t>INCOME TAX ARTICLE 21 FOR OKTOBER 2024</t>
  </si>
  <si>
    <t>AGUS</t>
  </si>
  <si>
    <t>SUSILAWATI</t>
  </si>
  <si>
    <t>SARMINI</t>
  </si>
  <si>
    <t>EDO GUNARDI</t>
  </si>
  <si>
    <t>YANTO</t>
  </si>
  <si>
    <t>INCOME TAX ARTICLE 21 FOR NOVEMBER 2024</t>
  </si>
  <si>
    <t>97.228.519.1.305.000</t>
  </si>
  <si>
    <t>DUSUN KEPAYANG RT.006 RW.002 DESA KACANG BUTOR KEC BADAU</t>
  </si>
  <si>
    <t>75.606.248.5.305.000</t>
  </si>
  <si>
    <t>JL.MANGGAR RT.017 RW.005 BULUH TUMBANG KEC TANJUNG PANDAN</t>
  </si>
  <si>
    <t>97.237.538.0.305.000</t>
  </si>
  <si>
    <t>JL.PESANTREN BADAU II RT.013 RW.004 KEC BADAU</t>
  </si>
  <si>
    <t>86.075.454.8.305.000</t>
  </si>
  <si>
    <t>JL.KARYA BHAKTI II RT.013 RW.004 DESA BULUH TUMBANG KEC TANJUNG PANDAN</t>
  </si>
  <si>
    <t>JL.MANGGAR DSN KEPAYANG RT.007 RW.002 DESA KACANG BUTOR KEC BADAU</t>
  </si>
  <si>
    <t>1902052802710001</t>
  </si>
  <si>
    <t>1902016004780003</t>
  </si>
  <si>
    <t>1902056307750001</t>
  </si>
  <si>
    <t>1906041706920003</t>
  </si>
  <si>
    <t>1902053112820003</t>
  </si>
  <si>
    <t>INCOME TAX ARTICLE 21 FOR DESEMBER 2024</t>
  </si>
  <si>
    <t>MULYANI</t>
  </si>
  <si>
    <t>SURYA MULYAWAN</t>
  </si>
  <si>
    <t>ARDIANSYAH</t>
  </si>
  <si>
    <t>SUMARLIA</t>
  </si>
  <si>
    <t>NIA SARI</t>
  </si>
  <si>
    <t>LISTIOWATI</t>
  </si>
  <si>
    <t>NOVIARNI</t>
  </si>
  <si>
    <t>SYAHMILAN</t>
  </si>
  <si>
    <t>SUHENDI</t>
  </si>
  <si>
    <t>MISNO</t>
  </si>
  <si>
    <t>ROBI YANSAH</t>
  </si>
  <si>
    <t xml:space="preserve">Gde Bagus </t>
  </si>
  <si>
    <t>1610031501910003</t>
  </si>
  <si>
    <t>JL.SEKOLAH RT.06 RW .02 DESA PEMBAHARUAN KELAPA KAMPIT</t>
  </si>
  <si>
    <t>5203176402860001</t>
  </si>
  <si>
    <t>JL. MANGGAR DUSUN PARIT GUNUNG RT. 005 RW. 003 DESA AIR BATU BUDING</t>
  </si>
  <si>
    <t>KARY.PERAWATAN</t>
  </si>
  <si>
    <t>1902055005880001</t>
  </si>
  <si>
    <t>JL MANGGAR BUKIT INDAH RT. 012 RW. 004 DESA KACANG BUTOR KEC. BADAU</t>
  </si>
  <si>
    <t>1906016711820003</t>
  </si>
  <si>
    <t>DSN BIRAH RT. 003 RW. 002 DESA KELUBI KEC. MANGGAR KAB. BELITUNG</t>
  </si>
  <si>
    <t>1906066404810001</t>
  </si>
  <si>
    <t>DSN AIR RUAK RT. 007 RW. 002 DS SIMPANG TIGA</t>
  </si>
  <si>
    <t>1906020505820005</t>
  </si>
  <si>
    <t>972377295305000</t>
  </si>
  <si>
    <t>DSN AIR RUAK RT. 008 DS SIMPANG TIGA KEC SIMPANG RENGGIANG</t>
  </si>
  <si>
    <t>1902050101810003</t>
  </si>
  <si>
    <t>JL ABD RAHMAN RT. 001 RW. 001 DESA BADAU KEC. BADAU</t>
  </si>
  <si>
    <t>1906021306730001</t>
  </si>
  <si>
    <t>DSN AIR RUAK RT. 007 RW. 001 DESA SIMPANG TIGA KEC. SIMPANG RENGGIANG</t>
  </si>
  <si>
    <t>1906010712770002</t>
  </si>
  <si>
    <t>DSN AIR RUAK RT. 009 DESA SIMPANG TIGA KEC. SIMPANG RENGGIANG</t>
  </si>
  <si>
    <t>1906024107680020</t>
  </si>
  <si>
    <t>DUSUN LIRING RT.007 RW.001DESA SIMPANG RENGGIANG</t>
  </si>
  <si>
    <t>1906011409930006</t>
  </si>
  <si>
    <t>DSN. BENTAIAN RT.005 RW.003 DESA SIMPANG RENGGIANG</t>
  </si>
  <si>
    <t>1902051004850001</t>
  </si>
  <si>
    <t>97.228.388.1-305.000</t>
  </si>
  <si>
    <t>JL.MANGGAR DSN PARIT GUNUNG RT.006 RW.003 DESA AIR BATU BUDING KEC.BADAU</t>
  </si>
  <si>
    <t>1906040312840002</t>
  </si>
  <si>
    <t>54.776.192.4-305.000</t>
  </si>
  <si>
    <t>JL.LAMA RT.002 RW.001 DESA MENTAWAK KEC.KELAPA KAMPIT</t>
  </si>
  <si>
    <t>1902051701860002</t>
  </si>
  <si>
    <t>97.237.481.3-305.000</t>
  </si>
  <si>
    <t>DSN.PARIT GUNUNG RT.005/003 DESA AIR BATU BUDING KEC.BADAU</t>
  </si>
  <si>
    <t>91.342.138.4-126.000</t>
  </si>
  <si>
    <t>SISARAHALI DS.EWO KEC.LOLOMATUA KAB. NIAS SELATAN</t>
  </si>
  <si>
    <t>1406040311920004</t>
  </si>
  <si>
    <t>57.417.069.2-307.000</t>
  </si>
  <si>
    <t>JL MANGGAR DUSUN PARI GUNUNG RT.005 RW.003 DESA AIR BATU BUDING KEC BADAU</t>
  </si>
  <si>
    <t>1906041002020002</t>
  </si>
  <si>
    <t>DSN. BUDING RT.001 RW.001 DS BUDING KEC. KELAPA KAMPIT KAB. BELITUNG TIMUR</t>
  </si>
  <si>
    <t>1902054707770001</t>
  </si>
  <si>
    <t>97.228.376.6-305.000</t>
  </si>
  <si>
    <t>JL MANGGAR RT.004 RW.002 DESA AIR BATU BUDING KEC.BADAU</t>
  </si>
  <si>
    <t>1906047004870001</t>
  </si>
  <si>
    <t>54.920.770.2-305.000</t>
  </si>
  <si>
    <t>DSN SELINDANG RT.002 RW.001 DESA SENYUBUK KEC.KELAPA KAMPIT</t>
  </si>
  <si>
    <t>1906044312740003</t>
  </si>
  <si>
    <t>97.228.662.9-305.000</t>
  </si>
  <si>
    <t>DSN CENDIL RT.001 RW.001 DESA CENDIL KEC.KELAPA KAMPIT</t>
  </si>
  <si>
    <t>1906044204740001</t>
  </si>
  <si>
    <t>97.228.609.0-305.000</t>
  </si>
  <si>
    <t>DSN CENDIL RT.006 RW.002 DESA CENDIL KEC.KELAPA KAMPIT</t>
  </si>
  <si>
    <t>1906024706730003</t>
  </si>
  <si>
    <t>97.237.665.1-305.000</t>
  </si>
  <si>
    <t>DSN LIRING RT.009 RW.003 DESA NYURUK KEC. DENDNG</t>
  </si>
  <si>
    <t>1902055305730001</t>
  </si>
  <si>
    <t>97.237.463.1-305.000</t>
  </si>
  <si>
    <t>JL MANGGAR RT.005 RW.003 DESA AIR BATU BUDING KEC.BADAU</t>
  </si>
  <si>
    <t>1902040201750002</t>
  </si>
  <si>
    <t>DSN AIR KALA RT.024 RW.012 DESA SIJUK KEC.SIJUK</t>
  </si>
  <si>
    <t>1906040208820001</t>
  </si>
  <si>
    <t>DSN BUDING RT.006 RW.003 DS BUDING KEC KELAPA KAMPIT</t>
  </si>
  <si>
    <t>1902050705960002</t>
  </si>
  <si>
    <t>DSN KACANG BUTOR RT.003 RW.001 DESA KACANG BUTOR KEC.BADAU</t>
  </si>
  <si>
    <t>1902040101750005</t>
  </si>
  <si>
    <t>81.767.248.8-305.000</t>
  </si>
  <si>
    <t>JL BUDING RT.021 RW.011 DESA SIJUK KEC SIJUK</t>
  </si>
  <si>
    <t>97.237.699.0.305.000</t>
  </si>
  <si>
    <t>97.237.711.3.305.000</t>
  </si>
  <si>
    <t>90.930.255.6.305.000</t>
  </si>
  <si>
    <t>97.237.531.5.305.000</t>
  </si>
  <si>
    <t>80.828.987.0.305.000</t>
  </si>
  <si>
    <t>GAJI KOTOR</t>
  </si>
  <si>
    <t>ASTEK + BPJS</t>
  </si>
  <si>
    <t>BRUTO</t>
  </si>
  <si>
    <t>JL AIK KALA RT.008 RW.004 DESA PELEPAK PUTE KEC. SIJUK</t>
  </si>
  <si>
    <t>97.228.551.4-305.000</t>
  </si>
  <si>
    <t>JL MANGGAR PARIT GUNUNG RT.006 RW.003 DESA AIR BATU BUDING KEC. BADAU</t>
  </si>
  <si>
    <t>1902051405790001</t>
  </si>
  <si>
    <t>97.387.453.0-305.000</t>
  </si>
  <si>
    <t>DSN PESARAKAN RT.007 RW.003 DESA CENDIL KEC. KELAPA KAMIT</t>
  </si>
  <si>
    <t>1902050910760002</t>
  </si>
  <si>
    <t>97.228.581.1-305.000</t>
  </si>
  <si>
    <t>JL MANGGAR DSN BUKIT INDAH RT.011 RW.004 DESA KACANG BUTOR KEC BADAU</t>
  </si>
  <si>
    <t>1902040402950004</t>
  </si>
  <si>
    <t>1902050312820001</t>
  </si>
  <si>
    <t>ASMANTO</t>
  </si>
  <si>
    <t>HERUWANSYAH</t>
  </si>
  <si>
    <t>75.484.560.0.305.000</t>
  </si>
  <si>
    <t>DSN PIAK, RT.009 RW.005 DESA SIJUK KEC SIJUK</t>
  </si>
  <si>
    <t>1902042007820004</t>
  </si>
  <si>
    <t>DSN BIRAH RT.001 RW.001 DESA KELUBI KEC. MANGGAR</t>
  </si>
  <si>
    <t>5203022707900001</t>
  </si>
  <si>
    <t>1906041504960002</t>
  </si>
  <si>
    <t>KUANG BERORA RT.001 DESA SAKRA KEC.SAKRA KAB.LOMBOK TIMUR</t>
  </si>
  <si>
    <t>DSN AIR BATU BUDING RT.004 RW.002 DESA AIR BATU BUDING KEC.BADAU</t>
  </si>
  <si>
    <t>Disahkan Oleh,</t>
  </si>
  <si>
    <t>Chandra Dinata Pribadi</t>
  </si>
  <si>
    <t>Senior Manager</t>
  </si>
  <si>
    <t>FATHUL HAMDANI</t>
  </si>
  <si>
    <t>SUKAWATI</t>
  </si>
  <si>
    <t>SUHARMAN</t>
  </si>
  <si>
    <t>ABDINAN SHOLIHIN</t>
  </si>
  <si>
    <t>1902054803780001</t>
  </si>
  <si>
    <t>55.710.855.2.305.000</t>
  </si>
  <si>
    <t>JL DM GRESIK IBUL RT.020 RW.007 DESA BADAU KEC.BADAU</t>
  </si>
  <si>
    <t>1906040811760003</t>
  </si>
  <si>
    <t>DSN CENDIL RT.005 RW.002 KEC.KELAPA KAMPIT KAB.BELITUNG TIMUR</t>
  </si>
  <si>
    <t>1905010109050001</t>
  </si>
  <si>
    <t>JL MANGGAR DUSUN PARIT GUNUNG KEL.AIR BATU BUDING KEC.BADAU</t>
  </si>
  <si>
    <t>Exgratia</t>
  </si>
  <si>
    <t>DARMAJAYA</t>
  </si>
  <si>
    <t>1902051907880002</t>
  </si>
  <si>
    <t>97.237.442.5.305.000</t>
  </si>
  <si>
    <t>DSN AIR ABTU BUDING RT 001 RW 001 DESA AIR BATU BUDING KEC.BADAU</t>
  </si>
  <si>
    <t>PATHUR RIADI</t>
  </si>
  <si>
    <t>ARYA RIFQI PRATAMA</t>
  </si>
  <si>
    <t>LAUDRI ALPEDRO</t>
  </si>
  <si>
    <t>HARSONO</t>
  </si>
  <si>
    <t>DSN SELINDANG RT 001 RW 001 DESA SENYUBUK KEC KELAPA KAMPIT</t>
  </si>
  <si>
    <t>1906043112820003</t>
  </si>
  <si>
    <t>5203021403940001</t>
  </si>
  <si>
    <t>84.099.808.2-305.000</t>
  </si>
  <si>
    <t>KUANG BEROBA RT 001 DESA SAKRA KEC. SAKRA KAB. LOMBOK TIMUR</t>
  </si>
  <si>
    <t>1906040304000000</t>
  </si>
  <si>
    <t>DSN CENDIL RT 004 RW 002 DESA CENDIL KEC. KELAPA KAMPIT</t>
  </si>
  <si>
    <t>1902041804980000</t>
  </si>
  <si>
    <t>DSN AIR KALA RT 006 RW 003 DESA PELEPAK PUTE KEC. SIJUK</t>
  </si>
  <si>
    <t>1902041811910001</t>
  </si>
  <si>
    <t>82.322.405.0-305.000</t>
  </si>
  <si>
    <t>PELEPAK PUTE RT 001 RW 001 DESA PELEPAK PUTE KEC. SIJUK</t>
  </si>
  <si>
    <t>ENDANG</t>
  </si>
  <si>
    <t>1902040105020003</t>
  </si>
  <si>
    <t>JL. SIJUK RT.001/RW.001 DESA AIR SELUMAR KEC. SIJUK KAB. BELITUNG</t>
  </si>
  <si>
    <t>Riskianto Ramadhan</t>
  </si>
  <si>
    <t>Asistant Manager</t>
  </si>
  <si>
    <t>ALDO FYRNANDA</t>
  </si>
  <si>
    <t>AREZI WIDRIAN</t>
  </si>
  <si>
    <t>1902052604020001</t>
  </si>
  <si>
    <t>1902051708040002</t>
  </si>
  <si>
    <t>JL. MANGGAR DESA AIR BATU BUDING RT 002/ RW001</t>
  </si>
  <si>
    <t>INCOME TAX ARTICLE 21 FOR NOVEMBER 2025</t>
  </si>
  <si>
    <t>1906024612770007</t>
  </si>
  <si>
    <t>1902 0526 0402 0001</t>
  </si>
  <si>
    <t>GAPOK</t>
  </si>
  <si>
    <t>TUNJANGAN</t>
  </si>
  <si>
    <t>JKS</t>
  </si>
  <si>
    <t>AGUS SAHIM</t>
  </si>
  <si>
    <t>KARDEWI</t>
  </si>
  <si>
    <t>DEDDY</t>
  </si>
  <si>
    <t>ASMAN</t>
  </si>
  <si>
    <t>FASALI BUULOLO</t>
  </si>
  <si>
    <t>LEONARDUS BUULOLO</t>
  </si>
  <si>
    <t>ERY FEBIAN</t>
  </si>
  <si>
    <t>YULIANTI</t>
  </si>
  <si>
    <t>CICI KAMIARSIH</t>
  </si>
  <si>
    <t>MARYANA</t>
  </si>
  <si>
    <t>DARMAWATI</t>
  </si>
  <si>
    <t>DAYATI</t>
  </si>
  <si>
    <t>TINA S</t>
  </si>
  <si>
    <t>TABAH WIJAYA</t>
  </si>
  <si>
    <t>JAYA</t>
  </si>
  <si>
    <t>SUTARDI</t>
  </si>
  <si>
    <t>MARDI</t>
  </si>
  <si>
    <t>MARDIANSA</t>
  </si>
  <si>
    <t>HAIRONI</t>
  </si>
  <si>
    <t>SARWAN</t>
  </si>
  <si>
    <t>GUSDIANTO</t>
  </si>
  <si>
    <t>NURAINI (RAMNA )</t>
  </si>
  <si>
    <t>NURAINI (JAMALIA)</t>
  </si>
  <si>
    <t>DARMA JAYA</t>
  </si>
  <si>
    <t>ARDIANSYAH (ROHIDA)</t>
  </si>
  <si>
    <t>RIO RESFATI</t>
  </si>
  <si>
    <t>MANDOR</t>
  </si>
  <si>
    <t>KARYAWAN PERAWATAN</t>
  </si>
  <si>
    <t>JL. JAWA RT. 001 RW. 001 DESA SENYUBUK KEC. KELAPA KAMPIT</t>
  </si>
  <si>
    <t>Askep PG 1A/1B</t>
  </si>
  <si>
    <t>Roy Cantona Batubara</t>
  </si>
  <si>
    <t>1214011708740001</t>
  </si>
  <si>
    <t>1906043101880002</t>
  </si>
  <si>
    <t>1902041804980002</t>
  </si>
  <si>
    <t>1906040304000002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</si>
</sst>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  <numFmt numFmtId="171" formatCode="_(* #.;_(* \(#.;_(* &quot;-&quot;??_);_(@_ⴆ"/>
    <numFmt numFmtId="172" formatCode="_(* #.##0.00_);_(* \(#.##0.0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u val="singleAccounting"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color theme="1"/>
      <name val="Tahoma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Tahoma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</cellStyleXfs>
  <cellXfs count="46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1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41" fontId="10" fillId="0" borderId="0" xfId="6" applyFont="1" applyFill="1" applyAlignment="1">
      <alignment vertical="center"/>
    </xf>
    <xf numFmtId="41" fontId="10" fillId="0" borderId="0" xfId="6" applyFont="1" applyFill="1" applyAlignment="1">
      <alignment horizontal="center"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0" fontId="10" fillId="0" borderId="0" xfId="5" applyAlignment="1">
      <alignment horizontal="center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41" fontId="10" fillId="0" borderId="0" xfId="9" applyFont="1" applyFill="1" applyAlignment="1">
      <alignment vertical="center"/>
    </xf>
    <xf numFmtId="166" fontId="10" fillId="0" borderId="0" xfId="8" applyNumberFormat="1" applyFont="1" applyAlignment="1">
      <alignment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8" xfId="5" applyFont="1" applyFill="1" applyBorder="1" applyAlignment="1">
      <alignment horizontal="center" vertical="center"/>
    </xf>
    <xf numFmtId="0" fontId="10" fillId="0" borderId="19" xfId="5" quotePrefix="1" applyBorder="1" applyAlignment="1">
      <alignment horizontal="center" vertical="center"/>
    </xf>
    <xf numFmtId="167" fontId="14" fillId="0" borderId="19" xfId="5" applyNumberFormat="1" applyFont="1" applyBorder="1" applyAlignment="1">
      <alignment horizontal="left" vertical="center"/>
    </xf>
    <xf numFmtId="168" fontId="14" fillId="0" borderId="19" xfId="5" applyNumberFormat="1" applyFont="1" applyBorder="1" applyAlignment="1">
      <alignment horizontal="center" vertical="center"/>
    </xf>
    <xf numFmtId="169" fontId="14" fillId="0" borderId="19" xfId="6" quotePrefix="1" applyNumberFormat="1" applyFont="1" applyFill="1" applyBorder="1" applyAlignment="1" applyProtection="1">
      <alignment horizontal="center"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41" fontId="14" fillId="0" borderId="19" xfId="6" applyFont="1" applyFill="1" applyBorder="1" applyAlignment="1" applyProtection="1">
      <alignment horizontal="left" vertical="center"/>
    </xf>
    <xf numFmtId="0" fontId="10" fillId="0" borderId="20" xfId="5" quotePrefix="1" applyBorder="1" applyAlignment="1">
      <alignment horizontal="center" vertical="center"/>
    </xf>
    <xf numFmtId="167" fontId="14" fillId="0" borderId="20" xfId="5" applyNumberFormat="1" applyFont="1" applyBorder="1" applyAlignment="1">
      <alignment horizontal="left" vertical="center"/>
    </xf>
    <xf numFmtId="168" fontId="14" fillId="0" borderId="20" xfId="5" applyNumberFormat="1" applyFont="1" applyBorder="1" applyAlignment="1">
      <alignment horizontal="center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41" fontId="14" fillId="0" borderId="20" xfId="6" applyFont="1" applyFill="1" applyBorder="1" applyAlignment="1" applyProtection="1">
      <alignment horizontal="left" vertical="center"/>
    </xf>
    <xf numFmtId="0" fontId="10" fillId="0" borderId="21" xfId="5" quotePrefix="1" applyBorder="1" applyAlignment="1">
      <alignment vertical="center"/>
    </xf>
    <xf numFmtId="41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41" fontId="12" fillId="0" borderId="0" xfId="9" applyFont="1" applyFill="1" applyAlignment="1">
      <alignment vertical="center"/>
    </xf>
    <xf numFmtId="166" fontId="12" fillId="0" borderId="0" xfId="8" applyNumberFormat="1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 applyAlignment="1">
      <alignment vertical="center"/>
    </xf>
    <xf numFmtId="0" fontId="10" fillId="0" borderId="0" xfId="11"/>
    <xf numFmtId="0" fontId="10" fillId="0" borderId="0" xfId="11" applyAlignment="1">
      <alignment horizontal="left"/>
    </xf>
    <xf numFmtId="1" fontId="14" fillId="3" borderId="0" xfId="12" applyNumberFormat="1" applyFont="1" applyFill="1" applyAlignment="1">
      <alignment horizontal="left" vertical="center"/>
    </xf>
    <xf numFmtId="0" fontId="14" fillId="3" borderId="0" xfId="13" applyFont="1" applyFill="1"/>
    <xf numFmtId="0" fontId="14" fillId="3" borderId="0" xfId="5" applyFont="1" applyFill="1" applyAlignment="1">
      <alignment horizontal="left"/>
    </xf>
    <xf numFmtId="0" fontId="14" fillId="3" borderId="0" xfId="13" applyFont="1" applyFill="1" applyAlignment="1">
      <alignment vertical="center"/>
    </xf>
    <xf numFmtId="0" fontId="14" fillId="4" borderId="0" xfId="5" applyFont="1" applyFill="1"/>
    <xf numFmtId="0" fontId="14" fillId="3" borderId="0" xfId="5" applyFont="1" applyFill="1"/>
    <xf numFmtId="0" fontId="14" fillId="3" borderId="0" xfId="14" applyFont="1" applyFill="1"/>
    <xf numFmtId="0" fontId="14" fillId="4" borderId="0" xfId="14" applyFont="1" applyFill="1"/>
    <xf numFmtId="0" fontId="14" fillId="3" borderId="0" xfId="15" applyFill="1" applyAlignment="1">
      <alignment vertical="center"/>
    </xf>
    <xf numFmtId="0" fontId="14" fillId="3" borderId="0" xfId="16" applyFont="1" applyFill="1"/>
    <xf numFmtId="0" fontId="14" fillId="5" borderId="0" xfId="5" applyFont="1" applyFill="1"/>
    <xf numFmtId="0" fontId="14" fillId="3" borderId="0" xfId="13" applyFont="1" applyFill="1" applyAlignment="1" applyProtection="1">
      <alignment vertical="center"/>
      <protection locked="0"/>
    </xf>
    <xf numFmtId="0" fontId="14" fillId="3" borderId="0" xfId="17" applyFont="1" applyFill="1" applyAlignment="1" applyProtection="1">
      <alignment vertical="center"/>
      <protection locked="0"/>
    </xf>
    <xf numFmtId="0" fontId="14" fillId="6" borderId="0" xfId="13" applyFont="1" applyFill="1"/>
    <xf numFmtId="0" fontId="17" fillId="3" borderId="0" xfId="14" applyFont="1" applyFill="1"/>
    <xf numFmtId="0" fontId="14" fillId="3" borderId="0" xfId="14" applyFont="1" applyFill="1" applyAlignment="1">
      <alignment horizontal="left"/>
    </xf>
    <xf numFmtId="0" fontId="14" fillId="3" borderId="0" xfId="5" applyFont="1" applyFill="1" applyAlignment="1">
      <alignment vertical="center"/>
    </xf>
    <xf numFmtId="0" fontId="14" fillId="3" borderId="0" xfId="13" applyFont="1" applyFill="1" applyAlignment="1">
      <alignment horizontal="left"/>
    </xf>
    <xf numFmtId="0" fontId="14" fillId="7" borderId="0" xfId="5" applyFont="1" applyFill="1"/>
    <xf numFmtId="0" fontId="10" fillId="3" borderId="0" xfId="5" applyFill="1" applyAlignment="1" applyProtection="1">
      <alignment horizontal="left" vertical="center"/>
      <protection locked="0"/>
    </xf>
    <xf numFmtId="0" fontId="14" fillId="3" borderId="0" xfId="5" applyFont="1" applyFill="1" applyAlignment="1" applyProtection="1">
      <alignment vertical="center"/>
      <protection locked="0"/>
    </xf>
    <xf numFmtId="0" fontId="14" fillId="3" borderId="0" xfId="13" applyFont="1" applyFill="1" applyAlignment="1" applyProtection="1">
      <alignment horizontal="left" vertical="center"/>
      <protection locked="0"/>
    </xf>
    <xf numFmtId="0" fontId="10" fillId="8" borderId="19" xfId="10" applyFill="1" applyBorder="1" applyAlignment="1">
      <alignment horizontal="center" vertical="center"/>
    </xf>
    <xf numFmtId="41" fontId="12" fillId="8" borderId="0" xfId="6" applyFont="1" applyFill="1" applyAlignment="1">
      <alignment vertical="center"/>
    </xf>
    <xf numFmtId="170" fontId="14" fillId="0" borderId="19" xfId="5" quotePrefix="1" applyNumberFormat="1" applyFont="1" applyBorder="1" applyAlignment="1">
      <alignment horizontal="center" vertical="center"/>
    </xf>
    <xf numFmtId="170" fontId="14" fillId="0" borderId="20" xfId="5" quotePrefix="1" applyNumberFormat="1" applyFont="1" applyBorder="1" applyAlignment="1">
      <alignment horizontal="center" vertical="center"/>
    </xf>
    <xf numFmtId="10" fontId="10" fillId="0" borderId="0" xfId="6" applyNumberFormat="1" applyFont="1" applyFill="1" applyAlignment="1">
      <alignment horizontal="center" vertical="center"/>
    </xf>
    <xf numFmtId="0" fontId="12" fillId="2" borderId="29" xfId="5" applyFont="1" applyFill="1" applyBorder="1" applyAlignment="1">
      <alignment horizontal="center" vertical="center"/>
    </xf>
    <xf numFmtId="0" fontId="10" fillId="8" borderId="20" xfId="10" applyFill="1" applyBorder="1" applyAlignment="1">
      <alignment horizontal="center" vertical="center"/>
    </xf>
    <xf numFmtId="41" fontId="14" fillId="0" borderId="33" xfId="6" applyFont="1" applyFill="1" applyBorder="1" applyAlignment="1" applyProtection="1">
      <alignment horizontal="left" vertical="center"/>
    </xf>
    <xf numFmtId="41" fontId="14" fillId="8" borderId="19" xfId="6" applyFont="1" applyFill="1" applyBorder="1" applyAlignment="1" applyProtection="1">
      <alignment horizontal="left" vertical="center"/>
    </xf>
    <xf numFmtId="41" fontId="14" fillId="8" borderId="20" xfId="6" applyFont="1" applyFill="1" applyBorder="1" applyAlignment="1" applyProtection="1">
      <alignment horizontal="left" vertical="center"/>
    </xf>
    <xf numFmtId="10" fontId="14" fillId="8" borderId="20" xfId="6" applyNumberFormat="1" applyFont="1" applyFill="1" applyBorder="1" applyAlignment="1" applyProtection="1">
      <alignment horizontal="center" vertical="center"/>
    </xf>
    <xf numFmtId="41" fontId="14" fillId="8" borderId="22" xfId="6" applyFont="1" applyFill="1" applyBorder="1" applyAlignment="1" applyProtection="1">
      <alignment horizontal="left" vertical="center"/>
    </xf>
    <xf numFmtId="0" fontId="20" fillId="9" borderId="3" xfId="5" applyFont="1" applyFill="1" applyBorder="1" applyAlignment="1">
      <alignment horizontal="center" vertical="center"/>
    </xf>
    <xf numFmtId="0" fontId="20" fillId="9" borderId="3" xfId="6" applyNumberFormat="1" applyFont="1" applyFill="1" applyBorder="1" applyAlignment="1">
      <alignment horizontal="center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0" fontId="21" fillId="0" borderId="0" xfId="8" applyNumberFormat="1" applyFont="1" applyAlignment="1">
      <alignment horizontal="center" vertical="center"/>
    </xf>
    <xf numFmtId="0" fontId="21" fillId="0" borderId="0" xfId="5" applyFont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7" fontId="14" fillId="0" borderId="21" xfId="5" applyNumberFormat="1" applyFont="1" applyBorder="1" applyAlignment="1">
      <alignment horizontal="left" vertical="center"/>
    </xf>
    <xf numFmtId="0" fontId="14" fillId="0" borderId="21" xfId="10" applyFont="1" applyBorder="1" applyAlignment="1">
      <alignment horizontal="center" vertical="center"/>
    </xf>
    <xf numFmtId="0" fontId="10" fillId="0" borderId="21" xfId="10" applyBorder="1" applyAlignment="1">
      <alignment horizontal="center" vertical="center"/>
    </xf>
    <xf numFmtId="0" fontId="10" fillId="8" borderId="21" xfId="10" applyFill="1" applyBorder="1" applyAlignment="1">
      <alignment horizontal="center" vertical="center"/>
    </xf>
    <xf numFmtId="170" fontId="14" fillId="0" borderId="21" xfId="5" quotePrefix="1" applyNumberFormat="1" applyFont="1" applyBorder="1" applyAlignment="1">
      <alignment horizontal="center" vertical="center"/>
    </xf>
    <xf numFmtId="41" fontId="14" fillId="8" borderId="21" xfId="6" applyFont="1" applyFill="1" applyBorder="1" applyAlignment="1" applyProtection="1">
      <alignment horizontal="left" vertical="center"/>
    </xf>
    <xf numFmtId="0" fontId="12" fillId="2" borderId="34" xfId="5" quotePrefix="1" applyFont="1" applyFill="1" applyBorder="1" applyAlignment="1">
      <alignment vertical="center"/>
    </xf>
    <xf numFmtId="166" fontId="12" fillId="2" borderId="34" xfId="3" applyNumberFormat="1" applyFont="1" applyFill="1" applyBorder="1" applyAlignment="1">
      <alignment vertical="center"/>
    </xf>
    <xf numFmtId="41" fontId="10" fillId="8" borderId="19" xfId="6" applyFont="1" applyFill="1" applyBorder="1" applyAlignment="1">
      <alignment vertical="center"/>
    </xf>
    <xf numFmtId="166" fontId="10" fillId="8" borderId="19" xfId="8" applyNumberFormat="1" applyFont="1" applyFill="1" applyBorder="1" applyAlignment="1">
      <alignment vertical="center"/>
    </xf>
    <xf numFmtId="41" fontId="10" fillId="8" borderId="20" xfId="6" applyFont="1" applyFill="1" applyBorder="1" applyAlignment="1">
      <alignment vertical="center"/>
    </xf>
    <xf numFmtId="166" fontId="10" fillId="8" borderId="20" xfId="8" applyNumberFormat="1" applyFont="1" applyFill="1" applyBorder="1" applyAlignment="1">
      <alignment vertical="center"/>
    </xf>
    <xf numFmtId="41" fontId="10" fillId="8" borderId="21" xfId="6" applyFont="1" applyFill="1" applyBorder="1" applyAlignment="1">
      <alignment vertical="center"/>
    </xf>
    <xf numFmtId="166" fontId="10" fillId="8" borderId="21" xfId="8" applyNumberFormat="1" applyFont="1" applyFill="1" applyBorder="1" applyAlignment="1">
      <alignment vertical="center"/>
    </xf>
    <xf numFmtId="166" fontId="10" fillId="8" borderId="22" xfId="8" applyNumberFormat="1" applyFont="1" applyFill="1" applyBorder="1" applyAlignment="1">
      <alignment vertical="center"/>
    </xf>
    <xf numFmtId="164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170" fontId="14" fillId="0" borderId="30" xfId="5" quotePrefix="1" applyNumberFormat="1" applyFont="1" applyBorder="1" applyAlignment="1">
      <alignment horizontal="center" vertical="center"/>
    </xf>
    <xf numFmtId="170" fontId="14" fillId="0" borderId="31" xfId="5" quotePrefix="1" applyNumberFormat="1" applyFont="1" applyBorder="1" applyAlignment="1">
      <alignment horizontal="center" vertical="center"/>
    </xf>
    <xf numFmtId="170" fontId="14" fillId="0" borderId="35" xfId="5" quotePrefix="1" applyNumberFormat="1" applyFont="1" applyBorder="1" applyAlignment="1">
      <alignment horizontal="center" vertical="center"/>
    </xf>
    <xf numFmtId="0" fontId="12" fillId="2" borderId="36" xfId="5" quotePrefix="1" applyFont="1" applyFill="1" applyBorder="1" applyAlignment="1">
      <alignment vertical="center"/>
    </xf>
    <xf numFmtId="9" fontId="10" fillId="0" borderId="0" xfId="6" applyNumberFormat="1" applyFont="1" applyFill="1" applyAlignment="1">
      <alignment vertical="center"/>
    </xf>
    <xf numFmtId="41" fontId="12" fillId="2" borderId="11" xfId="6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166" fontId="12" fillId="2" borderId="2" xfId="3" applyNumberFormat="1" applyFont="1" applyFill="1" applyBorder="1" applyAlignment="1">
      <alignment vertical="center"/>
    </xf>
    <xf numFmtId="41" fontId="10" fillId="0" borderId="19" xfId="6" applyFont="1" applyFill="1" applyBorder="1" applyAlignment="1">
      <alignment vertical="center"/>
    </xf>
    <xf numFmtId="41" fontId="10" fillId="0" borderId="20" xfId="6" applyFont="1" applyFill="1" applyBorder="1" applyAlignment="1">
      <alignment vertical="center"/>
    </xf>
    <xf numFmtId="41" fontId="10" fillId="0" borderId="22" xfId="6" applyFont="1" applyFill="1" applyBorder="1" applyAlignment="1">
      <alignment vertical="center"/>
    </xf>
    <xf numFmtId="41" fontId="14" fillId="8" borderId="7" xfId="6" applyFont="1" applyFill="1" applyBorder="1" applyAlignment="1" applyProtection="1">
      <alignment horizontal="left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10" fillId="0" borderId="0" xfId="1" applyFont="1" applyAlignment="1">
      <alignment vertical="center"/>
    </xf>
    <xf numFmtId="41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38" fontId="14" fillId="0" borderId="33" xfId="6" applyNumberFormat="1" applyFont="1" applyFill="1" applyBorder="1" applyAlignment="1" applyProtection="1">
      <alignment horizontal="right" vertical="center"/>
    </xf>
    <xf numFmtId="38" fontId="14" fillId="0" borderId="33" xfId="6" applyNumberFormat="1" applyFont="1" applyFill="1" applyBorder="1" applyAlignment="1" applyProtection="1">
      <alignment horizontal="left" vertical="center"/>
    </xf>
    <xf numFmtId="0" fontId="10" fillId="0" borderId="37" xfId="5" quotePrefix="1" applyBorder="1" applyAlignment="1">
      <alignment horizontal="center" vertical="center"/>
    </xf>
    <xf numFmtId="167" fontId="14" fillId="0" borderId="37" xfId="5" applyNumberFormat="1" applyFont="1" applyBorder="1" applyAlignment="1">
      <alignment horizontal="left" vertical="center"/>
    </xf>
    <xf numFmtId="10" fontId="12" fillId="2" borderId="3" xfId="6" applyNumberFormat="1" applyFont="1" applyFill="1" applyBorder="1" applyAlignment="1">
      <alignment horizontal="center" vertical="center" wrapText="1"/>
    </xf>
    <xf numFmtId="167" fontId="14" fillId="0" borderId="37" xfId="5" applyNumberFormat="1" applyFont="1" applyBorder="1" applyAlignment="1">
      <alignment horizontal="center" vertical="center"/>
    </xf>
    <xf numFmtId="41" fontId="14" fillId="8" borderId="40" xfId="6" applyFont="1" applyFill="1" applyBorder="1" applyAlignment="1" applyProtection="1">
      <alignment horizontal="left" vertical="center"/>
    </xf>
    <xf numFmtId="0" fontId="23" fillId="11" borderId="19" xfId="0" applyFont="1" applyFill="1" applyBorder="1" applyAlignment="1">
      <alignment horizontal="left" vertical="center"/>
    </xf>
    <xf numFmtId="0" fontId="23" fillId="0" borderId="20" xfId="0" applyFont="1" applyFill="1" applyBorder="1" applyAlignment="1">
      <alignment vertical="center"/>
    </xf>
    <xf numFmtId="0" fontId="23" fillId="11" borderId="20" xfId="0" applyFont="1" applyFill="1" applyBorder="1" applyAlignment="1">
      <alignment vertical="center"/>
    </xf>
    <xf numFmtId="167" fontId="24" fillId="0" borderId="37" xfId="5" applyNumberFormat="1" applyFont="1" applyBorder="1" applyAlignment="1">
      <alignment horizontal="left" vertical="center"/>
    </xf>
    <xf numFmtId="167" fontId="24" fillId="0" borderId="20" xfId="5" applyNumberFormat="1" applyFont="1" applyBorder="1" applyAlignment="1">
      <alignment horizontal="left" vertical="center"/>
    </xf>
    <xf numFmtId="167" fontId="25" fillId="0" borderId="37" xfId="5" applyNumberFormat="1" applyFont="1" applyBorder="1" applyAlignment="1">
      <alignment horizontal="left" vertical="center"/>
    </xf>
    <xf numFmtId="0" fontId="21" fillId="0" borderId="19" xfId="5" quotePrefix="1" applyFont="1" applyBorder="1" applyAlignment="1">
      <alignment horizontal="center" vertical="center"/>
    </xf>
    <xf numFmtId="167" fontId="25" fillId="0" borderId="30" xfId="5" applyNumberFormat="1" applyFont="1" applyBorder="1" applyAlignment="1">
      <alignment horizontal="left" vertical="center"/>
    </xf>
    <xf numFmtId="3" fontId="22" fillId="11" borderId="19" xfId="0" applyNumberFormat="1" applyFont="1" applyFill="1" applyBorder="1" applyAlignment="1">
      <alignment horizontal="center" vertical="center"/>
    </xf>
    <xf numFmtId="166" fontId="21" fillId="3" borderId="30" xfId="3" applyNumberFormat="1" applyFont="1" applyFill="1" applyBorder="1" applyAlignment="1">
      <alignment horizontal="center" vertical="center"/>
    </xf>
    <xf numFmtId="167" fontId="25" fillId="0" borderId="19" xfId="5" applyNumberFormat="1" applyFont="1" applyBorder="1" applyAlignment="1">
      <alignment horizontal="center" vertical="center"/>
    </xf>
    <xf numFmtId="0" fontId="25" fillId="0" borderId="19" xfId="10" applyFont="1" applyBorder="1" applyAlignment="1">
      <alignment horizontal="center" vertical="center"/>
    </xf>
    <xf numFmtId="0" fontId="21" fillId="0" borderId="19" xfId="10" applyFont="1" applyBorder="1" applyAlignment="1">
      <alignment horizontal="center" vertical="center"/>
    </xf>
    <xf numFmtId="0" fontId="21" fillId="8" borderId="19" xfId="10" applyFont="1" applyFill="1" applyBorder="1" applyAlignment="1">
      <alignment horizontal="center" vertical="center"/>
    </xf>
    <xf numFmtId="41" fontId="25" fillId="10" borderId="32" xfId="6" applyFont="1" applyFill="1" applyBorder="1" applyAlignment="1" applyProtection="1">
      <alignment horizontal="left" vertical="center"/>
    </xf>
    <xf numFmtId="41" fontId="25" fillId="0" borderId="19" xfId="6" applyFont="1" applyFill="1" applyBorder="1" applyAlignment="1" applyProtection="1">
      <alignment horizontal="left" vertical="center"/>
    </xf>
    <xf numFmtId="41" fontId="25" fillId="0" borderId="37" xfId="6" applyFont="1" applyFill="1" applyBorder="1" applyAlignment="1" applyProtection="1">
      <alignment horizontal="left" vertical="center"/>
    </xf>
    <xf numFmtId="41" fontId="25" fillId="8" borderId="37" xfId="6" applyFont="1" applyFill="1" applyBorder="1" applyAlignment="1" applyProtection="1">
      <alignment horizontal="left" vertical="center"/>
    </xf>
    <xf numFmtId="10" fontId="25" fillId="8" borderId="37" xfId="6" applyNumberFormat="1" applyFont="1" applyFill="1" applyBorder="1" applyAlignment="1" applyProtection="1">
      <alignment horizontal="center" vertical="center"/>
    </xf>
    <xf numFmtId="41" fontId="25" fillId="8" borderId="39" xfId="6" applyFont="1" applyFill="1" applyBorder="1" applyAlignment="1" applyProtection="1">
      <alignment horizontal="left" vertical="center"/>
    </xf>
    <xf numFmtId="0" fontId="21" fillId="0" borderId="0" xfId="5" applyFont="1" applyAlignment="1">
      <alignment vertical="center"/>
    </xf>
    <xf numFmtId="0" fontId="21" fillId="0" borderId="37" xfId="5" quotePrefix="1" applyFont="1" applyBorder="1" applyAlignment="1">
      <alignment horizontal="center" vertical="center"/>
    </xf>
    <xf numFmtId="167" fontId="25" fillId="0" borderId="41" xfId="5" applyNumberFormat="1" applyFont="1" applyBorder="1" applyAlignment="1">
      <alignment horizontal="left" vertical="center"/>
    </xf>
    <xf numFmtId="0" fontId="22" fillId="11" borderId="20" xfId="0" applyFont="1" applyFill="1" applyBorder="1" applyAlignment="1">
      <alignment horizontal="center" vertical="center"/>
    </xf>
    <xf numFmtId="166" fontId="21" fillId="3" borderId="31" xfId="3" applyNumberFormat="1" applyFont="1" applyFill="1" applyBorder="1" applyAlignment="1">
      <alignment horizontal="center" vertical="center"/>
    </xf>
    <xf numFmtId="167" fontId="25" fillId="0" borderId="37" xfId="5" applyNumberFormat="1" applyFont="1" applyBorder="1" applyAlignment="1">
      <alignment horizontal="center" vertical="center"/>
    </xf>
    <xf numFmtId="0" fontId="25" fillId="0" borderId="37" xfId="10" applyFont="1" applyBorder="1" applyAlignment="1">
      <alignment horizontal="center" vertical="center"/>
    </xf>
    <xf numFmtId="0" fontId="21" fillId="0" borderId="37" xfId="10" applyFont="1" applyBorder="1" applyAlignment="1">
      <alignment horizontal="center" vertical="center"/>
    </xf>
    <xf numFmtId="0" fontId="21" fillId="8" borderId="20" xfId="10" applyFont="1" applyFill="1" applyBorder="1" applyAlignment="1">
      <alignment horizontal="center" vertical="center"/>
    </xf>
    <xf numFmtId="41" fontId="25" fillId="0" borderId="38" xfId="6" applyFont="1" applyFill="1" applyBorder="1" applyAlignment="1" applyProtection="1">
      <alignment horizontal="left" vertical="center"/>
    </xf>
    <xf numFmtId="41" fontId="25" fillId="8" borderId="20" xfId="6" applyFont="1" applyFill="1" applyBorder="1" applyAlignment="1" applyProtection="1">
      <alignment horizontal="left" vertical="center"/>
    </xf>
    <xf numFmtId="10" fontId="25" fillId="8" borderId="20" xfId="6" applyNumberFormat="1" applyFont="1" applyFill="1" applyBorder="1" applyAlignment="1" applyProtection="1">
      <alignment horizontal="center" vertical="center"/>
    </xf>
    <xf numFmtId="3" fontId="22" fillId="11" borderId="20" xfId="0" applyNumberFormat="1" applyFont="1" applyFill="1" applyBorder="1" applyAlignment="1">
      <alignment horizontal="center" vertical="center"/>
    </xf>
    <xf numFmtId="0" fontId="22" fillId="11" borderId="31" xfId="0" applyFont="1" applyFill="1" applyBorder="1" applyAlignment="1">
      <alignment horizontal="center" vertical="center"/>
    </xf>
    <xf numFmtId="0" fontId="25" fillId="0" borderId="20" xfId="10" applyFont="1" applyBorder="1" applyAlignment="1">
      <alignment horizontal="center" vertical="center"/>
    </xf>
    <xf numFmtId="0" fontId="21" fillId="0" borderId="20" xfId="10" applyFont="1" applyBorder="1" applyAlignment="1">
      <alignment horizontal="center" vertical="center"/>
    </xf>
    <xf numFmtId="41" fontId="25" fillId="0" borderId="20" xfId="6" applyFont="1" applyFill="1" applyBorder="1" applyAlignment="1" applyProtection="1">
      <alignment horizontal="left" vertical="center"/>
    </xf>
    <xf numFmtId="3" fontId="21" fillId="11" borderId="31" xfId="0" quotePrefix="1" applyNumberFormat="1" applyFont="1" applyFill="1" applyBorder="1" applyAlignment="1">
      <alignment horizontal="center" vertical="center"/>
    </xf>
    <xf numFmtId="3" fontId="22" fillId="0" borderId="20" xfId="0" applyNumberFormat="1" applyFont="1" applyFill="1" applyBorder="1" applyAlignment="1">
      <alignment horizontal="center" vertical="center"/>
    </xf>
    <xf numFmtId="168" fontId="25" fillId="0" borderId="20" xfId="5" applyNumberFormat="1" applyFont="1" applyBorder="1" applyAlignment="1">
      <alignment horizontal="center" vertical="center"/>
    </xf>
    <xf numFmtId="169" fontId="25" fillId="0" borderId="37" xfId="6" quotePrefix="1" applyNumberFormat="1" applyFont="1" applyFill="1" applyBorder="1" applyAlignment="1" applyProtection="1">
      <alignment horizontal="center" vertical="center"/>
    </xf>
    <xf numFmtId="41" fontId="25" fillId="10" borderId="38" xfId="6" applyFont="1" applyFill="1" applyBorder="1" applyAlignment="1" applyProtection="1">
      <alignment horizontal="left" vertical="center"/>
    </xf>
    <xf numFmtId="169" fontId="25" fillId="0" borderId="20" xfId="6" quotePrefix="1" applyNumberFormat="1" applyFont="1" applyFill="1" applyBorder="1" applyAlignment="1" applyProtection="1">
      <alignment horizontal="center" vertical="center"/>
    </xf>
    <xf numFmtId="166" fontId="20" fillId="2" borderId="3" xfId="3" applyNumberFormat="1" applyFont="1" applyFill="1" applyBorder="1" applyAlignment="1">
      <alignment vertical="center"/>
    </xf>
    <xf numFmtId="0" fontId="20" fillId="2" borderId="3" xfId="6" applyNumberFormat="1" applyFont="1" applyFill="1" applyBorder="1" applyAlignment="1">
      <alignment horizontal="center" vertical="center" wrapText="1"/>
    </xf>
    <xf numFmtId="0" fontId="12" fillId="0" borderId="3" xfId="5" applyFont="1" applyBorder="1" applyAlignment="1">
      <alignment vertical="center"/>
    </xf>
    <xf numFmtId="3" fontId="21" fillId="0" borderId="0" xfId="5" applyNumberFormat="1" applyFont="1" applyAlignment="1">
      <alignment vertical="center"/>
    </xf>
    <xf numFmtId="41" fontId="21" fillId="0" borderId="0" xfId="5" applyNumberFormat="1" applyFont="1" applyAlignment="1">
      <alignment vertical="center"/>
    </xf>
    <xf numFmtId="171" fontId="21" fillId="0" borderId="0" xfId="5" applyNumberFormat="1" applyFont="1" applyAlignment="1">
      <alignment vertical="center"/>
    </xf>
    <xf numFmtId="3" fontId="12" fillId="0" borderId="0" xfId="5" applyNumberFormat="1" applyFont="1"/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10" fontId="14" fillId="8" borderId="31" xfId="6" applyNumberFormat="1" applyFont="1" applyFill="1" applyBorder="1" applyAlignment="1" applyProtection="1">
      <alignment horizontal="center" vertical="center"/>
    </xf>
    <xf numFmtId="41" fontId="25" fillId="8" borderId="41" xfId="6" applyNumberFormat="1" applyFont="1" applyFill="1" applyBorder="1" applyAlignment="1" applyProtection="1">
      <alignment horizontal="center" vertical="center"/>
    </xf>
    <xf numFmtId="0" fontId="12" fillId="2" borderId="2" xfId="6" applyNumberFormat="1" applyFont="1" applyFill="1" applyBorder="1" applyAlignment="1">
      <alignment horizontal="center" vertical="center" wrapText="1"/>
    </xf>
    <xf numFmtId="38" fontId="14" fillId="0" borderId="42" xfId="6" applyNumberFormat="1" applyFont="1" applyFill="1" applyBorder="1" applyAlignment="1" applyProtection="1">
      <alignment horizontal="left" vertical="center"/>
    </xf>
    <xf numFmtId="38" fontId="14" fillId="0" borderId="40" xfId="6" applyNumberFormat="1" applyFont="1" applyFill="1" applyBorder="1" applyAlignment="1" applyProtection="1">
      <alignment horizontal="left" vertical="center"/>
    </xf>
    <xf numFmtId="38" fontId="14" fillId="0" borderId="39" xfId="6" applyNumberFormat="1" applyFont="1" applyFill="1" applyBorder="1" applyAlignment="1" applyProtection="1">
      <alignment horizontal="left" vertical="center"/>
    </xf>
    <xf numFmtId="166" fontId="10" fillId="0" borderId="0" xfId="5" applyNumberFormat="1"/>
    <xf numFmtId="172" fontId="10" fillId="0" borderId="0" xfId="5" applyNumberFormat="1"/>
    <xf numFmtId="38" fontId="14" fillId="0" borderId="40" xfId="6" applyNumberFormat="1" applyFont="1" applyFill="1" applyBorder="1" applyAlignment="1" applyProtection="1">
      <alignment horizontal="right" vertical="center"/>
    </xf>
    <xf numFmtId="38" fontId="14" fillId="0" borderId="43" xfId="6" applyNumberFormat="1" applyFont="1" applyFill="1" applyBorder="1" applyAlignment="1" applyProtection="1">
      <alignment horizontal="right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41" fontId="25" fillId="8" borderId="44" xfId="6" applyNumberFormat="1" applyFont="1" applyFill="1" applyBorder="1" applyAlignment="1" applyProtection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167" fontId="25" fillId="0" borderId="20" xfId="5" applyNumberFormat="1" applyFont="1" applyBorder="1" applyAlignment="1">
      <alignment horizontal="left" vertical="center"/>
    </xf>
    <xf numFmtId="167" fontId="25" fillId="0" borderId="20" xfId="5" applyNumberFormat="1" applyFont="1" applyBorder="1" applyAlignment="1">
      <alignment horizontal="center" vertical="center"/>
    </xf>
    <xf numFmtId="167" fontId="25" fillId="0" borderId="22" xfId="5" applyNumberFormat="1" applyFont="1" applyBorder="1" applyAlignment="1">
      <alignment horizontal="left" vertical="center"/>
    </xf>
    <xf numFmtId="169" fontId="25" fillId="0" borderId="22" xfId="6" quotePrefix="1" applyNumberFormat="1" applyFont="1" applyFill="1" applyBorder="1" applyAlignment="1" applyProtection="1">
      <alignment horizontal="center" vertical="center"/>
    </xf>
    <xf numFmtId="167" fontId="24" fillId="0" borderId="22" xfId="5" applyNumberFormat="1" applyFont="1" applyBorder="1" applyAlignment="1">
      <alignment horizontal="left" vertical="center"/>
    </xf>
    <xf numFmtId="167" fontId="25" fillId="0" borderId="22" xfId="5" applyNumberFormat="1" applyFont="1" applyBorder="1" applyAlignment="1">
      <alignment horizontal="center" vertical="center"/>
    </xf>
    <xf numFmtId="0" fontId="25" fillId="0" borderId="22" xfId="10" applyFont="1" applyBorder="1" applyAlignment="1">
      <alignment horizontal="center" vertical="center"/>
    </xf>
    <xf numFmtId="0" fontId="21" fillId="0" borderId="22" xfId="10" applyFont="1" applyBorder="1" applyAlignment="1">
      <alignment horizontal="center" vertical="center"/>
    </xf>
    <xf numFmtId="41" fontId="25" fillId="0" borderId="22" xfId="6" applyFont="1" applyFill="1" applyBorder="1" applyAlignment="1" applyProtection="1">
      <alignment horizontal="left" vertical="center"/>
    </xf>
    <xf numFmtId="0" fontId="29" fillId="11" borderId="45" xfId="4" quotePrefix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29" fillId="11" borderId="20" xfId="4" quotePrefix="1" applyFont="1" applyFill="1" applyBorder="1" applyAlignment="1">
      <alignment horizontal="center" vertical="center"/>
    </xf>
    <xf numFmtId="0" fontId="29" fillId="11" borderId="22" xfId="4" quotePrefix="1" applyFont="1" applyFill="1" applyBorder="1" applyAlignment="1">
      <alignment horizontal="center" vertical="center"/>
    </xf>
    <xf numFmtId="0" fontId="21" fillId="8" borderId="22" xfId="10" applyFont="1" applyFill="1" applyBorder="1" applyAlignment="1">
      <alignment horizontal="center" vertical="center"/>
    </xf>
    <xf numFmtId="41" fontId="25" fillId="8" borderId="22" xfId="6" applyFont="1" applyFill="1" applyBorder="1" applyAlignment="1" applyProtection="1">
      <alignment horizontal="left" vertical="center"/>
    </xf>
    <xf numFmtId="10" fontId="25" fillId="8" borderId="22" xfId="6" applyNumberFormat="1" applyFont="1" applyFill="1" applyBorder="1" applyAlignment="1" applyProtection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41" fontId="12" fillId="0" borderId="0" xfId="5" applyNumberFormat="1" applyFont="1"/>
    <xf numFmtId="41" fontId="10" fillId="0" borderId="0" xfId="5" applyNumberFormat="1"/>
    <xf numFmtId="43" fontId="10" fillId="0" borderId="0" xfId="5" applyNumberFormat="1"/>
    <xf numFmtId="41" fontId="21" fillId="12" borderId="0" xfId="5" applyNumberFormat="1" applyFont="1" applyFill="1" applyAlignment="1">
      <alignment vertical="center"/>
    </xf>
    <xf numFmtId="0" fontId="30" fillId="11" borderId="20" xfId="0" applyFont="1" applyFill="1" applyBorder="1" applyAlignment="1">
      <alignment horizontal="center" vertical="center"/>
    </xf>
    <xf numFmtId="0" fontId="31" fillId="0" borderId="19" xfId="5" quotePrefix="1" applyFont="1" applyBorder="1" applyAlignment="1">
      <alignment horizontal="center" vertical="center"/>
    </xf>
    <xf numFmtId="167" fontId="32" fillId="0" borderId="19" xfId="5" applyNumberFormat="1" applyFont="1" applyBorder="1" applyAlignment="1">
      <alignment horizontal="left" vertical="center"/>
    </xf>
    <xf numFmtId="168" fontId="32" fillId="0" borderId="19" xfId="5" applyNumberFormat="1" applyFont="1" applyBorder="1" applyAlignment="1">
      <alignment horizontal="center" vertical="center"/>
    </xf>
    <xf numFmtId="169" fontId="32" fillId="0" borderId="19" xfId="6" quotePrefix="1" applyNumberFormat="1" applyFont="1" applyFill="1" applyBorder="1" applyAlignment="1" applyProtection="1">
      <alignment horizontal="center" vertical="center"/>
    </xf>
    <xf numFmtId="0" fontId="32" fillId="0" borderId="19" xfId="10" applyFont="1" applyBorder="1" applyAlignment="1">
      <alignment horizontal="center" vertical="center"/>
    </xf>
    <xf numFmtId="0" fontId="31" fillId="0" borderId="19" xfId="10" applyFont="1" applyBorder="1" applyAlignment="1">
      <alignment horizontal="center" vertical="center"/>
    </xf>
    <xf numFmtId="0" fontId="31" fillId="8" borderId="19" xfId="10" applyFont="1" applyFill="1" applyBorder="1" applyAlignment="1">
      <alignment horizontal="center" vertical="center"/>
    </xf>
    <xf numFmtId="41" fontId="32" fillId="0" borderId="19" xfId="6" applyFont="1" applyFill="1" applyBorder="1" applyAlignment="1" applyProtection="1">
      <alignment horizontal="left" vertical="center"/>
    </xf>
    <xf numFmtId="41" fontId="32" fillId="8" borderId="19" xfId="6" applyFont="1" applyFill="1" applyBorder="1" applyAlignment="1" applyProtection="1">
      <alignment horizontal="left" vertical="center"/>
    </xf>
    <xf numFmtId="41" fontId="32" fillId="8" borderId="20" xfId="6" applyFont="1" applyFill="1" applyBorder="1" applyAlignment="1" applyProtection="1">
      <alignment horizontal="left" vertical="center"/>
    </xf>
    <xf numFmtId="10" fontId="32" fillId="8" borderId="20" xfId="6" applyNumberFormat="1" applyFont="1" applyFill="1" applyBorder="1" applyAlignment="1" applyProtection="1">
      <alignment horizontal="center" vertical="center"/>
    </xf>
    <xf numFmtId="38" fontId="32" fillId="0" borderId="33" xfId="6" applyNumberFormat="1" applyFont="1" applyFill="1" applyBorder="1" applyAlignment="1" applyProtection="1">
      <alignment horizontal="right" vertical="center"/>
    </xf>
    <xf numFmtId="38" fontId="32" fillId="0" borderId="33" xfId="6" applyNumberFormat="1" applyFont="1" applyFill="1" applyBorder="1" applyAlignment="1" applyProtection="1">
      <alignment horizontal="left" vertical="center"/>
    </xf>
    <xf numFmtId="0" fontId="31" fillId="0" borderId="0" xfId="5" applyFont="1" applyAlignment="1">
      <alignment vertical="center"/>
    </xf>
    <xf numFmtId="0" fontId="31" fillId="0" borderId="37" xfId="5" quotePrefix="1" applyFont="1" applyBorder="1" applyAlignment="1">
      <alignment horizontal="center" vertical="center"/>
    </xf>
    <xf numFmtId="167" fontId="32" fillId="0" borderId="20" xfId="5" applyNumberFormat="1" applyFont="1" applyBorder="1" applyAlignment="1">
      <alignment horizontal="left" vertical="center"/>
    </xf>
    <xf numFmtId="168" fontId="32" fillId="0" borderId="37" xfId="5" applyNumberFormat="1" applyFont="1" applyBorder="1" applyAlignment="1">
      <alignment horizontal="center" vertical="center"/>
    </xf>
    <xf numFmtId="169" fontId="32" fillId="0" borderId="37" xfId="6" quotePrefix="1" applyNumberFormat="1" applyFont="1" applyFill="1" applyBorder="1" applyAlignment="1" applyProtection="1">
      <alignment horizontal="center" vertical="center"/>
    </xf>
    <xf numFmtId="167" fontId="32" fillId="0" borderId="37" xfId="5" applyNumberFormat="1" applyFont="1" applyBorder="1" applyAlignment="1">
      <alignment horizontal="left" vertical="center"/>
    </xf>
    <xf numFmtId="0" fontId="32" fillId="0" borderId="37" xfId="10" applyFont="1" applyBorder="1" applyAlignment="1">
      <alignment horizontal="center" vertical="center"/>
    </xf>
    <xf numFmtId="0" fontId="31" fillId="0" borderId="37" xfId="10" applyFont="1" applyBorder="1" applyAlignment="1">
      <alignment horizontal="center" vertical="center"/>
    </xf>
    <xf numFmtId="0" fontId="31" fillId="8" borderId="20" xfId="10" applyFont="1" applyFill="1" applyBorder="1" applyAlignment="1">
      <alignment horizontal="center" vertical="center"/>
    </xf>
    <xf numFmtId="41" fontId="32" fillId="0" borderId="38" xfId="6" applyFont="1" applyFill="1" applyBorder="1" applyAlignment="1" applyProtection="1">
      <alignment horizontal="left" vertical="center"/>
    </xf>
    <xf numFmtId="41" fontId="32" fillId="0" borderId="37" xfId="6" applyFont="1" applyFill="1" applyBorder="1" applyAlignment="1" applyProtection="1">
      <alignment horizontal="left" vertical="center"/>
    </xf>
    <xf numFmtId="168" fontId="32" fillId="0" borderId="20" xfId="5" applyNumberFormat="1" applyFont="1" applyBorder="1" applyAlignment="1">
      <alignment horizontal="center" vertical="center"/>
    </xf>
    <xf numFmtId="169" fontId="32" fillId="0" borderId="20" xfId="6" quotePrefix="1" applyNumberFormat="1" applyFont="1" applyFill="1" applyBorder="1" applyAlignment="1" applyProtection="1">
      <alignment horizontal="center" vertical="center"/>
    </xf>
    <xf numFmtId="0" fontId="32" fillId="0" borderId="20" xfId="10" applyFont="1" applyBorder="1" applyAlignment="1">
      <alignment horizontal="center" vertical="center"/>
    </xf>
    <xf numFmtId="0" fontId="31" fillId="0" borderId="20" xfId="10" applyFont="1" applyBorder="1" applyAlignment="1">
      <alignment horizontal="center" vertical="center"/>
    </xf>
    <xf numFmtId="41" fontId="32" fillId="0" borderId="20" xfId="6" applyFont="1" applyFill="1" applyBorder="1" applyAlignment="1" applyProtection="1">
      <alignment horizontal="left" vertical="center"/>
    </xf>
    <xf numFmtId="41" fontId="31" fillId="0" borderId="0" xfId="5" applyNumberFormat="1" applyFont="1" applyAlignment="1">
      <alignment vertical="center"/>
    </xf>
    <xf numFmtId="168" fontId="32" fillId="0" borderId="37" xfId="5" quotePrefix="1" applyNumberFormat="1" applyFont="1" applyBorder="1" applyAlignment="1">
      <alignment horizontal="center" vertical="center"/>
    </xf>
    <xf numFmtId="41" fontId="32" fillId="8" borderId="37" xfId="6" applyFont="1" applyFill="1" applyBorder="1" applyAlignment="1" applyProtection="1">
      <alignment horizontal="left" vertical="center"/>
    </xf>
    <xf numFmtId="10" fontId="32" fillId="8" borderId="37" xfId="6" applyNumberFormat="1" applyFont="1" applyFill="1" applyBorder="1" applyAlignment="1" applyProtection="1">
      <alignment horizontal="center" vertical="center"/>
    </xf>
    <xf numFmtId="41" fontId="12" fillId="2" borderId="3" xfId="6" applyFont="1" applyFill="1" applyBorder="1" applyAlignment="1">
      <alignment horizontal="center" vertical="center"/>
    </xf>
    <xf numFmtId="3" fontId="31" fillId="0" borderId="0" xfId="5" applyNumberFormat="1" applyFont="1" applyAlignment="1">
      <alignment vertical="center"/>
    </xf>
    <xf numFmtId="0" fontId="16" fillId="0" borderId="0" xfId="5" applyFont="1" applyAlignment="1">
      <alignment vertical="center" wrapText="1"/>
    </xf>
    <xf numFmtId="167" fontId="32" fillId="0" borderId="37" xfId="5" applyNumberFormat="1" applyFont="1" applyFill="1" applyBorder="1" applyAlignment="1">
      <alignment horizontal="left" vertical="center"/>
    </xf>
    <xf numFmtId="168" fontId="32" fillId="0" borderId="20" xfId="5" quotePrefix="1" applyNumberFormat="1" applyFont="1" applyBorder="1" applyAlignment="1">
      <alignment horizontal="center" vertical="center"/>
    </xf>
    <xf numFmtId="168" fontId="32" fillId="0" borderId="37" xfId="5" quotePrefix="1" applyNumberFormat="1" applyFont="1" applyFill="1" applyBorder="1" applyAlignment="1">
      <alignment horizontal="center" vertical="center"/>
    </xf>
    <xf numFmtId="166" fontId="31" fillId="0" borderId="0" xfId="5" applyNumberFormat="1" applyFont="1" applyAlignment="1">
      <alignment vertical="center"/>
    </xf>
    <xf numFmtId="3" fontId="12" fillId="0" borderId="0" xfId="5" applyNumberFormat="1" applyFont="1" applyAlignment="1">
      <alignment vertical="center"/>
    </xf>
    <xf numFmtId="41" fontId="32" fillId="8" borderId="44" xfId="6" applyNumberFormat="1" applyFont="1" applyFill="1" applyBorder="1" applyAlignment="1" applyProtection="1">
      <alignment horizontal="center" vertical="center"/>
    </xf>
    <xf numFmtId="41" fontId="32" fillId="0" borderId="47" xfId="6" applyFont="1" applyFill="1" applyBorder="1" applyAlignment="1" applyProtection="1">
      <alignment horizontal="left" vertical="center"/>
    </xf>
    <xf numFmtId="41" fontId="32" fillId="8" borderId="22" xfId="6" applyFont="1" applyFill="1" applyBorder="1" applyAlignment="1" applyProtection="1">
      <alignment horizontal="left" vertical="center"/>
    </xf>
    <xf numFmtId="41" fontId="32" fillId="0" borderId="40" xfId="6" applyFont="1" applyFill="1" applyBorder="1" applyAlignment="1" applyProtection="1">
      <alignment horizontal="left" vertical="center"/>
    </xf>
    <xf numFmtId="41" fontId="33" fillId="0" borderId="46" xfId="6" applyFont="1" applyFill="1" applyBorder="1" applyAlignment="1" applyProtection="1">
      <alignment horizontal="left" vertical="center"/>
    </xf>
    <xf numFmtId="41" fontId="33" fillId="0" borderId="48" xfId="6" applyFont="1" applyFill="1" applyBorder="1" applyAlignment="1" applyProtection="1">
      <alignment horizontal="left" vertical="center"/>
    </xf>
    <xf numFmtId="41" fontId="32" fillId="8" borderId="21" xfId="6" applyFont="1" applyFill="1" applyBorder="1" applyAlignment="1" applyProtection="1">
      <alignment horizontal="left" vertical="center"/>
    </xf>
    <xf numFmtId="41" fontId="32" fillId="8" borderId="0" xfId="6" applyNumberFormat="1" applyFont="1" applyFill="1" applyBorder="1" applyAlignment="1" applyProtection="1">
      <alignment horizontal="center" vertical="center"/>
    </xf>
    <xf numFmtId="41" fontId="32" fillId="0" borderId="49" xfId="6" applyFont="1" applyFill="1" applyBorder="1" applyAlignment="1" applyProtection="1">
      <alignment horizontal="left" vertical="center"/>
    </xf>
    <xf numFmtId="38" fontId="32" fillId="0" borderId="0" xfId="6" applyNumberFormat="1" applyFont="1" applyFill="1" applyBorder="1" applyAlignment="1" applyProtection="1">
      <alignment horizontal="right" vertical="center"/>
    </xf>
    <xf numFmtId="38" fontId="32" fillId="0" borderId="0" xfId="6" applyNumberFormat="1" applyFont="1" applyFill="1" applyBorder="1" applyAlignment="1" applyProtection="1">
      <alignment horizontal="left" vertical="center"/>
    </xf>
    <xf numFmtId="167" fontId="32" fillId="0" borderId="0" xfId="5" applyNumberFormat="1" applyFont="1" applyBorder="1" applyAlignment="1">
      <alignment horizontal="left" vertical="center"/>
    </xf>
    <xf numFmtId="41" fontId="32" fillId="8" borderId="0" xfId="6" applyFont="1" applyFill="1" applyBorder="1" applyAlignment="1" applyProtection="1">
      <alignment horizontal="left" vertical="center"/>
    </xf>
    <xf numFmtId="41" fontId="32" fillId="0" borderId="50" xfId="6" applyFont="1" applyFill="1" applyBorder="1" applyAlignment="1" applyProtection="1">
      <alignment horizontal="left" vertical="center"/>
    </xf>
    <xf numFmtId="0" fontId="12" fillId="2" borderId="9" xfId="5" quotePrefix="1" applyFont="1" applyFill="1" applyBorder="1" applyAlignment="1">
      <alignment vertical="center"/>
    </xf>
    <xf numFmtId="168" fontId="32" fillId="0" borderId="14" xfId="5" quotePrefix="1" applyNumberFormat="1" applyFont="1" applyBorder="1" applyAlignment="1">
      <alignment horizontal="center" vertical="center"/>
    </xf>
    <xf numFmtId="169" fontId="32" fillId="0" borderId="14" xfId="6" quotePrefix="1" applyNumberFormat="1" applyFont="1" applyFill="1" applyBorder="1" applyAlignment="1" applyProtection="1">
      <alignment horizontal="center" vertical="center"/>
    </xf>
    <xf numFmtId="167" fontId="32" fillId="0" borderId="14" xfId="5" applyNumberFormat="1" applyFont="1" applyBorder="1" applyAlignment="1">
      <alignment horizontal="left" vertical="center"/>
    </xf>
    <xf numFmtId="0" fontId="32" fillId="0" borderId="14" xfId="10" applyFont="1" applyBorder="1" applyAlignment="1">
      <alignment horizontal="center" vertical="center"/>
    </xf>
    <xf numFmtId="0" fontId="31" fillId="0" borderId="14" xfId="10" applyFont="1" applyBorder="1" applyAlignment="1">
      <alignment horizontal="center" vertical="center"/>
    </xf>
    <xf numFmtId="0" fontId="31" fillId="8" borderId="14" xfId="10" applyFont="1" applyFill="1" applyBorder="1" applyAlignment="1">
      <alignment horizontal="center" vertical="center"/>
    </xf>
    <xf numFmtId="41" fontId="32" fillId="0" borderId="14" xfId="6" applyFont="1" applyFill="1" applyBorder="1" applyAlignment="1" applyProtection="1">
      <alignment horizontal="left" vertical="center"/>
    </xf>
    <xf numFmtId="41" fontId="32" fillId="0" borderId="21" xfId="6" applyFont="1" applyFill="1" applyBorder="1" applyAlignment="1" applyProtection="1">
      <alignment horizontal="left" vertical="center"/>
    </xf>
    <xf numFmtId="41" fontId="32" fillId="8" borderId="14" xfId="6" applyFont="1" applyFill="1" applyBorder="1" applyAlignment="1" applyProtection="1">
      <alignment horizontal="left" vertical="center"/>
    </xf>
    <xf numFmtId="10" fontId="32" fillId="8" borderId="21" xfId="6" applyNumberFormat="1" applyFont="1" applyFill="1" applyBorder="1" applyAlignment="1" applyProtection="1">
      <alignment horizontal="center" vertical="center"/>
    </xf>
    <xf numFmtId="167" fontId="32" fillId="0" borderId="22" xfId="5" applyNumberFormat="1" applyFont="1" applyBorder="1" applyAlignment="1">
      <alignment horizontal="left" vertical="center"/>
    </xf>
    <xf numFmtId="168" fontId="32" fillId="0" borderId="22" xfId="5" quotePrefix="1" applyNumberFormat="1" applyFont="1" applyBorder="1" applyAlignment="1">
      <alignment horizontal="center" vertical="center"/>
    </xf>
    <xf numFmtId="169" fontId="32" fillId="0" borderId="22" xfId="6" quotePrefix="1" applyNumberFormat="1" applyFont="1" applyFill="1" applyBorder="1" applyAlignment="1" applyProtection="1">
      <alignment horizontal="center" vertical="center"/>
    </xf>
    <xf numFmtId="0" fontId="31" fillId="0" borderId="22" xfId="10" applyFont="1" applyBorder="1" applyAlignment="1">
      <alignment horizontal="center" vertical="center"/>
    </xf>
    <xf numFmtId="0" fontId="31" fillId="8" borderId="22" xfId="10" applyFont="1" applyFill="1" applyBorder="1" applyAlignment="1">
      <alignment horizontal="center" vertical="center"/>
    </xf>
    <xf numFmtId="41" fontId="32" fillId="0" borderId="22" xfId="6" applyFont="1" applyFill="1" applyBorder="1" applyAlignment="1" applyProtection="1">
      <alignment horizontal="left" vertical="center"/>
    </xf>
    <xf numFmtId="167" fontId="32" fillId="0" borderId="21" xfId="5" applyNumberFormat="1" applyFont="1" applyBorder="1" applyAlignment="1">
      <alignment horizontal="left" vertical="center"/>
    </xf>
    <xf numFmtId="168" fontId="32" fillId="0" borderId="21" xfId="5" quotePrefix="1" applyNumberFormat="1" applyFont="1" applyBorder="1" applyAlignment="1">
      <alignment horizontal="center" vertical="center"/>
    </xf>
    <xf numFmtId="169" fontId="32" fillId="0" borderId="21" xfId="6" quotePrefix="1" applyNumberFormat="1" applyFont="1" applyFill="1" applyBorder="1" applyAlignment="1" applyProtection="1">
      <alignment horizontal="center" vertical="center"/>
    </xf>
    <xf numFmtId="0" fontId="32" fillId="0" borderId="21" xfId="10" applyFont="1" applyBorder="1" applyAlignment="1">
      <alignment horizontal="center" vertical="center"/>
    </xf>
    <xf numFmtId="0" fontId="31" fillId="0" borderId="21" xfId="10" applyFont="1" applyBorder="1" applyAlignment="1">
      <alignment horizontal="center" vertical="center"/>
    </xf>
    <xf numFmtId="0" fontId="31" fillId="8" borderId="21" xfId="10" applyFont="1" applyFill="1" applyBorder="1" applyAlignment="1">
      <alignment horizontal="center" vertical="center"/>
    </xf>
    <xf numFmtId="0" fontId="32" fillId="0" borderId="22" xfId="10" applyFont="1" applyBorder="1" applyAlignment="1">
      <alignment horizontal="center" vertical="center"/>
    </xf>
    <xf numFmtId="0" fontId="34" fillId="0" borderId="14" xfId="0" applyFont="1" applyFill="1" applyBorder="1" applyAlignment="1">
      <alignment horizontal="left" vertical="center"/>
    </xf>
    <xf numFmtId="0" fontId="34" fillId="0" borderId="20" xfId="0" applyFont="1" applyFill="1" applyBorder="1" applyAlignment="1">
      <alignment horizontal="left" vertical="center"/>
    </xf>
    <xf numFmtId="0" fontId="34" fillId="0" borderId="22" xfId="0" applyFont="1" applyFill="1" applyBorder="1" applyAlignment="1">
      <alignment horizontal="left" vertical="center"/>
    </xf>
    <xf numFmtId="168" fontId="32" fillId="0" borderId="0" xfId="5" quotePrefix="1" applyNumberFormat="1" applyFont="1" applyBorder="1" applyAlignment="1">
      <alignment horizontal="center" vertical="center"/>
    </xf>
    <xf numFmtId="169" fontId="32" fillId="0" borderId="0" xfId="6" quotePrefix="1" applyNumberFormat="1" applyFont="1" applyFill="1" applyBorder="1" applyAlignment="1" applyProtection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5" fillId="0" borderId="0" xfId="5" applyFont="1" applyFill="1" applyAlignment="1">
      <alignment vertical="center"/>
    </xf>
    <xf numFmtId="41" fontId="35" fillId="0" borderId="0" xfId="6" applyFont="1" applyFill="1" applyAlignment="1">
      <alignment vertical="center"/>
    </xf>
    <xf numFmtId="41" fontId="35" fillId="0" borderId="0" xfId="6" applyFont="1" applyFill="1" applyAlignment="1">
      <alignment horizontal="center" vertical="center"/>
    </xf>
    <xf numFmtId="0" fontId="35" fillId="0" borderId="0" xfId="6" applyNumberFormat="1" applyFont="1" applyFill="1" applyAlignment="1">
      <alignment horizontal="center" vertical="center"/>
    </xf>
    <xf numFmtId="0" fontId="35" fillId="0" borderId="0" xfId="5" applyFont="1" applyFill="1" applyAlignment="1">
      <alignment horizontal="left" vertical="center"/>
    </xf>
    <xf numFmtId="0" fontId="35" fillId="0" borderId="0" xfId="5" applyFont="1" applyFill="1" applyAlignment="1">
      <alignment horizontal="center" vertical="center"/>
    </xf>
    <xf numFmtId="10" fontId="35" fillId="0" borderId="0" xfId="6" applyNumberFormat="1" applyFont="1" applyFill="1" applyAlignment="1">
      <alignment horizontal="center" vertical="center"/>
    </xf>
    <xf numFmtId="164" fontId="35" fillId="0" borderId="0" xfId="1" applyFont="1" applyFill="1" applyAlignment="1">
      <alignment vertical="center"/>
    </xf>
    <xf numFmtId="3" fontId="35" fillId="0" borderId="0" xfId="5" applyNumberFormat="1" applyFont="1" applyFill="1" applyAlignment="1">
      <alignment vertical="center"/>
    </xf>
    <xf numFmtId="0" fontId="35" fillId="0" borderId="0" xfId="5" applyFont="1" applyFill="1"/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0" fontId="31" fillId="0" borderId="0" xfId="5" applyFont="1" applyAlignment="1">
      <alignment horizontal="center" vertical="center"/>
    </xf>
    <xf numFmtId="167" fontId="32" fillId="0" borderId="20" xfId="5" applyNumberFormat="1" applyFont="1" applyFill="1" applyBorder="1" applyAlignment="1">
      <alignment horizontal="left" vertical="center"/>
    </xf>
    <xf numFmtId="168" fontId="32" fillId="0" borderId="37" xfId="5" applyNumberFormat="1" applyFont="1" applyFill="1" applyBorder="1" applyAlignment="1">
      <alignment horizontal="center" vertical="center"/>
    </xf>
    <xf numFmtId="0" fontId="32" fillId="0" borderId="37" xfId="10" applyFont="1" applyFill="1" applyBorder="1" applyAlignment="1">
      <alignment horizontal="center" vertical="center"/>
    </xf>
    <xf numFmtId="0" fontId="31" fillId="0" borderId="37" xfId="10" applyFont="1" applyFill="1" applyBorder="1" applyAlignment="1">
      <alignment horizontal="center" vertical="center"/>
    </xf>
    <xf numFmtId="41" fontId="32" fillId="0" borderId="44" xfId="6" applyNumberFormat="1" applyFont="1" applyFill="1" applyBorder="1" applyAlignment="1" applyProtection="1">
      <alignment horizontal="center" vertical="center"/>
    </xf>
    <xf numFmtId="0" fontId="31" fillId="0" borderId="0" xfId="5" applyFont="1" applyFill="1" applyAlignment="1">
      <alignment vertical="center"/>
    </xf>
    <xf numFmtId="41" fontId="31" fillId="0" borderId="0" xfId="5" applyNumberFormat="1" applyFont="1" applyFill="1" applyAlignment="1">
      <alignment vertical="center"/>
    </xf>
    <xf numFmtId="166" fontId="31" fillId="0" borderId="0" xfId="5" applyNumberFormat="1" applyFont="1" applyFill="1" applyAlignment="1">
      <alignment vertical="center"/>
    </xf>
    <xf numFmtId="0" fontId="31" fillId="0" borderId="0" xfId="5" applyFont="1" applyFill="1" applyAlignment="1">
      <alignment horizontal="center" vertical="center"/>
    </xf>
    <xf numFmtId="167" fontId="32" fillId="0" borderId="21" xfId="5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2" borderId="4" xfId="5" applyFont="1" applyFill="1" applyBorder="1" applyAlignment="1">
      <alignment horizontal="center" vertical="center"/>
    </xf>
    <xf numFmtId="0" fontId="12" fillId="2" borderId="10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0" fontId="12" fillId="2" borderId="15" xfId="5" applyFont="1" applyFill="1" applyBorder="1" applyAlignment="1">
      <alignment horizontal="center" vertical="center"/>
    </xf>
    <xf numFmtId="0" fontId="13" fillId="2" borderId="2" xfId="6" applyNumberFormat="1" applyFont="1" applyFill="1" applyBorder="1" applyAlignment="1">
      <alignment horizontal="center" vertical="center"/>
    </xf>
    <xf numFmtId="0" fontId="13" fillId="2" borderId="16" xfId="6" applyNumberFormat="1" applyFont="1" applyFill="1" applyBorder="1" applyAlignment="1">
      <alignment horizontal="center" vertical="center"/>
    </xf>
    <xf numFmtId="41" fontId="12" fillId="2" borderId="26" xfId="6" applyFont="1" applyFill="1" applyBorder="1" applyAlignment="1">
      <alignment horizontal="center" vertical="center"/>
    </xf>
    <xf numFmtId="41" fontId="12" fillId="2" borderId="2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7" xfId="6" applyNumberFormat="1" applyFont="1" applyFill="1" applyBorder="1" applyAlignment="1">
      <alignment horizontal="center" vertical="center"/>
    </xf>
    <xf numFmtId="0" fontId="12" fillId="2" borderId="10" xfId="6" applyNumberFormat="1" applyFont="1" applyFill="1" applyBorder="1" applyAlignment="1">
      <alignment horizontal="center" vertical="center" wrapText="1"/>
    </xf>
    <xf numFmtId="0" fontId="12" fillId="2" borderId="15" xfId="6" applyNumberFormat="1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 wrapText="1"/>
    </xf>
    <xf numFmtId="0" fontId="12" fillId="2" borderId="16" xfId="5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2" xfId="6" applyNumberFormat="1" applyFont="1" applyFill="1" applyBorder="1" applyAlignment="1">
      <alignment horizontal="center" vertical="center" wrapText="1"/>
    </xf>
    <xf numFmtId="0" fontId="12" fillId="2" borderId="23" xfId="6" applyNumberFormat="1" applyFont="1" applyFill="1" applyBorder="1" applyAlignment="1">
      <alignment horizontal="center" vertical="center" wrapText="1"/>
    </xf>
    <xf numFmtId="0" fontId="12" fillId="2" borderId="24" xfId="6" applyNumberFormat="1" applyFont="1" applyFill="1" applyBorder="1" applyAlignment="1">
      <alignment horizontal="center" vertical="center" wrapText="1"/>
    </xf>
    <xf numFmtId="0" fontId="12" fillId="2" borderId="25" xfId="6" applyNumberFormat="1" applyFont="1" applyFill="1" applyBorder="1" applyAlignment="1">
      <alignment horizontal="center" vertical="center" wrapText="1"/>
    </xf>
    <xf numFmtId="0" fontId="12" fillId="2" borderId="28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0" fontId="12" fillId="2" borderId="8" xfId="5" applyFont="1" applyFill="1" applyBorder="1" applyAlignment="1">
      <alignment horizontal="center" vertical="center" wrapText="1"/>
    </xf>
    <xf numFmtId="0" fontId="12" fillId="2" borderId="6" xfId="5" applyFont="1" applyFill="1" applyBorder="1" applyAlignment="1">
      <alignment horizontal="center" vertical="center" textRotation="90" wrapText="1"/>
    </xf>
    <xf numFmtId="0" fontId="12" fillId="2" borderId="13" xfId="5" applyFont="1" applyFill="1" applyBorder="1" applyAlignment="1">
      <alignment horizontal="center" vertical="center" textRotation="90" wrapText="1"/>
    </xf>
    <xf numFmtId="0" fontId="12" fillId="2" borderId="17" xfId="5" applyFont="1" applyFill="1" applyBorder="1" applyAlignment="1">
      <alignment horizontal="center" vertical="center" textRotation="90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14" xfId="6" applyFont="1" applyFill="1" applyBorder="1" applyAlignment="1">
      <alignment horizontal="center" vertical="center"/>
    </xf>
    <xf numFmtId="41" fontId="12" fillId="2" borderId="18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41" fontId="26" fillId="0" borderId="0" xfId="6" applyFont="1" applyFill="1" applyAlignment="1">
      <alignment horizontal="center" vertical="center"/>
    </xf>
    <xf numFmtId="0" fontId="10" fillId="0" borderId="0" xfId="11" applyAlignment="1">
      <alignment horizontal="center"/>
    </xf>
  </cellXfs>
  <cellStyles count="20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Normal" xfId="0" builtinId="0"/>
    <cellStyle name="Normal 2" xfId="4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AJI%202024/JUNI/FIELD%20CONDUCTO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DAFTAR%20UPAH%20FEBRUARI%202024%201A%20AIR%20KUND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.%20DAFTAR%20THR%20%202024%201A%20AIR%20KUND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!%20TAX/01.%20TAX%20COMPLIANCE/PPH%20&amp;%20PPN/2024/01.%20JANUARI%202024/PPH%2021/GAJI%20JANUARI%202024/STAFF/01.SALARY_JANUARI_2024%20PT%20RJ%20-%20DRIVER%20&amp;%20SECUR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03.%20DAFTAR%20UPAH%20MARET%202024%201A%20AIR%20KUND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04.%20DAFTAR%20UPAH%20APRIL%202024%201A%20AIR%20KUND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05.%20DAFTAR%20EXGRATIA%202024%20AK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05.%20DAFTAR%20UPAH%20MEI%202024%201A%20AIR%20KUND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JI%202024/JUNI/06.%20DAFTAR%20UPAH%20JUNI%202024%201A%20AIR%20KUND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GAJI%202024/JUNI/03.%20DAFTAR%20UPAH%20MARET%202024%201A%20AIR%20KUNDO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07.%20DAFTAR%20UPAH%20JULI%202024%201A%20AIR%20KUND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08.%20DAFTAR%20UPAH%20AGUSTUS%202024%201A%20AIR%20KUND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09.%20DAFTAR%20UPAH%20SEPTEMBER%202024%201A%20AIR%20KUND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DAFTAR%20UPAH%20OKTOBER%202024%201A%20AIR%20KUNDO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DAFTAR%20UPAH%20NOVEMBER%202024%201A%20AIR%20KUND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2.%20DAFTAR%20UPAH%20DESEMBER%202024%201A%20AIR%20KUNDO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01.%20DAFTAR%20UPAH%20JANUARI%202026%201A%20AIR%20KUNDO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012.%20DAFTAR%20UPAH%20DESEMBER%202025%201A%20AIR%20KU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 refreshError="1">
        <row r="11">
          <cell r="S11">
            <v>117000</v>
          </cell>
          <cell r="V11">
            <v>45000</v>
          </cell>
          <cell r="X11">
            <v>33000</v>
          </cell>
          <cell r="Y11">
            <v>804150</v>
          </cell>
          <cell r="Z11">
            <v>736416.1</v>
          </cell>
          <cell r="AC11">
            <v>4890232.68</v>
          </cell>
          <cell r="AH11">
            <v>146920</v>
          </cell>
          <cell r="AX11">
            <v>363999.99</v>
          </cell>
        </row>
        <row r="12">
          <cell r="S12">
            <v>151200</v>
          </cell>
          <cell r="V12">
            <v>38000</v>
          </cell>
          <cell r="X12">
            <v>43500</v>
          </cell>
          <cell r="Y12">
            <v>963160</v>
          </cell>
          <cell r="Z12">
            <v>873179.09</v>
          </cell>
          <cell r="AC12">
            <v>5466372.3300000001</v>
          </cell>
          <cell r="AH12">
            <v>147340</v>
          </cell>
          <cell r="AX12">
            <v>121333.33</v>
          </cell>
        </row>
        <row r="13">
          <cell r="S13">
            <v>112500</v>
          </cell>
          <cell r="V13">
            <v>54000</v>
          </cell>
          <cell r="X13">
            <v>61000</v>
          </cell>
          <cell r="Y13">
            <v>736250</v>
          </cell>
          <cell r="Z13">
            <v>746936.33</v>
          </cell>
          <cell r="AC13">
            <v>4744019.58</v>
          </cell>
          <cell r="AH13">
            <v>148040</v>
          </cell>
          <cell r="AX13">
            <v>485333.32</v>
          </cell>
        </row>
        <row r="14">
          <cell r="S14">
            <v>151200</v>
          </cell>
          <cell r="V14">
            <v>40000</v>
          </cell>
          <cell r="X14">
            <v>27000</v>
          </cell>
          <cell r="Y14">
            <v>852138.63</v>
          </cell>
          <cell r="Z14">
            <v>854835</v>
          </cell>
          <cell r="AC14">
            <v>5322506.87</v>
          </cell>
          <cell r="AH14">
            <v>146680</v>
          </cell>
          <cell r="AX14">
            <v>121333.33</v>
          </cell>
        </row>
      </sheetData>
      <sheetData sheetId="1" refreshError="1"/>
      <sheetData sheetId="2" refreshError="1">
        <row r="10">
          <cell r="U10">
            <v>145800</v>
          </cell>
          <cell r="X10">
            <v>54000</v>
          </cell>
          <cell r="Z10">
            <v>43500</v>
          </cell>
          <cell r="AD10">
            <v>1481705.22</v>
          </cell>
          <cell r="AF10">
            <v>120000</v>
          </cell>
          <cell r="AL10">
            <v>5188505.13</v>
          </cell>
          <cell r="AQ10">
            <v>150340</v>
          </cell>
          <cell r="BI10">
            <v>247666.66</v>
          </cell>
        </row>
        <row r="11">
          <cell r="U11">
            <v>65250</v>
          </cell>
          <cell r="X11">
            <v>40000</v>
          </cell>
          <cell r="Z11">
            <v>50500</v>
          </cell>
          <cell r="AD11">
            <v>1556994.04</v>
          </cell>
          <cell r="AL11">
            <v>5231410.6100000003</v>
          </cell>
          <cell r="AQ11">
            <v>147620</v>
          </cell>
          <cell r="BI11">
            <v>0</v>
          </cell>
        </row>
        <row r="12">
          <cell r="U12">
            <v>121500</v>
          </cell>
          <cell r="Z12">
            <v>21000</v>
          </cell>
          <cell r="AB12">
            <v>174300</v>
          </cell>
          <cell r="AC12">
            <v>303050</v>
          </cell>
          <cell r="AF12">
            <v>153825</v>
          </cell>
          <cell r="AI12">
            <v>284870</v>
          </cell>
          <cell r="AL12">
            <v>3764804.91</v>
          </cell>
          <cell r="AQ12">
            <v>146440</v>
          </cell>
          <cell r="BI12">
            <v>242666.66</v>
          </cell>
        </row>
        <row r="13">
          <cell r="U13">
            <v>130500</v>
          </cell>
          <cell r="Z13">
            <v>21000</v>
          </cell>
          <cell r="AA13">
            <v>111471</v>
          </cell>
          <cell r="AB13">
            <v>190050</v>
          </cell>
          <cell r="AC13">
            <v>471900</v>
          </cell>
          <cell r="AF13">
            <v>156030</v>
          </cell>
          <cell r="AI13">
            <v>101551</v>
          </cell>
          <cell r="AL13">
            <v>4498066.57</v>
          </cell>
          <cell r="AQ13">
            <v>146440</v>
          </cell>
          <cell r="BI13">
            <v>0</v>
          </cell>
        </row>
        <row r="14">
          <cell r="U14">
            <v>58500</v>
          </cell>
          <cell r="Z14">
            <v>21000</v>
          </cell>
          <cell r="AB14">
            <v>136500</v>
          </cell>
          <cell r="AC14">
            <v>303050</v>
          </cell>
          <cell r="AF14">
            <v>104055</v>
          </cell>
          <cell r="AI14">
            <v>303333</v>
          </cell>
          <cell r="AL14">
            <v>3474438.58</v>
          </cell>
          <cell r="AQ14">
            <v>146440</v>
          </cell>
          <cell r="BI14">
            <v>363999.99</v>
          </cell>
        </row>
        <row r="15">
          <cell r="U15">
            <v>100800</v>
          </cell>
          <cell r="Z15">
            <v>21000</v>
          </cell>
          <cell r="AB15">
            <v>163800</v>
          </cell>
          <cell r="AC15">
            <v>467500</v>
          </cell>
          <cell r="AI15">
            <v>97594</v>
          </cell>
          <cell r="AL15">
            <v>4052839.24</v>
          </cell>
          <cell r="AQ15">
            <v>146440</v>
          </cell>
          <cell r="BI15">
            <v>121333.33</v>
          </cell>
        </row>
        <row r="16">
          <cell r="U16">
            <v>126000</v>
          </cell>
          <cell r="Z16">
            <v>15000</v>
          </cell>
          <cell r="AA16">
            <v>7635</v>
          </cell>
          <cell r="AB16">
            <v>130200</v>
          </cell>
          <cell r="AC16">
            <v>421850</v>
          </cell>
          <cell r="AI16">
            <v>304652</v>
          </cell>
          <cell r="AL16">
            <v>3793366.24</v>
          </cell>
          <cell r="AQ16">
            <v>146200</v>
          </cell>
          <cell r="BI16">
            <v>121333.33</v>
          </cell>
        </row>
        <row r="17">
          <cell r="U17">
            <v>97200</v>
          </cell>
          <cell r="Z17">
            <v>7500</v>
          </cell>
          <cell r="AB17">
            <v>184800</v>
          </cell>
          <cell r="AC17">
            <v>453200</v>
          </cell>
          <cell r="AL17">
            <v>4018699.91</v>
          </cell>
          <cell r="AQ17">
            <v>145900</v>
          </cell>
          <cell r="BI17">
            <v>242666.66</v>
          </cell>
        </row>
        <row r="18">
          <cell r="U18">
            <v>151200</v>
          </cell>
          <cell r="Z18">
            <v>5000</v>
          </cell>
          <cell r="AA18">
            <v>297765</v>
          </cell>
          <cell r="AB18">
            <v>149100</v>
          </cell>
          <cell r="AC18">
            <v>314600</v>
          </cell>
          <cell r="AF18">
            <v>138390</v>
          </cell>
          <cell r="AI18">
            <v>320478</v>
          </cell>
          <cell r="AL18">
            <v>4132910.24</v>
          </cell>
          <cell r="AQ18">
            <v>145800</v>
          </cell>
          <cell r="BI18">
            <v>121333.33</v>
          </cell>
        </row>
        <row r="19">
          <cell r="U19">
            <v>130500</v>
          </cell>
          <cell r="Z19">
            <v>2500</v>
          </cell>
          <cell r="AA19">
            <v>317616</v>
          </cell>
          <cell r="AB19">
            <v>220500</v>
          </cell>
          <cell r="AC19">
            <v>471900</v>
          </cell>
          <cell r="AL19">
            <v>4661682.57</v>
          </cell>
          <cell r="AQ19">
            <v>145700</v>
          </cell>
          <cell r="BI19">
            <v>0</v>
          </cell>
        </row>
        <row r="20">
          <cell r="U20">
            <v>130500</v>
          </cell>
          <cell r="Z20">
            <v>2500</v>
          </cell>
          <cell r="AA20">
            <v>108417</v>
          </cell>
          <cell r="AB20">
            <v>129150</v>
          </cell>
          <cell r="AC20">
            <v>470800</v>
          </cell>
          <cell r="AL20">
            <v>4360033.57</v>
          </cell>
          <cell r="AQ20">
            <v>145700</v>
          </cell>
          <cell r="BI20">
            <v>0</v>
          </cell>
        </row>
        <row r="21">
          <cell r="U21">
            <v>130500</v>
          </cell>
          <cell r="Z21">
            <v>2500</v>
          </cell>
          <cell r="AA21">
            <v>517653</v>
          </cell>
          <cell r="AB21">
            <v>157500</v>
          </cell>
          <cell r="AC21">
            <v>437800</v>
          </cell>
          <cell r="AH21">
            <v>150000</v>
          </cell>
          <cell r="AL21">
            <v>4914619.57</v>
          </cell>
          <cell r="AQ21">
            <v>145700</v>
          </cell>
          <cell r="BI21">
            <v>0</v>
          </cell>
        </row>
        <row r="22">
          <cell r="U22">
            <v>60750</v>
          </cell>
          <cell r="Z22">
            <v>2500</v>
          </cell>
          <cell r="AA22">
            <v>42756</v>
          </cell>
          <cell r="AB22">
            <v>171150</v>
          </cell>
          <cell r="AC22">
            <v>301950</v>
          </cell>
          <cell r="AI22">
            <v>105507</v>
          </cell>
          <cell r="AL22">
            <v>3749598.91</v>
          </cell>
          <cell r="AQ22">
            <v>145700</v>
          </cell>
          <cell r="BI22">
            <v>242666.66</v>
          </cell>
        </row>
        <row r="23">
          <cell r="U23">
            <v>145800</v>
          </cell>
          <cell r="Z23">
            <v>18000</v>
          </cell>
          <cell r="AB23">
            <v>110250</v>
          </cell>
          <cell r="AC23">
            <v>445500</v>
          </cell>
          <cell r="AI23">
            <v>321797</v>
          </cell>
          <cell r="AL23">
            <v>3673752.91</v>
          </cell>
          <cell r="AQ23">
            <v>146320</v>
          </cell>
          <cell r="BI23">
            <v>242666.66</v>
          </cell>
        </row>
        <row r="24">
          <cell r="U24">
            <v>130500</v>
          </cell>
          <cell r="Z24">
            <v>21000</v>
          </cell>
          <cell r="AB24">
            <v>132300</v>
          </cell>
          <cell r="AC24">
            <v>314600</v>
          </cell>
          <cell r="AI24">
            <v>193870</v>
          </cell>
          <cell r="AL24">
            <v>3923196.5700000003</v>
          </cell>
          <cell r="AQ24">
            <v>146440</v>
          </cell>
          <cell r="BI24">
            <v>0</v>
          </cell>
        </row>
        <row r="25">
          <cell r="U25">
            <v>130500</v>
          </cell>
          <cell r="Z25">
            <v>5000</v>
          </cell>
          <cell r="AA25">
            <v>161862</v>
          </cell>
          <cell r="AB25">
            <v>132300</v>
          </cell>
          <cell r="AC25">
            <v>470800</v>
          </cell>
          <cell r="AL25">
            <v>4419128.57</v>
          </cell>
          <cell r="AQ25">
            <v>145800</v>
          </cell>
          <cell r="BI25">
            <v>0</v>
          </cell>
        </row>
        <row r="26">
          <cell r="U26">
            <v>121500</v>
          </cell>
          <cell r="Z26">
            <v>10000</v>
          </cell>
          <cell r="AA26">
            <v>27486</v>
          </cell>
          <cell r="AB26">
            <v>97650</v>
          </cell>
          <cell r="AC26">
            <v>469700</v>
          </cell>
          <cell r="AI26">
            <v>212333</v>
          </cell>
          <cell r="AL26">
            <v>3790002.91</v>
          </cell>
          <cell r="AQ26">
            <v>146000</v>
          </cell>
          <cell r="BI26">
            <v>242666.66</v>
          </cell>
        </row>
        <row r="27">
          <cell r="U27">
            <v>156600</v>
          </cell>
          <cell r="Z27">
            <v>2500</v>
          </cell>
          <cell r="AA27">
            <v>374115</v>
          </cell>
          <cell r="AB27">
            <v>142800</v>
          </cell>
          <cell r="AC27">
            <v>314600</v>
          </cell>
          <cell r="AI27">
            <v>208377</v>
          </cell>
          <cell r="AL27">
            <v>4300904.57</v>
          </cell>
          <cell r="AQ27">
            <v>145700</v>
          </cell>
          <cell r="BI27">
            <v>0</v>
          </cell>
        </row>
        <row r="28">
          <cell r="U28">
            <v>65250</v>
          </cell>
          <cell r="Z28">
            <v>7500</v>
          </cell>
          <cell r="AA28">
            <v>685623</v>
          </cell>
          <cell r="AB28">
            <v>172200</v>
          </cell>
          <cell r="AC28">
            <v>487300</v>
          </cell>
          <cell r="AH28">
            <v>150000</v>
          </cell>
          <cell r="AL28">
            <v>5086539.57</v>
          </cell>
          <cell r="AQ28">
            <v>145900</v>
          </cell>
          <cell r="BI28">
            <v>0</v>
          </cell>
        </row>
        <row r="29">
          <cell r="U29">
            <v>145800</v>
          </cell>
          <cell r="Z29">
            <v>12500</v>
          </cell>
          <cell r="AB29">
            <v>134400</v>
          </cell>
          <cell r="AC29">
            <v>696300</v>
          </cell>
          <cell r="AI29">
            <v>101551</v>
          </cell>
          <cell r="AL29">
            <v>4163448.91</v>
          </cell>
          <cell r="AQ29">
            <v>146100</v>
          </cell>
          <cell r="BI29">
            <v>242666.66</v>
          </cell>
        </row>
        <row r="30">
          <cell r="U30">
            <v>60750</v>
          </cell>
          <cell r="Z30">
            <v>5000</v>
          </cell>
          <cell r="AA30">
            <v>54972</v>
          </cell>
          <cell r="AB30">
            <v>168000</v>
          </cell>
          <cell r="AC30">
            <v>416350</v>
          </cell>
          <cell r="AI30">
            <v>213652</v>
          </cell>
          <cell r="AL30">
            <v>3767419.91</v>
          </cell>
          <cell r="AQ30">
            <v>145800</v>
          </cell>
          <cell r="BI30">
            <v>242666.66</v>
          </cell>
        </row>
        <row r="31">
          <cell r="U31">
            <v>63000</v>
          </cell>
          <cell r="Z31">
            <v>0</v>
          </cell>
          <cell r="AA31">
            <v>15270</v>
          </cell>
          <cell r="AB31">
            <v>116550</v>
          </cell>
          <cell r="AC31">
            <v>393800</v>
          </cell>
          <cell r="AI31">
            <v>203101</v>
          </cell>
          <cell r="AL31">
            <v>3782852.24</v>
          </cell>
          <cell r="AQ31">
            <v>145600</v>
          </cell>
          <cell r="BI31">
            <v>121333.33</v>
          </cell>
        </row>
        <row r="32">
          <cell r="U32">
            <v>65250</v>
          </cell>
          <cell r="Z32">
            <v>0</v>
          </cell>
          <cell r="AA32">
            <v>42756</v>
          </cell>
          <cell r="AB32">
            <v>95550</v>
          </cell>
          <cell r="AC32">
            <v>459800</v>
          </cell>
          <cell r="AI32">
            <v>323116</v>
          </cell>
          <cell r="AL32">
            <v>3858906.5700000003</v>
          </cell>
          <cell r="AQ32">
            <v>145600</v>
          </cell>
          <cell r="BI32">
            <v>0</v>
          </cell>
        </row>
        <row r="33">
          <cell r="U33">
            <v>156600</v>
          </cell>
          <cell r="Z33">
            <v>7500</v>
          </cell>
          <cell r="AA33">
            <v>516126</v>
          </cell>
          <cell r="AB33">
            <v>133350</v>
          </cell>
          <cell r="AC33">
            <v>303050</v>
          </cell>
          <cell r="AF33">
            <v>146475</v>
          </cell>
          <cell r="AH33">
            <v>150000</v>
          </cell>
          <cell r="AI33">
            <v>106826</v>
          </cell>
          <cell r="AL33">
            <v>4824941.57</v>
          </cell>
          <cell r="AQ33">
            <v>145900</v>
          </cell>
          <cell r="BI33">
            <v>0</v>
          </cell>
        </row>
        <row r="34">
          <cell r="U34">
            <v>156600</v>
          </cell>
          <cell r="Z34">
            <v>5000</v>
          </cell>
          <cell r="AB34">
            <v>161700</v>
          </cell>
          <cell r="AC34">
            <v>462550</v>
          </cell>
          <cell r="AI34">
            <v>105507</v>
          </cell>
          <cell r="AL34">
            <v>4199009.5699999994</v>
          </cell>
          <cell r="AQ34">
            <v>145800</v>
          </cell>
          <cell r="BI34">
            <v>0</v>
          </cell>
        </row>
        <row r="35">
          <cell r="U35">
            <v>156600</v>
          </cell>
          <cell r="Z35">
            <v>2500</v>
          </cell>
          <cell r="AB35">
            <v>184800</v>
          </cell>
          <cell r="AC35">
            <v>459800</v>
          </cell>
          <cell r="AI35">
            <v>184638</v>
          </cell>
          <cell r="AL35">
            <v>4137728.5700000003</v>
          </cell>
          <cell r="AQ35">
            <v>145700</v>
          </cell>
          <cell r="BI35">
            <v>0</v>
          </cell>
        </row>
        <row r="36">
          <cell r="U36">
            <v>156600</v>
          </cell>
          <cell r="Z36">
            <v>0</v>
          </cell>
          <cell r="AB36">
            <v>144900</v>
          </cell>
          <cell r="AC36">
            <v>394350</v>
          </cell>
          <cell r="AI36">
            <v>189913</v>
          </cell>
          <cell r="AL36">
            <v>4024603.5700000003</v>
          </cell>
          <cell r="AQ36">
            <v>145600</v>
          </cell>
          <cell r="BI36">
            <v>0</v>
          </cell>
        </row>
        <row r="37">
          <cell r="U37">
            <v>104400</v>
          </cell>
          <cell r="Z37">
            <v>0</v>
          </cell>
          <cell r="AA37">
            <v>340521</v>
          </cell>
          <cell r="AB37">
            <v>134400</v>
          </cell>
          <cell r="AC37">
            <v>302500</v>
          </cell>
          <cell r="AF37">
            <v>106955</v>
          </cell>
          <cell r="AI37">
            <v>92319</v>
          </cell>
          <cell r="AL37">
            <v>4415123.5699999994</v>
          </cell>
          <cell r="AQ37">
            <v>145600</v>
          </cell>
          <cell r="BI37">
            <v>0</v>
          </cell>
        </row>
        <row r="38">
          <cell r="U38">
            <v>129600</v>
          </cell>
          <cell r="Z38">
            <v>0</v>
          </cell>
          <cell r="AA38">
            <v>24432</v>
          </cell>
          <cell r="AB38">
            <v>70350</v>
          </cell>
          <cell r="AC38">
            <v>451000</v>
          </cell>
          <cell r="AK38">
            <v>761220</v>
          </cell>
          <cell r="AL38">
            <v>4348601.92</v>
          </cell>
          <cell r="AQ38">
            <v>145600</v>
          </cell>
          <cell r="BI38">
            <v>606666.65</v>
          </cell>
        </row>
        <row r="39">
          <cell r="U39">
            <v>156600</v>
          </cell>
          <cell r="Z39">
            <v>10000</v>
          </cell>
          <cell r="AA39">
            <v>108417</v>
          </cell>
          <cell r="AB39">
            <v>195300</v>
          </cell>
          <cell r="AC39">
            <v>471350</v>
          </cell>
          <cell r="AF39">
            <v>129570</v>
          </cell>
          <cell r="AL39">
            <v>4589903.57</v>
          </cell>
          <cell r="AQ39">
            <v>146000</v>
          </cell>
          <cell r="BI39">
            <v>0</v>
          </cell>
        </row>
        <row r="40">
          <cell r="U40">
            <v>100800</v>
          </cell>
          <cell r="Z40">
            <v>0</v>
          </cell>
          <cell r="AA40">
            <v>108417</v>
          </cell>
          <cell r="AB40">
            <v>196350</v>
          </cell>
          <cell r="AC40">
            <v>585750</v>
          </cell>
          <cell r="AF40">
            <v>131880</v>
          </cell>
          <cell r="AL40">
            <v>4520530.24</v>
          </cell>
          <cell r="AQ40">
            <v>145600</v>
          </cell>
          <cell r="BI40">
            <v>121333.33</v>
          </cell>
        </row>
        <row r="41">
          <cell r="U41">
            <v>156600</v>
          </cell>
          <cell r="Z41">
            <v>0</v>
          </cell>
          <cell r="AA41">
            <v>24432</v>
          </cell>
          <cell r="AB41">
            <v>148050</v>
          </cell>
          <cell r="AC41">
            <v>456500</v>
          </cell>
          <cell r="AI41">
            <v>96275</v>
          </cell>
          <cell r="AL41">
            <v>4207973.57</v>
          </cell>
          <cell r="AQ41">
            <v>145600</v>
          </cell>
          <cell r="BI41">
            <v>0</v>
          </cell>
        </row>
        <row r="42">
          <cell r="U42">
            <v>156600</v>
          </cell>
          <cell r="Z42">
            <v>0</v>
          </cell>
          <cell r="AA42">
            <v>374115</v>
          </cell>
          <cell r="AB42">
            <v>153300</v>
          </cell>
          <cell r="AC42">
            <v>433400</v>
          </cell>
          <cell r="AD42">
            <v>231444.28</v>
          </cell>
          <cell r="AE42">
            <v>136380</v>
          </cell>
          <cell r="AF42">
            <v>166635</v>
          </cell>
          <cell r="AK42">
            <v>680080</v>
          </cell>
          <cell r="AL42">
            <v>5850620.8500000006</v>
          </cell>
          <cell r="AQ42">
            <v>145600</v>
          </cell>
          <cell r="BI42">
            <v>0</v>
          </cell>
        </row>
        <row r="43">
          <cell r="U43">
            <v>156600</v>
          </cell>
          <cell r="Z43">
            <v>5000</v>
          </cell>
          <cell r="AB43">
            <v>229950</v>
          </cell>
          <cell r="AC43">
            <v>454850</v>
          </cell>
          <cell r="AF43">
            <v>90300</v>
          </cell>
          <cell r="AI43">
            <v>94957</v>
          </cell>
          <cell r="AL43">
            <v>4360409.57</v>
          </cell>
          <cell r="AQ43">
            <v>145800</v>
          </cell>
          <cell r="BI43">
            <v>0</v>
          </cell>
        </row>
        <row r="44">
          <cell r="U44">
            <v>156600</v>
          </cell>
          <cell r="Z44">
            <v>7500</v>
          </cell>
          <cell r="AA44">
            <v>563463</v>
          </cell>
          <cell r="AB44">
            <v>245700</v>
          </cell>
          <cell r="AC44">
            <v>451000</v>
          </cell>
          <cell r="AH44">
            <v>150000</v>
          </cell>
          <cell r="AI44">
            <v>88362</v>
          </cell>
          <cell r="AL44">
            <v>5004567.57</v>
          </cell>
          <cell r="AQ44">
            <v>145900</v>
          </cell>
          <cell r="BI44">
            <v>0</v>
          </cell>
        </row>
      </sheetData>
      <sheetData sheetId="3" refreshError="1"/>
      <sheetData sheetId="4" refreshError="1">
        <row r="10">
          <cell r="W10">
            <v>156600</v>
          </cell>
          <cell r="Z10">
            <v>66000</v>
          </cell>
          <cell r="AB10">
            <v>47000</v>
          </cell>
          <cell r="AE10">
            <v>137890.18</v>
          </cell>
          <cell r="AF10">
            <v>3955156.7500000005</v>
          </cell>
          <cell r="AK10">
            <v>148680</v>
          </cell>
          <cell r="BA10">
            <v>0</v>
          </cell>
        </row>
        <row r="11">
          <cell r="W11">
            <v>65250</v>
          </cell>
          <cell r="Z11">
            <v>0</v>
          </cell>
          <cell r="AB11">
            <v>27000</v>
          </cell>
          <cell r="AF11">
            <v>3610916.5700000003</v>
          </cell>
          <cell r="AK11">
            <v>146680</v>
          </cell>
          <cell r="BA11">
            <v>0</v>
          </cell>
        </row>
        <row r="12">
          <cell r="W12">
            <v>63000</v>
          </cell>
          <cell r="Z12">
            <v>0</v>
          </cell>
          <cell r="AB12">
            <v>30000</v>
          </cell>
          <cell r="AF12">
            <v>3490333.24</v>
          </cell>
          <cell r="AK12">
            <v>146800</v>
          </cell>
          <cell r="BA12">
            <v>121333.33</v>
          </cell>
        </row>
        <row r="13">
          <cell r="W13">
            <v>60750</v>
          </cell>
          <cell r="Z13">
            <v>0</v>
          </cell>
          <cell r="AB13">
            <v>47000</v>
          </cell>
          <cell r="AF13">
            <v>3383749.91</v>
          </cell>
          <cell r="AK13">
            <v>147480</v>
          </cell>
          <cell r="BA13">
            <v>242666.66</v>
          </cell>
        </row>
        <row r="14">
          <cell r="W14">
            <v>65250</v>
          </cell>
          <cell r="Z14">
            <v>0</v>
          </cell>
          <cell r="AB14">
            <v>30000</v>
          </cell>
          <cell r="AF14">
            <v>3613916.5700000003</v>
          </cell>
          <cell r="AK14">
            <v>146800</v>
          </cell>
          <cell r="BA14">
            <v>0</v>
          </cell>
        </row>
        <row r="15">
          <cell r="W15">
            <v>63000</v>
          </cell>
          <cell r="Z15">
            <v>0</v>
          </cell>
          <cell r="AB15">
            <v>43500</v>
          </cell>
          <cell r="AF15">
            <v>3503833.24</v>
          </cell>
          <cell r="AK15">
            <v>147340</v>
          </cell>
          <cell r="BA15">
            <v>121333.33</v>
          </cell>
        </row>
        <row r="16">
          <cell r="W16">
            <v>65250</v>
          </cell>
          <cell r="Z16">
            <v>0</v>
          </cell>
          <cell r="AB16">
            <v>47000</v>
          </cell>
          <cell r="AF16">
            <v>3630916.5700000003</v>
          </cell>
          <cell r="AK16">
            <v>147480</v>
          </cell>
          <cell r="BA16">
            <v>0</v>
          </cell>
        </row>
        <row r="17">
          <cell r="W17">
            <v>65250</v>
          </cell>
          <cell r="Z17">
            <v>0</v>
          </cell>
          <cell r="AB17">
            <v>43500</v>
          </cell>
          <cell r="AF17">
            <v>3627416.5700000003</v>
          </cell>
          <cell r="AK17">
            <v>147340</v>
          </cell>
          <cell r="BA17">
            <v>0</v>
          </cell>
        </row>
        <row r="18">
          <cell r="W18">
            <v>65250</v>
          </cell>
          <cell r="Z18">
            <v>0</v>
          </cell>
          <cell r="AB18">
            <v>47000</v>
          </cell>
          <cell r="AF18">
            <v>3630916.5700000003</v>
          </cell>
          <cell r="AK18">
            <v>147480</v>
          </cell>
          <cell r="BA18">
            <v>0</v>
          </cell>
        </row>
        <row r="19">
          <cell r="W19">
            <v>60750</v>
          </cell>
          <cell r="Z19">
            <v>0</v>
          </cell>
          <cell r="AB19">
            <v>50500</v>
          </cell>
          <cell r="AF19">
            <v>3387249.91</v>
          </cell>
          <cell r="AK19">
            <v>147620</v>
          </cell>
          <cell r="BA19">
            <v>242666.66</v>
          </cell>
        </row>
        <row r="20">
          <cell r="W20">
            <v>63000</v>
          </cell>
          <cell r="Z20">
            <v>0</v>
          </cell>
          <cell r="AB20">
            <v>47000</v>
          </cell>
          <cell r="AF20">
            <v>3507333.24</v>
          </cell>
          <cell r="AK20">
            <v>147480</v>
          </cell>
          <cell r="BA20">
            <v>121333.33</v>
          </cell>
        </row>
        <row r="21">
          <cell r="W21">
            <v>47250</v>
          </cell>
          <cell r="Z21">
            <v>0</v>
          </cell>
          <cell r="AB21">
            <v>43500</v>
          </cell>
          <cell r="AF21">
            <v>2638749.9299999997</v>
          </cell>
          <cell r="AK21">
            <v>147340</v>
          </cell>
          <cell r="BA21">
            <v>970666.64</v>
          </cell>
        </row>
        <row r="22">
          <cell r="W22">
            <v>65250</v>
          </cell>
          <cell r="Z22">
            <v>0</v>
          </cell>
          <cell r="AB22">
            <v>43500</v>
          </cell>
          <cell r="AF22">
            <v>3627416.5700000003</v>
          </cell>
          <cell r="AK22">
            <v>147340</v>
          </cell>
          <cell r="BA22">
            <v>0</v>
          </cell>
        </row>
        <row r="23">
          <cell r="W23">
            <v>63000</v>
          </cell>
          <cell r="Z23">
            <v>0</v>
          </cell>
          <cell r="AB23">
            <v>33000</v>
          </cell>
          <cell r="AF23">
            <v>3493333.24</v>
          </cell>
          <cell r="AK23">
            <v>146920</v>
          </cell>
          <cell r="BA23">
            <v>121333.33</v>
          </cell>
        </row>
        <row r="24">
          <cell r="W24">
            <v>126000</v>
          </cell>
          <cell r="Z24">
            <v>0</v>
          </cell>
          <cell r="AB24">
            <v>43500</v>
          </cell>
          <cell r="AF24">
            <v>3566833.24</v>
          </cell>
          <cell r="AK24">
            <v>147340</v>
          </cell>
          <cell r="BA24">
            <v>121333.33</v>
          </cell>
        </row>
        <row r="25">
          <cell r="W25">
            <v>126000</v>
          </cell>
          <cell r="Z25">
            <v>0</v>
          </cell>
          <cell r="AB25">
            <v>27000</v>
          </cell>
          <cell r="AC25">
            <v>335250</v>
          </cell>
          <cell r="AE25">
            <v>357687.82</v>
          </cell>
          <cell r="AF25">
            <v>4243271.0600000005</v>
          </cell>
          <cell r="AK25">
            <v>146680</v>
          </cell>
          <cell r="BA25">
            <v>121333.33</v>
          </cell>
        </row>
        <row r="26">
          <cell r="W26">
            <v>65250</v>
          </cell>
          <cell r="Z26">
            <v>0</v>
          </cell>
          <cell r="AB26">
            <v>47000</v>
          </cell>
          <cell r="AF26">
            <v>3630916.5700000003</v>
          </cell>
          <cell r="AK26">
            <v>147480</v>
          </cell>
          <cell r="BA26">
            <v>0</v>
          </cell>
        </row>
        <row r="27">
          <cell r="W27">
            <v>63000</v>
          </cell>
          <cell r="Z27">
            <v>0</v>
          </cell>
          <cell r="AB27">
            <v>43500</v>
          </cell>
          <cell r="AF27">
            <v>3503833.24</v>
          </cell>
          <cell r="AK27">
            <v>147340</v>
          </cell>
          <cell r="BA27">
            <v>121333.33</v>
          </cell>
        </row>
        <row r="28">
          <cell r="W28">
            <v>65250</v>
          </cell>
          <cell r="Z28">
            <v>40000</v>
          </cell>
          <cell r="AB28">
            <v>30000</v>
          </cell>
          <cell r="AE28">
            <v>1599074.96</v>
          </cell>
          <cell r="AF28">
            <v>5252991.53</v>
          </cell>
          <cell r="AK28">
            <v>146800</v>
          </cell>
          <cell r="BA28">
            <v>0</v>
          </cell>
        </row>
        <row r="29">
          <cell r="W29">
            <v>151200</v>
          </cell>
          <cell r="AB29">
            <v>43500</v>
          </cell>
          <cell r="AF29">
            <v>3592033.24</v>
          </cell>
          <cell r="AK29">
            <v>147340</v>
          </cell>
          <cell r="BA29">
            <v>121333.33</v>
          </cell>
        </row>
        <row r="30">
          <cell r="W30">
            <v>65250</v>
          </cell>
          <cell r="AB30">
            <v>61000</v>
          </cell>
          <cell r="AF30">
            <v>3644916.5700000003</v>
          </cell>
          <cell r="AK30">
            <v>148040</v>
          </cell>
          <cell r="BA30">
            <v>0</v>
          </cell>
        </row>
        <row r="31">
          <cell r="W31">
            <v>65250</v>
          </cell>
          <cell r="AB31">
            <v>50500</v>
          </cell>
          <cell r="AF31">
            <v>3634416.5700000003</v>
          </cell>
          <cell r="AK31">
            <v>147620</v>
          </cell>
          <cell r="BA3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HARVESTING KHT"/>
      <sheetName val="MAINTENANCE"/>
      <sheetName val="REK AIR KUNDO"/>
      <sheetName val="PAJAK"/>
    </sheetNames>
    <sheetDataSet>
      <sheetData sheetId="0">
        <row r="12">
          <cell r="N12">
            <v>3807999.9</v>
          </cell>
        </row>
        <row r="13">
          <cell r="N13">
            <v>3848999.9</v>
          </cell>
        </row>
        <row r="14">
          <cell r="N14">
            <v>3835999.9</v>
          </cell>
        </row>
        <row r="15">
          <cell r="N15">
            <v>3828999.9</v>
          </cell>
        </row>
      </sheetData>
      <sheetData sheetId="1">
        <row r="11">
          <cell r="M11">
            <v>3920499.9</v>
          </cell>
        </row>
        <row r="12">
          <cell r="M12">
            <v>3757999.9</v>
          </cell>
        </row>
        <row r="13">
          <cell r="M13">
            <v>3795999.9</v>
          </cell>
        </row>
        <row r="14">
          <cell r="M14">
            <v>3795999.9</v>
          </cell>
        </row>
        <row r="15">
          <cell r="M15">
            <v>3728499.9</v>
          </cell>
        </row>
        <row r="16">
          <cell r="M16">
            <v>3768999.9</v>
          </cell>
        </row>
        <row r="17">
          <cell r="M17">
            <v>3789999.9</v>
          </cell>
        </row>
        <row r="18">
          <cell r="M18">
            <v>3755499.9</v>
          </cell>
        </row>
        <row r="19">
          <cell r="M19">
            <v>3806999.9</v>
          </cell>
        </row>
        <row r="20">
          <cell r="M20">
            <v>3779999.9</v>
          </cell>
        </row>
        <row r="21">
          <cell r="M21">
            <v>3779999.9</v>
          </cell>
        </row>
        <row r="22">
          <cell r="M22">
            <v>3779999.9</v>
          </cell>
        </row>
        <row r="23">
          <cell r="M23">
            <v>3709999.9</v>
          </cell>
        </row>
        <row r="24">
          <cell r="M24">
            <v>3819999.9</v>
          </cell>
        </row>
        <row r="25">
          <cell r="M25">
            <v>3795999.9</v>
          </cell>
        </row>
        <row r="26">
          <cell r="M26">
            <v>3779999.9</v>
          </cell>
        </row>
        <row r="27">
          <cell r="M27">
            <v>3784999.9</v>
          </cell>
        </row>
        <row r="28">
          <cell r="M28">
            <v>3804499.9</v>
          </cell>
        </row>
        <row r="29">
          <cell r="M29">
            <v>3714999.9</v>
          </cell>
        </row>
        <row r="30">
          <cell r="M30">
            <v>3816999.9</v>
          </cell>
        </row>
        <row r="31">
          <cell r="M31">
            <v>3712499.9</v>
          </cell>
        </row>
        <row r="32">
          <cell r="M32">
            <v>3089583.25</v>
          </cell>
        </row>
        <row r="33">
          <cell r="M33">
            <v>3398541.5750000002</v>
          </cell>
        </row>
        <row r="34">
          <cell r="M34">
            <v>3809499.9</v>
          </cell>
        </row>
        <row r="35">
          <cell r="M35">
            <v>3806999.9</v>
          </cell>
        </row>
        <row r="36">
          <cell r="M36">
            <v>3804499.9</v>
          </cell>
        </row>
        <row r="37">
          <cell r="M37">
            <v>2851499.9250000003</v>
          </cell>
        </row>
        <row r="38">
          <cell r="M38">
            <v>2498666.6</v>
          </cell>
        </row>
        <row r="39">
          <cell r="M39">
            <v>2534666.6</v>
          </cell>
        </row>
        <row r="40">
          <cell r="M40">
            <v>3811999.9</v>
          </cell>
        </row>
        <row r="41">
          <cell r="M41">
            <v>3435666.5750000002</v>
          </cell>
        </row>
        <row r="42">
          <cell r="M42">
            <v>2217833.2749999999</v>
          </cell>
        </row>
        <row r="43">
          <cell r="M43">
            <v>2217833.2749999999</v>
          </cell>
        </row>
        <row r="44">
          <cell r="M44">
            <v>3809499.9</v>
          </cell>
        </row>
        <row r="45">
          <cell r="M45">
            <v>3809499.9</v>
          </cell>
        </row>
      </sheetData>
      <sheetData sheetId="2">
        <row r="11">
          <cell r="M11">
            <v>3878999.9</v>
          </cell>
        </row>
        <row r="12">
          <cell r="M12">
            <v>3734499.9</v>
          </cell>
        </row>
        <row r="13">
          <cell r="M13">
            <v>3737499.9</v>
          </cell>
        </row>
        <row r="14">
          <cell r="M14">
            <v>3754499.9</v>
          </cell>
        </row>
        <row r="15">
          <cell r="M15">
            <v>3737499.9</v>
          </cell>
        </row>
        <row r="16">
          <cell r="M16">
            <v>3750999.9</v>
          </cell>
        </row>
        <row r="17">
          <cell r="M17">
            <v>3754499.9</v>
          </cell>
        </row>
        <row r="18">
          <cell r="M18">
            <v>3754499.9</v>
          </cell>
        </row>
        <row r="19">
          <cell r="M19">
            <v>3754499.9</v>
          </cell>
        </row>
        <row r="20">
          <cell r="M20">
            <v>3757999.9</v>
          </cell>
        </row>
        <row r="21">
          <cell r="M21">
            <v>3754499.9</v>
          </cell>
        </row>
        <row r="22">
          <cell r="M22">
            <v>3750999.9</v>
          </cell>
        </row>
        <row r="23">
          <cell r="M23">
            <v>3750999.9</v>
          </cell>
        </row>
        <row r="24">
          <cell r="M24">
            <v>3740499.9</v>
          </cell>
        </row>
        <row r="25">
          <cell r="M25">
            <v>3818499.9</v>
          </cell>
        </row>
        <row r="26">
          <cell r="M26">
            <v>3801999.9</v>
          </cell>
        </row>
        <row r="27">
          <cell r="M27">
            <v>3754499.9</v>
          </cell>
        </row>
        <row r="28">
          <cell r="M28">
            <v>3750999.9</v>
          </cell>
        </row>
        <row r="29">
          <cell r="M29">
            <v>3737499.9</v>
          </cell>
        </row>
        <row r="30">
          <cell r="M30">
            <v>3845499.9</v>
          </cell>
        </row>
        <row r="31">
          <cell r="M31">
            <v>3768499.9</v>
          </cell>
        </row>
        <row r="32">
          <cell r="M32">
            <v>3757999.9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M.Kerja 2020"/>
      <sheetName val="M.Kerja 2023"/>
      <sheetName val="PINJAMAN"/>
    </sheetNames>
    <sheetDataSet>
      <sheetData sheetId="0" refreshError="1"/>
      <sheetData sheetId="1" refreshError="1"/>
      <sheetData sheetId="2" refreshError="1">
        <row r="37">
          <cell r="B37" t="str">
            <v>Agus Kusmana</v>
          </cell>
        </row>
        <row r="215">
          <cell r="T215">
            <v>4628793.8715650011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130500</v>
          </cell>
          <cell r="V11">
            <v>60000</v>
          </cell>
          <cell r="X11">
            <v>33000</v>
          </cell>
          <cell r="Y11">
            <v>1003725</v>
          </cell>
          <cell r="Z11">
            <v>1009942.08</v>
          </cell>
          <cell r="AC11">
            <v>5755833.6500000004</v>
          </cell>
          <cell r="AH11">
            <v>146920</v>
          </cell>
          <cell r="AX11">
            <v>242666.66</v>
          </cell>
        </row>
        <row r="12">
          <cell r="S12">
            <v>156600</v>
          </cell>
          <cell r="V12">
            <v>32000</v>
          </cell>
          <cell r="X12">
            <v>47000</v>
          </cell>
          <cell r="Y12">
            <v>843540</v>
          </cell>
          <cell r="Z12">
            <v>757456.56</v>
          </cell>
          <cell r="AC12">
            <v>5355263.1300000008</v>
          </cell>
          <cell r="AH12">
            <v>147480</v>
          </cell>
          <cell r="AX12">
            <v>242666.66</v>
          </cell>
        </row>
        <row r="13">
          <cell r="S13">
            <v>130500</v>
          </cell>
          <cell r="V13">
            <v>63000</v>
          </cell>
          <cell r="X13">
            <v>61000</v>
          </cell>
          <cell r="Y13">
            <v>905715</v>
          </cell>
          <cell r="Z13">
            <v>1125664.6100000001</v>
          </cell>
          <cell r="AC13">
            <v>5804546.1800000006</v>
          </cell>
          <cell r="AH13">
            <v>148040</v>
          </cell>
          <cell r="AX13">
            <v>242666.66</v>
          </cell>
        </row>
        <row r="14">
          <cell r="S14">
            <v>167400</v>
          </cell>
          <cell r="V14">
            <v>48000</v>
          </cell>
          <cell r="X14">
            <v>27000</v>
          </cell>
          <cell r="Y14">
            <v>1095165</v>
          </cell>
          <cell r="Z14">
            <v>1178265.76</v>
          </cell>
          <cell r="AC14">
            <v>6277163.9900000002</v>
          </cell>
          <cell r="AH14">
            <v>146680</v>
          </cell>
          <cell r="AX14">
            <v>0</v>
          </cell>
        </row>
      </sheetData>
      <sheetData sheetId="1" refreshError="1"/>
      <sheetData sheetId="2">
        <row r="10">
          <cell r="U10">
            <v>162000</v>
          </cell>
          <cell r="X10">
            <v>69000</v>
          </cell>
          <cell r="Z10">
            <v>43500</v>
          </cell>
          <cell r="AD10">
            <v>1900448</v>
          </cell>
          <cell r="AF10">
            <v>120000</v>
          </cell>
          <cell r="AL10">
            <v>6009947.9000000004</v>
          </cell>
          <cell r="AQ10">
            <v>150340</v>
          </cell>
          <cell r="BI10">
            <v>123833.33</v>
          </cell>
        </row>
        <row r="11">
          <cell r="U11">
            <v>69750</v>
          </cell>
          <cell r="X11">
            <v>40000</v>
          </cell>
          <cell r="Z11">
            <v>50500</v>
          </cell>
          <cell r="AD11">
            <v>1641155.88</v>
          </cell>
          <cell r="AL11">
            <v>5562739.1100000003</v>
          </cell>
          <cell r="AQ11">
            <v>147620</v>
          </cell>
          <cell r="BI11">
            <v>0</v>
          </cell>
        </row>
        <row r="12">
          <cell r="U12">
            <v>130500</v>
          </cell>
          <cell r="Z12">
            <v>21000</v>
          </cell>
          <cell r="AB12">
            <v>148050</v>
          </cell>
          <cell r="AC12">
            <v>165550</v>
          </cell>
          <cell r="AF12">
            <v>124845</v>
          </cell>
          <cell r="AI12">
            <v>92319</v>
          </cell>
          <cell r="AL12">
            <v>4016292.5700000003</v>
          </cell>
          <cell r="AQ12">
            <v>146440</v>
          </cell>
          <cell r="BI12">
            <v>242666.66</v>
          </cell>
        </row>
        <row r="13">
          <cell r="U13">
            <v>139500</v>
          </cell>
          <cell r="Z13">
            <v>21000</v>
          </cell>
          <cell r="AA13">
            <v>549720</v>
          </cell>
          <cell r="AB13">
            <v>139650</v>
          </cell>
          <cell r="AC13">
            <v>157300</v>
          </cell>
          <cell r="AF13">
            <v>153300</v>
          </cell>
          <cell r="AH13">
            <v>300000</v>
          </cell>
          <cell r="AL13">
            <v>5221803.2300000004</v>
          </cell>
          <cell r="AQ13">
            <v>146440</v>
          </cell>
          <cell r="BI13">
            <v>0</v>
          </cell>
        </row>
        <row r="14">
          <cell r="U14">
            <v>63000</v>
          </cell>
          <cell r="Z14">
            <v>21000</v>
          </cell>
          <cell r="AB14">
            <v>121800</v>
          </cell>
          <cell r="AC14">
            <v>165550</v>
          </cell>
          <cell r="AF14">
            <v>111405</v>
          </cell>
          <cell r="AL14">
            <v>3880088.24</v>
          </cell>
          <cell r="AQ14">
            <v>146440</v>
          </cell>
          <cell r="BI14">
            <v>121333.33</v>
          </cell>
        </row>
        <row r="15">
          <cell r="U15">
            <v>82800</v>
          </cell>
          <cell r="Z15">
            <v>21000</v>
          </cell>
          <cell r="AA15">
            <v>183240</v>
          </cell>
          <cell r="AB15">
            <v>85050</v>
          </cell>
          <cell r="AC15">
            <v>150150</v>
          </cell>
          <cell r="AL15">
            <v>3312906.59</v>
          </cell>
          <cell r="AQ15">
            <v>146440</v>
          </cell>
          <cell r="BI15">
            <v>242666.66</v>
          </cell>
        </row>
        <row r="16">
          <cell r="U16">
            <v>135000</v>
          </cell>
          <cell r="Z16">
            <v>15000</v>
          </cell>
          <cell r="AB16">
            <v>116550</v>
          </cell>
          <cell r="AC16">
            <v>319000</v>
          </cell>
          <cell r="AL16">
            <v>4225549.9000000004</v>
          </cell>
          <cell r="AQ16">
            <v>146200</v>
          </cell>
          <cell r="BI16">
            <v>121333.33</v>
          </cell>
        </row>
        <row r="17">
          <cell r="U17">
            <v>111600</v>
          </cell>
          <cell r="Z17">
            <v>7500</v>
          </cell>
          <cell r="AB17">
            <v>158550</v>
          </cell>
          <cell r="AC17">
            <v>336050</v>
          </cell>
          <cell r="AL17">
            <v>4375033.2300000004</v>
          </cell>
          <cell r="AQ17">
            <v>145900</v>
          </cell>
          <cell r="BI17">
            <v>0</v>
          </cell>
        </row>
        <row r="18">
          <cell r="U18">
            <v>156600</v>
          </cell>
          <cell r="Z18">
            <v>5000</v>
          </cell>
          <cell r="AA18">
            <v>96201</v>
          </cell>
          <cell r="AB18">
            <v>108150</v>
          </cell>
          <cell r="AC18">
            <v>165550</v>
          </cell>
          <cell r="AL18">
            <v>4050167.5700000003</v>
          </cell>
          <cell r="AQ18">
            <v>145800</v>
          </cell>
          <cell r="BI18">
            <v>242666.66</v>
          </cell>
        </row>
        <row r="19">
          <cell r="U19">
            <v>139500</v>
          </cell>
          <cell r="Z19">
            <v>5000</v>
          </cell>
          <cell r="AA19">
            <v>1012401</v>
          </cell>
          <cell r="AB19">
            <v>122850</v>
          </cell>
          <cell r="AC19">
            <v>220550</v>
          </cell>
          <cell r="AF19">
            <v>112245</v>
          </cell>
          <cell r="AH19">
            <v>300000</v>
          </cell>
          <cell r="AL19">
            <v>5673879.2300000004</v>
          </cell>
          <cell r="AQ19">
            <v>145800</v>
          </cell>
          <cell r="BI19">
            <v>0</v>
          </cell>
        </row>
        <row r="20">
          <cell r="U20">
            <v>130500</v>
          </cell>
          <cell r="Z20">
            <v>5000</v>
          </cell>
          <cell r="AA20">
            <v>774189</v>
          </cell>
          <cell r="AB20">
            <v>105000</v>
          </cell>
          <cell r="AC20">
            <v>154550</v>
          </cell>
          <cell r="AH20">
            <v>150000</v>
          </cell>
          <cell r="AL20">
            <v>4837905.57</v>
          </cell>
          <cell r="AQ20">
            <v>145800</v>
          </cell>
          <cell r="BI20">
            <v>0</v>
          </cell>
        </row>
        <row r="21">
          <cell r="U21">
            <v>130500</v>
          </cell>
          <cell r="Z21">
            <v>5000</v>
          </cell>
          <cell r="AA21">
            <v>462681</v>
          </cell>
          <cell r="AB21">
            <v>147000</v>
          </cell>
          <cell r="AC21">
            <v>312950</v>
          </cell>
          <cell r="AF21">
            <v>142695</v>
          </cell>
          <cell r="AL21">
            <v>4719492.57</v>
          </cell>
          <cell r="AQ21">
            <v>145800</v>
          </cell>
          <cell r="BI21">
            <v>242666.66</v>
          </cell>
        </row>
        <row r="22">
          <cell r="U22">
            <v>67500</v>
          </cell>
          <cell r="Z22">
            <v>2500</v>
          </cell>
          <cell r="AA22">
            <v>323724</v>
          </cell>
          <cell r="AB22">
            <v>119700</v>
          </cell>
          <cell r="AC22">
            <v>165550</v>
          </cell>
          <cell r="AL22">
            <v>4318973.9000000004</v>
          </cell>
          <cell r="AQ22">
            <v>145700</v>
          </cell>
          <cell r="BI22">
            <v>121333.33</v>
          </cell>
        </row>
        <row r="23">
          <cell r="U23">
            <v>167400</v>
          </cell>
          <cell r="Z23">
            <v>18000</v>
          </cell>
          <cell r="AB23">
            <v>118650</v>
          </cell>
          <cell r="AC23">
            <v>278850</v>
          </cell>
          <cell r="AI23">
            <v>276957</v>
          </cell>
          <cell r="AL23">
            <v>4067276.2300000004</v>
          </cell>
          <cell r="AQ23">
            <v>146320</v>
          </cell>
          <cell r="BI23">
            <v>0</v>
          </cell>
        </row>
        <row r="24">
          <cell r="U24">
            <v>139500</v>
          </cell>
          <cell r="Z24">
            <v>21000</v>
          </cell>
          <cell r="AB24">
            <v>98700</v>
          </cell>
          <cell r="AC24">
            <v>150150</v>
          </cell>
          <cell r="AL24">
            <v>4170683.2300000004</v>
          </cell>
          <cell r="AQ24">
            <v>146440</v>
          </cell>
          <cell r="BI24">
            <v>0</v>
          </cell>
        </row>
        <row r="25">
          <cell r="U25">
            <v>139500</v>
          </cell>
          <cell r="Z25">
            <v>5000</v>
          </cell>
          <cell r="AA25">
            <v>288603</v>
          </cell>
          <cell r="AB25">
            <v>109200</v>
          </cell>
          <cell r="AC25">
            <v>217250</v>
          </cell>
          <cell r="AL25">
            <v>4520886.2300000004</v>
          </cell>
          <cell r="AQ25">
            <v>145800</v>
          </cell>
          <cell r="BI25">
            <v>0</v>
          </cell>
        </row>
        <row r="26">
          <cell r="U26">
            <v>130500</v>
          </cell>
          <cell r="Z26">
            <v>10000</v>
          </cell>
          <cell r="AA26">
            <v>265698</v>
          </cell>
          <cell r="AB26">
            <v>103950</v>
          </cell>
          <cell r="AC26">
            <v>145750</v>
          </cell>
          <cell r="AF26">
            <v>160230</v>
          </cell>
          <cell r="AL26">
            <v>4334794.57</v>
          </cell>
          <cell r="AQ26">
            <v>146000</v>
          </cell>
          <cell r="BI26">
            <v>0</v>
          </cell>
        </row>
        <row r="27">
          <cell r="U27">
            <v>167400</v>
          </cell>
          <cell r="Z27">
            <v>2500</v>
          </cell>
          <cell r="AA27">
            <v>152700</v>
          </cell>
          <cell r="AB27">
            <v>123900</v>
          </cell>
          <cell r="AC27">
            <v>165550</v>
          </cell>
          <cell r="AI27">
            <v>55391</v>
          </cell>
          <cell r="AL27">
            <v>4317992.2300000004</v>
          </cell>
          <cell r="AQ27">
            <v>145700</v>
          </cell>
          <cell r="BI27">
            <v>0</v>
          </cell>
        </row>
        <row r="28">
          <cell r="U28">
            <v>69750</v>
          </cell>
          <cell r="Z28">
            <v>7500</v>
          </cell>
          <cell r="AA28">
            <v>633705</v>
          </cell>
          <cell r="AB28">
            <v>119700</v>
          </cell>
          <cell r="AC28">
            <v>330000</v>
          </cell>
          <cell r="AH28">
            <v>150000</v>
          </cell>
          <cell r="AL28">
            <v>5071988.2300000004</v>
          </cell>
          <cell r="AQ28">
            <v>145900</v>
          </cell>
          <cell r="BI28">
            <v>0</v>
          </cell>
        </row>
        <row r="29">
          <cell r="U29">
            <v>167400</v>
          </cell>
          <cell r="Z29">
            <v>15000</v>
          </cell>
          <cell r="AA29">
            <v>245847</v>
          </cell>
          <cell r="AB29">
            <v>128100</v>
          </cell>
          <cell r="AC29">
            <v>110000</v>
          </cell>
          <cell r="AL29">
            <v>4427680.2300000004</v>
          </cell>
          <cell r="AQ29">
            <v>146200</v>
          </cell>
          <cell r="BI29">
            <v>0</v>
          </cell>
        </row>
        <row r="30">
          <cell r="U30">
            <v>69750</v>
          </cell>
          <cell r="Z30">
            <v>5000</v>
          </cell>
          <cell r="AA30">
            <v>50391</v>
          </cell>
          <cell r="AB30">
            <v>183750</v>
          </cell>
          <cell r="AC30">
            <v>352000</v>
          </cell>
          <cell r="AL30">
            <v>4422224.2300000004</v>
          </cell>
          <cell r="AQ30">
            <v>145800</v>
          </cell>
          <cell r="BI30">
            <v>0</v>
          </cell>
        </row>
        <row r="31">
          <cell r="U31">
            <v>65250</v>
          </cell>
          <cell r="Z31">
            <v>0</v>
          </cell>
          <cell r="AA31">
            <v>27486</v>
          </cell>
          <cell r="AB31">
            <v>117600</v>
          </cell>
          <cell r="AC31">
            <v>353650</v>
          </cell>
          <cell r="AL31">
            <v>4082652.57</v>
          </cell>
          <cell r="AQ31">
            <v>145600</v>
          </cell>
          <cell r="BI31">
            <v>242666.66</v>
          </cell>
        </row>
        <row r="32">
          <cell r="U32">
            <v>65250</v>
          </cell>
          <cell r="Z32">
            <v>0</v>
          </cell>
          <cell r="AA32">
            <v>24432</v>
          </cell>
          <cell r="AB32">
            <v>73500</v>
          </cell>
          <cell r="AC32">
            <v>143000</v>
          </cell>
          <cell r="AI32">
            <v>42203</v>
          </cell>
          <cell r="AL32">
            <v>3782645.57</v>
          </cell>
          <cell r="AQ32">
            <v>145600</v>
          </cell>
          <cell r="BI32">
            <v>242666.66</v>
          </cell>
        </row>
        <row r="33">
          <cell r="U33">
            <v>167400</v>
          </cell>
          <cell r="Z33">
            <v>7500</v>
          </cell>
          <cell r="AA33">
            <v>755865</v>
          </cell>
          <cell r="AB33">
            <v>123900</v>
          </cell>
          <cell r="AC33">
            <v>165550</v>
          </cell>
          <cell r="AF33">
            <v>123060</v>
          </cell>
          <cell r="AH33">
            <v>300000</v>
          </cell>
          <cell r="AL33">
            <v>5404608.2300000004</v>
          </cell>
          <cell r="AQ33">
            <v>145900</v>
          </cell>
          <cell r="BI33">
            <v>0</v>
          </cell>
        </row>
        <row r="34">
          <cell r="U34">
            <v>167400</v>
          </cell>
          <cell r="Z34">
            <v>5000</v>
          </cell>
          <cell r="AA34">
            <v>212253</v>
          </cell>
          <cell r="AB34">
            <v>171150</v>
          </cell>
          <cell r="AC34">
            <v>311300</v>
          </cell>
          <cell r="AH34">
            <v>150000</v>
          </cell>
          <cell r="AL34">
            <v>4778436.2300000004</v>
          </cell>
          <cell r="AQ34">
            <v>145800</v>
          </cell>
          <cell r="BI34">
            <v>0</v>
          </cell>
        </row>
        <row r="35">
          <cell r="U35">
            <v>167400</v>
          </cell>
          <cell r="Z35">
            <v>2500</v>
          </cell>
          <cell r="AA35">
            <v>255009</v>
          </cell>
          <cell r="AB35">
            <v>170100</v>
          </cell>
          <cell r="AC35">
            <v>294250</v>
          </cell>
          <cell r="AL35">
            <v>4650592.2300000004</v>
          </cell>
          <cell r="AQ35">
            <v>145700</v>
          </cell>
          <cell r="BI35">
            <v>0</v>
          </cell>
        </row>
        <row r="36">
          <cell r="U36">
            <v>167400</v>
          </cell>
          <cell r="Z36">
            <v>0</v>
          </cell>
          <cell r="AB36">
            <v>163800</v>
          </cell>
          <cell r="AC36">
            <v>165550</v>
          </cell>
          <cell r="AL36">
            <v>4258083.2300000004</v>
          </cell>
          <cell r="AQ36">
            <v>145600</v>
          </cell>
          <cell r="BI36">
            <v>0</v>
          </cell>
        </row>
        <row r="37">
          <cell r="U37">
            <v>111600</v>
          </cell>
          <cell r="Z37">
            <v>0</v>
          </cell>
          <cell r="AA37">
            <v>293184</v>
          </cell>
          <cell r="AB37">
            <v>157500</v>
          </cell>
          <cell r="AC37">
            <v>165550</v>
          </cell>
          <cell r="AI37">
            <v>84406</v>
          </cell>
          <cell r="AL37">
            <v>4404761.2300000004</v>
          </cell>
          <cell r="AQ37">
            <v>145600</v>
          </cell>
          <cell r="BI37">
            <v>0</v>
          </cell>
        </row>
        <row r="38">
          <cell r="U38">
            <v>162000</v>
          </cell>
          <cell r="Z38">
            <v>0</v>
          </cell>
          <cell r="AA38">
            <v>100782</v>
          </cell>
          <cell r="AB38">
            <v>110250</v>
          </cell>
          <cell r="AC38">
            <v>341000</v>
          </cell>
          <cell r="AI38">
            <v>101551</v>
          </cell>
          <cell r="AL38">
            <v>4252480.9000000004</v>
          </cell>
          <cell r="AQ38">
            <v>145600</v>
          </cell>
          <cell r="BI38">
            <v>121333.33</v>
          </cell>
        </row>
        <row r="39">
          <cell r="U39">
            <v>167400</v>
          </cell>
          <cell r="Z39">
            <v>10000</v>
          </cell>
          <cell r="AA39">
            <v>545139</v>
          </cell>
          <cell r="AB39">
            <v>164850</v>
          </cell>
          <cell r="AC39">
            <v>155650</v>
          </cell>
          <cell r="AH39">
            <v>150000</v>
          </cell>
          <cell r="AL39">
            <v>4954372.2300000004</v>
          </cell>
          <cell r="AQ39">
            <v>146000</v>
          </cell>
          <cell r="BI39">
            <v>0</v>
          </cell>
        </row>
        <row r="40">
          <cell r="U40">
            <v>111600</v>
          </cell>
          <cell r="Z40">
            <v>0</v>
          </cell>
          <cell r="AA40">
            <v>610800</v>
          </cell>
          <cell r="AB40">
            <v>168000</v>
          </cell>
          <cell r="AC40">
            <v>150150</v>
          </cell>
          <cell r="AH40">
            <v>150000</v>
          </cell>
          <cell r="AL40">
            <v>4951883.2300000004</v>
          </cell>
          <cell r="AQ40">
            <v>145600</v>
          </cell>
          <cell r="BI40">
            <v>0</v>
          </cell>
        </row>
        <row r="41">
          <cell r="U41">
            <v>167400</v>
          </cell>
          <cell r="Z41">
            <v>0</v>
          </cell>
          <cell r="AA41">
            <v>456573</v>
          </cell>
          <cell r="AB41">
            <v>141750</v>
          </cell>
          <cell r="AC41">
            <v>344300</v>
          </cell>
          <cell r="AF41">
            <v>122850</v>
          </cell>
          <cell r="AH41">
            <v>150000</v>
          </cell>
          <cell r="AL41">
            <v>5144206.2300000004</v>
          </cell>
          <cell r="AQ41">
            <v>145600</v>
          </cell>
          <cell r="BI41">
            <v>0</v>
          </cell>
        </row>
        <row r="42">
          <cell r="U42">
            <v>167400</v>
          </cell>
          <cell r="Z42">
            <v>0</v>
          </cell>
          <cell r="AA42">
            <v>366480</v>
          </cell>
          <cell r="AB42">
            <v>123900</v>
          </cell>
          <cell r="AC42">
            <v>165550</v>
          </cell>
          <cell r="AD42">
            <v>105202.3</v>
          </cell>
          <cell r="AE42">
            <v>44505</v>
          </cell>
          <cell r="AL42">
            <v>4734370.53</v>
          </cell>
          <cell r="AQ42">
            <v>145600</v>
          </cell>
          <cell r="BI42">
            <v>0</v>
          </cell>
        </row>
        <row r="43">
          <cell r="U43">
            <v>167400</v>
          </cell>
          <cell r="Z43">
            <v>7500</v>
          </cell>
          <cell r="AA43">
            <v>42756</v>
          </cell>
          <cell r="AB43">
            <v>142800</v>
          </cell>
          <cell r="AC43">
            <v>336050</v>
          </cell>
          <cell r="AF43">
            <v>163380</v>
          </cell>
          <cell r="AL43">
            <v>4621219.2300000004</v>
          </cell>
          <cell r="AQ43">
            <v>145900</v>
          </cell>
          <cell r="BI43">
            <v>0</v>
          </cell>
        </row>
        <row r="44">
          <cell r="U44">
            <v>167400</v>
          </cell>
          <cell r="Z44">
            <v>7500</v>
          </cell>
          <cell r="AA44">
            <v>375642</v>
          </cell>
          <cell r="AB44">
            <v>169050</v>
          </cell>
          <cell r="AC44">
            <v>335500</v>
          </cell>
          <cell r="AL44">
            <v>4816425.2300000004</v>
          </cell>
          <cell r="AQ44">
            <v>145900</v>
          </cell>
          <cell r="BI44">
            <v>0</v>
          </cell>
        </row>
      </sheetData>
      <sheetData sheetId="3" refreshError="1"/>
      <sheetData sheetId="4">
        <row r="10">
          <cell r="W10">
            <v>162000</v>
          </cell>
          <cell r="Z10">
            <v>69000</v>
          </cell>
          <cell r="AB10">
            <v>47000</v>
          </cell>
          <cell r="AE10">
            <v>127283.24</v>
          </cell>
          <cell r="AF10">
            <v>4075283.14</v>
          </cell>
          <cell r="AK10">
            <v>148680</v>
          </cell>
          <cell r="BA10">
            <v>122333.33</v>
          </cell>
        </row>
        <row r="11">
          <cell r="W11">
            <v>69750</v>
          </cell>
          <cell r="Z11">
            <v>0</v>
          </cell>
          <cell r="AB11">
            <v>27000</v>
          </cell>
          <cell r="AF11">
            <v>3858083.23</v>
          </cell>
          <cell r="AK11">
            <v>146680</v>
          </cell>
          <cell r="BA11">
            <v>0</v>
          </cell>
        </row>
        <row r="12">
          <cell r="W12">
            <v>69750</v>
          </cell>
          <cell r="Z12">
            <v>0</v>
          </cell>
          <cell r="AB12">
            <v>30000</v>
          </cell>
          <cell r="AF12">
            <v>3861083.2300000004</v>
          </cell>
          <cell r="AK12">
            <v>146800</v>
          </cell>
          <cell r="BA12">
            <v>0</v>
          </cell>
        </row>
        <row r="13">
          <cell r="W13">
            <v>65250</v>
          </cell>
          <cell r="Z13">
            <v>0</v>
          </cell>
          <cell r="AB13">
            <v>47000</v>
          </cell>
          <cell r="AF13">
            <v>3630916.5700000003</v>
          </cell>
          <cell r="AK13">
            <v>147480</v>
          </cell>
          <cell r="BA13">
            <v>242666.66</v>
          </cell>
        </row>
        <row r="14">
          <cell r="W14">
            <v>67500</v>
          </cell>
          <cell r="Z14">
            <v>0</v>
          </cell>
          <cell r="AB14">
            <v>30000</v>
          </cell>
          <cell r="AF14">
            <v>3737499.9000000004</v>
          </cell>
          <cell r="AK14">
            <v>146800</v>
          </cell>
          <cell r="BA14">
            <v>121333.33</v>
          </cell>
        </row>
        <row r="15">
          <cell r="W15">
            <v>67500</v>
          </cell>
          <cell r="Z15">
            <v>0</v>
          </cell>
          <cell r="AB15">
            <v>43500</v>
          </cell>
          <cell r="AF15">
            <v>3750999.9000000004</v>
          </cell>
          <cell r="AK15">
            <v>147340</v>
          </cell>
          <cell r="BA15">
            <v>121333.33</v>
          </cell>
        </row>
        <row r="16">
          <cell r="W16">
            <v>69750</v>
          </cell>
          <cell r="Z16">
            <v>0</v>
          </cell>
          <cell r="AB16">
            <v>47000</v>
          </cell>
          <cell r="AF16">
            <v>3878083.2300000004</v>
          </cell>
          <cell r="AK16">
            <v>147480</v>
          </cell>
          <cell r="BA16">
            <v>0</v>
          </cell>
        </row>
        <row r="17">
          <cell r="W17">
            <v>67500</v>
          </cell>
          <cell r="Z17">
            <v>0</v>
          </cell>
          <cell r="AB17">
            <v>47000</v>
          </cell>
          <cell r="AF17">
            <v>3754499.9</v>
          </cell>
          <cell r="AK17">
            <v>147480</v>
          </cell>
          <cell r="BA17">
            <v>121333.33</v>
          </cell>
        </row>
        <row r="18">
          <cell r="W18">
            <v>67500</v>
          </cell>
          <cell r="Z18">
            <v>0</v>
          </cell>
          <cell r="AB18">
            <v>47000</v>
          </cell>
          <cell r="AF18">
            <v>3754499.9000000004</v>
          </cell>
          <cell r="AK18">
            <v>147480</v>
          </cell>
          <cell r="BA18">
            <v>121333.33</v>
          </cell>
        </row>
        <row r="19">
          <cell r="W19">
            <v>65250</v>
          </cell>
          <cell r="Z19">
            <v>0</v>
          </cell>
          <cell r="AB19">
            <v>50500</v>
          </cell>
          <cell r="AF19">
            <v>3634416.5700000003</v>
          </cell>
          <cell r="AK19">
            <v>147620</v>
          </cell>
          <cell r="BA19">
            <v>242666.66</v>
          </cell>
        </row>
        <row r="20">
          <cell r="W20">
            <v>69750</v>
          </cell>
          <cell r="Z20">
            <v>0</v>
          </cell>
          <cell r="AB20">
            <v>47000</v>
          </cell>
          <cell r="AF20">
            <v>3878083.23</v>
          </cell>
          <cell r="AK20">
            <v>147480</v>
          </cell>
          <cell r="BA20">
            <v>0</v>
          </cell>
        </row>
        <row r="21">
          <cell r="W21">
            <v>65250</v>
          </cell>
          <cell r="Z21">
            <v>0</v>
          </cell>
          <cell r="AB21">
            <v>43500</v>
          </cell>
          <cell r="AF21">
            <v>3627416.5700000003</v>
          </cell>
          <cell r="AK21">
            <v>147340</v>
          </cell>
          <cell r="BA21">
            <v>242666.66</v>
          </cell>
        </row>
        <row r="22">
          <cell r="W22">
            <v>67500</v>
          </cell>
          <cell r="Z22">
            <v>0</v>
          </cell>
          <cell r="AB22">
            <v>43500</v>
          </cell>
          <cell r="AF22">
            <v>3750999.9</v>
          </cell>
          <cell r="AK22">
            <v>147340</v>
          </cell>
          <cell r="BA22">
            <v>121333.33</v>
          </cell>
        </row>
        <row r="23">
          <cell r="W23">
            <v>65250</v>
          </cell>
          <cell r="Z23">
            <v>0</v>
          </cell>
          <cell r="AB23">
            <v>33000</v>
          </cell>
          <cell r="AF23">
            <v>3616916.5700000003</v>
          </cell>
          <cell r="AK23">
            <v>146920</v>
          </cell>
          <cell r="BA23">
            <v>242666.66</v>
          </cell>
        </row>
        <row r="24">
          <cell r="W24">
            <v>139500</v>
          </cell>
          <cell r="Z24">
            <v>0</v>
          </cell>
          <cell r="AB24">
            <v>43500</v>
          </cell>
          <cell r="AF24">
            <v>3944333.23</v>
          </cell>
          <cell r="AK24">
            <v>147340</v>
          </cell>
          <cell r="BA24">
            <v>0</v>
          </cell>
        </row>
        <row r="25">
          <cell r="W25">
            <v>139500</v>
          </cell>
          <cell r="Z25">
            <v>0</v>
          </cell>
          <cell r="AB25">
            <v>27000</v>
          </cell>
          <cell r="AC25">
            <v>310370</v>
          </cell>
          <cell r="AE25">
            <v>368208.05</v>
          </cell>
          <cell r="AF25">
            <v>4606411.28</v>
          </cell>
          <cell r="AK25">
            <v>146680</v>
          </cell>
          <cell r="BA25">
            <v>0</v>
          </cell>
        </row>
        <row r="26">
          <cell r="W26">
            <v>69750</v>
          </cell>
          <cell r="Z26">
            <v>0</v>
          </cell>
          <cell r="AB26">
            <v>47000</v>
          </cell>
          <cell r="AF26">
            <v>3878083.2300000004</v>
          </cell>
          <cell r="AK26">
            <v>147480</v>
          </cell>
          <cell r="BA26">
            <v>0</v>
          </cell>
        </row>
        <row r="27">
          <cell r="W27">
            <v>67500</v>
          </cell>
          <cell r="Z27">
            <v>0</v>
          </cell>
          <cell r="AB27">
            <v>43500</v>
          </cell>
          <cell r="AF27">
            <v>3750999.9</v>
          </cell>
          <cell r="AK27">
            <v>147340</v>
          </cell>
          <cell r="BA27">
            <v>121333.33</v>
          </cell>
        </row>
        <row r="28">
          <cell r="W28">
            <v>69750</v>
          </cell>
          <cell r="Z28">
            <v>38000</v>
          </cell>
          <cell r="AB28">
            <v>30000</v>
          </cell>
          <cell r="AE28">
            <v>1430751.28</v>
          </cell>
          <cell r="AF28">
            <v>5329834.51</v>
          </cell>
          <cell r="AK28">
            <v>146800</v>
          </cell>
          <cell r="BA28">
            <v>0</v>
          </cell>
        </row>
        <row r="29">
          <cell r="W29">
            <v>162000</v>
          </cell>
          <cell r="AB29">
            <v>43500</v>
          </cell>
          <cell r="AF29">
            <v>3845499.9</v>
          </cell>
          <cell r="AK29">
            <v>147340</v>
          </cell>
          <cell r="BA29">
            <v>121333.33</v>
          </cell>
        </row>
        <row r="30">
          <cell r="W30">
            <v>69750</v>
          </cell>
          <cell r="AB30">
            <v>61000</v>
          </cell>
          <cell r="AF30">
            <v>3892083.2300000004</v>
          </cell>
          <cell r="AK30">
            <v>148040</v>
          </cell>
          <cell r="BA30">
            <v>0</v>
          </cell>
        </row>
        <row r="31">
          <cell r="W31">
            <v>69750</v>
          </cell>
          <cell r="AB31">
            <v>50500</v>
          </cell>
          <cell r="AF31">
            <v>3881583.2300000004</v>
          </cell>
          <cell r="AK31">
            <v>147620</v>
          </cell>
          <cell r="BA3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126000</v>
          </cell>
          <cell r="V11">
            <v>51000</v>
          </cell>
          <cell r="X11">
            <v>33000</v>
          </cell>
          <cell r="Y11">
            <v>548200</v>
          </cell>
          <cell r="Z11">
            <v>638814.94999999995</v>
          </cell>
          <cell r="AC11">
            <v>4794348.1900000004</v>
          </cell>
          <cell r="AH11">
            <v>146920</v>
          </cell>
          <cell r="AX11">
            <v>242666.66</v>
          </cell>
        </row>
        <row r="12">
          <cell r="S12">
            <v>151200</v>
          </cell>
          <cell r="V12">
            <v>36000</v>
          </cell>
          <cell r="X12">
            <v>47000</v>
          </cell>
          <cell r="Y12">
            <v>670540</v>
          </cell>
          <cell r="Z12">
            <v>820577.94</v>
          </cell>
          <cell r="AC12">
            <v>5122651.18</v>
          </cell>
          <cell r="AH12">
            <v>147480</v>
          </cell>
          <cell r="AX12">
            <v>242666.66</v>
          </cell>
        </row>
        <row r="13">
          <cell r="S13">
            <v>126000</v>
          </cell>
          <cell r="V13">
            <v>51000</v>
          </cell>
          <cell r="X13">
            <v>61000</v>
          </cell>
          <cell r="Y13">
            <v>382570</v>
          </cell>
          <cell r="Z13">
            <v>578612.65</v>
          </cell>
          <cell r="AC13">
            <v>4596515.8900000006</v>
          </cell>
          <cell r="AH13">
            <v>148040</v>
          </cell>
          <cell r="AX13">
            <v>242666.66</v>
          </cell>
        </row>
        <row r="14">
          <cell r="S14">
            <v>162000</v>
          </cell>
          <cell r="V14">
            <v>42000</v>
          </cell>
          <cell r="X14">
            <v>27000</v>
          </cell>
          <cell r="Y14">
            <v>619320</v>
          </cell>
          <cell r="Z14">
            <v>946820.7</v>
          </cell>
          <cell r="AB14">
            <v>104038</v>
          </cell>
          <cell r="AC14">
            <v>5541178.6000000006</v>
          </cell>
          <cell r="AH14">
            <v>146680</v>
          </cell>
          <cell r="AX14">
            <v>0</v>
          </cell>
        </row>
      </sheetData>
      <sheetData sheetId="1"/>
      <sheetData sheetId="2">
        <row r="10">
          <cell r="U10">
            <v>151200</v>
          </cell>
          <cell r="X10">
            <v>57000</v>
          </cell>
          <cell r="Z10">
            <v>43500</v>
          </cell>
          <cell r="AD10">
            <v>1556864.18</v>
          </cell>
          <cell r="AF10">
            <v>240000</v>
          </cell>
          <cell r="AL10">
            <v>5515897.4199999999</v>
          </cell>
          <cell r="AQ10">
            <v>150340</v>
          </cell>
          <cell r="BI10">
            <v>247666.66</v>
          </cell>
        </row>
        <row r="11">
          <cell r="U11">
            <v>67500</v>
          </cell>
          <cell r="X11">
            <v>34000</v>
          </cell>
          <cell r="Z11">
            <v>50500</v>
          </cell>
          <cell r="AD11">
            <v>1178265.76</v>
          </cell>
          <cell r="AF11">
            <v>240000</v>
          </cell>
          <cell r="AL11">
            <v>5210265.66</v>
          </cell>
          <cell r="AQ11">
            <v>147620</v>
          </cell>
          <cell r="BI11">
            <v>0</v>
          </cell>
        </row>
        <row r="12">
          <cell r="U12">
            <v>99000</v>
          </cell>
          <cell r="Z12">
            <v>24000</v>
          </cell>
          <cell r="AB12">
            <v>106050</v>
          </cell>
          <cell r="AC12">
            <v>410400</v>
          </cell>
          <cell r="AF12">
            <v>251121</v>
          </cell>
          <cell r="AI12">
            <v>77478</v>
          </cell>
          <cell r="AL12">
            <v>3482426.2600000002</v>
          </cell>
          <cell r="AQ12">
            <v>146560</v>
          </cell>
          <cell r="BI12">
            <v>970666.64</v>
          </cell>
        </row>
        <row r="13">
          <cell r="U13">
            <v>135000</v>
          </cell>
          <cell r="Z13">
            <v>24000</v>
          </cell>
          <cell r="AA13">
            <v>23954</v>
          </cell>
          <cell r="AB13">
            <v>212100</v>
          </cell>
          <cell r="AC13">
            <v>786700</v>
          </cell>
          <cell r="AF13">
            <v>362417</v>
          </cell>
          <cell r="AL13">
            <v>5184170.9000000004</v>
          </cell>
          <cell r="AQ13">
            <v>146560</v>
          </cell>
          <cell r="BI13">
            <v>0</v>
          </cell>
        </row>
        <row r="14">
          <cell r="U14">
            <v>126000</v>
          </cell>
          <cell r="Z14">
            <v>15000</v>
          </cell>
          <cell r="AB14">
            <v>103950</v>
          </cell>
          <cell r="AC14">
            <v>299750</v>
          </cell>
          <cell r="AI14">
            <v>100867</v>
          </cell>
          <cell r="AL14">
            <v>3841166.2399999998</v>
          </cell>
          <cell r="AQ14">
            <v>146200</v>
          </cell>
          <cell r="BI14">
            <v>242666.66</v>
          </cell>
        </row>
        <row r="15">
          <cell r="U15">
            <v>108000</v>
          </cell>
          <cell r="Z15">
            <v>7500</v>
          </cell>
          <cell r="AA15">
            <v>4581</v>
          </cell>
          <cell r="AB15">
            <v>149100</v>
          </cell>
          <cell r="AC15">
            <v>448800</v>
          </cell>
          <cell r="AL15">
            <v>4357980.9000000004</v>
          </cell>
          <cell r="AQ15">
            <v>145900</v>
          </cell>
          <cell r="BI15">
            <v>0</v>
          </cell>
        </row>
        <row r="16">
          <cell r="U16">
            <v>145800</v>
          </cell>
          <cell r="Z16">
            <v>5000</v>
          </cell>
          <cell r="AA16">
            <v>114637</v>
          </cell>
          <cell r="AB16">
            <v>93450</v>
          </cell>
          <cell r="AC16">
            <v>443050</v>
          </cell>
          <cell r="AF16">
            <v>178450</v>
          </cell>
          <cell r="AI16">
            <v>92096</v>
          </cell>
          <cell r="AL16">
            <v>4164290.91</v>
          </cell>
          <cell r="AQ16">
            <v>145800</v>
          </cell>
          <cell r="BI16">
            <v>363999.99</v>
          </cell>
        </row>
        <row r="17">
          <cell r="U17">
            <v>135000</v>
          </cell>
          <cell r="Z17">
            <v>5000</v>
          </cell>
          <cell r="AA17">
            <v>518947</v>
          </cell>
          <cell r="AB17">
            <v>139650</v>
          </cell>
          <cell r="AC17">
            <v>606200</v>
          </cell>
          <cell r="AF17">
            <v>647535</v>
          </cell>
          <cell r="AH17">
            <v>150000</v>
          </cell>
          <cell r="AL17">
            <v>5842331.9000000004</v>
          </cell>
          <cell r="AQ17">
            <v>145800</v>
          </cell>
          <cell r="BI17">
            <v>0</v>
          </cell>
        </row>
        <row r="18">
          <cell r="U18">
            <v>135000</v>
          </cell>
          <cell r="Z18">
            <v>5000</v>
          </cell>
          <cell r="AA18">
            <v>196581</v>
          </cell>
          <cell r="AB18">
            <v>163800</v>
          </cell>
          <cell r="AC18">
            <v>615100</v>
          </cell>
          <cell r="AF18">
            <v>488042</v>
          </cell>
          <cell r="AL18">
            <v>5243522.9000000004</v>
          </cell>
          <cell r="AQ18">
            <v>145800</v>
          </cell>
          <cell r="BI18">
            <v>0</v>
          </cell>
        </row>
        <row r="19">
          <cell r="U19">
            <v>60750</v>
          </cell>
          <cell r="Z19">
            <v>2500</v>
          </cell>
          <cell r="AA19">
            <v>423776</v>
          </cell>
          <cell r="AB19">
            <v>107100</v>
          </cell>
          <cell r="AC19">
            <v>414900</v>
          </cell>
          <cell r="AD19">
            <v>73641.61</v>
          </cell>
          <cell r="AF19">
            <v>216061</v>
          </cell>
          <cell r="AL19">
            <v>4574728.5200000005</v>
          </cell>
          <cell r="AQ19">
            <v>145700</v>
          </cell>
          <cell r="BI19">
            <v>363999.99</v>
          </cell>
        </row>
        <row r="20">
          <cell r="U20">
            <v>151200</v>
          </cell>
          <cell r="Z20">
            <v>18000</v>
          </cell>
          <cell r="AB20">
            <v>101850</v>
          </cell>
          <cell r="AC20">
            <v>273900</v>
          </cell>
          <cell r="AI20">
            <v>100867</v>
          </cell>
          <cell r="AL20">
            <v>3841416.2399999998</v>
          </cell>
          <cell r="AQ20">
            <v>146320</v>
          </cell>
          <cell r="BI20">
            <v>242666.66</v>
          </cell>
        </row>
        <row r="21">
          <cell r="U21">
            <v>135000</v>
          </cell>
          <cell r="Z21">
            <v>21000</v>
          </cell>
          <cell r="AB21">
            <v>96600</v>
          </cell>
          <cell r="AC21">
            <v>480850</v>
          </cell>
          <cell r="AL21">
            <v>4373449.9000000004</v>
          </cell>
          <cell r="AQ21">
            <v>146440</v>
          </cell>
          <cell r="BI21">
            <v>0</v>
          </cell>
        </row>
        <row r="22">
          <cell r="U22">
            <v>135000</v>
          </cell>
          <cell r="Z22">
            <v>5000</v>
          </cell>
          <cell r="AA22">
            <v>444860</v>
          </cell>
          <cell r="AB22">
            <v>105000</v>
          </cell>
          <cell r="AC22">
            <v>454400</v>
          </cell>
          <cell r="AF22">
            <v>200000</v>
          </cell>
          <cell r="AL22">
            <v>4984259.9000000004</v>
          </cell>
          <cell r="AQ22">
            <v>145800</v>
          </cell>
          <cell r="BI22">
            <v>0</v>
          </cell>
        </row>
        <row r="23">
          <cell r="U23">
            <v>162000</v>
          </cell>
          <cell r="Z23">
            <v>2500</v>
          </cell>
          <cell r="AA23">
            <v>193343</v>
          </cell>
          <cell r="AB23">
            <v>168000</v>
          </cell>
          <cell r="AC23">
            <v>670750</v>
          </cell>
          <cell r="AF23">
            <v>212455</v>
          </cell>
          <cell r="AL23">
            <v>5049047.9000000004</v>
          </cell>
          <cell r="AQ23">
            <v>145700</v>
          </cell>
          <cell r="BI23">
            <v>0</v>
          </cell>
        </row>
        <row r="24">
          <cell r="U24">
            <v>65250</v>
          </cell>
          <cell r="Z24">
            <v>7500</v>
          </cell>
          <cell r="AA24">
            <v>552653</v>
          </cell>
          <cell r="AB24">
            <v>182700</v>
          </cell>
          <cell r="AC24">
            <v>617050</v>
          </cell>
          <cell r="AF24">
            <v>355010</v>
          </cell>
          <cell r="AH24">
            <v>150000</v>
          </cell>
          <cell r="AL24">
            <v>5448829.5700000003</v>
          </cell>
          <cell r="AQ24">
            <v>145900</v>
          </cell>
          <cell r="BI24">
            <v>121333.33</v>
          </cell>
        </row>
        <row r="25">
          <cell r="U25">
            <v>156600</v>
          </cell>
          <cell r="Z25">
            <v>15000</v>
          </cell>
          <cell r="AA25">
            <v>29087</v>
          </cell>
          <cell r="AB25">
            <v>118650</v>
          </cell>
          <cell r="AC25">
            <v>590700</v>
          </cell>
          <cell r="AI25">
            <v>102329</v>
          </cell>
          <cell r="AL25">
            <v>4326374.57</v>
          </cell>
          <cell r="AQ25">
            <v>146200</v>
          </cell>
          <cell r="BI25">
            <v>121333.33</v>
          </cell>
        </row>
        <row r="26">
          <cell r="U26">
            <v>162000</v>
          </cell>
          <cell r="Z26">
            <v>5000</v>
          </cell>
          <cell r="AA26">
            <v>56463</v>
          </cell>
          <cell r="AB26">
            <v>160650</v>
          </cell>
          <cell r="AC26">
            <v>458100</v>
          </cell>
          <cell r="AF26">
            <v>397319</v>
          </cell>
          <cell r="AL26">
            <v>4879531.9000000004</v>
          </cell>
          <cell r="AQ26">
            <v>145800</v>
          </cell>
          <cell r="BI26">
            <v>0</v>
          </cell>
        </row>
        <row r="27">
          <cell r="U27">
            <v>151200</v>
          </cell>
          <cell r="Z27">
            <v>2500</v>
          </cell>
          <cell r="AA27">
            <v>75284</v>
          </cell>
          <cell r="AB27">
            <v>115500</v>
          </cell>
          <cell r="AC27">
            <v>460600</v>
          </cell>
          <cell r="AF27">
            <v>189015</v>
          </cell>
          <cell r="AL27">
            <v>4391432.24</v>
          </cell>
          <cell r="AQ27">
            <v>145700</v>
          </cell>
          <cell r="BI27">
            <v>242666.66</v>
          </cell>
        </row>
        <row r="28">
          <cell r="U28">
            <v>156600</v>
          </cell>
          <cell r="Z28">
            <v>0</v>
          </cell>
          <cell r="AA28">
            <v>20532</v>
          </cell>
          <cell r="AB28">
            <v>163800</v>
          </cell>
          <cell r="AC28">
            <v>424600</v>
          </cell>
          <cell r="AL28">
            <v>4284198.57</v>
          </cell>
          <cell r="AQ28">
            <v>145600</v>
          </cell>
          <cell r="BI28">
            <v>121333.33</v>
          </cell>
        </row>
        <row r="29">
          <cell r="U29">
            <v>104400</v>
          </cell>
          <cell r="Z29">
            <v>0</v>
          </cell>
          <cell r="AA29">
            <v>174522</v>
          </cell>
          <cell r="AB29">
            <v>141750</v>
          </cell>
          <cell r="AC29">
            <v>621500</v>
          </cell>
          <cell r="AF29">
            <v>437826</v>
          </cell>
          <cell r="AL29">
            <v>4998664.57</v>
          </cell>
          <cell r="AQ29">
            <v>145600</v>
          </cell>
          <cell r="BI29">
            <v>121333.33</v>
          </cell>
        </row>
        <row r="30">
          <cell r="U30">
            <v>156600</v>
          </cell>
          <cell r="Z30">
            <v>0</v>
          </cell>
          <cell r="AA30">
            <v>135169</v>
          </cell>
          <cell r="AB30">
            <v>97650</v>
          </cell>
          <cell r="AC30">
            <v>454850</v>
          </cell>
          <cell r="AF30">
            <v>497792</v>
          </cell>
          <cell r="AL30">
            <v>4860727.57</v>
          </cell>
          <cell r="AQ30">
            <v>145600</v>
          </cell>
          <cell r="BI30">
            <v>121333.33</v>
          </cell>
        </row>
        <row r="31">
          <cell r="U31">
            <v>162000</v>
          </cell>
          <cell r="Z31">
            <v>10000</v>
          </cell>
          <cell r="AA31">
            <v>205320</v>
          </cell>
          <cell r="AB31">
            <v>200550</v>
          </cell>
          <cell r="AC31">
            <v>621700</v>
          </cell>
          <cell r="AF31">
            <v>497145</v>
          </cell>
          <cell r="AL31">
            <v>5336714.9000000004</v>
          </cell>
          <cell r="AQ31">
            <v>146000</v>
          </cell>
          <cell r="BI31">
            <v>0</v>
          </cell>
        </row>
        <row r="32">
          <cell r="U32">
            <v>108000</v>
          </cell>
          <cell r="Z32">
            <v>0</v>
          </cell>
          <cell r="AA32">
            <v>210453</v>
          </cell>
          <cell r="AB32">
            <v>198450</v>
          </cell>
          <cell r="AC32">
            <v>621700</v>
          </cell>
          <cell r="AF32">
            <v>586883</v>
          </cell>
          <cell r="AL32">
            <v>5365485.9000000004</v>
          </cell>
          <cell r="AQ32">
            <v>145600</v>
          </cell>
          <cell r="BI32">
            <v>0</v>
          </cell>
        </row>
        <row r="33">
          <cell r="U33">
            <v>162000</v>
          </cell>
          <cell r="Z33">
            <v>0</v>
          </cell>
          <cell r="AA33">
            <v>273760</v>
          </cell>
          <cell r="AB33">
            <v>127050</v>
          </cell>
          <cell r="AC33">
            <v>394350</v>
          </cell>
          <cell r="AF33">
            <v>415969</v>
          </cell>
          <cell r="AL33">
            <v>5013128.9000000004</v>
          </cell>
          <cell r="AQ33">
            <v>145600</v>
          </cell>
          <cell r="BI33">
            <v>0</v>
          </cell>
        </row>
        <row r="34">
          <cell r="U34">
            <v>162000</v>
          </cell>
          <cell r="Z34">
            <v>0</v>
          </cell>
          <cell r="AA34">
            <v>277182</v>
          </cell>
          <cell r="AB34">
            <v>190050</v>
          </cell>
          <cell r="AC34">
            <v>580800</v>
          </cell>
          <cell r="AD34">
            <v>63121.38</v>
          </cell>
          <cell r="AE34">
            <v>103500</v>
          </cell>
          <cell r="AF34">
            <v>390170</v>
          </cell>
          <cell r="AL34">
            <v>5406823.2800000003</v>
          </cell>
          <cell r="AQ34">
            <v>145600</v>
          </cell>
          <cell r="BI34">
            <v>0</v>
          </cell>
        </row>
        <row r="35">
          <cell r="U35">
            <v>162000</v>
          </cell>
          <cell r="Z35">
            <v>7500</v>
          </cell>
          <cell r="AA35">
            <v>54752</v>
          </cell>
          <cell r="AB35">
            <v>149100</v>
          </cell>
          <cell r="AC35">
            <v>448250</v>
          </cell>
          <cell r="AF35">
            <v>383119</v>
          </cell>
          <cell r="AL35">
            <v>4844720.9000000004</v>
          </cell>
          <cell r="AQ35">
            <v>145900</v>
          </cell>
          <cell r="BI35">
            <v>0</v>
          </cell>
        </row>
        <row r="36">
          <cell r="U36">
            <v>162000</v>
          </cell>
          <cell r="Z36">
            <v>7500</v>
          </cell>
          <cell r="AA36">
            <v>521855</v>
          </cell>
          <cell r="AB36">
            <v>226800</v>
          </cell>
          <cell r="AC36">
            <v>612150</v>
          </cell>
          <cell r="AF36">
            <v>500352</v>
          </cell>
          <cell r="AL36">
            <v>5670656.9000000004</v>
          </cell>
          <cell r="AQ36">
            <v>145900</v>
          </cell>
          <cell r="BI36">
            <v>0</v>
          </cell>
        </row>
      </sheetData>
      <sheetData sheetId="3"/>
      <sheetData sheetId="4">
        <row r="10">
          <cell r="W10">
            <v>162000</v>
          </cell>
          <cell r="Z10">
            <v>60000</v>
          </cell>
          <cell r="AB10">
            <v>47000</v>
          </cell>
          <cell r="AE10">
            <v>127283.24</v>
          </cell>
          <cell r="AF10">
            <v>4066283.14</v>
          </cell>
          <cell r="AK10">
            <v>148680</v>
          </cell>
          <cell r="BA10">
            <v>0</v>
          </cell>
        </row>
        <row r="11">
          <cell r="W11">
            <v>67500</v>
          </cell>
          <cell r="AB11">
            <v>27000</v>
          </cell>
          <cell r="AF11">
            <v>3734499.9</v>
          </cell>
          <cell r="AK11">
            <v>146680</v>
          </cell>
          <cell r="BA11">
            <v>0</v>
          </cell>
        </row>
        <row r="12">
          <cell r="W12">
            <v>65250</v>
          </cell>
          <cell r="AB12">
            <v>30000</v>
          </cell>
          <cell r="AF12">
            <v>3613916.5700000003</v>
          </cell>
          <cell r="AK12">
            <v>146800</v>
          </cell>
          <cell r="BA12">
            <v>121333.33</v>
          </cell>
        </row>
        <row r="13">
          <cell r="W13">
            <v>65250</v>
          </cell>
          <cell r="AB13">
            <v>47000</v>
          </cell>
          <cell r="AF13">
            <v>3630916.5700000003</v>
          </cell>
          <cell r="AK13">
            <v>147480</v>
          </cell>
          <cell r="BA13">
            <v>121333.33</v>
          </cell>
        </row>
        <row r="14">
          <cell r="W14">
            <v>63000</v>
          </cell>
          <cell r="AB14">
            <v>30000</v>
          </cell>
          <cell r="AF14">
            <v>3490333.24</v>
          </cell>
          <cell r="AK14">
            <v>146800</v>
          </cell>
          <cell r="BA14">
            <v>242666.66</v>
          </cell>
        </row>
        <row r="15">
          <cell r="W15">
            <v>65250</v>
          </cell>
          <cell r="AB15">
            <v>43500</v>
          </cell>
          <cell r="AF15">
            <v>3627416.57</v>
          </cell>
          <cell r="AK15">
            <v>147340</v>
          </cell>
          <cell r="BA15">
            <v>121333.33</v>
          </cell>
        </row>
        <row r="16">
          <cell r="W16">
            <v>67500</v>
          </cell>
          <cell r="AB16">
            <v>47000</v>
          </cell>
          <cell r="AF16">
            <v>3754499.9</v>
          </cell>
          <cell r="AK16">
            <v>147480</v>
          </cell>
          <cell r="BA16">
            <v>0</v>
          </cell>
        </row>
        <row r="17">
          <cell r="W17">
            <v>65250</v>
          </cell>
          <cell r="AB17">
            <v>47000</v>
          </cell>
          <cell r="AF17">
            <v>3630916.57</v>
          </cell>
          <cell r="AK17">
            <v>147480</v>
          </cell>
          <cell r="BA17">
            <v>121333.33</v>
          </cell>
        </row>
        <row r="18">
          <cell r="W18">
            <v>67500</v>
          </cell>
          <cell r="AB18">
            <v>47000</v>
          </cell>
          <cell r="AF18">
            <v>3754499.9</v>
          </cell>
          <cell r="AK18">
            <v>147480</v>
          </cell>
          <cell r="BA18">
            <v>0</v>
          </cell>
        </row>
        <row r="19">
          <cell r="W19">
            <v>63000</v>
          </cell>
          <cell r="AB19">
            <v>50500</v>
          </cell>
          <cell r="AF19">
            <v>3510833.24</v>
          </cell>
          <cell r="AK19">
            <v>147620</v>
          </cell>
          <cell r="BA19">
            <v>242666.66</v>
          </cell>
        </row>
        <row r="20">
          <cell r="W20">
            <v>67500</v>
          </cell>
          <cell r="AB20">
            <v>47000</v>
          </cell>
          <cell r="AF20">
            <v>3754499.9</v>
          </cell>
          <cell r="AK20">
            <v>147480</v>
          </cell>
          <cell r="BA20">
            <v>0</v>
          </cell>
        </row>
        <row r="21">
          <cell r="W21">
            <v>63000</v>
          </cell>
          <cell r="AB21">
            <v>43500</v>
          </cell>
          <cell r="AF21">
            <v>3503833.2399999998</v>
          </cell>
          <cell r="AK21">
            <v>147340</v>
          </cell>
          <cell r="BA21">
            <v>242666.66</v>
          </cell>
        </row>
        <row r="22">
          <cell r="W22">
            <v>65250</v>
          </cell>
          <cell r="AB22">
            <v>43500</v>
          </cell>
          <cell r="AD22">
            <v>3150</v>
          </cell>
          <cell r="AF22">
            <v>3630566.57</v>
          </cell>
          <cell r="AK22">
            <v>147340</v>
          </cell>
          <cell r="BA22">
            <v>121333.33</v>
          </cell>
        </row>
        <row r="23">
          <cell r="W23">
            <v>65250</v>
          </cell>
          <cell r="AB23">
            <v>33000</v>
          </cell>
          <cell r="AF23">
            <v>3616916.5700000003</v>
          </cell>
          <cell r="AK23">
            <v>146920</v>
          </cell>
          <cell r="BA23">
            <v>121333.33</v>
          </cell>
        </row>
        <row r="24">
          <cell r="W24">
            <v>130500</v>
          </cell>
          <cell r="AB24">
            <v>43500</v>
          </cell>
          <cell r="AF24">
            <v>3692666.57</v>
          </cell>
          <cell r="AK24">
            <v>147340</v>
          </cell>
          <cell r="BA24">
            <v>121333.33</v>
          </cell>
        </row>
        <row r="25">
          <cell r="W25">
            <v>135000</v>
          </cell>
          <cell r="AB25">
            <v>27000</v>
          </cell>
          <cell r="AC25">
            <v>200115</v>
          </cell>
          <cell r="AD25">
            <v>5250</v>
          </cell>
          <cell r="AE25">
            <v>441849.66</v>
          </cell>
          <cell r="AF25">
            <v>4449214.5599999996</v>
          </cell>
          <cell r="AK25">
            <v>146680</v>
          </cell>
          <cell r="BA25">
            <v>0</v>
          </cell>
        </row>
        <row r="26">
          <cell r="W26">
            <v>67500</v>
          </cell>
          <cell r="AB26">
            <v>47000</v>
          </cell>
          <cell r="AF26">
            <v>3754499.9</v>
          </cell>
          <cell r="AK26">
            <v>147480</v>
          </cell>
          <cell r="BA26">
            <v>0</v>
          </cell>
        </row>
        <row r="27">
          <cell r="W27">
            <v>65250</v>
          </cell>
          <cell r="AB27">
            <v>43500</v>
          </cell>
          <cell r="AF27">
            <v>3627416.57</v>
          </cell>
          <cell r="AK27">
            <v>147340</v>
          </cell>
          <cell r="BA27">
            <v>121333.33</v>
          </cell>
        </row>
        <row r="28">
          <cell r="W28">
            <v>67500</v>
          </cell>
          <cell r="Z28">
            <v>38000</v>
          </cell>
          <cell r="AB28">
            <v>30000</v>
          </cell>
          <cell r="AE28">
            <v>1420231.05</v>
          </cell>
          <cell r="AF28">
            <v>5195730.95</v>
          </cell>
          <cell r="AK28">
            <v>146800</v>
          </cell>
          <cell r="BA28">
            <v>0</v>
          </cell>
        </row>
        <row r="29">
          <cell r="W29">
            <v>156600</v>
          </cell>
          <cell r="AB29">
            <v>43500</v>
          </cell>
          <cell r="AF29">
            <v>3718766.57</v>
          </cell>
          <cell r="AK29">
            <v>147340</v>
          </cell>
          <cell r="BA29">
            <v>121333.33</v>
          </cell>
        </row>
        <row r="30">
          <cell r="W30">
            <v>67500</v>
          </cell>
          <cell r="AB30">
            <v>61000</v>
          </cell>
          <cell r="AF30">
            <v>3768499.9</v>
          </cell>
          <cell r="AK30">
            <v>148040</v>
          </cell>
          <cell r="BA30">
            <v>0</v>
          </cell>
        </row>
        <row r="31">
          <cell r="W31">
            <v>67500</v>
          </cell>
          <cell r="AB31">
            <v>50500</v>
          </cell>
          <cell r="AF31">
            <v>3757999.9</v>
          </cell>
          <cell r="AK31">
            <v>147620</v>
          </cell>
          <cell r="BA31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ENING"/>
      <sheetName val=" PRWTN"/>
      <sheetName val="PANEN"/>
      <sheetName val="OPERATOR"/>
      <sheetName val="SUMMARY KEHADIRAN AIK KUNDO (2"/>
      <sheetName val="PAJAK EXGARTIA"/>
      <sheetName val="REKONSIALISASI"/>
    </sheetNames>
    <sheetDataSet>
      <sheetData sheetId="0" refreshError="1"/>
      <sheetData sheetId="1">
        <row r="9">
          <cell r="F9">
            <v>540000</v>
          </cell>
        </row>
        <row r="10">
          <cell r="F10">
            <v>490000</v>
          </cell>
        </row>
        <row r="11">
          <cell r="F11">
            <v>280000</v>
          </cell>
        </row>
        <row r="12">
          <cell r="F12">
            <v>280000</v>
          </cell>
        </row>
        <row r="13">
          <cell r="F13">
            <v>280000</v>
          </cell>
        </row>
        <row r="14">
          <cell r="F14">
            <v>280000</v>
          </cell>
        </row>
        <row r="15">
          <cell r="F15">
            <v>490000</v>
          </cell>
        </row>
        <row r="16">
          <cell r="F16">
            <v>490000</v>
          </cell>
        </row>
        <row r="17">
          <cell r="F17">
            <v>280000</v>
          </cell>
        </row>
        <row r="18">
          <cell r="F18">
            <v>280000</v>
          </cell>
        </row>
        <row r="19">
          <cell r="F19">
            <v>280000</v>
          </cell>
        </row>
        <row r="20">
          <cell r="F20">
            <v>280000</v>
          </cell>
        </row>
        <row r="21">
          <cell r="F21">
            <v>280000</v>
          </cell>
        </row>
        <row r="22">
          <cell r="F22">
            <v>280000</v>
          </cell>
        </row>
        <row r="23">
          <cell r="F23">
            <v>490000</v>
          </cell>
        </row>
        <row r="24">
          <cell r="F24">
            <v>490000</v>
          </cell>
        </row>
        <row r="25">
          <cell r="F25">
            <v>490000</v>
          </cell>
        </row>
        <row r="26">
          <cell r="F26">
            <v>280000</v>
          </cell>
        </row>
        <row r="27">
          <cell r="F27">
            <v>650000</v>
          </cell>
        </row>
        <row r="28">
          <cell r="F28">
            <v>280000</v>
          </cell>
        </row>
        <row r="29">
          <cell r="F29">
            <v>600000</v>
          </cell>
        </row>
        <row r="30">
          <cell r="F30">
            <v>490000</v>
          </cell>
        </row>
      </sheetData>
      <sheetData sheetId="2">
        <row r="10">
          <cell r="F10">
            <v>300000</v>
          </cell>
        </row>
        <row r="11">
          <cell r="F11">
            <v>540000</v>
          </cell>
        </row>
        <row r="12">
          <cell r="F12">
            <v>300000</v>
          </cell>
        </row>
        <row r="13">
          <cell r="F13">
            <v>650000</v>
          </cell>
        </row>
        <row r="14">
          <cell r="F14">
            <v>300000</v>
          </cell>
        </row>
        <row r="15">
          <cell r="F15">
            <v>300000</v>
          </cell>
        </row>
        <row r="16">
          <cell r="F16">
            <v>300000</v>
          </cell>
        </row>
        <row r="17">
          <cell r="F17">
            <v>540000</v>
          </cell>
        </row>
        <row r="18">
          <cell r="F18">
            <v>540000</v>
          </cell>
        </row>
        <row r="19">
          <cell r="F19">
            <v>300000</v>
          </cell>
        </row>
        <row r="20">
          <cell r="F20">
            <v>300000</v>
          </cell>
        </row>
        <row r="21">
          <cell r="F21">
            <v>540000</v>
          </cell>
        </row>
        <row r="22">
          <cell r="F22">
            <v>300000</v>
          </cell>
        </row>
        <row r="23">
          <cell r="F23">
            <v>300000</v>
          </cell>
        </row>
        <row r="24">
          <cell r="F24">
            <v>300000</v>
          </cell>
        </row>
        <row r="25">
          <cell r="F25">
            <v>300000</v>
          </cell>
        </row>
        <row r="26">
          <cell r="F26">
            <v>300000</v>
          </cell>
        </row>
        <row r="27">
          <cell r="F27">
            <v>650000</v>
          </cell>
        </row>
        <row r="28">
          <cell r="F28">
            <v>270000</v>
          </cell>
        </row>
        <row r="29">
          <cell r="F29">
            <v>225000</v>
          </cell>
        </row>
        <row r="30">
          <cell r="F30">
            <v>225000</v>
          </cell>
        </row>
        <row r="31">
          <cell r="F31">
            <v>540000</v>
          </cell>
        </row>
        <row r="32">
          <cell r="F32">
            <v>315000</v>
          </cell>
        </row>
        <row r="33">
          <cell r="F33">
            <v>300000</v>
          </cell>
        </row>
        <row r="34">
          <cell r="F34">
            <v>300000</v>
          </cell>
        </row>
      </sheetData>
      <sheetData sheetId="3">
        <row r="10">
          <cell r="F10">
            <v>300000</v>
          </cell>
        </row>
        <row r="11">
          <cell r="F11">
            <v>300000</v>
          </cell>
        </row>
        <row r="12">
          <cell r="F12">
            <v>300000</v>
          </cell>
        </row>
        <row r="13">
          <cell r="F13">
            <v>540000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135000</v>
          </cell>
          <cell r="V11">
            <v>66000</v>
          </cell>
          <cell r="X11">
            <v>33000</v>
          </cell>
          <cell r="Y11">
            <v>674095</v>
          </cell>
          <cell r="Z11">
            <v>925780.24</v>
          </cell>
          <cell r="AC11">
            <v>5473875.1400000006</v>
          </cell>
          <cell r="AH11">
            <v>146920</v>
          </cell>
          <cell r="AX11">
            <v>121333.33</v>
          </cell>
        </row>
        <row r="12">
          <cell r="S12">
            <v>156600</v>
          </cell>
          <cell r="V12">
            <v>42000</v>
          </cell>
          <cell r="X12">
            <v>47000</v>
          </cell>
          <cell r="Y12">
            <v>676080</v>
          </cell>
          <cell r="Z12">
            <v>894219.55</v>
          </cell>
          <cell r="AC12">
            <v>5334566.12</v>
          </cell>
          <cell r="AH12">
            <v>147480</v>
          </cell>
          <cell r="AX12">
            <v>242666.66</v>
          </cell>
        </row>
        <row r="13">
          <cell r="S13">
            <v>130500</v>
          </cell>
          <cell r="V13">
            <v>63000</v>
          </cell>
          <cell r="X13">
            <v>61000</v>
          </cell>
          <cell r="Y13">
            <v>441155</v>
          </cell>
          <cell r="Z13">
            <v>883699.32</v>
          </cell>
          <cell r="AC13">
            <v>5098020.8900000006</v>
          </cell>
          <cell r="AH13">
            <v>148040</v>
          </cell>
          <cell r="AX13">
            <v>242666.66</v>
          </cell>
        </row>
        <row r="14">
          <cell r="S14">
            <v>167400</v>
          </cell>
          <cell r="V14">
            <v>46000</v>
          </cell>
          <cell r="X14">
            <v>27000</v>
          </cell>
          <cell r="Y14">
            <v>573570</v>
          </cell>
          <cell r="Z14">
            <v>1104624.1499999999</v>
          </cell>
          <cell r="AC14">
            <v>5679927.379999999</v>
          </cell>
          <cell r="AH14">
            <v>146680</v>
          </cell>
          <cell r="AX14">
            <v>0</v>
          </cell>
        </row>
      </sheetData>
      <sheetData sheetId="1" refreshError="1"/>
      <sheetData sheetId="2">
        <row r="10">
          <cell r="U10">
            <v>167400</v>
          </cell>
          <cell r="X10">
            <v>69000</v>
          </cell>
          <cell r="Z10">
            <v>43500</v>
          </cell>
          <cell r="AD10">
            <v>1642760.12</v>
          </cell>
          <cell r="AL10">
            <v>5761493.3499999996</v>
          </cell>
          <cell r="AQ10">
            <v>150340</v>
          </cell>
          <cell r="BI10">
            <v>0</v>
          </cell>
        </row>
        <row r="11">
          <cell r="U11">
            <v>69750</v>
          </cell>
          <cell r="X11">
            <v>42000</v>
          </cell>
          <cell r="Z11">
            <v>50500</v>
          </cell>
          <cell r="AD11">
            <v>1430751.28</v>
          </cell>
          <cell r="AL11">
            <v>5354334.5100000007</v>
          </cell>
          <cell r="AQ11">
            <v>147620</v>
          </cell>
          <cell r="BI11">
            <v>0</v>
          </cell>
        </row>
        <row r="12">
          <cell r="U12">
            <v>117000</v>
          </cell>
          <cell r="Z12">
            <v>24000</v>
          </cell>
          <cell r="AA12">
            <v>136880</v>
          </cell>
          <cell r="AB12">
            <v>168000</v>
          </cell>
          <cell r="AI12">
            <v>81863</v>
          </cell>
          <cell r="AL12">
            <v>3518683.58</v>
          </cell>
          <cell r="AQ12">
            <v>146560</v>
          </cell>
          <cell r="BI12">
            <v>606666.65</v>
          </cell>
        </row>
        <row r="13">
          <cell r="U13">
            <v>139500</v>
          </cell>
          <cell r="Z13">
            <v>24000</v>
          </cell>
          <cell r="AA13">
            <v>114637</v>
          </cell>
          <cell r="AB13">
            <v>278250</v>
          </cell>
          <cell r="AL13">
            <v>4317720.2299999995</v>
          </cell>
          <cell r="AQ13">
            <v>146560</v>
          </cell>
          <cell r="BI13">
            <v>0</v>
          </cell>
        </row>
        <row r="14">
          <cell r="U14">
            <v>135000</v>
          </cell>
          <cell r="Z14">
            <v>15000</v>
          </cell>
          <cell r="AA14">
            <v>29087</v>
          </cell>
          <cell r="AB14">
            <v>108150</v>
          </cell>
          <cell r="AL14">
            <v>3927236.9000000004</v>
          </cell>
          <cell r="AQ14">
            <v>146200</v>
          </cell>
          <cell r="BI14">
            <v>121333.33</v>
          </cell>
        </row>
        <row r="15">
          <cell r="U15">
            <v>111600</v>
          </cell>
          <cell r="Z15">
            <v>7500</v>
          </cell>
          <cell r="AB15">
            <v>163800</v>
          </cell>
          <cell r="AL15">
            <v>4044233.2299999995</v>
          </cell>
          <cell r="AQ15">
            <v>145900</v>
          </cell>
          <cell r="BI15">
            <v>0</v>
          </cell>
        </row>
        <row r="16">
          <cell r="U16">
            <v>151200</v>
          </cell>
          <cell r="Z16">
            <v>5000</v>
          </cell>
          <cell r="AA16">
            <v>17110</v>
          </cell>
          <cell r="AB16">
            <v>164850</v>
          </cell>
          <cell r="AI16">
            <v>61398</v>
          </cell>
          <cell r="AL16">
            <v>3674095.24</v>
          </cell>
          <cell r="AQ16">
            <v>145800</v>
          </cell>
          <cell r="BI16">
            <v>363999.99</v>
          </cell>
        </row>
        <row r="17">
          <cell r="U17">
            <v>139500</v>
          </cell>
          <cell r="Z17">
            <v>5000</v>
          </cell>
          <cell r="AA17">
            <v>899580</v>
          </cell>
          <cell r="AB17">
            <v>242550</v>
          </cell>
          <cell r="AH17">
            <v>300000</v>
          </cell>
          <cell r="AL17">
            <v>5347963.2299999995</v>
          </cell>
          <cell r="AQ17">
            <v>145800</v>
          </cell>
          <cell r="BI17">
            <v>0</v>
          </cell>
        </row>
        <row r="18">
          <cell r="U18">
            <v>135000</v>
          </cell>
          <cell r="Z18">
            <v>5000</v>
          </cell>
          <cell r="AA18">
            <v>289159</v>
          </cell>
          <cell r="AB18">
            <v>131250</v>
          </cell>
          <cell r="AL18">
            <v>4200408.8999999994</v>
          </cell>
          <cell r="AQ18">
            <v>145800</v>
          </cell>
          <cell r="BI18">
            <v>121333.33</v>
          </cell>
        </row>
        <row r="19">
          <cell r="U19">
            <v>67500</v>
          </cell>
          <cell r="Z19">
            <v>2500</v>
          </cell>
          <cell r="AA19">
            <v>53041</v>
          </cell>
          <cell r="AB19">
            <v>175350</v>
          </cell>
          <cell r="AL19">
            <v>3938390.8999999994</v>
          </cell>
          <cell r="AQ19">
            <v>145700</v>
          </cell>
          <cell r="BI19">
            <v>121333.33</v>
          </cell>
        </row>
        <row r="20">
          <cell r="U20">
            <v>156600</v>
          </cell>
          <cell r="Z20">
            <v>18000</v>
          </cell>
          <cell r="AA20">
            <v>49619</v>
          </cell>
          <cell r="AB20">
            <v>86100</v>
          </cell>
          <cell r="AL20">
            <v>3828985.5700000003</v>
          </cell>
          <cell r="AQ20">
            <v>146320</v>
          </cell>
          <cell r="BI20">
            <v>242666.66</v>
          </cell>
        </row>
        <row r="21">
          <cell r="U21">
            <v>139500</v>
          </cell>
          <cell r="Z21">
            <v>21000</v>
          </cell>
          <cell r="AA21">
            <v>11977</v>
          </cell>
          <cell r="AB21">
            <v>134400</v>
          </cell>
          <cell r="AL21">
            <v>4068210.2299999995</v>
          </cell>
          <cell r="AQ21">
            <v>146440</v>
          </cell>
          <cell r="BI21">
            <v>0</v>
          </cell>
        </row>
        <row r="22">
          <cell r="U22">
            <v>139500</v>
          </cell>
          <cell r="Z22">
            <v>5000</v>
          </cell>
          <cell r="AA22">
            <v>417484</v>
          </cell>
          <cell r="AB22">
            <v>130200</v>
          </cell>
          <cell r="AL22">
            <v>4453517.2299999995</v>
          </cell>
          <cell r="AQ22">
            <v>145800</v>
          </cell>
          <cell r="BI22">
            <v>0</v>
          </cell>
        </row>
        <row r="23">
          <cell r="U23">
            <v>167400</v>
          </cell>
          <cell r="Z23">
            <v>2500</v>
          </cell>
          <cell r="AA23">
            <v>95816</v>
          </cell>
          <cell r="AB23">
            <v>253050</v>
          </cell>
          <cell r="AL23">
            <v>4280099.2299999995</v>
          </cell>
          <cell r="AQ23">
            <v>145700</v>
          </cell>
          <cell r="BI23">
            <v>0</v>
          </cell>
        </row>
        <row r="24">
          <cell r="U24">
            <v>67500</v>
          </cell>
          <cell r="Z24">
            <v>7500</v>
          </cell>
          <cell r="AA24">
            <v>1267851</v>
          </cell>
          <cell r="AB24">
            <v>149100</v>
          </cell>
          <cell r="AH24">
            <v>300000</v>
          </cell>
          <cell r="AL24">
            <v>5431950.8999999994</v>
          </cell>
          <cell r="AQ24">
            <v>145900</v>
          </cell>
          <cell r="BI24">
            <v>121333.33</v>
          </cell>
        </row>
        <row r="25">
          <cell r="U25">
            <v>162000</v>
          </cell>
          <cell r="Z25">
            <v>15000</v>
          </cell>
          <cell r="AA25">
            <v>34220</v>
          </cell>
          <cell r="AB25">
            <v>91350</v>
          </cell>
          <cell r="AL25">
            <v>3942569.9000000004</v>
          </cell>
          <cell r="AQ25">
            <v>146200</v>
          </cell>
          <cell r="BI25">
            <v>121333.33</v>
          </cell>
        </row>
        <row r="26">
          <cell r="U26">
            <v>162000</v>
          </cell>
          <cell r="Z26">
            <v>5000</v>
          </cell>
          <cell r="AA26">
            <v>359310</v>
          </cell>
          <cell r="AB26">
            <v>207900</v>
          </cell>
          <cell r="AL26">
            <v>4374209.8999999994</v>
          </cell>
          <cell r="AQ26">
            <v>145800</v>
          </cell>
          <cell r="BI26">
            <v>121333.33</v>
          </cell>
        </row>
        <row r="27">
          <cell r="U27">
            <v>86400</v>
          </cell>
          <cell r="Z27">
            <v>2500</v>
          </cell>
          <cell r="AA27">
            <v>275471</v>
          </cell>
          <cell r="AB27">
            <v>96600</v>
          </cell>
          <cell r="AL27">
            <v>2402304.2800000003</v>
          </cell>
          <cell r="AQ27">
            <v>145700</v>
          </cell>
          <cell r="BI27">
            <v>1819999.95</v>
          </cell>
        </row>
        <row r="28">
          <cell r="U28">
            <v>167400</v>
          </cell>
          <cell r="Z28">
            <v>0</v>
          </cell>
          <cell r="AB28">
            <v>217350</v>
          </cell>
          <cell r="AL28">
            <v>4146083.2299999995</v>
          </cell>
          <cell r="AQ28">
            <v>145600</v>
          </cell>
          <cell r="BI28">
            <v>0</v>
          </cell>
        </row>
        <row r="29">
          <cell r="U29">
            <v>111600</v>
          </cell>
          <cell r="Z29">
            <v>0</v>
          </cell>
          <cell r="AA29">
            <v>88972</v>
          </cell>
          <cell r="AB29">
            <v>216300</v>
          </cell>
          <cell r="AL29">
            <v>4178205.2299999995</v>
          </cell>
          <cell r="AQ29">
            <v>145600</v>
          </cell>
          <cell r="BI29">
            <v>0</v>
          </cell>
        </row>
        <row r="30">
          <cell r="U30">
            <v>167400</v>
          </cell>
          <cell r="Z30">
            <v>10000</v>
          </cell>
          <cell r="AA30">
            <v>763106</v>
          </cell>
          <cell r="AB30">
            <v>302400</v>
          </cell>
          <cell r="AH30">
            <v>150000</v>
          </cell>
          <cell r="AL30">
            <v>5154239.2299999995</v>
          </cell>
          <cell r="AQ30">
            <v>146000</v>
          </cell>
          <cell r="BI30">
            <v>0</v>
          </cell>
        </row>
        <row r="31">
          <cell r="U31">
            <v>111600</v>
          </cell>
          <cell r="Z31">
            <v>2500</v>
          </cell>
          <cell r="AA31">
            <v>419195</v>
          </cell>
          <cell r="AB31">
            <v>300300</v>
          </cell>
          <cell r="AL31">
            <v>4594928.2299999995</v>
          </cell>
          <cell r="AQ31">
            <v>145700</v>
          </cell>
          <cell r="BI31">
            <v>0</v>
          </cell>
        </row>
        <row r="32">
          <cell r="U32">
            <v>167400</v>
          </cell>
          <cell r="Z32">
            <v>0</v>
          </cell>
          <cell r="AA32">
            <v>272049</v>
          </cell>
          <cell r="AB32">
            <v>144900</v>
          </cell>
          <cell r="AL32">
            <v>4345682.2299999995</v>
          </cell>
          <cell r="AQ32">
            <v>145600</v>
          </cell>
          <cell r="BI32">
            <v>0</v>
          </cell>
        </row>
        <row r="33">
          <cell r="U33">
            <v>167400</v>
          </cell>
          <cell r="Z33">
            <v>0</v>
          </cell>
          <cell r="AA33">
            <v>547520</v>
          </cell>
          <cell r="AB33">
            <v>198450</v>
          </cell>
          <cell r="AD33">
            <v>73641.61</v>
          </cell>
          <cell r="AL33">
            <v>4748344.84</v>
          </cell>
          <cell r="AQ33">
            <v>145600</v>
          </cell>
          <cell r="BI33">
            <v>0</v>
          </cell>
        </row>
        <row r="34">
          <cell r="U34">
            <v>113400</v>
          </cell>
          <cell r="Z34">
            <v>7500</v>
          </cell>
          <cell r="AB34">
            <v>96600</v>
          </cell>
          <cell r="AL34">
            <v>2765499.9299999997</v>
          </cell>
          <cell r="AQ34">
            <v>145900</v>
          </cell>
          <cell r="BI34">
            <v>485333.32</v>
          </cell>
        </row>
        <row r="35">
          <cell r="U35">
            <v>167400</v>
          </cell>
          <cell r="Z35">
            <v>7500</v>
          </cell>
          <cell r="AA35">
            <v>1502258</v>
          </cell>
          <cell r="AB35">
            <v>214200</v>
          </cell>
          <cell r="AH35">
            <v>300000</v>
          </cell>
          <cell r="AL35">
            <v>5952691.2299999995</v>
          </cell>
          <cell r="AQ35">
            <v>145900</v>
          </cell>
          <cell r="BI35">
            <v>0</v>
          </cell>
        </row>
      </sheetData>
      <sheetData sheetId="3" refreshError="1"/>
      <sheetData sheetId="4">
        <row r="10">
          <cell r="W10">
            <v>167400</v>
          </cell>
          <cell r="Z10">
            <v>72000</v>
          </cell>
          <cell r="AB10">
            <v>47000</v>
          </cell>
          <cell r="AE10">
            <v>286387.28999999998</v>
          </cell>
          <cell r="AF10">
            <v>4365120.5199999996</v>
          </cell>
          <cell r="AK10">
            <v>148680</v>
          </cell>
          <cell r="BA10">
            <v>0</v>
          </cell>
        </row>
        <row r="11">
          <cell r="W11">
            <v>69750</v>
          </cell>
          <cell r="AB11">
            <v>27000</v>
          </cell>
          <cell r="AF11">
            <v>3858083.2300000004</v>
          </cell>
          <cell r="AK11">
            <v>146680</v>
          </cell>
          <cell r="BA11">
            <v>0</v>
          </cell>
        </row>
        <row r="12">
          <cell r="W12">
            <v>69750</v>
          </cell>
          <cell r="AB12">
            <v>30000</v>
          </cell>
          <cell r="AF12">
            <v>3861083.2300000004</v>
          </cell>
          <cell r="AK12">
            <v>146800</v>
          </cell>
          <cell r="BA12">
            <v>0</v>
          </cell>
        </row>
        <row r="13">
          <cell r="W13">
            <v>65250</v>
          </cell>
          <cell r="AB13">
            <v>47000</v>
          </cell>
          <cell r="AF13">
            <v>3630916.5700000003</v>
          </cell>
          <cell r="AK13">
            <v>147480</v>
          </cell>
          <cell r="BA13">
            <v>242666.66</v>
          </cell>
        </row>
        <row r="14">
          <cell r="W14">
            <v>67500</v>
          </cell>
          <cell r="AB14">
            <v>30000</v>
          </cell>
          <cell r="AF14">
            <v>3737499.9000000004</v>
          </cell>
          <cell r="AK14">
            <v>146800</v>
          </cell>
          <cell r="BA14">
            <v>121333.33</v>
          </cell>
        </row>
        <row r="15">
          <cell r="W15">
            <v>69750</v>
          </cell>
          <cell r="AB15">
            <v>43500</v>
          </cell>
          <cell r="AF15">
            <v>3874583.2300000004</v>
          </cell>
          <cell r="AK15">
            <v>147340</v>
          </cell>
          <cell r="BA15">
            <v>0</v>
          </cell>
        </row>
        <row r="16">
          <cell r="W16">
            <v>69750</v>
          </cell>
          <cell r="AB16">
            <v>47000</v>
          </cell>
          <cell r="AF16">
            <v>3878083.2300000004</v>
          </cell>
          <cell r="AK16">
            <v>147480</v>
          </cell>
          <cell r="BA16">
            <v>0</v>
          </cell>
        </row>
        <row r="17">
          <cell r="W17">
            <v>69750</v>
          </cell>
          <cell r="AB17">
            <v>47000</v>
          </cell>
          <cell r="AF17">
            <v>3878083.2300000004</v>
          </cell>
          <cell r="AK17">
            <v>147480</v>
          </cell>
          <cell r="BA17">
            <v>0</v>
          </cell>
        </row>
        <row r="18">
          <cell r="W18">
            <v>69750</v>
          </cell>
          <cell r="AB18">
            <v>47000</v>
          </cell>
          <cell r="AF18">
            <v>3878083.2300000004</v>
          </cell>
          <cell r="AK18">
            <v>147480</v>
          </cell>
          <cell r="BA18">
            <v>0</v>
          </cell>
        </row>
        <row r="19">
          <cell r="W19">
            <v>65250</v>
          </cell>
          <cell r="AB19">
            <v>50500</v>
          </cell>
          <cell r="AF19">
            <v>3634416.5699999994</v>
          </cell>
          <cell r="AK19">
            <v>147620</v>
          </cell>
          <cell r="BA19">
            <v>242666.66</v>
          </cell>
        </row>
        <row r="20">
          <cell r="W20">
            <v>69750</v>
          </cell>
          <cell r="AB20">
            <v>47000</v>
          </cell>
          <cell r="AF20">
            <v>3878083.2300000004</v>
          </cell>
          <cell r="AK20">
            <v>147480</v>
          </cell>
          <cell r="BA20">
            <v>0</v>
          </cell>
        </row>
        <row r="21">
          <cell r="W21">
            <v>65250</v>
          </cell>
          <cell r="AB21">
            <v>43500</v>
          </cell>
          <cell r="AF21">
            <v>3627416.5700000003</v>
          </cell>
          <cell r="AK21">
            <v>147340</v>
          </cell>
          <cell r="BA21">
            <v>242666.66</v>
          </cell>
        </row>
        <row r="22">
          <cell r="W22">
            <v>69750</v>
          </cell>
          <cell r="AB22">
            <v>43500</v>
          </cell>
          <cell r="AD22">
            <v>1050</v>
          </cell>
          <cell r="AF22">
            <v>3875633.2300000004</v>
          </cell>
          <cell r="AK22">
            <v>147340</v>
          </cell>
          <cell r="BA22">
            <v>0</v>
          </cell>
        </row>
        <row r="23">
          <cell r="W23">
            <v>69750</v>
          </cell>
          <cell r="AB23">
            <v>33000</v>
          </cell>
          <cell r="AF23">
            <v>3864083.2300000004</v>
          </cell>
          <cell r="AK23">
            <v>146920</v>
          </cell>
          <cell r="BA23">
            <v>0</v>
          </cell>
        </row>
        <row r="24">
          <cell r="W24">
            <v>139500</v>
          </cell>
          <cell r="AB24">
            <v>43500</v>
          </cell>
          <cell r="AF24">
            <v>3944333.2300000004</v>
          </cell>
          <cell r="AK24">
            <v>147340</v>
          </cell>
          <cell r="BA24">
            <v>0</v>
          </cell>
        </row>
        <row r="25">
          <cell r="W25">
            <v>139500</v>
          </cell>
          <cell r="AB25">
            <v>27000</v>
          </cell>
          <cell r="AC25">
            <v>106310</v>
          </cell>
          <cell r="AD25">
            <v>4200</v>
          </cell>
          <cell r="AE25">
            <v>241965.29</v>
          </cell>
          <cell r="AF25">
            <v>4280308.5199999996</v>
          </cell>
          <cell r="AK25">
            <v>146680</v>
          </cell>
          <cell r="BA25">
            <v>0</v>
          </cell>
        </row>
        <row r="26">
          <cell r="W26">
            <v>69750</v>
          </cell>
          <cell r="AB26">
            <v>47000</v>
          </cell>
          <cell r="AE26">
            <v>473410.35</v>
          </cell>
          <cell r="AF26">
            <v>4351493.5799999991</v>
          </cell>
          <cell r="AK26">
            <v>147480</v>
          </cell>
          <cell r="BA26">
            <v>0</v>
          </cell>
        </row>
        <row r="27">
          <cell r="W27">
            <v>69750</v>
          </cell>
          <cell r="AB27">
            <v>43500</v>
          </cell>
          <cell r="AF27">
            <v>3874583.2299999995</v>
          </cell>
          <cell r="AK27">
            <v>147340</v>
          </cell>
          <cell r="BA27">
            <v>0</v>
          </cell>
        </row>
        <row r="28">
          <cell r="W28">
            <v>69750</v>
          </cell>
          <cell r="Z28">
            <v>44000</v>
          </cell>
          <cell r="AB28">
            <v>30000</v>
          </cell>
          <cell r="AE28">
            <v>1556994.04</v>
          </cell>
          <cell r="AF28">
            <v>5462077.2700000005</v>
          </cell>
          <cell r="AK28">
            <v>146800</v>
          </cell>
          <cell r="BA28">
            <v>0</v>
          </cell>
        </row>
        <row r="29">
          <cell r="W29">
            <v>167400</v>
          </cell>
          <cell r="AB29">
            <v>43500</v>
          </cell>
          <cell r="AF29">
            <v>3972233.2300000004</v>
          </cell>
          <cell r="AK29">
            <v>147340</v>
          </cell>
          <cell r="BA29">
            <v>0</v>
          </cell>
        </row>
        <row r="30">
          <cell r="W30">
            <v>69750</v>
          </cell>
          <cell r="AB30">
            <v>61000</v>
          </cell>
          <cell r="AF30">
            <v>3892083.2299999995</v>
          </cell>
          <cell r="AK30">
            <v>148040</v>
          </cell>
          <cell r="BA30">
            <v>0</v>
          </cell>
        </row>
        <row r="31">
          <cell r="W31">
            <v>69750</v>
          </cell>
          <cell r="AB31">
            <v>50500</v>
          </cell>
          <cell r="AF31">
            <v>3881583.2300000004</v>
          </cell>
          <cell r="AK31">
            <v>147620</v>
          </cell>
          <cell r="BA3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130500</v>
          </cell>
          <cell r="V11">
            <v>60000</v>
          </cell>
          <cell r="X11">
            <v>33000</v>
          </cell>
          <cell r="Y11">
            <v>957780.24</v>
          </cell>
          <cell r="Z11">
            <v>1283120</v>
          </cell>
          <cell r="AC11">
            <v>5983066.8100000005</v>
          </cell>
          <cell r="AH11">
            <v>146920</v>
          </cell>
          <cell r="AX11">
            <v>121333.33</v>
          </cell>
        </row>
        <row r="12">
          <cell r="S12">
            <v>156600</v>
          </cell>
          <cell r="V12">
            <v>42000</v>
          </cell>
          <cell r="X12">
            <v>47000</v>
          </cell>
          <cell r="Y12">
            <v>957780.24</v>
          </cell>
          <cell r="Z12">
            <v>1127495</v>
          </cell>
          <cell r="AC12">
            <v>5849541.8100000005</v>
          </cell>
          <cell r="AH12">
            <v>147480</v>
          </cell>
          <cell r="AX12">
            <v>121333.33</v>
          </cell>
        </row>
        <row r="13">
          <cell r="S13">
            <v>130500</v>
          </cell>
          <cell r="V13">
            <v>63000</v>
          </cell>
          <cell r="X13">
            <v>61000</v>
          </cell>
          <cell r="Y13">
            <v>957780.24</v>
          </cell>
          <cell r="Z13">
            <v>638000</v>
          </cell>
          <cell r="AC13">
            <v>5368946.8100000005</v>
          </cell>
          <cell r="AH13">
            <v>148040</v>
          </cell>
          <cell r="AX13">
            <v>121333.33</v>
          </cell>
        </row>
        <row r="14">
          <cell r="S14">
            <v>162000</v>
          </cell>
          <cell r="V14">
            <v>44000</v>
          </cell>
          <cell r="X14">
            <v>27000</v>
          </cell>
          <cell r="Y14">
            <v>988901.62</v>
          </cell>
          <cell r="Z14">
            <v>823955</v>
          </cell>
          <cell r="AC14">
            <v>5685856.5200000005</v>
          </cell>
          <cell r="AH14">
            <v>146680</v>
          </cell>
          <cell r="AX14">
            <v>0</v>
          </cell>
        </row>
      </sheetData>
      <sheetData sheetId="1" refreshError="1"/>
      <sheetData sheetId="2">
        <row r="10">
          <cell r="U10">
            <v>67500</v>
          </cell>
          <cell r="X10">
            <v>38000</v>
          </cell>
          <cell r="Z10">
            <v>50500</v>
          </cell>
          <cell r="AD10">
            <v>292774.49</v>
          </cell>
          <cell r="AL10">
            <v>4088774.3900000006</v>
          </cell>
          <cell r="AQ10">
            <v>147620</v>
          </cell>
          <cell r="BI10">
            <v>0</v>
          </cell>
        </row>
        <row r="11">
          <cell r="U11">
            <v>135000</v>
          </cell>
          <cell r="Z11">
            <v>24000</v>
          </cell>
          <cell r="AA11">
            <v>910252</v>
          </cell>
          <cell r="AB11">
            <v>159600</v>
          </cell>
          <cell r="AL11">
            <v>4868851.9000000004</v>
          </cell>
          <cell r="AQ11">
            <v>146560</v>
          </cell>
          <cell r="BI11">
            <v>0</v>
          </cell>
        </row>
        <row r="12">
          <cell r="U12">
            <v>135000</v>
          </cell>
          <cell r="Z12">
            <v>5000</v>
          </cell>
          <cell r="AA12">
            <v>708354</v>
          </cell>
          <cell r="AB12">
            <v>153300</v>
          </cell>
          <cell r="AL12">
            <v>4641653.9000000004</v>
          </cell>
          <cell r="AQ12">
            <v>145800</v>
          </cell>
          <cell r="BI12">
            <v>0</v>
          </cell>
        </row>
        <row r="13">
          <cell r="U13">
            <v>135000</v>
          </cell>
          <cell r="Z13">
            <v>5000</v>
          </cell>
          <cell r="AA13">
            <v>325090</v>
          </cell>
          <cell r="AB13">
            <v>117600</v>
          </cell>
          <cell r="AL13">
            <v>4222689.9000000004</v>
          </cell>
          <cell r="AQ13">
            <v>145800</v>
          </cell>
          <cell r="BI13">
            <v>0</v>
          </cell>
        </row>
        <row r="14">
          <cell r="U14">
            <v>65250</v>
          </cell>
          <cell r="Z14">
            <v>5000</v>
          </cell>
          <cell r="AA14">
            <v>114637</v>
          </cell>
          <cell r="AB14">
            <v>122850</v>
          </cell>
          <cell r="AL14">
            <v>3826403.5700000003</v>
          </cell>
          <cell r="AQ14">
            <v>145800</v>
          </cell>
          <cell r="BI14">
            <v>121333.33</v>
          </cell>
        </row>
        <row r="15">
          <cell r="U15">
            <v>162000</v>
          </cell>
          <cell r="Z15">
            <v>18000</v>
          </cell>
          <cell r="AA15">
            <v>95816</v>
          </cell>
          <cell r="AB15">
            <v>105000</v>
          </cell>
          <cell r="AI15">
            <v>76016</v>
          </cell>
          <cell r="AL15">
            <v>3944799.9000000004</v>
          </cell>
          <cell r="AQ15">
            <v>146320</v>
          </cell>
          <cell r="BI15">
            <v>0</v>
          </cell>
        </row>
        <row r="16">
          <cell r="U16">
            <v>135000</v>
          </cell>
          <cell r="Z16">
            <v>21000</v>
          </cell>
          <cell r="AA16">
            <v>94105</v>
          </cell>
          <cell r="AB16">
            <v>98700</v>
          </cell>
          <cell r="AL16">
            <v>3988804.9000000004</v>
          </cell>
          <cell r="AQ16">
            <v>146440</v>
          </cell>
          <cell r="BI16">
            <v>0</v>
          </cell>
        </row>
        <row r="17">
          <cell r="U17">
            <v>40500</v>
          </cell>
          <cell r="Z17">
            <v>5000</v>
          </cell>
          <cell r="AB17">
            <v>19950</v>
          </cell>
          <cell r="AL17">
            <v>1157449.97</v>
          </cell>
          <cell r="AQ17">
            <v>145800</v>
          </cell>
          <cell r="BI17">
            <v>0</v>
          </cell>
        </row>
        <row r="18">
          <cell r="U18">
            <v>162000</v>
          </cell>
          <cell r="Z18">
            <v>2500</v>
          </cell>
          <cell r="AA18">
            <v>983825</v>
          </cell>
          <cell r="AB18">
            <v>130200</v>
          </cell>
          <cell r="AH18">
            <v>150000</v>
          </cell>
          <cell r="AL18">
            <v>5068524.9000000004</v>
          </cell>
          <cell r="AQ18">
            <v>145700</v>
          </cell>
          <cell r="BI18">
            <v>0</v>
          </cell>
        </row>
        <row r="19">
          <cell r="U19">
            <v>67500</v>
          </cell>
          <cell r="Z19">
            <v>7500</v>
          </cell>
          <cell r="AA19">
            <v>1669936</v>
          </cell>
          <cell r="AB19">
            <v>128100</v>
          </cell>
          <cell r="AD19">
            <v>73641.61</v>
          </cell>
          <cell r="AH19">
            <v>300000</v>
          </cell>
          <cell r="AL19">
            <v>5886677.5100000007</v>
          </cell>
          <cell r="AQ19">
            <v>145900</v>
          </cell>
          <cell r="BI19">
            <v>0</v>
          </cell>
        </row>
        <row r="20">
          <cell r="U20">
            <v>162000</v>
          </cell>
          <cell r="Z20">
            <v>5000</v>
          </cell>
          <cell r="AA20">
            <v>80417</v>
          </cell>
          <cell r="AB20">
            <v>135450</v>
          </cell>
          <cell r="AL20">
            <v>4022866.9</v>
          </cell>
          <cell r="AQ20">
            <v>145800</v>
          </cell>
          <cell r="BI20">
            <v>0</v>
          </cell>
        </row>
        <row r="21">
          <cell r="U21">
            <v>162000</v>
          </cell>
          <cell r="Z21">
            <v>2500</v>
          </cell>
          <cell r="AA21">
            <v>83839</v>
          </cell>
          <cell r="AB21">
            <v>140700</v>
          </cell>
          <cell r="AL21">
            <v>4029038.9</v>
          </cell>
          <cell r="AQ21">
            <v>145700</v>
          </cell>
          <cell r="BI21">
            <v>0</v>
          </cell>
        </row>
        <row r="22">
          <cell r="U22">
            <v>162000</v>
          </cell>
          <cell r="Z22">
            <v>10000</v>
          </cell>
          <cell r="AA22">
            <v>1019756</v>
          </cell>
          <cell r="AB22">
            <v>144900</v>
          </cell>
          <cell r="AH22">
            <v>150000</v>
          </cell>
          <cell r="AL22">
            <v>5126655.9000000004</v>
          </cell>
          <cell r="AQ22">
            <v>146000</v>
          </cell>
          <cell r="BI22">
            <v>0</v>
          </cell>
        </row>
        <row r="23">
          <cell r="U23">
            <v>108000</v>
          </cell>
          <cell r="Z23">
            <v>2500</v>
          </cell>
          <cell r="AA23">
            <v>1036866</v>
          </cell>
          <cell r="AB23">
            <v>151200</v>
          </cell>
          <cell r="AH23">
            <v>150000</v>
          </cell>
          <cell r="AL23">
            <v>5088565.9000000004</v>
          </cell>
          <cell r="AQ23">
            <v>145700</v>
          </cell>
          <cell r="BI23">
            <v>0</v>
          </cell>
        </row>
        <row r="24">
          <cell r="U24">
            <v>162000</v>
          </cell>
          <cell r="Z24">
            <v>0</v>
          </cell>
          <cell r="AA24">
            <v>692955</v>
          </cell>
          <cell r="AB24">
            <v>102900</v>
          </cell>
          <cell r="AL24">
            <v>4597854.9000000004</v>
          </cell>
          <cell r="AQ24">
            <v>145600</v>
          </cell>
          <cell r="BI24">
            <v>0</v>
          </cell>
        </row>
        <row r="25">
          <cell r="U25">
            <v>162000</v>
          </cell>
          <cell r="Z25">
            <v>0</v>
          </cell>
          <cell r="AA25">
            <v>692955</v>
          </cell>
          <cell r="AB25">
            <v>148050</v>
          </cell>
          <cell r="AD25">
            <v>63121.38</v>
          </cell>
          <cell r="AL25">
            <v>4706126.28</v>
          </cell>
          <cell r="AQ25">
            <v>145600</v>
          </cell>
          <cell r="BI25">
            <v>0</v>
          </cell>
        </row>
        <row r="26">
          <cell r="U26">
            <v>162000</v>
          </cell>
          <cell r="Z26">
            <v>7500</v>
          </cell>
          <cell r="AA26">
            <v>2241410</v>
          </cell>
          <cell r="AB26">
            <v>138600</v>
          </cell>
          <cell r="AH26">
            <v>300000</v>
          </cell>
          <cell r="AL26">
            <v>6489509.9000000004</v>
          </cell>
          <cell r="AQ26">
            <v>145900</v>
          </cell>
          <cell r="BI26">
            <v>0</v>
          </cell>
        </row>
      </sheetData>
      <sheetData sheetId="3" refreshError="1"/>
      <sheetData sheetId="4">
        <row r="10">
          <cell r="W10">
            <v>162000</v>
          </cell>
          <cell r="Z10">
            <v>66000</v>
          </cell>
          <cell r="AB10">
            <v>47000</v>
          </cell>
          <cell r="AE10">
            <v>137890.18</v>
          </cell>
          <cell r="AF10">
            <v>4082890.0800000005</v>
          </cell>
          <cell r="AK10">
            <v>148680</v>
          </cell>
          <cell r="BA10">
            <v>0</v>
          </cell>
        </row>
        <row r="11">
          <cell r="W11">
            <v>67500</v>
          </cell>
          <cell r="AB11">
            <v>27000</v>
          </cell>
          <cell r="AF11">
            <v>3734499.9000000004</v>
          </cell>
          <cell r="AK11">
            <v>146680</v>
          </cell>
          <cell r="BA11">
            <v>0</v>
          </cell>
        </row>
        <row r="12">
          <cell r="W12">
            <v>65250</v>
          </cell>
          <cell r="AB12">
            <v>30000</v>
          </cell>
          <cell r="AF12">
            <v>3613916.5700000003</v>
          </cell>
          <cell r="AK12">
            <v>146800</v>
          </cell>
          <cell r="BA12">
            <v>121333.33</v>
          </cell>
        </row>
        <row r="13">
          <cell r="W13">
            <v>63000</v>
          </cell>
          <cell r="AB13">
            <v>47000</v>
          </cell>
          <cell r="AF13">
            <v>3507333.24</v>
          </cell>
          <cell r="AK13">
            <v>147480</v>
          </cell>
          <cell r="BA13">
            <v>242666.66</v>
          </cell>
        </row>
        <row r="14">
          <cell r="W14">
            <v>67500</v>
          </cell>
          <cell r="AB14">
            <v>30000</v>
          </cell>
          <cell r="AF14">
            <v>3737499.9000000004</v>
          </cell>
          <cell r="AK14">
            <v>146800</v>
          </cell>
          <cell r="BA14">
            <v>0</v>
          </cell>
        </row>
        <row r="15">
          <cell r="W15">
            <v>65250</v>
          </cell>
          <cell r="AB15">
            <v>43500</v>
          </cell>
          <cell r="AF15">
            <v>3627416.5700000003</v>
          </cell>
          <cell r="AK15">
            <v>147340</v>
          </cell>
          <cell r="BA15">
            <v>121333.33</v>
          </cell>
        </row>
        <row r="16">
          <cell r="W16">
            <v>67500</v>
          </cell>
          <cell r="AB16">
            <v>47000</v>
          </cell>
          <cell r="AF16">
            <v>3754499.9000000004</v>
          </cell>
          <cell r="AK16">
            <v>147480</v>
          </cell>
          <cell r="BA16">
            <v>0</v>
          </cell>
        </row>
        <row r="17">
          <cell r="W17">
            <v>67500</v>
          </cell>
          <cell r="AB17">
            <v>47000</v>
          </cell>
          <cell r="AF17">
            <v>3754499.9</v>
          </cell>
          <cell r="AK17">
            <v>147480</v>
          </cell>
          <cell r="BA17">
            <v>0</v>
          </cell>
        </row>
        <row r="18">
          <cell r="W18">
            <v>67500</v>
          </cell>
          <cell r="AB18">
            <v>47000</v>
          </cell>
          <cell r="AF18">
            <v>3754499.9000000004</v>
          </cell>
          <cell r="AK18">
            <v>147480</v>
          </cell>
          <cell r="BA18">
            <v>0</v>
          </cell>
        </row>
        <row r="19">
          <cell r="W19">
            <v>63000</v>
          </cell>
          <cell r="AB19">
            <v>50500</v>
          </cell>
          <cell r="AF19">
            <v>3510833.2399999998</v>
          </cell>
          <cell r="AK19">
            <v>147620</v>
          </cell>
          <cell r="BA19">
            <v>242666.66</v>
          </cell>
        </row>
        <row r="20">
          <cell r="W20">
            <v>65250</v>
          </cell>
          <cell r="AB20">
            <v>47000</v>
          </cell>
          <cell r="AF20">
            <v>3630916.57</v>
          </cell>
          <cell r="AK20">
            <v>147480</v>
          </cell>
          <cell r="BA20">
            <v>121333.33</v>
          </cell>
        </row>
        <row r="21">
          <cell r="W21">
            <v>63000</v>
          </cell>
          <cell r="AB21">
            <v>43500</v>
          </cell>
          <cell r="AF21">
            <v>3503833.24</v>
          </cell>
          <cell r="AK21">
            <v>147340</v>
          </cell>
          <cell r="BA21">
            <v>242666.66</v>
          </cell>
        </row>
        <row r="22">
          <cell r="W22">
            <v>67500</v>
          </cell>
          <cell r="AB22">
            <v>43500</v>
          </cell>
          <cell r="AF22">
            <v>3750999.9000000004</v>
          </cell>
          <cell r="AK22">
            <v>147340</v>
          </cell>
          <cell r="BA22">
            <v>0</v>
          </cell>
        </row>
        <row r="23">
          <cell r="W23">
            <v>67500</v>
          </cell>
          <cell r="AB23">
            <v>33000</v>
          </cell>
          <cell r="AF23">
            <v>3740499.9000000004</v>
          </cell>
          <cell r="AK23">
            <v>146920</v>
          </cell>
          <cell r="BA23">
            <v>0</v>
          </cell>
        </row>
        <row r="24">
          <cell r="W24">
            <v>130500</v>
          </cell>
          <cell r="AB24">
            <v>43500</v>
          </cell>
          <cell r="AF24">
            <v>3692666.5700000003</v>
          </cell>
          <cell r="AK24">
            <v>147340</v>
          </cell>
          <cell r="BA24">
            <v>121333.33</v>
          </cell>
        </row>
        <row r="25">
          <cell r="W25">
            <v>135000</v>
          </cell>
          <cell r="AB25">
            <v>27000</v>
          </cell>
          <cell r="AD25">
            <v>2100</v>
          </cell>
          <cell r="AE25">
            <v>263005.75</v>
          </cell>
          <cell r="AF25">
            <v>4067105.6500000004</v>
          </cell>
          <cell r="AK25">
            <v>146680</v>
          </cell>
          <cell r="BA25">
            <v>0</v>
          </cell>
        </row>
        <row r="26">
          <cell r="W26">
            <v>67500</v>
          </cell>
          <cell r="AB26">
            <v>47000</v>
          </cell>
          <cell r="AE26">
            <v>252485.52</v>
          </cell>
          <cell r="AF26">
            <v>4006985.42</v>
          </cell>
          <cell r="AK26">
            <v>147480</v>
          </cell>
          <cell r="BA26">
            <v>0</v>
          </cell>
        </row>
        <row r="27">
          <cell r="W27">
            <v>63000</v>
          </cell>
          <cell r="AB27">
            <v>43500</v>
          </cell>
          <cell r="AF27">
            <v>3503833.24</v>
          </cell>
          <cell r="AK27">
            <v>147340</v>
          </cell>
          <cell r="BA27">
            <v>242666.66</v>
          </cell>
        </row>
        <row r="28">
          <cell r="W28">
            <v>67500</v>
          </cell>
          <cell r="Z28">
            <v>38000</v>
          </cell>
          <cell r="AB28">
            <v>30000</v>
          </cell>
          <cell r="AE28">
            <v>1599074.96</v>
          </cell>
          <cell r="AF28">
            <v>5374574.8600000003</v>
          </cell>
          <cell r="AK28">
            <v>146800</v>
          </cell>
          <cell r="BA28">
            <v>0</v>
          </cell>
        </row>
        <row r="29">
          <cell r="W29">
            <v>156600</v>
          </cell>
          <cell r="AB29">
            <v>43500</v>
          </cell>
          <cell r="AD29">
            <v>4200</v>
          </cell>
          <cell r="AF29">
            <v>3722966.5700000003</v>
          </cell>
          <cell r="AK29">
            <v>147340</v>
          </cell>
          <cell r="BA29">
            <v>121333.33</v>
          </cell>
        </row>
        <row r="30">
          <cell r="W30">
            <v>67500</v>
          </cell>
          <cell r="AB30">
            <v>61000</v>
          </cell>
          <cell r="AF30">
            <v>3768499.9000000004</v>
          </cell>
          <cell r="AK30">
            <v>148040</v>
          </cell>
          <cell r="BA30">
            <v>0</v>
          </cell>
        </row>
        <row r="31">
          <cell r="W31">
            <v>67500</v>
          </cell>
          <cell r="AB31">
            <v>50500</v>
          </cell>
          <cell r="AF31">
            <v>3757999.9000000004</v>
          </cell>
          <cell r="AK31">
            <v>147620</v>
          </cell>
          <cell r="BA3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130500</v>
          </cell>
        </row>
      </sheetData>
      <sheetData sheetId="1" refreshError="1"/>
      <sheetData sheetId="2">
        <row r="10">
          <cell r="U10">
            <v>162000</v>
          </cell>
        </row>
      </sheetData>
      <sheetData sheetId="3" refreshError="1"/>
      <sheetData sheetId="4">
        <row r="10">
          <cell r="W10">
            <v>162000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139500</v>
          </cell>
          <cell r="V11">
            <v>78000</v>
          </cell>
          <cell r="X11">
            <v>33000</v>
          </cell>
          <cell r="Y11">
            <v>1094103.92</v>
          </cell>
          <cell r="Z11">
            <v>790195</v>
          </cell>
          <cell r="AC11">
            <v>5896132.1500000004</v>
          </cell>
          <cell r="AH11">
            <v>146920</v>
          </cell>
          <cell r="AX11">
            <v>0</v>
          </cell>
        </row>
        <row r="12">
          <cell r="S12">
            <v>167400</v>
          </cell>
          <cell r="V12">
            <v>52000</v>
          </cell>
          <cell r="X12">
            <v>47000</v>
          </cell>
          <cell r="Y12">
            <v>988901.62</v>
          </cell>
          <cell r="Z12">
            <v>776590</v>
          </cell>
          <cell r="AC12">
            <v>5793224.8499999996</v>
          </cell>
          <cell r="AH12">
            <v>147480</v>
          </cell>
          <cell r="AX12">
            <v>0</v>
          </cell>
        </row>
        <row r="13">
          <cell r="S13">
            <v>130500</v>
          </cell>
          <cell r="V13">
            <v>75000</v>
          </cell>
          <cell r="X13">
            <v>61000</v>
          </cell>
          <cell r="Y13">
            <v>1230866.9099999999</v>
          </cell>
          <cell r="Z13">
            <v>319385</v>
          </cell>
          <cell r="AC13">
            <v>5335418.4799999995</v>
          </cell>
          <cell r="AH13">
            <v>148040</v>
          </cell>
          <cell r="AX13">
            <v>242666.66</v>
          </cell>
        </row>
        <row r="14">
          <cell r="S14">
            <v>167400</v>
          </cell>
          <cell r="V14">
            <v>54000</v>
          </cell>
          <cell r="X14">
            <v>27000</v>
          </cell>
          <cell r="Y14">
            <v>1367629.9</v>
          </cell>
          <cell r="Z14">
            <v>336000</v>
          </cell>
          <cell r="AC14">
            <v>5713363.1299999999</v>
          </cell>
          <cell r="AH14">
            <v>146680</v>
          </cell>
          <cell r="AX14">
            <v>0</v>
          </cell>
        </row>
      </sheetData>
      <sheetData sheetId="1" refreshError="1"/>
      <sheetData sheetId="2">
        <row r="10">
          <cell r="U10">
            <v>69750</v>
          </cell>
          <cell r="X10">
            <v>48000</v>
          </cell>
          <cell r="Z10">
            <v>50500</v>
          </cell>
          <cell r="AD10">
            <v>904739.78</v>
          </cell>
          <cell r="AL10">
            <v>4834323.01</v>
          </cell>
          <cell r="AQ10">
            <v>147620</v>
          </cell>
          <cell r="BI10">
            <v>0</v>
          </cell>
        </row>
        <row r="11">
          <cell r="U11">
            <v>139500</v>
          </cell>
          <cell r="Z11">
            <v>24000</v>
          </cell>
          <cell r="AA11">
            <v>28180</v>
          </cell>
          <cell r="AB11">
            <v>162750</v>
          </cell>
          <cell r="AC11">
            <v>150500</v>
          </cell>
          <cell r="AH11">
            <v>150000</v>
          </cell>
          <cell r="AL11">
            <v>4416263.2300000004</v>
          </cell>
          <cell r="AQ11">
            <v>146560</v>
          </cell>
          <cell r="BI11">
            <v>0</v>
          </cell>
        </row>
        <row r="12">
          <cell r="U12">
            <v>139500</v>
          </cell>
          <cell r="Z12">
            <v>5000</v>
          </cell>
          <cell r="AA12">
            <v>277573</v>
          </cell>
          <cell r="AB12">
            <v>191100</v>
          </cell>
          <cell r="AC12">
            <v>222000</v>
          </cell>
          <cell r="AH12">
            <v>150000</v>
          </cell>
          <cell r="AL12">
            <v>4746506.2300000004</v>
          </cell>
          <cell r="AQ12">
            <v>145800</v>
          </cell>
          <cell r="BI12">
            <v>0</v>
          </cell>
        </row>
        <row r="13">
          <cell r="U13">
            <v>31500</v>
          </cell>
          <cell r="Z13">
            <v>5000</v>
          </cell>
          <cell r="AB13">
            <v>11550</v>
          </cell>
          <cell r="AL13">
            <v>897383.30999999994</v>
          </cell>
          <cell r="AQ13">
            <v>145800</v>
          </cell>
          <cell r="BI13">
            <v>0</v>
          </cell>
        </row>
        <row r="14">
          <cell r="U14">
            <v>15750</v>
          </cell>
          <cell r="Z14">
            <v>5000</v>
          </cell>
          <cell r="AB14">
            <v>14700</v>
          </cell>
          <cell r="AL14">
            <v>884783.30999999994</v>
          </cell>
          <cell r="AQ14">
            <v>145800</v>
          </cell>
          <cell r="BI14">
            <v>0</v>
          </cell>
        </row>
        <row r="15">
          <cell r="U15">
            <v>156600</v>
          </cell>
          <cell r="Z15">
            <v>18000</v>
          </cell>
          <cell r="AA15">
            <v>12681</v>
          </cell>
          <cell r="AB15">
            <v>98700</v>
          </cell>
          <cell r="AC15">
            <v>146500</v>
          </cell>
          <cell r="AL15">
            <v>3951147.57</v>
          </cell>
          <cell r="AQ15">
            <v>146320</v>
          </cell>
          <cell r="BI15">
            <v>242666.66</v>
          </cell>
        </row>
        <row r="16">
          <cell r="U16">
            <v>135000</v>
          </cell>
          <cell r="Z16">
            <v>21000</v>
          </cell>
          <cell r="AB16">
            <v>74550</v>
          </cell>
          <cell r="AC16">
            <v>148500</v>
          </cell>
          <cell r="AL16">
            <v>4019049.9</v>
          </cell>
          <cell r="AQ16">
            <v>146440</v>
          </cell>
          <cell r="BI16">
            <v>121333.33</v>
          </cell>
        </row>
        <row r="17">
          <cell r="U17">
            <v>167400</v>
          </cell>
          <cell r="Z17">
            <v>2500</v>
          </cell>
          <cell r="AA17">
            <v>369158</v>
          </cell>
          <cell r="AB17">
            <v>165900</v>
          </cell>
          <cell r="AC17">
            <v>148000</v>
          </cell>
          <cell r="AH17">
            <v>300000</v>
          </cell>
          <cell r="AL17">
            <v>4914291.2300000004</v>
          </cell>
          <cell r="AQ17">
            <v>145700</v>
          </cell>
          <cell r="BI17">
            <v>0</v>
          </cell>
        </row>
        <row r="18">
          <cell r="U18">
            <v>69750</v>
          </cell>
          <cell r="Z18">
            <v>7500</v>
          </cell>
          <cell r="AA18">
            <v>515694</v>
          </cell>
          <cell r="AB18">
            <v>182700</v>
          </cell>
          <cell r="AC18">
            <v>222000</v>
          </cell>
          <cell r="AH18">
            <v>300000</v>
          </cell>
          <cell r="AL18">
            <v>5058977.2300000004</v>
          </cell>
          <cell r="AQ18">
            <v>145900</v>
          </cell>
          <cell r="BI18">
            <v>0</v>
          </cell>
        </row>
        <row r="19">
          <cell r="U19">
            <v>32400</v>
          </cell>
          <cell r="Z19">
            <v>5000</v>
          </cell>
          <cell r="AB19">
            <v>11550</v>
          </cell>
          <cell r="AL19">
            <v>776949.98</v>
          </cell>
          <cell r="AQ19">
            <v>145800</v>
          </cell>
          <cell r="BI19">
            <v>121333.33</v>
          </cell>
        </row>
        <row r="20">
          <cell r="U20">
            <v>167400</v>
          </cell>
          <cell r="Z20">
            <v>2500</v>
          </cell>
          <cell r="AA20">
            <v>14090</v>
          </cell>
          <cell r="AB20">
            <v>127050</v>
          </cell>
          <cell r="AC20">
            <v>149000</v>
          </cell>
          <cell r="AL20">
            <v>4221373.2300000004</v>
          </cell>
          <cell r="AQ20">
            <v>145700</v>
          </cell>
          <cell r="BI20">
            <v>0</v>
          </cell>
        </row>
        <row r="21">
          <cell r="U21">
            <v>167400</v>
          </cell>
          <cell r="Z21">
            <v>12500</v>
          </cell>
          <cell r="AB21">
            <v>136500</v>
          </cell>
          <cell r="AC21">
            <v>224000</v>
          </cell>
          <cell r="AL21">
            <v>4301733.2300000004</v>
          </cell>
          <cell r="AQ21">
            <v>146100</v>
          </cell>
          <cell r="BI21">
            <v>0</v>
          </cell>
        </row>
        <row r="22">
          <cell r="U22">
            <v>111600</v>
          </cell>
          <cell r="Z22">
            <v>2500</v>
          </cell>
          <cell r="AB22">
            <v>136500</v>
          </cell>
          <cell r="AC22">
            <v>227000</v>
          </cell>
          <cell r="AL22">
            <v>4238933.2300000004</v>
          </cell>
          <cell r="AQ22">
            <v>145700</v>
          </cell>
          <cell r="BI22">
            <v>0</v>
          </cell>
        </row>
        <row r="23">
          <cell r="U23">
            <v>37800</v>
          </cell>
          <cell r="Z23">
            <v>0</v>
          </cell>
          <cell r="AB23">
            <v>16800</v>
          </cell>
          <cell r="AL23">
            <v>903933.30999999994</v>
          </cell>
          <cell r="AQ23">
            <v>145600</v>
          </cell>
          <cell r="BI23">
            <v>0</v>
          </cell>
        </row>
        <row r="24">
          <cell r="U24">
            <v>167400</v>
          </cell>
          <cell r="Z24">
            <v>0</v>
          </cell>
          <cell r="AA24">
            <v>222622</v>
          </cell>
          <cell r="AB24">
            <v>119700</v>
          </cell>
          <cell r="AC24">
            <v>145500</v>
          </cell>
          <cell r="AD24">
            <v>241965.29</v>
          </cell>
          <cell r="AH24">
            <v>150000</v>
          </cell>
          <cell r="AL24">
            <v>4808520.5200000005</v>
          </cell>
          <cell r="AQ24">
            <v>145600</v>
          </cell>
          <cell r="BI24">
            <v>0</v>
          </cell>
        </row>
        <row r="25">
          <cell r="U25">
            <v>167400</v>
          </cell>
          <cell r="Z25">
            <v>7500</v>
          </cell>
          <cell r="AA25">
            <v>356477</v>
          </cell>
          <cell r="AB25">
            <v>181650</v>
          </cell>
          <cell r="AC25">
            <v>147500</v>
          </cell>
          <cell r="AH25">
            <v>150000</v>
          </cell>
          <cell r="AL25">
            <v>4771860.2300000004</v>
          </cell>
          <cell r="AQ25">
            <v>145900</v>
          </cell>
          <cell r="BI25">
            <v>0</v>
          </cell>
        </row>
      </sheetData>
      <sheetData sheetId="3" refreshError="1"/>
      <sheetData sheetId="4">
        <row r="10">
          <cell r="W10">
            <v>167400</v>
          </cell>
          <cell r="Z10">
            <v>81000</v>
          </cell>
          <cell r="AB10">
            <v>47000</v>
          </cell>
          <cell r="AE10">
            <v>763699.45</v>
          </cell>
          <cell r="AF10">
            <v>4851432.68</v>
          </cell>
          <cell r="AK10">
            <v>148680</v>
          </cell>
          <cell r="BA10">
            <v>0</v>
          </cell>
        </row>
        <row r="11">
          <cell r="W11">
            <v>69750</v>
          </cell>
          <cell r="AB11">
            <v>27000</v>
          </cell>
          <cell r="AF11">
            <v>3858083.23</v>
          </cell>
          <cell r="AK11">
            <v>146680</v>
          </cell>
          <cell r="BA11">
            <v>0</v>
          </cell>
        </row>
        <row r="12">
          <cell r="W12">
            <v>69750</v>
          </cell>
          <cell r="AB12">
            <v>30000</v>
          </cell>
          <cell r="AF12">
            <v>3861083.23</v>
          </cell>
          <cell r="AK12">
            <v>146800</v>
          </cell>
          <cell r="BA12">
            <v>0</v>
          </cell>
        </row>
        <row r="13">
          <cell r="W13">
            <v>65250</v>
          </cell>
          <cell r="AB13">
            <v>47000</v>
          </cell>
          <cell r="AF13">
            <v>3630916.5700000003</v>
          </cell>
          <cell r="AK13">
            <v>147480</v>
          </cell>
          <cell r="BA13">
            <v>242666.66</v>
          </cell>
        </row>
        <row r="14">
          <cell r="W14">
            <v>65250</v>
          </cell>
          <cell r="AB14">
            <v>30000</v>
          </cell>
          <cell r="AF14">
            <v>3613916.57</v>
          </cell>
          <cell r="AK14">
            <v>146800</v>
          </cell>
          <cell r="BA14">
            <v>242666.66</v>
          </cell>
        </row>
        <row r="15">
          <cell r="W15">
            <v>67500</v>
          </cell>
          <cell r="AB15">
            <v>43500</v>
          </cell>
          <cell r="AF15">
            <v>3750999.9</v>
          </cell>
          <cell r="AK15">
            <v>147340</v>
          </cell>
          <cell r="BA15">
            <v>121333.33</v>
          </cell>
        </row>
        <row r="16">
          <cell r="W16">
            <v>69750</v>
          </cell>
          <cell r="AB16">
            <v>50500</v>
          </cell>
          <cell r="AF16">
            <v>3881583.2300000004</v>
          </cell>
          <cell r="AK16">
            <v>147620</v>
          </cell>
          <cell r="BA16">
            <v>0</v>
          </cell>
        </row>
        <row r="17">
          <cell r="W17">
            <v>67500</v>
          </cell>
          <cell r="AB17">
            <v>47000</v>
          </cell>
          <cell r="AF17">
            <v>3754499.9</v>
          </cell>
          <cell r="AK17">
            <v>147480</v>
          </cell>
          <cell r="BA17">
            <v>121333.33</v>
          </cell>
        </row>
        <row r="18">
          <cell r="W18">
            <v>65250</v>
          </cell>
          <cell r="AB18">
            <v>47000</v>
          </cell>
          <cell r="AF18">
            <v>3630916.5700000003</v>
          </cell>
          <cell r="AK18">
            <v>147480</v>
          </cell>
          <cell r="BA18">
            <v>242666.66</v>
          </cell>
        </row>
        <row r="19">
          <cell r="W19">
            <v>65250</v>
          </cell>
          <cell r="AB19">
            <v>50500</v>
          </cell>
          <cell r="AF19">
            <v>3634416.5700000003</v>
          </cell>
          <cell r="AK19">
            <v>147620</v>
          </cell>
          <cell r="BA19">
            <v>242666.66</v>
          </cell>
        </row>
        <row r="20">
          <cell r="W20">
            <v>67500</v>
          </cell>
          <cell r="AB20">
            <v>47000</v>
          </cell>
          <cell r="AF20">
            <v>3754499.9</v>
          </cell>
          <cell r="AK20">
            <v>147480</v>
          </cell>
          <cell r="BA20">
            <v>121333.33</v>
          </cell>
        </row>
        <row r="21">
          <cell r="W21">
            <v>65250</v>
          </cell>
          <cell r="AB21">
            <v>47000</v>
          </cell>
          <cell r="AF21">
            <v>3630916.57</v>
          </cell>
          <cell r="AK21">
            <v>147480</v>
          </cell>
          <cell r="BA21">
            <v>242666.66</v>
          </cell>
        </row>
        <row r="22">
          <cell r="W22">
            <v>69750</v>
          </cell>
          <cell r="AB22">
            <v>43500</v>
          </cell>
          <cell r="AF22">
            <v>3874583.23</v>
          </cell>
          <cell r="AK22">
            <v>147340</v>
          </cell>
          <cell r="BA22">
            <v>0</v>
          </cell>
        </row>
        <row r="23">
          <cell r="W23">
            <v>67500</v>
          </cell>
          <cell r="AB23">
            <v>33000</v>
          </cell>
          <cell r="AF23">
            <v>3740499.9000000004</v>
          </cell>
          <cell r="AK23">
            <v>146920</v>
          </cell>
          <cell r="BA23">
            <v>121333.33</v>
          </cell>
        </row>
        <row r="24">
          <cell r="W24">
            <v>139500</v>
          </cell>
          <cell r="AB24">
            <v>43500</v>
          </cell>
          <cell r="AE24">
            <v>31560.69</v>
          </cell>
          <cell r="AF24">
            <v>3975893.92</v>
          </cell>
          <cell r="AK24">
            <v>147340</v>
          </cell>
          <cell r="BA24">
            <v>0</v>
          </cell>
        </row>
        <row r="25">
          <cell r="W25">
            <v>139500</v>
          </cell>
          <cell r="AB25">
            <v>27000</v>
          </cell>
          <cell r="AD25">
            <v>8400</v>
          </cell>
          <cell r="AE25">
            <v>231445.06</v>
          </cell>
          <cell r="AF25">
            <v>4167678.29</v>
          </cell>
          <cell r="AK25">
            <v>146680</v>
          </cell>
          <cell r="BA25">
            <v>0</v>
          </cell>
        </row>
        <row r="26">
          <cell r="W26">
            <v>69750</v>
          </cell>
          <cell r="AB26">
            <v>47000</v>
          </cell>
          <cell r="AE26">
            <v>294566.44</v>
          </cell>
          <cell r="AF26">
            <v>4172649.67</v>
          </cell>
          <cell r="AK26">
            <v>147480</v>
          </cell>
          <cell r="BA26">
            <v>0</v>
          </cell>
        </row>
        <row r="27">
          <cell r="W27">
            <v>65250</v>
          </cell>
          <cell r="AB27">
            <v>43500</v>
          </cell>
          <cell r="AF27">
            <v>3627416.5700000003</v>
          </cell>
          <cell r="AK27">
            <v>147340</v>
          </cell>
          <cell r="BA27">
            <v>242666.66</v>
          </cell>
        </row>
        <row r="28">
          <cell r="W28">
            <v>69750</v>
          </cell>
          <cell r="Z28">
            <v>50000</v>
          </cell>
          <cell r="AB28">
            <v>30000</v>
          </cell>
          <cell r="AE28">
            <v>1504392.89</v>
          </cell>
          <cell r="AF28">
            <v>5415476.1200000001</v>
          </cell>
          <cell r="AK28">
            <v>146800</v>
          </cell>
          <cell r="BA28">
            <v>0</v>
          </cell>
        </row>
        <row r="29">
          <cell r="W29">
            <v>162000</v>
          </cell>
          <cell r="AB29">
            <v>43500</v>
          </cell>
          <cell r="AE29">
            <v>126242.76</v>
          </cell>
          <cell r="AF29">
            <v>3971742.6599999997</v>
          </cell>
          <cell r="AK29">
            <v>147340</v>
          </cell>
          <cell r="BA29">
            <v>121333.33</v>
          </cell>
        </row>
        <row r="30">
          <cell r="W30">
            <v>69750</v>
          </cell>
          <cell r="AB30">
            <v>61000</v>
          </cell>
          <cell r="AF30">
            <v>3892083.23</v>
          </cell>
          <cell r="AK30">
            <v>148040</v>
          </cell>
          <cell r="BA30">
            <v>0</v>
          </cell>
        </row>
        <row r="31">
          <cell r="W31">
            <v>69750</v>
          </cell>
          <cell r="AB31">
            <v>50500</v>
          </cell>
          <cell r="AF31">
            <v>3881583.23</v>
          </cell>
          <cell r="AK31">
            <v>147620</v>
          </cell>
          <cell r="BA3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130500</v>
          </cell>
          <cell r="V11">
            <v>69000</v>
          </cell>
          <cell r="X11">
            <v>33000</v>
          </cell>
          <cell r="Y11">
            <v>1146705.07</v>
          </cell>
          <cell r="Z11">
            <v>1290115</v>
          </cell>
          <cell r="AC11">
            <v>6187986.6399999997</v>
          </cell>
          <cell r="AH11">
            <v>146920</v>
          </cell>
          <cell r="AX11">
            <v>242666.66</v>
          </cell>
        </row>
        <row r="12">
          <cell r="S12">
            <v>156600</v>
          </cell>
          <cell r="V12">
            <v>42000</v>
          </cell>
          <cell r="X12">
            <v>47000</v>
          </cell>
          <cell r="Y12">
            <v>1083583.69</v>
          </cell>
          <cell r="Z12">
            <v>1089360</v>
          </cell>
          <cell r="AC12">
            <v>5937210.2599999998</v>
          </cell>
          <cell r="AH12">
            <v>147480</v>
          </cell>
          <cell r="AX12">
            <v>242666.66</v>
          </cell>
        </row>
        <row r="13">
          <cell r="S13">
            <v>135000</v>
          </cell>
          <cell r="V13">
            <v>72000</v>
          </cell>
          <cell r="X13">
            <v>61000</v>
          </cell>
          <cell r="Y13">
            <v>1388670.36</v>
          </cell>
          <cell r="Z13">
            <v>250985</v>
          </cell>
          <cell r="AC13">
            <v>5547655.2599999998</v>
          </cell>
          <cell r="AH13">
            <v>148040</v>
          </cell>
          <cell r="AX13">
            <v>121333.33</v>
          </cell>
        </row>
        <row r="14">
          <cell r="S14">
            <v>162000</v>
          </cell>
          <cell r="V14">
            <v>48000</v>
          </cell>
          <cell r="X14">
            <v>27000</v>
          </cell>
          <cell r="Y14">
            <v>1388670.36</v>
          </cell>
          <cell r="Z14">
            <v>250985</v>
          </cell>
          <cell r="AC14">
            <v>5516655.2599999998</v>
          </cell>
          <cell r="AH14">
            <v>146680</v>
          </cell>
          <cell r="AX14">
            <v>121333.33</v>
          </cell>
        </row>
      </sheetData>
      <sheetData sheetId="1"/>
      <sheetData sheetId="2">
        <row r="10">
          <cell r="U10">
            <v>69750</v>
          </cell>
          <cell r="X10">
            <v>46000</v>
          </cell>
          <cell r="Z10">
            <v>50500</v>
          </cell>
          <cell r="AD10">
            <v>904739.78</v>
          </cell>
          <cell r="AL10">
            <v>4832323.01</v>
          </cell>
          <cell r="AQ10">
            <v>147620</v>
          </cell>
          <cell r="BI10">
            <v>0</v>
          </cell>
        </row>
        <row r="11">
          <cell r="U11">
            <v>139500</v>
          </cell>
          <cell r="Z11">
            <v>24000</v>
          </cell>
          <cell r="AA11">
            <v>95812</v>
          </cell>
          <cell r="AB11">
            <v>228900</v>
          </cell>
          <cell r="AL11">
            <v>4249545.2300000004</v>
          </cell>
          <cell r="AQ11">
            <v>146560</v>
          </cell>
          <cell r="BI11">
            <v>0</v>
          </cell>
        </row>
        <row r="12">
          <cell r="U12">
            <v>139500</v>
          </cell>
          <cell r="Z12">
            <v>5000</v>
          </cell>
          <cell r="AA12">
            <v>333933</v>
          </cell>
          <cell r="AB12">
            <v>226800</v>
          </cell>
          <cell r="AH12">
            <v>150000</v>
          </cell>
          <cell r="AL12">
            <v>4616566.2300000004</v>
          </cell>
          <cell r="AQ12">
            <v>145800</v>
          </cell>
          <cell r="BI12">
            <v>0</v>
          </cell>
        </row>
        <row r="13">
          <cell r="U13">
            <v>162000</v>
          </cell>
          <cell r="Z13">
            <v>18000</v>
          </cell>
          <cell r="AB13">
            <v>115500</v>
          </cell>
          <cell r="AL13">
            <v>3935499.9000000004</v>
          </cell>
          <cell r="AQ13">
            <v>146320</v>
          </cell>
          <cell r="BI13">
            <v>121333.33</v>
          </cell>
        </row>
        <row r="14">
          <cell r="U14">
            <v>139500</v>
          </cell>
          <cell r="Z14">
            <v>21000</v>
          </cell>
          <cell r="AA14">
            <v>11272</v>
          </cell>
          <cell r="AB14">
            <v>122850</v>
          </cell>
          <cell r="AL14">
            <v>4055955.23</v>
          </cell>
          <cell r="AQ14">
            <v>146440</v>
          </cell>
          <cell r="BI14">
            <v>0</v>
          </cell>
        </row>
        <row r="15">
          <cell r="U15">
            <v>167400</v>
          </cell>
          <cell r="Z15">
            <v>2500</v>
          </cell>
          <cell r="AA15">
            <v>147945</v>
          </cell>
          <cell r="AB15">
            <v>159600</v>
          </cell>
          <cell r="AL15">
            <v>4238778.2300000004</v>
          </cell>
          <cell r="AQ15">
            <v>145700</v>
          </cell>
          <cell r="BI15">
            <v>0</v>
          </cell>
        </row>
        <row r="16">
          <cell r="U16">
            <v>69750</v>
          </cell>
          <cell r="Z16">
            <v>7500</v>
          </cell>
          <cell r="AA16">
            <v>264892</v>
          </cell>
          <cell r="AB16">
            <v>170100</v>
          </cell>
          <cell r="AL16">
            <v>4273575.2300000004</v>
          </cell>
          <cell r="AQ16">
            <v>145900</v>
          </cell>
          <cell r="BI16">
            <v>0</v>
          </cell>
        </row>
        <row r="17">
          <cell r="U17">
            <v>167400</v>
          </cell>
          <cell r="Z17">
            <v>2500</v>
          </cell>
          <cell r="AA17">
            <v>145127</v>
          </cell>
          <cell r="AB17">
            <v>320250</v>
          </cell>
          <cell r="AH17">
            <v>150000</v>
          </cell>
          <cell r="AL17">
            <v>4546610.2300000004</v>
          </cell>
          <cell r="AQ17">
            <v>145700</v>
          </cell>
          <cell r="BI17">
            <v>0</v>
          </cell>
        </row>
        <row r="18">
          <cell r="U18">
            <v>167400</v>
          </cell>
          <cell r="Z18">
            <v>12500</v>
          </cell>
          <cell r="AA18">
            <v>135264</v>
          </cell>
          <cell r="AB18">
            <v>236250</v>
          </cell>
          <cell r="AL18">
            <v>4312747.2300000004</v>
          </cell>
          <cell r="AQ18">
            <v>146100</v>
          </cell>
          <cell r="BI18">
            <v>0</v>
          </cell>
        </row>
        <row r="19">
          <cell r="U19">
            <v>111600</v>
          </cell>
          <cell r="Z19">
            <v>2500</v>
          </cell>
          <cell r="AA19">
            <v>180352</v>
          </cell>
          <cell r="AB19">
            <v>247800</v>
          </cell>
          <cell r="AL19">
            <v>4303585.2300000004</v>
          </cell>
          <cell r="AQ19">
            <v>145700</v>
          </cell>
          <cell r="BI19">
            <v>0</v>
          </cell>
        </row>
        <row r="20">
          <cell r="U20">
            <v>167400</v>
          </cell>
          <cell r="Z20">
            <v>0</v>
          </cell>
          <cell r="AA20">
            <v>288845</v>
          </cell>
          <cell r="AB20">
            <v>228900</v>
          </cell>
          <cell r="AL20">
            <v>4446478.2300000004</v>
          </cell>
          <cell r="AQ20">
            <v>145600</v>
          </cell>
          <cell r="BI20">
            <v>0</v>
          </cell>
        </row>
        <row r="21">
          <cell r="U21">
            <v>167400</v>
          </cell>
          <cell r="Z21">
            <v>7500</v>
          </cell>
          <cell r="AA21">
            <v>216986</v>
          </cell>
          <cell r="AB21">
            <v>225750</v>
          </cell>
          <cell r="AL21">
            <v>4378969.2300000004</v>
          </cell>
          <cell r="AQ21">
            <v>145900</v>
          </cell>
          <cell r="BI21">
            <v>0</v>
          </cell>
        </row>
      </sheetData>
      <sheetData sheetId="3"/>
      <sheetData sheetId="4">
        <row r="10">
          <cell r="W10">
            <v>167400</v>
          </cell>
          <cell r="Z10">
            <v>78000</v>
          </cell>
          <cell r="AB10">
            <v>47000</v>
          </cell>
          <cell r="AE10">
            <v>954624.31</v>
          </cell>
          <cell r="AF10">
            <v>5039357.54</v>
          </cell>
          <cell r="AK10">
            <v>148680</v>
          </cell>
          <cell r="BA10">
            <v>0</v>
          </cell>
        </row>
        <row r="11">
          <cell r="W11">
            <v>69750</v>
          </cell>
          <cell r="AB11">
            <v>30000</v>
          </cell>
          <cell r="AF11">
            <v>3861083.23</v>
          </cell>
          <cell r="AK11">
            <v>146800</v>
          </cell>
          <cell r="BA11">
            <v>0</v>
          </cell>
        </row>
        <row r="12">
          <cell r="W12">
            <v>67500</v>
          </cell>
          <cell r="AB12">
            <v>33000</v>
          </cell>
          <cell r="AF12">
            <v>3740499.9000000004</v>
          </cell>
          <cell r="AK12">
            <v>146920</v>
          </cell>
          <cell r="BA12">
            <v>121333.33</v>
          </cell>
        </row>
        <row r="13">
          <cell r="W13">
            <v>67500</v>
          </cell>
          <cell r="AB13">
            <v>47000</v>
          </cell>
          <cell r="AF13">
            <v>3754499.9000000004</v>
          </cell>
          <cell r="AK13">
            <v>147480</v>
          </cell>
          <cell r="BA13">
            <v>121333.33</v>
          </cell>
        </row>
        <row r="14">
          <cell r="W14">
            <v>67500</v>
          </cell>
          <cell r="AB14">
            <v>33000</v>
          </cell>
          <cell r="AF14">
            <v>3740499.9000000004</v>
          </cell>
          <cell r="AK14">
            <v>146920</v>
          </cell>
          <cell r="BA14">
            <v>121333.33</v>
          </cell>
        </row>
        <row r="15">
          <cell r="W15">
            <v>65250</v>
          </cell>
          <cell r="AB15">
            <v>43500</v>
          </cell>
          <cell r="AF15">
            <v>3627416.5700000003</v>
          </cell>
          <cell r="AK15">
            <v>147340</v>
          </cell>
          <cell r="BA15">
            <v>242666.66</v>
          </cell>
        </row>
        <row r="16">
          <cell r="W16">
            <v>69750</v>
          </cell>
          <cell r="AB16">
            <v>50500</v>
          </cell>
          <cell r="AF16">
            <v>3881583.23</v>
          </cell>
          <cell r="AK16">
            <v>147620</v>
          </cell>
          <cell r="BA16">
            <v>0</v>
          </cell>
        </row>
        <row r="17">
          <cell r="W17">
            <v>67500</v>
          </cell>
          <cell r="AB17">
            <v>47000</v>
          </cell>
          <cell r="AF17">
            <v>3754499.9</v>
          </cell>
          <cell r="AK17">
            <v>147480</v>
          </cell>
          <cell r="BA17">
            <v>121333.33</v>
          </cell>
        </row>
        <row r="18">
          <cell r="W18">
            <v>65250</v>
          </cell>
          <cell r="AB18">
            <v>47000</v>
          </cell>
          <cell r="AF18">
            <v>3630916.5700000003</v>
          </cell>
          <cell r="AK18">
            <v>147480</v>
          </cell>
          <cell r="BA18">
            <v>242666.66</v>
          </cell>
        </row>
        <row r="19">
          <cell r="W19">
            <v>67500</v>
          </cell>
          <cell r="AB19">
            <v>50500</v>
          </cell>
          <cell r="AF19">
            <v>3757999.9</v>
          </cell>
          <cell r="AK19">
            <v>147620</v>
          </cell>
          <cell r="BA19">
            <v>121333.33</v>
          </cell>
        </row>
        <row r="20">
          <cell r="W20">
            <v>67500</v>
          </cell>
          <cell r="AB20">
            <v>47000</v>
          </cell>
          <cell r="AF20">
            <v>3754499.9000000004</v>
          </cell>
          <cell r="AK20">
            <v>147480</v>
          </cell>
          <cell r="BA20">
            <v>121333.33</v>
          </cell>
        </row>
        <row r="21">
          <cell r="W21">
            <v>65250</v>
          </cell>
          <cell r="AB21">
            <v>47000</v>
          </cell>
          <cell r="AF21">
            <v>3630916.57</v>
          </cell>
          <cell r="AK21">
            <v>147480</v>
          </cell>
          <cell r="BA21">
            <v>242666.66</v>
          </cell>
        </row>
        <row r="22">
          <cell r="W22">
            <v>69750</v>
          </cell>
          <cell r="AB22">
            <v>43500</v>
          </cell>
          <cell r="AF22">
            <v>3874583.23</v>
          </cell>
          <cell r="AK22">
            <v>147340</v>
          </cell>
          <cell r="BA22">
            <v>0</v>
          </cell>
        </row>
        <row r="23">
          <cell r="W23">
            <v>67500</v>
          </cell>
          <cell r="AB23">
            <v>33000</v>
          </cell>
          <cell r="AF23">
            <v>3740499.9</v>
          </cell>
          <cell r="AK23">
            <v>146920</v>
          </cell>
          <cell r="BA23">
            <v>121333.33</v>
          </cell>
        </row>
        <row r="24">
          <cell r="W24">
            <v>139500</v>
          </cell>
          <cell r="AB24">
            <v>43500</v>
          </cell>
          <cell r="AE24">
            <v>336647.36</v>
          </cell>
          <cell r="AF24">
            <v>4280980.59</v>
          </cell>
          <cell r="AK24">
            <v>147340</v>
          </cell>
          <cell r="BA24">
            <v>0</v>
          </cell>
        </row>
        <row r="25">
          <cell r="W25">
            <v>139500</v>
          </cell>
          <cell r="AB25">
            <v>27000</v>
          </cell>
          <cell r="AC25">
            <v>159217</v>
          </cell>
          <cell r="AD25">
            <v>22050</v>
          </cell>
          <cell r="AE25">
            <v>210404.6</v>
          </cell>
          <cell r="AF25">
            <v>4319504.83</v>
          </cell>
          <cell r="AK25">
            <v>146680</v>
          </cell>
          <cell r="BA25">
            <v>0</v>
          </cell>
        </row>
        <row r="26">
          <cell r="W26">
            <v>69750</v>
          </cell>
          <cell r="AB26">
            <v>47000</v>
          </cell>
          <cell r="AF26">
            <v>3878083.23</v>
          </cell>
          <cell r="AK26">
            <v>147480</v>
          </cell>
          <cell r="BA26">
            <v>0</v>
          </cell>
        </row>
        <row r="27">
          <cell r="W27">
            <v>67500</v>
          </cell>
          <cell r="AB27">
            <v>43500</v>
          </cell>
          <cell r="AF27">
            <v>3750999.9</v>
          </cell>
          <cell r="AK27">
            <v>147340</v>
          </cell>
          <cell r="BA27">
            <v>121333.33</v>
          </cell>
        </row>
        <row r="28">
          <cell r="W28">
            <v>69750</v>
          </cell>
          <cell r="Z28">
            <v>48000</v>
          </cell>
          <cell r="AB28">
            <v>33000</v>
          </cell>
          <cell r="AE28">
            <v>1588554.73</v>
          </cell>
          <cell r="AF28">
            <v>5500637.96</v>
          </cell>
          <cell r="AK28">
            <v>146920</v>
          </cell>
          <cell r="BA28">
            <v>0</v>
          </cell>
        </row>
        <row r="29">
          <cell r="W29">
            <v>162000</v>
          </cell>
          <cell r="AB29">
            <v>43500</v>
          </cell>
          <cell r="AE29">
            <v>105202.3</v>
          </cell>
          <cell r="AF29">
            <v>3950702.1999999997</v>
          </cell>
          <cell r="AK29">
            <v>147340</v>
          </cell>
          <cell r="BA29">
            <v>121333.33</v>
          </cell>
        </row>
        <row r="30">
          <cell r="W30">
            <v>69750</v>
          </cell>
          <cell r="AB30">
            <v>61000</v>
          </cell>
          <cell r="AF30">
            <v>3892083.2300000004</v>
          </cell>
          <cell r="AK30">
            <v>148040</v>
          </cell>
          <cell r="BA30">
            <v>0</v>
          </cell>
        </row>
        <row r="31">
          <cell r="W31">
            <v>69750</v>
          </cell>
          <cell r="AB31">
            <v>50500</v>
          </cell>
          <cell r="AF31">
            <v>3881583.2300000004</v>
          </cell>
          <cell r="AK31">
            <v>147620</v>
          </cell>
          <cell r="BA31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PAJAK"/>
      <sheetName val="Sheet1"/>
    </sheetNames>
    <sheetDataSet>
      <sheetData sheetId="0">
        <row r="11">
          <cell r="S11">
            <v>130500</v>
          </cell>
          <cell r="V11">
            <v>63000</v>
          </cell>
          <cell r="X11">
            <v>33000</v>
          </cell>
          <cell r="Y11">
            <v>1052023</v>
          </cell>
          <cell r="Z11">
            <v>938395</v>
          </cell>
          <cell r="AC11">
            <v>5735584.5700000003</v>
          </cell>
          <cell r="AH11">
            <v>146920</v>
          </cell>
          <cell r="AX11">
            <v>121333.33</v>
          </cell>
        </row>
        <row r="12">
          <cell r="S12">
            <v>151200</v>
          </cell>
          <cell r="V12">
            <v>42000</v>
          </cell>
          <cell r="X12">
            <v>47000</v>
          </cell>
          <cell r="Y12">
            <v>854219.55</v>
          </cell>
          <cell r="Z12">
            <v>474030</v>
          </cell>
          <cell r="AC12">
            <v>4965782.79</v>
          </cell>
          <cell r="AH12">
            <v>147480</v>
          </cell>
          <cell r="AX12">
            <v>242666.66</v>
          </cell>
        </row>
        <row r="13">
          <cell r="S13">
            <v>130500</v>
          </cell>
          <cell r="V13">
            <v>69000</v>
          </cell>
          <cell r="X13">
            <v>61000</v>
          </cell>
          <cell r="Y13">
            <v>1115144.3799999999</v>
          </cell>
          <cell r="Z13">
            <v>400210</v>
          </cell>
          <cell r="AC13">
            <v>5294520.9499999993</v>
          </cell>
          <cell r="AH13">
            <v>148040</v>
          </cell>
          <cell r="AX13">
            <v>121333.33</v>
          </cell>
        </row>
        <row r="14">
          <cell r="S14">
            <v>162000</v>
          </cell>
          <cell r="V14">
            <v>46000</v>
          </cell>
          <cell r="X14">
            <v>27000</v>
          </cell>
          <cell r="Y14">
            <v>1146705.07</v>
          </cell>
          <cell r="Z14">
            <v>503950</v>
          </cell>
          <cell r="AC14">
            <v>5525654.9699999997</v>
          </cell>
          <cell r="AH14">
            <v>146680</v>
          </cell>
          <cell r="AX14">
            <v>0</v>
          </cell>
        </row>
      </sheetData>
      <sheetData sheetId="1" refreshError="1"/>
      <sheetData sheetId="2">
        <row r="10">
          <cell r="U10">
            <v>67500</v>
          </cell>
          <cell r="X10">
            <v>42000</v>
          </cell>
          <cell r="Z10">
            <v>50500</v>
          </cell>
          <cell r="AD10">
            <v>799537.48</v>
          </cell>
          <cell r="AL10">
            <v>4599537.3800000008</v>
          </cell>
          <cell r="AQ10">
            <v>147620</v>
          </cell>
          <cell r="BI10">
            <v>0</v>
          </cell>
        </row>
        <row r="11">
          <cell r="U11">
            <v>135000</v>
          </cell>
          <cell r="Z11">
            <v>24000</v>
          </cell>
          <cell r="AA11">
            <v>30998</v>
          </cell>
          <cell r="AB11">
            <v>252000</v>
          </cell>
          <cell r="AL11">
            <v>4081997.9</v>
          </cell>
          <cell r="AQ11">
            <v>146560</v>
          </cell>
          <cell r="BI11">
            <v>0</v>
          </cell>
        </row>
        <row r="12">
          <cell r="U12">
            <v>135000</v>
          </cell>
          <cell r="Z12">
            <v>5000</v>
          </cell>
          <cell r="AA12">
            <v>309980</v>
          </cell>
          <cell r="AB12">
            <v>215250</v>
          </cell>
          <cell r="AL12">
            <v>4305229.9000000004</v>
          </cell>
          <cell r="AQ12">
            <v>145800</v>
          </cell>
          <cell r="BI12">
            <v>0</v>
          </cell>
        </row>
        <row r="13">
          <cell r="U13">
            <v>162000</v>
          </cell>
          <cell r="Z13">
            <v>18000</v>
          </cell>
          <cell r="AA13">
            <v>12681</v>
          </cell>
          <cell r="AB13">
            <v>134400</v>
          </cell>
          <cell r="AL13">
            <v>3967080.9000000004</v>
          </cell>
          <cell r="AQ13">
            <v>146320</v>
          </cell>
          <cell r="BI13">
            <v>0</v>
          </cell>
        </row>
        <row r="14">
          <cell r="U14">
            <v>135000</v>
          </cell>
          <cell r="Z14">
            <v>21000</v>
          </cell>
          <cell r="AA14">
            <v>7045</v>
          </cell>
          <cell r="AB14">
            <v>157500</v>
          </cell>
          <cell r="AL14">
            <v>3960544.9000000004</v>
          </cell>
          <cell r="AQ14">
            <v>146440</v>
          </cell>
          <cell r="BI14">
            <v>0</v>
          </cell>
        </row>
        <row r="15">
          <cell r="U15">
            <v>162000</v>
          </cell>
          <cell r="Z15">
            <v>2500</v>
          </cell>
          <cell r="AA15">
            <v>112720</v>
          </cell>
          <cell r="AB15">
            <v>196350</v>
          </cell>
          <cell r="AL15">
            <v>4113569.9</v>
          </cell>
          <cell r="AQ15">
            <v>145700</v>
          </cell>
          <cell r="BI15">
            <v>0</v>
          </cell>
        </row>
        <row r="16">
          <cell r="U16">
            <v>60750</v>
          </cell>
          <cell r="Z16">
            <v>7500</v>
          </cell>
          <cell r="AA16">
            <v>135264</v>
          </cell>
          <cell r="AB16">
            <v>197400</v>
          </cell>
          <cell r="AL16">
            <v>3676913.91</v>
          </cell>
          <cell r="AQ16">
            <v>145900</v>
          </cell>
          <cell r="BI16">
            <v>363999.99</v>
          </cell>
        </row>
        <row r="17">
          <cell r="U17">
            <v>156600</v>
          </cell>
          <cell r="Z17">
            <v>2500</v>
          </cell>
          <cell r="AA17">
            <v>214168</v>
          </cell>
          <cell r="AB17">
            <v>218400</v>
          </cell>
          <cell r="AL17">
            <v>4110334.57</v>
          </cell>
          <cell r="AQ17">
            <v>145700</v>
          </cell>
          <cell r="BI17">
            <v>121333.33</v>
          </cell>
        </row>
        <row r="18">
          <cell r="U18">
            <v>156600</v>
          </cell>
          <cell r="Z18">
            <v>12500</v>
          </cell>
          <cell r="AA18">
            <v>56360</v>
          </cell>
          <cell r="AB18">
            <v>200550</v>
          </cell>
          <cell r="AL18">
            <v>3944676.57</v>
          </cell>
          <cell r="AQ18">
            <v>146100</v>
          </cell>
          <cell r="BI18">
            <v>121333.33</v>
          </cell>
        </row>
        <row r="19">
          <cell r="U19">
            <v>108000</v>
          </cell>
          <cell r="Z19">
            <v>2500</v>
          </cell>
          <cell r="AA19">
            <v>129628</v>
          </cell>
          <cell r="AB19">
            <v>215250</v>
          </cell>
          <cell r="AL19">
            <v>4095377.9</v>
          </cell>
          <cell r="AQ19">
            <v>145700</v>
          </cell>
          <cell r="BI19">
            <v>0</v>
          </cell>
        </row>
        <row r="20">
          <cell r="U20">
            <v>156600</v>
          </cell>
          <cell r="Z20">
            <v>2500</v>
          </cell>
          <cell r="AA20">
            <v>59178</v>
          </cell>
          <cell r="AB20">
            <v>168000</v>
          </cell>
          <cell r="AD20">
            <v>210404.6</v>
          </cell>
          <cell r="AL20">
            <v>4115349.17</v>
          </cell>
          <cell r="AQ20">
            <v>145700</v>
          </cell>
          <cell r="BI20">
            <v>121333.33</v>
          </cell>
        </row>
        <row r="21">
          <cell r="U21">
            <v>156600</v>
          </cell>
          <cell r="Z21">
            <v>7500</v>
          </cell>
          <cell r="AA21">
            <v>309980</v>
          </cell>
          <cell r="AB21">
            <v>280350</v>
          </cell>
          <cell r="AH21">
            <v>150000</v>
          </cell>
          <cell r="AL21">
            <v>4423096.57</v>
          </cell>
          <cell r="AQ21">
            <v>145900</v>
          </cell>
          <cell r="BI21">
            <v>121333.33</v>
          </cell>
        </row>
        <row r="22">
          <cell r="U22">
            <v>135000</v>
          </cell>
          <cell r="Z22">
            <v>12500</v>
          </cell>
          <cell r="AB22">
            <v>183750</v>
          </cell>
          <cell r="AL22">
            <v>3971249.9</v>
          </cell>
          <cell r="AQ22">
            <v>146100</v>
          </cell>
          <cell r="BI22">
            <v>0</v>
          </cell>
        </row>
        <row r="23">
          <cell r="U23">
            <v>135000</v>
          </cell>
          <cell r="Z23">
            <v>12500</v>
          </cell>
          <cell r="AB23">
            <v>185850</v>
          </cell>
          <cell r="AL23">
            <v>3973349.9</v>
          </cell>
          <cell r="AQ23">
            <v>146100</v>
          </cell>
          <cell r="BI23">
            <v>0</v>
          </cell>
        </row>
        <row r="24">
          <cell r="U24">
            <v>156600</v>
          </cell>
          <cell r="Z24">
            <v>24000</v>
          </cell>
          <cell r="AB24">
            <v>170100</v>
          </cell>
          <cell r="AL24">
            <v>3869366.57</v>
          </cell>
          <cell r="AQ24">
            <v>146560</v>
          </cell>
          <cell r="BI24">
            <v>121333.33</v>
          </cell>
        </row>
        <row r="25">
          <cell r="U25">
            <v>126000</v>
          </cell>
          <cell r="Z25">
            <v>10000</v>
          </cell>
          <cell r="AB25">
            <v>132300</v>
          </cell>
          <cell r="AL25">
            <v>3665633.24</v>
          </cell>
          <cell r="AQ25">
            <v>146000</v>
          </cell>
          <cell r="BI25">
            <v>242666.66</v>
          </cell>
        </row>
        <row r="26">
          <cell r="U26">
            <v>130500</v>
          </cell>
          <cell r="Z26">
            <v>47000</v>
          </cell>
          <cell r="AB26">
            <v>147000</v>
          </cell>
          <cell r="AL26">
            <v>3843166.57</v>
          </cell>
          <cell r="AQ26">
            <v>147480</v>
          </cell>
          <cell r="BI26">
            <v>121333.33</v>
          </cell>
        </row>
        <row r="27">
          <cell r="U27">
            <v>156600</v>
          </cell>
          <cell r="Z27">
            <v>61000</v>
          </cell>
          <cell r="AB27">
            <v>140700</v>
          </cell>
          <cell r="AL27">
            <v>3876966.57</v>
          </cell>
          <cell r="AQ27">
            <v>148040</v>
          </cell>
          <cell r="BI27">
            <v>121333.33</v>
          </cell>
        </row>
        <row r="28">
          <cell r="U28">
            <v>130500</v>
          </cell>
          <cell r="Z28">
            <v>33000</v>
          </cell>
          <cell r="AB28">
            <v>129150</v>
          </cell>
          <cell r="AL28">
            <v>3811316.57</v>
          </cell>
          <cell r="AQ28">
            <v>146920</v>
          </cell>
          <cell r="BI28">
            <v>121333.33</v>
          </cell>
        </row>
        <row r="29">
          <cell r="U29">
            <v>135000</v>
          </cell>
          <cell r="Z29">
            <v>24000</v>
          </cell>
          <cell r="AB29">
            <v>145950</v>
          </cell>
          <cell r="AL29">
            <v>3944949.9</v>
          </cell>
          <cell r="AQ29">
            <v>146560</v>
          </cell>
          <cell r="BI29">
            <v>0</v>
          </cell>
        </row>
        <row r="30">
          <cell r="U30">
            <v>135000</v>
          </cell>
          <cell r="Z30">
            <v>24000</v>
          </cell>
          <cell r="AB30">
            <v>148050</v>
          </cell>
          <cell r="AL30">
            <v>3947049.9</v>
          </cell>
          <cell r="AQ30">
            <v>146560</v>
          </cell>
          <cell r="BI30">
            <v>0</v>
          </cell>
        </row>
        <row r="31">
          <cell r="U31">
            <v>126000</v>
          </cell>
          <cell r="Z31">
            <v>27000</v>
          </cell>
          <cell r="AB31">
            <v>119700</v>
          </cell>
          <cell r="AL31">
            <v>3670033.24</v>
          </cell>
          <cell r="AQ31">
            <v>146680</v>
          </cell>
          <cell r="BI31">
            <v>242666.66</v>
          </cell>
        </row>
      </sheetData>
      <sheetData sheetId="3" refreshError="1"/>
      <sheetData sheetId="4">
        <row r="10">
          <cell r="W10">
            <v>162000</v>
          </cell>
          <cell r="Z10">
            <v>69000</v>
          </cell>
          <cell r="AB10">
            <v>47000</v>
          </cell>
          <cell r="AE10">
            <v>859161.88</v>
          </cell>
          <cell r="AF10">
            <v>4807161.78</v>
          </cell>
          <cell r="AK10">
            <v>148680</v>
          </cell>
          <cell r="BA10">
            <v>0</v>
          </cell>
        </row>
        <row r="11">
          <cell r="W11">
            <v>67500</v>
          </cell>
          <cell r="AB11">
            <v>30000</v>
          </cell>
          <cell r="AF11">
            <v>3737499.9000000004</v>
          </cell>
          <cell r="AK11">
            <v>146800</v>
          </cell>
          <cell r="BA11">
            <v>0</v>
          </cell>
        </row>
        <row r="12">
          <cell r="W12">
            <v>65250</v>
          </cell>
          <cell r="AB12">
            <v>33000</v>
          </cell>
          <cell r="AF12">
            <v>3616916.5700000003</v>
          </cell>
          <cell r="AK12">
            <v>146920</v>
          </cell>
          <cell r="BA12">
            <v>121333.33</v>
          </cell>
        </row>
        <row r="13">
          <cell r="W13">
            <v>63000</v>
          </cell>
          <cell r="AB13">
            <v>47000</v>
          </cell>
          <cell r="AF13">
            <v>3507333.24</v>
          </cell>
          <cell r="AK13">
            <v>147480</v>
          </cell>
          <cell r="BA13">
            <v>242666.66</v>
          </cell>
        </row>
        <row r="14">
          <cell r="W14">
            <v>65250</v>
          </cell>
          <cell r="AB14">
            <v>33000</v>
          </cell>
          <cell r="AF14">
            <v>3616916.5700000003</v>
          </cell>
          <cell r="AK14">
            <v>146920</v>
          </cell>
          <cell r="BA14">
            <v>121333.33</v>
          </cell>
        </row>
        <row r="15">
          <cell r="W15">
            <v>63000</v>
          </cell>
          <cell r="AB15">
            <v>43500</v>
          </cell>
          <cell r="AF15">
            <v>3503833.24</v>
          </cell>
          <cell r="AK15">
            <v>147340</v>
          </cell>
          <cell r="BA15">
            <v>242666.66</v>
          </cell>
        </row>
        <row r="16">
          <cell r="W16">
            <v>67500</v>
          </cell>
          <cell r="AB16">
            <v>50500</v>
          </cell>
          <cell r="AF16">
            <v>3757999.9000000004</v>
          </cell>
          <cell r="AK16">
            <v>147620</v>
          </cell>
          <cell r="BA16">
            <v>0</v>
          </cell>
        </row>
        <row r="17">
          <cell r="W17">
            <v>67500</v>
          </cell>
          <cell r="AB17">
            <v>47000</v>
          </cell>
          <cell r="AF17">
            <v>3754499.9</v>
          </cell>
          <cell r="AK17">
            <v>147480</v>
          </cell>
          <cell r="BA17">
            <v>0</v>
          </cell>
        </row>
        <row r="18">
          <cell r="W18">
            <v>67500</v>
          </cell>
          <cell r="AB18">
            <v>47000</v>
          </cell>
          <cell r="AF18">
            <v>3754499.9000000004</v>
          </cell>
          <cell r="AK18">
            <v>147480</v>
          </cell>
          <cell r="BA18">
            <v>0</v>
          </cell>
        </row>
        <row r="19">
          <cell r="W19">
            <v>65250</v>
          </cell>
          <cell r="AB19">
            <v>50500</v>
          </cell>
          <cell r="AE19">
            <v>31560.69</v>
          </cell>
          <cell r="AF19">
            <v>3665977.2600000002</v>
          </cell>
          <cell r="AK19">
            <v>147620</v>
          </cell>
          <cell r="BA19">
            <v>121333.33</v>
          </cell>
        </row>
        <row r="20">
          <cell r="W20">
            <v>67500</v>
          </cell>
          <cell r="AB20">
            <v>47000</v>
          </cell>
          <cell r="AF20">
            <v>3754499.9000000004</v>
          </cell>
          <cell r="AK20">
            <v>147480</v>
          </cell>
          <cell r="BA20">
            <v>0</v>
          </cell>
        </row>
        <row r="21">
          <cell r="W21">
            <v>63000</v>
          </cell>
          <cell r="AB21">
            <v>47000</v>
          </cell>
          <cell r="AF21">
            <v>3507333.24</v>
          </cell>
          <cell r="AK21">
            <v>147480</v>
          </cell>
          <cell r="BA21">
            <v>242666.66</v>
          </cell>
        </row>
        <row r="22">
          <cell r="W22">
            <v>63000</v>
          </cell>
          <cell r="AB22">
            <v>43500</v>
          </cell>
          <cell r="AE22">
            <v>31560.69</v>
          </cell>
          <cell r="AF22">
            <v>3535393.93</v>
          </cell>
          <cell r="AK22">
            <v>147340</v>
          </cell>
          <cell r="BA22">
            <v>242666.66</v>
          </cell>
        </row>
        <row r="23">
          <cell r="W23">
            <v>67500</v>
          </cell>
          <cell r="AB23">
            <v>33000</v>
          </cell>
          <cell r="AF23">
            <v>3740499.9000000004</v>
          </cell>
          <cell r="AK23">
            <v>146920</v>
          </cell>
          <cell r="BA23">
            <v>0</v>
          </cell>
        </row>
        <row r="24">
          <cell r="W24">
            <v>130500</v>
          </cell>
          <cell r="AB24">
            <v>43500</v>
          </cell>
          <cell r="AE24">
            <v>326127.13</v>
          </cell>
          <cell r="AF24">
            <v>4018793.6999999997</v>
          </cell>
          <cell r="AK24">
            <v>147340</v>
          </cell>
          <cell r="BA24">
            <v>121333.33</v>
          </cell>
        </row>
        <row r="25">
          <cell r="W25">
            <v>135000</v>
          </cell>
          <cell r="AB25">
            <v>27000</v>
          </cell>
          <cell r="AC25">
            <v>132446</v>
          </cell>
          <cell r="AD25">
            <v>34650</v>
          </cell>
          <cell r="AE25">
            <v>231445.06</v>
          </cell>
          <cell r="AF25">
            <v>4200540.96</v>
          </cell>
          <cell r="AK25">
            <v>146680</v>
          </cell>
          <cell r="BA25">
            <v>0</v>
          </cell>
        </row>
        <row r="26">
          <cell r="W26">
            <v>67500</v>
          </cell>
          <cell r="AB26">
            <v>47000</v>
          </cell>
          <cell r="AF26">
            <v>3754499.9000000004</v>
          </cell>
          <cell r="AK26">
            <v>147480</v>
          </cell>
          <cell r="BA26">
            <v>0</v>
          </cell>
        </row>
        <row r="27">
          <cell r="W27">
            <v>63000</v>
          </cell>
          <cell r="AB27">
            <v>43500</v>
          </cell>
          <cell r="AF27">
            <v>3503833.24</v>
          </cell>
          <cell r="AK27">
            <v>147340</v>
          </cell>
          <cell r="BA27">
            <v>242666.66</v>
          </cell>
        </row>
        <row r="28">
          <cell r="W28">
            <v>67500</v>
          </cell>
          <cell r="Z28">
            <v>44000</v>
          </cell>
          <cell r="AB28">
            <v>33000</v>
          </cell>
          <cell r="AE28">
            <v>1367629.9</v>
          </cell>
          <cell r="AF28">
            <v>5152129.8000000007</v>
          </cell>
          <cell r="AK28">
            <v>146920</v>
          </cell>
          <cell r="BA28">
            <v>0</v>
          </cell>
        </row>
        <row r="29">
          <cell r="W29">
            <v>162000</v>
          </cell>
          <cell r="AB29">
            <v>43500</v>
          </cell>
          <cell r="AE29">
            <v>63121.38</v>
          </cell>
          <cell r="AF29">
            <v>3908621.28</v>
          </cell>
          <cell r="AK29">
            <v>147340</v>
          </cell>
          <cell r="BA29">
            <v>0</v>
          </cell>
        </row>
        <row r="30">
          <cell r="W30">
            <v>67500</v>
          </cell>
          <cell r="AB30">
            <v>61000</v>
          </cell>
          <cell r="AF30">
            <v>3768499.9000000004</v>
          </cell>
          <cell r="AK30">
            <v>148040</v>
          </cell>
          <cell r="BA30">
            <v>0</v>
          </cell>
        </row>
        <row r="31">
          <cell r="W31">
            <v>67500</v>
          </cell>
          <cell r="AB31">
            <v>50500</v>
          </cell>
          <cell r="AF31">
            <v>3757999.9000000004</v>
          </cell>
          <cell r="AK31">
            <v>147620</v>
          </cell>
          <cell r="BA31">
            <v>0</v>
          </cell>
        </row>
        <row r="32">
          <cell r="W32">
            <v>67500</v>
          </cell>
          <cell r="AB32">
            <v>27000</v>
          </cell>
          <cell r="AE32">
            <v>126242.76</v>
          </cell>
          <cell r="AF32">
            <v>3860742.66</v>
          </cell>
          <cell r="AK32">
            <v>146680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REK AIR KUNDO (2)"/>
      <sheetName val="PAJAK"/>
      <sheetName val="Sheet4"/>
      <sheetName val="Sheet2"/>
    </sheetNames>
    <sheetDataSet>
      <sheetData sheetId="0">
        <row r="11">
          <cell r="S11">
            <v>139500</v>
          </cell>
          <cell r="V11">
            <v>75000</v>
          </cell>
          <cell r="X11">
            <v>33000</v>
          </cell>
          <cell r="Y11">
            <v>999421.85</v>
          </cell>
          <cell r="Z11">
            <v>1481185</v>
          </cell>
          <cell r="AC11">
            <v>6489440.0800000001</v>
          </cell>
          <cell r="AH11">
            <v>146920</v>
          </cell>
          <cell r="AX11">
            <v>0</v>
          </cell>
        </row>
        <row r="12">
          <cell r="S12">
            <v>156600</v>
          </cell>
          <cell r="V12">
            <v>50000</v>
          </cell>
          <cell r="X12">
            <v>47000</v>
          </cell>
          <cell r="Y12">
            <v>1030982.5399999999</v>
          </cell>
          <cell r="Z12">
            <v>1188150</v>
          </cell>
          <cell r="AC12">
            <v>5991399.1099999994</v>
          </cell>
          <cell r="AH12">
            <v>147480</v>
          </cell>
          <cell r="AX12">
            <v>242666.66</v>
          </cell>
        </row>
        <row r="13">
          <cell r="S13">
            <v>130500</v>
          </cell>
          <cell r="V13">
            <v>72000</v>
          </cell>
          <cell r="X13">
            <v>61000</v>
          </cell>
          <cell r="Y13">
            <v>1146705.0699999998</v>
          </cell>
          <cell r="Z13">
            <v>780165</v>
          </cell>
          <cell r="AC13">
            <v>5709036.6399999997</v>
          </cell>
          <cell r="AH13">
            <v>148040</v>
          </cell>
          <cell r="AX13">
            <v>242666.66</v>
          </cell>
        </row>
        <row r="14">
          <cell r="S14">
            <v>162000</v>
          </cell>
          <cell r="V14">
            <v>50000</v>
          </cell>
          <cell r="X14">
            <v>30000</v>
          </cell>
          <cell r="Y14">
            <v>1220346.68</v>
          </cell>
          <cell r="Z14">
            <v>986795</v>
          </cell>
          <cell r="AC14">
            <v>6089141.5800000001</v>
          </cell>
          <cell r="AH14">
            <v>146800</v>
          </cell>
          <cell r="AX14">
            <v>121333.33</v>
          </cell>
        </row>
      </sheetData>
      <sheetData sheetId="1"/>
      <sheetData sheetId="2">
        <row r="10">
          <cell r="U10">
            <v>69750</v>
          </cell>
          <cell r="X10">
            <v>46000</v>
          </cell>
          <cell r="Z10">
            <v>50500</v>
          </cell>
          <cell r="AD10">
            <v>778497.0199999999</v>
          </cell>
          <cell r="AL10">
            <v>4706080.25</v>
          </cell>
          <cell r="AQ10">
            <v>147620</v>
          </cell>
          <cell r="BI10">
            <v>0</v>
          </cell>
        </row>
        <row r="11">
          <cell r="U11">
            <v>139500</v>
          </cell>
          <cell r="Z11">
            <v>24000</v>
          </cell>
          <cell r="AA11">
            <v>161286</v>
          </cell>
          <cell r="AB11">
            <v>260400</v>
          </cell>
          <cell r="AC11">
            <v>150500</v>
          </cell>
          <cell r="AH11">
            <v>150000</v>
          </cell>
          <cell r="AL11">
            <v>4647019.2300000004</v>
          </cell>
          <cell r="AQ11">
            <v>146560</v>
          </cell>
          <cell r="BI11">
            <v>0</v>
          </cell>
        </row>
        <row r="12">
          <cell r="U12">
            <v>139500</v>
          </cell>
          <cell r="Z12">
            <v>5000</v>
          </cell>
          <cell r="AA12">
            <v>255842</v>
          </cell>
          <cell r="AB12">
            <v>161700</v>
          </cell>
          <cell r="AC12">
            <v>222000</v>
          </cell>
          <cell r="AH12">
            <v>150000</v>
          </cell>
          <cell r="AL12">
            <v>4695375.2300000004</v>
          </cell>
          <cell r="AQ12">
            <v>145800</v>
          </cell>
          <cell r="BI12">
            <v>0</v>
          </cell>
        </row>
        <row r="13">
          <cell r="U13">
            <v>162000</v>
          </cell>
          <cell r="Z13">
            <v>18000</v>
          </cell>
          <cell r="AB13">
            <v>123900</v>
          </cell>
          <cell r="AC13">
            <v>146500</v>
          </cell>
          <cell r="AL13">
            <v>4090399.9</v>
          </cell>
          <cell r="AQ13">
            <v>146320</v>
          </cell>
          <cell r="BI13">
            <v>121333.33</v>
          </cell>
        </row>
        <row r="14">
          <cell r="U14">
            <v>139500</v>
          </cell>
          <cell r="Z14">
            <v>24000</v>
          </cell>
          <cell r="AB14">
            <v>153300</v>
          </cell>
          <cell r="AC14">
            <v>148500</v>
          </cell>
          <cell r="AL14">
            <v>4226633.2300000004</v>
          </cell>
          <cell r="AQ14">
            <v>146560</v>
          </cell>
          <cell r="BI14">
            <v>0</v>
          </cell>
        </row>
        <row r="15">
          <cell r="U15">
            <v>167400</v>
          </cell>
          <cell r="Z15">
            <v>2500</v>
          </cell>
          <cell r="AA15">
            <v>119765</v>
          </cell>
          <cell r="AB15">
            <v>257250</v>
          </cell>
          <cell r="AC15">
            <v>148000</v>
          </cell>
          <cell r="AL15">
            <v>4456248.2300000004</v>
          </cell>
          <cell r="AQ15">
            <v>145700</v>
          </cell>
          <cell r="BI15">
            <v>0</v>
          </cell>
        </row>
        <row r="16">
          <cell r="U16">
            <v>69750</v>
          </cell>
          <cell r="Z16">
            <v>7500</v>
          </cell>
          <cell r="AA16">
            <v>851272</v>
          </cell>
          <cell r="AB16">
            <v>195300</v>
          </cell>
          <cell r="AC16">
            <v>222000</v>
          </cell>
          <cell r="AH16">
            <v>479896</v>
          </cell>
          <cell r="AL16">
            <v>5587051.2300000004</v>
          </cell>
          <cell r="AQ16">
            <v>145900</v>
          </cell>
          <cell r="BI16">
            <v>0</v>
          </cell>
        </row>
        <row r="17">
          <cell r="U17">
            <v>167400</v>
          </cell>
          <cell r="Z17">
            <v>5000</v>
          </cell>
          <cell r="AA17">
            <v>145473</v>
          </cell>
          <cell r="AB17">
            <v>170100</v>
          </cell>
          <cell r="AC17">
            <v>149000</v>
          </cell>
          <cell r="AL17">
            <v>4398306.2300000004</v>
          </cell>
          <cell r="AQ17">
            <v>145800</v>
          </cell>
          <cell r="BI17">
            <v>0</v>
          </cell>
        </row>
        <row r="18">
          <cell r="U18">
            <v>167400</v>
          </cell>
          <cell r="Z18">
            <v>12500</v>
          </cell>
          <cell r="AA18">
            <v>122426</v>
          </cell>
          <cell r="AB18">
            <v>295050</v>
          </cell>
          <cell r="AC18">
            <v>224000</v>
          </cell>
          <cell r="AL18">
            <v>4582709.2300000004</v>
          </cell>
          <cell r="AQ18">
            <v>146100</v>
          </cell>
          <cell r="BI18">
            <v>0</v>
          </cell>
        </row>
        <row r="19">
          <cell r="U19">
            <v>111600</v>
          </cell>
          <cell r="Z19">
            <v>2500</v>
          </cell>
          <cell r="AA19">
            <v>101760</v>
          </cell>
          <cell r="AB19">
            <v>278250</v>
          </cell>
          <cell r="AC19">
            <v>227000</v>
          </cell>
          <cell r="AL19">
            <v>4482443.2300000004</v>
          </cell>
          <cell r="AQ19">
            <v>145700</v>
          </cell>
          <cell r="BI19">
            <v>0</v>
          </cell>
        </row>
        <row r="20">
          <cell r="U20">
            <v>167400</v>
          </cell>
          <cell r="Z20">
            <v>2500</v>
          </cell>
          <cell r="AA20">
            <v>353449</v>
          </cell>
          <cell r="AB20">
            <v>203700</v>
          </cell>
          <cell r="AC20">
            <v>145500</v>
          </cell>
          <cell r="AH20">
            <v>150000</v>
          </cell>
          <cell r="AL20">
            <v>4783882.2300000004</v>
          </cell>
          <cell r="AQ20">
            <v>145700</v>
          </cell>
          <cell r="BI20">
            <v>0</v>
          </cell>
        </row>
        <row r="21">
          <cell r="U21">
            <v>167400</v>
          </cell>
          <cell r="Z21">
            <v>10000</v>
          </cell>
          <cell r="AA21">
            <v>713892</v>
          </cell>
          <cell r="AB21">
            <v>217350</v>
          </cell>
          <cell r="AC21">
            <v>147500</v>
          </cell>
          <cell r="AH21">
            <v>150000</v>
          </cell>
          <cell r="AL21">
            <v>5167475.2300000004</v>
          </cell>
          <cell r="AQ21">
            <v>146000</v>
          </cell>
          <cell r="BI21">
            <v>0</v>
          </cell>
        </row>
        <row r="22">
          <cell r="U22">
            <v>139500</v>
          </cell>
          <cell r="Z22">
            <v>15000</v>
          </cell>
          <cell r="AA22">
            <v>21135</v>
          </cell>
          <cell r="AB22">
            <v>240450</v>
          </cell>
          <cell r="AL22">
            <v>4177418.23</v>
          </cell>
          <cell r="AQ22">
            <v>146200</v>
          </cell>
          <cell r="BI22">
            <v>0</v>
          </cell>
        </row>
        <row r="23">
          <cell r="U23">
            <v>139500</v>
          </cell>
          <cell r="Z23">
            <v>12500</v>
          </cell>
          <cell r="AA23">
            <v>54951</v>
          </cell>
          <cell r="AB23">
            <v>241500</v>
          </cell>
          <cell r="AL23">
            <v>4209784.2300000004</v>
          </cell>
          <cell r="AQ23">
            <v>146100</v>
          </cell>
          <cell r="BI23">
            <v>0</v>
          </cell>
        </row>
        <row r="24">
          <cell r="U24">
            <v>162000</v>
          </cell>
          <cell r="Z24">
            <v>24000</v>
          </cell>
          <cell r="AA24">
            <v>42756</v>
          </cell>
          <cell r="AB24">
            <v>204750</v>
          </cell>
          <cell r="AL24">
            <v>4073505.9</v>
          </cell>
          <cell r="AQ24">
            <v>146560</v>
          </cell>
          <cell r="BI24">
            <v>121333.33</v>
          </cell>
        </row>
        <row r="25">
          <cell r="U25">
            <v>139500</v>
          </cell>
          <cell r="Z25">
            <v>10000</v>
          </cell>
          <cell r="AA25">
            <v>42756</v>
          </cell>
          <cell r="AB25">
            <v>210000</v>
          </cell>
          <cell r="AL25">
            <v>4163589.23</v>
          </cell>
          <cell r="AQ25">
            <v>146000</v>
          </cell>
          <cell r="BI25">
            <v>0</v>
          </cell>
        </row>
        <row r="26">
          <cell r="U26">
            <v>130500</v>
          </cell>
          <cell r="Z26">
            <v>47000</v>
          </cell>
          <cell r="AB26">
            <v>147000</v>
          </cell>
          <cell r="AL26">
            <v>3843166.57</v>
          </cell>
          <cell r="AQ26">
            <v>147480</v>
          </cell>
          <cell r="BI26">
            <v>242666.66</v>
          </cell>
        </row>
        <row r="27">
          <cell r="U27">
            <v>162000</v>
          </cell>
          <cell r="Z27">
            <v>61000</v>
          </cell>
          <cell r="AB27">
            <v>155400</v>
          </cell>
          <cell r="AL27">
            <v>4018399.9</v>
          </cell>
          <cell r="AQ27">
            <v>148040</v>
          </cell>
          <cell r="BI27">
            <v>121333.33</v>
          </cell>
        </row>
        <row r="28">
          <cell r="U28">
            <v>139500</v>
          </cell>
          <cell r="Z28">
            <v>33000</v>
          </cell>
          <cell r="AB28">
            <v>134400</v>
          </cell>
          <cell r="AL28">
            <v>4068233.23</v>
          </cell>
          <cell r="AQ28">
            <v>146920</v>
          </cell>
          <cell r="BI28">
            <v>0</v>
          </cell>
        </row>
        <row r="29">
          <cell r="U29">
            <v>94500</v>
          </cell>
          <cell r="Z29">
            <v>24000</v>
          </cell>
          <cell r="AB29">
            <v>161700</v>
          </cell>
          <cell r="AL29">
            <v>3920199.9</v>
          </cell>
          <cell r="AQ29">
            <v>146560</v>
          </cell>
          <cell r="BI29">
            <v>121333.33</v>
          </cell>
        </row>
        <row r="30">
          <cell r="U30">
            <v>117450</v>
          </cell>
          <cell r="Z30">
            <v>24000</v>
          </cell>
          <cell r="AB30">
            <v>131250</v>
          </cell>
          <cell r="AL30">
            <v>3791366.5700000003</v>
          </cell>
          <cell r="AQ30">
            <v>146560</v>
          </cell>
          <cell r="BI30">
            <v>242666.66</v>
          </cell>
        </row>
        <row r="31">
          <cell r="U31">
            <v>130500</v>
          </cell>
          <cell r="Z31">
            <v>27000</v>
          </cell>
          <cell r="AB31">
            <v>123900</v>
          </cell>
          <cell r="AL31">
            <v>3800066.57</v>
          </cell>
          <cell r="AQ31">
            <v>146680</v>
          </cell>
          <cell r="BI31">
            <v>242666.66</v>
          </cell>
        </row>
      </sheetData>
      <sheetData sheetId="3"/>
      <sheetData sheetId="4">
        <row r="10">
          <cell r="W10">
            <v>167400</v>
          </cell>
          <cell r="Z10">
            <v>81000</v>
          </cell>
          <cell r="AB10">
            <v>47000</v>
          </cell>
          <cell r="AE10">
            <v>904739.77999999991</v>
          </cell>
          <cell r="AF10">
            <v>4992473.01</v>
          </cell>
          <cell r="AK10">
            <v>148680</v>
          </cell>
          <cell r="BA10">
            <v>0</v>
          </cell>
        </row>
        <row r="11">
          <cell r="W11">
            <v>69750</v>
          </cell>
          <cell r="AB11">
            <v>30000</v>
          </cell>
          <cell r="AF11">
            <v>3861083.23</v>
          </cell>
          <cell r="AK11">
            <v>146800</v>
          </cell>
          <cell r="BA11">
            <v>0</v>
          </cell>
        </row>
        <row r="12">
          <cell r="W12">
            <v>67500</v>
          </cell>
          <cell r="AB12">
            <v>33000</v>
          </cell>
          <cell r="AF12">
            <v>3740499.9</v>
          </cell>
          <cell r="AK12">
            <v>146920</v>
          </cell>
          <cell r="BA12">
            <v>121333.33</v>
          </cell>
        </row>
        <row r="13">
          <cell r="W13">
            <v>65250</v>
          </cell>
          <cell r="AB13">
            <v>47000</v>
          </cell>
          <cell r="AF13">
            <v>3630916.5700000003</v>
          </cell>
          <cell r="AK13">
            <v>147480</v>
          </cell>
          <cell r="BA13">
            <v>242666.66</v>
          </cell>
        </row>
        <row r="14">
          <cell r="W14">
            <v>69750</v>
          </cell>
          <cell r="AB14">
            <v>33000</v>
          </cell>
          <cell r="AF14">
            <v>3864083.23</v>
          </cell>
          <cell r="AK14">
            <v>146920</v>
          </cell>
          <cell r="BA14">
            <v>0</v>
          </cell>
        </row>
        <row r="15">
          <cell r="W15">
            <v>69750</v>
          </cell>
          <cell r="AB15">
            <v>47000</v>
          </cell>
          <cell r="AF15">
            <v>3878083.23</v>
          </cell>
          <cell r="AK15">
            <v>147480</v>
          </cell>
          <cell r="BA15">
            <v>0</v>
          </cell>
        </row>
        <row r="16">
          <cell r="W16">
            <v>69750</v>
          </cell>
          <cell r="AB16">
            <v>50500</v>
          </cell>
          <cell r="AF16">
            <v>3881583.23</v>
          </cell>
          <cell r="AK16">
            <v>147620</v>
          </cell>
          <cell r="BA16">
            <v>0</v>
          </cell>
        </row>
        <row r="17">
          <cell r="W17">
            <v>67500</v>
          </cell>
          <cell r="AB17">
            <v>47000</v>
          </cell>
          <cell r="AF17">
            <v>3754499.9</v>
          </cell>
          <cell r="AK17">
            <v>147480</v>
          </cell>
          <cell r="BA17">
            <v>121333.33</v>
          </cell>
        </row>
        <row r="18">
          <cell r="W18">
            <v>69750</v>
          </cell>
          <cell r="AB18">
            <v>47000</v>
          </cell>
          <cell r="AF18">
            <v>3878083.23</v>
          </cell>
          <cell r="AK18">
            <v>147480</v>
          </cell>
          <cell r="BA18">
            <v>0</v>
          </cell>
        </row>
        <row r="19">
          <cell r="W19">
            <v>65250</v>
          </cell>
          <cell r="AB19">
            <v>54000</v>
          </cell>
          <cell r="AF19">
            <v>3637916.57</v>
          </cell>
          <cell r="AK19">
            <v>147760</v>
          </cell>
          <cell r="BA19">
            <v>242666.66</v>
          </cell>
        </row>
        <row r="20">
          <cell r="W20">
            <v>69750</v>
          </cell>
          <cell r="AB20">
            <v>47000</v>
          </cell>
          <cell r="AF20">
            <v>3878083.23</v>
          </cell>
          <cell r="AK20">
            <v>147480</v>
          </cell>
          <cell r="BA20">
            <v>0</v>
          </cell>
        </row>
        <row r="21">
          <cell r="W21">
            <v>65250</v>
          </cell>
          <cell r="AB21">
            <v>47000</v>
          </cell>
          <cell r="AF21">
            <v>3630916.5700000003</v>
          </cell>
          <cell r="AK21">
            <v>147480</v>
          </cell>
          <cell r="BA21">
            <v>242666.66</v>
          </cell>
        </row>
        <row r="22">
          <cell r="W22">
            <v>67500</v>
          </cell>
          <cell r="AB22">
            <v>47000</v>
          </cell>
          <cell r="AE22">
            <v>147283.22</v>
          </cell>
          <cell r="AF22">
            <v>3901783.12</v>
          </cell>
          <cell r="AK22">
            <v>147480</v>
          </cell>
          <cell r="BA22">
            <v>121333.33</v>
          </cell>
        </row>
        <row r="23">
          <cell r="W23">
            <v>67500</v>
          </cell>
          <cell r="AB23">
            <v>33000</v>
          </cell>
          <cell r="AF23">
            <v>3740499.9</v>
          </cell>
          <cell r="AK23">
            <v>146920</v>
          </cell>
          <cell r="BA23">
            <v>121333.33</v>
          </cell>
        </row>
        <row r="24">
          <cell r="W24">
            <v>49500</v>
          </cell>
          <cell r="AB24">
            <v>43500</v>
          </cell>
          <cell r="AF24">
            <v>1427666.63</v>
          </cell>
          <cell r="AK24">
            <v>147340</v>
          </cell>
          <cell r="BA24">
            <v>242666.66</v>
          </cell>
        </row>
        <row r="25">
          <cell r="W25">
            <v>125550</v>
          </cell>
          <cell r="AB25">
            <v>30000</v>
          </cell>
          <cell r="AC25">
            <v>11989</v>
          </cell>
          <cell r="AD25">
            <v>14700</v>
          </cell>
          <cell r="AE25">
            <v>178843.90999999997</v>
          </cell>
          <cell r="AF25">
            <v>4122416.14</v>
          </cell>
          <cell r="AK25">
            <v>146800</v>
          </cell>
          <cell r="BA25">
            <v>0</v>
          </cell>
        </row>
        <row r="26">
          <cell r="W26">
            <v>69750</v>
          </cell>
          <cell r="AB26">
            <v>47000</v>
          </cell>
          <cell r="AF26">
            <v>3878083.23</v>
          </cell>
          <cell r="AK26">
            <v>147480</v>
          </cell>
          <cell r="BA26">
            <v>0</v>
          </cell>
        </row>
        <row r="27">
          <cell r="W27">
            <v>65250</v>
          </cell>
          <cell r="AB27">
            <v>47000</v>
          </cell>
          <cell r="AF27">
            <v>3630916.57</v>
          </cell>
          <cell r="AK27">
            <v>147480</v>
          </cell>
          <cell r="BA27">
            <v>242666.66</v>
          </cell>
        </row>
        <row r="28">
          <cell r="W28">
            <v>69750</v>
          </cell>
          <cell r="Z28">
            <v>48000</v>
          </cell>
          <cell r="AB28">
            <v>33000</v>
          </cell>
          <cell r="AE28">
            <v>1199306.22</v>
          </cell>
          <cell r="AF28">
            <v>5111389.45</v>
          </cell>
          <cell r="AK28">
            <v>146920</v>
          </cell>
          <cell r="BA28">
            <v>0</v>
          </cell>
        </row>
        <row r="29">
          <cell r="W29">
            <v>156600</v>
          </cell>
          <cell r="AB29">
            <v>47000</v>
          </cell>
          <cell r="AE29">
            <v>1251907.3700000001</v>
          </cell>
          <cell r="AF29">
            <v>4974173.9399999995</v>
          </cell>
          <cell r="AK29">
            <v>147480</v>
          </cell>
          <cell r="BA29">
            <v>242666.66</v>
          </cell>
        </row>
        <row r="30">
          <cell r="W30">
            <v>69750</v>
          </cell>
          <cell r="AB30">
            <v>61000</v>
          </cell>
          <cell r="AF30">
            <v>3892083.23</v>
          </cell>
          <cell r="AK30">
            <v>148040</v>
          </cell>
          <cell r="BA30">
            <v>0</v>
          </cell>
        </row>
        <row r="31">
          <cell r="W31">
            <v>69750</v>
          </cell>
          <cell r="AB31">
            <v>50500</v>
          </cell>
          <cell r="AF31">
            <v>3881583.23</v>
          </cell>
          <cell r="AK31">
            <v>147620</v>
          </cell>
          <cell r="BA31">
            <v>0</v>
          </cell>
        </row>
        <row r="32">
          <cell r="W32">
            <v>69750</v>
          </cell>
          <cell r="AB32">
            <v>27000</v>
          </cell>
          <cell r="AE32">
            <v>873179.09</v>
          </cell>
          <cell r="AF32">
            <v>4731262.32</v>
          </cell>
          <cell r="AK32">
            <v>146680</v>
          </cell>
          <cell r="BA3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REK AIR KUNDO (2)"/>
      <sheetName val="PAJAK"/>
      <sheetName val="Sheet4"/>
      <sheetName val="Sheet2"/>
    </sheetNames>
    <sheetDataSet>
      <sheetData sheetId="0">
        <row r="11">
          <cell r="S11">
            <v>130500</v>
          </cell>
          <cell r="V11">
            <v>66000</v>
          </cell>
          <cell r="Y11">
            <v>694335.17999999993</v>
          </cell>
          <cell r="Z11">
            <v>1763660</v>
          </cell>
          <cell r="AC11">
            <v>6206161.75</v>
          </cell>
          <cell r="AX11">
            <v>121333.33</v>
          </cell>
        </row>
        <row r="12">
          <cell r="S12">
            <v>145800</v>
          </cell>
          <cell r="V12">
            <v>42000</v>
          </cell>
          <cell r="Y12">
            <v>736416.1</v>
          </cell>
          <cell r="Z12">
            <v>1235585</v>
          </cell>
          <cell r="AC12">
            <v>5482801.0099999998</v>
          </cell>
          <cell r="AX12">
            <v>363999.99</v>
          </cell>
        </row>
        <row r="13">
          <cell r="S13">
            <v>130500</v>
          </cell>
          <cell r="V13">
            <v>63000</v>
          </cell>
          <cell r="Y13">
            <v>873179.09</v>
          </cell>
          <cell r="Z13">
            <v>664675</v>
          </cell>
          <cell r="AC13">
            <v>5311020.66</v>
          </cell>
          <cell r="AX13">
            <v>121333.33</v>
          </cell>
        </row>
        <row r="14">
          <cell r="S14">
            <v>162000</v>
          </cell>
          <cell r="V14">
            <v>44000</v>
          </cell>
          <cell r="Y14">
            <v>1073063.46</v>
          </cell>
          <cell r="Z14">
            <v>643180</v>
          </cell>
          <cell r="AC14">
            <v>5592243.3599999994</v>
          </cell>
          <cell r="AX14">
            <v>0</v>
          </cell>
        </row>
      </sheetData>
      <sheetData sheetId="1"/>
      <sheetData sheetId="2">
        <row r="10">
          <cell r="U10">
            <v>67500</v>
          </cell>
          <cell r="X10">
            <v>44000</v>
          </cell>
          <cell r="Z10">
            <v>50500</v>
          </cell>
          <cell r="AD10">
            <v>631213.79999999993</v>
          </cell>
          <cell r="AL10">
            <v>4433213.7</v>
          </cell>
          <cell r="AQ10">
            <v>147620</v>
          </cell>
          <cell r="BI10">
            <v>0</v>
          </cell>
        </row>
        <row r="11">
          <cell r="U11">
            <v>135000</v>
          </cell>
          <cell r="Z11">
            <v>24000</v>
          </cell>
          <cell r="AB11">
            <v>208950</v>
          </cell>
          <cell r="AL11">
            <v>4007949.9</v>
          </cell>
          <cell r="AQ11">
            <v>146560</v>
          </cell>
          <cell r="BI11">
            <v>0</v>
          </cell>
        </row>
        <row r="12">
          <cell r="U12">
            <v>135000</v>
          </cell>
          <cell r="Z12">
            <v>5000</v>
          </cell>
          <cell r="AB12">
            <v>79800</v>
          </cell>
          <cell r="AL12">
            <v>3859799.9</v>
          </cell>
          <cell r="AQ12">
            <v>145800</v>
          </cell>
          <cell r="BI12">
            <v>0</v>
          </cell>
        </row>
        <row r="13">
          <cell r="U13">
            <v>156600</v>
          </cell>
          <cell r="Z13">
            <v>18000</v>
          </cell>
          <cell r="AB13">
            <v>108150</v>
          </cell>
          <cell r="AL13">
            <v>3801416.5700000003</v>
          </cell>
          <cell r="AQ13">
            <v>146320</v>
          </cell>
          <cell r="BI13">
            <v>121333.33</v>
          </cell>
        </row>
        <row r="14">
          <cell r="U14">
            <v>135000</v>
          </cell>
          <cell r="Z14">
            <v>24000</v>
          </cell>
          <cell r="AB14">
            <v>96600</v>
          </cell>
          <cell r="AL14">
            <v>3895599.9</v>
          </cell>
          <cell r="AQ14">
            <v>146560</v>
          </cell>
          <cell r="BI14">
            <v>0</v>
          </cell>
        </row>
        <row r="15">
          <cell r="U15">
            <v>162000</v>
          </cell>
          <cell r="Z15">
            <v>2500</v>
          </cell>
          <cell r="AA15">
            <v>14542</v>
          </cell>
          <cell r="AB15">
            <v>186900</v>
          </cell>
          <cell r="AL15">
            <v>4005941.9</v>
          </cell>
          <cell r="AQ15">
            <v>145700</v>
          </cell>
          <cell r="BI15">
            <v>0</v>
          </cell>
        </row>
        <row r="16">
          <cell r="U16">
            <v>67500</v>
          </cell>
          <cell r="Z16">
            <v>7500</v>
          </cell>
          <cell r="AA16">
            <v>445514</v>
          </cell>
          <cell r="AB16">
            <v>130200</v>
          </cell>
          <cell r="AL16">
            <v>4290713.9000000004</v>
          </cell>
          <cell r="AQ16">
            <v>145900</v>
          </cell>
          <cell r="BI16">
            <v>0</v>
          </cell>
        </row>
        <row r="17">
          <cell r="U17">
            <v>162000</v>
          </cell>
          <cell r="Z17">
            <v>5000</v>
          </cell>
          <cell r="AA17">
            <v>22474</v>
          </cell>
          <cell r="AB17">
            <v>112350</v>
          </cell>
          <cell r="AL17">
            <v>3941823.9</v>
          </cell>
          <cell r="AQ17">
            <v>145800</v>
          </cell>
          <cell r="BI17">
            <v>0</v>
          </cell>
        </row>
        <row r="18">
          <cell r="U18">
            <v>162000</v>
          </cell>
          <cell r="Z18">
            <v>12500</v>
          </cell>
          <cell r="AB18">
            <v>184800</v>
          </cell>
          <cell r="AL18">
            <v>3999299.9</v>
          </cell>
          <cell r="AQ18">
            <v>146100</v>
          </cell>
          <cell r="BI18">
            <v>0</v>
          </cell>
        </row>
        <row r="19">
          <cell r="U19">
            <v>108000</v>
          </cell>
          <cell r="Z19">
            <v>2500</v>
          </cell>
          <cell r="AB19">
            <v>181650</v>
          </cell>
          <cell r="AL19">
            <v>3932149.9</v>
          </cell>
          <cell r="AQ19">
            <v>145700</v>
          </cell>
          <cell r="BI19">
            <v>0</v>
          </cell>
        </row>
        <row r="20">
          <cell r="U20">
            <v>162000</v>
          </cell>
          <cell r="Z20">
            <v>2500</v>
          </cell>
          <cell r="AA20">
            <v>81964</v>
          </cell>
          <cell r="AB20">
            <v>137550</v>
          </cell>
          <cell r="AL20">
            <v>4024013.9</v>
          </cell>
          <cell r="AQ20">
            <v>145700</v>
          </cell>
          <cell r="BI20">
            <v>0</v>
          </cell>
        </row>
        <row r="21">
          <cell r="U21">
            <v>162000</v>
          </cell>
          <cell r="Z21">
            <v>10000</v>
          </cell>
          <cell r="AA21">
            <v>71388</v>
          </cell>
          <cell r="AB21">
            <v>132300</v>
          </cell>
          <cell r="AL21">
            <v>4015687.9</v>
          </cell>
          <cell r="AQ21">
            <v>146000</v>
          </cell>
          <cell r="BI21">
            <v>0</v>
          </cell>
        </row>
        <row r="22">
          <cell r="U22">
            <v>135000</v>
          </cell>
          <cell r="Z22">
            <v>15000</v>
          </cell>
          <cell r="AB22">
            <v>140700</v>
          </cell>
          <cell r="AL22">
            <v>3930699.9</v>
          </cell>
          <cell r="AQ22">
            <v>146200</v>
          </cell>
          <cell r="BI22">
            <v>0</v>
          </cell>
        </row>
        <row r="23">
          <cell r="U23">
            <v>135000</v>
          </cell>
          <cell r="Z23">
            <v>15000</v>
          </cell>
          <cell r="AB23">
            <v>142800</v>
          </cell>
          <cell r="AL23">
            <v>3932799.9</v>
          </cell>
          <cell r="AQ23">
            <v>146200</v>
          </cell>
          <cell r="BI23">
            <v>0</v>
          </cell>
        </row>
        <row r="24">
          <cell r="U24">
            <v>162000</v>
          </cell>
          <cell r="Z24">
            <v>24000</v>
          </cell>
          <cell r="AB24">
            <v>107100</v>
          </cell>
          <cell r="AL24">
            <v>3933099.9</v>
          </cell>
          <cell r="AQ24">
            <v>146560</v>
          </cell>
          <cell r="BI24">
            <v>0</v>
          </cell>
        </row>
        <row r="25">
          <cell r="U25">
            <v>135000</v>
          </cell>
          <cell r="Z25">
            <v>10000</v>
          </cell>
          <cell r="AB25">
            <v>115500</v>
          </cell>
          <cell r="AL25">
            <v>3900499.9</v>
          </cell>
          <cell r="AQ25">
            <v>146000</v>
          </cell>
          <cell r="BI25">
            <v>0</v>
          </cell>
        </row>
        <row r="26">
          <cell r="U26">
            <v>126000</v>
          </cell>
          <cell r="Z26">
            <v>47000</v>
          </cell>
          <cell r="AB26">
            <v>73500</v>
          </cell>
          <cell r="AL26">
            <v>3643833.24</v>
          </cell>
          <cell r="AQ26">
            <v>147480</v>
          </cell>
          <cell r="BI26">
            <v>242666.66</v>
          </cell>
        </row>
        <row r="27">
          <cell r="U27">
            <v>156600</v>
          </cell>
          <cell r="Z27">
            <v>61000</v>
          </cell>
          <cell r="AB27">
            <v>96600</v>
          </cell>
          <cell r="AL27">
            <v>3832866.5700000003</v>
          </cell>
          <cell r="AQ27">
            <v>148040</v>
          </cell>
          <cell r="BI27">
            <v>121333.33</v>
          </cell>
        </row>
        <row r="28">
          <cell r="U28">
            <v>130500</v>
          </cell>
          <cell r="Z28">
            <v>33000</v>
          </cell>
          <cell r="AB28">
            <v>79800</v>
          </cell>
          <cell r="AL28">
            <v>3761966.57</v>
          </cell>
          <cell r="AQ28">
            <v>146920</v>
          </cell>
          <cell r="BI28">
            <v>121333.33</v>
          </cell>
        </row>
        <row r="29">
          <cell r="U29">
            <v>88200</v>
          </cell>
          <cell r="Z29">
            <v>24000</v>
          </cell>
          <cell r="AB29">
            <v>96600</v>
          </cell>
          <cell r="AL29">
            <v>3606133.24</v>
          </cell>
          <cell r="AQ29">
            <v>146560</v>
          </cell>
          <cell r="BI29">
            <v>242666.66</v>
          </cell>
        </row>
        <row r="30">
          <cell r="U30">
            <v>88200</v>
          </cell>
          <cell r="Z30">
            <v>24000</v>
          </cell>
          <cell r="AB30">
            <v>76650</v>
          </cell>
          <cell r="AL30">
            <v>3586183.24</v>
          </cell>
          <cell r="AQ30">
            <v>146560</v>
          </cell>
          <cell r="BI30">
            <v>242666.66</v>
          </cell>
        </row>
        <row r="31">
          <cell r="U31">
            <v>130500</v>
          </cell>
          <cell r="Z31">
            <v>27000</v>
          </cell>
          <cell r="AB31">
            <v>76650</v>
          </cell>
          <cell r="AL31">
            <v>3752816.5700000003</v>
          </cell>
          <cell r="AQ31">
            <v>146680</v>
          </cell>
          <cell r="BI31">
            <v>121333.33</v>
          </cell>
        </row>
        <row r="32">
          <cell r="U32">
            <v>135000</v>
          </cell>
          <cell r="Z32">
            <v>12500</v>
          </cell>
          <cell r="AB32">
            <v>100800</v>
          </cell>
          <cell r="AL32">
            <v>3888299.9</v>
          </cell>
          <cell r="AQ32">
            <v>146100</v>
          </cell>
          <cell r="BI32">
            <v>0</v>
          </cell>
        </row>
      </sheetData>
      <sheetData sheetId="3"/>
      <sheetData sheetId="4">
        <row r="10">
          <cell r="W10">
            <v>162000</v>
          </cell>
          <cell r="Z10">
            <v>72000</v>
          </cell>
          <cell r="AB10">
            <v>47000</v>
          </cell>
          <cell r="AE10">
            <v>763699.44000000006</v>
          </cell>
          <cell r="AF10">
            <v>4714699.34</v>
          </cell>
          <cell r="AK10">
            <v>148680</v>
          </cell>
          <cell r="BA10">
            <v>0</v>
          </cell>
        </row>
        <row r="11">
          <cell r="W11">
            <v>67500</v>
          </cell>
          <cell r="AB11">
            <v>30000</v>
          </cell>
          <cell r="AF11">
            <v>3737499.9000000004</v>
          </cell>
          <cell r="AK11">
            <v>146800</v>
          </cell>
          <cell r="BA11">
            <v>0</v>
          </cell>
        </row>
        <row r="12">
          <cell r="W12">
            <v>67500</v>
          </cell>
          <cell r="AB12">
            <v>33000</v>
          </cell>
          <cell r="AF12">
            <v>3740499.9000000004</v>
          </cell>
          <cell r="AK12">
            <v>146920</v>
          </cell>
          <cell r="BA12">
            <v>0</v>
          </cell>
        </row>
        <row r="13">
          <cell r="W13">
            <v>63000</v>
          </cell>
          <cell r="AB13">
            <v>47000</v>
          </cell>
          <cell r="AF13">
            <v>3507333.24</v>
          </cell>
          <cell r="AK13">
            <v>147480</v>
          </cell>
          <cell r="BA13">
            <v>242666.66</v>
          </cell>
        </row>
        <row r="14">
          <cell r="W14">
            <v>65250</v>
          </cell>
          <cell r="AB14">
            <v>33000</v>
          </cell>
          <cell r="AF14">
            <v>3616916.5700000003</v>
          </cell>
          <cell r="AK14">
            <v>146920</v>
          </cell>
          <cell r="BA14">
            <v>121333.33</v>
          </cell>
        </row>
        <row r="15">
          <cell r="W15">
            <v>67500</v>
          </cell>
          <cell r="AB15">
            <v>47000</v>
          </cell>
          <cell r="AF15">
            <v>3754499.9000000004</v>
          </cell>
          <cell r="AK15">
            <v>147480</v>
          </cell>
          <cell r="BA15">
            <v>0</v>
          </cell>
        </row>
        <row r="16">
          <cell r="W16">
            <v>67500</v>
          </cell>
          <cell r="AB16">
            <v>50500</v>
          </cell>
          <cell r="AF16">
            <v>3757999.9000000004</v>
          </cell>
          <cell r="AK16">
            <v>147620</v>
          </cell>
          <cell r="BA16">
            <v>0</v>
          </cell>
        </row>
        <row r="17">
          <cell r="W17">
            <v>67500</v>
          </cell>
          <cell r="AB17">
            <v>47000</v>
          </cell>
          <cell r="AF17">
            <v>3754499.9000000004</v>
          </cell>
          <cell r="AK17">
            <v>147480</v>
          </cell>
          <cell r="BA17">
            <v>0</v>
          </cell>
        </row>
        <row r="18">
          <cell r="W18">
            <v>65250</v>
          </cell>
          <cell r="AB18">
            <v>50500</v>
          </cell>
          <cell r="AF18">
            <v>3634416.5700000003</v>
          </cell>
          <cell r="AK18">
            <v>147620</v>
          </cell>
          <cell r="BA18">
            <v>121333.33</v>
          </cell>
        </row>
        <row r="19">
          <cell r="W19">
            <v>63000</v>
          </cell>
          <cell r="AB19">
            <v>54000</v>
          </cell>
          <cell r="AF19">
            <v>3514333.24</v>
          </cell>
          <cell r="AK19">
            <v>147760</v>
          </cell>
          <cell r="BA19">
            <v>242666.66</v>
          </cell>
        </row>
        <row r="20">
          <cell r="W20">
            <v>65250</v>
          </cell>
          <cell r="AB20">
            <v>47000</v>
          </cell>
          <cell r="AF20">
            <v>3630916.5700000003</v>
          </cell>
          <cell r="AK20">
            <v>147480</v>
          </cell>
          <cell r="BA20">
            <v>121333.33</v>
          </cell>
        </row>
        <row r="21">
          <cell r="W21">
            <v>63000</v>
          </cell>
          <cell r="AB21">
            <v>47000</v>
          </cell>
          <cell r="AF21">
            <v>3507333.24</v>
          </cell>
          <cell r="AK21">
            <v>147480</v>
          </cell>
          <cell r="BA21">
            <v>242666.66</v>
          </cell>
        </row>
        <row r="22">
          <cell r="W22">
            <v>65250</v>
          </cell>
          <cell r="AB22">
            <v>47000</v>
          </cell>
          <cell r="AE22">
            <v>31560.69</v>
          </cell>
          <cell r="AF22">
            <v>3662477.26</v>
          </cell>
          <cell r="AK22">
            <v>147480</v>
          </cell>
          <cell r="BA22">
            <v>121333.33</v>
          </cell>
        </row>
        <row r="23">
          <cell r="W23">
            <v>65250</v>
          </cell>
          <cell r="AB23">
            <v>33000</v>
          </cell>
          <cell r="AF23">
            <v>3616916.5700000003</v>
          </cell>
          <cell r="AK23">
            <v>146920</v>
          </cell>
          <cell r="BA23">
            <v>121333.33</v>
          </cell>
        </row>
        <row r="24">
          <cell r="W24">
            <v>121500</v>
          </cell>
          <cell r="AB24">
            <v>30000</v>
          </cell>
          <cell r="AD24">
            <v>5250</v>
          </cell>
          <cell r="AE24">
            <v>336647.36</v>
          </cell>
          <cell r="AF24">
            <v>4133397.26</v>
          </cell>
          <cell r="AK24">
            <v>146800</v>
          </cell>
          <cell r="BA24">
            <v>0</v>
          </cell>
        </row>
        <row r="25">
          <cell r="W25">
            <v>67500</v>
          </cell>
          <cell r="AB25">
            <v>47000</v>
          </cell>
          <cell r="AE25">
            <v>105202.29999999999</v>
          </cell>
          <cell r="AF25">
            <v>3859702.1999999997</v>
          </cell>
          <cell r="AK25">
            <v>147480</v>
          </cell>
          <cell r="BA25">
            <v>0</v>
          </cell>
        </row>
        <row r="26">
          <cell r="W26">
            <v>63000</v>
          </cell>
          <cell r="AB26">
            <v>47000</v>
          </cell>
          <cell r="AF26">
            <v>3507333.24</v>
          </cell>
          <cell r="AK26">
            <v>147480</v>
          </cell>
          <cell r="BA26">
            <v>242666.66</v>
          </cell>
        </row>
        <row r="27">
          <cell r="W27">
            <v>67500</v>
          </cell>
          <cell r="Z27">
            <v>42000</v>
          </cell>
          <cell r="AB27">
            <v>33000</v>
          </cell>
          <cell r="AE27">
            <v>1662196.3399999999</v>
          </cell>
          <cell r="AF27">
            <v>5444696.2400000002</v>
          </cell>
          <cell r="AK27">
            <v>146920</v>
          </cell>
          <cell r="BA27">
            <v>0</v>
          </cell>
        </row>
        <row r="28">
          <cell r="W28">
            <v>156600</v>
          </cell>
          <cell r="AB28">
            <v>47000</v>
          </cell>
          <cell r="AE28">
            <v>1030982.54</v>
          </cell>
          <cell r="AF28">
            <v>4753249.1099999994</v>
          </cell>
          <cell r="AK28">
            <v>147480</v>
          </cell>
          <cell r="BA28">
            <v>121333.33</v>
          </cell>
        </row>
        <row r="29">
          <cell r="W29">
            <v>67500</v>
          </cell>
          <cell r="AB29">
            <v>61000</v>
          </cell>
          <cell r="AF29">
            <v>3768499.9</v>
          </cell>
          <cell r="AK29">
            <v>148040</v>
          </cell>
          <cell r="BA29">
            <v>0</v>
          </cell>
        </row>
        <row r="30">
          <cell r="W30">
            <v>67500</v>
          </cell>
          <cell r="AB30">
            <v>50500</v>
          </cell>
          <cell r="AF30">
            <v>3757999.9000000004</v>
          </cell>
          <cell r="AK30">
            <v>147620</v>
          </cell>
          <cell r="BA30">
            <v>0</v>
          </cell>
        </row>
        <row r="31">
          <cell r="W31">
            <v>67500</v>
          </cell>
          <cell r="AB31">
            <v>27000</v>
          </cell>
          <cell r="AE31">
            <v>305086.67</v>
          </cell>
          <cell r="AF31">
            <v>4039586.57</v>
          </cell>
          <cell r="AK31">
            <v>146680</v>
          </cell>
          <cell r="BA31">
            <v>0</v>
          </cell>
        </row>
        <row r="32">
          <cell r="W32">
            <v>156600</v>
          </cell>
          <cell r="AB32">
            <v>61000</v>
          </cell>
          <cell r="AF32">
            <v>3736266.5700000003</v>
          </cell>
          <cell r="AK32">
            <v>148040</v>
          </cell>
          <cell r="BA32">
            <v>121333.33</v>
          </cell>
        </row>
        <row r="33">
          <cell r="W33">
            <v>67500</v>
          </cell>
          <cell r="AB33">
            <v>30000</v>
          </cell>
          <cell r="AF33">
            <v>3737499.9</v>
          </cell>
          <cell r="AK33">
            <v>146800</v>
          </cell>
          <cell r="BA33">
            <v>0</v>
          </cell>
        </row>
        <row r="34">
          <cell r="W34">
            <v>67500</v>
          </cell>
          <cell r="AB34">
            <v>47000</v>
          </cell>
          <cell r="AF34">
            <v>3754499.9</v>
          </cell>
          <cell r="AK34">
            <v>147480</v>
          </cell>
          <cell r="BA34">
            <v>0</v>
          </cell>
        </row>
        <row r="35">
          <cell r="W35">
            <v>135000</v>
          </cell>
          <cell r="AB35">
            <v>18000</v>
          </cell>
          <cell r="AE35">
            <v>63121.38</v>
          </cell>
          <cell r="AF35">
            <v>3856121.28</v>
          </cell>
          <cell r="AK35">
            <v>146320</v>
          </cell>
          <cell r="BA3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DIST OPERATOR"/>
      <sheetName val="HARVESTING KHT"/>
      <sheetName val="DIST HARVESTING"/>
      <sheetName val="MAINTENANCE"/>
      <sheetName val="DIST PERAWATAN"/>
      <sheetName val="PANEN KHL"/>
      <sheetName val="DIST PANEN KHL"/>
      <sheetName val="REK AIR KUNDO"/>
      <sheetName val="REK AIR KUNDO (2)"/>
      <sheetName val="PAJAK"/>
      <sheetName val="Sheet4"/>
      <sheetName val="Sheet2"/>
    </sheetNames>
    <sheetDataSet>
      <sheetData sheetId="0">
        <row r="11">
          <cell r="S11">
            <v>139500</v>
          </cell>
          <cell r="V11">
            <v>60000</v>
          </cell>
          <cell r="X11">
            <v>33000</v>
          </cell>
          <cell r="Y11">
            <v>399768.74</v>
          </cell>
          <cell r="Z11">
            <v>718655</v>
          </cell>
          <cell r="AC11">
            <v>5112256.97</v>
          </cell>
          <cell r="AH11">
            <v>146920</v>
          </cell>
          <cell r="AX11">
            <v>0</v>
          </cell>
        </row>
        <row r="12">
          <cell r="S12">
            <v>167400</v>
          </cell>
          <cell r="V12">
            <v>46000</v>
          </cell>
          <cell r="X12">
            <v>47000</v>
          </cell>
          <cell r="Y12">
            <v>441849.66</v>
          </cell>
          <cell r="Z12">
            <v>1064995</v>
          </cell>
          <cell r="AC12">
            <v>5528577.8899999997</v>
          </cell>
          <cell r="AH12">
            <v>147480</v>
          </cell>
          <cell r="AX12">
            <v>0</v>
          </cell>
        </row>
        <row r="13">
          <cell r="S13">
            <v>130500</v>
          </cell>
          <cell r="V13">
            <v>60000</v>
          </cell>
          <cell r="X13">
            <v>61000</v>
          </cell>
          <cell r="Y13">
            <v>862658.85999999987</v>
          </cell>
          <cell r="Z13">
            <v>1043570</v>
          </cell>
          <cell r="AC13">
            <v>5676395.4299999997</v>
          </cell>
          <cell r="AH13">
            <v>148040</v>
          </cell>
          <cell r="AX13">
            <v>242666.66</v>
          </cell>
        </row>
        <row r="14">
          <cell r="S14">
            <v>167400</v>
          </cell>
          <cell r="V14">
            <v>44000</v>
          </cell>
          <cell r="X14">
            <v>30000</v>
          </cell>
          <cell r="Y14">
            <v>999421.85</v>
          </cell>
          <cell r="Z14">
            <v>1309255</v>
          </cell>
          <cell r="AC14">
            <v>6311410.0800000001</v>
          </cell>
          <cell r="AH14">
            <v>146800</v>
          </cell>
          <cell r="AX14">
            <v>0</v>
          </cell>
        </row>
      </sheetData>
      <sheetData sheetId="1"/>
      <sheetData sheetId="2">
        <row r="10">
          <cell r="U10">
            <v>69750</v>
          </cell>
          <cell r="X10">
            <v>38000</v>
          </cell>
          <cell r="Z10">
            <v>50500</v>
          </cell>
          <cell r="AD10">
            <v>1146705.0699999998</v>
          </cell>
          <cell r="AL10">
            <v>5066288.3</v>
          </cell>
          <cell r="AQ10">
            <v>147620</v>
          </cell>
          <cell r="BI10">
            <v>0</v>
          </cell>
        </row>
        <row r="11">
          <cell r="U11">
            <v>139500</v>
          </cell>
          <cell r="Z11">
            <v>24000</v>
          </cell>
          <cell r="AA11">
            <v>332609</v>
          </cell>
          <cell r="AB11">
            <v>204750</v>
          </cell>
          <cell r="AL11">
            <v>4462192.2300000004</v>
          </cell>
          <cell r="AQ11">
            <v>146560</v>
          </cell>
          <cell r="BI11">
            <v>0</v>
          </cell>
        </row>
        <row r="12">
          <cell r="U12">
            <v>139500</v>
          </cell>
          <cell r="Z12">
            <v>5000</v>
          </cell>
          <cell r="AA12">
            <v>258038</v>
          </cell>
          <cell r="AB12">
            <v>96600</v>
          </cell>
          <cell r="AL12">
            <v>4260471.2300000004</v>
          </cell>
          <cell r="AQ12">
            <v>145800</v>
          </cell>
          <cell r="BI12">
            <v>0</v>
          </cell>
        </row>
        <row r="13">
          <cell r="U13">
            <v>162000</v>
          </cell>
          <cell r="Z13">
            <v>18000</v>
          </cell>
          <cell r="AA13">
            <v>211923</v>
          </cell>
          <cell r="AB13">
            <v>85050</v>
          </cell>
          <cell r="AL13">
            <v>4116972.9000000004</v>
          </cell>
          <cell r="AQ13">
            <v>146320</v>
          </cell>
          <cell r="BI13">
            <v>121333.33</v>
          </cell>
        </row>
        <row r="14">
          <cell r="U14">
            <v>139500</v>
          </cell>
          <cell r="Z14">
            <v>24000</v>
          </cell>
          <cell r="AA14">
            <v>209349</v>
          </cell>
          <cell r="AB14">
            <v>114450</v>
          </cell>
          <cell r="AL14">
            <v>4248632.2300000004</v>
          </cell>
          <cell r="AQ14">
            <v>146560</v>
          </cell>
          <cell r="BI14">
            <v>0</v>
          </cell>
        </row>
        <row r="15">
          <cell r="U15">
            <v>167400</v>
          </cell>
          <cell r="Z15">
            <v>5000</v>
          </cell>
          <cell r="AA15">
            <v>357971</v>
          </cell>
          <cell r="AB15">
            <v>228900</v>
          </cell>
          <cell r="AL15">
            <v>4520604.2300000004</v>
          </cell>
          <cell r="AQ15">
            <v>145800</v>
          </cell>
          <cell r="BI15">
            <v>0</v>
          </cell>
        </row>
        <row r="16">
          <cell r="U16">
            <v>69750</v>
          </cell>
          <cell r="Z16">
            <v>10000</v>
          </cell>
          <cell r="AA16">
            <v>720600</v>
          </cell>
          <cell r="AB16">
            <v>148050</v>
          </cell>
          <cell r="AD16">
            <v>147283.22</v>
          </cell>
          <cell r="AL16">
            <v>5007016.45</v>
          </cell>
          <cell r="AQ16">
            <v>146000</v>
          </cell>
          <cell r="BI16">
            <v>0</v>
          </cell>
        </row>
        <row r="17">
          <cell r="U17">
            <v>145800</v>
          </cell>
          <cell r="Z17">
            <v>5000</v>
          </cell>
          <cell r="AA17">
            <v>123782</v>
          </cell>
          <cell r="AB17">
            <v>75600</v>
          </cell>
          <cell r="AL17">
            <v>3626181.91</v>
          </cell>
          <cell r="AQ17">
            <v>145800</v>
          </cell>
          <cell r="BI17">
            <v>485333.32</v>
          </cell>
        </row>
        <row r="18">
          <cell r="U18">
            <v>167400</v>
          </cell>
          <cell r="Z18">
            <v>12500</v>
          </cell>
          <cell r="AA18">
            <v>251931</v>
          </cell>
          <cell r="AB18">
            <v>171150</v>
          </cell>
          <cell r="AL18">
            <v>4364314.2300000004</v>
          </cell>
          <cell r="AQ18">
            <v>146100</v>
          </cell>
          <cell r="BI18">
            <v>0</v>
          </cell>
        </row>
        <row r="19">
          <cell r="U19">
            <v>111600</v>
          </cell>
          <cell r="Z19">
            <v>2500</v>
          </cell>
          <cell r="AA19">
            <v>253427</v>
          </cell>
          <cell r="AB19">
            <v>165900</v>
          </cell>
          <cell r="AL19">
            <v>4294760.2300000004</v>
          </cell>
          <cell r="AQ19">
            <v>145700</v>
          </cell>
          <cell r="BI19">
            <v>0</v>
          </cell>
        </row>
        <row r="20">
          <cell r="U20">
            <v>167400</v>
          </cell>
          <cell r="Z20">
            <v>2500</v>
          </cell>
          <cell r="AA20">
            <v>343985</v>
          </cell>
          <cell r="AB20">
            <v>123900</v>
          </cell>
          <cell r="AD20">
            <v>73641.61</v>
          </cell>
          <cell r="AL20">
            <v>4472759.8400000008</v>
          </cell>
          <cell r="AQ20">
            <v>145700</v>
          </cell>
          <cell r="BI20">
            <v>0</v>
          </cell>
        </row>
        <row r="21">
          <cell r="U21">
            <v>167400</v>
          </cell>
          <cell r="Z21">
            <v>10000</v>
          </cell>
          <cell r="AA21">
            <v>312395</v>
          </cell>
          <cell r="AB21">
            <v>111300</v>
          </cell>
          <cell r="AL21">
            <v>4362428.2300000004</v>
          </cell>
          <cell r="AQ21">
            <v>146000</v>
          </cell>
          <cell r="BI21">
            <v>0</v>
          </cell>
        </row>
        <row r="22">
          <cell r="U22">
            <v>139500</v>
          </cell>
          <cell r="Z22">
            <v>15000</v>
          </cell>
          <cell r="AA22">
            <v>182735</v>
          </cell>
          <cell r="AB22">
            <v>131250</v>
          </cell>
          <cell r="AL22">
            <v>4229818.2300000004</v>
          </cell>
          <cell r="AQ22">
            <v>146200</v>
          </cell>
          <cell r="BI22">
            <v>0</v>
          </cell>
        </row>
        <row r="23">
          <cell r="U23">
            <v>139500</v>
          </cell>
          <cell r="Z23">
            <v>15000</v>
          </cell>
          <cell r="AA23">
            <v>235546</v>
          </cell>
          <cell r="AB23">
            <v>135450</v>
          </cell>
          <cell r="AL23">
            <v>4286829.2300000004</v>
          </cell>
          <cell r="AQ23">
            <v>146200</v>
          </cell>
          <cell r="BI23">
            <v>0</v>
          </cell>
        </row>
        <row r="24">
          <cell r="U24">
            <v>162000</v>
          </cell>
          <cell r="Z24">
            <v>24000</v>
          </cell>
          <cell r="AA24">
            <v>189729</v>
          </cell>
          <cell r="AB24">
            <v>101850</v>
          </cell>
          <cell r="AL24">
            <v>4117578.9000000004</v>
          </cell>
          <cell r="AQ24">
            <v>146560</v>
          </cell>
          <cell r="BI24">
            <v>121333.33</v>
          </cell>
        </row>
        <row r="25">
          <cell r="U25">
            <v>139500</v>
          </cell>
          <cell r="Z25">
            <v>10000</v>
          </cell>
          <cell r="AA25">
            <v>170732</v>
          </cell>
          <cell r="AB25">
            <v>101850</v>
          </cell>
          <cell r="AL25">
            <v>4183415.23</v>
          </cell>
          <cell r="AQ25">
            <v>146000</v>
          </cell>
          <cell r="BI25">
            <v>0</v>
          </cell>
        </row>
        <row r="26">
          <cell r="U26">
            <v>126000</v>
          </cell>
          <cell r="Z26">
            <v>47000</v>
          </cell>
          <cell r="AA26">
            <v>116958</v>
          </cell>
          <cell r="AB26">
            <v>72450</v>
          </cell>
          <cell r="AL26">
            <v>3759741.24</v>
          </cell>
          <cell r="AQ26">
            <v>147480</v>
          </cell>
          <cell r="BI26">
            <v>363999.99</v>
          </cell>
        </row>
        <row r="27">
          <cell r="U27">
            <v>167400</v>
          </cell>
          <cell r="Z27">
            <v>61000</v>
          </cell>
          <cell r="AA27">
            <v>152711</v>
          </cell>
          <cell r="AB27">
            <v>98700</v>
          </cell>
          <cell r="AL27">
            <v>4241144.2300000004</v>
          </cell>
          <cell r="AQ27">
            <v>148040</v>
          </cell>
          <cell r="BI27">
            <v>0</v>
          </cell>
        </row>
        <row r="28">
          <cell r="U28">
            <v>135000</v>
          </cell>
          <cell r="Z28">
            <v>36500</v>
          </cell>
          <cell r="AA28">
            <v>140024</v>
          </cell>
          <cell r="AB28">
            <v>86100</v>
          </cell>
          <cell r="AL28">
            <v>4037623.9</v>
          </cell>
          <cell r="AQ28">
            <v>147060</v>
          </cell>
          <cell r="BI28">
            <v>121333.33</v>
          </cell>
        </row>
        <row r="29">
          <cell r="U29">
            <v>97650</v>
          </cell>
          <cell r="Z29">
            <v>24000</v>
          </cell>
          <cell r="AA29">
            <v>186282</v>
          </cell>
          <cell r="AB29">
            <v>102900</v>
          </cell>
          <cell r="AL29">
            <v>4172165.23</v>
          </cell>
          <cell r="AQ29">
            <v>146560</v>
          </cell>
          <cell r="BI29">
            <v>0</v>
          </cell>
        </row>
        <row r="30">
          <cell r="U30">
            <v>121500</v>
          </cell>
          <cell r="Z30">
            <v>24000</v>
          </cell>
          <cell r="AA30">
            <v>156167</v>
          </cell>
          <cell r="AB30">
            <v>74550</v>
          </cell>
          <cell r="AL30">
            <v>4016216.9000000004</v>
          </cell>
          <cell r="AQ30">
            <v>146560</v>
          </cell>
          <cell r="BI30">
            <v>121333.33</v>
          </cell>
        </row>
        <row r="31">
          <cell r="U31">
            <v>130500</v>
          </cell>
          <cell r="Z31">
            <v>27000</v>
          </cell>
          <cell r="AA31">
            <v>128995</v>
          </cell>
          <cell r="AB31">
            <v>72450</v>
          </cell>
          <cell r="AL31">
            <v>3877611.57</v>
          </cell>
          <cell r="AQ31">
            <v>146680</v>
          </cell>
          <cell r="BI31">
            <v>242666.66</v>
          </cell>
        </row>
        <row r="32">
          <cell r="U32">
            <v>139500</v>
          </cell>
          <cell r="Z32">
            <v>12500</v>
          </cell>
          <cell r="AA32">
            <v>211923</v>
          </cell>
          <cell r="AB32">
            <v>105000</v>
          </cell>
          <cell r="AL32">
            <v>4230256.2300000004</v>
          </cell>
          <cell r="AQ32">
            <v>146100</v>
          </cell>
          <cell r="BI32">
            <v>0</v>
          </cell>
        </row>
      </sheetData>
      <sheetData sheetId="3"/>
      <sheetData sheetId="4">
        <row r="10">
          <cell r="W10">
            <v>167400</v>
          </cell>
          <cell r="Z10">
            <v>60000</v>
          </cell>
          <cell r="AB10">
            <v>50500</v>
          </cell>
          <cell r="AE10">
            <v>848554.95000000007</v>
          </cell>
          <cell r="AF10">
            <v>4918788.18</v>
          </cell>
          <cell r="AK10">
            <v>148820</v>
          </cell>
          <cell r="BA10">
            <v>0</v>
          </cell>
        </row>
        <row r="11">
          <cell r="W11">
            <v>69750</v>
          </cell>
          <cell r="AB11">
            <v>30000</v>
          </cell>
          <cell r="AF11">
            <v>3861083.23</v>
          </cell>
          <cell r="AK11">
            <v>146800</v>
          </cell>
          <cell r="BA11">
            <v>0</v>
          </cell>
        </row>
        <row r="12">
          <cell r="W12">
            <v>69750</v>
          </cell>
          <cell r="AB12">
            <v>33000</v>
          </cell>
          <cell r="AF12">
            <v>3864083.23</v>
          </cell>
          <cell r="AK12">
            <v>146920</v>
          </cell>
          <cell r="BA12">
            <v>0</v>
          </cell>
        </row>
        <row r="13">
          <cell r="W13">
            <v>65250</v>
          </cell>
          <cell r="AB13">
            <v>50500</v>
          </cell>
          <cell r="AF13">
            <v>3634416.5700000003</v>
          </cell>
          <cell r="AK13">
            <v>147620</v>
          </cell>
          <cell r="BA13">
            <v>242666.66</v>
          </cell>
        </row>
        <row r="14">
          <cell r="W14">
            <v>67500</v>
          </cell>
          <cell r="AB14">
            <v>33000</v>
          </cell>
          <cell r="AF14">
            <v>3740499.9000000004</v>
          </cell>
          <cell r="AK14">
            <v>146920</v>
          </cell>
          <cell r="BA14">
            <v>121333.33</v>
          </cell>
        </row>
        <row r="15">
          <cell r="W15">
            <v>69750</v>
          </cell>
          <cell r="AB15">
            <v>47000</v>
          </cell>
          <cell r="AF15">
            <v>3878083.23</v>
          </cell>
          <cell r="AK15">
            <v>147480</v>
          </cell>
          <cell r="BA15">
            <v>0</v>
          </cell>
        </row>
        <row r="16">
          <cell r="W16">
            <v>69750</v>
          </cell>
          <cell r="AB16">
            <v>50500</v>
          </cell>
          <cell r="AF16">
            <v>3881583.23</v>
          </cell>
          <cell r="AK16">
            <v>147620</v>
          </cell>
          <cell r="BA16">
            <v>0</v>
          </cell>
        </row>
        <row r="17">
          <cell r="W17">
            <v>69750</v>
          </cell>
          <cell r="AB17">
            <v>47000</v>
          </cell>
          <cell r="AF17">
            <v>3878083.23</v>
          </cell>
          <cell r="AK17">
            <v>147480</v>
          </cell>
          <cell r="BA17">
            <v>0</v>
          </cell>
        </row>
        <row r="18">
          <cell r="W18">
            <v>67500</v>
          </cell>
          <cell r="AB18">
            <v>50500</v>
          </cell>
          <cell r="AF18">
            <v>3757999.9000000004</v>
          </cell>
          <cell r="AK18">
            <v>147620</v>
          </cell>
          <cell r="BA18">
            <v>121333.33</v>
          </cell>
        </row>
        <row r="19">
          <cell r="W19">
            <v>65250</v>
          </cell>
          <cell r="AB19">
            <v>54000</v>
          </cell>
          <cell r="AF19">
            <v>3637916.5700000003</v>
          </cell>
          <cell r="AK19">
            <v>147760</v>
          </cell>
          <cell r="BA19">
            <v>242666.66</v>
          </cell>
        </row>
        <row r="20">
          <cell r="W20">
            <v>69750</v>
          </cell>
          <cell r="AB20">
            <v>47000</v>
          </cell>
          <cell r="AF20">
            <v>3878083.23</v>
          </cell>
          <cell r="AK20">
            <v>147480</v>
          </cell>
          <cell r="BA20">
            <v>0</v>
          </cell>
        </row>
        <row r="21">
          <cell r="W21">
            <v>65250</v>
          </cell>
          <cell r="AB21">
            <v>47000</v>
          </cell>
          <cell r="AF21">
            <v>3630916.57</v>
          </cell>
          <cell r="AK21">
            <v>147480</v>
          </cell>
          <cell r="BA21">
            <v>242666.66</v>
          </cell>
        </row>
        <row r="22">
          <cell r="W22">
            <v>67500</v>
          </cell>
          <cell r="AB22">
            <v>47000</v>
          </cell>
          <cell r="AF22">
            <v>3754499.9</v>
          </cell>
          <cell r="AK22">
            <v>147480</v>
          </cell>
          <cell r="BA22">
            <v>121333.33</v>
          </cell>
        </row>
        <row r="23">
          <cell r="W23">
            <v>69750</v>
          </cell>
          <cell r="AB23">
            <v>33000</v>
          </cell>
          <cell r="AF23">
            <v>3864083.2300000004</v>
          </cell>
          <cell r="AK23">
            <v>146920</v>
          </cell>
          <cell r="BA23">
            <v>0</v>
          </cell>
        </row>
        <row r="24">
          <cell r="W24">
            <v>125550</v>
          </cell>
          <cell r="AB24">
            <v>30000</v>
          </cell>
          <cell r="AE24">
            <v>336647.36</v>
          </cell>
          <cell r="AF24">
            <v>4253530.59</v>
          </cell>
          <cell r="AK24">
            <v>146800</v>
          </cell>
          <cell r="BA24">
            <v>0</v>
          </cell>
        </row>
        <row r="25">
          <cell r="W25">
            <v>69750</v>
          </cell>
          <cell r="AB25">
            <v>47000</v>
          </cell>
          <cell r="AF25">
            <v>3878083.23</v>
          </cell>
          <cell r="AK25">
            <v>147480</v>
          </cell>
          <cell r="BA25">
            <v>0</v>
          </cell>
        </row>
        <row r="26">
          <cell r="W26">
            <v>65250</v>
          </cell>
          <cell r="AB26">
            <v>47000</v>
          </cell>
          <cell r="AF26">
            <v>3630916.5700000003</v>
          </cell>
          <cell r="AK26">
            <v>147480</v>
          </cell>
          <cell r="BA26">
            <v>242666.66</v>
          </cell>
        </row>
        <row r="27">
          <cell r="W27">
            <v>69750</v>
          </cell>
          <cell r="Z27">
            <v>40000</v>
          </cell>
          <cell r="AB27">
            <v>33000</v>
          </cell>
          <cell r="AE27">
            <v>1746358.18</v>
          </cell>
          <cell r="AF27">
            <v>5650441.4100000001</v>
          </cell>
          <cell r="AK27">
            <v>146920</v>
          </cell>
          <cell r="BA27">
            <v>0</v>
          </cell>
        </row>
        <row r="28">
          <cell r="W28">
            <v>167400</v>
          </cell>
          <cell r="AB28">
            <v>47000</v>
          </cell>
          <cell r="AE28">
            <v>589132.88</v>
          </cell>
          <cell r="AF28">
            <v>4564866.1100000003</v>
          </cell>
          <cell r="AK28">
            <v>147480</v>
          </cell>
          <cell r="BA28">
            <v>0</v>
          </cell>
        </row>
        <row r="29">
          <cell r="W29">
            <v>69750</v>
          </cell>
          <cell r="AB29">
            <v>61000</v>
          </cell>
          <cell r="AF29">
            <v>3892083.23</v>
          </cell>
          <cell r="AK29">
            <v>148040</v>
          </cell>
          <cell r="BA29">
            <v>0</v>
          </cell>
        </row>
        <row r="30">
          <cell r="W30">
            <v>69750</v>
          </cell>
          <cell r="AB30">
            <v>50500</v>
          </cell>
          <cell r="AF30">
            <v>3881583.23</v>
          </cell>
          <cell r="AK30">
            <v>147620</v>
          </cell>
          <cell r="BA30">
            <v>0</v>
          </cell>
        </row>
        <row r="31">
          <cell r="W31">
            <v>69750</v>
          </cell>
          <cell r="AB31">
            <v>27000</v>
          </cell>
          <cell r="AF31">
            <v>3858083.23</v>
          </cell>
          <cell r="AK31">
            <v>146680</v>
          </cell>
          <cell r="BA31">
            <v>0</v>
          </cell>
        </row>
        <row r="32">
          <cell r="W32">
            <v>162000</v>
          </cell>
          <cell r="AB32">
            <v>61000</v>
          </cell>
          <cell r="AF32">
            <v>3862999.9000000004</v>
          </cell>
          <cell r="AK32">
            <v>148040</v>
          </cell>
          <cell r="BA32">
            <v>121333.33</v>
          </cell>
        </row>
        <row r="33">
          <cell r="W33">
            <v>69750</v>
          </cell>
          <cell r="AB33">
            <v>30000</v>
          </cell>
          <cell r="AF33">
            <v>3861083.23</v>
          </cell>
          <cell r="AK33">
            <v>146800</v>
          </cell>
          <cell r="BA33">
            <v>0</v>
          </cell>
        </row>
        <row r="34">
          <cell r="W34">
            <v>69750</v>
          </cell>
          <cell r="AB34">
            <v>47000</v>
          </cell>
          <cell r="AF34">
            <v>3878083.23</v>
          </cell>
          <cell r="AK34">
            <v>147480</v>
          </cell>
          <cell r="BA34">
            <v>0</v>
          </cell>
        </row>
        <row r="35">
          <cell r="W35">
            <v>139500</v>
          </cell>
          <cell r="AB35">
            <v>18000</v>
          </cell>
          <cell r="AF35">
            <v>3918833.2300000004</v>
          </cell>
          <cell r="AK35">
            <v>146320</v>
          </cell>
          <cell r="BA35">
            <v>0</v>
          </cell>
        </row>
        <row r="36">
          <cell r="W36">
            <v>58500</v>
          </cell>
          <cell r="AB36">
            <v>50500</v>
          </cell>
          <cell r="AF36">
            <v>3263666.58</v>
          </cell>
          <cell r="AK36">
            <v>147620</v>
          </cell>
          <cell r="BA36">
            <v>606666.65</v>
          </cell>
        </row>
        <row r="37">
          <cell r="W37">
            <v>135000</v>
          </cell>
          <cell r="AB37">
            <v>36000</v>
          </cell>
          <cell r="AF37">
            <v>3810999.9000000004</v>
          </cell>
          <cell r="AK37">
            <v>147040</v>
          </cell>
          <cell r="BA37">
            <v>121333.33</v>
          </cell>
        </row>
        <row r="38">
          <cell r="W38">
            <v>135000</v>
          </cell>
          <cell r="AB38">
            <v>18000</v>
          </cell>
          <cell r="AE38">
            <v>168323.68</v>
          </cell>
          <cell r="AF38">
            <v>3961323.58</v>
          </cell>
          <cell r="AK38">
            <v>146320</v>
          </cell>
          <cell r="BA38">
            <v>121333.33</v>
          </cell>
        </row>
        <row r="39">
          <cell r="W39">
            <v>94500</v>
          </cell>
          <cell r="AB39">
            <v>47000</v>
          </cell>
          <cell r="AF39">
            <v>3781499.9</v>
          </cell>
          <cell r="AK39">
            <v>147480</v>
          </cell>
          <cell r="BA39">
            <v>121333.33</v>
          </cell>
        </row>
        <row r="40">
          <cell r="W40">
            <v>67500</v>
          </cell>
          <cell r="AB40">
            <v>21000</v>
          </cell>
          <cell r="AF40">
            <v>3728499.9000000004</v>
          </cell>
          <cell r="AK40">
            <v>146440</v>
          </cell>
          <cell r="BA40">
            <v>121333.33</v>
          </cell>
        </row>
        <row r="41">
          <cell r="W41">
            <v>69750</v>
          </cell>
          <cell r="AB41">
            <v>18000</v>
          </cell>
          <cell r="AF41">
            <v>3849083.23</v>
          </cell>
          <cell r="AK41">
            <v>146320</v>
          </cell>
          <cell r="BA41">
            <v>0</v>
          </cell>
        </row>
        <row r="42">
          <cell r="W42">
            <v>69750</v>
          </cell>
          <cell r="AB42">
            <v>18000</v>
          </cell>
          <cell r="AF42">
            <v>3849083.23</v>
          </cell>
          <cell r="AK42">
            <v>146320</v>
          </cell>
          <cell r="BA42">
            <v>0</v>
          </cell>
        </row>
        <row r="43">
          <cell r="W43">
            <v>135000</v>
          </cell>
          <cell r="AB43">
            <v>24000</v>
          </cell>
          <cell r="AF43">
            <v>3798999.9</v>
          </cell>
          <cell r="AK43">
            <v>146560</v>
          </cell>
          <cell r="BA43">
            <v>121333.33</v>
          </cell>
        </row>
        <row r="44">
          <cell r="W44">
            <v>151200</v>
          </cell>
          <cell r="AB44">
            <v>43500</v>
          </cell>
          <cell r="AE44">
            <v>73641.61</v>
          </cell>
          <cell r="AF44">
            <v>3665674.85</v>
          </cell>
          <cell r="AK44">
            <v>147340</v>
          </cell>
          <cell r="BA44">
            <v>363999.99</v>
          </cell>
        </row>
        <row r="45">
          <cell r="W45">
            <v>104400</v>
          </cell>
          <cell r="AB45">
            <v>24000</v>
          </cell>
          <cell r="AF45">
            <v>3647066.5700000003</v>
          </cell>
          <cell r="AK45">
            <v>146560</v>
          </cell>
          <cell r="BA45">
            <v>242666.66</v>
          </cell>
        </row>
        <row r="46">
          <cell r="W46">
            <v>58500</v>
          </cell>
          <cell r="AF46">
            <v>3213166.58</v>
          </cell>
          <cell r="AK46">
            <v>145600</v>
          </cell>
          <cell r="BA46">
            <v>606666.65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"/>
      <sheetName val="TRANSPORT"/>
      <sheetName val="DIST OPERATOR"/>
      <sheetName val="HARVESTING KHT"/>
      <sheetName val="DIST HARVESTING"/>
      <sheetName val="DIST PERAWATAN"/>
      <sheetName val="PANEN KHL"/>
      <sheetName val="DIST PANEN KHL"/>
      <sheetName val="MAINTENANCE BHL"/>
      <sheetName val="REK AIR KUNDO"/>
      <sheetName val="REK AIR KUNDO (2)"/>
      <sheetName val="PAJAK"/>
      <sheetName val="Sheet4"/>
      <sheetName val="Sheet2"/>
      <sheetName val="PLANTWARE"/>
      <sheetName val="Sheet1"/>
    </sheetNames>
    <sheetDataSet>
      <sheetData sheetId="0">
        <row r="10">
          <cell r="W10">
            <v>172050</v>
          </cell>
          <cell r="AB10">
            <v>54000</v>
          </cell>
          <cell r="AE10">
            <v>932948</v>
          </cell>
          <cell r="AG10">
            <v>5415998</v>
          </cell>
          <cell r="AL10">
            <v>163560</v>
          </cell>
          <cell r="BB10">
            <v>0</v>
          </cell>
        </row>
        <row r="11">
          <cell r="W11">
            <v>69750</v>
          </cell>
          <cell r="AB11">
            <v>33000</v>
          </cell>
          <cell r="AG11">
            <v>4272250</v>
          </cell>
          <cell r="AL11">
            <v>162720</v>
          </cell>
          <cell r="BB11">
            <v>0</v>
          </cell>
        </row>
        <row r="12">
          <cell r="W12">
            <v>67500</v>
          </cell>
          <cell r="AB12">
            <v>36500</v>
          </cell>
          <cell r="AG12">
            <v>4139000</v>
          </cell>
          <cell r="AL12">
            <v>162860</v>
          </cell>
          <cell r="BB12">
            <v>134500</v>
          </cell>
        </row>
        <row r="13">
          <cell r="W13">
            <v>65250</v>
          </cell>
          <cell r="AB13">
            <v>54000</v>
          </cell>
          <cell r="AG13">
            <v>4019750</v>
          </cell>
          <cell r="AL13">
            <v>163560</v>
          </cell>
          <cell r="BB13">
            <v>269000</v>
          </cell>
        </row>
        <row r="14">
          <cell r="W14">
            <v>65250</v>
          </cell>
          <cell r="AB14">
            <v>36500</v>
          </cell>
          <cell r="AG14">
            <v>4002250</v>
          </cell>
          <cell r="AL14">
            <v>162860</v>
          </cell>
          <cell r="BB14">
            <v>269000</v>
          </cell>
        </row>
        <row r="15">
          <cell r="W15">
            <v>69750</v>
          </cell>
          <cell r="AB15">
            <v>50500</v>
          </cell>
          <cell r="AG15">
            <v>4289750</v>
          </cell>
          <cell r="AL15">
            <v>163420</v>
          </cell>
          <cell r="BB15">
            <v>0</v>
          </cell>
        </row>
        <row r="16">
          <cell r="W16">
            <v>69750</v>
          </cell>
          <cell r="AB16">
            <v>50500</v>
          </cell>
          <cell r="AG16">
            <v>4289750</v>
          </cell>
          <cell r="AL16">
            <v>163420</v>
          </cell>
          <cell r="BB16">
            <v>0</v>
          </cell>
        </row>
        <row r="17">
          <cell r="W17">
            <v>69750</v>
          </cell>
          <cell r="AB17">
            <v>54000</v>
          </cell>
          <cell r="AG17">
            <v>4293250</v>
          </cell>
          <cell r="AL17">
            <v>163560</v>
          </cell>
          <cell r="BB17">
            <v>0</v>
          </cell>
        </row>
        <row r="18">
          <cell r="W18">
            <v>60750</v>
          </cell>
          <cell r="AB18">
            <v>57500</v>
          </cell>
          <cell r="AG18">
            <v>3749750</v>
          </cell>
          <cell r="AL18">
            <v>163700</v>
          </cell>
          <cell r="BB18">
            <v>538000</v>
          </cell>
        </row>
        <row r="19">
          <cell r="W19">
            <v>69750</v>
          </cell>
          <cell r="AB19">
            <v>50500</v>
          </cell>
          <cell r="AG19">
            <v>4289750</v>
          </cell>
          <cell r="AL19">
            <v>163420</v>
          </cell>
          <cell r="BB19">
            <v>0</v>
          </cell>
        </row>
        <row r="20">
          <cell r="W20">
            <v>67500</v>
          </cell>
          <cell r="AB20">
            <v>50500</v>
          </cell>
          <cell r="AG20">
            <v>4153000</v>
          </cell>
          <cell r="AL20">
            <v>163420</v>
          </cell>
          <cell r="BB20">
            <v>134500</v>
          </cell>
        </row>
        <row r="21">
          <cell r="W21">
            <v>69750</v>
          </cell>
          <cell r="AB21">
            <v>50500</v>
          </cell>
          <cell r="AE21">
            <v>116618.5</v>
          </cell>
          <cell r="AG21">
            <v>4406368.5</v>
          </cell>
          <cell r="AL21">
            <v>163420</v>
          </cell>
          <cell r="BB21">
            <v>0</v>
          </cell>
        </row>
        <row r="22">
          <cell r="W22">
            <v>69750</v>
          </cell>
          <cell r="AB22">
            <v>36500</v>
          </cell>
          <cell r="AG22">
            <v>4275750</v>
          </cell>
          <cell r="AL22">
            <v>162860</v>
          </cell>
          <cell r="BB22">
            <v>0</v>
          </cell>
        </row>
        <row r="23">
          <cell r="W23">
            <v>130200</v>
          </cell>
          <cell r="AB23">
            <v>33000</v>
          </cell>
          <cell r="AG23">
            <v>4332700</v>
          </cell>
          <cell r="AL23">
            <v>162720</v>
          </cell>
          <cell r="BB23">
            <v>0</v>
          </cell>
        </row>
        <row r="24">
          <cell r="W24">
            <v>172050</v>
          </cell>
          <cell r="AB24">
            <v>50500</v>
          </cell>
          <cell r="AG24">
            <v>4392050</v>
          </cell>
          <cell r="AL24">
            <v>163420</v>
          </cell>
          <cell r="BB24">
            <v>0</v>
          </cell>
        </row>
        <row r="25">
          <cell r="W25">
            <v>69750</v>
          </cell>
          <cell r="AB25">
            <v>57500</v>
          </cell>
          <cell r="AG25">
            <v>4296750</v>
          </cell>
          <cell r="AL25">
            <v>163700</v>
          </cell>
          <cell r="BB25">
            <v>0</v>
          </cell>
        </row>
        <row r="26">
          <cell r="W26">
            <v>67500</v>
          </cell>
          <cell r="AB26">
            <v>50500</v>
          </cell>
          <cell r="AG26">
            <v>4153000</v>
          </cell>
          <cell r="AL26">
            <v>163420</v>
          </cell>
          <cell r="BB26">
            <v>134500</v>
          </cell>
        </row>
        <row r="27">
          <cell r="W27">
            <v>67500</v>
          </cell>
          <cell r="AB27">
            <v>92500</v>
          </cell>
          <cell r="AG27">
            <v>4195000</v>
          </cell>
          <cell r="AL27">
            <v>165100</v>
          </cell>
          <cell r="BB27">
            <v>134500</v>
          </cell>
        </row>
        <row r="28">
          <cell r="W28">
            <v>166500</v>
          </cell>
          <cell r="AB28">
            <v>54000</v>
          </cell>
          <cell r="AG28">
            <v>4255500</v>
          </cell>
          <cell r="AL28">
            <v>163560</v>
          </cell>
          <cell r="BB28">
            <v>134500</v>
          </cell>
        </row>
        <row r="29">
          <cell r="W29">
            <v>67500</v>
          </cell>
          <cell r="AB29">
            <v>54000</v>
          </cell>
          <cell r="AG29">
            <v>4156500</v>
          </cell>
          <cell r="AL29">
            <v>163560</v>
          </cell>
          <cell r="BB29">
            <v>134500</v>
          </cell>
        </row>
        <row r="30">
          <cell r="W30">
            <v>69750</v>
          </cell>
          <cell r="AB30">
            <v>36500</v>
          </cell>
          <cell r="AE30">
            <v>186589.6</v>
          </cell>
          <cell r="AG30">
            <v>4462339.5999999996</v>
          </cell>
          <cell r="AL30">
            <v>162860</v>
          </cell>
          <cell r="BB30">
            <v>0</v>
          </cell>
        </row>
        <row r="31">
          <cell r="W31">
            <v>69750</v>
          </cell>
          <cell r="AB31">
            <v>33000</v>
          </cell>
          <cell r="AG31">
            <v>4272250</v>
          </cell>
          <cell r="AL31">
            <v>162720</v>
          </cell>
          <cell r="BB31">
            <v>0</v>
          </cell>
        </row>
        <row r="32">
          <cell r="W32">
            <v>166500</v>
          </cell>
          <cell r="AB32">
            <v>92500</v>
          </cell>
          <cell r="AG32">
            <v>4294000</v>
          </cell>
          <cell r="AL32">
            <v>165100</v>
          </cell>
          <cell r="BB32">
            <v>134500</v>
          </cell>
        </row>
        <row r="33">
          <cell r="W33">
            <v>69750</v>
          </cell>
          <cell r="AB33">
            <v>33000</v>
          </cell>
          <cell r="AG33">
            <v>4272250</v>
          </cell>
          <cell r="AL33">
            <v>162720</v>
          </cell>
          <cell r="BB33">
            <v>0</v>
          </cell>
        </row>
        <row r="34">
          <cell r="W34">
            <v>67500</v>
          </cell>
          <cell r="AB34">
            <v>50500</v>
          </cell>
          <cell r="AG34">
            <v>4153000</v>
          </cell>
          <cell r="AL34">
            <v>163420</v>
          </cell>
          <cell r="BB34">
            <v>134500</v>
          </cell>
        </row>
        <row r="35">
          <cell r="W35">
            <v>144150</v>
          </cell>
          <cell r="AB35">
            <v>21000</v>
          </cell>
          <cell r="AG35">
            <v>4334650</v>
          </cell>
          <cell r="AL35">
            <v>162240</v>
          </cell>
          <cell r="BB35">
            <v>0</v>
          </cell>
        </row>
        <row r="36">
          <cell r="W36">
            <v>63000</v>
          </cell>
          <cell r="AB36">
            <v>54000</v>
          </cell>
          <cell r="AG36">
            <v>3883000</v>
          </cell>
          <cell r="AL36">
            <v>163560</v>
          </cell>
          <cell r="BB36">
            <v>403500</v>
          </cell>
        </row>
        <row r="37">
          <cell r="W37">
            <v>139500</v>
          </cell>
          <cell r="AB37">
            <v>43500</v>
          </cell>
          <cell r="AG37">
            <v>4218000</v>
          </cell>
          <cell r="AL37">
            <v>163140</v>
          </cell>
          <cell r="BB37">
            <v>134500</v>
          </cell>
        </row>
        <row r="38">
          <cell r="W38">
            <v>144150</v>
          </cell>
          <cell r="AB38">
            <v>21000</v>
          </cell>
          <cell r="AE38">
            <v>338193.65</v>
          </cell>
          <cell r="AG38">
            <v>4672843.6500000004</v>
          </cell>
          <cell r="AL38">
            <v>162240</v>
          </cell>
          <cell r="BB38">
            <v>0</v>
          </cell>
        </row>
        <row r="39">
          <cell r="W39">
            <v>69750</v>
          </cell>
          <cell r="AB39">
            <v>24000</v>
          </cell>
          <cell r="AE39">
            <v>513121.4</v>
          </cell>
          <cell r="AG39">
            <v>4776371.4000000004</v>
          </cell>
          <cell r="AL39">
            <v>162360</v>
          </cell>
          <cell r="BB39">
            <v>0</v>
          </cell>
        </row>
        <row r="40">
          <cell r="W40">
            <v>69750</v>
          </cell>
          <cell r="AB40">
            <v>21000</v>
          </cell>
          <cell r="AG40">
            <v>4260250</v>
          </cell>
          <cell r="AL40">
            <v>162240</v>
          </cell>
          <cell r="BB40">
            <v>0</v>
          </cell>
        </row>
        <row r="41">
          <cell r="W41">
            <v>160950</v>
          </cell>
          <cell r="AB41">
            <v>47000</v>
          </cell>
          <cell r="AG41">
            <v>4108450</v>
          </cell>
          <cell r="AL41">
            <v>163280</v>
          </cell>
          <cell r="BB41">
            <v>269000</v>
          </cell>
        </row>
        <row r="42">
          <cell r="W42">
            <v>111000</v>
          </cell>
          <cell r="AB42">
            <v>27000</v>
          </cell>
          <cell r="AG42">
            <v>4173000</v>
          </cell>
          <cell r="AL42">
            <v>162480</v>
          </cell>
          <cell r="BB42">
            <v>134500</v>
          </cell>
        </row>
        <row r="43">
          <cell r="W43">
            <v>60750</v>
          </cell>
          <cell r="AB43">
            <v>2500</v>
          </cell>
          <cell r="AE43">
            <v>221575.15</v>
          </cell>
          <cell r="AG43">
            <v>3916325.15</v>
          </cell>
          <cell r="AL43">
            <v>161500</v>
          </cell>
          <cell r="BB43">
            <v>538000</v>
          </cell>
        </row>
        <row r="44">
          <cell r="W44">
            <v>126000</v>
          </cell>
          <cell r="AB44">
            <v>54000</v>
          </cell>
          <cell r="AG44">
            <v>4215000</v>
          </cell>
          <cell r="AL44">
            <v>163560</v>
          </cell>
          <cell r="BB44">
            <v>134500</v>
          </cell>
        </row>
        <row r="45">
          <cell r="W45">
            <v>139500</v>
          </cell>
          <cell r="AB45">
            <v>36500</v>
          </cell>
          <cell r="AG45">
            <v>4211000</v>
          </cell>
          <cell r="AL45">
            <v>162860</v>
          </cell>
          <cell r="BB45">
            <v>134500</v>
          </cell>
        </row>
        <row r="46">
          <cell r="W46">
            <v>166500</v>
          </cell>
          <cell r="AB46">
            <v>54000</v>
          </cell>
          <cell r="AG46">
            <v>4255500</v>
          </cell>
          <cell r="AL46">
            <v>163560</v>
          </cell>
          <cell r="BB46">
            <v>134500</v>
          </cell>
        </row>
        <row r="47">
          <cell r="W47">
            <v>172050</v>
          </cell>
          <cell r="AB47">
            <v>18000</v>
          </cell>
          <cell r="AG47">
            <v>4359550</v>
          </cell>
          <cell r="AL47">
            <v>162120</v>
          </cell>
          <cell r="BB47">
            <v>0</v>
          </cell>
        </row>
        <row r="48">
          <cell r="W48">
            <v>172050</v>
          </cell>
          <cell r="AB48">
            <v>33000</v>
          </cell>
          <cell r="AG48">
            <v>4374550</v>
          </cell>
          <cell r="AL48">
            <v>162720</v>
          </cell>
          <cell r="BB48">
            <v>0</v>
          </cell>
        </row>
        <row r="49">
          <cell r="W49">
            <v>65250</v>
          </cell>
          <cell r="AB49">
            <v>7500</v>
          </cell>
          <cell r="AG49">
            <v>3973250</v>
          </cell>
          <cell r="AL49">
            <v>161700</v>
          </cell>
          <cell r="BB49">
            <v>269000</v>
          </cell>
        </row>
        <row r="50">
          <cell r="W50">
            <v>69750</v>
          </cell>
          <cell r="AB50">
            <v>54000</v>
          </cell>
          <cell r="AG50">
            <v>4293250</v>
          </cell>
          <cell r="AL50">
            <v>163560</v>
          </cell>
          <cell r="BB50">
            <v>0</v>
          </cell>
        </row>
        <row r="51">
          <cell r="W51">
            <v>63000</v>
          </cell>
          <cell r="AB51">
            <v>50500</v>
          </cell>
          <cell r="AG51">
            <v>3879500</v>
          </cell>
          <cell r="AL51">
            <v>163420</v>
          </cell>
          <cell r="BB51">
            <v>403500</v>
          </cell>
        </row>
        <row r="52">
          <cell r="W52">
            <v>69750</v>
          </cell>
          <cell r="AB52">
            <v>50500</v>
          </cell>
          <cell r="AG52">
            <v>4289750</v>
          </cell>
          <cell r="AL52">
            <v>163420</v>
          </cell>
          <cell r="BB52">
            <v>0</v>
          </cell>
        </row>
        <row r="53">
          <cell r="W53">
            <v>69750</v>
          </cell>
          <cell r="AB53">
            <v>50500</v>
          </cell>
          <cell r="AG53">
            <v>4289750</v>
          </cell>
          <cell r="AL53">
            <v>163420</v>
          </cell>
          <cell r="BB53">
            <v>0</v>
          </cell>
        </row>
        <row r="54">
          <cell r="W54">
            <v>63000</v>
          </cell>
          <cell r="AB54">
            <v>50500</v>
          </cell>
          <cell r="AG54">
            <v>3879500</v>
          </cell>
          <cell r="AL54">
            <v>163420</v>
          </cell>
          <cell r="BB54">
            <v>403500</v>
          </cell>
        </row>
        <row r="55">
          <cell r="W55">
            <v>65250</v>
          </cell>
          <cell r="AB55">
            <v>50500</v>
          </cell>
          <cell r="AG55">
            <v>4016250</v>
          </cell>
          <cell r="AL55">
            <v>163420</v>
          </cell>
          <cell r="BB55">
            <v>269000</v>
          </cell>
        </row>
        <row r="56">
          <cell r="W56">
            <v>99900</v>
          </cell>
          <cell r="AB56">
            <v>24000</v>
          </cell>
          <cell r="AG56">
            <v>3755400</v>
          </cell>
          <cell r="AL56">
            <v>162360</v>
          </cell>
          <cell r="BB56">
            <v>538000</v>
          </cell>
        </row>
        <row r="57">
          <cell r="W57">
            <v>172050</v>
          </cell>
          <cell r="AB57">
            <v>50500</v>
          </cell>
          <cell r="AG57">
            <v>4392050</v>
          </cell>
          <cell r="AL57">
            <v>163420</v>
          </cell>
          <cell r="BB57">
            <v>0</v>
          </cell>
        </row>
        <row r="58">
          <cell r="W58">
            <v>100750</v>
          </cell>
          <cell r="AB58">
            <v>54000</v>
          </cell>
          <cell r="AE58">
            <v>1014580.95</v>
          </cell>
          <cell r="AG58">
            <v>5338830.95</v>
          </cell>
          <cell r="AL58">
            <v>163560</v>
          </cell>
          <cell r="BB58">
            <v>0</v>
          </cell>
        </row>
        <row r="59">
          <cell r="W59">
            <v>172050</v>
          </cell>
          <cell r="AB59">
            <v>92500</v>
          </cell>
          <cell r="AG59">
            <v>4434050</v>
          </cell>
          <cell r="AL59">
            <v>165100</v>
          </cell>
          <cell r="BB59">
            <v>0</v>
          </cell>
        </row>
        <row r="60">
          <cell r="W60">
            <v>144150</v>
          </cell>
          <cell r="AB60">
            <v>27000</v>
          </cell>
          <cell r="AG60">
            <v>4340650</v>
          </cell>
          <cell r="AL60">
            <v>162480</v>
          </cell>
          <cell r="BB60">
            <v>0</v>
          </cell>
        </row>
        <row r="61">
          <cell r="W61">
            <v>111000</v>
          </cell>
          <cell r="AB61">
            <v>27000</v>
          </cell>
          <cell r="AG61">
            <v>4173000</v>
          </cell>
          <cell r="AL61">
            <v>162480</v>
          </cell>
          <cell r="BB61">
            <v>134500</v>
          </cell>
        </row>
        <row r="62">
          <cell r="W62">
            <v>139500</v>
          </cell>
          <cell r="AB62">
            <v>21000</v>
          </cell>
          <cell r="AG62">
            <v>4195500</v>
          </cell>
          <cell r="AL62">
            <v>162240</v>
          </cell>
          <cell r="BB62">
            <v>134500</v>
          </cell>
        </row>
        <row r="63">
          <cell r="W63">
            <v>144150</v>
          </cell>
          <cell r="AB63">
            <v>50500</v>
          </cell>
          <cell r="AG63">
            <v>4364150</v>
          </cell>
          <cell r="AL63">
            <v>163420</v>
          </cell>
          <cell r="BB63">
            <v>0</v>
          </cell>
        </row>
        <row r="64">
          <cell r="W64">
            <v>166500</v>
          </cell>
          <cell r="AB64">
            <v>21000</v>
          </cell>
          <cell r="AG64">
            <v>4222500</v>
          </cell>
          <cell r="AL64">
            <v>162240</v>
          </cell>
          <cell r="BB64">
            <v>134500</v>
          </cell>
        </row>
        <row r="65">
          <cell r="W65">
            <v>155400</v>
          </cell>
          <cell r="AB65">
            <v>27000</v>
          </cell>
          <cell r="AG65">
            <v>3948400</v>
          </cell>
          <cell r="AL65">
            <v>162480</v>
          </cell>
          <cell r="BB65">
            <v>403500</v>
          </cell>
        </row>
        <row r="66">
          <cell r="W66">
            <v>160950</v>
          </cell>
          <cell r="AB66">
            <v>27000</v>
          </cell>
          <cell r="AG66">
            <v>4088450</v>
          </cell>
          <cell r="AL66">
            <v>162480</v>
          </cell>
          <cell r="BB66">
            <v>269000</v>
          </cell>
        </row>
        <row r="67">
          <cell r="W67">
            <v>94250</v>
          </cell>
          <cell r="AB67">
            <v>36500</v>
          </cell>
          <cell r="AG67">
            <v>4031250</v>
          </cell>
          <cell r="AL67">
            <v>162860</v>
          </cell>
          <cell r="BB67">
            <v>269000</v>
          </cell>
        </row>
        <row r="68">
          <cell r="W68">
            <v>144150</v>
          </cell>
          <cell r="AB68">
            <v>21000</v>
          </cell>
          <cell r="AG68">
            <v>4334650</v>
          </cell>
          <cell r="AL68">
            <v>162240</v>
          </cell>
          <cell r="BB68">
            <v>0</v>
          </cell>
        </row>
        <row r="69">
          <cell r="W69">
            <v>69750</v>
          </cell>
          <cell r="AB69">
            <v>2500</v>
          </cell>
          <cell r="AE69">
            <v>2787182.15</v>
          </cell>
          <cell r="AG69">
            <v>7028932.1500000004</v>
          </cell>
          <cell r="AL69">
            <v>161500</v>
          </cell>
          <cell r="BB69">
            <v>0</v>
          </cell>
        </row>
        <row r="70">
          <cell r="W70">
            <v>144150</v>
          </cell>
          <cell r="AB70">
            <v>18000</v>
          </cell>
          <cell r="AG70">
            <v>4331650</v>
          </cell>
          <cell r="AL70">
            <v>162120</v>
          </cell>
          <cell r="BB70">
            <v>0</v>
          </cell>
        </row>
        <row r="71">
          <cell r="W71">
            <v>149850</v>
          </cell>
          <cell r="AB71">
            <v>27000</v>
          </cell>
          <cell r="AG71">
            <v>3808350</v>
          </cell>
          <cell r="AL71">
            <v>162480</v>
          </cell>
          <cell r="BB71">
            <v>538000</v>
          </cell>
        </row>
        <row r="72">
          <cell r="W72">
            <v>65250</v>
          </cell>
          <cell r="AB72">
            <v>18000</v>
          </cell>
          <cell r="AG72">
            <v>3983750</v>
          </cell>
          <cell r="AL72">
            <v>162120</v>
          </cell>
          <cell r="BB72">
            <v>269000</v>
          </cell>
        </row>
        <row r="73">
          <cell r="W73">
            <v>139500</v>
          </cell>
          <cell r="AB73">
            <v>5000</v>
          </cell>
          <cell r="AG73">
            <v>4179500</v>
          </cell>
          <cell r="AL73">
            <v>161600</v>
          </cell>
          <cell r="BB73">
            <v>134500</v>
          </cell>
        </row>
        <row r="74">
          <cell r="W74">
            <v>134850</v>
          </cell>
          <cell r="AB74">
            <v>27000</v>
          </cell>
          <cell r="AG74">
            <v>4062350</v>
          </cell>
          <cell r="AL74">
            <v>162480</v>
          </cell>
          <cell r="BB74">
            <v>269000</v>
          </cell>
        </row>
        <row r="75">
          <cell r="W75">
            <v>69750</v>
          </cell>
          <cell r="AB75">
            <v>0</v>
          </cell>
          <cell r="AG75">
            <v>4239250</v>
          </cell>
          <cell r="AL75">
            <v>161400</v>
          </cell>
          <cell r="BB75">
            <v>0</v>
          </cell>
        </row>
        <row r="76">
          <cell r="W76">
            <v>69750</v>
          </cell>
          <cell r="AB76">
            <v>0</v>
          </cell>
          <cell r="AG76">
            <v>4239250</v>
          </cell>
          <cell r="AL76">
            <v>161400</v>
          </cell>
          <cell r="BB76">
            <v>0</v>
          </cell>
        </row>
        <row r="77">
          <cell r="W77">
            <v>100750</v>
          </cell>
          <cell r="AB77">
            <v>36500</v>
          </cell>
          <cell r="AE77">
            <v>163265.9</v>
          </cell>
          <cell r="AG77">
            <v>4470015.9000000004</v>
          </cell>
          <cell r="AL77">
            <v>162860</v>
          </cell>
          <cell r="BB77">
            <v>0</v>
          </cell>
        </row>
        <row r="78">
          <cell r="W78">
            <v>7124050</v>
          </cell>
          <cell r="Z78">
            <v>87500</v>
          </cell>
          <cell r="AB78">
            <v>2635500</v>
          </cell>
          <cell r="AE78">
            <v>6274075.3000000007</v>
          </cell>
          <cell r="AL78">
            <v>11080620</v>
          </cell>
          <cell r="AQ78">
            <v>104146</v>
          </cell>
          <cell r="BB78">
            <v>8473500</v>
          </cell>
        </row>
      </sheetData>
      <sheetData sheetId="1">
        <row r="11">
          <cell r="S11">
            <v>139500</v>
          </cell>
          <cell r="X11">
            <v>92500</v>
          </cell>
          <cell r="Y11">
            <v>1434390</v>
          </cell>
          <cell r="Z11">
            <v>867280</v>
          </cell>
          <cell r="AC11">
            <v>6652670</v>
          </cell>
          <cell r="AH11">
            <v>165100</v>
          </cell>
          <cell r="AX11">
            <v>134500</v>
          </cell>
        </row>
        <row r="12">
          <cell r="S12">
            <v>172050</v>
          </cell>
          <cell r="X12">
            <v>33000</v>
          </cell>
          <cell r="Y12">
            <v>1481037</v>
          </cell>
          <cell r="Z12">
            <v>942100</v>
          </cell>
          <cell r="AC12">
            <v>6860187</v>
          </cell>
          <cell r="AH12">
            <v>162720</v>
          </cell>
          <cell r="AX12">
            <v>0</v>
          </cell>
        </row>
        <row r="13">
          <cell r="S13">
            <v>311550</v>
          </cell>
          <cell r="V13">
            <v>146500</v>
          </cell>
          <cell r="X13">
            <v>125500</v>
          </cell>
          <cell r="Y13">
            <v>2915427</v>
          </cell>
          <cell r="Z13">
            <v>1809380</v>
          </cell>
          <cell r="AH13">
            <v>327820</v>
          </cell>
          <cell r="AM13">
            <v>104321</v>
          </cell>
          <cell r="AX13">
            <v>134500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"/>
      <sheetName val="TRANSPORT"/>
      <sheetName val="DIST OPERATOR"/>
      <sheetName val="HARVESTING KHT"/>
      <sheetName val="DIST HARVESTING"/>
      <sheetName val="DIST PERAWATAN"/>
      <sheetName val="PANEN KHL"/>
      <sheetName val="DIST PANEN KHL"/>
      <sheetName val="MAINTENANCE BHL"/>
      <sheetName val="REK AIR KUNDO"/>
      <sheetName val="REK AIR KUNDO (2)"/>
      <sheetName val="PAJAK"/>
      <sheetName val="Sheet4"/>
      <sheetName val="Sheet2"/>
      <sheetName val="PLANTWARE"/>
      <sheetName val="Sheet1"/>
    </sheetNames>
    <sheetDataSet>
      <sheetData sheetId="0">
        <row r="10">
          <cell r="W10">
            <v>172050</v>
          </cell>
        </row>
        <row r="78">
          <cell r="AG78">
            <v>275295564.84000003</v>
          </cell>
        </row>
      </sheetData>
      <sheetData sheetId="1">
        <row r="11">
          <cell r="S11">
            <v>139500</v>
          </cell>
        </row>
        <row r="13">
          <cell r="AC13">
            <v>12190536.460000001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E1" workbookViewId="0">
      <selection activeCell="D4" sqref="D4"/>
    </sheetView>
  </sheetViews>
  <sheetFormatPr defaultColWidth="8.7109375" defaultRowHeight="15" customHeight="1"/>
  <cols>
    <col min="1" max="1" width="4.7109375" style="140" customWidth="1"/>
    <col min="2" max="2" width="13.7109375" style="9" customWidth="1"/>
    <col min="3" max="3" width="4.7109375" style="140" customWidth="1"/>
    <col min="4" max="4" width="14.7109375" style="9" customWidth="1"/>
    <col min="5" max="5" width="8.7109375" style="16" customWidth="1"/>
    <col min="6" max="7" width="4.7109375" style="140" customWidth="1"/>
    <col min="8" max="8" width="13.7109375" style="140" customWidth="1"/>
    <col min="9" max="9" width="4.7109375" style="140" customWidth="1"/>
    <col min="10" max="10" width="14.7109375" style="140" customWidth="1"/>
    <col min="11" max="11" width="8.7109375" style="14" customWidth="1"/>
    <col min="12" max="13" width="4.7109375" style="140" customWidth="1"/>
    <col min="14" max="14" width="13.7109375" style="140" customWidth="1"/>
    <col min="15" max="15" width="4.7109375" style="140" customWidth="1"/>
    <col min="16" max="16" width="14.7109375" style="140" customWidth="1"/>
    <col min="17" max="17" width="8.7109375" style="14" customWidth="1"/>
    <col min="18" max="18" width="4.7109375" style="140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140"/>
  </cols>
  <sheetData>
    <row r="1" spans="1:25" s="11" customFormat="1" ht="20.100000000000001" customHeight="1">
      <c r="A1" s="2" t="s">
        <v>61</v>
      </c>
      <c r="E1" s="15"/>
      <c r="F1" s="1"/>
      <c r="G1" s="2" t="s">
        <v>62</v>
      </c>
      <c r="H1" s="1"/>
      <c r="I1" s="1"/>
      <c r="J1" s="1"/>
      <c r="K1" s="12"/>
      <c r="M1" s="2" t="s">
        <v>63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141" t="s">
        <v>0</v>
      </c>
      <c r="B2" s="425" t="s">
        <v>3</v>
      </c>
      <c r="C2" s="425"/>
      <c r="D2" s="425"/>
      <c r="E2" s="5" t="s">
        <v>1</v>
      </c>
      <c r="G2" s="141" t="s">
        <v>0</v>
      </c>
      <c r="H2" s="425" t="s">
        <v>3</v>
      </c>
      <c r="I2" s="425"/>
      <c r="J2" s="425"/>
      <c r="K2" s="5" t="s">
        <v>4</v>
      </c>
      <c r="M2" s="141" t="s">
        <v>0</v>
      </c>
      <c r="N2" s="425" t="s">
        <v>3</v>
      </c>
      <c r="O2" s="425"/>
      <c r="P2" s="425"/>
      <c r="Q2" s="5" t="s">
        <v>5</v>
      </c>
      <c r="S2" s="425" t="s">
        <v>14</v>
      </c>
      <c r="T2" s="425"/>
      <c r="U2" s="425"/>
      <c r="V2" s="141" t="s">
        <v>13</v>
      </c>
      <c r="X2" s="26"/>
    </row>
    <row r="3" spans="1:25" ht="15" customHeight="1">
      <c r="A3" s="142">
        <v>1</v>
      </c>
      <c r="B3" s="19">
        <v>0</v>
      </c>
      <c r="C3" s="142" t="s">
        <v>2</v>
      </c>
      <c r="D3" s="7">
        <v>5400000</v>
      </c>
      <c r="E3" s="13">
        <v>0</v>
      </c>
      <c r="G3" s="142">
        <v>1</v>
      </c>
      <c r="H3" s="19">
        <v>0</v>
      </c>
      <c r="I3" s="142" t="s">
        <v>2</v>
      </c>
      <c r="J3" s="7">
        <v>6200000</v>
      </c>
      <c r="K3" s="13">
        <v>0</v>
      </c>
      <c r="M3" s="142">
        <v>1</v>
      </c>
      <c r="N3" s="19">
        <v>0</v>
      </c>
      <c r="O3" s="142" t="s">
        <v>2</v>
      </c>
      <c r="P3" s="7">
        <v>6600000</v>
      </c>
      <c r="Q3" s="13">
        <v>0</v>
      </c>
      <c r="S3" s="19">
        <v>0</v>
      </c>
      <c r="T3" s="142" t="s">
        <v>2</v>
      </c>
      <c r="U3" s="4">
        <v>450000</v>
      </c>
      <c r="V3" s="17">
        <v>0</v>
      </c>
      <c r="X3" s="26"/>
    </row>
    <row r="4" spans="1:25" ht="15" customHeight="1">
      <c r="A4" s="142">
        <f>A3+1</f>
        <v>2</v>
      </c>
      <c r="B4" s="7">
        <f>D3+1</f>
        <v>5400001</v>
      </c>
      <c r="C4" s="142" t="s">
        <v>2</v>
      </c>
      <c r="D4" s="7">
        <v>5650000</v>
      </c>
      <c r="E4" s="13">
        <v>2.5000000000000001E-3</v>
      </c>
      <c r="G4" s="142">
        <f>G3+1</f>
        <v>2</v>
      </c>
      <c r="H4" s="7">
        <f>J3+1</f>
        <v>6200001</v>
      </c>
      <c r="I4" s="142" t="s">
        <v>2</v>
      </c>
      <c r="J4" s="7">
        <v>6500000</v>
      </c>
      <c r="K4" s="13">
        <v>2.5000000000000001E-3</v>
      </c>
      <c r="M4" s="142">
        <f>M3+1</f>
        <v>2</v>
      </c>
      <c r="N4" s="7">
        <f>P3+1</f>
        <v>6600001</v>
      </c>
      <c r="O4" s="142" t="s">
        <v>2</v>
      </c>
      <c r="P4" s="7">
        <v>6950000</v>
      </c>
      <c r="Q4" s="13">
        <v>2.5000000000000001E-3</v>
      </c>
      <c r="S4" s="4">
        <v>450001</v>
      </c>
      <c r="T4" s="142" t="s">
        <v>2</v>
      </c>
      <c r="U4" s="4">
        <v>2500000</v>
      </c>
      <c r="V4" s="18">
        <v>5.0000000000000001E-3</v>
      </c>
      <c r="X4" s="26"/>
    </row>
    <row r="5" spans="1:25" ht="15" customHeight="1">
      <c r="A5" s="142">
        <f t="shared" ref="A5:A46" si="0">A4+1</f>
        <v>3</v>
      </c>
      <c r="B5" s="7">
        <f t="shared" ref="B5:B46" si="1">D4+1</f>
        <v>5650001</v>
      </c>
      <c r="C5" s="142" t="s">
        <v>2</v>
      </c>
      <c r="D5" s="7">
        <v>5950000</v>
      </c>
      <c r="E5" s="13">
        <v>5.0000000000000001E-3</v>
      </c>
      <c r="G5" s="142">
        <f t="shared" ref="G5:G42" si="2">G4+1</f>
        <v>3</v>
      </c>
      <c r="H5" s="7">
        <f t="shared" ref="H5:H42" si="3">J4+1</f>
        <v>6500001</v>
      </c>
      <c r="I5" s="142" t="s">
        <v>2</v>
      </c>
      <c r="J5" s="7">
        <v>6850000</v>
      </c>
      <c r="K5" s="13">
        <v>5.0000000000000001E-3</v>
      </c>
      <c r="M5" s="142">
        <f t="shared" ref="M5:M42" si="4">M4+1</f>
        <v>3</v>
      </c>
      <c r="N5" s="7">
        <f t="shared" ref="N5:N43" si="5">P4+1</f>
        <v>6950001</v>
      </c>
      <c r="O5" s="142" t="s">
        <v>2</v>
      </c>
      <c r="P5" s="7">
        <v>7350000</v>
      </c>
      <c r="Q5" s="13">
        <v>5.0000000000000001E-3</v>
      </c>
    </row>
    <row r="6" spans="1:25" ht="15" customHeight="1">
      <c r="A6" s="142">
        <f t="shared" si="0"/>
        <v>4</v>
      </c>
      <c r="B6" s="7">
        <f t="shared" si="1"/>
        <v>5950001</v>
      </c>
      <c r="C6" s="142" t="s">
        <v>2</v>
      </c>
      <c r="D6" s="7">
        <v>6300000</v>
      </c>
      <c r="E6" s="13">
        <v>7.4999999999999997E-3</v>
      </c>
      <c r="G6" s="142">
        <f t="shared" si="2"/>
        <v>4</v>
      </c>
      <c r="H6" s="7">
        <f t="shared" si="3"/>
        <v>6850001</v>
      </c>
      <c r="I6" s="142" t="s">
        <v>2</v>
      </c>
      <c r="J6" s="7">
        <v>7300000</v>
      </c>
      <c r="K6" s="13">
        <v>7.4999999999999997E-3</v>
      </c>
      <c r="M6" s="142">
        <f t="shared" si="4"/>
        <v>4</v>
      </c>
      <c r="N6" s="7">
        <f t="shared" si="5"/>
        <v>7350001</v>
      </c>
      <c r="O6" s="142" t="s">
        <v>2</v>
      </c>
      <c r="P6" s="7">
        <v>7800000</v>
      </c>
      <c r="Q6" s="13">
        <v>7.4999999999999997E-3</v>
      </c>
    </row>
    <row r="7" spans="1:25" ht="15" customHeight="1">
      <c r="A7" s="142">
        <f t="shared" si="0"/>
        <v>5</v>
      </c>
      <c r="B7" s="7">
        <f t="shared" si="1"/>
        <v>6300001</v>
      </c>
      <c r="C7" s="142" t="s">
        <v>2</v>
      </c>
      <c r="D7" s="7">
        <v>6750000</v>
      </c>
      <c r="E7" s="13">
        <v>0.01</v>
      </c>
      <c r="G7" s="142">
        <f t="shared" si="2"/>
        <v>5</v>
      </c>
      <c r="H7" s="7">
        <f t="shared" si="3"/>
        <v>7300001</v>
      </c>
      <c r="I7" s="142" t="s">
        <v>2</v>
      </c>
      <c r="J7" s="7">
        <v>9200000</v>
      </c>
      <c r="K7" s="13">
        <v>0.01</v>
      </c>
      <c r="M7" s="142">
        <f t="shared" si="4"/>
        <v>5</v>
      </c>
      <c r="N7" s="7">
        <f t="shared" si="5"/>
        <v>7800001</v>
      </c>
      <c r="O7" s="142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142">
        <f t="shared" si="0"/>
        <v>6</v>
      </c>
      <c r="B8" s="7">
        <f t="shared" si="1"/>
        <v>6750001</v>
      </c>
      <c r="C8" s="142" t="s">
        <v>2</v>
      </c>
      <c r="D8" s="7">
        <v>7500000</v>
      </c>
      <c r="E8" s="13">
        <v>1.2500000000000001E-2</v>
      </c>
      <c r="G8" s="142">
        <f t="shared" si="2"/>
        <v>6</v>
      </c>
      <c r="H8" s="7">
        <f t="shared" si="3"/>
        <v>9200001</v>
      </c>
      <c r="I8" s="142" t="s">
        <v>2</v>
      </c>
      <c r="J8" s="7">
        <v>10750000</v>
      </c>
      <c r="K8" s="13">
        <v>1.4999999999999999E-2</v>
      </c>
      <c r="M8" s="142">
        <f t="shared" si="4"/>
        <v>6</v>
      </c>
      <c r="N8" s="7">
        <f t="shared" si="5"/>
        <v>8850001</v>
      </c>
      <c r="O8" s="142" t="s">
        <v>2</v>
      </c>
      <c r="P8" s="7">
        <v>9800000</v>
      </c>
      <c r="Q8" s="13">
        <v>1.2500000000000001E-2</v>
      </c>
      <c r="S8" s="425" t="s">
        <v>22</v>
      </c>
      <c r="T8" s="425"/>
      <c r="U8" s="425"/>
      <c r="V8" s="141" t="s">
        <v>13</v>
      </c>
    </row>
    <row r="9" spans="1:25" ht="15" customHeight="1">
      <c r="A9" s="142">
        <f t="shared" si="0"/>
        <v>7</v>
      </c>
      <c r="B9" s="7">
        <f t="shared" si="1"/>
        <v>7500001</v>
      </c>
      <c r="C9" s="142" t="s">
        <v>2</v>
      </c>
      <c r="D9" s="7">
        <v>8550000</v>
      </c>
      <c r="E9" s="13">
        <v>1.5000000000000001E-2</v>
      </c>
      <c r="G9" s="142">
        <f t="shared" si="2"/>
        <v>7</v>
      </c>
      <c r="H9" s="7">
        <f t="shared" si="3"/>
        <v>10750001</v>
      </c>
      <c r="I9" s="142" t="s">
        <v>2</v>
      </c>
      <c r="J9" s="7">
        <v>11250000</v>
      </c>
      <c r="K9" s="13">
        <v>0.02</v>
      </c>
      <c r="M9" s="142">
        <f t="shared" si="4"/>
        <v>7</v>
      </c>
      <c r="N9" s="7">
        <f t="shared" si="5"/>
        <v>9800001</v>
      </c>
      <c r="O9" s="142" t="s">
        <v>2</v>
      </c>
      <c r="P9" s="7">
        <v>10950000</v>
      </c>
      <c r="Q9" s="13">
        <v>1.5000000000000001E-2</v>
      </c>
      <c r="S9" s="19">
        <v>0</v>
      </c>
      <c r="T9" s="142" t="s">
        <v>2</v>
      </c>
      <c r="U9" s="4">
        <v>60000000</v>
      </c>
      <c r="V9" s="17">
        <v>0.05</v>
      </c>
    </row>
    <row r="10" spans="1:25" ht="15" customHeight="1">
      <c r="A10" s="142">
        <f t="shared" si="0"/>
        <v>8</v>
      </c>
      <c r="B10" s="7">
        <f t="shared" si="1"/>
        <v>8550001</v>
      </c>
      <c r="C10" s="142" t="s">
        <v>2</v>
      </c>
      <c r="D10" s="7">
        <v>9650000</v>
      </c>
      <c r="E10" s="13">
        <v>1.7500000000000002E-2</v>
      </c>
      <c r="G10" s="142">
        <f t="shared" si="2"/>
        <v>8</v>
      </c>
      <c r="H10" s="7">
        <f t="shared" si="3"/>
        <v>11250001</v>
      </c>
      <c r="I10" s="142" t="s">
        <v>2</v>
      </c>
      <c r="J10" s="7">
        <v>11600000</v>
      </c>
      <c r="K10" s="13">
        <v>2.5000000000000001E-2</v>
      </c>
      <c r="M10" s="142">
        <f t="shared" si="4"/>
        <v>8</v>
      </c>
      <c r="N10" s="7">
        <f t="shared" si="5"/>
        <v>10950001</v>
      </c>
      <c r="O10" s="142" t="s">
        <v>2</v>
      </c>
      <c r="P10" s="7">
        <v>11200000</v>
      </c>
      <c r="Q10" s="13">
        <v>1.7500000000000002E-2</v>
      </c>
      <c r="S10" s="4">
        <f>U9+1</f>
        <v>60000001</v>
      </c>
      <c r="T10" s="142" t="s">
        <v>2</v>
      </c>
      <c r="U10" s="4">
        <v>250000000</v>
      </c>
      <c r="V10" s="17">
        <v>0.15</v>
      </c>
    </row>
    <row r="11" spans="1:25" ht="15" customHeight="1">
      <c r="A11" s="142">
        <f t="shared" si="0"/>
        <v>9</v>
      </c>
      <c r="B11" s="7">
        <f t="shared" si="1"/>
        <v>9650001</v>
      </c>
      <c r="C11" s="142" t="s">
        <v>2</v>
      </c>
      <c r="D11" s="7">
        <v>10050000</v>
      </c>
      <c r="E11" s="13">
        <v>0.02</v>
      </c>
      <c r="G11" s="142">
        <f t="shared" si="2"/>
        <v>9</v>
      </c>
      <c r="H11" s="7">
        <f t="shared" si="3"/>
        <v>11600001</v>
      </c>
      <c r="I11" s="142" t="s">
        <v>2</v>
      </c>
      <c r="J11" s="7">
        <v>12600000</v>
      </c>
      <c r="K11" s="13">
        <v>3.0000000000000002E-2</v>
      </c>
      <c r="M11" s="142">
        <f t="shared" si="4"/>
        <v>9</v>
      </c>
      <c r="N11" s="7">
        <f t="shared" si="5"/>
        <v>11200001</v>
      </c>
      <c r="O11" s="142" t="s">
        <v>2</v>
      </c>
      <c r="P11" s="7">
        <v>12050000</v>
      </c>
      <c r="Q11" s="13">
        <v>0.02</v>
      </c>
      <c r="S11" s="4">
        <f>U10+1</f>
        <v>250000001</v>
      </c>
      <c r="T11" s="142" t="s">
        <v>2</v>
      </c>
      <c r="U11" s="4">
        <v>500000000</v>
      </c>
      <c r="V11" s="17">
        <v>0.25</v>
      </c>
    </row>
    <row r="12" spans="1:25" ht="15" customHeight="1">
      <c r="A12" s="142">
        <f t="shared" si="0"/>
        <v>10</v>
      </c>
      <c r="B12" s="7">
        <f t="shared" si="1"/>
        <v>10050001</v>
      </c>
      <c r="C12" s="142" t="s">
        <v>2</v>
      </c>
      <c r="D12" s="7">
        <v>10350000</v>
      </c>
      <c r="E12" s="13">
        <v>2.2499999999999999E-2</v>
      </c>
      <c r="G12" s="142">
        <f t="shared" si="2"/>
        <v>10</v>
      </c>
      <c r="H12" s="7">
        <f t="shared" si="3"/>
        <v>12600001</v>
      </c>
      <c r="I12" s="142" t="s">
        <v>2</v>
      </c>
      <c r="J12" s="7">
        <v>13600000</v>
      </c>
      <c r="K12" s="13">
        <v>0.04</v>
      </c>
      <c r="M12" s="142">
        <f t="shared" si="4"/>
        <v>10</v>
      </c>
      <c r="N12" s="7">
        <f t="shared" si="5"/>
        <v>12050001</v>
      </c>
      <c r="O12" s="142" t="s">
        <v>2</v>
      </c>
      <c r="P12" s="7">
        <v>12950000</v>
      </c>
      <c r="Q12" s="13">
        <v>0.03</v>
      </c>
      <c r="S12" s="4">
        <f>U11+1</f>
        <v>500000001</v>
      </c>
      <c r="T12" s="142" t="s">
        <v>2</v>
      </c>
      <c r="U12" s="4">
        <v>5000000000</v>
      </c>
      <c r="V12" s="17">
        <v>0.3</v>
      </c>
    </row>
    <row r="13" spans="1:25" ht="15" customHeight="1">
      <c r="A13" s="142">
        <f t="shared" si="0"/>
        <v>11</v>
      </c>
      <c r="B13" s="7">
        <f t="shared" si="1"/>
        <v>10350001</v>
      </c>
      <c r="C13" s="142" t="s">
        <v>2</v>
      </c>
      <c r="D13" s="7">
        <v>10700000</v>
      </c>
      <c r="E13" s="13">
        <v>2.4999999999999998E-2</v>
      </c>
      <c r="G13" s="142">
        <f t="shared" si="2"/>
        <v>11</v>
      </c>
      <c r="H13" s="7">
        <f t="shared" si="3"/>
        <v>13600001</v>
      </c>
      <c r="I13" s="142" t="s">
        <v>2</v>
      </c>
      <c r="J13" s="7">
        <v>14950000</v>
      </c>
      <c r="K13" s="13">
        <v>0.05</v>
      </c>
      <c r="M13" s="142">
        <f t="shared" si="4"/>
        <v>11</v>
      </c>
      <c r="N13" s="7">
        <f t="shared" si="5"/>
        <v>12950001</v>
      </c>
      <c r="O13" s="142" t="s">
        <v>2</v>
      </c>
      <c r="P13" s="7">
        <v>14150000</v>
      </c>
      <c r="Q13" s="13">
        <v>0.04</v>
      </c>
      <c r="S13" s="4">
        <f>U12+1</f>
        <v>5000000001</v>
      </c>
      <c r="T13" s="142" t="s">
        <v>2</v>
      </c>
      <c r="U13" s="7" t="s">
        <v>18</v>
      </c>
      <c r="V13" s="17">
        <v>0.35</v>
      </c>
    </row>
    <row r="14" spans="1:25" ht="15" customHeight="1">
      <c r="A14" s="142">
        <f t="shared" si="0"/>
        <v>12</v>
      </c>
      <c r="B14" s="7">
        <f t="shared" si="1"/>
        <v>10700001</v>
      </c>
      <c r="C14" s="142" t="s">
        <v>2</v>
      </c>
      <c r="D14" s="7">
        <v>11050000</v>
      </c>
      <c r="E14" s="13">
        <v>0.03</v>
      </c>
      <c r="G14" s="142">
        <f t="shared" si="2"/>
        <v>12</v>
      </c>
      <c r="H14" s="7">
        <f t="shared" si="3"/>
        <v>14950001</v>
      </c>
      <c r="I14" s="142" t="s">
        <v>2</v>
      </c>
      <c r="J14" s="7">
        <v>16400000</v>
      </c>
      <c r="K14" s="13">
        <v>6.0000000000000005E-2</v>
      </c>
      <c r="M14" s="142">
        <f t="shared" si="4"/>
        <v>12</v>
      </c>
      <c r="N14" s="7">
        <f t="shared" si="5"/>
        <v>14150001</v>
      </c>
      <c r="O14" s="142" t="s">
        <v>2</v>
      </c>
      <c r="P14" s="7">
        <v>1550000</v>
      </c>
      <c r="Q14" s="13">
        <v>0.05</v>
      </c>
      <c r="T14" s="424"/>
      <c r="U14" s="424"/>
    </row>
    <row r="15" spans="1:25" ht="15" customHeight="1">
      <c r="A15" s="142">
        <f t="shared" si="0"/>
        <v>13</v>
      </c>
      <c r="B15" s="7">
        <f t="shared" si="1"/>
        <v>11050001</v>
      </c>
      <c r="C15" s="142" t="s">
        <v>2</v>
      </c>
      <c r="D15" s="7">
        <v>11600000</v>
      </c>
      <c r="E15" s="13">
        <v>3.5000000000000003E-2</v>
      </c>
      <c r="G15" s="142">
        <f t="shared" si="2"/>
        <v>13</v>
      </c>
      <c r="H15" s="7">
        <f t="shared" si="3"/>
        <v>16400001</v>
      </c>
      <c r="I15" s="142" t="s">
        <v>2</v>
      </c>
      <c r="J15" s="7">
        <v>18450000</v>
      </c>
      <c r="K15" s="13">
        <v>7.0000000000000007E-2</v>
      </c>
      <c r="M15" s="142">
        <f t="shared" si="4"/>
        <v>13</v>
      </c>
      <c r="N15" s="7">
        <f t="shared" si="5"/>
        <v>1550001</v>
      </c>
      <c r="O15" s="142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142">
        <f t="shared" si="0"/>
        <v>14</v>
      </c>
      <c r="B16" s="7">
        <f t="shared" si="1"/>
        <v>11600001</v>
      </c>
      <c r="C16" s="142" t="s">
        <v>2</v>
      </c>
      <c r="D16" s="7">
        <v>12500000</v>
      </c>
      <c r="E16" s="13">
        <v>0.04</v>
      </c>
      <c r="G16" s="142">
        <f t="shared" si="2"/>
        <v>14</v>
      </c>
      <c r="H16" s="7">
        <f t="shared" si="3"/>
        <v>18450001</v>
      </c>
      <c r="I16" s="142" t="s">
        <v>2</v>
      </c>
      <c r="J16" s="7">
        <v>21850000</v>
      </c>
      <c r="K16" s="13">
        <v>0.08</v>
      </c>
      <c r="M16" s="142">
        <f t="shared" si="4"/>
        <v>14</v>
      </c>
      <c r="N16" s="7">
        <f t="shared" si="5"/>
        <v>17050001</v>
      </c>
      <c r="O16" s="142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142">
        <f t="shared" si="0"/>
        <v>15</v>
      </c>
      <c r="B17" s="7">
        <f t="shared" si="1"/>
        <v>12500001</v>
      </c>
      <c r="C17" s="142" t="s">
        <v>2</v>
      </c>
      <c r="D17" s="7">
        <v>13750000</v>
      </c>
      <c r="E17" s="13">
        <v>0.05</v>
      </c>
      <c r="G17" s="142">
        <f t="shared" si="2"/>
        <v>15</v>
      </c>
      <c r="H17" s="7">
        <f t="shared" si="3"/>
        <v>21850001</v>
      </c>
      <c r="I17" s="142" t="s">
        <v>2</v>
      </c>
      <c r="J17" s="7">
        <v>26000000</v>
      </c>
      <c r="K17" s="13">
        <v>0.09</v>
      </c>
      <c r="M17" s="142">
        <f t="shared" si="4"/>
        <v>15</v>
      </c>
      <c r="N17" s="7">
        <f t="shared" si="5"/>
        <v>19500001</v>
      </c>
      <c r="O17" s="142" t="s">
        <v>2</v>
      </c>
      <c r="P17" s="7">
        <v>22700000</v>
      </c>
      <c r="Q17" s="13">
        <v>0.08</v>
      </c>
      <c r="S17" s="425" t="s">
        <v>19</v>
      </c>
      <c r="T17" s="425"/>
      <c r="U17" s="24" t="s">
        <v>20</v>
      </c>
      <c r="V17" s="140"/>
      <c r="W17" s="140"/>
      <c r="X17" s="140"/>
      <c r="Y17" s="140"/>
    </row>
    <row r="18" spans="1:25" ht="15" customHeight="1">
      <c r="A18" s="142">
        <f t="shared" si="0"/>
        <v>16</v>
      </c>
      <c r="B18" s="7">
        <f t="shared" si="1"/>
        <v>13750001</v>
      </c>
      <c r="C18" s="142" t="s">
        <v>2</v>
      </c>
      <c r="D18" s="7">
        <v>15100000</v>
      </c>
      <c r="E18" s="13">
        <v>6.0000000000000005E-2</v>
      </c>
      <c r="G18" s="142">
        <f t="shared" si="2"/>
        <v>16</v>
      </c>
      <c r="H18" s="7">
        <f t="shared" si="3"/>
        <v>26000001</v>
      </c>
      <c r="I18" s="142" t="s">
        <v>2</v>
      </c>
      <c r="J18" s="7">
        <v>27700000</v>
      </c>
      <c r="K18" s="13">
        <v>9.9999999999999992E-2</v>
      </c>
      <c r="M18" s="142">
        <f t="shared" si="4"/>
        <v>16</v>
      </c>
      <c r="N18" s="7">
        <f t="shared" si="5"/>
        <v>22700001</v>
      </c>
      <c r="O18" s="142" t="s">
        <v>2</v>
      </c>
      <c r="P18" s="7">
        <v>26600000</v>
      </c>
      <c r="Q18" s="13">
        <v>0.09</v>
      </c>
      <c r="S18" s="426" t="s">
        <v>7</v>
      </c>
      <c r="T18" s="426"/>
      <c r="U18" s="23">
        <v>54000000</v>
      </c>
      <c r="V18" s="140"/>
      <c r="W18" s="140"/>
      <c r="X18" s="140"/>
      <c r="Y18" s="140"/>
    </row>
    <row r="19" spans="1:25" ht="15" customHeight="1">
      <c r="A19" s="142">
        <f t="shared" si="0"/>
        <v>17</v>
      </c>
      <c r="B19" s="7">
        <f t="shared" si="1"/>
        <v>15100001</v>
      </c>
      <c r="C19" s="142" t="s">
        <v>2</v>
      </c>
      <c r="D19" s="7">
        <v>16950000</v>
      </c>
      <c r="E19" s="13">
        <v>7.0000000000000007E-2</v>
      </c>
      <c r="G19" s="142">
        <f t="shared" si="2"/>
        <v>17</v>
      </c>
      <c r="H19" s="7">
        <f t="shared" si="3"/>
        <v>27700001</v>
      </c>
      <c r="I19" s="142" t="s">
        <v>2</v>
      </c>
      <c r="J19" s="7">
        <v>29350000</v>
      </c>
      <c r="K19" s="13">
        <v>0.10999999999999999</v>
      </c>
      <c r="M19" s="142">
        <f t="shared" si="4"/>
        <v>17</v>
      </c>
      <c r="N19" s="7">
        <f t="shared" si="5"/>
        <v>26600001</v>
      </c>
      <c r="O19" s="142" t="s">
        <v>2</v>
      </c>
      <c r="P19" s="7">
        <v>28100000</v>
      </c>
      <c r="Q19" s="13">
        <v>9.9999999999999992E-2</v>
      </c>
      <c r="S19" s="426" t="s">
        <v>16</v>
      </c>
      <c r="T19" s="426"/>
      <c r="U19" s="23">
        <v>58500000</v>
      </c>
      <c r="V19" s="140"/>
      <c r="W19" s="140"/>
      <c r="X19" s="140"/>
      <c r="Y19" s="140"/>
    </row>
    <row r="20" spans="1:25" ht="15" customHeight="1">
      <c r="A20" s="142">
        <f t="shared" si="0"/>
        <v>18</v>
      </c>
      <c r="B20" s="7">
        <f t="shared" si="1"/>
        <v>16950001</v>
      </c>
      <c r="C20" s="142" t="s">
        <v>2</v>
      </c>
      <c r="D20" s="7">
        <v>19750000</v>
      </c>
      <c r="E20" s="13">
        <v>0.08</v>
      </c>
      <c r="G20" s="142">
        <f t="shared" si="2"/>
        <v>18</v>
      </c>
      <c r="H20" s="7">
        <f t="shared" si="3"/>
        <v>29350001</v>
      </c>
      <c r="I20" s="142" t="s">
        <v>2</v>
      </c>
      <c r="J20" s="7">
        <v>31450000</v>
      </c>
      <c r="K20" s="13">
        <v>0.11999999999999998</v>
      </c>
      <c r="M20" s="142">
        <f t="shared" si="4"/>
        <v>18</v>
      </c>
      <c r="N20" s="7">
        <f t="shared" si="5"/>
        <v>28100001</v>
      </c>
      <c r="O20" s="142" t="s">
        <v>2</v>
      </c>
      <c r="P20" s="7">
        <v>30100000</v>
      </c>
      <c r="Q20" s="13">
        <v>0.10999999999999999</v>
      </c>
      <c r="S20" s="426" t="s">
        <v>8</v>
      </c>
      <c r="T20" s="426"/>
      <c r="U20" s="23">
        <v>63000000</v>
      </c>
      <c r="V20" s="140"/>
      <c r="W20" s="140"/>
      <c r="X20" s="140"/>
      <c r="Y20" s="140"/>
    </row>
    <row r="21" spans="1:25" ht="15" customHeight="1">
      <c r="A21" s="142">
        <f t="shared" si="0"/>
        <v>19</v>
      </c>
      <c r="B21" s="7">
        <f t="shared" si="1"/>
        <v>19750001</v>
      </c>
      <c r="C21" s="142" t="s">
        <v>2</v>
      </c>
      <c r="D21" s="7">
        <v>24150000</v>
      </c>
      <c r="E21" s="13">
        <v>0.09</v>
      </c>
      <c r="G21" s="142">
        <f t="shared" si="2"/>
        <v>19</v>
      </c>
      <c r="H21" s="7">
        <f t="shared" si="3"/>
        <v>31450001</v>
      </c>
      <c r="I21" s="142" t="s">
        <v>2</v>
      </c>
      <c r="J21" s="7">
        <v>33950000</v>
      </c>
      <c r="K21" s="13">
        <v>0.12999999999999998</v>
      </c>
      <c r="M21" s="142">
        <f t="shared" si="4"/>
        <v>19</v>
      </c>
      <c r="N21" s="7">
        <f t="shared" si="5"/>
        <v>30100001</v>
      </c>
      <c r="O21" s="142" t="s">
        <v>2</v>
      </c>
      <c r="P21" s="7">
        <v>32600000</v>
      </c>
      <c r="Q21" s="13">
        <v>0.11999999999999998</v>
      </c>
      <c r="S21" s="426" t="s">
        <v>10</v>
      </c>
      <c r="T21" s="426"/>
      <c r="U21" s="23">
        <v>67500000</v>
      </c>
      <c r="V21" s="140"/>
      <c r="W21" s="140"/>
      <c r="X21" s="140"/>
      <c r="Y21" s="140"/>
    </row>
    <row r="22" spans="1:25" ht="15" customHeight="1">
      <c r="A22" s="142">
        <f t="shared" si="0"/>
        <v>20</v>
      </c>
      <c r="B22" s="7">
        <f t="shared" si="1"/>
        <v>24150001</v>
      </c>
      <c r="C22" s="142" t="s">
        <v>2</v>
      </c>
      <c r="D22" s="7">
        <v>26450000</v>
      </c>
      <c r="E22" s="13">
        <v>9.9999999999999992E-2</v>
      </c>
      <c r="G22" s="142">
        <f t="shared" si="2"/>
        <v>20</v>
      </c>
      <c r="H22" s="7">
        <f t="shared" si="3"/>
        <v>33950001</v>
      </c>
      <c r="I22" s="142" t="s">
        <v>2</v>
      </c>
      <c r="J22" s="7">
        <v>37100000</v>
      </c>
      <c r="K22" s="13">
        <v>0.13999999999999999</v>
      </c>
      <c r="M22" s="142">
        <f t="shared" si="4"/>
        <v>20</v>
      </c>
      <c r="N22" s="7">
        <f t="shared" si="5"/>
        <v>32600001</v>
      </c>
      <c r="O22" s="142" t="s">
        <v>2</v>
      </c>
      <c r="P22" s="7">
        <v>35400000</v>
      </c>
      <c r="Q22" s="13">
        <v>0.12999999999999998</v>
      </c>
      <c r="S22" s="426" t="s">
        <v>17</v>
      </c>
      <c r="T22" s="426"/>
      <c r="U22" s="23">
        <v>58500000</v>
      </c>
      <c r="V22" s="140"/>
      <c r="W22" s="140"/>
      <c r="X22" s="140"/>
      <c r="Y22" s="140"/>
    </row>
    <row r="23" spans="1:25" ht="15" customHeight="1">
      <c r="A23" s="142">
        <f t="shared" si="0"/>
        <v>21</v>
      </c>
      <c r="B23" s="7">
        <f t="shared" si="1"/>
        <v>26450001</v>
      </c>
      <c r="C23" s="142" t="s">
        <v>2</v>
      </c>
      <c r="D23" s="7">
        <v>28000000</v>
      </c>
      <c r="E23" s="13">
        <v>0.10999999999999999</v>
      </c>
      <c r="G23" s="142">
        <f t="shared" si="2"/>
        <v>21</v>
      </c>
      <c r="H23" s="7">
        <f t="shared" si="3"/>
        <v>37100001</v>
      </c>
      <c r="I23" s="142" t="s">
        <v>2</v>
      </c>
      <c r="J23" s="7">
        <v>41100000</v>
      </c>
      <c r="K23" s="13">
        <v>0.15</v>
      </c>
      <c r="M23" s="142">
        <f t="shared" si="4"/>
        <v>21</v>
      </c>
      <c r="N23" s="7">
        <f t="shared" si="5"/>
        <v>35400001</v>
      </c>
      <c r="O23" s="142" t="s">
        <v>2</v>
      </c>
      <c r="P23" s="7">
        <v>38900000</v>
      </c>
      <c r="Q23" s="13">
        <v>0.13999999999999999</v>
      </c>
      <c r="S23" s="426" t="s">
        <v>9</v>
      </c>
      <c r="T23" s="426"/>
      <c r="U23" s="23">
        <v>63000000</v>
      </c>
      <c r="V23" s="140"/>
      <c r="W23" s="140"/>
      <c r="X23" s="140"/>
      <c r="Y23" s="140"/>
    </row>
    <row r="24" spans="1:25" ht="15" customHeight="1">
      <c r="A24" s="142">
        <f t="shared" si="0"/>
        <v>22</v>
      </c>
      <c r="B24" s="7">
        <f t="shared" si="1"/>
        <v>28000001</v>
      </c>
      <c r="C24" s="142" t="s">
        <v>2</v>
      </c>
      <c r="D24" s="7">
        <v>30050000</v>
      </c>
      <c r="E24" s="13">
        <v>0.11999999999999998</v>
      </c>
      <c r="G24" s="142">
        <f t="shared" si="2"/>
        <v>22</v>
      </c>
      <c r="H24" s="7">
        <f t="shared" si="3"/>
        <v>41100001</v>
      </c>
      <c r="I24" s="142" t="s">
        <v>2</v>
      </c>
      <c r="J24" s="7">
        <v>45800000</v>
      </c>
      <c r="K24" s="13">
        <v>0.16</v>
      </c>
      <c r="M24" s="142">
        <f t="shared" si="4"/>
        <v>22</v>
      </c>
      <c r="N24" s="7">
        <f t="shared" si="5"/>
        <v>38900001</v>
      </c>
      <c r="O24" s="142" t="s">
        <v>2</v>
      </c>
      <c r="P24" s="7">
        <v>43000000</v>
      </c>
      <c r="Q24" s="13">
        <v>0.15</v>
      </c>
      <c r="S24" s="426" t="s">
        <v>11</v>
      </c>
      <c r="T24" s="426"/>
      <c r="U24" s="23">
        <v>67500000</v>
      </c>
      <c r="V24" s="140"/>
      <c r="W24" s="140"/>
      <c r="X24" s="140"/>
      <c r="Y24" s="140"/>
    </row>
    <row r="25" spans="1:25" ht="15" customHeight="1">
      <c r="A25" s="142">
        <f t="shared" si="0"/>
        <v>23</v>
      </c>
      <c r="B25" s="7">
        <f t="shared" si="1"/>
        <v>30050001</v>
      </c>
      <c r="C25" s="142" t="s">
        <v>2</v>
      </c>
      <c r="D25" s="7">
        <v>32400000</v>
      </c>
      <c r="E25" s="13">
        <v>0.12999999999999998</v>
      </c>
      <c r="G25" s="142">
        <f t="shared" si="2"/>
        <v>23</v>
      </c>
      <c r="H25" s="7">
        <f t="shared" si="3"/>
        <v>45800001</v>
      </c>
      <c r="I25" s="142" t="s">
        <v>2</v>
      </c>
      <c r="J25" s="7">
        <v>49500000</v>
      </c>
      <c r="K25" s="13">
        <v>0.17</v>
      </c>
      <c r="M25" s="142">
        <f t="shared" si="4"/>
        <v>23</v>
      </c>
      <c r="N25" s="7">
        <f t="shared" si="5"/>
        <v>43000001</v>
      </c>
      <c r="O25" s="142" t="s">
        <v>2</v>
      </c>
      <c r="P25" s="7">
        <v>47400000</v>
      </c>
      <c r="Q25" s="13">
        <v>0.16</v>
      </c>
      <c r="S25" s="426" t="s">
        <v>12</v>
      </c>
      <c r="T25" s="426"/>
      <c r="U25" s="23">
        <v>72000000</v>
      </c>
      <c r="V25" s="140"/>
      <c r="W25" s="140"/>
      <c r="X25" s="140"/>
      <c r="Y25" s="140"/>
    </row>
    <row r="26" spans="1:25" ht="15" customHeight="1">
      <c r="A26" s="142">
        <f t="shared" si="0"/>
        <v>24</v>
      </c>
      <c r="B26" s="7">
        <f t="shared" si="1"/>
        <v>32400001</v>
      </c>
      <c r="C26" s="142" t="s">
        <v>2</v>
      </c>
      <c r="D26" s="7">
        <v>35400000</v>
      </c>
      <c r="E26" s="13">
        <v>0.13999999999999999</v>
      </c>
      <c r="G26" s="142">
        <f t="shared" si="2"/>
        <v>24</v>
      </c>
      <c r="H26" s="7">
        <f t="shared" si="3"/>
        <v>49500001</v>
      </c>
      <c r="I26" s="142" t="s">
        <v>2</v>
      </c>
      <c r="J26" s="7">
        <v>53800000</v>
      </c>
      <c r="K26" s="13">
        <v>0.18000000000000002</v>
      </c>
      <c r="M26" s="142">
        <f t="shared" si="4"/>
        <v>24</v>
      </c>
      <c r="N26" s="7">
        <f t="shared" si="5"/>
        <v>47400001</v>
      </c>
      <c r="O26" s="142" t="s">
        <v>2</v>
      </c>
      <c r="P26" s="7">
        <v>51200000</v>
      </c>
      <c r="Q26" s="13">
        <v>0.17</v>
      </c>
      <c r="V26" s="140"/>
      <c r="W26" s="140"/>
      <c r="X26" s="140"/>
      <c r="Y26" s="140"/>
    </row>
    <row r="27" spans="1:25" ht="15" customHeight="1">
      <c r="A27" s="142">
        <f t="shared" si="0"/>
        <v>25</v>
      </c>
      <c r="B27" s="7">
        <f t="shared" si="1"/>
        <v>35400001</v>
      </c>
      <c r="C27" s="142" t="s">
        <v>2</v>
      </c>
      <c r="D27" s="7">
        <v>39100000</v>
      </c>
      <c r="E27" s="13">
        <v>0.15</v>
      </c>
      <c r="G27" s="142">
        <f t="shared" si="2"/>
        <v>25</v>
      </c>
      <c r="H27" s="7">
        <f t="shared" si="3"/>
        <v>53800001</v>
      </c>
      <c r="I27" s="142" t="s">
        <v>2</v>
      </c>
      <c r="J27" s="7">
        <v>58500000</v>
      </c>
      <c r="K27" s="13">
        <v>0.19000000000000003</v>
      </c>
      <c r="M27" s="142">
        <f t="shared" si="4"/>
        <v>25</v>
      </c>
      <c r="N27" s="7">
        <f t="shared" si="5"/>
        <v>51200001</v>
      </c>
      <c r="O27" s="142" t="s">
        <v>2</v>
      </c>
      <c r="P27" s="7">
        <v>55800000</v>
      </c>
      <c r="Q27" s="13">
        <v>0.18000000000000002</v>
      </c>
      <c r="V27" s="140"/>
      <c r="W27" s="140"/>
      <c r="X27" s="140"/>
      <c r="Y27" s="140"/>
    </row>
    <row r="28" spans="1:25" ht="15" customHeight="1">
      <c r="A28" s="142">
        <f t="shared" si="0"/>
        <v>26</v>
      </c>
      <c r="B28" s="7">
        <f t="shared" si="1"/>
        <v>39100001</v>
      </c>
      <c r="C28" s="142" t="s">
        <v>2</v>
      </c>
      <c r="D28" s="7">
        <v>43850000</v>
      </c>
      <c r="E28" s="13">
        <v>0.16</v>
      </c>
      <c r="G28" s="142">
        <f t="shared" si="2"/>
        <v>26</v>
      </c>
      <c r="H28" s="7">
        <f t="shared" si="3"/>
        <v>58500001</v>
      </c>
      <c r="I28" s="142" t="s">
        <v>2</v>
      </c>
      <c r="J28" s="7">
        <v>64000000</v>
      </c>
      <c r="K28" s="13">
        <v>0.20000000000000004</v>
      </c>
      <c r="M28" s="142">
        <f t="shared" si="4"/>
        <v>26</v>
      </c>
      <c r="N28" s="7">
        <f t="shared" si="5"/>
        <v>55800001</v>
      </c>
      <c r="O28" s="142" t="s">
        <v>2</v>
      </c>
      <c r="P28" s="7">
        <v>60400000</v>
      </c>
      <c r="Q28" s="13">
        <v>0.19000000000000003</v>
      </c>
      <c r="V28" s="140"/>
      <c r="W28" s="140"/>
      <c r="X28" s="140"/>
      <c r="Y28" s="140"/>
    </row>
    <row r="29" spans="1:25" ht="15" customHeight="1">
      <c r="A29" s="142">
        <f t="shared" si="0"/>
        <v>27</v>
      </c>
      <c r="B29" s="7">
        <f t="shared" si="1"/>
        <v>43850001</v>
      </c>
      <c r="C29" s="142" t="s">
        <v>2</v>
      </c>
      <c r="D29" s="7">
        <v>47800000</v>
      </c>
      <c r="E29" s="13">
        <v>0.17</v>
      </c>
      <c r="G29" s="142">
        <f t="shared" si="2"/>
        <v>27</v>
      </c>
      <c r="H29" s="7">
        <f t="shared" si="3"/>
        <v>64000001</v>
      </c>
      <c r="I29" s="142" t="s">
        <v>2</v>
      </c>
      <c r="J29" s="7">
        <v>71000000</v>
      </c>
      <c r="K29" s="13">
        <v>0.21000000000000005</v>
      </c>
      <c r="M29" s="142">
        <f t="shared" si="4"/>
        <v>27</v>
      </c>
      <c r="N29" s="7">
        <f t="shared" si="5"/>
        <v>60400001</v>
      </c>
      <c r="O29" s="142" t="s">
        <v>2</v>
      </c>
      <c r="P29" s="7">
        <v>66700000</v>
      </c>
      <c r="Q29" s="13">
        <v>0.20000000000000004</v>
      </c>
      <c r="V29" s="140"/>
      <c r="W29" s="140"/>
      <c r="X29" s="140"/>
      <c r="Y29" s="140"/>
    </row>
    <row r="30" spans="1:25" ht="15" customHeight="1">
      <c r="A30" s="142">
        <f t="shared" si="0"/>
        <v>28</v>
      </c>
      <c r="B30" s="7">
        <f t="shared" si="1"/>
        <v>47800001</v>
      </c>
      <c r="C30" s="142" t="s">
        <v>2</v>
      </c>
      <c r="D30" s="7">
        <v>51400000</v>
      </c>
      <c r="E30" s="13">
        <v>0.18000000000000002</v>
      </c>
      <c r="G30" s="142">
        <f t="shared" si="2"/>
        <v>28</v>
      </c>
      <c r="H30" s="7">
        <f t="shared" si="3"/>
        <v>71000001</v>
      </c>
      <c r="I30" s="142" t="s">
        <v>2</v>
      </c>
      <c r="J30" s="7">
        <v>80000000</v>
      </c>
      <c r="K30" s="13">
        <v>0.22000000000000006</v>
      </c>
      <c r="M30" s="142">
        <f t="shared" si="4"/>
        <v>28</v>
      </c>
      <c r="N30" s="7">
        <f t="shared" si="5"/>
        <v>66700001</v>
      </c>
      <c r="O30" s="142" t="s">
        <v>2</v>
      </c>
      <c r="P30" s="7">
        <v>74500000</v>
      </c>
      <c r="Q30" s="13">
        <v>0.21000000000000005</v>
      </c>
      <c r="V30" s="140"/>
      <c r="W30" s="140"/>
      <c r="X30" s="140"/>
      <c r="Y30" s="140"/>
    </row>
    <row r="31" spans="1:25" ht="15" customHeight="1">
      <c r="A31" s="142">
        <f t="shared" si="0"/>
        <v>29</v>
      </c>
      <c r="B31" s="7">
        <f t="shared" si="1"/>
        <v>51400001</v>
      </c>
      <c r="C31" s="142" t="s">
        <v>2</v>
      </c>
      <c r="D31" s="7">
        <v>56300000</v>
      </c>
      <c r="E31" s="13">
        <v>0.19000000000000003</v>
      </c>
      <c r="G31" s="142">
        <f t="shared" si="2"/>
        <v>29</v>
      </c>
      <c r="H31" s="7">
        <f t="shared" si="3"/>
        <v>80000001</v>
      </c>
      <c r="I31" s="142" t="s">
        <v>2</v>
      </c>
      <c r="J31" s="7">
        <v>93000000</v>
      </c>
      <c r="K31" s="13">
        <v>0.23000000000000007</v>
      </c>
      <c r="M31" s="142">
        <f t="shared" si="4"/>
        <v>29</v>
      </c>
      <c r="N31" s="7">
        <f t="shared" si="5"/>
        <v>74500001</v>
      </c>
      <c r="O31" s="142" t="s">
        <v>2</v>
      </c>
      <c r="P31" s="7">
        <v>83200000</v>
      </c>
      <c r="Q31" s="13">
        <v>0.22000000000000006</v>
      </c>
      <c r="S31" s="121"/>
      <c r="U31" s="122"/>
      <c r="V31" s="140"/>
      <c r="W31" s="140"/>
      <c r="X31" s="140"/>
      <c r="Y31" s="140"/>
    </row>
    <row r="32" spans="1:25" ht="15" customHeight="1">
      <c r="A32" s="142">
        <f t="shared" si="0"/>
        <v>30</v>
      </c>
      <c r="B32" s="7">
        <f t="shared" si="1"/>
        <v>56300001</v>
      </c>
      <c r="C32" s="142" t="s">
        <v>2</v>
      </c>
      <c r="D32" s="7">
        <v>62200000</v>
      </c>
      <c r="E32" s="13">
        <v>0.20000000000000004</v>
      </c>
      <c r="G32" s="142">
        <f t="shared" si="2"/>
        <v>30</v>
      </c>
      <c r="H32" s="7">
        <f t="shared" si="3"/>
        <v>93000001</v>
      </c>
      <c r="I32" s="142" t="s">
        <v>2</v>
      </c>
      <c r="J32" s="7">
        <v>109000000</v>
      </c>
      <c r="K32" s="13">
        <v>0.24000000000000007</v>
      </c>
      <c r="M32" s="142">
        <f t="shared" si="4"/>
        <v>30</v>
      </c>
      <c r="N32" s="7">
        <f t="shared" si="5"/>
        <v>83200001</v>
      </c>
      <c r="O32" s="142" t="s">
        <v>2</v>
      </c>
      <c r="P32" s="7">
        <v>95600000</v>
      </c>
      <c r="Q32" s="13">
        <v>0.23000000000000007</v>
      </c>
      <c r="V32" s="140"/>
      <c r="W32" s="140"/>
      <c r="X32" s="140"/>
      <c r="Y32" s="140"/>
    </row>
    <row r="33" spans="1:25" ht="15" customHeight="1">
      <c r="A33" s="142">
        <f t="shared" si="0"/>
        <v>31</v>
      </c>
      <c r="B33" s="7">
        <f t="shared" si="1"/>
        <v>62200001</v>
      </c>
      <c r="C33" s="142" t="s">
        <v>2</v>
      </c>
      <c r="D33" s="7">
        <v>68600000</v>
      </c>
      <c r="E33" s="13">
        <v>0.21000000000000005</v>
      </c>
      <c r="G33" s="142">
        <f t="shared" si="2"/>
        <v>31</v>
      </c>
      <c r="H33" s="7">
        <f t="shared" si="3"/>
        <v>109000001</v>
      </c>
      <c r="I33" s="142" t="s">
        <v>2</v>
      </c>
      <c r="J33" s="7">
        <v>129000000</v>
      </c>
      <c r="K33" s="13">
        <v>0.25000000000000006</v>
      </c>
      <c r="M33" s="142">
        <f t="shared" si="4"/>
        <v>31</v>
      </c>
      <c r="N33" s="7">
        <f t="shared" si="5"/>
        <v>95600001</v>
      </c>
      <c r="O33" s="142" t="s">
        <v>2</v>
      </c>
      <c r="P33" s="7">
        <v>110000000</v>
      </c>
      <c r="Q33" s="13">
        <v>0.24000000000000007</v>
      </c>
      <c r="S33" s="123"/>
      <c r="T33" s="140"/>
      <c r="U33" s="140"/>
      <c r="V33" s="140"/>
      <c r="W33" s="140"/>
      <c r="X33" s="140"/>
      <c r="Y33" s="140"/>
    </row>
    <row r="34" spans="1:25" ht="15" customHeight="1">
      <c r="A34" s="142">
        <f t="shared" si="0"/>
        <v>32</v>
      </c>
      <c r="B34" s="7">
        <f t="shared" si="1"/>
        <v>68600001</v>
      </c>
      <c r="C34" s="142" t="s">
        <v>2</v>
      </c>
      <c r="D34" s="7">
        <v>77500000</v>
      </c>
      <c r="E34" s="13">
        <v>0.22000000000000006</v>
      </c>
      <c r="G34" s="142">
        <f t="shared" si="2"/>
        <v>32</v>
      </c>
      <c r="H34" s="7">
        <f t="shared" si="3"/>
        <v>129000001</v>
      </c>
      <c r="I34" s="142" t="s">
        <v>2</v>
      </c>
      <c r="J34" s="7">
        <v>163000000</v>
      </c>
      <c r="K34" s="13">
        <v>0.26000000000000006</v>
      </c>
      <c r="M34" s="142">
        <f t="shared" si="4"/>
        <v>32</v>
      </c>
      <c r="N34" s="7">
        <f t="shared" si="5"/>
        <v>110000001</v>
      </c>
      <c r="O34" s="142" t="s">
        <v>2</v>
      </c>
      <c r="P34" s="7">
        <v>134000000</v>
      </c>
      <c r="Q34" s="13">
        <v>0.25000000000000006</v>
      </c>
      <c r="T34" s="140"/>
      <c r="U34" s="140"/>
      <c r="V34" s="140"/>
      <c r="W34" s="140"/>
      <c r="X34" s="140"/>
      <c r="Y34" s="140"/>
    </row>
    <row r="35" spans="1:25" ht="15" customHeight="1">
      <c r="A35" s="142">
        <f t="shared" si="0"/>
        <v>33</v>
      </c>
      <c r="B35" s="7">
        <f t="shared" si="1"/>
        <v>77500001</v>
      </c>
      <c r="C35" s="142" t="s">
        <v>2</v>
      </c>
      <c r="D35" s="7">
        <v>89000000</v>
      </c>
      <c r="E35" s="13">
        <v>0.23000000000000007</v>
      </c>
      <c r="G35" s="142">
        <f t="shared" si="2"/>
        <v>33</v>
      </c>
      <c r="H35" s="7">
        <f t="shared" si="3"/>
        <v>163000001</v>
      </c>
      <c r="I35" s="142" t="s">
        <v>2</v>
      </c>
      <c r="J35" s="7">
        <v>211000000</v>
      </c>
      <c r="K35" s="13">
        <v>0.27000000000000007</v>
      </c>
      <c r="M35" s="142">
        <f t="shared" si="4"/>
        <v>33</v>
      </c>
      <c r="N35" s="7">
        <f t="shared" si="5"/>
        <v>134000001</v>
      </c>
      <c r="O35" s="142" t="s">
        <v>2</v>
      </c>
      <c r="P35" s="7">
        <v>169000000</v>
      </c>
      <c r="Q35" s="13">
        <v>0.26000000000000006</v>
      </c>
      <c r="T35" s="140"/>
      <c r="U35" s="140"/>
      <c r="V35" s="140"/>
      <c r="W35" s="140"/>
      <c r="X35" s="140"/>
      <c r="Y35" s="140"/>
    </row>
    <row r="36" spans="1:25" ht="15" customHeight="1">
      <c r="A36" s="142">
        <f t="shared" si="0"/>
        <v>34</v>
      </c>
      <c r="B36" s="7">
        <f t="shared" si="1"/>
        <v>89000001</v>
      </c>
      <c r="C36" s="142" t="s">
        <v>2</v>
      </c>
      <c r="D36" s="7">
        <v>103000000</v>
      </c>
      <c r="E36" s="13">
        <v>0.24000000000000007</v>
      </c>
      <c r="G36" s="142">
        <f t="shared" si="2"/>
        <v>34</v>
      </c>
      <c r="H36" s="7">
        <f t="shared" si="3"/>
        <v>211000001</v>
      </c>
      <c r="I36" s="142" t="s">
        <v>2</v>
      </c>
      <c r="J36" s="7">
        <v>374000000</v>
      </c>
      <c r="K36" s="13">
        <v>0.28000000000000008</v>
      </c>
      <c r="M36" s="142">
        <f t="shared" si="4"/>
        <v>34</v>
      </c>
      <c r="N36" s="7">
        <f t="shared" si="5"/>
        <v>169000001</v>
      </c>
      <c r="O36" s="142" t="s">
        <v>2</v>
      </c>
      <c r="P36" s="7">
        <v>221000000</v>
      </c>
      <c r="Q36" s="13">
        <v>0.27000000000000007</v>
      </c>
      <c r="T36" s="140"/>
      <c r="U36" s="140"/>
      <c r="V36" s="140"/>
      <c r="W36" s="140"/>
      <c r="X36" s="140"/>
      <c r="Y36" s="140"/>
    </row>
    <row r="37" spans="1:25" ht="15" customHeight="1">
      <c r="A37" s="142">
        <f t="shared" si="0"/>
        <v>35</v>
      </c>
      <c r="B37" s="7">
        <f t="shared" si="1"/>
        <v>103000001</v>
      </c>
      <c r="C37" s="142" t="s">
        <v>2</v>
      </c>
      <c r="D37" s="7">
        <v>125000000</v>
      </c>
      <c r="E37" s="13">
        <v>0.25000000000000006</v>
      </c>
      <c r="G37" s="142">
        <f t="shared" si="2"/>
        <v>35</v>
      </c>
      <c r="H37" s="7">
        <f t="shared" si="3"/>
        <v>374000001</v>
      </c>
      <c r="I37" s="142" t="s">
        <v>2</v>
      </c>
      <c r="J37" s="7">
        <v>459000000</v>
      </c>
      <c r="K37" s="13">
        <v>0.29000000000000009</v>
      </c>
      <c r="M37" s="142">
        <f t="shared" si="4"/>
        <v>35</v>
      </c>
      <c r="N37" s="7">
        <f t="shared" si="5"/>
        <v>221000001</v>
      </c>
      <c r="O37" s="142" t="s">
        <v>2</v>
      </c>
      <c r="P37" s="7">
        <v>390000000</v>
      </c>
      <c r="Q37" s="13">
        <v>0.28000000000000008</v>
      </c>
      <c r="T37" s="140"/>
      <c r="U37" s="140"/>
      <c r="V37" s="140"/>
      <c r="W37" s="140"/>
      <c r="X37" s="140"/>
      <c r="Y37" s="140"/>
    </row>
    <row r="38" spans="1:25" ht="15" customHeight="1">
      <c r="A38" s="142">
        <f t="shared" si="0"/>
        <v>36</v>
      </c>
      <c r="B38" s="7">
        <f t="shared" si="1"/>
        <v>125000001</v>
      </c>
      <c r="C38" s="142" t="s">
        <v>2</v>
      </c>
      <c r="D38" s="7">
        <v>157000000</v>
      </c>
      <c r="E38" s="13">
        <v>0.26000000000000006</v>
      </c>
      <c r="G38" s="142">
        <f t="shared" si="2"/>
        <v>36</v>
      </c>
      <c r="H38" s="7">
        <f t="shared" si="3"/>
        <v>459000001</v>
      </c>
      <c r="I38" s="142" t="s">
        <v>2</v>
      </c>
      <c r="J38" s="7">
        <v>555000000</v>
      </c>
      <c r="K38" s="13">
        <v>0.3000000000000001</v>
      </c>
      <c r="M38" s="142">
        <f t="shared" si="4"/>
        <v>36</v>
      </c>
      <c r="N38" s="7">
        <f t="shared" si="5"/>
        <v>390000001</v>
      </c>
      <c r="O38" s="142" t="s">
        <v>2</v>
      </c>
      <c r="P38" s="7">
        <v>463000000</v>
      </c>
      <c r="Q38" s="13">
        <v>0.29000000000000009</v>
      </c>
      <c r="T38" s="140"/>
      <c r="U38" s="140"/>
      <c r="V38" s="140"/>
      <c r="W38" s="140"/>
      <c r="X38" s="140"/>
      <c r="Y38" s="140"/>
    </row>
    <row r="39" spans="1:25" ht="15" customHeight="1">
      <c r="A39" s="142">
        <f t="shared" si="0"/>
        <v>37</v>
      </c>
      <c r="B39" s="7">
        <f t="shared" si="1"/>
        <v>157000001</v>
      </c>
      <c r="C39" s="142" t="s">
        <v>2</v>
      </c>
      <c r="D39" s="7">
        <v>206000000</v>
      </c>
      <c r="E39" s="13">
        <v>0.27000000000000007</v>
      </c>
      <c r="G39" s="142">
        <f t="shared" si="2"/>
        <v>37</v>
      </c>
      <c r="H39" s="7">
        <f t="shared" si="3"/>
        <v>555000001</v>
      </c>
      <c r="I39" s="142" t="s">
        <v>2</v>
      </c>
      <c r="J39" s="7">
        <v>704000000</v>
      </c>
      <c r="K39" s="13">
        <v>0.31000000000000011</v>
      </c>
      <c r="M39" s="142">
        <f t="shared" si="4"/>
        <v>37</v>
      </c>
      <c r="N39" s="7">
        <f t="shared" si="5"/>
        <v>463000001</v>
      </c>
      <c r="O39" s="142" t="s">
        <v>2</v>
      </c>
      <c r="P39" s="7">
        <v>561000000</v>
      </c>
      <c r="Q39" s="13">
        <v>0.3000000000000001</v>
      </c>
      <c r="T39" s="140"/>
      <c r="U39" s="140"/>
      <c r="V39" s="140"/>
      <c r="W39" s="140"/>
      <c r="X39" s="140"/>
      <c r="Y39" s="140"/>
    </row>
    <row r="40" spans="1:25" ht="15" customHeight="1">
      <c r="A40" s="142">
        <f t="shared" si="0"/>
        <v>38</v>
      </c>
      <c r="B40" s="7">
        <f t="shared" si="1"/>
        <v>206000001</v>
      </c>
      <c r="C40" s="142" t="s">
        <v>2</v>
      </c>
      <c r="D40" s="7">
        <v>337000000</v>
      </c>
      <c r="E40" s="13">
        <v>0.28000000000000008</v>
      </c>
      <c r="G40" s="142">
        <f t="shared" si="2"/>
        <v>38</v>
      </c>
      <c r="H40" s="7">
        <f t="shared" si="3"/>
        <v>704000001</v>
      </c>
      <c r="I40" s="142" t="s">
        <v>2</v>
      </c>
      <c r="J40" s="7">
        <v>957000000</v>
      </c>
      <c r="K40" s="13">
        <v>0.32000000000000012</v>
      </c>
      <c r="M40" s="142">
        <f t="shared" si="4"/>
        <v>38</v>
      </c>
      <c r="N40" s="7">
        <f t="shared" si="5"/>
        <v>561000001</v>
      </c>
      <c r="O40" s="142" t="s">
        <v>2</v>
      </c>
      <c r="P40" s="7">
        <v>709000000</v>
      </c>
      <c r="Q40" s="13">
        <v>0.31000000000000011</v>
      </c>
      <c r="T40" s="140"/>
      <c r="U40" s="140"/>
      <c r="V40" s="140"/>
      <c r="W40" s="140"/>
      <c r="X40" s="140"/>
      <c r="Y40" s="140"/>
    </row>
    <row r="41" spans="1:25" ht="15" customHeight="1">
      <c r="A41" s="142">
        <f t="shared" si="0"/>
        <v>39</v>
      </c>
      <c r="B41" s="7">
        <f t="shared" si="1"/>
        <v>337000001</v>
      </c>
      <c r="C41" s="142" t="s">
        <v>2</v>
      </c>
      <c r="D41" s="7">
        <v>454000000</v>
      </c>
      <c r="E41" s="13">
        <v>0.29000000000000009</v>
      </c>
      <c r="G41" s="142">
        <f t="shared" si="2"/>
        <v>39</v>
      </c>
      <c r="H41" s="7">
        <f t="shared" si="3"/>
        <v>957000001</v>
      </c>
      <c r="I41" s="142" t="s">
        <v>2</v>
      </c>
      <c r="J41" s="7">
        <v>1405000000</v>
      </c>
      <c r="K41" s="13">
        <v>0.33000000000000013</v>
      </c>
      <c r="M41" s="142">
        <f t="shared" si="4"/>
        <v>39</v>
      </c>
      <c r="N41" s="7">
        <f t="shared" si="5"/>
        <v>709000001</v>
      </c>
      <c r="O41" s="142" t="s">
        <v>2</v>
      </c>
      <c r="P41" s="7">
        <v>965000000</v>
      </c>
      <c r="Q41" s="13">
        <v>0.32000000000000012</v>
      </c>
      <c r="T41" s="140"/>
      <c r="U41" s="140"/>
      <c r="V41" s="140"/>
      <c r="W41" s="140"/>
      <c r="X41" s="140"/>
      <c r="Y41" s="140"/>
    </row>
    <row r="42" spans="1:25" ht="15" customHeight="1">
      <c r="A42" s="142">
        <f t="shared" si="0"/>
        <v>40</v>
      </c>
      <c r="B42" s="7">
        <f t="shared" si="1"/>
        <v>454000001</v>
      </c>
      <c r="C42" s="142" t="s">
        <v>2</v>
      </c>
      <c r="D42" s="7">
        <v>550000000</v>
      </c>
      <c r="E42" s="13">
        <v>0.3000000000000001</v>
      </c>
      <c r="G42" s="142">
        <f t="shared" si="2"/>
        <v>40</v>
      </c>
      <c r="H42" s="7">
        <f t="shared" si="3"/>
        <v>1405000001</v>
      </c>
      <c r="I42" s="142" t="s">
        <v>2</v>
      </c>
      <c r="J42" s="7" t="s">
        <v>18</v>
      </c>
      <c r="K42" s="13">
        <v>0.34000000000000014</v>
      </c>
      <c r="M42" s="142">
        <f t="shared" si="4"/>
        <v>40</v>
      </c>
      <c r="N42" s="7">
        <f t="shared" si="5"/>
        <v>965000001</v>
      </c>
      <c r="O42" s="142" t="s">
        <v>2</v>
      </c>
      <c r="P42" s="7">
        <v>1419000000</v>
      </c>
      <c r="Q42" s="13">
        <v>0.33000000000000013</v>
      </c>
      <c r="T42" s="140"/>
      <c r="U42" s="140"/>
      <c r="V42" s="140"/>
      <c r="W42" s="140"/>
      <c r="X42" s="140"/>
      <c r="Y42" s="140"/>
    </row>
    <row r="43" spans="1:25" ht="15" customHeight="1">
      <c r="A43" s="142">
        <f t="shared" si="0"/>
        <v>41</v>
      </c>
      <c r="B43" s="7">
        <f t="shared" si="1"/>
        <v>550000001</v>
      </c>
      <c r="C43" s="142" t="s">
        <v>2</v>
      </c>
      <c r="D43" s="7">
        <v>695000000</v>
      </c>
      <c r="E43" s="13">
        <v>0.31000000000000011</v>
      </c>
      <c r="M43" s="142">
        <f>M42+1</f>
        <v>41</v>
      </c>
      <c r="N43" s="7">
        <f t="shared" si="5"/>
        <v>1419000001</v>
      </c>
      <c r="O43" s="142" t="s">
        <v>2</v>
      </c>
      <c r="P43" s="7" t="s">
        <v>18</v>
      </c>
      <c r="Q43" s="13">
        <v>0.34000000000000014</v>
      </c>
      <c r="T43" s="140"/>
      <c r="U43" s="140"/>
      <c r="V43" s="140"/>
      <c r="W43" s="140"/>
      <c r="X43" s="140"/>
      <c r="Y43" s="140"/>
    </row>
    <row r="44" spans="1:25" ht="15" customHeight="1">
      <c r="A44" s="142">
        <f t="shared" si="0"/>
        <v>42</v>
      </c>
      <c r="B44" s="7">
        <f t="shared" si="1"/>
        <v>695000001</v>
      </c>
      <c r="C44" s="142" t="s">
        <v>2</v>
      </c>
      <c r="D44" s="7">
        <v>910000000</v>
      </c>
      <c r="E44" s="13">
        <v>0.32000000000000012</v>
      </c>
      <c r="T44" s="140"/>
      <c r="U44" s="140"/>
      <c r="V44" s="140"/>
      <c r="W44" s="140"/>
      <c r="X44" s="140"/>
      <c r="Y44" s="140"/>
    </row>
    <row r="45" spans="1:25" ht="15" customHeight="1">
      <c r="A45" s="142">
        <f t="shared" si="0"/>
        <v>43</v>
      </c>
      <c r="B45" s="7">
        <f t="shared" si="1"/>
        <v>910000001</v>
      </c>
      <c r="C45" s="142" t="s">
        <v>2</v>
      </c>
      <c r="D45" s="7">
        <v>1400000000</v>
      </c>
      <c r="E45" s="13">
        <v>0.33000000000000013</v>
      </c>
      <c r="T45" s="140"/>
      <c r="U45" s="140"/>
      <c r="V45" s="140"/>
      <c r="W45" s="140"/>
      <c r="X45" s="140"/>
      <c r="Y45" s="140"/>
    </row>
    <row r="46" spans="1:25" ht="15" customHeight="1">
      <c r="A46" s="142">
        <f t="shared" si="0"/>
        <v>44</v>
      </c>
      <c r="B46" s="7">
        <f t="shared" si="1"/>
        <v>1400000001</v>
      </c>
      <c r="C46" s="142" t="s">
        <v>2</v>
      </c>
      <c r="D46" s="7" t="s">
        <v>18</v>
      </c>
      <c r="E46" s="13">
        <v>0.34000000000000014</v>
      </c>
      <c r="J46" s="8"/>
      <c r="T46" s="140"/>
      <c r="U46" s="140"/>
      <c r="V46" s="140"/>
      <c r="W46" s="140"/>
      <c r="X46" s="140"/>
      <c r="Y46" s="140"/>
    </row>
    <row r="47" spans="1:25" ht="15" customHeight="1">
      <c r="J47" s="10"/>
      <c r="T47" s="140"/>
      <c r="U47" s="140"/>
      <c r="V47" s="140"/>
      <c r="W47" s="140"/>
      <c r="X47" s="140"/>
      <c r="Y47" s="140"/>
    </row>
    <row r="48" spans="1:25" ht="15" customHeight="1">
      <c r="J48" s="10"/>
      <c r="T48" s="140"/>
      <c r="U48" s="140"/>
      <c r="V48" s="140"/>
      <c r="W48" s="140"/>
      <c r="X48" s="140"/>
      <c r="Y48" s="140"/>
    </row>
    <row r="54" spans="2:25" ht="15" customHeight="1">
      <c r="B54" s="140"/>
      <c r="D54" s="140"/>
      <c r="E54" s="140"/>
      <c r="J54" s="22"/>
      <c r="K54" s="140"/>
      <c r="Q54" s="140"/>
      <c r="S54" s="140"/>
      <c r="T54" s="140"/>
      <c r="U54" s="140"/>
      <c r="V54" s="140"/>
      <c r="W54" s="140"/>
      <c r="X54" s="140"/>
      <c r="Y54" s="140"/>
    </row>
    <row r="55" spans="2:25" ht="15" customHeight="1">
      <c r="B55" s="140"/>
      <c r="D55" s="140"/>
      <c r="E55" s="140"/>
      <c r="J55" s="22">
        <v>20000000</v>
      </c>
      <c r="K55" s="140"/>
      <c r="Q55" s="140"/>
      <c r="S55" s="140"/>
      <c r="T55" s="140"/>
      <c r="U55" s="140"/>
      <c r="V55" s="140"/>
      <c r="W55" s="140"/>
      <c r="X55" s="140"/>
      <c r="Y55" s="140"/>
    </row>
    <row r="56" spans="2:25" ht="15" customHeight="1">
      <c r="B56" s="140"/>
      <c r="D56" s="140"/>
      <c r="E56" s="140"/>
      <c r="J56" s="22">
        <f ca="1">J61</f>
        <v>1739130.4347826089</v>
      </c>
      <c r="K56" s="140"/>
      <c r="Q56" s="140"/>
      <c r="S56" s="140"/>
      <c r="T56" s="140"/>
      <c r="U56" s="140"/>
      <c r="V56" s="140"/>
      <c r="W56" s="140"/>
      <c r="X56" s="140"/>
      <c r="Y56" s="140"/>
    </row>
    <row r="57" spans="2:25" ht="15" customHeight="1">
      <c r="B57" s="140"/>
      <c r="D57" s="140"/>
      <c r="E57" s="140"/>
      <c r="J57" s="22">
        <f ca="1">SUM(J55:J56)</f>
        <v>21739130.434782609</v>
      </c>
      <c r="K57" s="140"/>
      <c r="Q57" s="140"/>
      <c r="S57" s="140"/>
      <c r="T57" s="140"/>
      <c r="U57" s="140"/>
      <c r="V57" s="140"/>
      <c r="W57" s="140"/>
      <c r="X57" s="140"/>
      <c r="Y57" s="140"/>
    </row>
    <row r="59" spans="2:25" ht="15" customHeight="1">
      <c r="B59" s="140"/>
      <c r="D59" s="140"/>
      <c r="E59" s="140"/>
      <c r="J59" s="22"/>
      <c r="K59" s="140"/>
      <c r="Q59" s="140"/>
      <c r="S59" s="140"/>
      <c r="T59" s="140"/>
      <c r="U59" s="140"/>
      <c r="V59" s="140"/>
      <c r="W59" s="140"/>
      <c r="X59" s="140"/>
      <c r="Y59" s="140"/>
    </row>
    <row r="60" spans="2:25" ht="15" customHeight="1">
      <c r="B60" s="140"/>
      <c r="D60" s="140"/>
      <c r="E60" s="140"/>
      <c r="J60" s="22"/>
      <c r="K60" s="140"/>
      <c r="Q60" s="140"/>
      <c r="S60" s="140"/>
      <c r="T60" s="140"/>
      <c r="U60" s="140"/>
      <c r="V60" s="140"/>
      <c r="W60" s="140"/>
      <c r="X60" s="140"/>
      <c r="Y60" s="140"/>
    </row>
    <row r="61" spans="2:25" ht="15" customHeight="1">
      <c r="B61" s="140"/>
      <c r="D61" s="140"/>
      <c r="E61" s="140"/>
      <c r="J61" s="22">
        <f ca="1">J57*8%</f>
        <v>1739130.4347826089</v>
      </c>
      <c r="K61" s="140"/>
      <c r="Q61" s="140"/>
      <c r="S61" s="140"/>
      <c r="T61" s="140"/>
      <c r="U61" s="140"/>
      <c r="V61" s="140"/>
      <c r="W61" s="140"/>
      <c r="X61" s="140"/>
      <c r="Y61" s="140"/>
    </row>
  </sheetData>
  <mergeCells count="15"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  <mergeCell ref="T14:U14"/>
    <mergeCell ref="S8:U8"/>
    <mergeCell ref="S2:U2"/>
    <mergeCell ref="B2:D2"/>
    <mergeCell ref="H2:J2"/>
    <mergeCell ref="N2:P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K460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R6" sqref="R6"/>
    </sheetView>
  </sheetViews>
  <sheetFormatPr defaultColWidth="9.28515625" defaultRowHeight="12.75" outlineLevelCol="1"/>
  <cols>
    <col min="1" max="1" width="1.5703125" style="60" customWidth="1"/>
    <col min="2" max="2" width="5.7109375" style="27" customWidth="1"/>
    <col min="3" max="3" width="25.7109375" style="28" customWidth="1"/>
    <col min="4" max="4" width="17.42578125" style="29" hidden="1" customWidth="1" outlineLevel="1"/>
    <col min="5" max="5" width="16.5703125" style="30" hidden="1" customWidth="1" outlineLevel="1"/>
    <col min="6" max="6" width="21.42578125" style="28" hidden="1" customWidth="1" outlineLevel="1"/>
    <col min="7" max="7" width="16.5703125" style="31" hidden="1" customWidth="1" outlineLevel="1"/>
    <col min="8" max="8" width="5" style="32" customWidth="1" outlineLevel="1"/>
    <col min="9" max="9" width="6.7109375" style="32" customWidth="1" outlineLevel="1"/>
    <col min="10" max="10" width="7.85546875" style="32" customWidth="1" outlineLevel="1"/>
    <col min="11" max="12" width="5.28515625" style="32" hidden="1" customWidth="1" outlineLevel="1"/>
    <col min="13" max="13" width="12.7109375" style="28" customWidth="1" collapsed="1"/>
    <col min="14" max="16" width="12.7109375" style="28" customWidth="1"/>
    <col min="17" max="17" width="13.5703125" style="28" customWidth="1"/>
    <col min="18" max="21" width="14.7109375" style="28" customWidth="1"/>
    <col min="22" max="23" width="14.7109375" style="33" customWidth="1"/>
    <col min="24" max="24" width="12.28515625" style="34" customWidth="1"/>
    <col min="25" max="25" width="12.28515625" style="35" customWidth="1"/>
    <col min="26" max="26" width="9.7109375" style="34" customWidth="1"/>
    <col min="27" max="27" width="12" style="35" customWidth="1"/>
    <col min="28" max="28" width="9.28515625" style="34" customWidth="1"/>
    <col min="29" max="29" width="9.28515625" style="36" customWidth="1"/>
    <col min="30" max="41" width="9.28515625" style="27"/>
    <col min="42" max="16384" width="9.28515625" style="60"/>
  </cols>
  <sheetData>
    <row r="1" spans="2:29" s="27" customFormat="1" ht="17.649999999999999" customHeight="1" thickBot="1">
      <c r="C1" s="87" t="s">
        <v>40</v>
      </c>
      <c r="D1" s="29"/>
      <c r="E1" s="30"/>
      <c r="F1" s="28"/>
      <c r="G1" s="31"/>
      <c r="H1" s="32"/>
      <c r="I1" s="32"/>
      <c r="J1" s="32"/>
      <c r="K1" s="32"/>
      <c r="L1" s="32"/>
      <c r="M1" s="28"/>
      <c r="N1" s="28"/>
      <c r="O1" s="28"/>
      <c r="P1" s="28"/>
      <c r="Q1" s="28"/>
      <c r="R1" s="28"/>
      <c r="S1" s="28"/>
      <c r="T1" s="28"/>
      <c r="U1" s="28"/>
      <c r="V1" s="33"/>
      <c r="W1" s="33"/>
      <c r="X1" s="34"/>
      <c r="Y1" s="35"/>
      <c r="Z1" s="34"/>
      <c r="AA1" s="35"/>
      <c r="AB1" s="34"/>
      <c r="AC1" s="36"/>
    </row>
    <row r="2" spans="2:29" s="27" customFormat="1" ht="20.100000000000001" customHeight="1" thickBot="1">
      <c r="B2" s="449" t="s">
        <v>24</v>
      </c>
      <c r="C2" s="452" t="s">
        <v>25</v>
      </c>
      <c r="D2" s="455" t="s">
        <v>26</v>
      </c>
      <c r="E2" s="456" t="s">
        <v>27</v>
      </c>
      <c r="F2" s="452" t="s">
        <v>28</v>
      </c>
      <c r="G2" s="447" t="s">
        <v>29</v>
      </c>
      <c r="H2" s="427" t="s">
        <v>46</v>
      </c>
      <c r="I2" s="428"/>
      <c r="J2" s="428"/>
      <c r="K2" s="428"/>
      <c r="L2" s="428"/>
      <c r="M2" s="431" t="s">
        <v>31</v>
      </c>
      <c r="N2" s="432"/>
      <c r="O2" s="432"/>
      <c r="P2" s="432"/>
      <c r="Q2" s="432"/>
      <c r="R2" s="441" t="s">
        <v>32</v>
      </c>
      <c r="S2" s="441" t="s">
        <v>33</v>
      </c>
      <c r="T2" s="443" t="s">
        <v>55</v>
      </c>
      <c r="U2" s="444"/>
      <c r="V2" s="441" t="s">
        <v>34</v>
      </c>
      <c r="W2" s="442" t="s">
        <v>35</v>
      </c>
      <c r="X2" s="34"/>
      <c r="Y2" s="35"/>
      <c r="Z2" s="34"/>
      <c r="AA2" s="35"/>
      <c r="AB2" s="34"/>
      <c r="AC2" s="36"/>
    </row>
    <row r="3" spans="2:29" s="27" customFormat="1" ht="13.9" customHeight="1" thickBot="1">
      <c r="B3" s="450"/>
      <c r="C3" s="453"/>
      <c r="D3" s="453"/>
      <c r="E3" s="456"/>
      <c r="F3" s="453"/>
      <c r="G3" s="447"/>
      <c r="H3" s="429"/>
      <c r="I3" s="430"/>
      <c r="J3" s="430"/>
      <c r="K3" s="430"/>
      <c r="L3" s="430"/>
      <c r="M3" s="433" t="s">
        <v>36</v>
      </c>
      <c r="N3" s="435" t="s">
        <v>43</v>
      </c>
      <c r="O3" s="435" t="s">
        <v>45</v>
      </c>
      <c r="P3" s="437" t="s">
        <v>44</v>
      </c>
      <c r="Q3" s="435" t="s">
        <v>41</v>
      </c>
      <c r="R3" s="441"/>
      <c r="S3" s="441"/>
      <c r="T3" s="445"/>
      <c r="U3" s="446"/>
      <c r="V3" s="441"/>
      <c r="W3" s="442"/>
      <c r="X3" s="34"/>
      <c r="Y3" s="35"/>
      <c r="Z3" s="34"/>
      <c r="AA3" s="35"/>
      <c r="AB3" s="34"/>
      <c r="AC3" s="36"/>
    </row>
    <row r="4" spans="2:29" s="27" customFormat="1" ht="36.6" customHeight="1" thickBot="1">
      <c r="B4" s="451"/>
      <c r="C4" s="454"/>
      <c r="D4" s="454"/>
      <c r="E4" s="456"/>
      <c r="F4" s="454"/>
      <c r="G4" s="448"/>
      <c r="H4" s="38" t="s">
        <v>37</v>
      </c>
      <c r="I4" s="38" t="s">
        <v>6</v>
      </c>
      <c r="J4" s="91" t="s">
        <v>15</v>
      </c>
      <c r="K4" s="439" t="s">
        <v>30</v>
      </c>
      <c r="L4" s="440"/>
      <c r="M4" s="434"/>
      <c r="N4" s="436"/>
      <c r="O4" s="436"/>
      <c r="P4" s="438"/>
      <c r="Q4" s="436"/>
      <c r="R4" s="441"/>
      <c r="S4" s="441"/>
      <c r="T4" s="37" t="s">
        <v>54</v>
      </c>
      <c r="U4" s="37" t="s">
        <v>53</v>
      </c>
      <c r="V4" s="441"/>
      <c r="W4" s="442"/>
      <c r="X4" s="34"/>
      <c r="Y4" s="35"/>
      <c r="Z4" s="34"/>
      <c r="AA4" s="35"/>
      <c r="AB4" s="34"/>
      <c r="AC4" s="36"/>
    </row>
    <row r="5" spans="2:29" s="103" customFormat="1" ht="21.4" customHeight="1" thickBot="1">
      <c r="B5" s="98">
        <v>1</v>
      </c>
      <c r="C5" s="99">
        <v>2</v>
      </c>
      <c r="D5" s="98">
        <v>3</v>
      </c>
      <c r="E5" s="99">
        <v>4</v>
      </c>
      <c r="F5" s="98">
        <v>5</v>
      </c>
      <c r="G5" s="99">
        <v>6</v>
      </c>
      <c r="H5" s="98">
        <v>7</v>
      </c>
      <c r="I5" s="99">
        <v>8</v>
      </c>
      <c r="J5" s="98">
        <v>9</v>
      </c>
      <c r="K5" s="99">
        <v>10</v>
      </c>
      <c r="L5" s="98">
        <v>11</v>
      </c>
      <c r="M5" s="99">
        <v>12</v>
      </c>
      <c r="N5" s="98">
        <v>13</v>
      </c>
      <c r="O5" s="99">
        <v>14</v>
      </c>
      <c r="P5" s="98">
        <v>15</v>
      </c>
      <c r="Q5" s="99">
        <v>16</v>
      </c>
      <c r="R5" s="99">
        <v>30</v>
      </c>
      <c r="S5" s="98">
        <v>31</v>
      </c>
      <c r="T5" s="99">
        <v>32</v>
      </c>
      <c r="U5" s="98">
        <v>33</v>
      </c>
      <c r="V5" s="99">
        <v>34</v>
      </c>
      <c r="W5" s="98">
        <v>35</v>
      </c>
      <c r="X5" s="100"/>
      <c r="Y5" s="101"/>
      <c r="Z5" s="100"/>
      <c r="AA5" s="101"/>
      <c r="AB5" s="100"/>
      <c r="AC5" s="102"/>
    </row>
    <row r="6" spans="2:29" s="27" customFormat="1" ht="15" customHeight="1">
      <c r="B6" s="39">
        <v>1</v>
      </c>
      <c r="C6" s="40" t="s">
        <v>67</v>
      </c>
      <c r="D6" s="41"/>
      <c r="E6" s="42"/>
      <c r="F6" s="40"/>
      <c r="G6" s="40"/>
      <c r="H6" s="43" t="s">
        <v>38</v>
      </c>
      <c r="I6" s="44" t="s">
        <v>7</v>
      </c>
      <c r="J6" s="86" t="str">
        <f>IF(ISBLANK(I6),"",IF(OR(I6="TK/0",I6="TK/1",I6="K/0"),"TER A",IF(I6="K/3","TER C","TER B")))</f>
        <v>TER A</v>
      </c>
      <c r="K6" s="88">
        <v>1</v>
      </c>
      <c r="L6" s="124">
        <v>1</v>
      </c>
      <c r="M6" s="45">
        <v>7006344</v>
      </c>
      <c r="N6" s="45">
        <v>0</v>
      </c>
      <c r="O6" s="45">
        <f>38871+185100</f>
        <v>223971</v>
      </c>
      <c r="P6" s="139">
        <v>0</v>
      </c>
      <c r="Q6" s="94">
        <f t="shared" ref="Q6:Q16" si="0">SUM(M6:P6)</f>
        <v>7230315</v>
      </c>
      <c r="R6" s="114">
        <f t="shared" ref="R6:R16" si="1">IFERROR(VLOOKUP(I6,PTKP,3,FALSE),0)</f>
        <v>0</v>
      </c>
      <c r="S6" s="114" t="e">
        <f>ROUNDDOWN(IF(#REF!&gt;R6,#REF!-R6,0),-3)</f>
        <v>#REF!</v>
      </c>
      <c r="T6" s="115" t="e">
        <f>IF(S6&gt;5000000000,S6*35%-306000000,IF(S6&gt;500000000,S6*30%-56000000,IF(S6&gt;250000000,S6*25%-31000000,IF(S6&gt;60000000,S6*15%-6000000,S6*5%))))</f>
        <v>#REF!</v>
      </c>
      <c r="U6" s="115" t="e">
        <f t="shared" ref="U6:U16" si="2">ROUND(IF(E6=0,T6*120%,T6),0)</f>
        <v>#REF!</v>
      </c>
      <c r="V6" s="136"/>
      <c r="W6" s="114" t="e">
        <f>U6-V6</f>
        <v>#REF!</v>
      </c>
      <c r="X6" s="34"/>
      <c r="Y6" s="35"/>
      <c r="Z6" s="34"/>
      <c r="AA6" s="35"/>
      <c r="AB6" s="34"/>
      <c r="AC6" s="36"/>
    </row>
    <row r="7" spans="2:29" s="27" customFormat="1" ht="15" customHeight="1">
      <c r="B7" s="46">
        <v>2</v>
      </c>
      <c r="C7" s="47"/>
      <c r="D7" s="48"/>
      <c r="E7" s="49"/>
      <c r="F7" s="47"/>
      <c r="G7" s="47"/>
      <c r="H7" s="50"/>
      <c r="I7" s="51"/>
      <c r="J7" s="92" t="str">
        <f t="shared" ref="J7:J16" si="3">IF(ISBLANK(I7),"",IF(OR(I7="TK/0",I7="TK/1",I7="K/0"),"TER A",IF(I7="K/3","TER C","TER B")))</f>
        <v/>
      </c>
      <c r="K7" s="89"/>
      <c r="L7" s="125"/>
      <c r="M7" s="52"/>
      <c r="N7" s="52"/>
      <c r="O7" s="52"/>
      <c r="P7" s="95" t="e">
        <f t="shared" ref="P7:P16" si="4">W7</f>
        <v>#REF!</v>
      </c>
      <c r="Q7" s="95" t="e">
        <f t="shared" si="0"/>
        <v>#REF!</v>
      </c>
      <c r="R7" s="116">
        <f t="shared" si="1"/>
        <v>0</v>
      </c>
      <c r="S7" s="116" t="e">
        <f>ROUNDDOWN(IF(#REF!&gt;R7,#REF!-R7,0),-3)</f>
        <v>#REF!</v>
      </c>
      <c r="T7" s="117" t="e">
        <f>IF(S7&gt;5000000000,S7*35%-306000000,IF(S7&gt;500000000,S7*30%-56000000,IF(S7&gt;250000000,S7*25%-31000000,IF(S7&gt;60000000,S7*15%-6000000,S7*5%))))</f>
        <v>#REF!</v>
      </c>
      <c r="U7" s="117" t="e">
        <f t="shared" si="2"/>
        <v>#REF!</v>
      </c>
      <c r="V7" s="137"/>
      <c r="W7" s="116" t="e">
        <f>U7-V7</f>
        <v>#REF!</v>
      </c>
      <c r="X7" s="34"/>
      <c r="Y7" s="35"/>
      <c r="Z7" s="34"/>
      <c r="AA7" s="35"/>
      <c r="AB7" s="34"/>
      <c r="AC7" s="36"/>
    </row>
    <row r="8" spans="2:29" s="27" customFormat="1" ht="15" customHeight="1">
      <c r="B8" s="46">
        <v>3</v>
      </c>
      <c r="C8" s="47"/>
      <c r="D8" s="48"/>
      <c r="E8" s="49"/>
      <c r="F8" s="47"/>
      <c r="G8" s="47"/>
      <c r="H8" s="50"/>
      <c r="I8" s="51"/>
      <c r="J8" s="92" t="str">
        <f t="shared" si="3"/>
        <v/>
      </c>
      <c r="K8" s="89"/>
      <c r="L8" s="125"/>
      <c r="M8" s="52"/>
      <c r="N8" s="52"/>
      <c r="O8" s="52"/>
      <c r="P8" s="95" t="e">
        <f t="shared" si="4"/>
        <v>#REF!</v>
      </c>
      <c r="Q8" s="95" t="e">
        <f t="shared" si="0"/>
        <v>#REF!</v>
      </c>
      <c r="R8" s="116">
        <f t="shared" si="1"/>
        <v>0</v>
      </c>
      <c r="S8" s="116" t="e">
        <f>ROUNDDOWN(IF(#REF!&gt;R8,#REF!-R8,0),-3)</f>
        <v>#REF!</v>
      </c>
      <c r="T8" s="117" t="e">
        <f t="shared" ref="T8:T16" si="5">IF(S8&gt;5000000000,S8*35%-306000000,IF(S8&gt;500000000,S8*30%-56000000,IF(S8&gt;250000000,S8*25%-31000000,IF(S8&gt;60000000,S8*15%-6000000,S8*5%))))</f>
        <v>#REF!</v>
      </c>
      <c r="U8" s="117" t="e">
        <f t="shared" si="2"/>
        <v>#REF!</v>
      </c>
      <c r="V8" s="137"/>
      <c r="W8" s="116" t="e">
        <f>U8-V8</f>
        <v>#REF!</v>
      </c>
      <c r="X8" s="34"/>
      <c r="Y8" s="35"/>
      <c r="Z8" s="34"/>
      <c r="AA8" s="35"/>
      <c r="AB8" s="34"/>
      <c r="AC8" s="34"/>
    </row>
    <row r="9" spans="2:29" s="27" customFormat="1" ht="15" customHeight="1">
      <c r="B9" s="46">
        <v>4</v>
      </c>
      <c r="C9" s="47"/>
      <c r="D9" s="48"/>
      <c r="E9" s="49"/>
      <c r="F9" s="47"/>
      <c r="G9" s="47"/>
      <c r="H9" s="50"/>
      <c r="I9" s="51"/>
      <c r="J9" s="92" t="str">
        <f t="shared" si="3"/>
        <v/>
      </c>
      <c r="K9" s="89"/>
      <c r="L9" s="125"/>
      <c r="M9" s="52"/>
      <c r="N9" s="52"/>
      <c r="O9" s="52"/>
      <c r="P9" s="95" t="e">
        <f t="shared" si="4"/>
        <v>#REF!</v>
      </c>
      <c r="Q9" s="95" t="e">
        <f t="shared" si="0"/>
        <v>#REF!</v>
      </c>
      <c r="R9" s="116">
        <f t="shared" si="1"/>
        <v>0</v>
      </c>
      <c r="S9" s="116" t="e">
        <f>ROUNDDOWN(IF(#REF!&gt;R9,#REF!-R9,0),-3)</f>
        <v>#REF!</v>
      </c>
      <c r="T9" s="117" t="e">
        <f t="shared" si="5"/>
        <v>#REF!</v>
      </c>
      <c r="U9" s="117" t="e">
        <f t="shared" si="2"/>
        <v>#REF!</v>
      </c>
      <c r="V9" s="137"/>
      <c r="W9" s="116" t="e">
        <f>U9-V9</f>
        <v>#REF!</v>
      </c>
      <c r="X9" s="34"/>
      <c r="Y9" s="35"/>
      <c r="Z9" s="34"/>
      <c r="AA9" s="35"/>
      <c r="AB9" s="34"/>
      <c r="AC9" s="36"/>
    </row>
    <row r="10" spans="2:29" s="27" customFormat="1" ht="15" customHeight="1">
      <c r="B10" s="46">
        <v>5</v>
      </c>
      <c r="C10" s="47"/>
      <c r="D10" s="48"/>
      <c r="E10" s="49"/>
      <c r="F10" s="47"/>
      <c r="G10" s="47"/>
      <c r="H10" s="50"/>
      <c r="I10" s="51"/>
      <c r="J10" s="92" t="str">
        <f t="shared" si="3"/>
        <v/>
      </c>
      <c r="K10" s="89"/>
      <c r="L10" s="125"/>
      <c r="M10" s="52"/>
      <c r="N10" s="52"/>
      <c r="O10" s="52"/>
      <c r="P10" s="95" t="e">
        <f t="shared" si="4"/>
        <v>#REF!</v>
      </c>
      <c r="Q10" s="95" t="e">
        <f t="shared" si="0"/>
        <v>#REF!</v>
      </c>
      <c r="R10" s="116">
        <f t="shared" si="1"/>
        <v>0</v>
      </c>
      <c r="S10" s="116" t="e">
        <f>ROUNDDOWN(IF(#REF!&gt;R10,#REF!-R10,0),-3)</f>
        <v>#REF!</v>
      </c>
      <c r="T10" s="117" t="e">
        <f t="shared" si="5"/>
        <v>#REF!</v>
      </c>
      <c r="U10" s="117" t="e">
        <f t="shared" si="2"/>
        <v>#REF!</v>
      </c>
      <c r="V10" s="137"/>
      <c r="W10" s="116" t="e">
        <f>U10-V10</f>
        <v>#REF!</v>
      </c>
      <c r="X10" s="34"/>
      <c r="Y10" s="35"/>
      <c r="Z10" s="34"/>
      <c r="AA10" s="35"/>
      <c r="AB10" s="34"/>
      <c r="AC10" s="36"/>
    </row>
    <row r="11" spans="2:29" s="27" customFormat="1" ht="15" customHeight="1">
      <c r="B11" s="46">
        <v>6</v>
      </c>
      <c r="C11" s="47"/>
      <c r="D11" s="48"/>
      <c r="E11" s="49"/>
      <c r="F11" s="47"/>
      <c r="G11" s="47"/>
      <c r="H11" s="50"/>
      <c r="I11" s="51"/>
      <c r="J11" s="92" t="str">
        <f t="shared" si="3"/>
        <v/>
      </c>
      <c r="K11" s="89"/>
      <c r="L11" s="125"/>
      <c r="M11" s="52"/>
      <c r="N11" s="52"/>
      <c r="O11" s="52"/>
      <c r="P11" s="95" t="e">
        <f t="shared" si="4"/>
        <v>#REF!</v>
      </c>
      <c r="Q11" s="95" t="e">
        <f t="shared" si="0"/>
        <v>#REF!</v>
      </c>
      <c r="R11" s="116">
        <f t="shared" si="1"/>
        <v>0</v>
      </c>
      <c r="S11" s="116" t="e">
        <f>ROUNDDOWN(IF(#REF!&gt;R11,#REF!-R11,0),-3)</f>
        <v>#REF!</v>
      </c>
      <c r="T11" s="117" t="e">
        <f t="shared" si="5"/>
        <v>#REF!</v>
      </c>
      <c r="U11" s="117" t="e">
        <f t="shared" si="2"/>
        <v>#REF!</v>
      </c>
      <c r="V11" s="137"/>
      <c r="W11" s="116" t="e">
        <f t="shared" ref="W11:W16" si="6">U11-V11</f>
        <v>#REF!</v>
      </c>
      <c r="X11" s="34"/>
      <c r="Y11" s="35"/>
      <c r="Z11" s="34"/>
      <c r="AA11" s="35"/>
      <c r="AB11" s="34"/>
      <c r="AC11" s="36"/>
    </row>
    <row r="12" spans="2:29" s="27" customFormat="1" ht="15" customHeight="1">
      <c r="B12" s="46">
        <v>7</v>
      </c>
      <c r="C12" s="47"/>
      <c r="D12" s="48"/>
      <c r="E12" s="49"/>
      <c r="F12" s="47"/>
      <c r="G12" s="47"/>
      <c r="H12" s="50"/>
      <c r="I12" s="51"/>
      <c r="J12" s="92" t="str">
        <f t="shared" si="3"/>
        <v/>
      </c>
      <c r="K12" s="89"/>
      <c r="L12" s="125"/>
      <c r="M12" s="52"/>
      <c r="N12" s="52"/>
      <c r="O12" s="52"/>
      <c r="P12" s="95" t="e">
        <f t="shared" si="4"/>
        <v>#REF!</v>
      </c>
      <c r="Q12" s="95" t="e">
        <f t="shared" si="0"/>
        <v>#REF!</v>
      </c>
      <c r="R12" s="116">
        <f t="shared" si="1"/>
        <v>0</v>
      </c>
      <c r="S12" s="116" t="e">
        <f>ROUNDDOWN(IF(#REF!&gt;R12,#REF!-R12,0),-3)</f>
        <v>#REF!</v>
      </c>
      <c r="T12" s="117" t="e">
        <f t="shared" si="5"/>
        <v>#REF!</v>
      </c>
      <c r="U12" s="117" t="e">
        <f t="shared" si="2"/>
        <v>#REF!</v>
      </c>
      <c r="V12" s="137"/>
      <c r="W12" s="116" t="e">
        <f t="shared" si="6"/>
        <v>#REF!</v>
      </c>
      <c r="X12" s="34"/>
      <c r="Y12" s="35"/>
      <c r="Z12" s="34"/>
      <c r="AA12" s="35"/>
      <c r="AB12" s="34"/>
      <c r="AC12" s="36"/>
    </row>
    <row r="13" spans="2:29" s="27" customFormat="1" ht="15" customHeight="1">
      <c r="B13" s="46">
        <v>8</v>
      </c>
      <c r="C13" s="47"/>
      <c r="D13" s="48"/>
      <c r="E13" s="49"/>
      <c r="F13" s="47"/>
      <c r="G13" s="47"/>
      <c r="H13" s="50"/>
      <c r="I13" s="51"/>
      <c r="J13" s="92" t="str">
        <f t="shared" si="3"/>
        <v/>
      </c>
      <c r="K13" s="89"/>
      <c r="L13" s="125"/>
      <c r="M13" s="52"/>
      <c r="N13" s="52"/>
      <c r="O13" s="52"/>
      <c r="P13" s="95" t="e">
        <f t="shared" si="4"/>
        <v>#REF!</v>
      </c>
      <c r="Q13" s="95" t="e">
        <f t="shared" si="0"/>
        <v>#REF!</v>
      </c>
      <c r="R13" s="116">
        <f t="shared" si="1"/>
        <v>0</v>
      </c>
      <c r="S13" s="116" t="e">
        <f>ROUNDDOWN(IF(#REF!&gt;R13,#REF!-R13,0),-3)</f>
        <v>#REF!</v>
      </c>
      <c r="T13" s="117" t="e">
        <f t="shared" si="5"/>
        <v>#REF!</v>
      </c>
      <c r="U13" s="117" t="e">
        <f t="shared" si="2"/>
        <v>#REF!</v>
      </c>
      <c r="V13" s="137"/>
      <c r="W13" s="116" t="e">
        <f t="shared" si="6"/>
        <v>#REF!</v>
      </c>
      <c r="X13" s="34"/>
      <c r="Y13" s="35"/>
      <c r="Z13" s="34"/>
      <c r="AA13" s="35"/>
      <c r="AB13" s="34"/>
      <c r="AC13" s="36"/>
    </row>
    <row r="14" spans="2:29" s="27" customFormat="1" ht="15" customHeight="1">
      <c r="B14" s="46">
        <v>9</v>
      </c>
      <c r="C14" s="47"/>
      <c r="D14" s="48"/>
      <c r="E14" s="49"/>
      <c r="F14" s="47"/>
      <c r="G14" s="47"/>
      <c r="H14" s="50"/>
      <c r="I14" s="51"/>
      <c r="J14" s="92" t="str">
        <f t="shared" si="3"/>
        <v/>
      </c>
      <c r="K14" s="89"/>
      <c r="L14" s="125"/>
      <c r="M14" s="52"/>
      <c r="N14" s="52"/>
      <c r="O14" s="52"/>
      <c r="P14" s="95" t="e">
        <f t="shared" si="4"/>
        <v>#REF!</v>
      </c>
      <c r="Q14" s="95" t="e">
        <f t="shared" si="0"/>
        <v>#REF!</v>
      </c>
      <c r="R14" s="116">
        <f t="shared" si="1"/>
        <v>0</v>
      </c>
      <c r="S14" s="116" t="e">
        <f>ROUNDDOWN(IF(#REF!&gt;R14,#REF!-R14,0),-3)</f>
        <v>#REF!</v>
      </c>
      <c r="T14" s="117" t="e">
        <f t="shared" si="5"/>
        <v>#REF!</v>
      </c>
      <c r="U14" s="117" t="e">
        <f t="shared" si="2"/>
        <v>#REF!</v>
      </c>
      <c r="V14" s="137"/>
      <c r="W14" s="116" t="e">
        <f t="shared" si="6"/>
        <v>#REF!</v>
      </c>
      <c r="X14" s="34"/>
      <c r="Y14" s="35"/>
      <c r="Z14" s="34"/>
      <c r="AA14" s="35"/>
      <c r="AB14" s="34"/>
      <c r="AC14" s="36"/>
    </row>
    <row r="15" spans="2:29" s="27" customFormat="1" ht="15" customHeight="1">
      <c r="B15" s="46">
        <v>10</v>
      </c>
      <c r="C15" s="47"/>
      <c r="D15" s="48"/>
      <c r="E15" s="49"/>
      <c r="F15" s="47"/>
      <c r="G15" s="47"/>
      <c r="H15" s="50"/>
      <c r="I15" s="51"/>
      <c r="J15" s="92" t="str">
        <f t="shared" si="3"/>
        <v/>
      </c>
      <c r="K15" s="89"/>
      <c r="L15" s="125"/>
      <c r="M15" s="52"/>
      <c r="N15" s="52"/>
      <c r="O15" s="52"/>
      <c r="P15" s="95" t="e">
        <f t="shared" si="4"/>
        <v>#REF!</v>
      </c>
      <c r="Q15" s="95" t="e">
        <f t="shared" si="0"/>
        <v>#REF!</v>
      </c>
      <c r="R15" s="116">
        <f t="shared" si="1"/>
        <v>0</v>
      </c>
      <c r="S15" s="116" t="e">
        <f>ROUNDDOWN(IF(#REF!&gt;R15,#REF!-R15,0),-3)</f>
        <v>#REF!</v>
      </c>
      <c r="T15" s="117" t="e">
        <f t="shared" si="5"/>
        <v>#REF!</v>
      </c>
      <c r="U15" s="117" t="e">
        <f t="shared" si="2"/>
        <v>#REF!</v>
      </c>
      <c r="V15" s="137"/>
      <c r="W15" s="116" t="e">
        <f t="shared" si="6"/>
        <v>#REF!</v>
      </c>
      <c r="X15" s="34"/>
      <c r="Y15" s="35"/>
      <c r="Z15" s="34"/>
      <c r="AA15" s="35"/>
      <c r="AB15" s="34"/>
      <c r="AC15" s="36"/>
    </row>
    <row r="16" spans="2:29" s="27" customFormat="1" ht="15" customHeight="1" thickBot="1">
      <c r="B16" s="53"/>
      <c r="C16" s="54"/>
      <c r="D16" s="104"/>
      <c r="E16" s="105"/>
      <c r="F16" s="106"/>
      <c r="G16" s="106"/>
      <c r="H16" s="107"/>
      <c r="I16" s="108"/>
      <c r="J16" s="109" t="str">
        <f t="shared" si="3"/>
        <v/>
      </c>
      <c r="K16" s="110"/>
      <c r="L16" s="126"/>
      <c r="M16" s="138"/>
      <c r="N16" s="54"/>
      <c r="O16" s="54"/>
      <c r="P16" s="97" t="e">
        <f t="shared" si="4"/>
        <v>#REF!</v>
      </c>
      <c r="Q16" s="111" t="e">
        <f t="shared" si="0"/>
        <v>#REF!</v>
      </c>
      <c r="R16" s="118">
        <f t="shared" si="1"/>
        <v>0</v>
      </c>
      <c r="S16" s="118" t="e">
        <f>ROUNDDOWN(IF(#REF!&gt;R16,#REF!-R16,0),-3)</f>
        <v>#REF!</v>
      </c>
      <c r="T16" s="119" t="e">
        <f t="shared" si="5"/>
        <v>#REF!</v>
      </c>
      <c r="U16" s="120" t="e">
        <f t="shared" si="2"/>
        <v>#REF!</v>
      </c>
      <c r="V16" s="54"/>
      <c r="W16" s="118" t="e">
        <f t="shared" si="6"/>
        <v>#REF!</v>
      </c>
      <c r="X16" s="34"/>
      <c r="Y16" s="35"/>
      <c r="Z16" s="34"/>
      <c r="AA16" s="35"/>
      <c r="AB16" s="34"/>
      <c r="AC16" s="36"/>
    </row>
    <row r="17" spans="2:63" s="59" customFormat="1" ht="22.15" customHeight="1" thickBot="1"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27"/>
      <c r="M17" s="113">
        <f t="shared" ref="M17:W17" si="7">SUM(M6:M16)</f>
        <v>7006344</v>
      </c>
      <c r="N17" s="113">
        <f t="shared" si="7"/>
        <v>0</v>
      </c>
      <c r="O17" s="113">
        <f t="shared" si="7"/>
        <v>223971</v>
      </c>
      <c r="P17" s="113" t="e">
        <f t="shared" si="7"/>
        <v>#REF!</v>
      </c>
      <c r="Q17" s="113" t="e">
        <f t="shared" si="7"/>
        <v>#REF!</v>
      </c>
      <c r="R17" s="113">
        <f t="shared" si="7"/>
        <v>0</v>
      </c>
      <c r="S17" s="113" t="e">
        <f t="shared" si="7"/>
        <v>#REF!</v>
      </c>
      <c r="T17" s="113" t="e">
        <f t="shared" si="7"/>
        <v>#REF!</v>
      </c>
      <c r="U17" s="113" t="e">
        <f t="shared" si="7"/>
        <v>#REF!</v>
      </c>
      <c r="V17" s="113">
        <f t="shared" si="7"/>
        <v>0</v>
      </c>
      <c r="W17" s="113" t="e">
        <f t="shared" si="7"/>
        <v>#REF!</v>
      </c>
      <c r="X17" s="55"/>
      <c r="Y17" s="56" t="s">
        <v>60</v>
      </c>
      <c r="Z17" s="55"/>
      <c r="AA17" s="56"/>
      <c r="AB17" s="55"/>
      <c r="AC17" s="57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</row>
    <row r="18" spans="2:63" ht="15" customHeight="1" thickTop="1"/>
    <row r="19" spans="2:63" ht="15" customHeight="1">
      <c r="B19" s="58" t="s">
        <v>47</v>
      </c>
      <c r="O19" s="62"/>
      <c r="T19" s="128"/>
    </row>
    <row r="20" spans="2:63" ht="15" customHeight="1">
      <c r="B20" s="27" t="s">
        <v>48</v>
      </c>
      <c r="O20" s="62"/>
      <c r="T20" s="128"/>
    </row>
    <row r="21" spans="2:63" ht="15" customHeight="1">
      <c r="B21" s="27" t="s">
        <v>56</v>
      </c>
      <c r="O21" s="62"/>
      <c r="T21" s="128"/>
    </row>
    <row r="22" spans="2:63" ht="15" customHeight="1">
      <c r="B22" s="27" t="s">
        <v>49</v>
      </c>
      <c r="O22" s="62"/>
      <c r="T22" s="128"/>
    </row>
    <row r="23" spans="2:63" s="33" customFormat="1" ht="15" customHeight="1">
      <c r="B23" s="27" t="s">
        <v>57</v>
      </c>
      <c r="C23" s="28"/>
      <c r="D23" s="29"/>
      <c r="E23" s="30"/>
      <c r="F23" s="28"/>
      <c r="G23" s="31"/>
      <c r="H23" s="32"/>
      <c r="I23" s="32"/>
      <c r="J23" s="32"/>
      <c r="K23" s="32"/>
      <c r="L23" s="32"/>
      <c r="M23" s="28"/>
      <c r="N23" s="28"/>
      <c r="O23" s="62"/>
      <c r="P23" s="28"/>
      <c r="Q23" s="28"/>
      <c r="R23" s="28"/>
      <c r="S23" s="28"/>
      <c r="T23" s="128"/>
      <c r="U23" s="28"/>
      <c r="X23" s="34"/>
      <c r="Y23" s="35"/>
      <c r="Z23" s="34"/>
      <c r="AA23" s="35"/>
      <c r="AB23" s="34"/>
      <c r="AC23" s="36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</row>
    <row r="24" spans="2:63" s="33" customFormat="1" ht="15" customHeight="1">
      <c r="B24" s="27" t="s">
        <v>50</v>
      </c>
      <c r="C24" s="28"/>
      <c r="D24" s="29"/>
      <c r="E24" s="30"/>
      <c r="F24" s="28"/>
      <c r="G24" s="31"/>
      <c r="H24" s="32"/>
      <c r="I24" s="32"/>
      <c r="J24" s="32"/>
      <c r="K24" s="32"/>
      <c r="L24" s="32"/>
      <c r="M24" s="28"/>
      <c r="N24" s="28"/>
      <c r="O24" s="62"/>
      <c r="P24" s="28"/>
      <c r="Q24" s="28"/>
      <c r="R24" s="28"/>
      <c r="S24" s="28"/>
      <c r="T24" s="28"/>
      <c r="U24" s="28">
        <f>SUM(U19:U23)</f>
        <v>0</v>
      </c>
      <c r="X24" s="34"/>
      <c r="Y24" s="35"/>
      <c r="Z24" s="34"/>
      <c r="AA24" s="35"/>
      <c r="AB24" s="34"/>
      <c r="AC24" s="36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</row>
    <row r="25" spans="2:63" s="33" customFormat="1" ht="15" customHeight="1">
      <c r="B25" s="27" t="s">
        <v>51</v>
      </c>
      <c r="C25" s="28"/>
      <c r="D25" s="29"/>
      <c r="E25" s="30"/>
      <c r="F25" s="28"/>
      <c r="G25" s="31"/>
      <c r="H25" s="32"/>
      <c r="I25" s="32"/>
      <c r="J25" s="32"/>
      <c r="K25" s="32"/>
      <c r="L25" s="32"/>
      <c r="M25" s="28"/>
      <c r="N25" s="28"/>
      <c r="O25" s="62"/>
      <c r="P25" s="28"/>
      <c r="Q25" s="28"/>
      <c r="R25" s="28"/>
      <c r="S25" s="28"/>
      <c r="T25" s="28"/>
      <c r="U25" s="28"/>
      <c r="X25" s="34"/>
      <c r="Y25" s="35"/>
      <c r="Z25" s="34"/>
      <c r="AA25" s="35"/>
      <c r="AB25" s="34"/>
      <c r="AC25" s="36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</row>
    <row r="26" spans="2:63" s="33" customFormat="1" ht="15" customHeight="1">
      <c r="B26" s="27" t="s">
        <v>52</v>
      </c>
      <c r="C26" s="28"/>
      <c r="D26" s="29"/>
      <c r="E26" s="30"/>
      <c r="F26" s="28"/>
      <c r="G26" s="31"/>
      <c r="H26" s="32"/>
      <c r="I26" s="32"/>
      <c r="J26" s="32"/>
      <c r="K26" s="32"/>
      <c r="L26" s="32"/>
      <c r="M26" s="28"/>
      <c r="N26" s="28"/>
      <c r="O26" s="62"/>
      <c r="P26" s="28"/>
      <c r="Q26" s="28"/>
      <c r="R26" s="28"/>
      <c r="S26" s="28"/>
      <c r="T26" s="28"/>
      <c r="U26" s="28"/>
      <c r="X26" s="34"/>
      <c r="Y26" s="35"/>
      <c r="Z26" s="34"/>
      <c r="AA26" s="35"/>
      <c r="AB26" s="34"/>
      <c r="AC26" s="36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</row>
    <row r="27" spans="2:63" s="33" customFormat="1" ht="15" customHeight="1">
      <c r="B27" s="27" t="s">
        <v>66</v>
      </c>
      <c r="C27" s="28"/>
      <c r="D27" s="29"/>
      <c r="E27" s="30"/>
      <c r="F27" s="28"/>
      <c r="G27" s="31"/>
      <c r="H27" s="32"/>
      <c r="I27" s="32"/>
      <c r="J27" s="32"/>
      <c r="K27" s="32"/>
      <c r="L27" s="32"/>
      <c r="M27" s="28"/>
      <c r="N27" s="28"/>
      <c r="O27" s="62"/>
      <c r="P27" s="28"/>
      <c r="Q27" s="28"/>
      <c r="R27" s="28"/>
      <c r="S27" s="28"/>
      <c r="T27" s="28"/>
      <c r="U27" s="28"/>
      <c r="X27" s="34"/>
      <c r="Y27" s="35"/>
      <c r="Z27" s="34"/>
      <c r="AA27" s="35"/>
      <c r="AB27" s="34"/>
      <c r="AC27" s="36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</row>
    <row r="28" spans="2:63" s="33" customFormat="1" ht="15" customHeight="1">
      <c r="B28" s="27"/>
      <c r="C28" s="28"/>
      <c r="D28" s="29"/>
      <c r="E28" s="30"/>
      <c r="F28" s="28"/>
      <c r="G28" s="31"/>
      <c r="H28" s="32"/>
      <c r="I28" s="32"/>
      <c r="J28" s="32"/>
      <c r="K28" s="32"/>
      <c r="L28" s="32"/>
      <c r="M28" s="28"/>
      <c r="N28" s="28"/>
      <c r="O28" s="62"/>
      <c r="P28" s="28"/>
      <c r="Q28" s="28"/>
      <c r="R28" s="28"/>
      <c r="S28" s="28"/>
      <c r="T28" s="28"/>
      <c r="U28" s="28"/>
      <c r="X28" s="34"/>
      <c r="Y28" s="35"/>
      <c r="Z28" s="34"/>
      <c r="AA28" s="35"/>
      <c r="AB28" s="34"/>
      <c r="AC28" s="36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</row>
    <row r="29" spans="2:63" s="33" customFormat="1" ht="15" customHeight="1">
      <c r="B29" s="27"/>
      <c r="C29" s="28"/>
      <c r="D29" s="29"/>
      <c r="E29" s="30"/>
      <c r="F29" s="28"/>
      <c r="G29" s="31"/>
      <c r="H29" s="32"/>
      <c r="I29" s="32"/>
      <c r="J29" s="32"/>
      <c r="K29" s="32"/>
      <c r="L29" s="32"/>
      <c r="M29" s="28"/>
      <c r="N29" s="28"/>
      <c r="O29" s="62"/>
      <c r="P29" s="28"/>
      <c r="Q29" s="28"/>
      <c r="R29" s="28"/>
      <c r="S29" s="28"/>
      <c r="T29" s="28"/>
      <c r="U29" s="28"/>
      <c r="X29" s="34"/>
      <c r="Y29" s="35"/>
      <c r="Z29" s="34"/>
      <c r="AA29" s="35"/>
      <c r="AB29" s="34"/>
      <c r="AC29" s="36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</row>
    <row r="30" spans="2:63" s="33" customFormat="1" ht="15" customHeight="1">
      <c r="B30" s="27"/>
      <c r="C30" s="28"/>
      <c r="D30" s="29"/>
      <c r="E30" s="30"/>
      <c r="F30" s="28"/>
      <c r="G30" s="31"/>
      <c r="H30" s="32"/>
      <c r="I30" s="32"/>
      <c r="J30" s="32"/>
      <c r="K30" s="32"/>
      <c r="L30" s="32"/>
      <c r="M30" s="28"/>
      <c r="N30" s="28"/>
      <c r="O30" s="62"/>
      <c r="P30" s="28"/>
      <c r="Q30" s="28"/>
      <c r="R30" s="28"/>
      <c r="S30" s="28"/>
      <c r="T30" s="28"/>
      <c r="U30" s="28"/>
      <c r="X30" s="34"/>
      <c r="Y30" s="35"/>
      <c r="Z30" s="34"/>
      <c r="AA30" s="35"/>
      <c r="AB30" s="34"/>
      <c r="AC30" s="36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</row>
    <row r="31" spans="2:63" s="33" customFormat="1" ht="15" customHeight="1">
      <c r="B31" s="27"/>
      <c r="C31" s="28"/>
      <c r="D31" s="29"/>
      <c r="E31" s="30"/>
      <c r="F31" s="28"/>
      <c r="G31" s="31"/>
      <c r="H31" s="32"/>
      <c r="I31" s="32"/>
      <c r="J31" s="32"/>
      <c r="K31" s="32"/>
      <c r="L31" s="32"/>
      <c r="M31" s="28"/>
      <c r="N31" s="28"/>
      <c r="O31" s="62"/>
      <c r="P31" s="28"/>
      <c r="Q31" s="28"/>
      <c r="R31" s="28"/>
      <c r="S31" s="28"/>
      <c r="T31" s="28"/>
      <c r="U31" s="28"/>
      <c r="X31" s="34"/>
      <c r="Y31" s="35"/>
      <c r="Z31" s="34"/>
      <c r="AA31" s="35"/>
      <c r="AB31" s="34"/>
      <c r="AC31" s="36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</row>
    <row r="32" spans="2:63" s="33" customFormat="1" ht="15" customHeight="1">
      <c r="B32" s="27"/>
      <c r="C32" s="28"/>
      <c r="D32" s="29"/>
      <c r="E32" s="30"/>
      <c r="F32" s="28"/>
      <c r="G32" s="31"/>
      <c r="H32" s="32"/>
      <c r="I32" s="32"/>
      <c r="J32" s="32"/>
      <c r="K32" s="32"/>
      <c r="L32" s="32"/>
      <c r="M32" s="28"/>
      <c r="N32" s="28"/>
      <c r="O32" s="62"/>
      <c r="P32" s="28"/>
      <c r="Q32" s="28"/>
      <c r="R32" s="28"/>
      <c r="S32" s="28"/>
      <c r="T32" s="28"/>
      <c r="U32" s="28"/>
      <c r="X32" s="34"/>
      <c r="Y32" s="35"/>
      <c r="Z32" s="34"/>
      <c r="AA32" s="35"/>
      <c r="AB32" s="34"/>
      <c r="AC32" s="36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</row>
    <row r="33" spans="2:63" s="33" customFormat="1" ht="15" customHeight="1">
      <c r="B33" s="27"/>
      <c r="C33" s="28"/>
      <c r="D33" s="29"/>
      <c r="E33" s="30"/>
      <c r="F33" s="28"/>
      <c r="G33" s="31"/>
      <c r="H33" s="32"/>
      <c r="I33" s="32"/>
      <c r="J33" s="32"/>
      <c r="K33" s="32"/>
      <c r="L33" s="32"/>
      <c r="M33" s="28"/>
      <c r="N33" s="28"/>
      <c r="O33" s="62"/>
      <c r="P33" s="28"/>
      <c r="Q33" s="28"/>
      <c r="R33" s="28"/>
      <c r="S33" s="28"/>
      <c r="T33" s="28"/>
      <c r="U33" s="28"/>
      <c r="X33" s="34"/>
      <c r="Y33" s="35"/>
      <c r="Z33" s="34"/>
      <c r="AA33" s="35"/>
      <c r="AB33" s="34"/>
      <c r="AC33" s="36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</row>
    <row r="34" spans="2:63" s="33" customFormat="1" ht="15" customHeight="1">
      <c r="B34" s="27"/>
      <c r="C34" s="28"/>
      <c r="D34" s="29"/>
      <c r="E34" s="30"/>
      <c r="F34" s="28"/>
      <c r="G34" s="31"/>
      <c r="H34" s="32"/>
      <c r="I34" s="32"/>
      <c r="J34" s="32"/>
      <c r="K34" s="32"/>
      <c r="L34" s="32"/>
      <c r="M34" s="28"/>
      <c r="N34" s="28"/>
      <c r="O34" s="62"/>
      <c r="P34" s="28"/>
      <c r="Q34" s="28"/>
      <c r="R34" s="28"/>
      <c r="S34" s="28"/>
      <c r="T34" s="28"/>
      <c r="U34" s="28"/>
      <c r="X34" s="34"/>
      <c r="Y34" s="35"/>
      <c r="Z34" s="34"/>
      <c r="AA34" s="35"/>
      <c r="AB34" s="34"/>
      <c r="AC34" s="36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</row>
    <row r="35" spans="2:63" s="33" customFormat="1" ht="15" customHeight="1">
      <c r="B35" s="27"/>
      <c r="C35" s="28"/>
      <c r="D35" s="29"/>
      <c r="E35" s="30"/>
      <c r="F35" s="28"/>
      <c r="G35" s="31"/>
      <c r="H35" s="32"/>
      <c r="I35" s="32"/>
      <c r="J35" s="32"/>
      <c r="K35" s="32"/>
      <c r="L35" s="32"/>
      <c r="M35" s="28"/>
      <c r="N35" s="28"/>
      <c r="O35" s="62"/>
      <c r="P35" s="28"/>
      <c r="Q35" s="28"/>
      <c r="R35" s="28"/>
      <c r="S35" s="28"/>
      <c r="T35" s="28"/>
      <c r="U35" s="28"/>
      <c r="X35" s="34"/>
      <c r="Y35" s="35"/>
      <c r="Z35" s="34"/>
      <c r="AA35" s="35"/>
      <c r="AB35" s="34"/>
      <c r="AC35" s="36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</row>
    <row r="36" spans="2:63" s="33" customFormat="1" ht="15" customHeight="1">
      <c r="B36" s="27"/>
      <c r="C36" s="28"/>
      <c r="D36" s="29"/>
      <c r="E36" s="30"/>
      <c r="F36" s="28"/>
      <c r="G36" s="31"/>
      <c r="H36" s="32"/>
      <c r="I36" s="32"/>
      <c r="J36" s="32"/>
      <c r="K36" s="32"/>
      <c r="L36" s="32"/>
      <c r="M36" s="28"/>
      <c r="N36" s="28"/>
      <c r="O36" s="62"/>
      <c r="P36" s="28"/>
      <c r="Q36" s="28"/>
      <c r="R36" s="28"/>
      <c r="S36" s="28"/>
      <c r="T36" s="28"/>
      <c r="U36" s="28"/>
      <c r="X36" s="34"/>
      <c r="Y36" s="35"/>
      <c r="Z36" s="34"/>
      <c r="AA36" s="35"/>
      <c r="AB36" s="34"/>
      <c r="AC36" s="36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</row>
    <row r="37" spans="2:63" s="28" customFormat="1" ht="15" customHeight="1">
      <c r="B37" s="27"/>
      <c r="D37" s="29"/>
      <c r="E37" s="30"/>
      <c r="G37" s="31"/>
      <c r="H37" s="32"/>
      <c r="I37" s="32"/>
      <c r="J37" s="32"/>
      <c r="K37" s="32"/>
      <c r="L37" s="32"/>
      <c r="O37" s="62"/>
      <c r="V37" s="33"/>
      <c r="W37" s="33"/>
      <c r="X37" s="34"/>
      <c r="Y37" s="35"/>
      <c r="Z37" s="34"/>
      <c r="AA37" s="35"/>
      <c r="AB37" s="34"/>
      <c r="AC37" s="36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</row>
    <row r="38" spans="2:63" s="28" customFormat="1" ht="15" customHeight="1">
      <c r="B38" s="27"/>
      <c r="D38" s="29"/>
      <c r="E38" s="30"/>
      <c r="G38" s="31"/>
      <c r="H38" s="32"/>
      <c r="I38" s="32"/>
      <c r="J38" s="32"/>
      <c r="K38" s="32"/>
      <c r="L38" s="32"/>
      <c r="O38" s="62"/>
      <c r="V38" s="33"/>
      <c r="W38" s="33"/>
      <c r="X38" s="34"/>
      <c r="Y38" s="35"/>
      <c r="Z38" s="34"/>
      <c r="AA38" s="35"/>
      <c r="AB38" s="34"/>
      <c r="AC38" s="36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</row>
    <row r="39" spans="2:63" s="28" customFormat="1">
      <c r="B39" s="27"/>
      <c r="D39" s="29"/>
      <c r="E39" s="30"/>
      <c r="G39" s="31"/>
      <c r="H39" s="32"/>
      <c r="I39" s="32"/>
      <c r="J39" s="32"/>
      <c r="K39" s="32"/>
      <c r="L39" s="32"/>
      <c r="O39" s="62"/>
      <c r="V39" s="33"/>
      <c r="W39" s="33"/>
      <c r="X39" s="34"/>
      <c r="Y39" s="35"/>
      <c r="Z39" s="34"/>
      <c r="AA39" s="35"/>
      <c r="AB39" s="34"/>
      <c r="AC39" s="36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</row>
    <row r="40" spans="2:63" s="28" customFormat="1">
      <c r="B40" s="27"/>
      <c r="D40" s="29"/>
      <c r="E40" s="30"/>
      <c r="G40" s="31"/>
      <c r="H40" s="32"/>
      <c r="I40" s="32"/>
      <c r="J40" s="32"/>
      <c r="K40" s="32"/>
      <c r="L40" s="32"/>
      <c r="O40" s="62"/>
      <c r="V40" s="33"/>
      <c r="W40" s="33"/>
      <c r="X40" s="34"/>
      <c r="Y40" s="35"/>
      <c r="Z40" s="34"/>
      <c r="AA40" s="35"/>
      <c r="AB40" s="34"/>
      <c r="AC40" s="36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</row>
    <row r="41" spans="2:63" s="28" customFormat="1">
      <c r="B41" s="27"/>
      <c r="D41" s="29"/>
      <c r="E41" s="30"/>
      <c r="G41" s="31"/>
      <c r="H41" s="32"/>
      <c r="I41" s="32"/>
      <c r="J41" s="32"/>
      <c r="K41" s="32"/>
      <c r="L41" s="32"/>
      <c r="O41" s="62"/>
      <c r="V41" s="33"/>
      <c r="W41" s="33"/>
      <c r="X41" s="34"/>
      <c r="Y41" s="35"/>
      <c r="Z41" s="34"/>
      <c r="AA41" s="35"/>
      <c r="AB41" s="34"/>
      <c r="AC41" s="36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</row>
    <row r="42" spans="2:63" s="28" customFormat="1">
      <c r="B42" s="27"/>
      <c r="D42" s="29"/>
      <c r="E42" s="30"/>
      <c r="G42" s="31"/>
      <c r="H42" s="32"/>
      <c r="I42" s="32"/>
      <c r="J42" s="32"/>
      <c r="K42" s="32"/>
      <c r="L42" s="32"/>
      <c r="O42" s="62"/>
      <c r="V42" s="33"/>
      <c r="W42" s="33"/>
      <c r="X42" s="34"/>
      <c r="Y42" s="35"/>
      <c r="Z42" s="34"/>
      <c r="AA42" s="35"/>
      <c r="AB42" s="34"/>
      <c r="AC42" s="36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</row>
    <row r="43" spans="2:63" s="28" customFormat="1">
      <c r="B43" s="27"/>
      <c r="D43" s="29"/>
      <c r="E43" s="30"/>
      <c r="G43" s="31"/>
      <c r="H43" s="32"/>
      <c r="I43" s="32"/>
      <c r="J43" s="32"/>
      <c r="K43" s="32"/>
      <c r="L43" s="32"/>
      <c r="O43" s="62"/>
      <c r="V43" s="33"/>
      <c r="W43" s="33"/>
      <c r="X43" s="34"/>
      <c r="Y43" s="35"/>
      <c r="Z43" s="34"/>
      <c r="AA43" s="35"/>
      <c r="AB43" s="34"/>
      <c r="AC43" s="36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</row>
    <row r="44" spans="2:63" s="28" customFormat="1">
      <c r="B44" s="27"/>
      <c r="D44" s="29"/>
      <c r="E44" s="30"/>
      <c r="G44" s="31"/>
      <c r="H44" s="32"/>
      <c r="I44" s="32"/>
      <c r="J44" s="32"/>
      <c r="K44" s="32"/>
      <c r="L44" s="32"/>
      <c r="O44" s="62"/>
      <c r="V44" s="33"/>
      <c r="W44" s="33"/>
      <c r="X44" s="34"/>
      <c r="Y44" s="35"/>
      <c r="Z44" s="34"/>
      <c r="AA44" s="35"/>
      <c r="AB44" s="34"/>
      <c r="AC44" s="36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</row>
    <row r="45" spans="2:63" s="28" customFormat="1">
      <c r="B45" s="27"/>
      <c r="D45" s="29"/>
      <c r="E45" s="30"/>
      <c r="G45" s="31"/>
      <c r="H45" s="32"/>
      <c r="I45" s="32"/>
      <c r="J45" s="32"/>
      <c r="K45" s="32"/>
      <c r="L45" s="32"/>
      <c r="O45" s="62"/>
      <c r="V45" s="33"/>
      <c r="W45" s="33"/>
      <c r="X45" s="34"/>
      <c r="Y45" s="35"/>
      <c r="Z45" s="34"/>
      <c r="AA45" s="35"/>
      <c r="AB45" s="34"/>
      <c r="AC45" s="36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</row>
    <row r="46" spans="2:63" s="28" customFormat="1">
      <c r="B46" s="27"/>
      <c r="D46" s="29"/>
      <c r="E46" s="30"/>
      <c r="G46" s="31"/>
      <c r="H46" s="32"/>
      <c r="I46" s="32"/>
      <c r="J46" s="32"/>
      <c r="K46" s="32"/>
      <c r="L46" s="32"/>
      <c r="O46" s="62"/>
      <c r="V46" s="33"/>
      <c r="W46" s="33"/>
      <c r="X46" s="34"/>
      <c r="Y46" s="35"/>
      <c r="Z46" s="34"/>
      <c r="AA46" s="35"/>
      <c r="AB46" s="34"/>
      <c r="AC46" s="36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</row>
    <row r="47" spans="2:63" s="28" customFormat="1">
      <c r="B47" s="27"/>
      <c r="D47" s="29"/>
      <c r="E47" s="30"/>
      <c r="G47" s="31"/>
      <c r="H47" s="32"/>
      <c r="I47" s="32"/>
      <c r="J47" s="32"/>
      <c r="K47" s="32"/>
      <c r="L47" s="32"/>
      <c r="O47" s="62"/>
      <c r="V47" s="33"/>
      <c r="W47" s="33"/>
      <c r="X47" s="34"/>
      <c r="Y47" s="35"/>
      <c r="Z47" s="34"/>
      <c r="AA47" s="35"/>
      <c r="AB47" s="34"/>
      <c r="AC47" s="36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</row>
    <row r="48" spans="2:63" s="28" customFormat="1">
      <c r="B48" s="27"/>
      <c r="D48" s="29"/>
      <c r="E48" s="30"/>
      <c r="G48" s="31"/>
      <c r="H48" s="32"/>
      <c r="I48" s="32"/>
      <c r="J48" s="32"/>
      <c r="K48" s="32"/>
      <c r="L48" s="32"/>
      <c r="O48" s="62"/>
      <c r="V48" s="33"/>
      <c r="W48" s="33"/>
      <c r="X48" s="34"/>
      <c r="Y48" s="35"/>
      <c r="Z48" s="34"/>
      <c r="AA48" s="35"/>
      <c r="AB48" s="34"/>
      <c r="AC48" s="36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</row>
    <row r="49" spans="2:63" s="28" customFormat="1">
      <c r="B49" s="27"/>
      <c r="D49" s="29"/>
      <c r="E49" s="30"/>
      <c r="G49" s="31"/>
      <c r="H49" s="32"/>
      <c r="I49" s="32"/>
      <c r="J49" s="32"/>
      <c r="K49" s="32"/>
      <c r="L49" s="32"/>
      <c r="O49" s="62"/>
      <c r="V49" s="33"/>
      <c r="W49" s="33"/>
      <c r="X49" s="34"/>
      <c r="Y49" s="35"/>
      <c r="Z49" s="34"/>
      <c r="AA49" s="35"/>
      <c r="AB49" s="34"/>
      <c r="AC49" s="36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</row>
    <row r="50" spans="2:63" s="28" customFormat="1">
      <c r="B50" s="27"/>
      <c r="D50" s="29"/>
      <c r="E50" s="30"/>
      <c r="G50" s="31"/>
      <c r="H50" s="32"/>
      <c r="I50" s="32"/>
      <c r="J50" s="32"/>
      <c r="K50" s="32"/>
      <c r="L50" s="32"/>
      <c r="O50" s="62"/>
      <c r="V50" s="33"/>
      <c r="W50" s="33"/>
      <c r="X50" s="34"/>
      <c r="Y50" s="35"/>
      <c r="Z50" s="34"/>
      <c r="AA50" s="35"/>
      <c r="AB50" s="34"/>
      <c r="AC50" s="36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</row>
    <row r="51" spans="2:63" s="28" customFormat="1">
      <c r="B51" s="27"/>
      <c r="D51" s="29"/>
      <c r="E51" s="30"/>
      <c r="G51" s="31"/>
      <c r="H51" s="32"/>
      <c r="I51" s="32"/>
      <c r="J51" s="32"/>
      <c r="K51" s="32"/>
      <c r="L51" s="32"/>
      <c r="O51" s="62"/>
      <c r="V51" s="33"/>
      <c r="W51" s="33"/>
      <c r="X51" s="34"/>
      <c r="Y51" s="35"/>
      <c r="Z51" s="34"/>
      <c r="AA51" s="35"/>
      <c r="AB51" s="34"/>
      <c r="AC51" s="36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</row>
    <row r="52" spans="2:63" s="28" customFormat="1">
      <c r="B52" s="27"/>
      <c r="D52" s="29"/>
      <c r="E52" s="30"/>
      <c r="G52" s="31"/>
      <c r="H52" s="32"/>
      <c r="I52" s="32"/>
      <c r="J52" s="32"/>
      <c r="K52" s="32"/>
      <c r="L52" s="32"/>
      <c r="O52" s="62"/>
      <c r="V52" s="33"/>
      <c r="W52" s="33"/>
      <c r="X52" s="34"/>
      <c r="Y52" s="35"/>
      <c r="Z52" s="34"/>
      <c r="AA52" s="35"/>
      <c r="AB52" s="34"/>
      <c r="AC52" s="36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</row>
    <row r="53" spans="2:63" s="28" customFormat="1">
      <c r="B53" s="27"/>
      <c r="D53" s="29"/>
      <c r="E53" s="30"/>
      <c r="G53" s="31"/>
      <c r="H53" s="32"/>
      <c r="I53" s="32"/>
      <c r="J53" s="32"/>
      <c r="K53" s="32"/>
      <c r="L53" s="32"/>
      <c r="O53" s="62"/>
      <c r="V53" s="33"/>
      <c r="W53" s="33"/>
      <c r="X53" s="34"/>
      <c r="Y53" s="35"/>
      <c r="Z53" s="34"/>
      <c r="AA53" s="35"/>
      <c r="AB53" s="34"/>
      <c r="AC53" s="36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</row>
    <row r="54" spans="2:63" s="28" customFormat="1">
      <c r="B54" s="27"/>
      <c r="D54" s="29"/>
      <c r="E54" s="30"/>
      <c r="G54" s="31"/>
      <c r="H54" s="32"/>
      <c r="I54" s="32"/>
      <c r="J54" s="32"/>
      <c r="K54" s="32"/>
      <c r="L54" s="32"/>
      <c r="O54" s="62"/>
      <c r="V54" s="33"/>
      <c r="W54" s="33"/>
      <c r="X54" s="34"/>
      <c r="Y54" s="35"/>
      <c r="Z54" s="34"/>
      <c r="AA54" s="35"/>
      <c r="AB54" s="34"/>
      <c r="AC54" s="36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</row>
    <row r="55" spans="2:63" s="28" customFormat="1">
      <c r="B55" s="27"/>
      <c r="D55" s="29"/>
      <c r="E55" s="30"/>
      <c r="G55" s="31"/>
      <c r="H55" s="32"/>
      <c r="I55" s="32"/>
      <c r="J55" s="32"/>
      <c r="K55" s="32"/>
      <c r="L55" s="32"/>
      <c r="O55" s="62"/>
      <c r="V55" s="33"/>
      <c r="W55" s="33"/>
      <c r="X55" s="34"/>
      <c r="Y55" s="35"/>
      <c r="Z55" s="34"/>
      <c r="AA55" s="35"/>
      <c r="AB55" s="34"/>
      <c r="AC55" s="36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</row>
    <row r="56" spans="2:63" s="28" customFormat="1">
      <c r="B56" s="27"/>
      <c r="D56" s="29"/>
      <c r="E56" s="30"/>
      <c r="G56" s="31"/>
      <c r="H56" s="32"/>
      <c r="I56" s="32"/>
      <c r="J56" s="32"/>
      <c r="K56" s="32"/>
      <c r="L56" s="32"/>
      <c r="O56" s="62"/>
      <c r="V56" s="33"/>
      <c r="W56" s="33"/>
      <c r="X56" s="34"/>
      <c r="Y56" s="35"/>
      <c r="Z56" s="34"/>
      <c r="AA56" s="35"/>
      <c r="AB56" s="34"/>
      <c r="AC56" s="36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</row>
    <row r="57" spans="2:63" s="28" customFormat="1">
      <c r="B57" s="27"/>
      <c r="D57" s="29"/>
      <c r="E57" s="30"/>
      <c r="G57" s="31"/>
      <c r="H57" s="32"/>
      <c r="I57" s="32"/>
      <c r="J57" s="32"/>
      <c r="K57" s="32"/>
      <c r="L57" s="32"/>
      <c r="O57" s="62"/>
      <c r="V57" s="33"/>
      <c r="W57" s="33"/>
      <c r="X57" s="34"/>
      <c r="Y57" s="35"/>
      <c r="Z57" s="34"/>
      <c r="AA57" s="35"/>
      <c r="AB57" s="34"/>
      <c r="AC57" s="36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</row>
    <row r="58" spans="2:63" s="28" customFormat="1">
      <c r="B58" s="27"/>
      <c r="D58" s="29"/>
      <c r="E58" s="30"/>
      <c r="G58" s="31"/>
      <c r="H58" s="32"/>
      <c r="I58" s="32"/>
      <c r="J58" s="32"/>
      <c r="K58" s="32"/>
      <c r="L58" s="32"/>
      <c r="O58" s="62"/>
      <c r="V58" s="33"/>
      <c r="W58" s="33"/>
      <c r="X58" s="34"/>
      <c r="Y58" s="35"/>
      <c r="Z58" s="34"/>
      <c r="AA58" s="35"/>
      <c r="AB58" s="34"/>
      <c r="AC58" s="36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</row>
    <row r="59" spans="2:63" s="28" customFormat="1">
      <c r="B59" s="27"/>
      <c r="D59" s="29"/>
      <c r="E59" s="30"/>
      <c r="G59" s="31"/>
      <c r="H59" s="32"/>
      <c r="I59" s="32"/>
      <c r="J59" s="32"/>
      <c r="K59" s="32"/>
      <c r="L59" s="32"/>
      <c r="O59" s="62"/>
      <c r="V59" s="33"/>
      <c r="W59" s="33"/>
      <c r="X59" s="34"/>
      <c r="Y59" s="35"/>
      <c r="Z59" s="34"/>
      <c r="AA59" s="35"/>
      <c r="AB59" s="34"/>
      <c r="AC59" s="36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</row>
    <row r="60" spans="2:63" s="28" customFormat="1">
      <c r="B60" s="27"/>
      <c r="D60" s="29"/>
      <c r="E60" s="30"/>
      <c r="G60" s="31"/>
      <c r="H60" s="32"/>
      <c r="I60" s="32"/>
      <c r="J60" s="32"/>
      <c r="K60" s="32"/>
      <c r="L60" s="32"/>
      <c r="O60" s="62"/>
      <c r="V60" s="33"/>
      <c r="W60" s="33"/>
      <c r="X60" s="34"/>
      <c r="Y60" s="35"/>
      <c r="Z60" s="34"/>
      <c r="AA60" s="35"/>
      <c r="AB60" s="34"/>
      <c r="AC60" s="36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</row>
    <row r="61" spans="2:63" s="28" customFormat="1">
      <c r="B61" s="27"/>
      <c r="D61" s="29"/>
      <c r="E61" s="30"/>
      <c r="G61" s="31"/>
      <c r="H61" s="32"/>
      <c r="I61" s="32"/>
      <c r="J61" s="32"/>
      <c r="K61" s="32"/>
      <c r="L61" s="32"/>
      <c r="O61" s="62"/>
      <c r="V61" s="33"/>
      <c r="W61" s="33"/>
      <c r="X61" s="34"/>
      <c r="Y61" s="35"/>
      <c r="Z61" s="34"/>
      <c r="AA61" s="35"/>
      <c r="AB61" s="34"/>
      <c r="AC61" s="36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</row>
    <row r="62" spans="2:63" s="28" customFormat="1">
      <c r="B62" s="27"/>
      <c r="D62" s="29"/>
      <c r="E62" s="30"/>
      <c r="G62" s="31"/>
      <c r="H62" s="32"/>
      <c r="I62" s="32"/>
      <c r="J62" s="32"/>
      <c r="K62" s="32"/>
      <c r="L62" s="32"/>
      <c r="O62" s="62"/>
      <c r="V62" s="33"/>
      <c r="W62" s="33"/>
      <c r="X62" s="34"/>
      <c r="Y62" s="35"/>
      <c r="Z62" s="34"/>
      <c r="AA62" s="35"/>
      <c r="AB62" s="34"/>
      <c r="AC62" s="36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</row>
    <row r="63" spans="2:63" s="28" customFormat="1">
      <c r="B63" s="27"/>
      <c r="D63" s="29"/>
      <c r="E63" s="30"/>
      <c r="G63" s="31"/>
      <c r="H63" s="32"/>
      <c r="I63" s="32"/>
      <c r="J63" s="32"/>
      <c r="K63" s="32"/>
      <c r="L63" s="32"/>
      <c r="O63" s="62"/>
      <c r="V63" s="33"/>
      <c r="W63" s="33"/>
      <c r="X63" s="34"/>
      <c r="Y63" s="35"/>
      <c r="Z63" s="34"/>
      <c r="AA63" s="35"/>
      <c r="AB63" s="34"/>
      <c r="AC63" s="36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</row>
    <row r="64" spans="2:63" s="28" customFormat="1">
      <c r="B64" s="27"/>
      <c r="D64" s="29"/>
      <c r="E64" s="30"/>
      <c r="G64" s="31"/>
      <c r="H64" s="32"/>
      <c r="I64" s="32"/>
      <c r="J64" s="32"/>
      <c r="K64" s="32"/>
      <c r="L64" s="32"/>
      <c r="O64" s="62"/>
      <c r="V64" s="33"/>
      <c r="W64" s="33"/>
      <c r="X64" s="34"/>
      <c r="Y64" s="35"/>
      <c r="Z64" s="34"/>
      <c r="AA64" s="35"/>
      <c r="AB64" s="34"/>
      <c r="AC64" s="36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</row>
    <row r="65" spans="2:63" s="28" customFormat="1">
      <c r="B65" s="27"/>
      <c r="D65" s="29"/>
      <c r="E65" s="30"/>
      <c r="G65" s="31"/>
      <c r="H65" s="32"/>
      <c r="I65" s="32"/>
      <c r="J65" s="32"/>
      <c r="K65" s="32"/>
      <c r="L65" s="32"/>
      <c r="O65" s="62"/>
      <c r="V65" s="33"/>
      <c r="W65" s="33"/>
      <c r="X65" s="34"/>
      <c r="Y65" s="35"/>
      <c r="Z65" s="34"/>
      <c r="AA65" s="35"/>
      <c r="AB65" s="34"/>
      <c r="AC65" s="36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</row>
    <row r="66" spans="2:63" s="28" customFormat="1">
      <c r="B66" s="27"/>
      <c r="D66" s="29"/>
      <c r="E66" s="30"/>
      <c r="G66" s="31"/>
      <c r="H66" s="32"/>
      <c r="I66" s="32"/>
      <c r="J66" s="32"/>
      <c r="K66" s="32"/>
      <c r="L66" s="32"/>
      <c r="O66" s="62"/>
      <c r="V66" s="33"/>
      <c r="W66" s="33"/>
      <c r="X66" s="34"/>
      <c r="Y66" s="35"/>
      <c r="Z66" s="34"/>
      <c r="AA66" s="35"/>
      <c r="AB66" s="34"/>
      <c r="AC66" s="36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</row>
    <row r="67" spans="2:63" s="28" customFormat="1">
      <c r="B67" s="27"/>
      <c r="D67" s="29"/>
      <c r="E67" s="30"/>
      <c r="G67" s="31"/>
      <c r="H67" s="32"/>
      <c r="I67" s="32"/>
      <c r="J67" s="32"/>
      <c r="K67" s="32"/>
      <c r="L67" s="32"/>
      <c r="O67" s="62"/>
      <c r="V67" s="33"/>
      <c r="W67" s="33"/>
      <c r="X67" s="34"/>
      <c r="Y67" s="35"/>
      <c r="Z67" s="34"/>
      <c r="AA67" s="35"/>
      <c r="AB67" s="34"/>
      <c r="AC67" s="36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</row>
    <row r="68" spans="2:63" s="28" customFormat="1">
      <c r="B68" s="27"/>
      <c r="D68" s="29"/>
      <c r="E68" s="30"/>
      <c r="G68" s="31"/>
      <c r="H68" s="32"/>
      <c r="I68" s="32"/>
      <c r="J68" s="32"/>
      <c r="K68" s="32"/>
      <c r="L68" s="32"/>
      <c r="O68" s="62"/>
      <c r="V68" s="33"/>
      <c r="W68" s="33"/>
      <c r="X68" s="34"/>
      <c r="Y68" s="35"/>
      <c r="Z68" s="34"/>
      <c r="AA68" s="35"/>
      <c r="AB68" s="34"/>
      <c r="AC68" s="36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</row>
    <row r="69" spans="2:63" s="28" customFormat="1">
      <c r="B69" s="27"/>
      <c r="D69" s="29"/>
      <c r="E69" s="30"/>
      <c r="G69" s="31"/>
      <c r="H69" s="32"/>
      <c r="I69" s="32"/>
      <c r="J69" s="32"/>
      <c r="K69" s="32"/>
      <c r="L69" s="32"/>
      <c r="O69" s="62"/>
      <c r="V69" s="33"/>
      <c r="W69" s="33"/>
      <c r="X69" s="34"/>
      <c r="Y69" s="35"/>
      <c r="Z69" s="34"/>
      <c r="AA69" s="35"/>
      <c r="AB69" s="34"/>
      <c r="AC69" s="36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</row>
    <row r="70" spans="2:63" s="28" customFormat="1">
      <c r="B70" s="27"/>
      <c r="D70" s="29"/>
      <c r="E70" s="30"/>
      <c r="G70" s="31"/>
      <c r="H70" s="32"/>
      <c r="I70" s="32"/>
      <c r="J70" s="32"/>
      <c r="K70" s="32"/>
      <c r="L70" s="32"/>
      <c r="O70" s="63"/>
      <c r="V70" s="33"/>
      <c r="W70" s="33"/>
      <c r="X70" s="34"/>
      <c r="Y70" s="35"/>
      <c r="Z70" s="34"/>
      <c r="AA70" s="35"/>
      <c r="AB70" s="34"/>
      <c r="AC70" s="36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</row>
    <row r="71" spans="2:63" s="28" customFormat="1">
      <c r="B71" s="27"/>
      <c r="D71" s="29"/>
      <c r="E71" s="30"/>
      <c r="G71" s="31"/>
      <c r="H71" s="32"/>
      <c r="I71" s="32"/>
      <c r="J71" s="32"/>
      <c r="K71" s="32"/>
      <c r="L71" s="32"/>
      <c r="O71" s="62"/>
      <c r="V71" s="33"/>
      <c r="W71" s="33"/>
      <c r="X71" s="34"/>
      <c r="Y71" s="35"/>
      <c r="Z71" s="34"/>
      <c r="AA71" s="35"/>
      <c r="AB71" s="34"/>
      <c r="AC71" s="36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</row>
    <row r="72" spans="2:63" s="28" customFormat="1">
      <c r="B72" s="27"/>
      <c r="D72" s="29"/>
      <c r="E72" s="30"/>
      <c r="G72" s="31"/>
      <c r="H72" s="32"/>
      <c r="I72" s="32"/>
      <c r="J72" s="32"/>
      <c r="K72" s="32"/>
      <c r="L72" s="32"/>
      <c r="O72" s="62"/>
      <c r="V72" s="33"/>
      <c r="W72" s="33"/>
      <c r="X72" s="34"/>
      <c r="Y72" s="35"/>
      <c r="Z72" s="34"/>
      <c r="AA72" s="35"/>
      <c r="AB72" s="34"/>
      <c r="AC72" s="36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</row>
    <row r="73" spans="2:63" s="28" customFormat="1">
      <c r="B73" s="27"/>
      <c r="D73" s="29"/>
      <c r="E73" s="30"/>
      <c r="G73" s="31"/>
      <c r="H73" s="32"/>
      <c r="I73" s="32"/>
      <c r="J73" s="32"/>
      <c r="K73" s="32"/>
      <c r="L73" s="32"/>
      <c r="O73" s="62"/>
      <c r="V73" s="33"/>
      <c r="W73" s="33"/>
      <c r="X73" s="34"/>
      <c r="Y73" s="35"/>
      <c r="Z73" s="34"/>
      <c r="AA73" s="35"/>
      <c r="AB73" s="34"/>
      <c r="AC73" s="36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</row>
    <row r="74" spans="2:63" s="28" customFormat="1">
      <c r="B74" s="27"/>
      <c r="D74" s="29"/>
      <c r="E74" s="30"/>
      <c r="G74" s="31"/>
      <c r="H74" s="32"/>
      <c r="I74" s="32"/>
      <c r="J74" s="32"/>
      <c r="K74" s="32"/>
      <c r="L74" s="32"/>
      <c r="O74" s="62"/>
      <c r="V74" s="33"/>
      <c r="W74" s="33"/>
      <c r="X74" s="34"/>
      <c r="Y74" s="35"/>
      <c r="Z74" s="34"/>
      <c r="AA74" s="35"/>
      <c r="AB74" s="34"/>
      <c r="AC74" s="36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</row>
    <row r="75" spans="2:63" s="28" customFormat="1">
      <c r="B75" s="27"/>
      <c r="D75" s="29"/>
      <c r="E75" s="30"/>
      <c r="G75" s="31"/>
      <c r="H75" s="32"/>
      <c r="I75" s="32"/>
      <c r="J75" s="32"/>
      <c r="K75" s="32"/>
      <c r="L75" s="32"/>
      <c r="O75" s="62"/>
      <c r="V75" s="33"/>
      <c r="W75" s="33"/>
      <c r="X75" s="34"/>
      <c r="Y75" s="35"/>
      <c r="Z75" s="34"/>
      <c r="AA75" s="35"/>
      <c r="AB75" s="34"/>
      <c r="AC75" s="36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</row>
    <row r="76" spans="2:63" s="28" customFormat="1">
      <c r="B76" s="27"/>
      <c r="D76" s="29"/>
      <c r="E76" s="30"/>
      <c r="G76" s="31"/>
      <c r="H76" s="32"/>
      <c r="I76" s="32"/>
      <c r="J76" s="32"/>
      <c r="K76" s="32"/>
      <c r="L76" s="32"/>
      <c r="O76" s="62"/>
      <c r="V76" s="33"/>
      <c r="W76" s="33"/>
      <c r="X76" s="34"/>
      <c r="Y76" s="35"/>
      <c r="Z76" s="34"/>
      <c r="AA76" s="35"/>
      <c r="AB76" s="34"/>
      <c r="AC76" s="36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</row>
    <row r="77" spans="2:63" s="28" customFormat="1">
      <c r="B77" s="27"/>
      <c r="D77" s="29"/>
      <c r="E77" s="30"/>
      <c r="G77" s="31"/>
      <c r="H77" s="32"/>
      <c r="I77" s="32"/>
      <c r="J77" s="32"/>
      <c r="K77" s="32"/>
      <c r="L77" s="32"/>
      <c r="O77" s="62"/>
      <c r="V77" s="33"/>
      <c r="W77" s="33"/>
      <c r="X77" s="34"/>
      <c r="Y77" s="35"/>
      <c r="Z77" s="34"/>
      <c r="AA77" s="35"/>
      <c r="AB77" s="34"/>
      <c r="AC77" s="36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</row>
    <row r="78" spans="2:63" s="28" customFormat="1">
      <c r="B78" s="27"/>
      <c r="D78" s="29"/>
      <c r="E78" s="30"/>
      <c r="G78" s="31"/>
      <c r="H78" s="32"/>
      <c r="I78" s="32"/>
      <c r="J78" s="32"/>
      <c r="K78" s="32"/>
      <c r="L78" s="32"/>
      <c r="O78" s="62"/>
      <c r="V78" s="33"/>
      <c r="W78" s="33"/>
      <c r="X78" s="34"/>
      <c r="Y78" s="35"/>
      <c r="Z78" s="34"/>
      <c r="AA78" s="35"/>
      <c r="AB78" s="34"/>
      <c r="AC78" s="36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</row>
    <row r="79" spans="2:63" s="28" customFormat="1">
      <c r="B79" s="27"/>
      <c r="D79" s="29"/>
      <c r="E79" s="30"/>
      <c r="G79" s="31"/>
      <c r="H79" s="32"/>
      <c r="I79" s="32"/>
      <c r="J79" s="32"/>
      <c r="K79" s="32"/>
      <c r="L79" s="32"/>
      <c r="O79" s="62"/>
      <c r="V79" s="33"/>
      <c r="W79" s="33"/>
      <c r="X79" s="34"/>
      <c r="Y79" s="35"/>
      <c r="Z79" s="34"/>
      <c r="AA79" s="35"/>
      <c r="AB79" s="34"/>
      <c r="AC79" s="36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</row>
    <row r="80" spans="2:63" s="28" customFormat="1">
      <c r="B80" s="27"/>
      <c r="D80" s="29"/>
      <c r="E80" s="30"/>
      <c r="G80" s="31"/>
      <c r="H80" s="32"/>
      <c r="I80" s="32"/>
      <c r="J80" s="32"/>
      <c r="K80" s="32"/>
      <c r="L80" s="32"/>
      <c r="O80" s="63"/>
      <c r="V80" s="33"/>
      <c r="W80" s="33"/>
      <c r="X80" s="34"/>
      <c r="Y80" s="35"/>
      <c r="Z80" s="34"/>
      <c r="AA80" s="35"/>
      <c r="AB80" s="34"/>
      <c r="AC80" s="36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</row>
    <row r="81" spans="2:63" s="28" customFormat="1">
      <c r="B81" s="27"/>
      <c r="D81" s="29"/>
      <c r="E81" s="30"/>
      <c r="G81" s="31"/>
      <c r="H81" s="32"/>
      <c r="I81" s="32"/>
      <c r="J81" s="32"/>
      <c r="K81" s="32"/>
      <c r="L81" s="32"/>
      <c r="O81" s="62"/>
      <c r="V81" s="33"/>
      <c r="W81" s="33"/>
      <c r="X81" s="34"/>
      <c r="Y81" s="35"/>
      <c r="Z81" s="34"/>
      <c r="AA81" s="35"/>
      <c r="AB81" s="34"/>
      <c r="AC81" s="36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</row>
    <row r="82" spans="2:63" s="28" customFormat="1">
      <c r="B82" s="27"/>
      <c r="D82" s="29"/>
      <c r="E82" s="30"/>
      <c r="G82" s="31"/>
      <c r="H82" s="32"/>
      <c r="I82" s="32"/>
      <c r="J82" s="32"/>
      <c r="K82" s="32"/>
      <c r="L82" s="32"/>
      <c r="O82" s="62"/>
      <c r="V82" s="33"/>
      <c r="W82" s="33"/>
      <c r="X82" s="34"/>
      <c r="Y82" s="35"/>
      <c r="Z82" s="34"/>
      <c r="AA82" s="35"/>
      <c r="AB82" s="34"/>
      <c r="AC82" s="36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</row>
    <row r="83" spans="2:63" s="28" customFormat="1">
      <c r="B83" s="27"/>
      <c r="D83" s="29"/>
      <c r="E83" s="30"/>
      <c r="G83" s="31"/>
      <c r="H83" s="32"/>
      <c r="I83" s="32"/>
      <c r="J83" s="32"/>
      <c r="K83" s="32"/>
      <c r="L83" s="32"/>
      <c r="O83" s="62"/>
      <c r="V83" s="33"/>
      <c r="W83" s="33"/>
      <c r="X83" s="34"/>
      <c r="Y83" s="35"/>
      <c r="Z83" s="34"/>
      <c r="AA83" s="35"/>
      <c r="AB83" s="34"/>
      <c r="AC83" s="36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</row>
    <row r="84" spans="2:63" s="28" customFormat="1">
      <c r="B84" s="27"/>
      <c r="D84" s="29"/>
      <c r="E84" s="30"/>
      <c r="G84" s="31"/>
      <c r="H84" s="32"/>
      <c r="I84" s="32"/>
      <c r="J84" s="32"/>
      <c r="K84" s="32"/>
      <c r="L84" s="32"/>
      <c r="O84" s="62"/>
      <c r="V84" s="33"/>
      <c r="W84" s="33"/>
      <c r="X84" s="34"/>
      <c r="Y84" s="35"/>
      <c r="Z84" s="34"/>
      <c r="AA84" s="35"/>
      <c r="AB84" s="34"/>
      <c r="AC84" s="36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</row>
    <row r="85" spans="2:63" s="28" customFormat="1">
      <c r="B85" s="27"/>
      <c r="D85" s="29"/>
      <c r="E85" s="30"/>
      <c r="G85" s="31"/>
      <c r="H85" s="32"/>
      <c r="I85" s="32"/>
      <c r="J85" s="32"/>
      <c r="K85" s="32"/>
      <c r="L85" s="32"/>
      <c r="O85" s="62"/>
      <c r="V85" s="33"/>
      <c r="W85" s="33"/>
      <c r="X85" s="34"/>
      <c r="Y85" s="35"/>
      <c r="Z85" s="34"/>
      <c r="AA85" s="35"/>
      <c r="AB85" s="34"/>
      <c r="AC85" s="36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</row>
    <row r="86" spans="2:63" s="28" customFormat="1">
      <c r="B86" s="27"/>
      <c r="D86" s="29"/>
      <c r="E86" s="30"/>
      <c r="G86" s="31"/>
      <c r="H86" s="32"/>
      <c r="I86" s="32"/>
      <c r="J86" s="32"/>
      <c r="K86" s="32"/>
      <c r="L86" s="32"/>
      <c r="O86" s="62"/>
      <c r="V86" s="33"/>
      <c r="W86" s="33"/>
      <c r="X86" s="34"/>
      <c r="Y86" s="35"/>
      <c r="Z86" s="34"/>
      <c r="AA86" s="35"/>
      <c r="AB86" s="34"/>
      <c r="AC86" s="36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</row>
    <row r="87" spans="2:63" s="28" customFormat="1">
      <c r="B87" s="27"/>
      <c r="D87" s="29"/>
      <c r="E87" s="30"/>
      <c r="G87" s="31"/>
      <c r="H87" s="32"/>
      <c r="I87" s="32"/>
      <c r="J87" s="32"/>
      <c r="K87" s="32"/>
      <c r="L87" s="32"/>
      <c r="O87" s="62"/>
      <c r="V87" s="33"/>
      <c r="W87" s="33"/>
      <c r="X87" s="34"/>
      <c r="Y87" s="35"/>
      <c r="Z87" s="34"/>
      <c r="AA87" s="35"/>
      <c r="AB87" s="34"/>
      <c r="AC87" s="36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</row>
    <row r="88" spans="2:63" s="28" customFormat="1">
      <c r="B88" s="27"/>
      <c r="D88" s="29"/>
      <c r="E88" s="30"/>
      <c r="G88" s="31"/>
      <c r="H88" s="32"/>
      <c r="I88" s="32"/>
      <c r="J88" s="32"/>
      <c r="K88" s="32"/>
      <c r="L88" s="32"/>
      <c r="O88" s="62"/>
      <c r="V88" s="33"/>
      <c r="W88" s="33"/>
      <c r="X88" s="34"/>
      <c r="Y88" s="35"/>
      <c r="Z88" s="34"/>
      <c r="AA88" s="35"/>
      <c r="AB88" s="34"/>
      <c r="AC88" s="36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</row>
    <row r="89" spans="2:63" s="28" customFormat="1">
      <c r="B89" s="27"/>
      <c r="D89" s="29"/>
      <c r="E89" s="30"/>
      <c r="G89" s="31"/>
      <c r="H89" s="32"/>
      <c r="I89" s="32"/>
      <c r="J89" s="32"/>
      <c r="K89" s="32"/>
      <c r="L89" s="32"/>
      <c r="O89" s="62"/>
      <c r="V89" s="33"/>
      <c r="W89" s="33"/>
      <c r="X89" s="34"/>
      <c r="Y89" s="35"/>
      <c r="Z89" s="34"/>
      <c r="AA89" s="35"/>
      <c r="AB89" s="34"/>
      <c r="AC89" s="36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</row>
    <row r="90" spans="2:63" s="28" customFormat="1">
      <c r="B90" s="27"/>
      <c r="D90" s="29"/>
      <c r="E90" s="30"/>
      <c r="G90" s="31"/>
      <c r="H90" s="32"/>
      <c r="I90" s="32"/>
      <c r="J90" s="32"/>
      <c r="K90" s="32"/>
      <c r="L90" s="32"/>
      <c r="O90" s="62"/>
      <c r="V90" s="33"/>
      <c r="W90" s="33"/>
      <c r="X90" s="34"/>
      <c r="Y90" s="35"/>
      <c r="Z90" s="34"/>
      <c r="AA90" s="35"/>
      <c r="AB90" s="34"/>
      <c r="AC90" s="36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</row>
    <row r="91" spans="2:63" s="28" customFormat="1">
      <c r="B91" s="27"/>
      <c r="D91" s="29"/>
      <c r="E91" s="30"/>
      <c r="G91" s="31"/>
      <c r="H91" s="32"/>
      <c r="I91" s="32"/>
      <c r="J91" s="32"/>
      <c r="K91" s="32"/>
      <c r="L91" s="32"/>
      <c r="O91" s="62"/>
      <c r="V91" s="33"/>
      <c r="W91" s="33"/>
      <c r="X91" s="34"/>
      <c r="Y91" s="35"/>
      <c r="Z91" s="34"/>
      <c r="AA91" s="35"/>
      <c r="AB91" s="34"/>
      <c r="AC91" s="36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</row>
    <row r="92" spans="2:63" s="28" customFormat="1">
      <c r="B92" s="27"/>
      <c r="D92" s="29"/>
      <c r="E92" s="30"/>
      <c r="G92" s="31"/>
      <c r="H92" s="32"/>
      <c r="I92" s="32"/>
      <c r="J92" s="32"/>
      <c r="K92" s="32"/>
      <c r="L92" s="32"/>
      <c r="O92" s="63"/>
      <c r="V92" s="33"/>
      <c r="W92" s="33"/>
      <c r="X92" s="34"/>
      <c r="Y92" s="35"/>
      <c r="Z92" s="34"/>
      <c r="AA92" s="35"/>
      <c r="AB92" s="34"/>
      <c r="AC92" s="36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</row>
    <row r="93" spans="2:63" s="28" customFormat="1">
      <c r="B93" s="27"/>
      <c r="D93" s="29"/>
      <c r="E93" s="30"/>
      <c r="G93" s="31"/>
      <c r="H93" s="32"/>
      <c r="I93" s="32"/>
      <c r="J93" s="32"/>
      <c r="K93" s="32"/>
      <c r="L93" s="32"/>
      <c r="O93" s="62"/>
      <c r="V93" s="33"/>
      <c r="W93" s="33"/>
      <c r="X93" s="34"/>
      <c r="Y93" s="35"/>
      <c r="Z93" s="34"/>
      <c r="AA93" s="35"/>
      <c r="AB93" s="34"/>
      <c r="AC93" s="36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</row>
    <row r="94" spans="2:63" s="28" customFormat="1">
      <c r="B94" s="27"/>
      <c r="D94" s="29"/>
      <c r="E94" s="30"/>
      <c r="G94" s="31"/>
      <c r="H94" s="32"/>
      <c r="I94" s="32"/>
      <c r="J94" s="32"/>
      <c r="K94" s="32"/>
      <c r="L94" s="32"/>
      <c r="O94" s="62"/>
      <c r="V94" s="33"/>
      <c r="W94" s="33"/>
      <c r="X94" s="34"/>
      <c r="Y94" s="35"/>
      <c r="Z94" s="34"/>
      <c r="AA94" s="35"/>
      <c r="AB94" s="34"/>
      <c r="AC94" s="36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</row>
    <row r="95" spans="2:63" s="28" customFormat="1">
      <c r="B95" s="27"/>
      <c r="D95" s="29"/>
      <c r="E95" s="30"/>
      <c r="G95" s="31"/>
      <c r="H95" s="32"/>
      <c r="I95" s="32"/>
      <c r="J95" s="32"/>
      <c r="K95" s="32"/>
      <c r="L95" s="32"/>
      <c r="O95" s="62"/>
      <c r="V95" s="33"/>
      <c r="W95" s="33"/>
      <c r="X95" s="34"/>
      <c r="Y95" s="35"/>
      <c r="Z95" s="34"/>
      <c r="AA95" s="35"/>
      <c r="AB95" s="34"/>
      <c r="AC95" s="36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</row>
    <row r="96" spans="2:63" s="28" customFormat="1">
      <c r="B96" s="27"/>
      <c r="D96" s="29"/>
      <c r="E96" s="30"/>
      <c r="G96" s="31"/>
      <c r="H96" s="32"/>
      <c r="I96" s="32"/>
      <c r="J96" s="32"/>
      <c r="K96" s="32"/>
      <c r="L96" s="32"/>
      <c r="O96" s="62"/>
      <c r="V96" s="33"/>
      <c r="W96" s="33"/>
      <c r="X96" s="34"/>
      <c r="Y96" s="35"/>
      <c r="Z96" s="34"/>
      <c r="AA96" s="35"/>
      <c r="AB96" s="34"/>
      <c r="AC96" s="36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</row>
    <row r="97" spans="2:63" s="28" customFormat="1">
      <c r="B97" s="27"/>
      <c r="D97" s="29"/>
      <c r="E97" s="30"/>
      <c r="G97" s="31"/>
      <c r="H97" s="32"/>
      <c r="I97" s="32"/>
      <c r="J97" s="32"/>
      <c r="K97" s="32"/>
      <c r="L97" s="32"/>
      <c r="O97" s="62"/>
      <c r="V97" s="33"/>
      <c r="W97" s="33"/>
      <c r="X97" s="34"/>
      <c r="Y97" s="35"/>
      <c r="Z97" s="34"/>
      <c r="AA97" s="35"/>
      <c r="AB97" s="34"/>
      <c r="AC97" s="36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</row>
    <row r="98" spans="2:63" s="28" customFormat="1">
      <c r="B98" s="27"/>
      <c r="D98" s="29"/>
      <c r="E98" s="30"/>
      <c r="G98" s="31"/>
      <c r="H98" s="32"/>
      <c r="I98" s="32"/>
      <c r="J98" s="32"/>
      <c r="K98" s="32"/>
      <c r="L98" s="32"/>
      <c r="O98" s="61"/>
      <c r="V98" s="33"/>
      <c r="W98" s="33"/>
      <c r="X98" s="34"/>
      <c r="Y98" s="35"/>
      <c r="Z98" s="34"/>
      <c r="AA98" s="35"/>
      <c r="AB98" s="34"/>
      <c r="AC98" s="36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</row>
    <row r="99" spans="2:63" s="28" customFormat="1">
      <c r="B99" s="27"/>
      <c r="D99" s="29"/>
      <c r="E99" s="30"/>
      <c r="G99" s="31"/>
      <c r="H99" s="32"/>
      <c r="I99" s="32"/>
      <c r="J99" s="32"/>
      <c r="K99" s="32"/>
      <c r="L99" s="32"/>
      <c r="O99" s="62"/>
      <c r="V99" s="33"/>
      <c r="W99" s="33"/>
      <c r="X99" s="34"/>
      <c r="Y99" s="35"/>
      <c r="Z99" s="34"/>
      <c r="AA99" s="35"/>
      <c r="AB99" s="34"/>
      <c r="AC99" s="36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</row>
    <row r="100" spans="2:63" s="28" customFormat="1">
      <c r="B100" s="27"/>
      <c r="D100" s="29"/>
      <c r="E100" s="30"/>
      <c r="G100" s="31"/>
      <c r="H100" s="32"/>
      <c r="I100" s="32"/>
      <c r="J100" s="32"/>
      <c r="K100" s="32"/>
      <c r="L100" s="32"/>
      <c r="O100" s="62"/>
      <c r="V100" s="33"/>
      <c r="W100" s="33"/>
      <c r="X100" s="34"/>
      <c r="Y100" s="35"/>
      <c r="Z100" s="34"/>
      <c r="AA100" s="35"/>
      <c r="AB100" s="34"/>
      <c r="AC100" s="36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</row>
    <row r="101" spans="2:63" s="28" customFormat="1">
      <c r="B101" s="27"/>
      <c r="D101" s="29"/>
      <c r="E101" s="30"/>
      <c r="G101" s="31"/>
      <c r="H101" s="32"/>
      <c r="I101" s="32"/>
      <c r="J101" s="32"/>
      <c r="K101" s="32"/>
      <c r="L101" s="32"/>
      <c r="O101" s="62"/>
      <c r="V101" s="33"/>
      <c r="W101" s="33"/>
      <c r="X101" s="34"/>
      <c r="Y101" s="35"/>
      <c r="Z101" s="34"/>
      <c r="AA101" s="35"/>
      <c r="AB101" s="34"/>
      <c r="AC101" s="36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</row>
    <row r="102" spans="2:63" s="28" customFormat="1">
      <c r="B102" s="27"/>
      <c r="D102" s="29"/>
      <c r="E102" s="30"/>
      <c r="G102" s="31"/>
      <c r="H102" s="32"/>
      <c r="I102" s="32"/>
      <c r="J102" s="32"/>
      <c r="K102" s="32"/>
      <c r="L102" s="32"/>
      <c r="O102" s="62"/>
      <c r="V102" s="33"/>
      <c r="W102" s="33"/>
      <c r="X102" s="34"/>
      <c r="Y102" s="35"/>
      <c r="Z102" s="34"/>
      <c r="AA102" s="35"/>
      <c r="AB102" s="34"/>
      <c r="AC102" s="36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</row>
    <row r="103" spans="2:63" s="28" customFormat="1">
      <c r="B103" s="27"/>
      <c r="D103" s="29"/>
      <c r="E103" s="30"/>
      <c r="G103" s="31"/>
      <c r="H103" s="32"/>
      <c r="I103" s="32"/>
      <c r="J103" s="32"/>
      <c r="K103" s="32"/>
      <c r="L103" s="32"/>
      <c r="O103" s="62"/>
      <c r="V103" s="33"/>
      <c r="W103" s="33"/>
      <c r="X103" s="34"/>
      <c r="Y103" s="35"/>
      <c r="Z103" s="34"/>
      <c r="AA103" s="35"/>
      <c r="AB103" s="34"/>
      <c r="AC103" s="36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</row>
    <row r="104" spans="2:63" s="28" customFormat="1">
      <c r="B104" s="27"/>
      <c r="D104" s="29"/>
      <c r="E104" s="30"/>
      <c r="G104" s="31"/>
      <c r="H104" s="32"/>
      <c r="I104" s="32"/>
      <c r="J104" s="32"/>
      <c r="K104" s="32"/>
      <c r="L104" s="32"/>
      <c r="O104" s="63"/>
      <c r="V104" s="33"/>
      <c r="W104" s="33"/>
      <c r="X104" s="34"/>
      <c r="Y104" s="35"/>
      <c r="Z104" s="34"/>
      <c r="AA104" s="35"/>
      <c r="AB104" s="34"/>
      <c r="AC104" s="36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</row>
    <row r="105" spans="2:63" s="28" customFormat="1">
      <c r="B105" s="27"/>
      <c r="D105" s="29"/>
      <c r="E105" s="30"/>
      <c r="G105" s="31"/>
      <c r="H105" s="32"/>
      <c r="I105" s="32"/>
      <c r="J105" s="32"/>
      <c r="K105" s="32"/>
      <c r="L105" s="32"/>
      <c r="O105" s="62"/>
      <c r="V105" s="33"/>
      <c r="W105" s="33"/>
      <c r="X105" s="34"/>
      <c r="Y105" s="35"/>
      <c r="Z105" s="34"/>
      <c r="AA105" s="35"/>
      <c r="AB105" s="34"/>
      <c r="AC105" s="36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</row>
    <row r="106" spans="2:63" s="28" customFormat="1">
      <c r="B106" s="27"/>
      <c r="D106" s="29"/>
      <c r="E106" s="30"/>
      <c r="G106" s="31"/>
      <c r="H106" s="32"/>
      <c r="I106" s="32"/>
      <c r="J106" s="32"/>
      <c r="K106" s="32"/>
      <c r="L106" s="32"/>
      <c r="O106" s="62"/>
      <c r="V106" s="33"/>
      <c r="W106" s="33"/>
      <c r="X106" s="34"/>
      <c r="Y106" s="35"/>
      <c r="Z106" s="34"/>
      <c r="AA106" s="35"/>
      <c r="AB106" s="34"/>
      <c r="AC106" s="36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</row>
    <row r="107" spans="2:63" s="28" customFormat="1">
      <c r="B107" s="27"/>
      <c r="D107" s="29"/>
      <c r="E107" s="30"/>
      <c r="G107" s="31"/>
      <c r="H107" s="32"/>
      <c r="I107" s="32"/>
      <c r="J107" s="32"/>
      <c r="K107" s="32"/>
      <c r="L107" s="32"/>
      <c r="O107" s="62"/>
      <c r="V107" s="33"/>
      <c r="W107" s="33"/>
      <c r="X107" s="34"/>
      <c r="Y107" s="35"/>
      <c r="Z107" s="34"/>
      <c r="AA107" s="35"/>
      <c r="AB107" s="34"/>
      <c r="AC107" s="36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</row>
    <row r="108" spans="2:63" s="28" customFormat="1">
      <c r="B108" s="27"/>
      <c r="D108" s="29"/>
      <c r="E108" s="30"/>
      <c r="G108" s="31"/>
      <c r="H108" s="32"/>
      <c r="I108" s="32"/>
      <c r="J108" s="32"/>
      <c r="K108" s="32"/>
      <c r="L108" s="32"/>
      <c r="O108" s="62"/>
      <c r="V108" s="33"/>
      <c r="W108" s="33"/>
      <c r="X108" s="34"/>
      <c r="Y108" s="35"/>
      <c r="Z108" s="34"/>
      <c r="AA108" s="35"/>
      <c r="AB108" s="34"/>
      <c r="AC108" s="36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</row>
    <row r="109" spans="2:63" s="28" customFormat="1">
      <c r="B109" s="27"/>
      <c r="D109" s="29"/>
      <c r="E109" s="30"/>
      <c r="G109" s="31"/>
      <c r="H109" s="32"/>
      <c r="I109" s="32"/>
      <c r="J109" s="32"/>
      <c r="K109" s="32"/>
      <c r="L109" s="32"/>
      <c r="O109" s="62"/>
      <c r="V109" s="33"/>
      <c r="W109" s="33"/>
      <c r="X109" s="34"/>
      <c r="Y109" s="35"/>
      <c r="Z109" s="34"/>
      <c r="AA109" s="35"/>
      <c r="AB109" s="34"/>
      <c r="AC109" s="36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</row>
    <row r="110" spans="2:63" s="28" customFormat="1">
      <c r="B110" s="27"/>
      <c r="D110" s="29"/>
      <c r="E110" s="30"/>
      <c r="G110" s="31"/>
      <c r="H110" s="32"/>
      <c r="I110" s="32"/>
      <c r="J110" s="32"/>
      <c r="K110" s="32"/>
      <c r="L110" s="32"/>
      <c r="O110" s="62"/>
      <c r="V110" s="33"/>
      <c r="W110" s="33"/>
      <c r="X110" s="34"/>
      <c r="Y110" s="35"/>
      <c r="Z110" s="34"/>
      <c r="AA110" s="35"/>
      <c r="AB110" s="34"/>
      <c r="AC110" s="36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</row>
    <row r="111" spans="2:63" s="28" customFormat="1">
      <c r="B111" s="27"/>
      <c r="D111" s="29"/>
      <c r="E111" s="30"/>
      <c r="G111" s="31"/>
      <c r="H111" s="32"/>
      <c r="I111" s="32"/>
      <c r="J111" s="32"/>
      <c r="K111" s="32"/>
      <c r="L111" s="32"/>
      <c r="O111" s="62"/>
      <c r="V111" s="33"/>
      <c r="W111" s="33"/>
      <c r="X111" s="34"/>
      <c r="Y111" s="35"/>
      <c r="Z111" s="34"/>
      <c r="AA111" s="35"/>
      <c r="AB111" s="34"/>
      <c r="AC111" s="36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</row>
    <row r="112" spans="2:63" s="28" customFormat="1">
      <c r="B112" s="27"/>
      <c r="D112" s="29"/>
      <c r="E112" s="30"/>
      <c r="G112" s="31"/>
      <c r="H112" s="32"/>
      <c r="I112" s="32"/>
      <c r="J112" s="32"/>
      <c r="K112" s="32"/>
      <c r="L112" s="32"/>
      <c r="O112" s="62"/>
      <c r="V112" s="33"/>
      <c r="W112" s="33"/>
      <c r="X112" s="34"/>
      <c r="Y112" s="35"/>
      <c r="Z112" s="34"/>
      <c r="AA112" s="35"/>
      <c r="AB112" s="34"/>
      <c r="AC112" s="36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</row>
    <row r="113" spans="2:63" s="28" customFormat="1">
      <c r="B113" s="27"/>
      <c r="D113" s="29"/>
      <c r="E113" s="30"/>
      <c r="G113" s="31"/>
      <c r="H113" s="32"/>
      <c r="I113" s="32"/>
      <c r="J113" s="32"/>
      <c r="K113" s="32"/>
      <c r="L113" s="32"/>
      <c r="O113" s="62"/>
      <c r="V113" s="33"/>
      <c r="W113" s="33"/>
      <c r="X113" s="34"/>
      <c r="Y113" s="35"/>
      <c r="Z113" s="34"/>
      <c r="AA113" s="35"/>
      <c r="AB113" s="34"/>
      <c r="AC113" s="36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</row>
    <row r="114" spans="2:63" s="28" customFormat="1">
      <c r="B114" s="27"/>
      <c r="D114" s="29"/>
      <c r="E114" s="30"/>
      <c r="G114" s="31"/>
      <c r="H114" s="32"/>
      <c r="I114" s="32"/>
      <c r="J114" s="32"/>
      <c r="K114" s="32"/>
      <c r="L114" s="32"/>
      <c r="O114" s="62"/>
      <c r="V114" s="33"/>
      <c r="W114" s="33"/>
      <c r="X114" s="34"/>
      <c r="Y114" s="35"/>
      <c r="Z114" s="34"/>
      <c r="AA114" s="35"/>
      <c r="AB114" s="34"/>
      <c r="AC114" s="36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</row>
    <row r="115" spans="2:63" s="28" customFormat="1">
      <c r="B115" s="27"/>
      <c r="D115" s="29"/>
      <c r="E115" s="30"/>
      <c r="G115" s="31"/>
      <c r="H115" s="32"/>
      <c r="I115" s="32"/>
      <c r="J115" s="32"/>
      <c r="K115" s="32"/>
      <c r="L115" s="32"/>
      <c r="O115" s="62"/>
      <c r="V115" s="33"/>
      <c r="W115" s="33"/>
      <c r="X115" s="34"/>
      <c r="Y115" s="35"/>
      <c r="Z115" s="34"/>
      <c r="AA115" s="35"/>
      <c r="AB115" s="34"/>
      <c r="AC115" s="36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</row>
    <row r="116" spans="2:63" s="28" customFormat="1">
      <c r="B116" s="27"/>
      <c r="D116" s="29"/>
      <c r="E116" s="30"/>
      <c r="G116" s="31"/>
      <c r="H116" s="32"/>
      <c r="I116" s="32"/>
      <c r="J116" s="32"/>
      <c r="K116" s="32"/>
      <c r="L116" s="32"/>
      <c r="O116" s="62"/>
      <c r="V116" s="33"/>
      <c r="W116" s="33"/>
      <c r="X116" s="34"/>
      <c r="Y116" s="35"/>
      <c r="Z116" s="34"/>
      <c r="AA116" s="35"/>
      <c r="AB116" s="34"/>
      <c r="AC116" s="36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</row>
    <row r="117" spans="2:63" s="28" customFormat="1">
      <c r="B117" s="27"/>
      <c r="D117" s="29"/>
      <c r="E117" s="30"/>
      <c r="G117" s="31"/>
      <c r="H117" s="32"/>
      <c r="I117" s="32"/>
      <c r="J117" s="32"/>
      <c r="K117" s="32"/>
      <c r="L117" s="32"/>
      <c r="O117" s="62"/>
      <c r="V117" s="33"/>
      <c r="W117" s="33"/>
      <c r="X117" s="34"/>
      <c r="Y117" s="35"/>
      <c r="Z117" s="34"/>
      <c r="AA117" s="35"/>
      <c r="AB117" s="34"/>
      <c r="AC117" s="36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</row>
    <row r="118" spans="2:63" s="28" customFormat="1">
      <c r="B118" s="27"/>
      <c r="D118" s="29"/>
      <c r="E118" s="30"/>
      <c r="G118" s="31"/>
      <c r="H118" s="32"/>
      <c r="I118" s="32"/>
      <c r="J118" s="32"/>
      <c r="K118" s="32"/>
      <c r="L118" s="32"/>
      <c r="O118" s="62"/>
      <c r="V118" s="33"/>
      <c r="W118" s="33"/>
      <c r="X118" s="34"/>
      <c r="Y118" s="35"/>
      <c r="Z118" s="34"/>
      <c r="AA118" s="35"/>
      <c r="AB118" s="34"/>
      <c r="AC118" s="36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</row>
    <row r="119" spans="2:63" s="28" customFormat="1">
      <c r="B119" s="27"/>
      <c r="D119" s="29"/>
      <c r="E119" s="30"/>
      <c r="G119" s="31"/>
      <c r="H119" s="32"/>
      <c r="I119" s="32"/>
      <c r="J119" s="32"/>
      <c r="K119" s="32"/>
      <c r="L119" s="32"/>
      <c r="O119" s="62"/>
      <c r="V119" s="33"/>
      <c r="W119" s="33"/>
      <c r="X119" s="34"/>
      <c r="Y119" s="35"/>
      <c r="Z119" s="34"/>
      <c r="AA119" s="35"/>
      <c r="AB119" s="34"/>
      <c r="AC119" s="36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</row>
    <row r="120" spans="2:63" s="28" customFormat="1">
      <c r="B120" s="27"/>
      <c r="D120" s="29"/>
      <c r="E120" s="30"/>
      <c r="G120" s="31"/>
      <c r="H120" s="32"/>
      <c r="I120" s="32"/>
      <c r="J120" s="32"/>
      <c r="K120" s="32"/>
      <c r="L120" s="32"/>
      <c r="O120" s="62"/>
      <c r="V120" s="33"/>
      <c r="W120" s="33"/>
      <c r="X120" s="34"/>
      <c r="Y120" s="35"/>
      <c r="Z120" s="34"/>
      <c r="AA120" s="35"/>
      <c r="AB120" s="34"/>
      <c r="AC120" s="36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</row>
    <row r="121" spans="2:63" s="28" customFormat="1">
      <c r="B121" s="27"/>
      <c r="D121" s="29"/>
      <c r="E121" s="30"/>
      <c r="G121" s="31"/>
      <c r="H121" s="32"/>
      <c r="I121" s="32"/>
      <c r="J121" s="32"/>
      <c r="K121" s="32"/>
      <c r="L121" s="32"/>
      <c r="O121" s="62"/>
      <c r="V121" s="33"/>
      <c r="W121" s="33"/>
      <c r="X121" s="34"/>
      <c r="Y121" s="35"/>
      <c r="Z121" s="34"/>
      <c r="AA121" s="35"/>
      <c r="AB121" s="34"/>
      <c r="AC121" s="36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</row>
    <row r="122" spans="2:63" s="28" customFormat="1">
      <c r="B122" s="27"/>
      <c r="D122" s="29"/>
      <c r="E122" s="30"/>
      <c r="G122" s="31"/>
      <c r="H122" s="32"/>
      <c r="I122" s="32"/>
      <c r="J122" s="32"/>
      <c r="K122" s="32"/>
      <c r="L122" s="32"/>
      <c r="O122" s="62"/>
      <c r="V122" s="33"/>
      <c r="W122" s="33"/>
      <c r="X122" s="34"/>
      <c r="Y122" s="35"/>
      <c r="Z122" s="34"/>
      <c r="AA122" s="35"/>
      <c r="AB122" s="34"/>
      <c r="AC122" s="36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</row>
    <row r="123" spans="2:63" s="28" customFormat="1">
      <c r="B123" s="27"/>
      <c r="D123" s="29"/>
      <c r="E123" s="30"/>
      <c r="G123" s="31"/>
      <c r="H123" s="32"/>
      <c r="I123" s="32"/>
      <c r="J123" s="32"/>
      <c r="K123" s="32"/>
      <c r="L123" s="32"/>
      <c r="O123" s="62"/>
      <c r="V123" s="33"/>
      <c r="W123" s="33"/>
      <c r="X123" s="34"/>
      <c r="Y123" s="35"/>
      <c r="Z123" s="34"/>
      <c r="AA123" s="35"/>
      <c r="AB123" s="34"/>
      <c r="AC123" s="36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</row>
    <row r="124" spans="2:63" s="28" customFormat="1">
      <c r="B124" s="27"/>
      <c r="D124" s="29"/>
      <c r="E124" s="30"/>
      <c r="G124" s="31"/>
      <c r="H124" s="32"/>
      <c r="I124" s="32"/>
      <c r="J124" s="32"/>
      <c r="K124" s="32"/>
      <c r="L124" s="32"/>
      <c r="O124" s="62"/>
      <c r="V124" s="33"/>
      <c r="W124" s="33"/>
      <c r="X124" s="34"/>
      <c r="Y124" s="35"/>
      <c r="Z124" s="34"/>
      <c r="AA124" s="35"/>
      <c r="AB124" s="34"/>
      <c r="AC124" s="36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</row>
    <row r="125" spans="2:63" s="28" customFormat="1">
      <c r="B125" s="27"/>
      <c r="D125" s="29"/>
      <c r="E125" s="30"/>
      <c r="G125" s="31"/>
      <c r="H125" s="32"/>
      <c r="I125" s="32"/>
      <c r="J125" s="32"/>
      <c r="K125" s="32"/>
      <c r="L125" s="32"/>
      <c r="O125" s="62"/>
      <c r="V125" s="33"/>
      <c r="W125" s="33"/>
      <c r="X125" s="34"/>
      <c r="Y125" s="35"/>
      <c r="Z125" s="34"/>
      <c r="AA125" s="35"/>
      <c r="AB125" s="34"/>
      <c r="AC125" s="36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</row>
    <row r="126" spans="2:63" s="28" customFormat="1">
      <c r="B126" s="27"/>
      <c r="D126" s="29"/>
      <c r="E126" s="30"/>
      <c r="G126" s="31"/>
      <c r="H126" s="32"/>
      <c r="I126" s="32"/>
      <c r="J126" s="32"/>
      <c r="K126" s="32"/>
      <c r="L126" s="32"/>
      <c r="O126" s="62"/>
      <c r="V126" s="33"/>
      <c r="W126" s="33"/>
      <c r="X126" s="34"/>
      <c r="Y126" s="35"/>
      <c r="Z126" s="34"/>
      <c r="AA126" s="35"/>
      <c r="AB126" s="34"/>
      <c r="AC126" s="36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</row>
    <row r="127" spans="2:63" s="28" customFormat="1">
      <c r="B127" s="27"/>
      <c r="D127" s="29"/>
      <c r="E127" s="30"/>
      <c r="G127" s="31"/>
      <c r="H127" s="32"/>
      <c r="I127" s="32"/>
      <c r="J127" s="32"/>
      <c r="K127" s="32"/>
      <c r="L127" s="32"/>
      <c r="O127" s="62"/>
      <c r="V127" s="33"/>
      <c r="W127" s="33"/>
      <c r="X127" s="34"/>
      <c r="Y127" s="35"/>
      <c r="Z127" s="34"/>
      <c r="AA127" s="35"/>
      <c r="AB127" s="34"/>
      <c r="AC127" s="36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</row>
    <row r="128" spans="2:63" s="28" customFormat="1">
      <c r="B128" s="27"/>
      <c r="D128" s="29"/>
      <c r="E128" s="30"/>
      <c r="G128" s="31"/>
      <c r="H128" s="32"/>
      <c r="I128" s="32"/>
      <c r="J128" s="32"/>
      <c r="K128" s="32"/>
      <c r="L128" s="32"/>
      <c r="O128" s="62"/>
      <c r="V128" s="33"/>
      <c r="W128" s="33"/>
      <c r="X128" s="34"/>
      <c r="Y128" s="35"/>
      <c r="Z128" s="34"/>
      <c r="AA128" s="35"/>
      <c r="AB128" s="34"/>
      <c r="AC128" s="36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</row>
    <row r="129" spans="2:63" s="28" customFormat="1">
      <c r="B129" s="27"/>
      <c r="D129" s="29"/>
      <c r="E129" s="30"/>
      <c r="G129" s="31"/>
      <c r="H129" s="32"/>
      <c r="I129" s="32"/>
      <c r="J129" s="32"/>
      <c r="K129" s="32"/>
      <c r="L129" s="32"/>
      <c r="O129" s="62"/>
      <c r="V129" s="33"/>
      <c r="W129" s="33"/>
      <c r="X129" s="34"/>
      <c r="Y129" s="35"/>
      <c r="Z129" s="34"/>
      <c r="AA129" s="35"/>
      <c r="AB129" s="34"/>
      <c r="AC129" s="36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</row>
    <row r="130" spans="2:63" s="28" customFormat="1">
      <c r="B130" s="27"/>
      <c r="D130" s="29"/>
      <c r="E130" s="30"/>
      <c r="G130" s="31"/>
      <c r="H130" s="32"/>
      <c r="I130" s="32"/>
      <c r="J130" s="32"/>
      <c r="K130" s="32"/>
      <c r="L130" s="32"/>
      <c r="O130" s="62"/>
      <c r="V130" s="33"/>
      <c r="W130" s="33"/>
      <c r="X130" s="34"/>
      <c r="Y130" s="35"/>
      <c r="Z130" s="34"/>
      <c r="AA130" s="35"/>
      <c r="AB130" s="34"/>
      <c r="AC130" s="36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</row>
    <row r="131" spans="2:63" s="28" customFormat="1">
      <c r="B131" s="27"/>
      <c r="D131" s="29"/>
      <c r="E131" s="30"/>
      <c r="G131" s="31"/>
      <c r="H131" s="32"/>
      <c r="I131" s="32"/>
      <c r="J131" s="32"/>
      <c r="K131" s="32"/>
      <c r="L131" s="32"/>
      <c r="O131" s="62"/>
      <c r="V131" s="33"/>
      <c r="W131" s="33"/>
      <c r="X131" s="34"/>
      <c r="Y131" s="35"/>
      <c r="Z131" s="34"/>
      <c r="AA131" s="35"/>
      <c r="AB131" s="34"/>
      <c r="AC131" s="36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</row>
    <row r="132" spans="2:63" s="28" customFormat="1">
      <c r="B132" s="27"/>
      <c r="D132" s="29"/>
      <c r="E132" s="30"/>
      <c r="G132" s="31"/>
      <c r="H132" s="32"/>
      <c r="I132" s="32"/>
      <c r="J132" s="32"/>
      <c r="K132" s="32"/>
      <c r="L132" s="32"/>
      <c r="O132" s="64"/>
      <c r="V132" s="33"/>
      <c r="W132" s="33"/>
      <c r="X132" s="34"/>
      <c r="Y132" s="35"/>
      <c r="Z132" s="34"/>
      <c r="AA132" s="35"/>
      <c r="AB132" s="34"/>
      <c r="AC132" s="36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</row>
    <row r="133" spans="2:63" s="28" customFormat="1">
      <c r="B133" s="27"/>
      <c r="D133" s="29"/>
      <c r="E133" s="30"/>
      <c r="G133" s="31"/>
      <c r="H133" s="32"/>
      <c r="I133" s="32"/>
      <c r="J133" s="32"/>
      <c r="K133" s="32"/>
      <c r="L133" s="32"/>
      <c r="O133" s="65"/>
      <c r="V133" s="33"/>
      <c r="W133" s="33"/>
      <c r="X133" s="34"/>
      <c r="Y133" s="35"/>
      <c r="Z133" s="34"/>
      <c r="AA133" s="35"/>
      <c r="AB133" s="34"/>
      <c r="AC133" s="36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</row>
    <row r="134" spans="2:63" s="28" customFormat="1">
      <c r="B134" s="27"/>
      <c r="D134" s="29"/>
      <c r="E134" s="30"/>
      <c r="G134" s="31"/>
      <c r="H134" s="32"/>
      <c r="I134" s="32"/>
      <c r="J134" s="32"/>
      <c r="K134" s="32"/>
      <c r="L134" s="32"/>
      <c r="O134" s="65"/>
      <c r="V134" s="33"/>
      <c r="W134" s="33"/>
      <c r="X134" s="34"/>
      <c r="Y134" s="35"/>
      <c r="Z134" s="34"/>
      <c r="AA134" s="35"/>
      <c r="AB134" s="34"/>
      <c r="AC134" s="36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</row>
    <row r="135" spans="2:63" s="28" customFormat="1">
      <c r="B135" s="27"/>
      <c r="D135" s="29"/>
      <c r="E135" s="30"/>
      <c r="G135" s="31"/>
      <c r="H135" s="32"/>
      <c r="I135" s="32"/>
      <c r="J135" s="32"/>
      <c r="K135" s="32"/>
      <c r="L135" s="32"/>
      <c r="O135" s="65"/>
      <c r="V135" s="33"/>
      <c r="W135" s="33"/>
      <c r="X135" s="34"/>
      <c r="Y135" s="35"/>
      <c r="Z135" s="34"/>
      <c r="AA135" s="35"/>
      <c r="AB135" s="34"/>
      <c r="AC135" s="36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</row>
    <row r="136" spans="2:63" s="28" customFormat="1">
      <c r="B136" s="27"/>
      <c r="D136" s="29"/>
      <c r="E136" s="30"/>
      <c r="G136" s="31"/>
      <c r="H136" s="32"/>
      <c r="I136" s="32"/>
      <c r="J136" s="32"/>
      <c r="K136" s="32"/>
      <c r="L136" s="32"/>
      <c r="O136" s="65"/>
      <c r="V136" s="33"/>
      <c r="W136" s="33"/>
      <c r="X136" s="34"/>
      <c r="Y136" s="35"/>
      <c r="Z136" s="34"/>
      <c r="AA136" s="35"/>
      <c r="AB136" s="34"/>
      <c r="AC136" s="36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</row>
    <row r="137" spans="2:63" s="28" customFormat="1">
      <c r="B137" s="27"/>
      <c r="D137" s="29"/>
      <c r="E137" s="30"/>
      <c r="G137" s="31"/>
      <c r="H137" s="32"/>
      <c r="I137" s="32"/>
      <c r="J137" s="32"/>
      <c r="K137" s="32"/>
      <c r="L137" s="32"/>
      <c r="O137" s="66"/>
      <c r="V137" s="33"/>
      <c r="W137" s="33"/>
      <c r="X137" s="34"/>
      <c r="Y137" s="35"/>
      <c r="Z137" s="34"/>
      <c r="AA137" s="35"/>
      <c r="AB137" s="34"/>
      <c r="AC137" s="36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</row>
    <row r="138" spans="2:63" s="28" customFormat="1">
      <c r="B138" s="27"/>
      <c r="D138" s="29"/>
      <c r="E138" s="30"/>
      <c r="G138" s="31"/>
      <c r="H138" s="32"/>
      <c r="I138" s="32"/>
      <c r="J138" s="32"/>
      <c r="K138" s="32"/>
      <c r="L138" s="32"/>
      <c r="O138" s="67"/>
      <c r="V138" s="33"/>
      <c r="W138" s="33"/>
      <c r="X138" s="34"/>
      <c r="Y138" s="35"/>
      <c r="Z138" s="34"/>
      <c r="AA138" s="35"/>
      <c r="AB138" s="34"/>
      <c r="AC138" s="36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</row>
    <row r="139" spans="2:63" s="28" customFormat="1">
      <c r="B139" s="27"/>
      <c r="D139" s="29"/>
      <c r="E139" s="30"/>
      <c r="G139" s="31"/>
      <c r="H139" s="32"/>
      <c r="I139" s="32"/>
      <c r="J139" s="32"/>
      <c r="K139" s="32"/>
      <c r="L139" s="32"/>
      <c r="O139" s="65"/>
      <c r="V139" s="33"/>
      <c r="W139" s="33"/>
      <c r="X139" s="34"/>
      <c r="Y139" s="35"/>
      <c r="Z139" s="34"/>
      <c r="AA139" s="35"/>
      <c r="AB139" s="34"/>
      <c r="AC139" s="36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</row>
    <row r="140" spans="2:63" s="28" customFormat="1">
      <c r="B140" s="27"/>
      <c r="D140" s="29"/>
      <c r="E140" s="30"/>
      <c r="G140" s="31"/>
      <c r="H140" s="32"/>
      <c r="I140" s="32"/>
      <c r="J140" s="32"/>
      <c r="K140" s="32"/>
      <c r="L140" s="32"/>
      <c r="O140" s="66"/>
      <c r="V140" s="33"/>
      <c r="W140" s="33"/>
      <c r="X140" s="34"/>
      <c r="Y140" s="35"/>
      <c r="Z140" s="34"/>
      <c r="AA140" s="35"/>
      <c r="AB140" s="34"/>
      <c r="AC140" s="36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</row>
    <row r="141" spans="2:63" s="28" customFormat="1">
      <c r="B141" s="27"/>
      <c r="D141" s="29"/>
      <c r="E141" s="30"/>
      <c r="G141" s="31"/>
      <c r="H141" s="32"/>
      <c r="I141" s="32"/>
      <c r="J141" s="32"/>
      <c r="K141" s="32"/>
      <c r="L141" s="32"/>
      <c r="O141" s="68"/>
      <c r="V141" s="33"/>
      <c r="W141" s="33"/>
      <c r="X141" s="34"/>
      <c r="Y141" s="35"/>
      <c r="Z141" s="34"/>
      <c r="AA141" s="35"/>
      <c r="AB141" s="34"/>
      <c r="AC141" s="36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</row>
    <row r="142" spans="2:63" s="28" customFormat="1">
      <c r="B142" s="27"/>
      <c r="D142" s="29"/>
      <c r="E142" s="30"/>
      <c r="G142" s="31"/>
      <c r="H142" s="32"/>
      <c r="I142" s="32"/>
      <c r="J142" s="32"/>
      <c r="K142" s="32"/>
      <c r="L142" s="32"/>
      <c r="O142" s="65"/>
      <c r="V142" s="33"/>
      <c r="W142" s="33"/>
      <c r="X142" s="34"/>
      <c r="Y142" s="35"/>
      <c r="Z142" s="34"/>
      <c r="AA142" s="35"/>
      <c r="AB142" s="34"/>
      <c r="AC142" s="36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</row>
    <row r="143" spans="2:63" s="28" customFormat="1">
      <c r="B143" s="27"/>
      <c r="D143" s="29"/>
      <c r="E143" s="30"/>
      <c r="G143" s="31"/>
      <c r="H143" s="32"/>
      <c r="I143" s="32"/>
      <c r="J143" s="32"/>
      <c r="K143" s="32"/>
      <c r="L143" s="32"/>
      <c r="O143" s="65"/>
      <c r="V143" s="33"/>
      <c r="W143" s="33"/>
      <c r="X143" s="34"/>
      <c r="Y143" s="35"/>
      <c r="Z143" s="34"/>
      <c r="AA143" s="35"/>
      <c r="AB143" s="34"/>
      <c r="AC143" s="36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</row>
    <row r="144" spans="2:63" s="28" customFormat="1">
      <c r="B144" s="27"/>
      <c r="D144" s="29"/>
      <c r="E144" s="30"/>
      <c r="G144" s="31"/>
      <c r="H144" s="32"/>
      <c r="I144" s="32"/>
      <c r="J144" s="32"/>
      <c r="K144" s="32"/>
      <c r="L144" s="32"/>
      <c r="O144" s="65"/>
      <c r="V144" s="33"/>
      <c r="W144" s="33"/>
      <c r="X144" s="34"/>
      <c r="Y144" s="35"/>
      <c r="Z144" s="34"/>
      <c r="AA144" s="35"/>
      <c r="AB144" s="34"/>
      <c r="AC144" s="36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</row>
    <row r="145" spans="2:63" s="28" customFormat="1">
      <c r="B145" s="27"/>
      <c r="D145" s="29"/>
      <c r="E145" s="30"/>
      <c r="G145" s="31"/>
      <c r="H145" s="32"/>
      <c r="I145" s="32"/>
      <c r="J145" s="32"/>
      <c r="K145" s="32"/>
      <c r="L145" s="32"/>
      <c r="O145" s="69"/>
      <c r="V145" s="33"/>
      <c r="W145" s="33"/>
      <c r="X145" s="34"/>
      <c r="Y145" s="35"/>
      <c r="Z145" s="34"/>
      <c r="AA145" s="35"/>
      <c r="AB145" s="34"/>
      <c r="AC145" s="36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</row>
    <row r="146" spans="2:63" s="28" customFormat="1">
      <c r="B146" s="27"/>
      <c r="D146" s="29"/>
      <c r="E146" s="30"/>
      <c r="G146" s="31"/>
      <c r="H146" s="32"/>
      <c r="I146" s="32"/>
      <c r="J146" s="32"/>
      <c r="K146" s="32"/>
      <c r="L146" s="32"/>
      <c r="O146" s="64"/>
      <c r="V146" s="33"/>
      <c r="W146" s="33"/>
      <c r="X146" s="34"/>
      <c r="Y146" s="35"/>
      <c r="Z146" s="34"/>
      <c r="AA146" s="35"/>
      <c r="AB146" s="34"/>
      <c r="AC146" s="36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</row>
    <row r="147" spans="2:63" s="28" customFormat="1">
      <c r="B147" s="27"/>
      <c r="D147" s="29"/>
      <c r="E147" s="30"/>
      <c r="G147" s="31"/>
      <c r="H147" s="32"/>
      <c r="I147" s="32"/>
      <c r="J147" s="32"/>
      <c r="K147" s="32"/>
      <c r="L147" s="32"/>
      <c r="O147" s="66"/>
      <c r="V147" s="33"/>
      <c r="W147" s="33"/>
      <c r="X147" s="34"/>
      <c r="Y147" s="35"/>
      <c r="Z147" s="34"/>
      <c r="AA147" s="35"/>
      <c r="AB147" s="34"/>
      <c r="AC147" s="36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</row>
    <row r="148" spans="2:63" s="28" customFormat="1">
      <c r="B148" s="27"/>
      <c r="D148" s="29"/>
      <c r="E148" s="30"/>
      <c r="G148" s="31"/>
      <c r="H148" s="32"/>
      <c r="I148" s="32"/>
      <c r="J148" s="32"/>
      <c r="K148" s="32"/>
      <c r="L148" s="32"/>
      <c r="O148" s="65"/>
      <c r="V148" s="33"/>
      <c r="W148" s="33"/>
      <c r="X148" s="34"/>
      <c r="Y148" s="35"/>
      <c r="Z148" s="34"/>
      <c r="AA148" s="35"/>
      <c r="AB148" s="34"/>
      <c r="AC148" s="36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</row>
    <row r="149" spans="2:63" s="28" customFormat="1">
      <c r="B149" s="27"/>
      <c r="D149" s="29"/>
      <c r="E149" s="30"/>
      <c r="G149" s="31"/>
      <c r="H149" s="32"/>
      <c r="I149" s="32"/>
      <c r="J149" s="32"/>
      <c r="K149" s="32"/>
      <c r="L149" s="32"/>
      <c r="O149" s="65"/>
      <c r="V149" s="33"/>
      <c r="W149" s="33"/>
      <c r="X149" s="34"/>
      <c r="Y149" s="35"/>
      <c r="Z149" s="34"/>
      <c r="AA149" s="35"/>
      <c r="AB149" s="34"/>
      <c r="AC149" s="36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</row>
    <row r="150" spans="2:63" s="28" customFormat="1">
      <c r="B150" s="27"/>
      <c r="D150" s="29"/>
      <c r="E150" s="30"/>
      <c r="G150" s="31"/>
      <c r="H150" s="32"/>
      <c r="I150" s="32"/>
      <c r="J150" s="32"/>
      <c r="K150" s="32"/>
      <c r="L150" s="32"/>
      <c r="O150" s="65"/>
      <c r="V150" s="33"/>
      <c r="W150" s="33"/>
      <c r="X150" s="34"/>
      <c r="Y150" s="35"/>
      <c r="Z150" s="34"/>
      <c r="AA150" s="35"/>
      <c r="AB150" s="34"/>
      <c r="AC150" s="36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</row>
    <row r="151" spans="2:63" s="28" customFormat="1">
      <c r="B151" s="27"/>
      <c r="D151" s="29"/>
      <c r="E151" s="30"/>
      <c r="G151" s="31"/>
      <c r="H151" s="32"/>
      <c r="I151" s="32"/>
      <c r="J151" s="32"/>
      <c r="K151" s="32"/>
      <c r="L151" s="32"/>
      <c r="O151" s="65"/>
      <c r="V151" s="33"/>
      <c r="W151" s="33"/>
      <c r="X151" s="34"/>
      <c r="Y151" s="35"/>
      <c r="Z151" s="34"/>
      <c r="AA151" s="35"/>
      <c r="AB151" s="34"/>
      <c r="AC151" s="36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</row>
    <row r="152" spans="2:63" s="28" customFormat="1">
      <c r="B152" s="27"/>
      <c r="D152" s="29"/>
      <c r="E152" s="30"/>
      <c r="G152" s="31"/>
      <c r="H152" s="32"/>
      <c r="I152" s="32"/>
      <c r="J152" s="32"/>
      <c r="K152" s="32"/>
      <c r="L152" s="32"/>
      <c r="O152" s="65"/>
      <c r="V152" s="33"/>
      <c r="W152" s="33"/>
      <c r="X152" s="34"/>
      <c r="Y152" s="35"/>
      <c r="Z152" s="34"/>
      <c r="AA152" s="35"/>
      <c r="AB152" s="34"/>
      <c r="AC152" s="36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</row>
    <row r="153" spans="2:63" s="28" customFormat="1">
      <c r="B153" s="27"/>
      <c r="D153" s="29"/>
      <c r="E153" s="30"/>
      <c r="G153" s="31"/>
      <c r="H153" s="32"/>
      <c r="I153" s="32"/>
      <c r="J153" s="32"/>
      <c r="K153" s="32"/>
      <c r="L153" s="32"/>
      <c r="O153" s="65"/>
      <c r="V153" s="33"/>
      <c r="W153" s="33"/>
      <c r="X153" s="34"/>
      <c r="Y153" s="35"/>
      <c r="Z153" s="34"/>
      <c r="AA153" s="35"/>
      <c r="AB153" s="34"/>
      <c r="AC153" s="36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</row>
    <row r="154" spans="2:63" s="28" customFormat="1">
      <c r="B154" s="27"/>
      <c r="D154" s="29"/>
      <c r="E154" s="30"/>
      <c r="G154" s="31"/>
      <c r="H154" s="32"/>
      <c r="I154" s="32"/>
      <c r="J154" s="32"/>
      <c r="K154" s="32"/>
      <c r="L154" s="32"/>
      <c r="O154" s="65"/>
      <c r="V154" s="33"/>
      <c r="W154" s="33"/>
      <c r="X154" s="34"/>
      <c r="Y154" s="35"/>
      <c r="Z154" s="34"/>
      <c r="AA154" s="35"/>
      <c r="AB154" s="34"/>
      <c r="AC154" s="36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</row>
    <row r="155" spans="2:63" s="28" customFormat="1">
      <c r="B155" s="27"/>
      <c r="D155" s="29"/>
      <c r="E155" s="30"/>
      <c r="G155" s="31"/>
      <c r="H155" s="32"/>
      <c r="I155" s="32"/>
      <c r="J155" s="32"/>
      <c r="K155" s="32"/>
      <c r="L155" s="32"/>
      <c r="O155" s="65"/>
      <c r="V155" s="33"/>
      <c r="W155" s="33"/>
      <c r="X155" s="34"/>
      <c r="Y155" s="35"/>
      <c r="Z155" s="34"/>
      <c r="AA155" s="35"/>
      <c r="AB155" s="34"/>
      <c r="AC155" s="36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</row>
    <row r="156" spans="2:63" s="28" customFormat="1">
      <c r="B156" s="27"/>
      <c r="D156" s="29"/>
      <c r="E156" s="30"/>
      <c r="G156" s="31"/>
      <c r="H156" s="32"/>
      <c r="I156" s="32"/>
      <c r="J156" s="32"/>
      <c r="K156" s="32"/>
      <c r="L156" s="32"/>
      <c r="O156" s="70"/>
      <c r="V156" s="33"/>
      <c r="W156" s="33"/>
      <c r="X156" s="34"/>
      <c r="Y156" s="35"/>
      <c r="Z156" s="34"/>
      <c r="AA156" s="35"/>
      <c r="AB156" s="34"/>
      <c r="AC156" s="36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</row>
    <row r="157" spans="2:63" s="28" customFormat="1">
      <c r="B157" s="27"/>
      <c r="D157" s="29"/>
      <c r="E157" s="30"/>
      <c r="G157" s="31"/>
      <c r="H157" s="32"/>
      <c r="I157" s="32"/>
      <c r="J157" s="32"/>
      <c r="K157" s="32"/>
      <c r="L157" s="32"/>
      <c r="O157" s="64"/>
      <c r="V157" s="33"/>
      <c r="W157" s="33"/>
      <c r="X157" s="34"/>
      <c r="Y157" s="35"/>
      <c r="Z157" s="34"/>
      <c r="AA157" s="35"/>
      <c r="AB157" s="34"/>
      <c r="AC157" s="36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</row>
    <row r="158" spans="2:63" s="28" customFormat="1">
      <c r="B158" s="27"/>
      <c r="D158" s="29"/>
      <c r="E158" s="30"/>
      <c r="G158" s="31"/>
      <c r="H158" s="32"/>
      <c r="I158" s="32"/>
      <c r="J158" s="32"/>
      <c r="K158" s="32"/>
      <c r="L158" s="32"/>
      <c r="O158" s="68"/>
      <c r="V158" s="33"/>
      <c r="W158" s="33"/>
      <c r="X158" s="34"/>
      <c r="Y158" s="35"/>
      <c r="Z158" s="34"/>
      <c r="AA158" s="35"/>
      <c r="AB158" s="34"/>
      <c r="AC158" s="36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</row>
    <row r="159" spans="2:63" s="28" customFormat="1">
      <c r="B159" s="27"/>
      <c r="D159" s="29"/>
      <c r="E159" s="30"/>
      <c r="G159" s="31"/>
      <c r="H159" s="32"/>
      <c r="I159" s="32"/>
      <c r="J159" s="32"/>
      <c r="K159" s="32"/>
      <c r="L159" s="32"/>
      <c r="O159" s="68"/>
      <c r="V159" s="33"/>
      <c r="W159" s="33"/>
      <c r="X159" s="34"/>
      <c r="Y159" s="35"/>
      <c r="Z159" s="34"/>
      <c r="AA159" s="35"/>
      <c r="AB159" s="34"/>
      <c r="AC159" s="36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</row>
    <row r="160" spans="2:63" s="28" customFormat="1">
      <c r="B160" s="27"/>
      <c r="D160" s="29"/>
      <c r="E160" s="30"/>
      <c r="G160" s="31"/>
      <c r="H160" s="32"/>
      <c r="I160" s="32"/>
      <c r="J160" s="32"/>
      <c r="K160" s="32"/>
      <c r="L160" s="32"/>
      <c r="O160" s="67"/>
      <c r="V160" s="33"/>
      <c r="W160" s="33"/>
      <c r="X160" s="34"/>
      <c r="Y160" s="35"/>
      <c r="Z160" s="34"/>
      <c r="AA160" s="35"/>
      <c r="AB160" s="34"/>
      <c r="AC160" s="36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</row>
    <row r="161" spans="2:63" s="28" customFormat="1">
      <c r="B161" s="27"/>
      <c r="D161" s="29"/>
      <c r="E161" s="30"/>
      <c r="G161" s="31"/>
      <c r="H161" s="32"/>
      <c r="I161" s="32"/>
      <c r="J161" s="32"/>
      <c r="K161" s="32"/>
      <c r="L161" s="32"/>
      <c r="O161" s="69"/>
      <c r="V161" s="33"/>
      <c r="W161" s="33"/>
      <c r="X161" s="34"/>
      <c r="Y161" s="35"/>
      <c r="Z161" s="34"/>
      <c r="AA161" s="35"/>
      <c r="AB161" s="34"/>
      <c r="AC161" s="36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</row>
    <row r="162" spans="2:63" s="28" customFormat="1">
      <c r="B162" s="27"/>
      <c r="D162" s="29"/>
      <c r="E162" s="30"/>
      <c r="G162" s="31"/>
      <c r="H162" s="32"/>
      <c r="I162" s="32"/>
      <c r="J162" s="32"/>
      <c r="K162" s="32"/>
      <c r="L162" s="32"/>
      <c r="O162" s="67"/>
      <c r="V162" s="33"/>
      <c r="W162" s="33"/>
      <c r="X162" s="34"/>
      <c r="Y162" s="35"/>
      <c r="Z162" s="34"/>
      <c r="AA162" s="35"/>
      <c r="AB162" s="34"/>
      <c r="AC162" s="36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</row>
    <row r="163" spans="2:63" s="28" customFormat="1">
      <c r="B163" s="27"/>
      <c r="D163" s="29"/>
      <c r="E163" s="30"/>
      <c r="G163" s="31"/>
      <c r="H163" s="32"/>
      <c r="I163" s="32"/>
      <c r="J163" s="32"/>
      <c r="K163" s="32"/>
      <c r="L163" s="32"/>
      <c r="O163" s="71"/>
      <c r="V163" s="33"/>
      <c r="W163" s="33"/>
      <c r="X163" s="34"/>
      <c r="Y163" s="35"/>
      <c r="Z163" s="34"/>
      <c r="AA163" s="35"/>
      <c r="AB163" s="34"/>
      <c r="AC163" s="36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</row>
    <row r="164" spans="2:63" s="28" customFormat="1">
      <c r="B164" s="27"/>
      <c r="D164" s="29"/>
      <c r="E164" s="30"/>
      <c r="G164" s="31"/>
      <c r="H164" s="32"/>
      <c r="I164" s="32"/>
      <c r="J164" s="32"/>
      <c r="K164" s="32"/>
      <c r="L164" s="32"/>
      <c r="O164" s="71"/>
      <c r="V164" s="33"/>
      <c r="W164" s="33"/>
      <c r="X164" s="34"/>
      <c r="Y164" s="35"/>
      <c r="Z164" s="34"/>
      <c r="AA164" s="35"/>
      <c r="AB164" s="34"/>
      <c r="AC164" s="36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</row>
    <row r="165" spans="2:63" s="28" customFormat="1">
      <c r="B165" s="27"/>
      <c r="D165" s="29"/>
      <c r="E165" s="30"/>
      <c r="G165" s="31"/>
      <c r="H165" s="32"/>
      <c r="I165" s="32"/>
      <c r="J165" s="32"/>
      <c r="K165" s="32"/>
      <c r="L165" s="32"/>
      <c r="O165" s="65"/>
      <c r="V165" s="33"/>
      <c r="W165" s="33"/>
      <c r="X165" s="34"/>
      <c r="Y165" s="35"/>
      <c r="Z165" s="34"/>
      <c r="AA165" s="35"/>
      <c r="AB165" s="34"/>
      <c r="AC165" s="36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</row>
    <row r="166" spans="2:63" s="28" customFormat="1">
      <c r="B166" s="27"/>
      <c r="D166" s="29"/>
      <c r="E166" s="30"/>
      <c r="G166" s="31"/>
      <c r="H166" s="32"/>
      <c r="I166" s="32"/>
      <c r="J166" s="32"/>
      <c r="K166" s="32"/>
      <c r="L166" s="32"/>
      <c r="O166" s="65"/>
      <c r="V166" s="33"/>
      <c r="W166" s="33"/>
      <c r="X166" s="34"/>
      <c r="Y166" s="35"/>
      <c r="Z166" s="34"/>
      <c r="AA166" s="35"/>
      <c r="AB166" s="34"/>
      <c r="AC166" s="36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</row>
    <row r="167" spans="2:63" s="28" customFormat="1">
      <c r="B167" s="27"/>
      <c r="D167" s="29"/>
      <c r="E167" s="30"/>
      <c r="G167" s="31"/>
      <c r="H167" s="32"/>
      <c r="I167" s="32"/>
      <c r="J167" s="32"/>
      <c r="K167" s="32"/>
      <c r="L167" s="32"/>
      <c r="O167" s="68"/>
      <c r="V167" s="33"/>
      <c r="W167" s="33"/>
      <c r="X167" s="34"/>
      <c r="Y167" s="35"/>
      <c r="Z167" s="34"/>
      <c r="AA167" s="35"/>
      <c r="AB167" s="34"/>
      <c r="AC167" s="36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</row>
    <row r="168" spans="2:63" s="28" customFormat="1">
      <c r="B168" s="27"/>
      <c r="D168" s="29"/>
      <c r="E168" s="30"/>
      <c r="G168" s="31"/>
      <c r="H168" s="32"/>
      <c r="I168" s="32"/>
      <c r="J168" s="32"/>
      <c r="K168" s="32"/>
      <c r="L168" s="32"/>
      <c r="O168" s="65"/>
      <c r="V168" s="33"/>
      <c r="W168" s="33"/>
      <c r="X168" s="34"/>
      <c r="Y168" s="35"/>
      <c r="Z168" s="34"/>
      <c r="AA168" s="35"/>
      <c r="AB168" s="34"/>
      <c r="AC168" s="36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</row>
    <row r="169" spans="2:63" s="28" customFormat="1">
      <c r="B169" s="27"/>
      <c r="D169" s="29"/>
      <c r="E169" s="30"/>
      <c r="G169" s="31"/>
      <c r="H169" s="32"/>
      <c r="I169" s="32"/>
      <c r="J169" s="32"/>
      <c r="K169" s="32"/>
      <c r="L169" s="32"/>
      <c r="O169" s="72"/>
      <c r="V169" s="33"/>
      <c r="W169" s="33"/>
      <c r="X169" s="34"/>
      <c r="Y169" s="35"/>
      <c r="Z169" s="34"/>
      <c r="AA169" s="35"/>
      <c r="AB169" s="34"/>
      <c r="AC169" s="36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</row>
    <row r="170" spans="2:63" s="28" customFormat="1">
      <c r="B170" s="27"/>
      <c r="D170" s="29"/>
      <c r="E170" s="30"/>
      <c r="G170" s="31"/>
      <c r="H170" s="32"/>
      <c r="I170" s="32"/>
      <c r="J170" s="32"/>
      <c r="K170" s="32"/>
      <c r="L170" s="32"/>
      <c r="O170" s="66"/>
      <c r="V170" s="33"/>
      <c r="W170" s="33"/>
      <c r="X170" s="34"/>
      <c r="Y170" s="35"/>
      <c r="Z170" s="34"/>
      <c r="AA170" s="35"/>
      <c r="AB170" s="34"/>
      <c r="AC170" s="36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</row>
    <row r="171" spans="2:63" s="28" customFormat="1">
      <c r="B171" s="27"/>
      <c r="D171" s="29"/>
      <c r="E171" s="30"/>
      <c r="G171" s="31"/>
      <c r="H171" s="32"/>
      <c r="I171" s="32"/>
      <c r="J171" s="32"/>
      <c r="K171" s="32"/>
      <c r="L171" s="32"/>
      <c r="O171" s="68"/>
      <c r="V171" s="33"/>
      <c r="W171" s="33"/>
      <c r="X171" s="34"/>
      <c r="Y171" s="35"/>
      <c r="Z171" s="34"/>
      <c r="AA171" s="35"/>
      <c r="AB171" s="34"/>
      <c r="AC171" s="36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</row>
    <row r="172" spans="2:63" s="28" customFormat="1">
      <c r="B172" s="27"/>
      <c r="D172" s="29"/>
      <c r="E172" s="30"/>
      <c r="G172" s="31"/>
      <c r="H172" s="32"/>
      <c r="I172" s="32"/>
      <c r="J172" s="32"/>
      <c r="K172" s="32"/>
      <c r="L172" s="32"/>
      <c r="O172" s="68"/>
      <c r="V172" s="33"/>
      <c r="W172" s="33"/>
      <c r="X172" s="34"/>
      <c r="Y172" s="35"/>
      <c r="Z172" s="34"/>
      <c r="AA172" s="35"/>
      <c r="AB172" s="34"/>
      <c r="AC172" s="36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</row>
    <row r="173" spans="2:63" s="28" customFormat="1">
      <c r="B173" s="27"/>
      <c r="D173" s="29"/>
      <c r="E173" s="30"/>
      <c r="G173" s="31"/>
      <c r="H173" s="32"/>
      <c r="I173" s="32"/>
      <c r="J173" s="32"/>
      <c r="K173" s="32"/>
      <c r="L173" s="32"/>
      <c r="O173" s="65"/>
      <c r="V173" s="33"/>
      <c r="W173" s="33"/>
      <c r="X173" s="34"/>
      <c r="Y173" s="35"/>
      <c r="Z173" s="34"/>
      <c r="AA173" s="35"/>
      <c r="AB173" s="34"/>
      <c r="AC173" s="36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</row>
    <row r="174" spans="2:63" s="28" customFormat="1">
      <c r="B174" s="27"/>
      <c r="D174" s="29"/>
      <c r="E174" s="30"/>
      <c r="G174" s="31"/>
      <c r="H174" s="32"/>
      <c r="I174" s="32"/>
      <c r="J174" s="32"/>
      <c r="K174" s="32"/>
      <c r="L174" s="32"/>
      <c r="O174" s="68"/>
      <c r="V174" s="33"/>
      <c r="W174" s="33"/>
      <c r="X174" s="34"/>
      <c r="Y174" s="35"/>
      <c r="Z174" s="34"/>
      <c r="AA174" s="35"/>
      <c r="AB174" s="34"/>
      <c r="AC174" s="36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</row>
    <row r="175" spans="2:63" s="28" customFormat="1">
      <c r="B175" s="27"/>
      <c r="D175" s="29"/>
      <c r="E175" s="30"/>
      <c r="G175" s="31"/>
      <c r="H175" s="32"/>
      <c r="I175" s="32"/>
      <c r="J175" s="32"/>
      <c r="K175" s="32"/>
      <c r="L175" s="32"/>
      <c r="O175" s="68"/>
      <c r="V175" s="33"/>
      <c r="W175" s="33"/>
      <c r="X175" s="34"/>
      <c r="Y175" s="35"/>
      <c r="Z175" s="34"/>
      <c r="AA175" s="35"/>
      <c r="AB175" s="34"/>
      <c r="AC175" s="36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</row>
    <row r="176" spans="2:63" s="28" customFormat="1">
      <c r="B176" s="27"/>
      <c r="D176" s="29"/>
      <c r="E176" s="30"/>
      <c r="G176" s="31"/>
      <c r="H176" s="32"/>
      <c r="I176" s="32"/>
      <c r="J176" s="32"/>
      <c r="K176" s="32"/>
      <c r="L176" s="32"/>
      <c r="O176" s="65"/>
      <c r="V176" s="33"/>
      <c r="W176" s="33"/>
      <c r="X176" s="34"/>
      <c r="Y176" s="35"/>
      <c r="Z176" s="34"/>
      <c r="AA176" s="35"/>
      <c r="AB176" s="34"/>
      <c r="AC176" s="36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</row>
    <row r="177" spans="2:63" s="28" customFormat="1">
      <c r="B177" s="27"/>
      <c r="D177" s="29"/>
      <c r="E177" s="30"/>
      <c r="G177" s="31"/>
      <c r="H177" s="32"/>
      <c r="I177" s="32"/>
      <c r="J177" s="32"/>
      <c r="K177" s="32"/>
      <c r="L177" s="32"/>
      <c r="O177" s="73"/>
      <c r="V177" s="33"/>
      <c r="W177" s="33"/>
      <c r="X177" s="34"/>
      <c r="Y177" s="35"/>
      <c r="Z177" s="34"/>
      <c r="AA177" s="35"/>
      <c r="AB177" s="34"/>
      <c r="AC177" s="36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</row>
    <row r="178" spans="2:63" s="28" customFormat="1">
      <c r="B178" s="27"/>
      <c r="D178" s="29"/>
      <c r="E178" s="30"/>
      <c r="G178" s="31"/>
      <c r="H178" s="32"/>
      <c r="I178" s="32"/>
      <c r="J178" s="32"/>
      <c r="K178" s="32"/>
      <c r="L178" s="32"/>
      <c r="O178" s="65"/>
      <c r="V178" s="33"/>
      <c r="W178" s="33"/>
      <c r="X178" s="34"/>
      <c r="Y178" s="35"/>
      <c r="Z178" s="34"/>
      <c r="AA178" s="35"/>
      <c r="AB178" s="34"/>
      <c r="AC178" s="36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</row>
    <row r="179" spans="2:63" s="28" customFormat="1">
      <c r="B179" s="27"/>
      <c r="D179" s="29"/>
      <c r="E179" s="30"/>
      <c r="G179" s="31"/>
      <c r="H179" s="32"/>
      <c r="I179" s="32"/>
      <c r="J179" s="32"/>
      <c r="K179" s="32"/>
      <c r="L179" s="32"/>
      <c r="O179" s="69"/>
      <c r="V179" s="33"/>
      <c r="W179" s="33"/>
      <c r="X179" s="34"/>
      <c r="Y179" s="35"/>
      <c r="Z179" s="34"/>
      <c r="AA179" s="35"/>
      <c r="AB179" s="34"/>
      <c r="AC179" s="36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</row>
    <row r="180" spans="2:63" s="28" customFormat="1">
      <c r="B180" s="27"/>
      <c r="D180" s="29"/>
      <c r="E180" s="30"/>
      <c r="G180" s="31"/>
      <c r="H180" s="32"/>
      <c r="I180" s="32"/>
      <c r="J180" s="32"/>
      <c r="K180" s="32"/>
      <c r="L180" s="32"/>
      <c r="O180" s="65"/>
      <c r="V180" s="33"/>
      <c r="W180" s="33"/>
      <c r="X180" s="34"/>
      <c r="Y180" s="35"/>
      <c r="Z180" s="34"/>
      <c r="AA180" s="35"/>
      <c r="AB180" s="34"/>
      <c r="AC180" s="36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</row>
    <row r="181" spans="2:63" s="28" customFormat="1">
      <c r="B181" s="27"/>
      <c r="D181" s="29"/>
      <c r="E181" s="30"/>
      <c r="G181" s="31"/>
      <c r="H181" s="32"/>
      <c r="I181" s="32"/>
      <c r="J181" s="32"/>
      <c r="K181" s="32"/>
      <c r="L181" s="32"/>
      <c r="O181" s="72"/>
      <c r="V181" s="33"/>
      <c r="W181" s="33"/>
      <c r="X181" s="34"/>
      <c r="Y181" s="35"/>
      <c r="Z181" s="34"/>
      <c r="AA181" s="35"/>
      <c r="AB181" s="34"/>
      <c r="AC181" s="36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</row>
    <row r="182" spans="2:63" s="28" customFormat="1">
      <c r="B182" s="27"/>
      <c r="D182" s="29"/>
      <c r="E182" s="30"/>
      <c r="G182" s="31"/>
      <c r="H182" s="32"/>
      <c r="I182" s="32"/>
      <c r="J182" s="32"/>
      <c r="K182" s="32"/>
      <c r="L182" s="32"/>
      <c r="O182" s="74"/>
      <c r="V182" s="33"/>
      <c r="W182" s="33"/>
      <c r="X182" s="34"/>
      <c r="Y182" s="35"/>
      <c r="Z182" s="34"/>
      <c r="AA182" s="35"/>
      <c r="AB182" s="34"/>
      <c r="AC182" s="36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</row>
    <row r="183" spans="2:63" s="28" customFormat="1">
      <c r="B183" s="27"/>
      <c r="D183" s="29"/>
      <c r="E183" s="30"/>
      <c r="G183" s="31"/>
      <c r="H183" s="32"/>
      <c r="I183" s="32"/>
      <c r="J183" s="32"/>
      <c r="K183" s="32"/>
      <c r="L183" s="32"/>
      <c r="O183" s="70"/>
      <c r="V183" s="33"/>
      <c r="W183" s="33"/>
      <c r="X183" s="34"/>
      <c r="Y183" s="35"/>
      <c r="Z183" s="34"/>
      <c r="AA183" s="35"/>
      <c r="AB183" s="34"/>
      <c r="AC183" s="36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</row>
    <row r="184" spans="2:63" s="28" customFormat="1">
      <c r="B184" s="27"/>
      <c r="D184" s="29"/>
      <c r="E184" s="30"/>
      <c r="G184" s="31"/>
      <c r="H184" s="32"/>
      <c r="I184" s="32"/>
      <c r="J184" s="32"/>
      <c r="K184" s="32"/>
      <c r="L184" s="32"/>
      <c r="O184" s="65"/>
      <c r="V184" s="33"/>
      <c r="W184" s="33"/>
      <c r="X184" s="34"/>
      <c r="Y184" s="35"/>
      <c r="Z184" s="34"/>
      <c r="AA184" s="35"/>
      <c r="AB184" s="34"/>
      <c r="AC184" s="36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</row>
    <row r="185" spans="2:63" s="28" customFormat="1">
      <c r="B185" s="27"/>
      <c r="D185" s="29"/>
      <c r="E185" s="30"/>
      <c r="G185" s="31"/>
      <c r="H185" s="32"/>
      <c r="I185" s="32"/>
      <c r="J185" s="32"/>
      <c r="K185" s="32"/>
      <c r="L185" s="32"/>
      <c r="O185" s="69"/>
      <c r="V185" s="33"/>
      <c r="W185" s="33"/>
      <c r="X185" s="34"/>
      <c r="Y185" s="35"/>
      <c r="Z185" s="34"/>
      <c r="AA185" s="35"/>
      <c r="AB185" s="34"/>
      <c r="AC185" s="36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</row>
    <row r="186" spans="2:63" s="28" customFormat="1">
      <c r="B186" s="27"/>
      <c r="D186" s="29"/>
      <c r="E186" s="30"/>
      <c r="G186" s="31"/>
      <c r="H186" s="32"/>
      <c r="I186" s="32"/>
      <c r="J186" s="32"/>
      <c r="K186" s="32"/>
      <c r="L186" s="32"/>
      <c r="O186" s="65"/>
      <c r="V186" s="33"/>
      <c r="W186" s="33"/>
      <c r="X186" s="34"/>
      <c r="Y186" s="35"/>
      <c r="Z186" s="34"/>
      <c r="AA186" s="35"/>
      <c r="AB186" s="34"/>
      <c r="AC186" s="36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</row>
    <row r="187" spans="2:63" s="28" customFormat="1">
      <c r="B187" s="27"/>
      <c r="D187" s="29"/>
      <c r="E187" s="30"/>
      <c r="G187" s="31"/>
      <c r="H187" s="32"/>
      <c r="I187" s="32"/>
      <c r="J187" s="32"/>
      <c r="K187" s="32"/>
      <c r="L187" s="32"/>
      <c r="O187" s="65"/>
      <c r="V187" s="33"/>
      <c r="W187" s="33"/>
      <c r="X187" s="34"/>
      <c r="Y187" s="35"/>
      <c r="Z187" s="34"/>
      <c r="AA187" s="35"/>
      <c r="AB187" s="34"/>
      <c r="AC187" s="36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</row>
    <row r="188" spans="2:63" s="28" customFormat="1">
      <c r="B188" s="27"/>
      <c r="D188" s="29"/>
      <c r="E188" s="30"/>
      <c r="G188" s="31"/>
      <c r="H188" s="32"/>
      <c r="I188" s="32"/>
      <c r="J188" s="32"/>
      <c r="K188" s="32"/>
      <c r="L188" s="32"/>
      <c r="O188" s="65"/>
      <c r="V188" s="33"/>
      <c r="W188" s="33"/>
      <c r="X188" s="34"/>
      <c r="Y188" s="35"/>
      <c r="Z188" s="34"/>
      <c r="AA188" s="35"/>
      <c r="AB188" s="34"/>
      <c r="AC188" s="36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</row>
    <row r="189" spans="2:63" s="28" customFormat="1">
      <c r="B189" s="27"/>
      <c r="D189" s="29"/>
      <c r="E189" s="30"/>
      <c r="G189" s="31"/>
      <c r="H189" s="32"/>
      <c r="I189" s="32"/>
      <c r="J189" s="32"/>
      <c r="K189" s="32"/>
      <c r="L189" s="32"/>
      <c r="O189" s="65"/>
      <c r="V189" s="33"/>
      <c r="W189" s="33"/>
      <c r="X189" s="34"/>
      <c r="Y189" s="35"/>
      <c r="Z189" s="34"/>
      <c r="AA189" s="35"/>
      <c r="AB189" s="34"/>
      <c r="AC189" s="36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</row>
    <row r="190" spans="2:63" s="28" customFormat="1">
      <c r="B190" s="27"/>
      <c r="D190" s="29"/>
      <c r="E190" s="30"/>
      <c r="G190" s="31"/>
      <c r="H190" s="32"/>
      <c r="I190" s="32"/>
      <c r="J190" s="32"/>
      <c r="K190" s="32"/>
      <c r="L190" s="32"/>
      <c r="O190" s="75"/>
      <c r="V190" s="33"/>
      <c r="W190" s="33"/>
      <c r="X190" s="34"/>
      <c r="Y190" s="35"/>
      <c r="Z190" s="34"/>
      <c r="AA190" s="35"/>
      <c r="AB190" s="34"/>
      <c r="AC190" s="36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</row>
    <row r="191" spans="2:63" s="28" customFormat="1">
      <c r="B191" s="27"/>
      <c r="D191" s="29"/>
      <c r="E191" s="30"/>
      <c r="G191" s="31"/>
      <c r="H191" s="32"/>
      <c r="I191" s="32"/>
      <c r="J191" s="32"/>
      <c r="K191" s="32"/>
      <c r="L191" s="32"/>
      <c r="O191" s="65"/>
      <c r="V191" s="33"/>
      <c r="W191" s="33"/>
      <c r="X191" s="34"/>
      <c r="Y191" s="35"/>
      <c r="Z191" s="34"/>
      <c r="AA191" s="35"/>
      <c r="AB191" s="34"/>
      <c r="AC191" s="36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</row>
    <row r="192" spans="2:63" s="28" customFormat="1">
      <c r="B192" s="27"/>
      <c r="D192" s="29"/>
      <c r="E192" s="30"/>
      <c r="G192" s="31"/>
      <c r="H192" s="32"/>
      <c r="I192" s="32"/>
      <c r="J192" s="32"/>
      <c r="K192" s="32"/>
      <c r="L192" s="32"/>
      <c r="O192" s="69"/>
      <c r="V192" s="33"/>
      <c r="W192" s="33"/>
      <c r="X192" s="34"/>
      <c r="Y192" s="35"/>
      <c r="Z192" s="34"/>
      <c r="AA192" s="35"/>
      <c r="AB192" s="34"/>
      <c r="AC192" s="36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</row>
    <row r="193" spans="2:63" s="28" customFormat="1">
      <c r="B193" s="27"/>
      <c r="D193" s="29"/>
      <c r="E193" s="30"/>
      <c r="G193" s="31"/>
      <c r="H193" s="32"/>
      <c r="I193" s="32"/>
      <c r="J193" s="32"/>
      <c r="K193" s="32"/>
      <c r="L193" s="32"/>
      <c r="O193" s="69"/>
      <c r="V193" s="33"/>
      <c r="W193" s="33"/>
      <c r="X193" s="34"/>
      <c r="Y193" s="35"/>
      <c r="Z193" s="34"/>
      <c r="AA193" s="35"/>
      <c r="AB193" s="34"/>
      <c r="AC193" s="36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</row>
    <row r="194" spans="2:63" s="28" customFormat="1">
      <c r="B194" s="27"/>
      <c r="D194" s="29"/>
      <c r="E194" s="30"/>
      <c r="G194" s="31"/>
      <c r="H194" s="32"/>
      <c r="I194" s="32"/>
      <c r="J194" s="32"/>
      <c r="K194" s="32"/>
      <c r="L194" s="32"/>
      <c r="O194" s="65"/>
      <c r="V194" s="33"/>
      <c r="W194" s="33"/>
      <c r="X194" s="34"/>
      <c r="Y194" s="35"/>
      <c r="Z194" s="34"/>
      <c r="AA194" s="35"/>
      <c r="AB194" s="34"/>
      <c r="AC194" s="36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</row>
    <row r="195" spans="2:63" s="28" customFormat="1">
      <c r="B195" s="27"/>
      <c r="D195" s="29"/>
      <c r="E195" s="30"/>
      <c r="G195" s="31"/>
      <c r="H195" s="32"/>
      <c r="I195" s="32"/>
      <c r="J195" s="32"/>
      <c r="K195" s="32"/>
      <c r="L195" s="32"/>
      <c r="O195" s="71"/>
      <c r="V195" s="33"/>
      <c r="W195" s="33"/>
      <c r="X195" s="34"/>
      <c r="Y195" s="35"/>
      <c r="Z195" s="34"/>
      <c r="AA195" s="35"/>
      <c r="AB195" s="34"/>
      <c r="AC195" s="36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</row>
    <row r="196" spans="2:63" s="28" customFormat="1">
      <c r="B196" s="27"/>
      <c r="D196" s="29"/>
      <c r="E196" s="30"/>
      <c r="G196" s="31"/>
      <c r="H196" s="32"/>
      <c r="I196" s="32"/>
      <c r="J196" s="32"/>
      <c r="K196" s="32"/>
      <c r="L196" s="32"/>
      <c r="O196" s="71"/>
      <c r="V196" s="33"/>
      <c r="W196" s="33"/>
      <c r="X196" s="34"/>
      <c r="Y196" s="35"/>
      <c r="Z196" s="34"/>
      <c r="AA196" s="35"/>
      <c r="AB196" s="34"/>
      <c r="AC196" s="36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</row>
    <row r="197" spans="2:63" s="28" customFormat="1">
      <c r="B197" s="27"/>
      <c r="D197" s="29"/>
      <c r="E197" s="30"/>
      <c r="G197" s="31"/>
      <c r="H197" s="32"/>
      <c r="I197" s="32"/>
      <c r="J197" s="32"/>
      <c r="K197" s="32"/>
      <c r="L197" s="32"/>
      <c r="O197" s="65"/>
      <c r="V197" s="33"/>
      <c r="W197" s="33"/>
      <c r="X197" s="34"/>
      <c r="Y197" s="35"/>
      <c r="Z197" s="34"/>
      <c r="AA197" s="35"/>
      <c r="AB197" s="34"/>
      <c r="AC197" s="36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</row>
    <row r="198" spans="2:63" s="28" customFormat="1">
      <c r="B198" s="27"/>
      <c r="D198" s="29"/>
      <c r="E198" s="30"/>
      <c r="G198" s="31"/>
      <c r="H198" s="32"/>
      <c r="I198" s="32"/>
      <c r="J198" s="32"/>
      <c r="K198" s="32"/>
      <c r="L198" s="32"/>
      <c r="O198" s="68"/>
      <c r="V198" s="33"/>
      <c r="W198" s="33"/>
      <c r="X198" s="34"/>
      <c r="Y198" s="35"/>
      <c r="Z198" s="34"/>
      <c r="AA198" s="35"/>
      <c r="AB198" s="34"/>
      <c r="AC198" s="36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</row>
    <row r="199" spans="2:63" s="28" customFormat="1">
      <c r="B199" s="27"/>
      <c r="D199" s="29"/>
      <c r="E199" s="30"/>
      <c r="G199" s="31"/>
      <c r="H199" s="32"/>
      <c r="I199" s="32"/>
      <c r="J199" s="32"/>
      <c r="K199" s="32"/>
      <c r="L199" s="32"/>
      <c r="O199" s="70"/>
      <c r="V199" s="33"/>
      <c r="W199" s="33"/>
      <c r="X199" s="34"/>
      <c r="Y199" s="35"/>
      <c r="Z199" s="34"/>
      <c r="AA199" s="35"/>
      <c r="AB199" s="34"/>
      <c r="AC199" s="36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</row>
    <row r="200" spans="2:63" s="28" customFormat="1">
      <c r="B200" s="27"/>
      <c r="D200" s="29"/>
      <c r="E200" s="30"/>
      <c r="G200" s="31"/>
      <c r="H200" s="32"/>
      <c r="I200" s="32"/>
      <c r="J200" s="32"/>
      <c r="K200" s="32"/>
      <c r="L200" s="32"/>
      <c r="O200" s="65"/>
      <c r="V200" s="33"/>
      <c r="W200" s="33"/>
      <c r="X200" s="34"/>
      <c r="Y200" s="35"/>
      <c r="Z200" s="34"/>
      <c r="AA200" s="35"/>
      <c r="AB200" s="34"/>
      <c r="AC200" s="36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</row>
    <row r="201" spans="2:63" s="28" customFormat="1">
      <c r="B201" s="27"/>
      <c r="D201" s="29"/>
      <c r="E201" s="30"/>
      <c r="G201" s="31"/>
      <c r="H201" s="32"/>
      <c r="I201" s="32"/>
      <c r="J201" s="32"/>
      <c r="K201" s="32"/>
      <c r="L201" s="32"/>
      <c r="O201" s="65"/>
      <c r="V201" s="33"/>
      <c r="W201" s="33"/>
      <c r="X201" s="34"/>
      <c r="Y201" s="35"/>
      <c r="Z201" s="34"/>
      <c r="AA201" s="35"/>
      <c r="AB201" s="34"/>
      <c r="AC201" s="36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</row>
    <row r="202" spans="2:63" s="28" customFormat="1">
      <c r="B202" s="27"/>
      <c r="D202" s="29"/>
      <c r="E202" s="30"/>
      <c r="G202" s="31"/>
      <c r="H202" s="32"/>
      <c r="I202" s="32"/>
      <c r="J202" s="32"/>
      <c r="K202" s="32"/>
      <c r="L202" s="32"/>
      <c r="O202" s="65"/>
      <c r="V202" s="33"/>
      <c r="W202" s="33"/>
      <c r="X202" s="34"/>
      <c r="Y202" s="35"/>
      <c r="Z202" s="34"/>
      <c r="AA202" s="35"/>
      <c r="AB202" s="34"/>
      <c r="AC202" s="36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</row>
    <row r="203" spans="2:63" s="28" customFormat="1">
      <c r="B203" s="27"/>
      <c r="D203" s="29"/>
      <c r="E203" s="30"/>
      <c r="G203" s="31"/>
      <c r="H203" s="32"/>
      <c r="I203" s="32"/>
      <c r="J203" s="32"/>
      <c r="K203" s="32"/>
      <c r="L203" s="32"/>
      <c r="O203" s="65"/>
      <c r="V203" s="33"/>
      <c r="W203" s="33"/>
      <c r="X203" s="34"/>
      <c r="Y203" s="35"/>
      <c r="Z203" s="34"/>
      <c r="AA203" s="35"/>
      <c r="AB203" s="34"/>
      <c r="AC203" s="36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</row>
    <row r="204" spans="2:63" s="28" customFormat="1">
      <c r="B204" s="27"/>
      <c r="D204" s="29"/>
      <c r="E204" s="30"/>
      <c r="G204" s="31"/>
      <c r="H204" s="32"/>
      <c r="I204" s="32"/>
      <c r="J204" s="32"/>
      <c r="K204" s="32"/>
      <c r="L204" s="32"/>
      <c r="O204" s="71"/>
      <c r="V204" s="33"/>
      <c r="W204" s="33"/>
      <c r="X204" s="34"/>
      <c r="Y204" s="35"/>
      <c r="Z204" s="34"/>
      <c r="AA204" s="35"/>
      <c r="AB204" s="34"/>
      <c r="AC204" s="36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</row>
    <row r="205" spans="2:63" s="28" customFormat="1">
      <c r="B205" s="27"/>
      <c r="D205" s="29"/>
      <c r="E205" s="30"/>
      <c r="G205" s="31"/>
      <c r="H205" s="32"/>
      <c r="I205" s="32"/>
      <c r="J205" s="32"/>
      <c r="K205" s="32"/>
      <c r="L205" s="32"/>
      <c r="O205" s="69"/>
      <c r="V205" s="33"/>
      <c r="W205" s="33"/>
      <c r="X205" s="34"/>
      <c r="Y205" s="35"/>
      <c r="Z205" s="34"/>
      <c r="AA205" s="35"/>
      <c r="AB205" s="34"/>
      <c r="AC205" s="36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</row>
    <row r="206" spans="2:63" s="28" customFormat="1">
      <c r="B206" s="27"/>
      <c r="D206" s="29"/>
      <c r="E206" s="30"/>
      <c r="G206" s="31"/>
      <c r="H206" s="32"/>
      <c r="I206" s="32"/>
      <c r="J206" s="32"/>
      <c r="K206" s="32"/>
      <c r="L206" s="32"/>
      <c r="O206" s="68"/>
      <c r="V206" s="33"/>
      <c r="W206" s="33"/>
      <c r="X206" s="34"/>
      <c r="Y206" s="35"/>
      <c r="Z206" s="34"/>
      <c r="AA206" s="35"/>
      <c r="AB206" s="34"/>
      <c r="AC206" s="36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</row>
    <row r="207" spans="2:63" s="28" customFormat="1">
      <c r="B207" s="27"/>
      <c r="D207" s="29"/>
      <c r="E207" s="30"/>
      <c r="G207" s="31"/>
      <c r="H207" s="32"/>
      <c r="I207" s="32"/>
      <c r="J207" s="32"/>
      <c r="K207" s="32"/>
      <c r="L207" s="32"/>
      <c r="O207" s="70"/>
      <c r="V207" s="33"/>
      <c r="W207" s="33"/>
      <c r="X207" s="34"/>
      <c r="Y207" s="35"/>
      <c r="Z207" s="34"/>
      <c r="AA207" s="35"/>
      <c r="AB207" s="34"/>
      <c r="AC207" s="36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</row>
    <row r="208" spans="2:63" s="28" customFormat="1">
      <c r="B208" s="27"/>
      <c r="D208" s="29"/>
      <c r="E208" s="30"/>
      <c r="G208" s="31"/>
      <c r="H208" s="32"/>
      <c r="I208" s="32"/>
      <c r="J208" s="32"/>
      <c r="K208" s="32"/>
      <c r="L208" s="32"/>
      <c r="O208" s="65"/>
      <c r="V208" s="33"/>
      <c r="W208" s="33"/>
      <c r="X208" s="34"/>
      <c r="Y208" s="35"/>
      <c r="Z208" s="34"/>
      <c r="AA208" s="35"/>
      <c r="AB208" s="34"/>
      <c r="AC208" s="36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</row>
    <row r="209" spans="2:63" s="28" customFormat="1">
      <c r="B209" s="27"/>
      <c r="D209" s="29"/>
      <c r="E209" s="30"/>
      <c r="G209" s="31"/>
      <c r="H209" s="32"/>
      <c r="I209" s="32"/>
      <c r="J209" s="32"/>
      <c r="K209" s="32"/>
      <c r="L209" s="32"/>
      <c r="O209" s="65"/>
      <c r="V209" s="33"/>
      <c r="W209" s="33"/>
      <c r="X209" s="34"/>
      <c r="Y209" s="35"/>
      <c r="Z209" s="34"/>
      <c r="AA209" s="35"/>
      <c r="AB209" s="34"/>
      <c r="AC209" s="36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</row>
    <row r="210" spans="2:63" s="28" customFormat="1">
      <c r="B210" s="27"/>
      <c r="D210" s="29"/>
      <c r="E210" s="30"/>
      <c r="G210" s="31"/>
      <c r="H210" s="32"/>
      <c r="I210" s="32"/>
      <c r="J210" s="32"/>
      <c r="K210" s="32"/>
      <c r="L210" s="32"/>
      <c r="O210" s="65"/>
      <c r="V210" s="33"/>
      <c r="W210" s="33"/>
      <c r="X210" s="34"/>
      <c r="Y210" s="35"/>
      <c r="Z210" s="34"/>
      <c r="AA210" s="35"/>
      <c r="AB210" s="34"/>
      <c r="AC210" s="36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</row>
    <row r="211" spans="2:63" s="28" customFormat="1">
      <c r="B211" s="27"/>
      <c r="D211" s="29"/>
      <c r="E211" s="30"/>
      <c r="G211" s="31"/>
      <c r="H211" s="32"/>
      <c r="I211" s="32"/>
      <c r="J211" s="32"/>
      <c r="K211" s="32"/>
      <c r="L211" s="32"/>
      <c r="O211" s="65"/>
      <c r="V211" s="33"/>
      <c r="W211" s="33"/>
      <c r="X211" s="34"/>
      <c r="Y211" s="35"/>
      <c r="Z211" s="34"/>
      <c r="AA211" s="35"/>
      <c r="AB211" s="34"/>
      <c r="AC211" s="36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</row>
    <row r="212" spans="2:63" s="28" customFormat="1">
      <c r="B212" s="27"/>
      <c r="D212" s="29"/>
      <c r="E212" s="30"/>
      <c r="G212" s="31"/>
      <c r="H212" s="32"/>
      <c r="I212" s="32"/>
      <c r="J212" s="32"/>
      <c r="K212" s="32"/>
      <c r="L212" s="32"/>
      <c r="O212" s="65"/>
      <c r="V212" s="33"/>
      <c r="W212" s="33"/>
      <c r="X212" s="34"/>
      <c r="Y212" s="35"/>
      <c r="Z212" s="34"/>
      <c r="AA212" s="35"/>
      <c r="AB212" s="34"/>
      <c r="AC212" s="36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</row>
    <row r="213" spans="2:63" s="28" customFormat="1">
      <c r="B213" s="27"/>
      <c r="D213" s="29"/>
      <c r="E213" s="30"/>
      <c r="G213" s="31"/>
      <c r="H213" s="32"/>
      <c r="I213" s="32"/>
      <c r="J213" s="32"/>
      <c r="K213" s="32"/>
      <c r="L213" s="32"/>
      <c r="O213" s="76"/>
      <c r="V213" s="33"/>
      <c r="W213" s="33"/>
      <c r="X213" s="34"/>
      <c r="Y213" s="35"/>
      <c r="Z213" s="34"/>
      <c r="AA213" s="35"/>
      <c r="AB213" s="34"/>
      <c r="AC213" s="36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</row>
    <row r="214" spans="2:63" s="28" customFormat="1">
      <c r="B214" s="27"/>
      <c r="D214" s="29"/>
      <c r="E214" s="30"/>
      <c r="G214" s="31"/>
      <c r="H214" s="32"/>
      <c r="I214" s="32"/>
      <c r="J214" s="32"/>
      <c r="K214" s="32"/>
      <c r="L214" s="32"/>
      <c r="O214" s="65"/>
      <c r="V214" s="33"/>
      <c r="W214" s="33"/>
      <c r="X214" s="34"/>
      <c r="Y214" s="35"/>
      <c r="Z214" s="34"/>
      <c r="AA214" s="35"/>
      <c r="AB214" s="34"/>
      <c r="AC214" s="36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</row>
    <row r="215" spans="2:63" s="28" customFormat="1">
      <c r="B215" s="27"/>
      <c r="D215" s="29"/>
      <c r="E215" s="30"/>
      <c r="G215" s="31"/>
      <c r="H215" s="32"/>
      <c r="I215" s="32"/>
      <c r="J215" s="32"/>
      <c r="K215" s="32"/>
      <c r="L215" s="32"/>
      <c r="O215" s="68"/>
      <c r="V215" s="33"/>
      <c r="W215" s="33"/>
      <c r="X215" s="34"/>
      <c r="Y215" s="35"/>
      <c r="Z215" s="34"/>
      <c r="AA215" s="35"/>
      <c r="AB215" s="34"/>
      <c r="AC215" s="36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</row>
    <row r="216" spans="2:63" s="28" customFormat="1">
      <c r="B216" s="27"/>
      <c r="D216" s="29"/>
      <c r="E216" s="30"/>
      <c r="G216" s="31"/>
      <c r="H216" s="32"/>
      <c r="I216" s="32"/>
      <c r="J216" s="32"/>
      <c r="K216" s="32"/>
      <c r="L216" s="32"/>
      <c r="O216" s="72"/>
      <c r="V216" s="33"/>
      <c r="W216" s="33"/>
      <c r="X216" s="34"/>
      <c r="Y216" s="35"/>
      <c r="Z216" s="34"/>
      <c r="AA216" s="35"/>
      <c r="AB216" s="34"/>
      <c r="AC216" s="36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</row>
    <row r="217" spans="2:63" s="28" customFormat="1">
      <c r="B217" s="27"/>
      <c r="D217" s="29"/>
      <c r="E217" s="30"/>
      <c r="G217" s="31"/>
      <c r="H217" s="32"/>
      <c r="I217" s="32"/>
      <c r="J217" s="32"/>
      <c r="K217" s="32"/>
      <c r="L217" s="32"/>
      <c r="O217" s="77"/>
      <c r="V217" s="33"/>
      <c r="W217" s="33"/>
      <c r="X217" s="34"/>
      <c r="Y217" s="35"/>
      <c r="Z217" s="34"/>
      <c r="AA217" s="35"/>
      <c r="AB217" s="34"/>
      <c r="AC217" s="36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</row>
    <row r="218" spans="2:63" s="28" customFormat="1">
      <c r="B218" s="27"/>
      <c r="D218" s="29"/>
      <c r="E218" s="30"/>
      <c r="G218" s="31"/>
      <c r="H218" s="32"/>
      <c r="I218" s="32"/>
      <c r="J218" s="32"/>
      <c r="K218" s="32"/>
      <c r="L218" s="32"/>
      <c r="O218" s="65"/>
      <c r="V218" s="33"/>
      <c r="W218" s="33"/>
      <c r="X218" s="34"/>
      <c r="Y218" s="35"/>
      <c r="Z218" s="34"/>
      <c r="AA218" s="35"/>
      <c r="AB218" s="34"/>
      <c r="AC218" s="36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</row>
    <row r="219" spans="2:63" s="28" customFormat="1">
      <c r="B219" s="27"/>
      <c r="D219" s="29"/>
      <c r="E219" s="30"/>
      <c r="G219" s="31"/>
      <c r="H219" s="32"/>
      <c r="I219" s="32"/>
      <c r="J219" s="32"/>
      <c r="K219" s="32"/>
      <c r="L219" s="32"/>
      <c r="O219" s="65"/>
      <c r="V219" s="33"/>
      <c r="W219" s="33"/>
      <c r="X219" s="34"/>
      <c r="Y219" s="35"/>
      <c r="Z219" s="34"/>
      <c r="AA219" s="35"/>
      <c r="AB219" s="34"/>
      <c r="AC219" s="36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</row>
    <row r="220" spans="2:63" s="28" customFormat="1">
      <c r="B220" s="27"/>
      <c r="D220" s="29"/>
      <c r="E220" s="30"/>
      <c r="G220" s="31"/>
      <c r="H220" s="32"/>
      <c r="I220" s="32"/>
      <c r="J220" s="32"/>
      <c r="K220" s="32"/>
      <c r="L220" s="32"/>
      <c r="O220" s="69"/>
      <c r="V220" s="33"/>
      <c r="W220" s="33"/>
      <c r="X220" s="34"/>
      <c r="Y220" s="35"/>
      <c r="Z220" s="34"/>
      <c r="AA220" s="35"/>
      <c r="AB220" s="34"/>
      <c r="AC220" s="36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</row>
    <row r="221" spans="2:63" s="28" customFormat="1">
      <c r="B221" s="27"/>
      <c r="D221" s="29"/>
      <c r="E221" s="30"/>
      <c r="G221" s="31"/>
      <c r="H221" s="32"/>
      <c r="I221" s="32"/>
      <c r="J221" s="32"/>
      <c r="K221" s="32"/>
      <c r="L221" s="32"/>
      <c r="O221" s="73"/>
      <c r="V221" s="33"/>
      <c r="W221" s="33"/>
      <c r="X221" s="34"/>
      <c r="Y221" s="35"/>
      <c r="Z221" s="34"/>
      <c r="AA221" s="35"/>
      <c r="AB221" s="34"/>
      <c r="AC221" s="36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</row>
    <row r="222" spans="2:63" s="28" customFormat="1">
      <c r="B222" s="27"/>
      <c r="D222" s="29"/>
      <c r="E222" s="30"/>
      <c r="G222" s="31"/>
      <c r="H222" s="32"/>
      <c r="I222" s="32"/>
      <c r="J222" s="32"/>
      <c r="K222" s="32"/>
      <c r="L222" s="32"/>
      <c r="O222" s="71"/>
      <c r="V222" s="33"/>
      <c r="W222" s="33"/>
      <c r="X222" s="34"/>
      <c r="Y222" s="35"/>
      <c r="Z222" s="34"/>
      <c r="AA222" s="35"/>
      <c r="AB222" s="34"/>
      <c r="AC222" s="36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</row>
    <row r="223" spans="2:63" s="28" customFormat="1">
      <c r="B223" s="27"/>
      <c r="D223" s="29"/>
      <c r="E223" s="30"/>
      <c r="G223" s="31"/>
      <c r="H223" s="32"/>
      <c r="I223" s="32"/>
      <c r="J223" s="32"/>
      <c r="K223" s="32"/>
      <c r="L223" s="32"/>
      <c r="O223" s="64"/>
      <c r="V223" s="33"/>
      <c r="W223" s="33"/>
      <c r="X223" s="34"/>
      <c r="Y223" s="35"/>
      <c r="Z223" s="34"/>
      <c r="AA223" s="35"/>
      <c r="AB223" s="34"/>
      <c r="AC223" s="36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</row>
    <row r="224" spans="2:63" s="28" customFormat="1">
      <c r="B224" s="27"/>
      <c r="D224" s="29"/>
      <c r="E224" s="30"/>
      <c r="G224" s="31"/>
      <c r="H224" s="32"/>
      <c r="I224" s="32"/>
      <c r="J224" s="32"/>
      <c r="K224" s="32"/>
      <c r="L224" s="32"/>
      <c r="O224" s="67"/>
      <c r="V224" s="33"/>
      <c r="W224" s="33"/>
      <c r="X224" s="34"/>
      <c r="Y224" s="35"/>
      <c r="Z224" s="34"/>
      <c r="AA224" s="35"/>
      <c r="AB224" s="34"/>
      <c r="AC224" s="36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</row>
    <row r="225" spans="2:63" s="28" customFormat="1">
      <c r="B225" s="27"/>
      <c r="D225" s="29"/>
      <c r="E225" s="30"/>
      <c r="G225" s="31"/>
      <c r="H225" s="32"/>
      <c r="I225" s="32"/>
      <c r="J225" s="32"/>
      <c r="K225" s="32"/>
      <c r="L225" s="32"/>
      <c r="O225" s="65"/>
      <c r="V225" s="33"/>
      <c r="W225" s="33"/>
      <c r="X225" s="34"/>
      <c r="Y225" s="35"/>
      <c r="Z225" s="34"/>
      <c r="AA225" s="35"/>
      <c r="AB225" s="34"/>
      <c r="AC225" s="36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</row>
    <row r="226" spans="2:63" s="28" customFormat="1">
      <c r="B226" s="27"/>
      <c r="D226" s="29"/>
      <c r="E226" s="30"/>
      <c r="G226" s="31"/>
      <c r="H226" s="32"/>
      <c r="I226" s="32"/>
      <c r="J226" s="32"/>
      <c r="K226" s="32"/>
      <c r="L226" s="32"/>
      <c r="O226" s="78"/>
      <c r="V226" s="33"/>
      <c r="W226" s="33"/>
      <c r="X226" s="34"/>
      <c r="Y226" s="35"/>
      <c r="Z226" s="34"/>
      <c r="AA226" s="35"/>
      <c r="AB226" s="34"/>
      <c r="AC226" s="36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</row>
    <row r="227" spans="2:63" s="28" customFormat="1">
      <c r="B227" s="27"/>
      <c r="D227" s="29"/>
      <c r="E227" s="30"/>
      <c r="G227" s="31"/>
      <c r="H227" s="32"/>
      <c r="I227" s="32"/>
      <c r="J227" s="32"/>
      <c r="K227" s="32"/>
      <c r="L227" s="32"/>
      <c r="O227" s="64"/>
      <c r="V227" s="33"/>
      <c r="W227" s="33"/>
      <c r="X227" s="34"/>
      <c r="Y227" s="35"/>
      <c r="Z227" s="34"/>
      <c r="AA227" s="35"/>
      <c r="AB227" s="34"/>
      <c r="AC227" s="36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</row>
    <row r="228" spans="2:63" s="28" customFormat="1">
      <c r="B228" s="27"/>
      <c r="D228" s="29"/>
      <c r="E228" s="30"/>
      <c r="G228" s="31"/>
      <c r="H228" s="32"/>
      <c r="I228" s="32"/>
      <c r="J228" s="32"/>
      <c r="K228" s="32"/>
      <c r="L228" s="32"/>
      <c r="O228" s="79"/>
      <c r="V228" s="33"/>
      <c r="W228" s="33"/>
      <c r="X228" s="34"/>
      <c r="Y228" s="35"/>
      <c r="Z228" s="34"/>
      <c r="AA228" s="35"/>
      <c r="AB228" s="34"/>
      <c r="AC228" s="36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</row>
    <row r="229" spans="2:63" s="28" customFormat="1">
      <c r="B229" s="27"/>
      <c r="D229" s="29"/>
      <c r="E229" s="30"/>
      <c r="G229" s="31"/>
      <c r="H229" s="32"/>
      <c r="I229" s="32"/>
      <c r="J229" s="32"/>
      <c r="K229" s="32"/>
      <c r="L229" s="32"/>
      <c r="O229" s="67"/>
      <c r="V229" s="33"/>
      <c r="W229" s="33"/>
      <c r="X229" s="34"/>
      <c r="Y229" s="35"/>
      <c r="Z229" s="34"/>
      <c r="AA229" s="35"/>
      <c r="AB229" s="34"/>
      <c r="AC229" s="36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</row>
    <row r="230" spans="2:63" s="28" customFormat="1">
      <c r="B230" s="27"/>
      <c r="D230" s="29"/>
      <c r="E230" s="30"/>
      <c r="G230" s="31"/>
      <c r="H230" s="32"/>
      <c r="I230" s="32"/>
      <c r="J230" s="32"/>
      <c r="K230" s="32"/>
      <c r="L230" s="32"/>
      <c r="O230" s="64"/>
      <c r="V230" s="33"/>
      <c r="W230" s="33"/>
      <c r="X230" s="34"/>
      <c r="Y230" s="35"/>
      <c r="Z230" s="34"/>
      <c r="AA230" s="35"/>
      <c r="AB230" s="34"/>
      <c r="AC230" s="36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</row>
    <row r="231" spans="2:63" s="28" customFormat="1">
      <c r="B231" s="27"/>
      <c r="D231" s="29"/>
      <c r="E231" s="30"/>
      <c r="G231" s="31"/>
      <c r="H231" s="32"/>
      <c r="I231" s="32"/>
      <c r="J231" s="32"/>
      <c r="K231" s="32"/>
      <c r="L231" s="32"/>
      <c r="O231" s="65"/>
      <c r="V231" s="33"/>
      <c r="W231" s="33"/>
      <c r="X231" s="34"/>
      <c r="Y231" s="35"/>
      <c r="Z231" s="34"/>
      <c r="AA231" s="35"/>
      <c r="AB231" s="34"/>
      <c r="AC231" s="36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</row>
    <row r="232" spans="2:63" s="28" customFormat="1">
      <c r="B232" s="27"/>
      <c r="D232" s="29"/>
      <c r="E232" s="30"/>
      <c r="G232" s="31"/>
      <c r="H232" s="32"/>
      <c r="I232" s="32"/>
      <c r="J232" s="32"/>
      <c r="K232" s="32"/>
      <c r="L232" s="32"/>
      <c r="O232" s="65"/>
      <c r="V232" s="33"/>
      <c r="W232" s="33"/>
      <c r="X232" s="34"/>
      <c r="Y232" s="35"/>
      <c r="Z232" s="34"/>
      <c r="AA232" s="35"/>
      <c r="AB232" s="34"/>
      <c r="AC232" s="36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</row>
    <row r="233" spans="2:63" s="28" customFormat="1">
      <c r="B233" s="27"/>
      <c r="D233" s="29"/>
      <c r="E233" s="30"/>
      <c r="G233" s="31"/>
      <c r="H233" s="32"/>
      <c r="I233" s="32"/>
      <c r="J233" s="32"/>
      <c r="K233" s="32"/>
      <c r="L233" s="32"/>
      <c r="O233" s="65"/>
      <c r="V233" s="33"/>
      <c r="W233" s="33"/>
      <c r="X233" s="34"/>
      <c r="Y233" s="35"/>
      <c r="Z233" s="34"/>
      <c r="AA233" s="35"/>
      <c r="AB233" s="34"/>
      <c r="AC233" s="36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</row>
    <row r="234" spans="2:63" s="28" customFormat="1">
      <c r="B234" s="27"/>
      <c r="D234" s="29"/>
      <c r="E234" s="30"/>
      <c r="G234" s="31"/>
      <c r="H234" s="32"/>
      <c r="I234" s="32"/>
      <c r="J234" s="32"/>
      <c r="K234" s="32"/>
      <c r="L234" s="32"/>
      <c r="O234" s="65"/>
      <c r="V234" s="33"/>
      <c r="W234" s="33"/>
      <c r="X234" s="34"/>
      <c r="Y234" s="35"/>
      <c r="Z234" s="34"/>
      <c r="AA234" s="35"/>
      <c r="AB234" s="34"/>
      <c r="AC234" s="36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</row>
    <row r="235" spans="2:63" s="28" customFormat="1">
      <c r="B235" s="27"/>
      <c r="D235" s="29"/>
      <c r="E235" s="30"/>
      <c r="G235" s="31"/>
      <c r="H235" s="32"/>
      <c r="I235" s="32"/>
      <c r="J235" s="32"/>
      <c r="K235" s="32"/>
      <c r="L235" s="32"/>
      <c r="O235" s="66"/>
      <c r="V235" s="33"/>
      <c r="W235" s="33"/>
      <c r="X235" s="34"/>
      <c r="Y235" s="35"/>
      <c r="Z235" s="34"/>
      <c r="AA235" s="35"/>
      <c r="AB235" s="34"/>
      <c r="AC235" s="36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</row>
    <row r="236" spans="2:63" s="28" customFormat="1">
      <c r="B236" s="27"/>
      <c r="D236" s="29"/>
      <c r="E236" s="30"/>
      <c r="G236" s="31"/>
      <c r="H236" s="32"/>
      <c r="I236" s="32"/>
      <c r="J236" s="32"/>
      <c r="K236" s="32"/>
      <c r="L236" s="32"/>
      <c r="O236" s="68"/>
      <c r="V236" s="33"/>
      <c r="W236" s="33"/>
      <c r="X236" s="34"/>
      <c r="Y236" s="35"/>
      <c r="Z236" s="34"/>
      <c r="AA236" s="35"/>
      <c r="AB236" s="34"/>
      <c r="AC236" s="36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</row>
    <row r="237" spans="2:63" s="28" customFormat="1">
      <c r="B237" s="27"/>
      <c r="D237" s="29"/>
      <c r="E237" s="30"/>
      <c r="G237" s="31"/>
      <c r="H237" s="32"/>
      <c r="I237" s="32"/>
      <c r="J237" s="32"/>
      <c r="K237" s="32"/>
      <c r="L237" s="32"/>
      <c r="O237" s="65"/>
      <c r="V237" s="33"/>
      <c r="W237" s="33"/>
      <c r="X237" s="34"/>
      <c r="Y237" s="35"/>
      <c r="Z237" s="34"/>
      <c r="AA237" s="35"/>
      <c r="AB237" s="34"/>
      <c r="AC237" s="36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</row>
    <row r="238" spans="2:63" s="28" customFormat="1">
      <c r="B238" s="27"/>
      <c r="D238" s="29"/>
      <c r="E238" s="30"/>
      <c r="G238" s="31"/>
      <c r="H238" s="32"/>
      <c r="I238" s="32"/>
      <c r="J238" s="32"/>
      <c r="K238" s="32"/>
      <c r="L238" s="32"/>
      <c r="O238" s="65"/>
      <c r="V238" s="33"/>
      <c r="W238" s="33"/>
      <c r="X238" s="34"/>
      <c r="Y238" s="35"/>
      <c r="Z238" s="34"/>
      <c r="AA238" s="35"/>
      <c r="AB238" s="34"/>
      <c r="AC238" s="36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</row>
    <row r="239" spans="2:63" s="28" customFormat="1">
      <c r="B239" s="27"/>
      <c r="D239" s="29"/>
      <c r="E239" s="30"/>
      <c r="G239" s="31"/>
      <c r="H239" s="32"/>
      <c r="I239" s="32"/>
      <c r="J239" s="32"/>
      <c r="K239" s="32"/>
      <c r="L239" s="32"/>
      <c r="O239" s="71"/>
      <c r="V239" s="33"/>
      <c r="W239" s="33"/>
      <c r="X239" s="34"/>
      <c r="Y239" s="35"/>
      <c r="Z239" s="34"/>
      <c r="AA239" s="35"/>
      <c r="AB239" s="34"/>
      <c r="AC239" s="36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</row>
    <row r="240" spans="2:63" s="28" customFormat="1">
      <c r="B240" s="27"/>
      <c r="D240" s="29"/>
      <c r="E240" s="30"/>
      <c r="G240" s="31"/>
      <c r="H240" s="32"/>
      <c r="I240" s="32"/>
      <c r="J240" s="32"/>
      <c r="K240" s="32"/>
      <c r="L240" s="32"/>
      <c r="O240" s="69"/>
      <c r="V240" s="33"/>
      <c r="W240" s="33"/>
      <c r="X240" s="34"/>
      <c r="Y240" s="35"/>
      <c r="Z240" s="34"/>
      <c r="AA240" s="35"/>
      <c r="AB240" s="34"/>
      <c r="AC240" s="36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</row>
    <row r="241" spans="2:63" s="28" customFormat="1">
      <c r="B241" s="27"/>
      <c r="D241" s="29"/>
      <c r="E241" s="30"/>
      <c r="G241" s="31"/>
      <c r="H241" s="32"/>
      <c r="I241" s="32"/>
      <c r="J241" s="32"/>
      <c r="K241" s="32"/>
      <c r="L241" s="32"/>
      <c r="O241" s="68"/>
      <c r="V241" s="33"/>
      <c r="W241" s="33"/>
      <c r="X241" s="34"/>
      <c r="Y241" s="35"/>
      <c r="Z241" s="34"/>
      <c r="AA241" s="35"/>
      <c r="AB241" s="34"/>
      <c r="AC241" s="36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</row>
    <row r="242" spans="2:63" s="28" customFormat="1">
      <c r="B242" s="27"/>
      <c r="D242" s="29"/>
      <c r="E242" s="30"/>
      <c r="G242" s="31"/>
      <c r="H242" s="32"/>
      <c r="I242" s="32"/>
      <c r="J242" s="32"/>
      <c r="K242" s="32"/>
      <c r="L242" s="32"/>
      <c r="O242" s="65"/>
      <c r="V242" s="33"/>
      <c r="W242" s="33"/>
      <c r="X242" s="34"/>
      <c r="Y242" s="35"/>
      <c r="Z242" s="34"/>
      <c r="AA242" s="35"/>
      <c r="AB242" s="34"/>
      <c r="AC242" s="36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</row>
    <row r="243" spans="2:63" s="28" customFormat="1">
      <c r="B243" s="27"/>
      <c r="D243" s="29"/>
      <c r="E243" s="30"/>
      <c r="G243" s="31"/>
      <c r="H243" s="32"/>
      <c r="I243" s="32"/>
      <c r="J243" s="32"/>
      <c r="K243" s="32"/>
      <c r="L243" s="32"/>
      <c r="O243" s="76"/>
      <c r="V243" s="33"/>
      <c r="W243" s="33"/>
      <c r="X243" s="34"/>
      <c r="Y243" s="35"/>
      <c r="Z243" s="34"/>
      <c r="AA243" s="35"/>
      <c r="AB243" s="34"/>
      <c r="AC243" s="36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</row>
    <row r="244" spans="2:63" s="28" customFormat="1">
      <c r="B244" s="27"/>
      <c r="D244" s="29"/>
      <c r="E244" s="30"/>
      <c r="G244" s="31"/>
      <c r="H244" s="32"/>
      <c r="I244" s="32"/>
      <c r="J244" s="32"/>
      <c r="K244" s="32"/>
      <c r="L244" s="32"/>
      <c r="O244" s="69"/>
      <c r="V244" s="33"/>
      <c r="W244" s="33"/>
      <c r="X244" s="34"/>
      <c r="Y244" s="35"/>
      <c r="Z244" s="34"/>
      <c r="AA244" s="35"/>
      <c r="AB244" s="34"/>
      <c r="AC244" s="36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</row>
    <row r="245" spans="2:63" s="28" customFormat="1">
      <c r="B245" s="27"/>
      <c r="D245" s="29"/>
      <c r="E245" s="30"/>
      <c r="G245" s="31"/>
      <c r="H245" s="32"/>
      <c r="I245" s="32"/>
      <c r="J245" s="32"/>
      <c r="K245" s="32"/>
      <c r="L245" s="32"/>
      <c r="O245" s="65"/>
      <c r="V245" s="33"/>
      <c r="W245" s="33"/>
      <c r="X245" s="34"/>
      <c r="Y245" s="35"/>
      <c r="Z245" s="34"/>
      <c r="AA245" s="35"/>
      <c r="AB245" s="34"/>
      <c r="AC245" s="36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</row>
    <row r="246" spans="2:63" s="28" customFormat="1">
      <c r="B246" s="27"/>
      <c r="D246" s="29"/>
      <c r="E246" s="30"/>
      <c r="G246" s="31"/>
      <c r="H246" s="32"/>
      <c r="I246" s="32"/>
      <c r="J246" s="32"/>
      <c r="K246" s="32"/>
      <c r="L246" s="32"/>
      <c r="O246" s="66"/>
      <c r="V246" s="33"/>
      <c r="W246" s="33"/>
      <c r="X246" s="34"/>
      <c r="Y246" s="35"/>
      <c r="Z246" s="34"/>
      <c r="AA246" s="35"/>
      <c r="AB246" s="34"/>
      <c r="AC246" s="36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</row>
    <row r="247" spans="2:63" s="28" customFormat="1">
      <c r="B247" s="27"/>
      <c r="D247" s="29"/>
      <c r="E247" s="30"/>
      <c r="G247" s="31"/>
      <c r="H247" s="32"/>
      <c r="I247" s="32"/>
      <c r="J247" s="32"/>
      <c r="K247" s="32"/>
      <c r="L247" s="32"/>
      <c r="O247" s="69"/>
      <c r="V247" s="33"/>
      <c r="W247" s="33"/>
      <c r="X247" s="34"/>
      <c r="Y247" s="35"/>
      <c r="Z247" s="34"/>
      <c r="AA247" s="35"/>
      <c r="AB247" s="34"/>
      <c r="AC247" s="36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</row>
    <row r="248" spans="2:63" s="28" customFormat="1">
      <c r="B248" s="27"/>
      <c r="D248" s="29"/>
      <c r="E248" s="30"/>
      <c r="G248" s="31"/>
      <c r="H248" s="32"/>
      <c r="I248" s="32"/>
      <c r="J248" s="32"/>
      <c r="K248" s="32"/>
      <c r="L248" s="32"/>
      <c r="O248" s="80"/>
      <c r="V248" s="33"/>
      <c r="W248" s="33"/>
      <c r="X248" s="34"/>
      <c r="Y248" s="35"/>
      <c r="Z248" s="34"/>
      <c r="AA248" s="35"/>
      <c r="AB248" s="34"/>
      <c r="AC248" s="36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</row>
    <row r="249" spans="2:63" s="28" customFormat="1">
      <c r="B249" s="27"/>
      <c r="D249" s="29"/>
      <c r="E249" s="30"/>
      <c r="G249" s="31"/>
      <c r="H249" s="32"/>
      <c r="I249" s="32"/>
      <c r="J249" s="32"/>
      <c r="K249" s="32"/>
      <c r="L249" s="32"/>
      <c r="O249" s="69"/>
      <c r="V249" s="33"/>
      <c r="W249" s="33"/>
      <c r="X249" s="34"/>
      <c r="Y249" s="35"/>
      <c r="Z249" s="34"/>
      <c r="AA249" s="35"/>
      <c r="AB249" s="34"/>
      <c r="AC249" s="36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</row>
    <row r="250" spans="2:63" s="28" customFormat="1">
      <c r="B250" s="27"/>
      <c r="D250" s="29"/>
      <c r="E250" s="30"/>
      <c r="G250" s="31"/>
      <c r="H250" s="32"/>
      <c r="I250" s="32"/>
      <c r="J250" s="32"/>
      <c r="K250" s="32"/>
      <c r="L250" s="32"/>
      <c r="O250" s="65"/>
      <c r="V250" s="33"/>
      <c r="W250" s="33"/>
      <c r="X250" s="34"/>
      <c r="Y250" s="35"/>
      <c r="Z250" s="34"/>
      <c r="AA250" s="35"/>
      <c r="AB250" s="34"/>
      <c r="AC250" s="36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</row>
    <row r="251" spans="2:63" s="28" customFormat="1">
      <c r="B251" s="27"/>
      <c r="D251" s="29"/>
      <c r="E251" s="30"/>
      <c r="G251" s="31"/>
      <c r="H251" s="32"/>
      <c r="I251" s="32"/>
      <c r="J251" s="32"/>
      <c r="K251" s="32"/>
      <c r="L251" s="32"/>
      <c r="O251" s="80"/>
      <c r="V251" s="33"/>
      <c r="W251" s="33"/>
      <c r="X251" s="34"/>
      <c r="Y251" s="35"/>
      <c r="Z251" s="34"/>
      <c r="AA251" s="35"/>
      <c r="AB251" s="34"/>
      <c r="AC251" s="36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</row>
    <row r="252" spans="2:63" s="28" customFormat="1">
      <c r="B252" s="27"/>
      <c r="D252" s="29"/>
      <c r="E252" s="30"/>
      <c r="G252" s="31"/>
      <c r="H252" s="32"/>
      <c r="I252" s="32"/>
      <c r="J252" s="32"/>
      <c r="K252" s="32"/>
      <c r="L252" s="32"/>
      <c r="O252" s="65"/>
      <c r="V252" s="33"/>
      <c r="W252" s="33"/>
      <c r="X252" s="34"/>
      <c r="Y252" s="35"/>
      <c r="Z252" s="34"/>
      <c r="AA252" s="35"/>
      <c r="AB252" s="34"/>
      <c r="AC252" s="36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</row>
    <row r="253" spans="2:63" s="28" customFormat="1">
      <c r="B253" s="27"/>
      <c r="D253" s="29"/>
      <c r="E253" s="30"/>
      <c r="G253" s="31"/>
      <c r="H253" s="32"/>
      <c r="I253" s="32"/>
      <c r="J253" s="32"/>
      <c r="K253" s="32"/>
      <c r="L253" s="32"/>
      <c r="O253" s="68"/>
      <c r="V253" s="33"/>
      <c r="W253" s="33"/>
      <c r="X253" s="34"/>
      <c r="Y253" s="35"/>
      <c r="Z253" s="34"/>
      <c r="AA253" s="35"/>
      <c r="AB253" s="34"/>
      <c r="AC253" s="36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</row>
    <row r="254" spans="2:63" s="28" customFormat="1">
      <c r="B254" s="27"/>
      <c r="D254" s="29"/>
      <c r="E254" s="30"/>
      <c r="G254" s="31"/>
      <c r="H254" s="32"/>
      <c r="I254" s="32"/>
      <c r="J254" s="32"/>
      <c r="K254" s="32"/>
      <c r="L254" s="32"/>
      <c r="O254" s="75"/>
      <c r="V254" s="33"/>
      <c r="W254" s="33"/>
      <c r="X254" s="34"/>
      <c r="Y254" s="35"/>
      <c r="Z254" s="34"/>
      <c r="AA254" s="35"/>
      <c r="AB254" s="34"/>
      <c r="AC254" s="36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</row>
    <row r="255" spans="2:63" s="28" customFormat="1">
      <c r="B255" s="27"/>
      <c r="D255" s="29"/>
      <c r="E255" s="30"/>
      <c r="G255" s="31"/>
      <c r="H255" s="32"/>
      <c r="I255" s="32"/>
      <c r="J255" s="32"/>
      <c r="K255" s="32"/>
      <c r="L255" s="32"/>
      <c r="O255" s="69"/>
      <c r="V255" s="33"/>
      <c r="W255" s="33"/>
      <c r="X255" s="34"/>
      <c r="Y255" s="35"/>
      <c r="Z255" s="34"/>
      <c r="AA255" s="35"/>
      <c r="AB255" s="34"/>
      <c r="AC255" s="36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</row>
    <row r="256" spans="2:63" s="28" customFormat="1">
      <c r="B256" s="27"/>
      <c r="D256" s="29"/>
      <c r="E256" s="30"/>
      <c r="G256" s="31"/>
      <c r="H256" s="32"/>
      <c r="I256" s="32"/>
      <c r="J256" s="32"/>
      <c r="K256" s="32"/>
      <c r="L256" s="32"/>
      <c r="O256" s="67"/>
      <c r="V256" s="33"/>
      <c r="W256" s="33"/>
      <c r="X256" s="34"/>
      <c r="Y256" s="35"/>
      <c r="Z256" s="34"/>
      <c r="AA256" s="35"/>
      <c r="AB256" s="34"/>
      <c r="AC256" s="36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</row>
    <row r="257" spans="2:63" s="28" customFormat="1">
      <c r="B257" s="27"/>
      <c r="D257" s="29"/>
      <c r="E257" s="30"/>
      <c r="G257" s="31"/>
      <c r="H257" s="32"/>
      <c r="I257" s="32"/>
      <c r="J257" s="32"/>
      <c r="K257" s="32"/>
      <c r="L257" s="32"/>
      <c r="O257" s="65"/>
      <c r="V257" s="33"/>
      <c r="W257" s="33"/>
      <c r="X257" s="34"/>
      <c r="Y257" s="35"/>
      <c r="Z257" s="34"/>
      <c r="AA257" s="35"/>
      <c r="AB257" s="34"/>
      <c r="AC257" s="36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</row>
    <row r="258" spans="2:63" s="28" customFormat="1">
      <c r="B258" s="27"/>
      <c r="D258" s="29"/>
      <c r="E258" s="30"/>
      <c r="G258" s="31"/>
      <c r="H258" s="32"/>
      <c r="I258" s="32"/>
      <c r="J258" s="32"/>
      <c r="K258" s="32"/>
      <c r="L258" s="32"/>
      <c r="O258" s="64"/>
      <c r="V258" s="33"/>
      <c r="W258" s="33"/>
      <c r="X258" s="34"/>
      <c r="Y258" s="35"/>
      <c r="Z258" s="34"/>
      <c r="AA258" s="35"/>
      <c r="AB258" s="34"/>
      <c r="AC258" s="36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</row>
    <row r="259" spans="2:63" s="28" customFormat="1">
      <c r="B259" s="27"/>
      <c r="D259" s="29"/>
      <c r="E259" s="30"/>
      <c r="G259" s="31"/>
      <c r="H259" s="32"/>
      <c r="I259" s="32"/>
      <c r="J259" s="32"/>
      <c r="K259" s="32"/>
      <c r="L259" s="32"/>
      <c r="O259" s="65"/>
      <c r="V259" s="33"/>
      <c r="W259" s="33"/>
      <c r="X259" s="34"/>
      <c r="Y259" s="35"/>
      <c r="Z259" s="34"/>
      <c r="AA259" s="35"/>
      <c r="AB259" s="34"/>
      <c r="AC259" s="36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</row>
    <row r="260" spans="2:63" s="28" customFormat="1">
      <c r="B260" s="27"/>
      <c r="D260" s="29"/>
      <c r="E260" s="30"/>
      <c r="G260" s="31"/>
      <c r="H260" s="32"/>
      <c r="I260" s="32"/>
      <c r="J260" s="32"/>
      <c r="K260" s="32"/>
      <c r="L260" s="32"/>
      <c r="O260" s="65"/>
      <c r="V260" s="33"/>
      <c r="W260" s="33"/>
      <c r="X260" s="34"/>
      <c r="Y260" s="35"/>
      <c r="Z260" s="34"/>
      <c r="AA260" s="35"/>
      <c r="AB260" s="34"/>
      <c r="AC260" s="36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</row>
    <row r="261" spans="2:63" s="28" customFormat="1">
      <c r="B261" s="27"/>
      <c r="D261" s="29"/>
      <c r="E261" s="30"/>
      <c r="G261" s="31"/>
      <c r="H261" s="32"/>
      <c r="I261" s="32"/>
      <c r="J261" s="32"/>
      <c r="K261" s="32"/>
      <c r="L261" s="32"/>
      <c r="O261" s="64"/>
      <c r="V261" s="33"/>
      <c r="W261" s="33"/>
      <c r="X261" s="34"/>
      <c r="Y261" s="35"/>
      <c r="Z261" s="34"/>
      <c r="AA261" s="35"/>
      <c r="AB261" s="34"/>
      <c r="AC261" s="36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</row>
    <row r="262" spans="2:63" s="28" customFormat="1">
      <c r="B262" s="27"/>
      <c r="D262" s="29"/>
      <c r="E262" s="30"/>
      <c r="G262" s="31"/>
      <c r="H262" s="32"/>
      <c r="I262" s="32"/>
      <c r="J262" s="32"/>
      <c r="K262" s="32"/>
      <c r="L262" s="32"/>
      <c r="O262" s="70"/>
      <c r="V262" s="33"/>
      <c r="W262" s="33"/>
      <c r="X262" s="34"/>
      <c r="Y262" s="35"/>
      <c r="Z262" s="34"/>
      <c r="AA262" s="35"/>
      <c r="AB262" s="34"/>
      <c r="AC262" s="36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</row>
    <row r="263" spans="2:63" s="28" customFormat="1">
      <c r="B263" s="27"/>
      <c r="D263" s="29"/>
      <c r="E263" s="30"/>
      <c r="G263" s="31"/>
      <c r="H263" s="32"/>
      <c r="I263" s="32"/>
      <c r="J263" s="32"/>
      <c r="K263" s="32"/>
      <c r="L263" s="32"/>
      <c r="O263" s="65"/>
      <c r="V263" s="33"/>
      <c r="W263" s="33"/>
      <c r="X263" s="34"/>
      <c r="Y263" s="35"/>
      <c r="Z263" s="34"/>
      <c r="AA263" s="35"/>
      <c r="AB263" s="34"/>
      <c r="AC263" s="36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</row>
    <row r="264" spans="2:63" s="28" customFormat="1">
      <c r="B264" s="27"/>
      <c r="D264" s="29"/>
      <c r="E264" s="30"/>
      <c r="G264" s="31"/>
      <c r="H264" s="32"/>
      <c r="I264" s="32"/>
      <c r="J264" s="32"/>
      <c r="K264" s="32"/>
      <c r="L264" s="32"/>
      <c r="O264" s="65"/>
      <c r="V264" s="33"/>
      <c r="W264" s="33"/>
      <c r="X264" s="34"/>
      <c r="Y264" s="35"/>
      <c r="Z264" s="34"/>
      <c r="AA264" s="35"/>
      <c r="AB264" s="34"/>
      <c r="AC264" s="36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</row>
    <row r="265" spans="2:63" s="28" customFormat="1">
      <c r="B265" s="27"/>
      <c r="D265" s="29"/>
      <c r="E265" s="30"/>
      <c r="G265" s="31"/>
      <c r="H265" s="32"/>
      <c r="I265" s="32"/>
      <c r="J265" s="32"/>
      <c r="K265" s="32"/>
      <c r="L265" s="32"/>
      <c r="O265" s="65"/>
      <c r="V265" s="33"/>
      <c r="W265" s="33"/>
      <c r="X265" s="34"/>
      <c r="Y265" s="35"/>
      <c r="Z265" s="34"/>
      <c r="AA265" s="35"/>
      <c r="AB265" s="34"/>
      <c r="AC265" s="36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</row>
    <row r="266" spans="2:63" s="28" customFormat="1">
      <c r="B266" s="27"/>
      <c r="D266" s="29"/>
      <c r="E266" s="30"/>
      <c r="G266" s="31"/>
      <c r="H266" s="32"/>
      <c r="I266" s="32"/>
      <c r="J266" s="32"/>
      <c r="K266" s="32"/>
      <c r="L266" s="32"/>
      <c r="O266" s="69"/>
      <c r="V266" s="33"/>
      <c r="W266" s="33"/>
      <c r="X266" s="34"/>
      <c r="Y266" s="35"/>
      <c r="Z266" s="34"/>
      <c r="AA266" s="35"/>
      <c r="AB266" s="34"/>
      <c r="AC266" s="36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</row>
    <row r="267" spans="2:63" s="28" customFormat="1">
      <c r="B267" s="27"/>
      <c r="D267" s="29"/>
      <c r="E267" s="30"/>
      <c r="G267" s="31"/>
      <c r="H267" s="32"/>
      <c r="I267" s="32"/>
      <c r="J267" s="32"/>
      <c r="K267" s="32"/>
      <c r="L267" s="32"/>
      <c r="O267" s="64"/>
      <c r="V267" s="33"/>
      <c r="W267" s="33"/>
      <c r="X267" s="34"/>
      <c r="Y267" s="35"/>
      <c r="Z267" s="34"/>
      <c r="AA267" s="35"/>
      <c r="AB267" s="34"/>
      <c r="AC267" s="36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</row>
    <row r="268" spans="2:63" s="28" customFormat="1">
      <c r="B268" s="27"/>
      <c r="D268" s="29"/>
      <c r="E268" s="30"/>
      <c r="G268" s="31"/>
      <c r="H268" s="32"/>
      <c r="I268" s="32"/>
      <c r="J268" s="32"/>
      <c r="K268" s="32"/>
      <c r="L268" s="32"/>
      <c r="O268" s="67"/>
      <c r="V268" s="33"/>
      <c r="W268" s="33"/>
      <c r="X268" s="34"/>
      <c r="Y268" s="35"/>
      <c r="Z268" s="34"/>
      <c r="AA268" s="35"/>
      <c r="AB268" s="34"/>
      <c r="AC268" s="36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</row>
    <row r="269" spans="2:63" s="28" customFormat="1">
      <c r="B269" s="27"/>
      <c r="D269" s="29"/>
      <c r="E269" s="30"/>
      <c r="G269" s="31"/>
      <c r="H269" s="32"/>
      <c r="I269" s="32"/>
      <c r="J269" s="32"/>
      <c r="K269" s="32"/>
      <c r="L269" s="32"/>
      <c r="O269" s="65"/>
      <c r="V269" s="33"/>
      <c r="W269" s="33"/>
      <c r="X269" s="34"/>
      <c r="Y269" s="35"/>
      <c r="Z269" s="34"/>
      <c r="AA269" s="35"/>
      <c r="AB269" s="34"/>
      <c r="AC269" s="36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</row>
    <row r="270" spans="2:63" s="28" customFormat="1">
      <c r="B270" s="27"/>
      <c r="D270" s="29"/>
      <c r="E270" s="30"/>
      <c r="G270" s="31"/>
      <c r="H270" s="32"/>
      <c r="I270" s="32"/>
      <c r="J270" s="32"/>
      <c r="K270" s="32"/>
      <c r="L270" s="32"/>
      <c r="O270" s="65"/>
      <c r="V270" s="33"/>
      <c r="W270" s="33"/>
      <c r="X270" s="34"/>
      <c r="Y270" s="35"/>
      <c r="Z270" s="34"/>
      <c r="AA270" s="35"/>
      <c r="AB270" s="34"/>
      <c r="AC270" s="36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</row>
    <row r="271" spans="2:63" s="28" customFormat="1">
      <c r="B271" s="27"/>
      <c r="D271" s="29"/>
      <c r="E271" s="30"/>
      <c r="G271" s="31"/>
      <c r="H271" s="32"/>
      <c r="I271" s="32"/>
      <c r="J271" s="32"/>
      <c r="K271" s="32"/>
      <c r="L271" s="32"/>
      <c r="O271" s="65"/>
      <c r="V271" s="33"/>
      <c r="W271" s="33"/>
      <c r="X271" s="34"/>
      <c r="Y271" s="35"/>
      <c r="Z271" s="34"/>
      <c r="AA271" s="35"/>
      <c r="AB271" s="34"/>
      <c r="AC271" s="36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</row>
    <row r="272" spans="2:63" s="28" customFormat="1">
      <c r="B272" s="27"/>
      <c r="D272" s="29"/>
      <c r="E272" s="30"/>
      <c r="G272" s="31"/>
      <c r="H272" s="32"/>
      <c r="I272" s="32"/>
      <c r="J272" s="32"/>
      <c r="K272" s="32"/>
      <c r="L272" s="32"/>
      <c r="O272" s="65"/>
      <c r="V272" s="33"/>
      <c r="W272" s="33"/>
      <c r="X272" s="34"/>
      <c r="Y272" s="35"/>
      <c r="Z272" s="34"/>
      <c r="AA272" s="35"/>
      <c r="AB272" s="34"/>
      <c r="AC272" s="36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</row>
    <row r="273" spans="2:63" s="28" customFormat="1">
      <c r="B273" s="27"/>
      <c r="D273" s="29"/>
      <c r="E273" s="30"/>
      <c r="G273" s="31"/>
      <c r="H273" s="32"/>
      <c r="I273" s="32"/>
      <c r="J273" s="32"/>
      <c r="K273" s="32"/>
      <c r="L273" s="32"/>
      <c r="O273" s="81"/>
      <c r="V273" s="33"/>
      <c r="W273" s="33"/>
      <c r="X273" s="34"/>
      <c r="Y273" s="35"/>
      <c r="Z273" s="34"/>
      <c r="AA273" s="35"/>
      <c r="AB273" s="34"/>
      <c r="AC273" s="36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</row>
    <row r="274" spans="2:63" s="28" customFormat="1">
      <c r="B274" s="27"/>
      <c r="D274" s="29"/>
      <c r="E274" s="30"/>
      <c r="G274" s="31"/>
      <c r="H274" s="32"/>
      <c r="I274" s="32"/>
      <c r="J274" s="32"/>
      <c r="K274" s="32"/>
      <c r="L274" s="32"/>
      <c r="O274" s="65"/>
      <c r="V274" s="33"/>
      <c r="W274" s="33"/>
      <c r="X274" s="34"/>
      <c r="Y274" s="35"/>
      <c r="Z274" s="34"/>
      <c r="AA274" s="35"/>
      <c r="AB274" s="34"/>
      <c r="AC274" s="36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</row>
    <row r="275" spans="2:63" s="28" customFormat="1">
      <c r="B275" s="27"/>
      <c r="D275" s="29"/>
      <c r="E275" s="30"/>
      <c r="G275" s="31"/>
      <c r="H275" s="32"/>
      <c r="I275" s="32"/>
      <c r="J275" s="32"/>
      <c r="K275" s="32"/>
      <c r="L275" s="32"/>
      <c r="O275" s="65"/>
      <c r="V275" s="33"/>
      <c r="W275" s="33"/>
      <c r="X275" s="34"/>
      <c r="Y275" s="35"/>
      <c r="Z275" s="34"/>
      <c r="AA275" s="35"/>
      <c r="AB275" s="34"/>
      <c r="AC275" s="36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</row>
    <row r="276" spans="2:63" s="28" customFormat="1">
      <c r="B276" s="27"/>
      <c r="D276" s="29"/>
      <c r="E276" s="30"/>
      <c r="G276" s="31"/>
      <c r="H276" s="32"/>
      <c r="I276" s="32"/>
      <c r="J276" s="32"/>
      <c r="K276" s="32"/>
      <c r="L276" s="32"/>
      <c r="O276" s="65"/>
      <c r="V276" s="33"/>
      <c r="W276" s="33"/>
      <c r="X276" s="34"/>
      <c r="Y276" s="35"/>
      <c r="Z276" s="34"/>
      <c r="AA276" s="35"/>
      <c r="AB276" s="34"/>
      <c r="AC276" s="36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</row>
    <row r="277" spans="2:63" s="28" customFormat="1">
      <c r="B277" s="27"/>
      <c r="D277" s="29"/>
      <c r="E277" s="30"/>
      <c r="G277" s="31"/>
      <c r="H277" s="32"/>
      <c r="I277" s="32"/>
      <c r="J277" s="32"/>
      <c r="K277" s="32"/>
      <c r="L277" s="32"/>
      <c r="O277" s="68"/>
      <c r="V277" s="33"/>
      <c r="W277" s="33"/>
      <c r="X277" s="34"/>
      <c r="Y277" s="35"/>
      <c r="Z277" s="34"/>
      <c r="AA277" s="35"/>
      <c r="AB277" s="34"/>
      <c r="AC277" s="36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</row>
    <row r="278" spans="2:63" s="28" customFormat="1">
      <c r="B278" s="27"/>
      <c r="D278" s="29"/>
      <c r="E278" s="30"/>
      <c r="G278" s="31"/>
      <c r="H278" s="32"/>
      <c r="I278" s="32"/>
      <c r="J278" s="32"/>
      <c r="K278" s="32"/>
      <c r="L278" s="32"/>
      <c r="O278" s="65"/>
      <c r="V278" s="33"/>
      <c r="W278" s="33"/>
      <c r="X278" s="34"/>
      <c r="Y278" s="35"/>
      <c r="Z278" s="34"/>
      <c r="AA278" s="35"/>
      <c r="AB278" s="34"/>
      <c r="AC278" s="36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</row>
    <row r="279" spans="2:63" s="28" customFormat="1">
      <c r="B279" s="27"/>
      <c r="D279" s="29"/>
      <c r="E279" s="30"/>
      <c r="G279" s="31"/>
      <c r="H279" s="32"/>
      <c r="I279" s="32"/>
      <c r="J279" s="32"/>
      <c r="K279" s="32"/>
      <c r="L279" s="32"/>
      <c r="O279" s="65"/>
      <c r="V279" s="33"/>
      <c r="W279" s="33"/>
      <c r="X279" s="34"/>
      <c r="Y279" s="35"/>
      <c r="Z279" s="34"/>
      <c r="AA279" s="35"/>
      <c r="AB279" s="34"/>
      <c r="AC279" s="36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</row>
    <row r="280" spans="2:63" s="28" customFormat="1">
      <c r="B280" s="27"/>
      <c r="D280" s="29"/>
      <c r="E280" s="30"/>
      <c r="G280" s="31"/>
      <c r="H280" s="32"/>
      <c r="I280" s="32"/>
      <c r="J280" s="32"/>
      <c r="K280" s="32"/>
      <c r="L280" s="32"/>
      <c r="O280" s="72"/>
      <c r="V280" s="33"/>
      <c r="W280" s="33"/>
      <c r="X280" s="34"/>
      <c r="Y280" s="35"/>
      <c r="Z280" s="34"/>
      <c r="AA280" s="35"/>
      <c r="AB280" s="34"/>
      <c r="AC280" s="36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</row>
    <row r="281" spans="2:63" s="28" customFormat="1">
      <c r="B281" s="27"/>
      <c r="D281" s="29"/>
      <c r="E281" s="30"/>
      <c r="G281" s="31"/>
      <c r="H281" s="32"/>
      <c r="I281" s="32"/>
      <c r="J281" s="32"/>
      <c r="K281" s="32"/>
      <c r="L281" s="32"/>
      <c r="O281" s="65"/>
      <c r="V281" s="33"/>
      <c r="W281" s="33"/>
      <c r="X281" s="34"/>
      <c r="Y281" s="35"/>
      <c r="Z281" s="34"/>
      <c r="AA281" s="35"/>
      <c r="AB281" s="34"/>
      <c r="AC281" s="36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</row>
    <row r="282" spans="2:63" s="28" customFormat="1">
      <c r="B282" s="27"/>
      <c r="D282" s="29"/>
      <c r="E282" s="30"/>
      <c r="G282" s="31"/>
      <c r="H282" s="32"/>
      <c r="I282" s="32"/>
      <c r="J282" s="32"/>
      <c r="K282" s="32"/>
      <c r="L282" s="32"/>
      <c r="O282" s="69"/>
      <c r="V282" s="33"/>
      <c r="W282" s="33"/>
      <c r="X282" s="34"/>
      <c r="Y282" s="35"/>
      <c r="Z282" s="34"/>
      <c r="AA282" s="35"/>
      <c r="AB282" s="34"/>
      <c r="AC282" s="36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</row>
    <row r="283" spans="2:63" s="28" customFormat="1">
      <c r="B283" s="27"/>
      <c r="D283" s="29"/>
      <c r="E283" s="30"/>
      <c r="G283" s="31"/>
      <c r="H283" s="32"/>
      <c r="I283" s="32"/>
      <c r="J283" s="32"/>
      <c r="K283" s="32"/>
      <c r="L283" s="32"/>
      <c r="O283" s="68"/>
      <c r="V283" s="33"/>
      <c r="W283" s="33"/>
      <c r="X283" s="34"/>
      <c r="Y283" s="35"/>
      <c r="Z283" s="34"/>
      <c r="AA283" s="35"/>
      <c r="AB283" s="34"/>
      <c r="AC283" s="36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</row>
    <row r="284" spans="2:63" s="28" customFormat="1">
      <c r="B284" s="27"/>
      <c r="D284" s="29"/>
      <c r="E284" s="30"/>
      <c r="G284" s="31"/>
      <c r="H284" s="32"/>
      <c r="I284" s="32"/>
      <c r="J284" s="32"/>
      <c r="K284" s="32"/>
      <c r="L284" s="32"/>
      <c r="O284" s="71"/>
      <c r="V284" s="33"/>
      <c r="W284" s="33"/>
      <c r="X284" s="34"/>
      <c r="Y284" s="35"/>
      <c r="Z284" s="34"/>
      <c r="AA284" s="35"/>
      <c r="AB284" s="34"/>
      <c r="AC284" s="36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</row>
    <row r="285" spans="2:63" s="28" customFormat="1">
      <c r="B285" s="27"/>
      <c r="D285" s="29"/>
      <c r="E285" s="30"/>
      <c r="G285" s="31"/>
      <c r="H285" s="32"/>
      <c r="I285" s="32"/>
      <c r="J285" s="32"/>
      <c r="K285" s="32"/>
      <c r="L285" s="32"/>
      <c r="O285" s="65"/>
      <c r="V285" s="33"/>
      <c r="W285" s="33"/>
      <c r="X285" s="34"/>
      <c r="Y285" s="35"/>
      <c r="Z285" s="34"/>
      <c r="AA285" s="35"/>
      <c r="AB285" s="34"/>
      <c r="AC285" s="36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</row>
    <row r="286" spans="2:63" s="28" customFormat="1">
      <c r="B286" s="27"/>
      <c r="D286" s="29"/>
      <c r="E286" s="30"/>
      <c r="G286" s="31"/>
      <c r="H286" s="32"/>
      <c r="I286" s="32"/>
      <c r="J286" s="32"/>
      <c r="K286" s="32"/>
      <c r="L286" s="32"/>
      <c r="O286" s="65"/>
      <c r="V286" s="33"/>
      <c r="W286" s="33"/>
      <c r="X286" s="34"/>
      <c r="Y286" s="35"/>
      <c r="Z286" s="34"/>
      <c r="AA286" s="35"/>
      <c r="AB286" s="34"/>
      <c r="AC286" s="36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</row>
    <row r="287" spans="2:63" s="28" customFormat="1">
      <c r="B287" s="27"/>
      <c r="D287" s="29"/>
      <c r="E287" s="30"/>
      <c r="G287" s="31"/>
      <c r="H287" s="32"/>
      <c r="I287" s="32"/>
      <c r="J287" s="32"/>
      <c r="K287" s="32"/>
      <c r="L287" s="32"/>
      <c r="O287" s="71"/>
      <c r="V287" s="33"/>
      <c r="W287" s="33"/>
      <c r="X287" s="34"/>
      <c r="Y287" s="35"/>
      <c r="Z287" s="34"/>
      <c r="AA287" s="35"/>
      <c r="AB287" s="34"/>
      <c r="AC287" s="36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</row>
    <row r="288" spans="2:63" s="28" customFormat="1">
      <c r="B288" s="27"/>
      <c r="D288" s="29"/>
      <c r="E288" s="30"/>
      <c r="G288" s="31"/>
      <c r="H288" s="32"/>
      <c r="I288" s="32"/>
      <c r="J288" s="32"/>
      <c r="K288" s="32"/>
      <c r="L288" s="32"/>
      <c r="O288" s="69"/>
      <c r="V288" s="33"/>
      <c r="W288" s="33"/>
      <c r="X288" s="34"/>
      <c r="Y288" s="35"/>
      <c r="Z288" s="34"/>
      <c r="AA288" s="35"/>
      <c r="AB288" s="34"/>
      <c r="AC288" s="36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</row>
    <row r="289" spans="2:63" s="28" customFormat="1">
      <c r="B289" s="27"/>
      <c r="D289" s="29"/>
      <c r="E289" s="30"/>
      <c r="G289" s="31"/>
      <c r="H289" s="32"/>
      <c r="I289" s="32"/>
      <c r="J289" s="32"/>
      <c r="K289" s="32"/>
      <c r="L289" s="32"/>
      <c r="O289" s="65"/>
      <c r="V289" s="33"/>
      <c r="W289" s="33"/>
      <c r="X289" s="34"/>
      <c r="Y289" s="35"/>
      <c r="Z289" s="34"/>
      <c r="AA289" s="35"/>
      <c r="AB289" s="34"/>
      <c r="AC289" s="36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</row>
    <row r="290" spans="2:63" s="28" customFormat="1">
      <c r="B290" s="27"/>
      <c r="D290" s="29"/>
      <c r="E290" s="30"/>
      <c r="G290" s="31"/>
      <c r="H290" s="32"/>
      <c r="I290" s="32"/>
      <c r="J290" s="32"/>
      <c r="K290" s="32"/>
      <c r="L290" s="32"/>
      <c r="O290" s="71"/>
      <c r="V290" s="33"/>
      <c r="W290" s="33"/>
      <c r="X290" s="34"/>
      <c r="Y290" s="35"/>
      <c r="Z290" s="34"/>
      <c r="AA290" s="35"/>
      <c r="AB290" s="34"/>
      <c r="AC290" s="36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</row>
    <row r="291" spans="2:63" s="28" customFormat="1">
      <c r="B291" s="27"/>
      <c r="D291" s="29"/>
      <c r="E291" s="30"/>
      <c r="G291" s="31"/>
      <c r="H291" s="32"/>
      <c r="I291" s="32"/>
      <c r="J291" s="32"/>
      <c r="K291" s="32"/>
      <c r="L291" s="32"/>
      <c r="O291" s="69"/>
      <c r="V291" s="33"/>
      <c r="W291" s="33"/>
      <c r="X291" s="34"/>
      <c r="Y291" s="35"/>
      <c r="Z291" s="34"/>
      <c r="AA291" s="35"/>
      <c r="AB291" s="34"/>
      <c r="AC291" s="36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</row>
    <row r="292" spans="2:63" s="28" customFormat="1">
      <c r="B292" s="27"/>
      <c r="D292" s="29"/>
      <c r="E292" s="30"/>
      <c r="G292" s="31"/>
      <c r="H292" s="32"/>
      <c r="I292" s="32"/>
      <c r="J292" s="32"/>
      <c r="K292" s="32"/>
      <c r="L292" s="32"/>
      <c r="O292" s="67"/>
      <c r="V292" s="33"/>
      <c r="W292" s="33"/>
      <c r="X292" s="34"/>
      <c r="Y292" s="35"/>
      <c r="Z292" s="34"/>
      <c r="AA292" s="35"/>
      <c r="AB292" s="34"/>
      <c r="AC292" s="36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</row>
    <row r="293" spans="2:63" s="28" customFormat="1">
      <c r="B293" s="27"/>
      <c r="D293" s="29"/>
      <c r="E293" s="30"/>
      <c r="G293" s="31"/>
      <c r="H293" s="32"/>
      <c r="I293" s="32"/>
      <c r="J293" s="32"/>
      <c r="K293" s="32"/>
      <c r="L293" s="32"/>
      <c r="O293" s="76"/>
      <c r="V293" s="33"/>
      <c r="W293" s="33"/>
      <c r="X293" s="34"/>
      <c r="Y293" s="35"/>
      <c r="Z293" s="34"/>
      <c r="AA293" s="35"/>
      <c r="AB293" s="34"/>
      <c r="AC293" s="36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</row>
    <row r="294" spans="2:63" s="28" customFormat="1">
      <c r="B294" s="27"/>
      <c r="D294" s="29"/>
      <c r="E294" s="30"/>
      <c r="G294" s="31"/>
      <c r="H294" s="32"/>
      <c r="I294" s="32"/>
      <c r="J294" s="32"/>
      <c r="K294" s="32"/>
      <c r="L294" s="32"/>
      <c r="O294" s="65"/>
      <c r="V294" s="33"/>
      <c r="W294" s="33"/>
      <c r="X294" s="34"/>
      <c r="Y294" s="35"/>
      <c r="Z294" s="34"/>
      <c r="AA294" s="35"/>
      <c r="AB294" s="34"/>
      <c r="AC294" s="36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</row>
    <row r="295" spans="2:63" s="28" customFormat="1">
      <c r="B295" s="27"/>
      <c r="D295" s="29"/>
      <c r="E295" s="30"/>
      <c r="G295" s="31"/>
      <c r="H295" s="32"/>
      <c r="I295" s="32"/>
      <c r="J295" s="32"/>
      <c r="K295" s="32"/>
      <c r="L295" s="32"/>
      <c r="O295" s="69"/>
      <c r="V295" s="33"/>
      <c r="W295" s="33"/>
      <c r="X295" s="34"/>
      <c r="Y295" s="35"/>
      <c r="Z295" s="34"/>
      <c r="AA295" s="35"/>
      <c r="AB295" s="34"/>
      <c r="AC295" s="36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</row>
    <row r="296" spans="2:63" s="28" customFormat="1">
      <c r="B296" s="27"/>
      <c r="D296" s="29"/>
      <c r="E296" s="30"/>
      <c r="G296" s="31"/>
      <c r="H296" s="32"/>
      <c r="I296" s="32"/>
      <c r="J296" s="32"/>
      <c r="K296" s="32"/>
      <c r="L296" s="32"/>
      <c r="O296" s="69"/>
      <c r="V296" s="33"/>
      <c r="W296" s="33"/>
      <c r="X296" s="34"/>
      <c r="Y296" s="35"/>
      <c r="Z296" s="34"/>
      <c r="AA296" s="35"/>
      <c r="AB296" s="34"/>
      <c r="AC296" s="36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</row>
    <row r="297" spans="2:63" s="28" customFormat="1">
      <c r="B297" s="27"/>
      <c r="D297" s="29"/>
      <c r="E297" s="30"/>
      <c r="G297" s="31"/>
      <c r="H297" s="32"/>
      <c r="I297" s="32"/>
      <c r="J297" s="32"/>
      <c r="K297" s="32"/>
      <c r="L297" s="32"/>
      <c r="O297" s="71"/>
      <c r="V297" s="33"/>
      <c r="W297" s="33"/>
      <c r="X297" s="34"/>
      <c r="Y297" s="35"/>
      <c r="Z297" s="34"/>
      <c r="AA297" s="35"/>
      <c r="AB297" s="34"/>
      <c r="AC297" s="36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</row>
    <row r="298" spans="2:63" s="28" customFormat="1">
      <c r="B298" s="27"/>
      <c r="D298" s="29"/>
      <c r="E298" s="30"/>
      <c r="G298" s="31"/>
      <c r="H298" s="32"/>
      <c r="I298" s="32"/>
      <c r="J298" s="32"/>
      <c r="K298" s="32"/>
      <c r="L298" s="32"/>
      <c r="O298" s="71"/>
      <c r="V298" s="33"/>
      <c r="W298" s="33"/>
      <c r="X298" s="34"/>
      <c r="Y298" s="35"/>
      <c r="Z298" s="34"/>
      <c r="AA298" s="35"/>
      <c r="AB298" s="34"/>
      <c r="AC298" s="36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</row>
    <row r="299" spans="2:63" s="28" customFormat="1">
      <c r="B299" s="27"/>
      <c r="D299" s="29"/>
      <c r="E299" s="30"/>
      <c r="G299" s="31"/>
      <c r="H299" s="32"/>
      <c r="I299" s="32"/>
      <c r="J299" s="32"/>
      <c r="K299" s="32"/>
      <c r="L299" s="32"/>
      <c r="O299" s="70"/>
      <c r="V299" s="33"/>
      <c r="W299" s="33"/>
      <c r="X299" s="34"/>
      <c r="Y299" s="35"/>
      <c r="Z299" s="34"/>
      <c r="AA299" s="35"/>
      <c r="AB299" s="34"/>
      <c r="AC299" s="36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</row>
    <row r="300" spans="2:63" s="28" customFormat="1">
      <c r="B300" s="27"/>
      <c r="D300" s="29"/>
      <c r="E300" s="30"/>
      <c r="G300" s="31"/>
      <c r="H300" s="32"/>
      <c r="I300" s="32"/>
      <c r="J300" s="32"/>
      <c r="K300" s="32"/>
      <c r="L300" s="32"/>
      <c r="O300" s="67"/>
      <c r="V300" s="33"/>
      <c r="W300" s="33"/>
      <c r="X300" s="34"/>
      <c r="Y300" s="35"/>
      <c r="Z300" s="34"/>
      <c r="AA300" s="35"/>
      <c r="AB300" s="34"/>
      <c r="AC300" s="36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</row>
    <row r="301" spans="2:63" s="28" customFormat="1">
      <c r="B301" s="27"/>
      <c r="D301" s="29"/>
      <c r="E301" s="30"/>
      <c r="G301" s="31"/>
      <c r="H301" s="32"/>
      <c r="I301" s="32"/>
      <c r="J301" s="32"/>
      <c r="K301" s="32"/>
      <c r="L301" s="32"/>
      <c r="O301" s="65"/>
      <c r="V301" s="33"/>
      <c r="W301" s="33"/>
      <c r="X301" s="34"/>
      <c r="Y301" s="35"/>
      <c r="Z301" s="34"/>
      <c r="AA301" s="35"/>
      <c r="AB301" s="34"/>
      <c r="AC301" s="36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</row>
    <row r="302" spans="2:63" s="28" customFormat="1">
      <c r="B302" s="27"/>
      <c r="D302" s="29"/>
      <c r="E302" s="30"/>
      <c r="G302" s="31"/>
      <c r="H302" s="32"/>
      <c r="I302" s="32"/>
      <c r="J302" s="32"/>
      <c r="K302" s="32"/>
      <c r="L302" s="32"/>
      <c r="O302" s="65"/>
      <c r="V302" s="33"/>
      <c r="W302" s="33"/>
      <c r="X302" s="34"/>
      <c r="Y302" s="35"/>
      <c r="Z302" s="34"/>
      <c r="AA302" s="35"/>
      <c r="AB302" s="34"/>
      <c r="AC302" s="36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</row>
    <row r="303" spans="2:63" s="28" customFormat="1">
      <c r="B303" s="27"/>
      <c r="D303" s="29"/>
      <c r="E303" s="30"/>
      <c r="G303" s="31"/>
      <c r="H303" s="32"/>
      <c r="I303" s="32"/>
      <c r="J303" s="32"/>
      <c r="K303" s="32"/>
      <c r="L303" s="32"/>
      <c r="O303" s="65"/>
      <c r="V303" s="33"/>
      <c r="W303" s="33"/>
      <c r="X303" s="34"/>
      <c r="Y303" s="35"/>
      <c r="Z303" s="34"/>
      <c r="AA303" s="35"/>
      <c r="AB303" s="34"/>
      <c r="AC303" s="36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</row>
    <row r="304" spans="2:63" s="28" customFormat="1">
      <c r="B304" s="27"/>
      <c r="D304" s="29"/>
      <c r="E304" s="30"/>
      <c r="G304" s="31"/>
      <c r="H304" s="32"/>
      <c r="I304" s="32"/>
      <c r="J304" s="32"/>
      <c r="K304" s="32"/>
      <c r="L304" s="32"/>
      <c r="O304" s="69"/>
      <c r="V304" s="33"/>
      <c r="W304" s="33"/>
      <c r="X304" s="34"/>
      <c r="Y304" s="35"/>
      <c r="Z304" s="34"/>
      <c r="AA304" s="35"/>
      <c r="AB304" s="34"/>
      <c r="AC304" s="36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</row>
    <row r="305" spans="2:63" s="28" customFormat="1">
      <c r="B305" s="27"/>
      <c r="D305" s="29"/>
      <c r="E305" s="30"/>
      <c r="G305" s="31"/>
      <c r="H305" s="32"/>
      <c r="I305" s="32"/>
      <c r="J305" s="32"/>
      <c r="K305" s="32"/>
      <c r="L305" s="32"/>
      <c r="O305" s="69"/>
      <c r="V305" s="33"/>
      <c r="W305" s="33"/>
      <c r="X305" s="34"/>
      <c r="Y305" s="35"/>
      <c r="Z305" s="34"/>
      <c r="AA305" s="35"/>
      <c r="AB305" s="34"/>
      <c r="AC305" s="36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</row>
    <row r="306" spans="2:63" s="28" customFormat="1">
      <c r="B306" s="27"/>
      <c r="D306" s="29"/>
      <c r="E306" s="30"/>
      <c r="G306" s="31"/>
      <c r="H306" s="32"/>
      <c r="I306" s="32"/>
      <c r="J306" s="32"/>
      <c r="K306" s="32"/>
      <c r="L306" s="32"/>
      <c r="O306" s="76"/>
      <c r="V306" s="33"/>
      <c r="W306" s="33"/>
      <c r="X306" s="34"/>
      <c r="Y306" s="35"/>
      <c r="Z306" s="34"/>
      <c r="AA306" s="35"/>
      <c r="AB306" s="34"/>
      <c r="AC306" s="36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</row>
    <row r="307" spans="2:63" s="28" customFormat="1">
      <c r="B307" s="27"/>
      <c r="D307" s="29"/>
      <c r="E307" s="30"/>
      <c r="G307" s="31"/>
      <c r="H307" s="32"/>
      <c r="I307" s="32"/>
      <c r="J307" s="32"/>
      <c r="K307" s="32"/>
      <c r="L307" s="32"/>
      <c r="O307" s="65"/>
      <c r="V307" s="33"/>
      <c r="W307" s="33"/>
      <c r="X307" s="34"/>
      <c r="Y307" s="35"/>
      <c r="Z307" s="34"/>
      <c r="AA307" s="35"/>
      <c r="AB307" s="34"/>
      <c r="AC307" s="36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</row>
    <row r="308" spans="2:63" s="28" customFormat="1">
      <c r="B308" s="27"/>
      <c r="D308" s="29"/>
      <c r="E308" s="30"/>
      <c r="G308" s="31"/>
      <c r="H308" s="32"/>
      <c r="I308" s="32"/>
      <c r="J308" s="32"/>
      <c r="K308" s="32"/>
      <c r="L308" s="32"/>
      <c r="O308" s="68"/>
      <c r="V308" s="33"/>
      <c r="W308" s="33"/>
      <c r="X308" s="34"/>
      <c r="Y308" s="35"/>
      <c r="Z308" s="34"/>
      <c r="AA308" s="35"/>
      <c r="AB308" s="34"/>
      <c r="AC308" s="36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</row>
    <row r="309" spans="2:63" s="28" customFormat="1">
      <c r="B309" s="27"/>
      <c r="D309" s="29"/>
      <c r="E309" s="30"/>
      <c r="G309" s="31"/>
      <c r="H309" s="32"/>
      <c r="I309" s="32"/>
      <c r="J309" s="32"/>
      <c r="K309" s="32"/>
      <c r="L309" s="32"/>
      <c r="O309" s="69"/>
      <c r="V309" s="33"/>
      <c r="W309" s="33"/>
      <c r="X309" s="34"/>
      <c r="Y309" s="35"/>
      <c r="Z309" s="34"/>
      <c r="AA309" s="35"/>
      <c r="AB309" s="34"/>
      <c r="AC309" s="36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</row>
    <row r="310" spans="2:63" s="28" customFormat="1">
      <c r="B310" s="27"/>
      <c r="D310" s="29"/>
      <c r="E310" s="30"/>
      <c r="G310" s="31"/>
      <c r="H310" s="32"/>
      <c r="I310" s="32"/>
      <c r="J310" s="32"/>
      <c r="K310" s="32"/>
      <c r="L310" s="32"/>
      <c r="O310" s="69"/>
      <c r="V310" s="33"/>
      <c r="W310" s="33"/>
      <c r="X310" s="34"/>
      <c r="Y310" s="35"/>
      <c r="Z310" s="34"/>
      <c r="AA310" s="35"/>
      <c r="AB310" s="34"/>
      <c r="AC310" s="36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</row>
    <row r="311" spans="2:63" s="28" customFormat="1">
      <c r="B311" s="27"/>
      <c r="D311" s="29"/>
      <c r="E311" s="30"/>
      <c r="G311" s="31"/>
      <c r="H311" s="32"/>
      <c r="I311" s="32"/>
      <c r="J311" s="32"/>
      <c r="K311" s="32"/>
      <c r="L311" s="32"/>
      <c r="O311" s="72"/>
      <c r="V311" s="33"/>
      <c r="W311" s="33"/>
      <c r="X311" s="34"/>
      <c r="Y311" s="35"/>
      <c r="Z311" s="34"/>
      <c r="AA311" s="35"/>
      <c r="AB311" s="34"/>
      <c r="AC311" s="36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</row>
    <row r="312" spans="2:63" s="28" customFormat="1">
      <c r="B312" s="27"/>
      <c r="D312" s="29"/>
      <c r="E312" s="30"/>
      <c r="G312" s="31"/>
      <c r="H312" s="32"/>
      <c r="I312" s="32"/>
      <c r="J312" s="32"/>
      <c r="K312" s="32"/>
      <c r="L312" s="32"/>
      <c r="O312" s="76"/>
      <c r="V312" s="33"/>
      <c r="W312" s="33"/>
      <c r="X312" s="34"/>
      <c r="Y312" s="35"/>
      <c r="Z312" s="34"/>
      <c r="AA312" s="35"/>
      <c r="AB312" s="34"/>
      <c r="AC312" s="36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</row>
    <row r="313" spans="2:63" s="28" customFormat="1">
      <c r="B313" s="27"/>
      <c r="D313" s="29"/>
      <c r="E313" s="30"/>
      <c r="G313" s="31"/>
      <c r="H313" s="32"/>
      <c r="I313" s="32"/>
      <c r="J313" s="32"/>
      <c r="K313" s="32"/>
      <c r="L313" s="32"/>
      <c r="O313" s="64"/>
      <c r="V313" s="33"/>
      <c r="W313" s="33"/>
      <c r="X313" s="34"/>
      <c r="Y313" s="35"/>
      <c r="Z313" s="34"/>
      <c r="AA313" s="35"/>
      <c r="AB313" s="34"/>
      <c r="AC313" s="36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</row>
    <row r="314" spans="2:63" s="28" customFormat="1">
      <c r="B314" s="27"/>
      <c r="D314" s="29"/>
      <c r="E314" s="30"/>
      <c r="G314" s="31"/>
      <c r="H314" s="32"/>
      <c r="I314" s="32"/>
      <c r="J314" s="32"/>
      <c r="K314" s="32"/>
      <c r="L314" s="32"/>
      <c r="O314" s="72"/>
      <c r="V314" s="33"/>
      <c r="W314" s="33"/>
      <c r="X314" s="34"/>
      <c r="Y314" s="35"/>
      <c r="Z314" s="34"/>
      <c r="AA314" s="35"/>
      <c r="AB314" s="34"/>
      <c r="AC314" s="36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</row>
    <row r="315" spans="2:63" s="28" customFormat="1">
      <c r="B315" s="27"/>
      <c r="D315" s="29"/>
      <c r="E315" s="30"/>
      <c r="G315" s="31"/>
      <c r="H315" s="32"/>
      <c r="I315" s="32"/>
      <c r="J315" s="32"/>
      <c r="K315" s="32"/>
      <c r="L315" s="32"/>
      <c r="O315" s="65"/>
      <c r="V315" s="33"/>
      <c r="W315" s="33"/>
      <c r="X315" s="34"/>
      <c r="Y315" s="35"/>
      <c r="Z315" s="34"/>
      <c r="AA315" s="35"/>
      <c r="AB315" s="34"/>
      <c r="AC315" s="36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</row>
    <row r="316" spans="2:63" s="28" customFormat="1">
      <c r="B316" s="27"/>
      <c r="D316" s="29"/>
      <c r="E316" s="30"/>
      <c r="G316" s="31"/>
      <c r="H316" s="32"/>
      <c r="I316" s="32"/>
      <c r="J316" s="32"/>
      <c r="K316" s="32"/>
      <c r="L316" s="32"/>
      <c r="O316" s="65"/>
      <c r="V316" s="33"/>
      <c r="W316" s="33"/>
      <c r="X316" s="34"/>
      <c r="Y316" s="35"/>
      <c r="Z316" s="34"/>
      <c r="AA316" s="35"/>
      <c r="AB316" s="34"/>
      <c r="AC316" s="36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</row>
    <row r="317" spans="2:63" s="28" customFormat="1">
      <c r="B317" s="27"/>
      <c r="D317" s="29"/>
      <c r="E317" s="30"/>
      <c r="G317" s="31"/>
      <c r="H317" s="32"/>
      <c r="I317" s="32"/>
      <c r="J317" s="32"/>
      <c r="K317" s="32"/>
      <c r="L317" s="32"/>
      <c r="O317" s="71"/>
      <c r="V317" s="33"/>
      <c r="W317" s="33"/>
      <c r="X317" s="34"/>
      <c r="Y317" s="35"/>
      <c r="Z317" s="34"/>
      <c r="AA317" s="35"/>
      <c r="AB317" s="34"/>
      <c r="AC317" s="36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</row>
    <row r="318" spans="2:63" s="28" customFormat="1">
      <c r="B318" s="27"/>
      <c r="D318" s="29"/>
      <c r="E318" s="30"/>
      <c r="G318" s="31"/>
      <c r="H318" s="32"/>
      <c r="I318" s="32"/>
      <c r="J318" s="32"/>
      <c r="K318" s="32"/>
      <c r="L318" s="32"/>
      <c r="O318" s="68"/>
      <c r="V318" s="33"/>
      <c r="W318" s="33"/>
      <c r="X318" s="34"/>
      <c r="Y318" s="35"/>
      <c r="Z318" s="34"/>
      <c r="AA318" s="35"/>
      <c r="AB318" s="34"/>
      <c r="AC318" s="36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</row>
    <row r="319" spans="2:63" s="28" customFormat="1">
      <c r="B319" s="27"/>
      <c r="D319" s="29"/>
      <c r="E319" s="30"/>
      <c r="G319" s="31"/>
      <c r="H319" s="32"/>
      <c r="I319" s="32"/>
      <c r="J319" s="32"/>
      <c r="K319" s="32"/>
      <c r="L319" s="32"/>
      <c r="O319" s="82"/>
      <c r="V319" s="33"/>
      <c r="W319" s="33"/>
      <c r="X319" s="34"/>
      <c r="Y319" s="35"/>
      <c r="Z319" s="34"/>
      <c r="AA319" s="35"/>
      <c r="AB319" s="34"/>
      <c r="AC319" s="36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</row>
    <row r="320" spans="2:63" s="28" customFormat="1">
      <c r="B320" s="27"/>
      <c r="D320" s="29"/>
      <c r="E320" s="30"/>
      <c r="G320" s="31"/>
      <c r="H320" s="32"/>
      <c r="I320" s="32"/>
      <c r="J320" s="32"/>
      <c r="K320" s="32"/>
      <c r="L320" s="32"/>
      <c r="O320" s="83"/>
      <c r="V320" s="33"/>
      <c r="W320" s="33"/>
      <c r="X320" s="34"/>
      <c r="Y320" s="35"/>
      <c r="Z320" s="34"/>
      <c r="AA320" s="35"/>
      <c r="AB320" s="34"/>
      <c r="AC320" s="36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</row>
    <row r="321" spans="2:63" s="28" customFormat="1">
      <c r="B321" s="27"/>
      <c r="D321" s="29"/>
      <c r="E321" s="30"/>
      <c r="G321" s="31"/>
      <c r="H321" s="32"/>
      <c r="I321" s="32"/>
      <c r="J321" s="32"/>
      <c r="K321" s="32"/>
      <c r="L321" s="32"/>
      <c r="O321" s="65"/>
      <c r="V321" s="33"/>
      <c r="W321" s="33"/>
      <c r="X321" s="34"/>
      <c r="Y321" s="35"/>
      <c r="Z321" s="34"/>
      <c r="AA321" s="35"/>
      <c r="AB321" s="34"/>
      <c r="AC321" s="36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</row>
    <row r="322" spans="2:63" s="28" customFormat="1">
      <c r="B322" s="27"/>
      <c r="D322" s="29"/>
      <c r="E322" s="30"/>
      <c r="G322" s="31"/>
      <c r="H322" s="32"/>
      <c r="I322" s="32"/>
      <c r="J322" s="32"/>
      <c r="K322" s="32"/>
      <c r="L322" s="32"/>
      <c r="O322" s="72"/>
      <c r="V322" s="33"/>
      <c r="W322" s="33"/>
      <c r="X322" s="34"/>
      <c r="Y322" s="35"/>
      <c r="Z322" s="34"/>
      <c r="AA322" s="35"/>
      <c r="AB322" s="34"/>
      <c r="AC322" s="36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</row>
    <row r="323" spans="2:63" s="28" customFormat="1">
      <c r="B323" s="27"/>
      <c r="D323" s="29"/>
      <c r="E323" s="30"/>
      <c r="G323" s="31"/>
      <c r="H323" s="32"/>
      <c r="I323" s="32"/>
      <c r="J323" s="32"/>
      <c r="K323" s="32"/>
      <c r="L323" s="32"/>
      <c r="O323" s="68"/>
      <c r="V323" s="33"/>
      <c r="W323" s="33"/>
      <c r="X323" s="34"/>
      <c r="Y323" s="35"/>
      <c r="Z323" s="34"/>
      <c r="AA323" s="35"/>
      <c r="AB323" s="34"/>
      <c r="AC323" s="36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</row>
    <row r="324" spans="2:63" s="28" customFormat="1">
      <c r="B324" s="27"/>
      <c r="D324" s="29"/>
      <c r="E324" s="30"/>
      <c r="G324" s="31"/>
      <c r="H324" s="32"/>
      <c r="I324" s="32"/>
      <c r="J324" s="32"/>
      <c r="K324" s="32"/>
      <c r="L324" s="32"/>
      <c r="O324" s="65"/>
      <c r="V324" s="33"/>
      <c r="W324" s="33"/>
      <c r="X324" s="34"/>
      <c r="Y324" s="35"/>
      <c r="Z324" s="34"/>
      <c r="AA324" s="35"/>
      <c r="AB324" s="34"/>
      <c r="AC324" s="36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</row>
    <row r="325" spans="2:63" s="28" customFormat="1">
      <c r="B325" s="27"/>
      <c r="D325" s="29"/>
      <c r="E325" s="30"/>
      <c r="G325" s="31"/>
      <c r="H325" s="32"/>
      <c r="I325" s="32"/>
      <c r="J325" s="32"/>
      <c r="K325" s="32"/>
      <c r="L325" s="32"/>
      <c r="O325" s="69"/>
      <c r="V325" s="33"/>
      <c r="W325" s="33"/>
      <c r="X325" s="34"/>
      <c r="Y325" s="35"/>
      <c r="Z325" s="34"/>
      <c r="AA325" s="35"/>
      <c r="AB325" s="34"/>
      <c r="AC325" s="36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</row>
    <row r="326" spans="2:63" s="28" customFormat="1">
      <c r="B326" s="27"/>
      <c r="D326" s="29"/>
      <c r="E326" s="30"/>
      <c r="G326" s="31"/>
      <c r="H326" s="32"/>
      <c r="I326" s="32"/>
      <c r="J326" s="32"/>
      <c r="K326" s="32"/>
      <c r="L326" s="32"/>
      <c r="O326" s="67"/>
      <c r="V326" s="33"/>
      <c r="W326" s="33"/>
      <c r="X326" s="34"/>
      <c r="Y326" s="35"/>
      <c r="Z326" s="34"/>
      <c r="AA326" s="35"/>
      <c r="AB326" s="34"/>
      <c r="AC326" s="36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</row>
    <row r="327" spans="2:63" s="28" customFormat="1">
      <c r="B327" s="27"/>
      <c r="D327" s="29"/>
      <c r="E327" s="30"/>
      <c r="G327" s="31"/>
      <c r="H327" s="32"/>
      <c r="I327" s="32"/>
      <c r="J327" s="32"/>
      <c r="K327" s="32"/>
      <c r="L327" s="32"/>
      <c r="O327" s="64"/>
      <c r="V327" s="33"/>
      <c r="W327" s="33"/>
      <c r="X327" s="34"/>
      <c r="Y327" s="35"/>
      <c r="Z327" s="34"/>
      <c r="AA327" s="35"/>
      <c r="AB327" s="34"/>
      <c r="AC327" s="36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</row>
    <row r="328" spans="2:63" s="28" customFormat="1">
      <c r="B328" s="27"/>
      <c r="D328" s="29"/>
      <c r="E328" s="30"/>
      <c r="G328" s="31"/>
      <c r="H328" s="32"/>
      <c r="I328" s="32"/>
      <c r="J328" s="32"/>
      <c r="K328" s="32"/>
      <c r="L328" s="32"/>
      <c r="O328" s="69"/>
      <c r="V328" s="33"/>
      <c r="W328" s="33"/>
      <c r="X328" s="34"/>
      <c r="Y328" s="35"/>
      <c r="Z328" s="34"/>
      <c r="AA328" s="35"/>
      <c r="AB328" s="34"/>
      <c r="AC328" s="36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</row>
    <row r="329" spans="2:63" s="28" customFormat="1">
      <c r="B329" s="27"/>
      <c r="D329" s="29"/>
      <c r="E329" s="30"/>
      <c r="G329" s="31"/>
      <c r="H329" s="32"/>
      <c r="I329" s="32"/>
      <c r="J329" s="32"/>
      <c r="K329" s="32"/>
      <c r="L329" s="32"/>
      <c r="O329" s="65"/>
      <c r="V329" s="33"/>
      <c r="W329" s="33"/>
      <c r="X329" s="34"/>
      <c r="Y329" s="35"/>
      <c r="Z329" s="34"/>
      <c r="AA329" s="35"/>
      <c r="AB329" s="34"/>
      <c r="AC329" s="36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</row>
    <row r="330" spans="2:63" s="28" customFormat="1">
      <c r="B330" s="27"/>
      <c r="D330" s="29"/>
      <c r="E330" s="30"/>
      <c r="G330" s="31"/>
      <c r="H330" s="32"/>
      <c r="I330" s="32"/>
      <c r="J330" s="32"/>
      <c r="K330" s="32"/>
      <c r="L330" s="32"/>
      <c r="O330" s="70"/>
      <c r="V330" s="33"/>
      <c r="W330" s="33"/>
      <c r="X330" s="34"/>
      <c r="Y330" s="35"/>
      <c r="Z330" s="34"/>
      <c r="AA330" s="35"/>
      <c r="AB330" s="34"/>
      <c r="AC330" s="36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</row>
    <row r="331" spans="2:63" s="28" customFormat="1">
      <c r="B331" s="27"/>
      <c r="D331" s="29"/>
      <c r="E331" s="30"/>
      <c r="G331" s="31"/>
      <c r="H331" s="32"/>
      <c r="I331" s="32"/>
      <c r="J331" s="32"/>
      <c r="K331" s="32"/>
      <c r="L331" s="32"/>
      <c r="O331" s="65"/>
      <c r="V331" s="33"/>
      <c r="W331" s="33"/>
      <c r="X331" s="34"/>
      <c r="Y331" s="35"/>
      <c r="Z331" s="34"/>
      <c r="AA331" s="35"/>
      <c r="AB331" s="34"/>
      <c r="AC331" s="36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</row>
    <row r="332" spans="2:63" s="28" customFormat="1">
      <c r="B332" s="27"/>
      <c r="D332" s="29"/>
      <c r="E332" s="30"/>
      <c r="G332" s="31"/>
      <c r="H332" s="32"/>
      <c r="I332" s="32"/>
      <c r="J332" s="32"/>
      <c r="K332" s="32"/>
      <c r="L332" s="32"/>
      <c r="O332" s="84"/>
      <c r="V332" s="33"/>
      <c r="W332" s="33"/>
      <c r="X332" s="34"/>
      <c r="Y332" s="35"/>
      <c r="Z332" s="34"/>
      <c r="AA332" s="35"/>
      <c r="AB332" s="34"/>
      <c r="AC332" s="36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</row>
    <row r="333" spans="2:63" s="28" customFormat="1">
      <c r="B333" s="27"/>
      <c r="D333" s="29"/>
      <c r="E333" s="30"/>
      <c r="G333" s="31"/>
      <c r="H333" s="32"/>
      <c r="I333" s="32"/>
      <c r="J333" s="32"/>
      <c r="K333" s="32"/>
      <c r="L333" s="32"/>
      <c r="O333" s="65"/>
      <c r="V333" s="33"/>
      <c r="W333" s="33"/>
      <c r="X333" s="34"/>
      <c r="Y333" s="35"/>
      <c r="Z333" s="34"/>
      <c r="AA333" s="35"/>
      <c r="AB333" s="34"/>
      <c r="AC333" s="36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</row>
    <row r="334" spans="2:63" s="28" customFormat="1">
      <c r="B334" s="27"/>
      <c r="D334" s="29"/>
      <c r="E334" s="30"/>
      <c r="G334" s="31"/>
      <c r="H334" s="32"/>
      <c r="I334" s="32"/>
      <c r="J334" s="32"/>
      <c r="K334" s="32"/>
      <c r="L334" s="32"/>
      <c r="O334" s="65"/>
      <c r="V334" s="33"/>
      <c r="W334" s="33"/>
      <c r="X334" s="34"/>
      <c r="Y334" s="35"/>
      <c r="Z334" s="34"/>
      <c r="AA334" s="35"/>
      <c r="AB334" s="34"/>
      <c r="AC334" s="36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</row>
    <row r="335" spans="2:63" s="28" customFormat="1">
      <c r="B335" s="27"/>
      <c r="D335" s="29"/>
      <c r="E335" s="30"/>
      <c r="G335" s="31"/>
      <c r="H335" s="32"/>
      <c r="I335" s="32"/>
      <c r="J335" s="32"/>
      <c r="K335" s="32"/>
      <c r="L335" s="32"/>
      <c r="O335" s="65"/>
      <c r="V335" s="33"/>
      <c r="W335" s="33"/>
      <c r="X335" s="34"/>
      <c r="Y335" s="35"/>
      <c r="Z335" s="34"/>
      <c r="AA335" s="35"/>
      <c r="AB335" s="34"/>
      <c r="AC335" s="36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</row>
    <row r="336" spans="2:63" s="28" customFormat="1">
      <c r="B336" s="27"/>
      <c r="D336" s="29"/>
      <c r="E336" s="30"/>
      <c r="G336" s="31"/>
      <c r="H336" s="32"/>
      <c r="I336" s="32"/>
      <c r="J336" s="32"/>
      <c r="K336" s="32"/>
      <c r="L336" s="32"/>
      <c r="O336" s="67"/>
      <c r="V336" s="33"/>
      <c r="W336" s="33"/>
      <c r="X336" s="34"/>
      <c r="Y336" s="35"/>
      <c r="Z336" s="34"/>
      <c r="AA336" s="35"/>
      <c r="AB336" s="34"/>
      <c r="AC336" s="36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</row>
    <row r="337" spans="2:63" s="28" customFormat="1">
      <c r="B337" s="27"/>
      <c r="D337" s="29"/>
      <c r="E337" s="30"/>
      <c r="G337" s="31"/>
      <c r="H337" s="32"/>
      <c r="I337" s="32"/>
      <c r="J337" s="32"/>
      <c r="K337" s="32"/>
      <c r="L337" s="32"/>
      <c r="O337" s="80"/>
      <c r="V337" s="33"/>
      <c r="W337" s="33"/>
      <c r="X337" s="34"/>
      <c r="Y337" s="35"/>
      <c r="Z337" s="34"/>
      <c r="AA337" s="35"/>
      <c r="AB337" s="34"/>
      <c r="AC337" s="36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</row>
    <row r="338" spans="2:63" s="28" customFormat="1">
      <c r="B338" s="27"/>
      <c r="D338" s="29"/>
      <c r="E338" s="30"/>
      <c r="G338" s="31"/>
      <c r="H338" s="32"/>
      <c r="I338" s="32"/>
      <c r="J338" s="32"/>
      <c r="K338" s="32"/>
      <c r="L338" s="32"/>
      <c r="O338" s="67"/>
      <c r="V338" s="33"/>
      <c r="W338" s="33"/>
      <c r="X338" s="34"/>
      <c r="Y338" s="35"/>
      <c r="Z338" s="34"/>
      <c r="AA338" s="35"/>
      <c r="AB338" s="34"/>
      <c r="AC338" s="36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</row>
    <row r="339" spans="2:63" s="28" customFormat="1">
      <c r="B339" s="27"/>
      <c r="D339" s="29"/>
      <c r="E339" s="30"/>
      <c r="G339" s="31"/>
      <c r="H339" s="32"/>
      <c r="I339" s="32"/>
      <c r="J339" s="32"/>
      <c r="K339" s="32"/>
      <c r="L339" s="32"/>
      <c r="O339" s="65"/>
      <c r="V339" s="33"/>
      <c r="W339" s="33"/>
      <c r="X339" s="34"/>
      <c r="Y339" s="35"/>
      <c r="Z339" s="34"/>
      <c r="AA339" s="35"/>
      <c r="AB339" s="34"/>
      <c r="AC339" s="36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</row>
    <row r="340" spans="2:63" s="28" customFormat="1">
      <c r="B340" s="27"/>
      <c r="D340" s="29"/>
      <c r="E340" s="30"/>
      <c r="G340" s="31"/>
      <c r="H340" s="32"/>
      <c r="I340" s="32"/>
      <c r="J340" s="32"/>
      <c r="K340" s="32"/>
      <c r="L340" s="32"/>
      <c r="O340" s="76"/>
      <c r="V340" s="33"/>
      <c r="W340" s="33"/>
      <c r="X340" s="34"/>
      <c r="Y340" s="35"/>
      <c r="Z340" s="34"/>
      <c r="AA340" s="35"/>
      <c r="AB340" s="34"/>
      <c r="AC340" s="36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</row>
    <row r="341" spans="2:63" s="28" customFormat="1">
      <c r="B341" s="27"/>
      <c r="D341" s="29"/>
      <c r="E341" s="30"/>
      <c r="G341" s="31"/>
      <c r="H341" s="32"/>
      <c r="I341" s="32"/>
      <c r="J341" s="32"/>
      <c r="K341" s="32"/>
      <c r="L341" s="32"/>
      <c r="O341" s="65"/>
      <c r="V341" s="33"/>
      <c r="W341" s="33"/>
      <c r="X341" s="34"/>
      <c r="Y341" s="35"/>
      <c r="Z341" s="34"/>
      <c r="AA341" s="35"/>
      <c r="AB341" s="34"/>
      <c r="AC341" s="36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</row>
    <row r="342" spans="2:63" s="28" customFormat="1">
      <c r="B342" s="27"/>
      <c r="D342" s="29"/>
      <c r="E342" s="30"/>
      <c r="G342" s="31"/>
      <c r="H342" s="32"/>
      <c r="I342" s="32"/>
      <c r="J342" s="32"/>
      <c r="K342" s="32"/>
      <c r="L342" s="32"/>
      <c r="O342" s="67"/>
      <c r="V342" s="33"/>
      <c r="W342" s="33"/>
      <c r="X342" s="34"/>
      <c r="Y342" s="35"/>
      <c r="Z342" s="34"/>
      <c r="AA342" s="35"/>
      <c r="AB342" s="34"/>
      <c r="AC342" s="36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</row>
    <row r="343" spans="2:63" s="28" customFormat="1">
      <c r="B343" s="27"/>
      <c r="D343" s="29"/>
      <c r="E343" s="30"/>
      <c r="G343" s="31"/>
      <c r="H343" s="32"/>
      <c r="I343" s="32"/>
      <c r="J343" s="32"/>
      <c r="K343" s="32"/>
      <c r="L343" s="32"/>
      <c r="O343" s="67"/>
      <c r="V343" s="33"/>
      <c r="W343" s="33"/>
      <c r="X343" s="34"/>
      <c r="Y343" s="35"/>
      <c r="Z343" s="34"/>
      <c r="AA343" s="35"/>
      <c r="AB343" s="34"/>
      <c r="AC343" s="36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</row>
    <row r="344" spans="2:63" s="28" customFormat="1">
      <c r="B344" s="27"/>
      <c r="D344" s="29"/>
      <c r="E344" s="30"/>
      <c r="G344" s="31"/>
      <c r="H344" s="32"/>
      <c r="I344" s="32"/>
      <c r="J344" s="32"/>
      <c r="K344" s="32"/>
      <c r="L344" s="32"/>
      <c r="O344" s="65"/>
      <c r="V344" s="33"/>
      <c r="W344" s="33"/>
      <c r="X344" s="34"/>
      <c r="Y344" s="35"/>
      <c r="Z344" s="34"/>
      <c r="AA344" s="35"/>
      <c r="AB344" s="34"/>
      <c r="AC344" s="36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</row>
    <row r="345" spans="2:63" s="28" customFormat="1">
      <c r="B345" s="27"/>
      <c r="D345" s="29"/>
      <c r="E345" s="30"/>
      <c r="G345" s="31"/>
      <c r="H345" s="32"/>
      <c r="I345" s="32"/>
      <c r="J345" s="32"/>
      <c r="K345" s="32"/>
      <c r="L345" s="32"/>
      <c r="O345" s="68"/>
      <c r="V345" s="33"/>
      <c r="W345" s="33"/>
      <c r="X345" s="34"/>
      <c r="Y345" s="35"/>
      <c r="Z345" s="34"/>
      <c r="AA345" s="35"/>
      <c r="AB345" s="34"/>
      <c r="AC345" s="36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</row>
    <row r="346" spans="2:63" s="28" customFormat="1">
      <c r="B346" s="27"/>
      <c r="D346" s="29"/>
      <c r="E346" s="30"/>
      <c r="G346" s="31"/>
      <c r="H346" s="32"/>
      <c r="I346" s="32"/>
      <c r="J346" s="32"/>
      <c r="K346" s="32"/>
      <c r="L346" s="32"/>
      <c r="O346" s="70"/>
      <c r="V346" s="33"/>
      <c r="W346" s="33"/>
      <c r="X346" s="34"/>
      <c r="Y346" s="35"/>
      <c r="Z346" s="34"/>
      <c r="AA346" s="35"/>
      <c r="AB346" s="34"/>
      <c r="AC346" s="36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</row>
    <row r="347" spans="2:63" s="28" customFormat="1">
      <c r="B347" s="27"/>
      <c r="D347" s="29"/>
      <c r="E347" s="30"/>
      <c r="G347" s="31"/>
      <c r="H347" s="32"/>
      <c r="I347" s="32"/>
      <c r="J347" s="32"/>
      <c r="K347" s="32"/>
      <c r="L347" s="32"/>
      <c r="O347" s="69"/>
      <c r="V347" s="33"/>
      <c r="W347" s="33"/>
      <c r="X347" s="34"/>
      <c r="Y347" s="35"/>
      <c r="Z347" s="34"/>
      <c r="AA347" s="35"/>
      <c r="AB347" s="34"/>
      <c r="AC347" s="36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</row>
    <row r="348" spans="2:63" s="28" customFormat="1">
      <c r="B348" s="27"/>
      <c r="D348" s="29"/>
      <c r="E348" s="30"/>
      <c r="G348" s="31"/>
      <c r="H348" s="32"/>
      <c r="I348" s="32"/>
      <c r="J348" s="32"/>
      <c r="K348" s="32"/>
      <c r="L348" s="32"/>
      <c r="O348" s="72"/>
      <c r="V348" s="33"/>
      <c r="W348" s="33"/>
      <c r="X348" s="34"/>
      <c r="Y348" s="35"/>
      <c r="Z348" s="34"/>
      <c r="AA348" s="35"/>
      <c r="AB348" s="34"/>
      <c r="AC348" s="36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</row>
    <row r="349" spans="2:63" s="28" customFormat="1">
      <c r="B349" s="27"/>
      <c r="D349" s="29"/>
      <c r="E349" s="30"/>
      <c r="G349" s="31"/>
      <c r="H349" s="32"/>
      <c r="I349" s="32"/>
      <c r="J349" s="32"/>
      <c r="K349" s="32"/>
      <c r="L349" s="32"/>
      <c r="O349" s="65"/>
      <c r="V349" s="33"/>
      <c r="W349" s="33"/>
      <c r="X349" s="34"/>
      <c r="Y349" s="35"/>
      <c r="Z349" s="34"/>
      <c r="AA349" s="35"/>
      <c r="AB349" s="34"/>
      <c r="AC349" s="36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</row>
    <row r="350" spans="2:63" s="28" customFormat="1">
      <c r="B350" s="27"/>
      <c r="D350" s="29"/>
      <c r="E350" s="30"/>
      <c r="G350" s="31"/>
      <c r="H350" s="32"/>
      <c r="I350" s="32"/>
      <c r="J350" s="32"/>
      <c r="K350" s="32"/>
      <c r="L350" s="32"/>
      <c r="O350" s="69"/>
      <c r="V350" s="33"/>
      <c r="W350" s="33"/>
      <c r="X350" s="34"/>
      <c r="Y350" s="35"/>
      <c r="Z350" s="34"/>
      <c r="AA350" s="35"/>
      <c r="AB350" s="34"/>
      <c r="AC350" s="36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</row>
    <row r="351" spans="2:63" s="28" customFormat="1">
      <c r="B351" s="27"/>
      <c r="D351" s="29"/>
      <c r="E351" s="30"/>
      <c r="G351" s="31"/>
      <c r="H351" s="32"/>
      <c r="I351" s="32"/>
      <c r="J351" s="32"/>
      <c r="K351" s="32"/>
      <c r="L351" s="32"/>
      <c r="O351" s="65"/>
      <c r="V351" s="33"/>
      <c r="W351" s="33"/>
      <c r="X351" s="34"/>
      <c r="Y351" s="35"/>
      <c r="Z351" s="34"/>
      <c r="AA351" s="35"/>
      <c r="AB351" s="34"/>
      <c r="AC351" s="36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</row>
    <row r="352" spans="2:63" s="28" customFormat="1">
      <c r="B352" s="27"/>
      <c r="D352" s="29"/>
      <c r="E352" s="30"/>
      <c r="G352" s="31"/>
      <c r="H352" s="32"/>
      <c r="I352" s="32"/>
      <c r="J352" s="32"/>
      <c r="K352" s="32"/>
      <c r="L352" s="32"/>
      <c r="O352" s="65"/>
      <c r="V352" s="33"/>
      <c r="W352" s="33"/>
      <c r="X352" s="34"/>
      <c r="Y352" s="35"/>
      <c r="Z352" s="34"/>
      <c r="AA352" s="35"/>
      <c r="AB352" s="34"/>
      <c r="AC352" s="36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</row>
    <row r="353" spans="2:63" s="28" customFormat="1">
      <c r="B353" s="27"/>
      <c r="D353" s="29"/>
      <c r="E353" s="30"/>
      <c r="G353" s="31"/>
      <c r="H353" s="32"/>
      <c r="I353" s="32"/>
      <c r="J353" s="32"/>
      <c r="K353" s="32"/>
      <c r="L353" s="32"/>
      <c r="O353" s="65"/>
      <c r="V353" s="33"/>
      <c r="W353" s="33"/>
      <c r="X353" s="34"/>
      <c r="Y353" s="35"/>
      <c r="Z353" s="34"/>
      <c r="AA353" s="35"/>
      <c r="AB353" s="34"/>
      <c r="AC353" s="36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</row>
    <row r="354" spans="2:63" s="28" customFormat="1">
      <c r="B354" s="27"/>
      <c r="D354" s="29"/>
      <c r="E354" s="30"/>
      <c r="G354" s="31"/>
      <c r="H354" s="32"/>
      <c r="I354" s="32"/>
      <c r="J354" s="32"/>
      <c r="K354" s="32"/>
      <c r="L354" s="32"/>
      <c r="O354" s="66"/>
      <c r="V354" s="33"/>
      <c r="W354" s="33"/>
      <c r="X354" s="34"/>
      <c r="Y354" s="35"/>
      <c r="Z354" s="34"/>
      <c r="AA354" s="35"/>
      <c r="AB354" s="34"/>
      <c r="AC354" s="36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</row>
    <row r="355" spans="2:63" s="28" customFormat="1">
      <c r="B355" s="27"/>
      <c r="D355" s="29"/>
      <c r="E355" s="30"/>
      <c r="G355" s="31"/>
      <c r="H355" s="32"/>
      <c r="I355" s="32"/>
      <c r="J355" s="32"/>
      <c r="K355" s="32"/>
      <c r="L355" s="32"/>
      <c r="O355" s="72"/>
      <c r="V355" s="33"/>
      <c r="W355" s="33"/>
      <c r="X355" s="34"/>
      <c r="Y355" s="35"/>
      <c r="Z355" s="34"/>
      <c r="AA355" s="35"/>
      <c r="AB355" s="34"/>
      <c r="AC355" s="36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</row>
    <row r="356" spans="2:63" s="28" customFormat="1">
      <c r="B356" s="27"/>
      <c r="D356" s="29"/>
      <c r="E356" s="30"/>
      <c r="G356" s="31"/>
      <c r="H356" s="32"/>
      <c r="I356" s="32"/>
      <c r="J356" s="32"/>
      <c r="K356" s="32"/>
      <c r="L356" s="32"/>
      <c r="O356" s="69"/>
      <c r="V356" s="33"/>
      <c r="W356" s="33"/>
      <c r="X356" s="34"/>
      <c r="Y356" s="35"/>
      <c r="Z356" s="34"/>
      <c r="AA356" s="35"/>
      <c r="AB356" s="34"/>
      <c r="AC356" s="36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</row>
    <row r="357" spans="2:63" s="28" customFormat="1">
      <c r="B357" s="27"/>
      <c r="D357" s="29"/>
      <c r="E357" s="30"/>
      <c r="G357" s="31"/>
      <c r="H357" s="32"/>
      <c r="I357" s="32"/>
      <c r="J357" s="32"/>
      <c r="K357" s="32"/>
      <c r="L357" s="32"/>
      <c r="O357" s="65"/>
      <c r="V357" s="33"/>
      <c r="W357" s="33"/>
      <c r="X357" s="34"/>
      <c r="Y357" s="35"/>
      <c r="Z357" s="34"/>
      <c r="AA357" s="35"/>
      <c r="AB357" s="34"/>
      <c r="AC357" s="36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</row>
    <row r="358" spans="2:63" s="28" customFormat="1">
      <c r="B358" s="27"/>
      <c r="D358" s="29"/>
      <c r="E358" s="30"/>
      <c r="G358" s="31"/>
      <c r="H358" s="32"/>
      <c r="I358" s="32"/>
      <c r="J358" s="32"/>
      <c r="K358" s="32"/>
      <c r="L358" s="32"/>
      <c r="O358" s="65"/>
      <c r="V358" s="33"/>
      <c r="W358" s="33"/>
      <c r="X358" s="34"/>
      <c r="Y358" s="35"/>
      <c r="Z358" s="34"/>
      <c r="AA358" s="35"/>
      <c r="AB358" s="34"/>
      <c r="AC358" s="36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</row>
    <row r="359" spans="2:63" s="28" customFormat="1">
      <c r="B359" s="27"/>
      <c r="D359" s="29"/>
      <c r="E359" s="30"/>
      <c r="G359" s="31"/>
      <c r="H359" s="32"/>
      <c r="I359" s="32"/>
      <c r="J359" s="32"/>
      <c r="K359" s="32"/>
      <c r="L359" s="32"/>
      <c r="O359" s="67"/>
      <c r="V359" s="33"/>
      <c r="W359" s="33"/>
      <c r="X359" s="34"/>
      <c r="Y359" s="35"/>
      <c r="Z359" s="34"/>
      <c r="AA359" s="35"/>
      <c r="AB359" s="34"/>
      <c r="AC359" s="36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</row>
    <row r="360" spans="2:63" s="28" customFormat="1">
      <c r="B360" s="27"/>
      <c r="D360" s="29"/>
      <c r="E360" s="30"/>
      <c r="G360" s="31"/>
      <c r="H360" s="32"/>
      <c r="I360" s="32"/>
      <c r="J360" s="32"/>
      <c r="K360" s="32"/>
      <c r="L360" s="32"/>
      <c r="O360" s="64"/>
      <c r="V360" s="33"/>
      <c r="W360" s="33"/>
      <c r="X360" s="34"/>
      <c r="Y360" s="35"/>
      <c r="Z360" s="34"/>
      <c r="AA360" s="35"/>
      <c r="AB360" s="34"/>
      <c r="AC360" s="36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</row>
    <row r="361" spans="2:63" s="28" customFormat="1">
      <c r="B361" s="27"/>
      <c r="D361" s="29"/>
      <c r="E361" s="30"/>
      <c r="G361" s="31"/>
      <c r="H361" s="32"/>
      <c r="I361" s="32"/>
      <c r="J361" s="32"/>
      <c r="K361" s="32"/>
      <c r="L361" s="32"/>
      <c r="O361" s="65"/>
      <c r="V361" s="33"/>
      <c r="W361" s="33"/>
      <c r="X361" s="34"/>
      <c r="Y361" s="35"/>
      <c r="Z361" s="34"/>
      <c r="AA361" s="35"/>
      <c r="AB361" s="34"/>
      <c r="AC361" s="36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</row>
    <row r="362" spans="2:63" s="28" customFormat="1">
      <c r="B362" s="27"/>
      <c r="D362" s="29"/>
      <c r="E362" s="30"/>
      <c r="G362" s="31"/>
      <c r="H362" s="32"/>
      <c r="I362" s="32"/>
      <c r="J362" s="32"/>
      <c r="K362" s="32"/>
      <c r="L362" s="32"/>
      <c r="O362" s="72"/>
      <c r="V362" s="33"/>
      <c r="W362" s="33"/>
      <c r="X362" s="34"/>
      <c r="Y362" s="35"/>
      <c r="Z362" s="34"/>
      <c r="AA362" s="35"/>
      <c r="AB362" s="34"/>
      <c r="AC362" s="36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</row>
    <row r="363" spans="2:63" s="28" customFormat="1">
      <c r="B363" s="27"/>
      <c r="D363" s="29"/>
      <c r="E363" s="30"/>
      <c r="G363" s="31"/>
      <c r="H363" s="32"/>
      <c r="I363" s="32"/>
      <c r="J363" s="32"/>
      <c r="K363" s="32"/>
      <c r="L363" s="32"/>
      <c r="O363" s="69"/>
      <c r="V363" s="33"/>
      <c r="W363" s="33"/>
      <c r="X363" s="34"/>
      <c r="Y363" s="35"/>
      <c r="Z363" s="34"/>
      <c r="AA363" s="35"/>
      <c r="AB363" s="34"/>
      <c r="AC363" s="36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</row>
    <row r="364" spans="2:63" s="28" customFormat="1">
      <c r="B364" s="27"/>
      <c r="D364" s="29"/>
      <c r="E364" s="30"/>
      <c r="G364" s="31"/>
      <c r="H364" s="32"/>
      <c r="I364" s="32"/>
      <c r="J364" s="32"/>
      <c r="K364" s="32"/>
      <c r="L364" s="32"/>
      <c r="O364" s="65"/>
      <c r="V364" s="33"/>
      <c r="W364" s="33"/>
      <c r="X364" s="34"/>
      <c r="Y364" s="35"/>
      <c r="Z364" s="34"/>
      <c r="AA364" s="35"/>
      <c r="AB364" s="34"/>
      <c r="AC364" s="36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</row>
    <row r="365" spans="2:63" s="28" customFormat="1">
      <c r="B365" s="27"/>
      <c r="D365" s="29"/>
      <c r="E365" s="30"/>
      <c r="G365" s="31"/>
      <c r="H365" s="32"/>
      <c r="I365" s="32"/>
      <c r="J365" s="32"/>
      <c r="K365" s="32"/>
      <c r="L365" s="32"/>
      <c r="O365" s="71"/>
      <c r="V365" s="33"/>
      <c r="W365" s="33"/>
      <c r="X365" s="34"/>
      <c r="Y365" s="35"/>
      <c r="Z365" s="34"/>
      <c r="AA365" s="35"/>
      <c r="AB365" s="34"/>
      <c r="AC365" s="36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</row>
    <row r="366" spans="2:63" s="28" customFormat="1">
      <c r="B366" s="27"/>
      <c r="D366" s="29"/>
      <c r="E366" s="30"/>
      <c r="G366" s="31"/>
      <c r="H366" s="32"/>
      <c r="I366" s="32"/>
      <c r="J366" s="32"/>
      <c r="K366" s="32"/>
      <c r="L366" s="32"/>
      <c r="O366" s="65"/>
      <c r="V366" s="33"/>
      <c r="W366" s="33"/>
      <c r="X366" s="34"/>
      <c r="Y366" s="35"/>
      <c r="Z366" s="34"/>
      <c r="AA366" s="35"/>
      <c r="AB366" s="34"/>
      <c r="AC366" s="36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</row>
    <row r="367" spans="2:63" s="28" customFormat="1">
      <c r="B367" s="27"/>
      <c r="D367" s="29"/>
      <c r="E367" s="30"/>
      <c r="G367" s="31"/>
      <c r="H367" s="32"/>
      <c r="I367" s="32"/>
      <c r="J367" s="32"/>
      <c r="K367" s="32"/>
      <c r="L367" s="32"/>
      <c r="O367" s="65"/>
      <c r="V367" s="33"/>
      <c r="W367" s="33"/>
      <c r="X367" s="34"/>
      <c r="Y367" s="35"/>
      <c r="Z367" s="34"/>
      <c r="AA367" s="35"/>
      <c r="AB367" s="34"/>
      <c r="AC367" s="36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</row>
    <row r="368" spans="2:63" s="28" customFormat="1">
      <c r="B368" s="27"/>
      <c r="D368" s="29"/>
      <c r="E368" s="30"/>
      <c r="G368" s="31"/>
      <c r="H368" s="32"/>
      <c r="I368" s="32"/>
      <c r="J368" s="32"/>
      <c r="K368" s="32"/>
      <c r="L368" s="32"/>
      <c r="O368" s="67"/>
      <c r="V368" s="33"/>
      <c r="W368" s="33"/>
      <c r="X368" s="34"/>
      <c r="Y368" s="35"/>
      <c r="Z368" s="34"/>
      <c r="AA368" s="35"/>
      <c r="AB368" s="34"/>
      <c r="AC368" s="36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</row>
    <row r="369" spans="2:63" s="28" customFormat="1">
      <c r="B369" s="27"/>
      <c r="D369" s="29"/>
      <c r="E369" s="30"/>
      <c r="G369" s="31"/>
      <c r="H369" s="32"/>
      <c r="I369" s="32"/>
      <c r="J369" s="32"/>
      <c r="K369" s="32"/>
      <c r="L369" s="32"/>
      <c r="O369" s="65"/>
      <c r="V369" s="33"/>
      <c r="W369" s="33"/>
      <c r="X369" s="34"/>
      <c r="Y369" s="35"/>
      <c r="Z369" s="34"/>
      <c r="AA369" s="35"/>
      <c r="AB369" s="34"/>
      <c r="AC369" s="36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</row>
    <row r="370" spans="2:63" s="28" customFormat="1">
      <c r="B370" s="27"/>
      <c r="D370" s="29"/>
      <c r="E370" s="30"/>
      <c r="G370" s="31"/>
      <c r="H370" s="32"/>
      <c r="I370" s="32"/>
      <c r="J370" s="32"/>
      <c r="K370" s="32"/>
      <c r="L370" s="32"/>
      <c r="O370" s="65"/>
      <c r="V370" s="33"/>
      <c r="W370" s="33"/>
      <c r="X370" s="34"/>
      <c r="Y370" s="35"/>
      <c r="Z370" s="34"/>
      <c r="AA370" s="35"/>
      <c r="AB370" s="34"/>
      <c r="AC370" s="36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</row>
    <row r="371" spans="2:63" s="28" customFormat="1">
      <c r="B371" s="27"/>
      <c r="D371" s="29"/>
      <c r="E371" s="30"/>
      <c r="G371" s="31"/>
      <c r="H371" s="32"/>
      <c r="I371" s="32"/>
      <c r="J371" s="32"/>
      <c r="K371" s="32"/>
      <c r="L371" s="32"/>
      <c r="O371" s="64"/>
      <c r="V371" s="33"/>
      <c r="W371" s="33"/>
      <c r="X371" s="34"/>
      <c r="Y371" s="35"/>
      <c r="Z371" s="34"/>
      <c r="AA371" s="35"/>
      <c r="AB371" s="34"/>
      <c r="AC371" s="36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</row>
    <row r="372" spans="2:63" s="28" customFormat="1">
      <c r="B372" s="27"/>
      <c r="D372" s="29"/>
      <c r="E372" s="30"/>
      <c r="G372" s="31"/>
      <c r="H372" s="32"/>
      <c r="I372" s="32"/>
      <c r="J372" s="32"/>
      <c r="K372" s="32"/>
      <c r="L372" s="32"/>
      <c r="O372" s="69"/>
      <c r="V372" s="33"/>
      <c r="W372" s="33"/>
      <c r="X372" s="34"/>
      <c r="Y372" s="35"/>
      <c r="Z372" s="34"/>
      <c r="AA372" s="35"/>
      <c r="AB372" s="34"/>
      <c r="AC372" s="36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</row>
    <row r="373" spans="2:63" s="28" customFormat="1">
      <c r="B373" s="27"/>
      <c r="D373" s="29"/>
      <c r="E373" s="30"/>
      <c r="G373" s="31"/>
      <c r="H373" s="32"/>
      <c r="I373" s="32"/>
      <c r="J373" s="32"/>
      <c r="K373" s="32"/>
      <c r="L373" s="32"/>
      <c r="O373" s="68"/>
      <c r="V373" s="33"/>
      <c r="W373" s="33"/>
      <c r="X373" s="34"/>
      <c r="Y373" s="35"/>
      <c r="Z373" s="34"/>
      <c r="AA373" s="35"/>
      <c r="AB373" s="34"/>
      <c r="AC373" s="36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</row>
    <row r="374" spans="2:63" s="28" customFormat="1">
      <c r="B374" s="27"/>
      <c r="D374" s="29"/>
      <c r="E374" s="30"/>
      <c r="G374" s="31"/>
      <c r="H374" s="32"/>
      <c r="I374" s="32"/>
      <c r="J374" s="32"/>
      <c r="K374" s="32"/>
      <c r="L374" s="32"/>
      <c r="O374" s="69"/>
      <c r="V374" s="33"/>
      <c r="W374" s="33"/>
      <c r="X374" s="34"/>
      <c r="Y374" s="35"/>
      <c r="Z374" s="34"/>
      <c r="AA374" s="35"/>
      <c r="AB374" s="34"/>
      <c r="AC374" s="36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</row>
    <row r="375" spans="2:63" s="28" customFormat="1">
      <c r="B375" s="27"/>
      <c r="D375" s="29"/>
      <c r="E375" s="30"/>
      <c r="G375" s="31"/>
      <c r="H375" s="32"/>
      <c r="I375" s="32"/>
      <c r="J375" s="32"/>
      <c r="K375" s="32"/>
      <c r="L375" s="32"/>
      <c r="O375" s="65"/>
      <c r="V375" s="33"/>
      <c r="W375" s="33"/>
      <c r="X375" s="34"/>
      <c r="Y375" s="35"/>
      <c r="Z375" s="34"/>
      <c r="AA375" s="35"/>
      <c r="AB375" s="34"/>
      <c r="AC375" s="36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</row>
    <row r="376" spans="2:63" s="28" customFormat="1">
      <c r="B376" s="27"/>
      <c r="D376" s="29"/>
      <c r="E376" s="30"/>
      <c r="G376" s="31"/>
      <c r="H376" s="32"/>
      <c r="I376" s="32"/>
      <c r="J376" s="32"/>
      <c r="K376" s="32"/>
      <c r="L376" s="32"/>
      <c r="O376" s="65"/>
      <c r="V376" s="33"/>
      <c r="W376" s="33"/>
      <c r="X376" s="34"/>
      <c r="Y376" s="35"/>
      <c r="Z376" s="34"/>
      <c r="AA376" s="35"/>
      <c r="AB376" s="34"/>
      <c r="AC376" s="36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</row>
    <row r="377" spans="2:63" s="28" customFormat="1">
      <c r="B377" s="27"/>
      <c r="D377" s="29"/>
      <c r="E377" s="30"/>
      <c r="G377" s="31"/>
      <c r="H377" s="32"/>
      <c r="I377" s="32"/>
      <c r="J377" s="32"/>
      <c r="K377" s="32"/>
      <c r="L377" s="32"/>
      <c r="O377" s="65"/>
      <c r="V377" s="33"/>
      <c r="W377" s="33"/>
      <c r="X377" s="34"/>
      <c r="Y377" s="35"/>
      <c r="Z377" s="34"/>
      <c r="AA377" s="35"/>
      <c r="AB377" s="34"/>
      <c r="AC377" s="36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</row>
    <row r="378" spans="2:63" s="28" customFormat="1">
      <c r="B378" s="27"/>
      <c r="D378" s="29"/>
      <c r="E378" s="30"/>
      <c r="G378" s="31"/>
      <c r="H378" s="32"/>
      <c r="I378" s="32"/>
      <c r="J378" s="32"/>
      <c r="K378" s="32"/>
      <c r="L378" s="32"/>
      <c r="O378" s="69"/>
      <c r="V378" s="33"/>
      <c r="W378" s="33"/>
      <c r="X378" s="34"/>
      <c r="Y378" s="35"/>
      <c r="Z378" s="34"/>
      <c r="AA378" s="35"/>
      <c r="AB378" s="34"/>
      <c r="AC378" s="36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</row>
    <row r="379" spans="2:63" s="28" customFormat="1">
      <c r="B379" s="27"/>
      <c r="D379" s="29"/>
      <c r="E379" s="30"/>
      <c r="G379" s="31"/>
      <c r="H379" s="32"/>
      <c r="I379" s="32"/>
      <c r="J379" s="32"/>
      <c r="K379" s="32"/>
      <c r="L379" s="32"/>
      <c r="O379" s="77"/>
      <c r="V379" s="33"/>
      <c r="W379" s="33"/>
      <c r="X379" s="34"/>
      <c r="Y379" s="35"/>
      <c r="Z379" s="34"/>
      <c r="AA379" s="35"/>
      <c r="AB379" s="34"/>
      <c r="AC379" s="36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</row>
    <row r="380" spans="2:63" s="28" customFormat="1">
      <c r="B380" s="27"/>
      <c r="D380" s="29"/>
      <c r="E380" s="30"/>
      <c r="G380" s="31"/>
      <c r="H380" s="32"/>
      <c r="I380" s="32"/>
      <c r="J380" s="32"/>
      <c r="K380" s="32"/>
      <c r="L380" s="32"/>
      <c r="O380" s="65"/>
      <c r="V380" s="33"/>
      <c r="W380" s="33"/>
      <c r="X380" s="34"/>
      <c r="Y380" s="35"/>
      <c r="Z380" s="34"/>
      <c r="AA380" s="35"/>
      <c r="AB380" s="34"/>
      <c r="AC380" s="36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</row>
    <row r="381" spans="2:63" s="28" customFormat="1">
      <c r="B381" s="27"/>
      <c r="D381" s="29"/>
      <c r="E381" s="30"/>
      <c r="G381" s="31"/>
      <c r="H381" s="32"/>
      <c r="I381" s="32"/>
      <c r="J381" s="32"/>
      <c r="K381" s="32"/>
      <c r="L381" s="32"/>
      <c r="O381" s="69"/>
      <c r="V381" s="33"/>
      <c r="W381" s="33"/>
      <c r="X381" s="34"/>
      <c r="Y381" s="35"/>
      <c r="Z381" s="34"/>
      <c r="AA381" s="35"/>
      <c r="AB381" s="34"/>
      <c r="AC381" s="36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</row>
    <row r="382" spans="2:63" s="28" customFormat="1">
      <c r="B382" s="27"/>
      <c r="D382" s="29"/>
      <c r="E382" s="30"/>
      <c r="G382" s="31"/>
      <c r="H382" s="32"/>
      <c r="I382" s="32"/>
      <c r="J382" s="32"/>
      <c r="K382" s="32"/>
      <c r="L382" s="32"/>
      <c r="O382" s="73"/>
      <c r="V382" s="33"/>
      <c r="W382" s="33"/>
      <c r="X382" s="34"/>
      <c r="Y382" s="35"/>
      <c r="Z382" s="34"/>
      <c r="AA382" s="35"/>
      <c r="AB382" s="34"/>
      <c r="AC382" s="36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</row>
    <row r="383" spans="2:63" s="28" customFormat="1">
      <c r="B383" s="27"/>
      <c r="D383" s="29"/>
      <c r="E383" s="30"/>
      <c r="G383" s="31"/>
      <c r="H383" s="32"/>
      <c r="I383" s="32"/>
      <c r="J383" s="32"/>
      <c r="K383" s="32"/>
      <c r="L383" s="32"/>
      <c r="O383" s="72"/>
      <c r="V383" s="33"/>
      <c r="W383" s="33"/>
      <c r="X383" s="34"/>
      <c r="Y383" s="35"/>
      <c r="Z383" s="34"/>
      <c r="AA383" s="35"/>
      <c r="AB383" s="34"/>
      <c r="AC383" s="36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</row>
    <row r="384" spans="2:63" s="28" customFormat="1">
      <c r="B384" s="27"/>
      <c r="D384" s="29"/>
      <c r="E384" s="30"/>
      <c r="G384" s="31"/>
      <c r="H384" s="32"/>
      <c r="I384" s="32"/>
      <c r="J384" s="32"/>
      <c r="K384" s="32"/>
      <c r="L384" s="32"/>
      <c r="O384" s="65"/>
      <c r="V384" s="33"/>
      <c r="W384" s="33"/>
      <c r="X384" s="34"/>
      <c r="Y384" s="35"/>
      <c r="Z384" s="34"/>
      <c r="AA384" s="35"/>
      <c r="AB384" s="34"/>
      <c r="AC384" s="36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</row>
    <row r="385" spans="2:63" s="28" customFormat="1">
      <c r="B385" s="27"/>
      <c r="D385" s="29"/>
      <c r="E385" s="30"/>
      <c r="G385" s="31"/>
      <c r="H385" s="32"/>
      <c r="I385" s="32"/>
      <c r="J385" s="32"/>
      <c r="K385" s="32"/>
      <c r="L385" s="32"/>
      <c r="O385" s="72"/>
      <c r="V385" s="33"/>
      <c r="W385" s="33"/>
      <c r="X385" s="34"/>
      <c r="Y385" s="35"/>
      <c r="Z385" s="34"/>
      <c r="AA385" s="35"/>
      <c r="AB385" s="34"/>
      <c r="AC385" s="36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</row>
    <row r="386" spans="2:63" s="28" customFormat="1">
      <c r="B386" s="27"/>
      <c r="D386" s="29"/>
      <c r="E386" s="30"/>
      <c r="G386" s="31"/>
      <c r="H386" s="32"/>
      <c r="I386" s="32"/>
      <c r="J386" s="32"/>
      <c r="K386" s="32"/>
      <c r="L386" s="32"/>
      <c r="O386" s="65"/>
      <c r="V386" s="33"/>
      <c r="W386" s="33"/>
      <c r="X386" s="34"/>
      <c r="Y386" s="35"/>
      <c r="Z386" s="34"/>
      <c r="AA386" s="35"/>
      <c r="AB386" s="34"/>
      <c r="AC386" s="36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</row>
    <row r="387" spans="2:63" s="28" customFormat="1">
      <c r="B387" s="27"/>
      <c r="D387" s="29"/>
      <c r="E387" s="30"/>
      <c r="G387" s="31"/>
      <c r="H387" s="32"/>
      <c r="I387" s="32"/>
      <c r="J387" s="32"/>
      <c r="K387" s="32"/>
      <c r="L387" s="32"/>
      <c r="O387" s="71"/>
      <c r="V387" s="33"/>
      <c r="W387" s="33"/>
      <c r="X387" s="34"/>
      <c r="Y387" s="35"/>
      <c r="Z387" s="34"/>
      <c r="AA387" s="35"/>
      <c r="AB387" s="34"/>
      <c r="AC387" s="36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</row>
    <row r="388" spans="2:63" s="28" customFormat="1">
      <c r="B388" s="27"/>
      <c r="D388" s="29"/>
      <c r="E388" s="30"/>
      <c r="G388" s="31"/>
      <c r="H388" s="32"/>
      <c r="I388" s="32"/>
      <c r="J388" s="32"/>
      <c r="K388" s="32"/>
      <c r="L388" s="32"/>
      <c r="O388" s="65"/>
      <c r="V388" s="33"/>
      <c r="W388" s="33"/>
      <c r="X388" s="34"/>
      <c r="Y388" s="35"/>
      <c r="Z388" s="34"/>
      <c r="AA388" s="35"/>
      <c r="AB388" s="34"/>
      <c r="AC388" s="36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</row>
    <row r="389" spans="2:63" s="28" customFormat="1">
      <c r="B389" s="27"/>
      <c r="D389" s="29"/>
      <c r="E389" s="30"/>
      <c r="G389" s="31"/>
      <c r="H389" s="32"/>
      <c r="I389" s="32"/>
      <c r="J389" s="32"/>
      <c r="K389" s="32"/>
      <c r="L389" s="32"/>
      <c r="O389" s="69"/>
      <c r="V389" s="33"/>
      <c r="W389" s="33"/>
      <c r="X389" s="34"/>
      <c r="Y389" s="35"/>
      <c r="Z389" s="34"/>
      <c r="AA389" s="35"/>
      <c r="AB389" s="34"/>
      <c r="AC389" s="36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</row>
    <row r="390" spans="2:63" s="28" customFormat="1">
      <c r="B390" s="27"/>
      <c r="D390" s="29"/>
      <c r="E390" s="30"/>
      <c r="G390" s="31"/>
      <c r="H390" s="32"/>
      <c r="I390" s="32"/>
      <c r="J390" s="32"/>
      <c r="K390" s="32"/>
      <c r="L390" s="32"/>
      <c r="O390" s="71"/>
      <c r="V390" s="33"/>
      <c r="W390" s="33"/>
      <c r="X390" s="34"/>
      <c r="Y390" s="35"/>
      <c r="Z390" s="34"/>
      <c r="AA390" s="35"/>
      <c r="AB390" s="34"/>
      <c r="AC390" s="36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</row>
    <row r="391" spans="2:63" s="28" customFormat="1">
      <c r="B391" s="27"/>
      <c r="D391" s="29"/>
      <c r="E391" s="30"/>
      <c r="G391" s="31"/>
      <c r="H391" s="32"/>
      <c r="I391" s="32"/>
      <c r="J391" s="32"/>
      <c r="K391" s="32"/>
      <c r="L391" s="32"/>
      <c r="O391" s="67"/>
      <c r="V391" s="33"/>
      <c r="W391" s="33"/>
      <c r="X391" s="34"/>
      <c r="Y391" s="35"/>
      <c r="Z391" s="34"/>
      <c r="AA391" s="35"/>
      <c r="AB391" s="34"/>
      <c r="AC391" s="36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</row>
    <row r="392" spans="2:63" s="28" customFormat="1">
      <c r="B392" s="27"/>
      <c r="D392" s="29"/>
      <c r="E392" s="30"/>
      <c r="G392" s="31"/>
      <c r="H392" s="32"/>
      <c r="I392" s="32"/>
      <c r="J392" s="32"/>
      <c r="K392" s="32"/>
      <c r="L392" s="32"/>
      <c r="O392" s="80"/>
      <c r="V392" s="33"/>
      <c r="W392" s="33"/>
      <c r="X392" s="34"/>
      <c r="Y392" s="35"/>
      <c r="Z392" s="34"/>
      <c r="AA392" s="35"/>
      <c r="AB392" s="34"/>
      <c r="AC392" s="36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</row>
    <row r="393" spans="2:63" s="28" customFormat="1">
      <c r="B393" s="27"/>
      <c r="D393" s="29"/>
      <c r="E393" s="30"/>
      <c r="G393" s="31"/>
      <c r="H393" s="32"/>
      <c r="I393" s="32"/>
      <c r="J393" s="32"/>
      <c r="K393" s="32"/>
      <c r="L393" s="32"/>
      <c r="O393" s="71"/>
      <c r="V393" s="33"/>
      <c r="W393" s="33"/>
      <c r="X393" s="34"/>
      <c r="Y393" s="35"/>
      <c r="Z393" s="34"/>
      <c r="AA393" s="35"/>
      <c r="AB393" s="34"/>
      <c r="AC393" s="36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</row>
    <row r="394" spans="2:63" s="28" customFormat="1">
      <c r="B394" s="27"/>
      <c r="D394" s="29"/>
      <c r="E394" s="30"/>
      <c r="G394" s="31"/>
      <c r="H394" s="32"/>
      <c r="I394" s="32"/>
      <c r="J394" s="32"/>
      <c r="K394" s="32"/>
      <c r="L394" s="32"/>
      <c r="O394" s="65"/>
      <c r="V394" s="33"/>
      <c r="W394" s="33"/>
      <c r="X394" s="34"/>
      <c r="Y394" s="35"/>
      <c r="Z394" s="34"/>
      <c r="AA394" s="35"/>
      <c r="AB394" s="34"/>
      <c r="AC394" s="36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</row>
    <row r="395" spans="2:63" s="28" customFormat="1">
      <c r="B395" s="27"/>
      <c r="D395" s="29"/>
      <c r="E395" s="30"/>
      <c r="G395" s="31"/>
      <c r="H395" s="32"/>
      <c r="I395" s="32"/>
      <c r="J395" s="32"/>
      <c r="K395" s="32"/>
      <c r="L395" s="32"/>
      <c r="O395" s="71"/>
      <c r="V395" s="33"/>
      <c r="W395" s="33"/>
      <c r="X395" s="34"/>
      <c r="Y395" s="35"/>
      <c r="Z395" s="34"/>
      <c r="AA395" s="35"/>
      <c r="AB395" s="34"/>
      <c r="AC395" s="36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</row>
    <row r="396" spans="2:63" s="28" customFormat="1">
      <c r="B396" s="27"/>
      <c r="D396" s="29"/>
      <c r="E396" s="30"/>
      <c r="G396" s="31"/>
      <c r="H396" s="32"/>
      <c r="I396" s="32"/>
      <c r="J396" s="32"/>
      <c r="K396" s="32"/>
      <c r="L396" s="32"/>
      <c r="O396" s="69"/>
      <c r="V396" s="33"/>
      <c r="W396" s="33"/>
      <c r="X396" s="34"/>
      <c r="Y396" s="35"/>
      <c r="Z396" s="34"/>
      <c r="AA396" s="35"/>
      <c r="AB396" s="34"/>
      <c r="AC396" s="36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</row>
    <row r="397" spans="2:63" s="28" customFormat="1">
      <c r="B397" s="27"/>
      <c r="D397" s="29"/>
      <c r="E397" s="30"/>
      <c r="G397" s="31"/>
      <c r="H397" s="32"/>
      <c r="I397" s="32"/>
      <c r="J397" s="32"/>
      <c r="K397" s="32"/>
      <c r="L397" s="32"/>
      <c r="O397" s="65"/>
      <c r="V397" s="33"/>
      <c r="W397" s="33"/>
      <c r="X397" s="34"/>
      <c r="Y397" s="35"/>
      <c r="Z397" s="34"/>
      <c r="AA397" s="35"/>
      <c r="AB397" s="34"/>
      <c r="AC397" s="36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</row>
    <row r="398" spans="2:63" s="28" customFormat="1">
      <c r="B398" s="27"/>
      <c r="D398" s="29"/>
      <c r="E398" s="30"/>
      <c r="G398" s="31"/>
      <c r="H398" s="32"/>
      <c r="I398" s="32"/>
      <c r="J398" s="32"/>
      <c r="K398" s="32"/>
      <c r="L398" s="32"/>
      <c r="O398" s="65"/>
      <c r="V398" s="33"/>
      <c r="W398" s="33"/>
      <c r="X398" s="34"/>
      <c r="Y398" s="35"/>
      <c r="Z398" s="34"/>
      <c r="AA398" s="35"/>
      <c r="AB398" s="34"/>
      <c r="AC398" s="36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</row>
    <row r="399" spans="2:63" s="28" customFormat="1">
      <c r="B399" s="27"/>
      <c r="D399" s="29"/>
      <c r="E399" s="30"/>
      <c r="G399" s="31"/>
      <c r="H399" s="32"/>
      <c r="I399" s="32"/>
      <c r="J399" s="32"/>
      <c r="K399" s="32"/>
      <c r="L399" s="32"/>
      <c r="O399" s="72"/>
      <c r="V399" s="33"/>
      <c r="W399" s="33"/>
      <c r="X399" s="34"/>
      <c r="Y399" s="35"/>
      <c r="Z399" s="34"/>
      <c r="AA399" s="35"/>
      <c r="AB399" s="34"/>
      <c r="AC399" s="36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</row>
    <row r="400" spans="2:63" s="28" customFormat="1">
      <c r="B400" s="27"/>
      <c r="D400" s="29"/>
      <c r="E400" s="30"/>
      <c r="G400" s="31"/>
      <c r="H400" s="32"/>
      <c r="I400" s="32"/>
      <c r="J400" s="32"/>
      <c r="K400" s="32"/>
      <c r="L400" s="32"/>
      <c r="O400" s="76"/>
      <c r="V400" s="33"/>
      <c r="W400" s="33"/>
      <c r="X400" s="34"/>
      <c r="Y400" s="35"/>
      <c r="Z400" s="34"/>
      <c r="AA400" s="35"/>
      <c r="AB400" s="34"/>
      <c r="AC400" s="36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</row>
    <row r="401" spans="2:63" s="28" customFormat="1">
      <c r="B401" s="27"/>
      <c r="D401" s="29"/>
      <c r="E401" s="30"/>
      <c r="G401" s="31"/>
      <c r="H401" s="32"/>
      <c r="I401" s="32"/>
      <c r="J401" s="32"/>
      <c r="K401" s="32"/>
      <c r="L401" s="32"/>
      <c r="O401" s="65"/>
      <c r="V401" s="33"/>
      <c r="W401" s="33"/>
      <c r="X401" s="34"/>
      <c r="Y401" s="35"/>
      <c r="Z401" s="34"/>
      <c r="AA401" s="35"/>
      <c r="AB401" s="34"/>
      <c r="AC401" s="36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</row>
    <row r="402" spans="2:63" s="28" customFormat="1">
      <c r="B402" s="27"/>
      <c r="D402" s="29"/>
      <c r="E402" s="30"/>
      <c r="G402" s="31"/>
      <c r="H402" s="32"/>
      <c r="I402" s="32"/>
      <c r="J402" s="32"/>
      <c r="K402" s="32"/>
      <c r="L402" s="32"/>
      <c r="O402" s="69"/>
      <c r="V402" s="33"/>
      <c r="W402" s="33"/>
      <c r="X402" s="34"/>
      <c r="Y402" s="35"/>
      <c r="Z402" s="34"/>
      <c r="AA402" s="35"/>
      <c r="AB402" s="34"/>
      <c r="AC402" s="36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</row>
    <row r="403" spans="2:63" s="28" customFormat="1">
      <c r="B403" s="27"/>
      <c r="D403" s="29"/>
      <c r="E403" s="30"/>
      <c r="G403" s="31"/>
      <c r="H403" s="32"/>
      <c r="I403" s="32"/>
      <c r="J403" s="32"/>
      <c r="K403" s="32"/>
      <c r="L403" s="32"/>
      <c r="O403" s="65"/>
      <c r="V403" s="33"/>
      <c r="W403" s="33"/>
      <c r="X403" s="34"/>
      <c r="Y403" s="35"/>
      <c r="Z403" s="34"/>
      <c r="AA403" s="35"/>
      <c r="AB403" s="34"/>
      <c r="AC403" s="36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</row>
    <row r="404" spans="2:63" s="28" customFormat="1">
      <c r="B404" s="27"/>
      <c r="D404" s="29"/>
      <c r="E404" s="30"/>
      <c r="G404" s="31"/>
      <c r="H404" s="32"/>
      <c r="I404" s="32"/>
      <c r="J404" s="32"/>
      <c r="K404" s="32"/>
      <c r="L404" s="32"/>
      <c r="O404" s="64"/>
      <c r="V404" s="33"/>
      <c r="W404" s="33"/>
      <c r="X404" s="34"/>
      <c r="Y404" s="35"/>
      <c r="Z404" s="34"/>
      <c r="AA404" s="35"/>
      <c r="AB404" s="34"/>
      <c r="AC404" s="36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</row>
    <row r="405" spans="2:63" s="28" customFormat="1">
      <c r="B405" s="27"/>
      <c r="D405" s="29"/>
      <c r="E405" s="30"/>
      <c r="G405" s="31"/>
      <c r="H405" s="32"/>
      <c r="I405" s="32"/>
      <c r="J405" s="32"/>
      <c r="K405" s="32"/>
      <c r="L405" s="32"/>
      <c r="O405" s="68"/>
      <c r="V405" s="33"/>
      <c r="W405" s="33"/>
      <c r="X405" s="34"/>
      <c r="Y405" s="35"/>
      <c r="Z405" s="34"/>
      <c r="AA405" s="35"/>
      <c r="AB405" s="34"/>
      <c r="AC405" s="36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</row>
    <row r="406" spans="2:63" s="28" customFormat="1">
      <c r="B406" s="27"/>
      <c r="D406" s="29"/>
      <c r="E406" s="30"/>
      <c r="G406" s="31"/>
      <c r="H406" s="32"/>
      <c r="I406" s="32"/>
      <c r="J406" s="32"/>
      <c r="K406" s="32"/>
      <c r="L406" s="32"/>
      <c r="O406" s="73"/>
      <c r="V406" s="33"/>
      <c r="W406" s="33"/>
      <c r="X406" s="34"/>
      <c r="Y406" s="35"/>
      <c r="Z406" s="34"/>
      <c r="AA406" s="35"/>
      <c r="AB406" s="34"/>
      <c r="AC406" s="36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</row>
    <row r="407" spans="2:63" s="28" customFormat="1">
      <c r="B407" s="27"/>
      <c r="D407" s="29"/>
      <c r="E407" s="30"/>
      <c r="G407" s="31"/>
      <c r="H407" s="32"/>
      <c r="I407" s="32"/>
      <c r="J407" s="32"/>
      <c r="K407" s="32"/>
      <c r="L407" s="32"/>
      <c r="O407" s="68"/>
      <c r="V407" s="33"/>
      <c r="W407" s="33"/>
      <c r="X407" s="34"/>
      <c r="Y407" s="35"/>
      <c r="Z407" s="34"/>
      <c r="AA407" s="35"/>
      <c r="AB407" s="34"/>
      <c r="AC407" s="36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</row>
    <row r="408" spans="2:63" s="28" customFormat="1">
      <c r="B408" s="27"/>
      <c r="D408" s="29"/>
      <c r="E408" s="30"/>
      <c r="G408" s="31"/>
      <c r="H408" s="32"/>
      <c r="I408" s="32"/>
      <c r="J408" s="32"/>
      <c r="K408" s="32"/>
      <c r="L408" s="32"/>
      <c r="O408" s="64"/>
      <c r="V408" s="33"/>
      <c r="W408" s="33"/>
      <c r="X408" s="34"/>
      <c r="Y408" s="35"/>
      <c r="Z408" s="34"/>
      <c r="AA408" s="35"/>
      <c r="AB408" s="34"/>
      <c r="AC408" s="36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</row>
    <row r="409" spans="2:63" s="28" customFormat="1">
      <c r="B409" s="27"/>
      <c r="D409" s="29"/>
      <c r="E409" s="30"/>
      <c r="G409" s="31"/>
      <c r="H409" s="32"/>
      <c r="I409" s="32"/>
      <c r="J409" s="32"/>
      <c r="K409" s="32"/>
      <c r="L409" s="32"/>
      <c r="O409" s="75"/>
      <c r="V409" s="33"/>
      <c r="W409" s="33"/>
      <c r="X409" s="34"/>
      <c r="Y409" s="35"/>
      <c r="Z409" s="34"/>
      <c r="AA409" s="35"/>
      <c r="AB409" s="34"/>
      <c r="AC409" s="36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</row>
    <row r="410" spans="2:63" s="28" customFormat="1">
      <c r="B410" s="27"/>
      <c r="D410" s="29"/>
      <c r="E410" s="30"/>
      <c r="G410" s="31"/>
      <c r="H410" s="32"/>
      <c r="I410" s="32"/>
      <c r="J410" s="32"/>
      <c r="K410" s="32"/>
      <c r="L410" s="32"/>
      <c r="O410" s="65"/>
      <c r="V410" s="33"/>
      <c r="W410" s="33"/>
      <c r="X410" s="34"/>
      <c r="Y410" s="35"/>
      <c r="Z410" s="34"/>
      <c r="AA410" s="35"/>
      <c r="AB410" s="34"/>
      <c r="AC410" s="36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</row>
    <row r="411" spans="2:63" s="28" customFormat="1">
      <c r="B411" s="27"/>
      <c r="D411" s="29"/>
      <c r="E411" s="30"/>
      <c r="G411" s="31"/>
      <c r="H411" s="32"/>
      <c r="I411" s="32"/>
      <c r="J411" s="32"/>
      <c r="K411" s="32"/>
      <c r="L411" s="32"/>
      <c r="O411" s="64"/>
      <c r="V411" s="33"/>
      <c r="W411" s="33"/>
      <c r="X411" s="34"/>
      <c r="Y411" s="35"/>
      <c r="Z411" s="34"/>
      <c r="AA411" s="35"/>
      <c r="AB411" s="34"/>
      <c r="AC411" s="36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</row>
    <row r="412" spans="2:63" s="28" customFormat="1">
      <c r="B412" s="27"/>
      <c r="D412" s="29"/>
      <c r="E412" s="30"/>
      <c r="G412" s="31"/>
      <c r="H412" s="32"/>
      <c r="I412" s="32"/>
      <c r="J412" s="32"/>
      <c r="K412" s="32"/>
      <c r="L412" s="32"/>
      <c r="O412" s="80"/>
      <c r="V412" s="33"/>
      <c r="W412" s="33"/>
      <c r="X412" s="34"/>
      <c r="Y412" s="35"/>
      <c r="Z412" s="34"/>
      <c r="AA412" s="35"/>
      <c r="AB412" s="34"/>
      <c r="AC412" s="36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</row>
    <row r="413" spans="2:63" s="28" customFormat="1">
      <c r="B413" s="27"/>
      <c r="D413" s="29"/>
      <c r="E413" s="30"/>
      <c r="G413" s="31"/>
      <c r="H413" s="32"/>
      <c r="I413" s="32"/>
      <c r="J413" s="32"/>
      <c r="K413" s="32"/>
      <c r="L413" s="32"/>
      <c r="O413" s="71"/>
      <c r="V413" s="33"/>
      <c r="W413" s="33"/>
      <c r="X413" s="34"/>
      <c r="Y413" s="35"/>
      <c r="Z413" s="34"/>
      <c r="AA413" s="35"/>
      <c r="AB413" s="34"/>
      <c r="AC413" s="36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</row>
    <row r="414" spans="2:63" s="28" customFormat="1">
      <c r="B414" s="27"/>
      <c r="D414" s="29"/>
      <c r="E414" s="30"/>
      <c r="G414" s="31"/>
      <c r="H414" s="32"/>
      <c r="I414" s="32"/>
      <c r="J414" s="32"/>
      <c r="K414" s="32"/>
      <c r="L414" s="32"/>
      <c r="O414" s="67"/>
      <c r="V414" s="33"/>
      <c r="W414" s="33"/>
      <c r="X414" s="34"/>
      <c r="Y414" s="35"/>
      <c r="Z414" s="34"/>
      <c r="AA414" s="35"/>
      <c r="AB414" s="34"/>
      <c r="AC414" s="36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</row>
    <row r="415" spans="2:63" s="28" customFormat="1">
      <c r="B415" s="27"/>
      <c r="D415" s="29"/>
      <c r="E415" s="30"/>
      <c r="G415" s="31"/>
      <c r="H415" s="32"/>
      <c r="I415" s="32"/>
      <c r="J415" s="32"/>
      <c r="K415" s="32"/>
      <c r="L415" s="32"/>
      <c r="O415" s="75"/>
      <c r="V415" s="33"/>
      <c r="W415" s="33"/>
      <c r="X415" s="34"/>
      <c r="Y415" s="35"/>
      <c r="Z415" s="34"/>
      <c r="AA415" s="35"/>
      <c r="AB415" s="34"/>
      <c r="AC415" s="36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</row>
    <row r="416" spans="2:63" s="28" customFormat="1">
      <c r="B416" s="27"/>
      <c r="D416" s="29"/>
      <c r="E416" s="30"/>
      <c r="G416" s="31"/>
      <c r="H416" s="32"/>
      <c r="I416" s="32"/>
      <c r="J416" s="32"/>
      <c r="K416" s="32"/>
      <c r="L416" s="32"/>
      <c r="O416" s="80"/>
      <c r="V416" s="33"/>
      <c r="W416" s="33"/>
      <c r="X416" s="34"/>
      <c r="Y416" s="35"/>
      <c r="Z416" s="34"/>
      <c r="AA416" s="35"/>
      <c r="AB416" s="34"/>
      <c r="AC416" s="36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</row>
    <row r="417" spans="2:63" s="28" customFormat="1">
      <c r="B417" s="27"/>
      <c r="D417" s="29"/>
      <c r="E417" s="30"/>
      <c r="G417" s="31"/>
      <c r="H417" s="32"/>
      <c r="I417" s="32"/>
      <c r="J417" s="32"/>
      <c r="K417" s="32"/>
      <c r="L417" s="32"/>
      <c r="O417" s="80"/>
      <c r="V417" s="33"/>
      <c r="W417" s="33"/>
      <c r="X417" s="34"/>
      <c r="Y417" s="35"/>
      <c r="Z417" s="34"/>
      <c r="AA417" s="35"/>
      <c r="AB417" s="34"/>
      <c r="AC417" s="36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</row>
    <row r="418" spans="2:63" s="28" customFormat="1">
      <c r="B418" s="27"/>
      <c r="D418" s="29"/>
      <c r="E418" s="30"/>
      <c r="G418" s="31"/>
      <c r="H418" s="32"/>
      <c r="I418" s="32"/>
      <c r="J418" s="32"/>
      <c r="K418" s="32"/>
      <c r="L418" s="32"/>
      <c r="O418" s="73"/>
      <c r="V418" s="33"/>
      <c r="W418" s="33"/>
      <c r="X418" s="34"/>
      <c r="Y418" s="35"/>
      <c r="Z418" s="34"/>
      <c r="AA418" s="35"/>
      <c r="AB418" s="34"/>
      <c r="AC418" s="36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</row>
    <row r="419" spans="2:63" s="28" customFormat="1">
      <c r="B419" s="27"/>
      <c r="D419" s="29"/>
      <c r="E419" s="30"/>
      <c r="G419" s="31"/>
      <c r="H419" s="32"/>
      <c r="I419" s="32"/>
      <c r="J419" s="32"/>
      <c r="K419" s="32"/>
      <c r="L419" s="32"/>
      <c r="O419" s="64"/>
      <c r="V419" s="33"/>
      <c r="W419" s="33"/>
      <c r="X419" s="34"/>
      <c r="Y419" s="35"/>
      <c r="Z419" s="34"/>
      <c r="AA419" s="35"/>
      <c r="AB419" s="34"/>
      <c r="AC419" s="36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</row>
    <row r="420" spans="2:63" s="28" customFormat="1">
      <c r="B420" s="27"/>
      <c r="D420" s="29"/>
      <c r="E420" s="30"/>
      <c r="G420" s="31"/>
      <c r="H420" s="32"/>
      <c r="I420" s="32"/>
      <c r="J420" s="32"/>
      <c r="K420" s="32"/>
      <c r="L420" s="32"/>
      <c r="O420" s="69"/>
      <c r="V420" s="33"/>
      <c r="W420" s="33"/>
      <c r="X420" s="34"/>
      <c r="Y420" s="35"/>
      <c r="Z420" s="34"/>
      <c r="AA420" s="35"/>
      <c r="AB420" s="34"/>
      <c r="AC420" s="36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</row>
    <row r="421" spans="2:63" s="28" customFormat="1">
      <c r="B421" s="27"/>
      <c r="D421" s="29"/>
      <c r="E421" s="30"/>
      <c r="G421" s="31"/>
      <c r="H421" s="32"/>
      <c r="I421" s="32"/>
      <c r="J421" s="32"/>
      <c r="K421" s="32"/>
      <c r="L421" s="32"/>
      <c r="O421" s="69"/>
      <c r="V421" s="33"/>
      <c r="W421" s="33"/>
      <c r="X421" s="34"/>
      <c r="Y421" s="35"/>
      <c r="Z421" s="34"/>
      <c r="AA421" s="35"/>
      <c r="AB421" s="34"/>
      <c r="AC421" s="36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</row>
    <row r="422" spans="2:63" s="28" customFormat="1">
      <c r="B422" s="27"/>
      <c r="D422" s="29"/>
      <c r="E422" s="30"/>
      <c r="G422" s="31"/>
      <c r="H422" s="32"/>
      <c r="I422" s="32"/>
      <c r="J422" s="32"/>
      <c r="K422" s="32"/>
      <c r="L422" s="32"/>
      <c r="O422" s="69"/>
      <c r="V422" s="33"/>
      <c r="W422" s="33"/>
      <c r="X422" s="34"/>
      <c r="Y422" s="35"/>
      <c r="Z422" s="34"/>
      <c r="AA422" s="35"/>
      <c r="AB422" s="34"/>
      <c r="AC422" s="36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</row>
    <row r="423" spans="2:63" s="28" customFormat="1">
      <c r="B423" s="27"/>
      <c r="D423" s="29"/>
      <c r="E423" s="30"/>
      <c r="G423" s="31"/>
      <c r="H423" s="32"/>
      <c r="I423" s="32"/>
      <c r="J423" s="32"/>
      <c r="K423" s="32"/>
      <c r="L423" s="32"/>
      <c r="O423" s="69"/>
      <c r="V423" s="33"/>
      <c r="W423" s="33"/>
      <c r="X423" s="34"/>
      <c r="Y423" s="35"/>
      <c r="Z423" s="34"/>
      <c r="AA423" s="35"/>
      <c r="AB423" s="34"/>
      <c r="AC423" s="36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</row>
    <row r="424" spans="2:63" s="28" customFormat="1">
      <c r="B424" s="27"/>
      <c r="D424" s="29"/>
      <c r="E424" s="30"/>
      <c r="G424" s="31"/>
      <c r="H424" s="32"/>
      <c r="I424" s="32"/>
      <c r="J424" s="32"/>
      <c r="K424" s="32"/>
      <c r="L424" s="32"/>
      <c r="O424" s="65"/>
      <c r="V424" s="33"/>
      <c r="W424" s="33"/>
      <c r="X424" s="34"/>
      <c r="Y424" s="35"/>
      <c r="Z424" s="34"/>
      <c r="AA424" s="35"/>
      <c r="AB424" s="34"/>
      <c r="AC424" s="36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</row>
    <row r="425" spans="2:63" s="28" customFormat="1">
      <c r="B425" s="27"/>
      <c r="D425" s="29"/>
      <c r="E425" s="30"/>
      <c r="G425" s="31"/>
      <c r="H425" s="32"/>
      <c r="I425" s="32"/>
      <c r="J425" s="32"/>
      <c r="K425" s="32"/>
      <c r="L425" s="32"/>
      <c r="O425" s="65"/>
      <c r="V425" s="33"/>
      <c r="W425" s="33"/>
      <c r="X425" s="34"/>
      <c r="Y425" s="35"/>
      <c r="Z425" s="34"/>
      <c r="AA425" s="35"/>
      <c r="AB425" s="34"/>
      <c r="AC425" s="36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</row>
    <row r="426" spans="2:63" s="28" customFormat="1">
      <c r="B426" s="27"/>
      <c r="D426" s="29"/>
      <c r="E426" s="30"/>
      <c r="G426" s="31"/>
      <c r="H426" s="32"/>
      <c r="I426" s="32"/>
      <c r="J426" s="32"/>
      <c r="K426" s="32"/>
      <c r="L426" s="32"/>
      <c r="O426" s="65"/>
      <c r="V426" s="33"/>
      <c r="W426" s="33"/>
      <c r="X426" s="34"/>
      <c r="Y426" s="35"/>
      <c r="Z426" s="34"/>
      <c r="AA426" s="35"/>
      <c r="AB426" s="34"/>
      <c r="AC426" s="36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</row>
    <row r="427" spans="2:63" s="28" customFormat="1">
      <c r="B427" s="27"/>
      <c r="D427" s="29"/>
      <c r="E427" s="30"/>
      <c r="G427" s="31"/>
      <c r="H427" s="32"/>
      <c r="I427" s="32"/>
      <c r="J427" s="32"/>
      <c r="K427" s="32"/>
      <c r="L427" s="32"/>
      <c r="O427" s="65"/>
      <c r="V427" s="33"/>
      <c r="W427" s="33"/>
      <c r="X427" s="34"/>
      <c r="Y427" s="35"/>
      <c r="Z427" s="34"/>
      <c r="AA427" s="35"/>
      <c r="AB427" s="34"/>
      <c r="AC427" s="36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</row>
    <row r="428" spans="2:63" s="28" customFormat="1">
      <c r="B428" s="27"/>
      <c r="D428" s="29"/>
      <c r="E428" s="30"/>
      <c r="G428" s="31"/>
      <c r="H428" s="32"/>
      <c r="I428" s="32"/>
      <c r="J428" s="32"/>
      <c r="K428" s="32"/>
      <c r="L428" s="32"/>
      <c r="O428" s="70"/>
      <c r="V428" s="33"/>
      <c r="W428" s="33"/>
      <c r="X428" s="34"/>
      <c r="Y428" s="35"/>
      <c r="Z428" s="34"/>
      <c r="AA428" s="35"/>
      <c r="AB428" s="34"/>
      <c r="AC428" s="36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</row>
    <row r="429" spans="2:63" s="28" customFormat="1">
      <c r="B429" s="27"/>
      <c r="D429" s="29"/>
      <c r="E429" s="30"/>
      <c r="G429" s="31"/>
      <c r="H429" s="32"/>
      <c r="I429" s="32"/>
      <c r="J429" s="32"/>
      <c r="K429" s="32"/>
      <c r="L429" s="32"/>
      <c r="O429" s="65"/>
      <c r="V429" s="33"/>
      <c r="W429" s="33"/>
      <c r="X429" s="34"/>
      <c r="Y429" s="35"/>
      <c r="Z429" s="34"/>
      <c r="AA429" s="35"/>
      <c r="AB429" s="34"/>
      <c r="AC429" s="36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</row>
    <row r="430" spans="2:63" s="28" customFormat="1">
      <c r="B430" s="27"/>
      <c r="D430" s="29"/>
      <c r="E430" s="30"/>
      <c r="G430" s="31"/>
      <c r="H430" s="32"/>
      <c r="I430" s="32"/>
      <c r="J430" s="32"/>
      <c r="K430" s="32"/>
      <c r="L430" s="32"/>
      <c r="O430" s="68"/>
      <c r="V430" s="33"/>
      <c r="W430" s="33"/>
      <c r="X430" s="34"/>
      <c r="Y430" s="35"/>
      <c r="Z430" s="34"/>
      <c r="AA430" s="35"/>
      <c r="AB430" s="34"/>
      <c r="AC430" s="36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</row>
    <row r="431" spans="2:63" s="28" customFormat="1">
      <c r="B431" s="27"/>
      <c r="D431" s="29"/>
      <c r="E431" s="30"/>
      <c r="G431" s="31"/>
      <c r="H431" s="32"/>
      <c r="I431" s="32"/>
      <c r="J431" s="32"/>
      <c r="K431" s="32"/>
      <c r="L431" s="32"/>
      <c r="O431" s="68"/>
      <c r="V431" s="33"/>
      <c r="W431" s="33"/>
      <c r="X431" s="34"/>
      <c r="Y431" s="35"/>
      <c r="Z431" s="34"/>
      <c r="AA431" s="35"/>
      <c r="AB431" s="34"/>
      <c r="AC431" s="36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</row>
    <row r="432" spans="2:63" s="28" customFormat="1">
      <c r="B432" s="27"/>
      <c r="D432" s="29"/>
      <c r="E432" s="30"/>
      <c r="G432" s="31"/>
      <c r="H432" s="32"/>
      <c r="I432" s="32"/>
      <c r="J432" s="32"/>
      <c r="K432" s="32"/>
      <c r="L432" s="32"/>
      <c r="O432" s="68"/>
      <c r="V432" s="33"/>
      <c r="W432" s="33"/>
      <c r="X432" s="34"/>
      <c r="Y432" s="35"/>
      <c r="Z432" s="34"/>
      <c r="AA432" s="35"/>
      <c r="AB432" s="34"/>
      <c r="AC432" s="36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</row>
    <row r="433" spans="2:63" s="28" customFormat="1">
      <c r="B433" s="27"/>
      <c r="D433" s="29"/>
      <c r="E433" s="30"/>
      <c r="G433" s="31"/>
      <c r="H433" s="32"/>
      <c r="I433" s="32"/>
      <c r="J433" s="32"/>
      <c r="K433" s="32"/>
      <c r="L433" s="32"/>
      <c r="O433" s="65"/>
      <c r="V433" s="33"/>
      <c r="W433" s="33"/>
      <c r="X433" s="34"/>
      <c r="Y433" s="35"/>
      <c r="Z433" s="34"/>
      <c r="AA433" s="35"/>
      <c r="AB433" s="34"/>
      <c r="AC433" s="36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</row>
    <row r="434" spans="2:63" s="28" customFormat="1">
      <c r="B434" s="27"/>
      <c r="D434" s="29"/>
      <c r="E434" s="30"/>
      <c r="G434" s="31"/>
      <c r="H434" s="32"/>
      <c r="I434" s="32"/>
      <c r="J434" s="32"/>
      <c r="K434" s="32"/>
      <c r="L434" s="32"/>
      <c r="O434" s="69"/>
      <c r="V434" s="33"/>
      <c r="W434" s="33"/>
      <c r="X434" s="34"/>
      <c r="Y434" s="35"/>
      <c r="Z434" s="34"/>
      <c r="AA434" s="35"/>
      <c r="AB434" s="34"/>
      <c r="AC434" s="36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</row>
    <row r="435" spans="2:63" s="28" customFormat="1">
      <c r="B435" s="27"/>
      <c r="D435" s="29"/>
      <c r="E435" s="30"/>
      <c r="G435" s="31"/>
      <c r="H435" s="32"/>
      <c r="I435" s="32"/>
      <c r="J435" s="32"/>
      <c r="K435" s="32"/>
      <c r="L435" s="32"/>
      <c r="O435" s="65"/>
      <c r="V435" s="33"/>
      <c r="W435" s="33"/>
      <c r="X435" s="34"/>
      <c r="Y435" s="35"/>
      <c r="Z435" s="34"/>
      <c r="AA435" s="35"/>
      <c r="AB435" s="34"/>
      <c r="AC435" s="36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</row>
    <row r="436" spans="2:63" s="28" customFormat="1">
      <c r="B436" s="27"/>
      <c r="D436" s="29"/>
      <c r="E436" s="30"/>
      <c r="G436" s="31"/>
      <c r="H436" s="32"/>
      <c r="I436" s="32"/>
      <c r="J436" s="32"/>
      <c r="K436" s="32"/>
      <c r="L436" s="32"/>
      <c r="O436" s="65"/>
      <c r="V436" s="33"/>
      <c r="W436" s="33"/>
      <c r="X436" s="34"/>
      <c r="Y436" s="35"/>
      <c r="Z436" s="34"/>
      <c r="AA436" s="35"/>
      <c r="AB436" s="34"/>
      <c r="AC436" s="36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</row>
    <row r="437" spans="2:63" s="28" customFormat="1">
      <c r="B437" s="27"/>
      <c r="D437" s="29"/>
      <c r="E437" s="30"/>
      <c r="G437" s="31"/>
      <c r="H437" s="32"/>
      <c r="I437" s="32"/>
      <c r="J437" s="32"/>
      <c r="K437" s="32"/>
      <c r="L437" s="32"/>
      <c r="O437" s="69"/>
      <c r="V437" s="33"/>
      <c r="W437" s="33"/>
      <c r="X437" s="34"/>
      <c r="Y437" s="35"/>
      <c r="Z437" s="34"/>
      <c r="AA437" s="35"/>
      <c r="AB437" s="34"/>
      <c r="AC437" s="36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</row>
    <row r="438" spans="2:63" s="28" customFormat="1">
      <c r="B438" s="27"/>
      <c r="D438" s="29"/>
      <c r="E438" s="30"/>
      <c r="G438" s="31"/>
      <c r="H438" s="32"/>
      <c r="I438" s="32"/>
      <c r="J438" s="32"/>
      <c r="K438" s="32"/>
      <c r="L438" s="32"/>
      <c r="O438" s="70"/>
      <c r="V438" s="33"/>
      <c r="W438" s="33"/>
      <c r="X438" s="34"/>
      <c r="Y438" s="35"/>
      <c r="Z438" s="34"/>
      <c r="AA438" s="35"/>
      <c r="AB438" s="34"/>
      <c r="AC438" s="36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</row>
    <row r="439" spans="2:63" s="28" customFormat="1">
      <c r="B439" s="27"/>
      <c r="D439" s="29"/>
      <c r="E439" s="30"/>
      <c r="G439" s="31"/>
      <c r="H439" s="32"/>
      <c r="I439" s="32"/>
      <c r="J439" s="32"/>
      <c r="K439" s="32"/>
      <c r="L439" s="32"/>
      <c r="O439" s="64"/>
      <c r="V439" s="33"/>
      <c r="W439" s="33"/>
      <c r="X439" s="34"/>
      <c r="Y439" s="35"/>
      <c r="Z439" s="34"/>
      <c r="AA439" s="35"/>
      <c r="AB439" s="34"/>
      <c r="AC439" s="36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</row>
    <row r="440" spans="2:63" s="28" customFormat="1">
      <c r="B440" s="27"/>
      <c r="D440" s="29"/>
      <c r="E440" s="30"/>
      <c r="G440" s="31"/>
      <c r="H440" s="32"/>
      <c r="I440" s="32"/>
      <c r="J440" s="32"/>
      <c r="K440" s="32"/>
      <c r="L440" s="32"/>
      <c r="O440" s="65"/>
      <c r="V440" s="33"/>
      <c r="W440" s="33"/>
      <c r="X440" s="34"/>
      <c r="Y440" s="35"/>
      <c r="Z440" s="34"/>
      <c r="AA440" s="35"/>
      <c r="AB440" s="34"/>
      <c r="AC440" s="36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</row>
    <row r="441" spans="2:63" s="28" customFormat="1">
      <c r="B441" s="27"/>
      <c r="D441" s="29"/>
      <c r="E441" s="30"/>
      <c r="G441" s="31"/>
      <c r="H441" s="32"/>
      <c r="I441" s="32"/>
      <c r="J441" s="32"/>
      <c r="K441" s="32"/>
      <c r="L441" s="32"/>
      <c r="O441" s="65"/>
      <c r="V441" s="33"/>
      <c r="W441" s="33"/>
      <c r="X441" s="34"/>
      <c r="Y441" s="35"/>
      <c r="Z441" s="34"/>
      <c r="AA441" s="35"/>
      <c r="AB441" s="34"/>
      <c r="AC441" s="36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</row>
    <row r="442" spans="2:63" s="28" customFormat="1">
      <c r="B442" s="27"/>
      <c r="D442" s="29"/>
      <c r="E442" s="30"/>
      <c r="G442" s="31"/>
      <c r="H442" s="32"/>
      <c r="I442" s="32"/>
      <c r="J442" s="32"/>
      <c r="K442" s="32"/>
      <c r="L442" s="32"/>
      <c r="O442" s="68"/>
      <c r="V442" s="33"/>
      <c r="W442" s="33"/>
      <c r="X442" s="34"/>
      <c r="Y442" s="35"/>
      <c r="Z442" s="34"/>
      <c r="AA442" s="35"/>
      <c r="AB442" s="34"/>
      <c r="AC442" s="36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</row>
    <row r="443" spans="2:63" s="28" customFormat="1">
      <c r="B443" s="27"/>
      <c r="D443" s="29"/>
      <c r="E443" s="30"/>
      <c r="G443" s="31"/>
      <c r="H443" s="32"/>
      <c r="I443" s="32"/>
      <c r="J443" s="32"/>
      <c r="K443" s="32"/>
      <c r="L443" s="32"/>
      <c r="O443" s="68"/>
      <c r="V443" s="33"/>
      <c r="W443" s="33"/>
      <c r="X443" s="34"/>
      <c r="Y443" s="35"/>
      <c r="Z443" s="34"/>
      <c r="AA443" s="35"/>
      <c r="AB443" s="34"/>
      <c r="AC443" s="36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</row>
    <row r="444" spans="2:63" s="28" customFormat="1">
      <c r="B444" s="27"/>
      <c r="D444" s="29"/>
      <c r="E444" s="30"/>
      <c r="G444" s="31"/>
      <c r="H444" s="32"/>
      <c r="I444" s="32"/>
      <c r="J444" s="32"/>
      <c r="K444" s="32"/>
      <c r="L444" s="32"/>
      <c r="O444" s="71"/>
      <c r="V444" s="33"/>
      <c r="W444" s="33"/>
      <c r="X444" s="34"/>
      <c r="Y444" s="35"/>
      <c r="Z444" s="34"/>
      <c r="AA444" s="35"/>
      <c r="AB444" s="34"/>
      <c r="AC444" s="36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</row>
    <row r="445" spans="2:63" s="28" customFormat="1">
      <c r="B445" s="27"/>
      <c r="D445" s="29"/>
      <c r="E445" s="30"/>
      <c r="G445" s="31"/>
      <c r="H445" s="32"/>
      <c r="I445" s="32"/>
      <c r="J445" s="32"/>
      <c r="K445" s="32"/>
      <c r="L445" s="32"/>
      <c r="O445" s="66"/>
      <c r="V445" s="33"/>
      <c r="W445" s="33"/>
      <c r="X445" s="34"/>
      <c r="Y445" s="35"/>
      <c r="Z445" s="34"/>
      <c r="AA445" s="35"/>
      <c r="AB445" s="34"/>
      <c r="AC445" s="36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</row>
    <row r="446" spans="2:63" s="28" customFormat="1">
      <c r="B446" s="27"/>
      <c r="D446" s="29"/>
      <c r="E446" s="30"/>
      <c r="G446" s="31"/>
      <c r="H446" s="32"/>
      <c r="I446" s="32"/>
      <c r="J446" s="32"/>
      <c r="K446" s="32"/>
      <c r="L446" s="32"/>
      <c r="O446" s="65"/>
      <c r="V446" s="33"/>
      <c r="W446" s="33"/>
      <c r="X446" s="34"/>
      <c r="Y446" s="35"/>
      <c r="Z446" s="34"/>
      <c r="AA446" s="35"/>
      <c r="AB446" s="34"/>
      <c r="AC446" s="36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</row>
    <row r="447" spans="2:63" s="28" customFormat="1">
      <c r="B447" s="27"/>
      <c r="D447" s="29"/>
      <c r="E447" s="30"/>
      <c r="G447" s="31"/>
      <c r="H447" s="32"/>
      <c r="I447" s="32"/>
      <c r="J447" s="32"/>
      <c r="K447" s="32"/>
      <c r="L447" s="32"/>
      <c r="O447" s="67"/>
      <c r="V447" s="33"/>
      <c r="W447" s="33"/>
      <c r="X447" s="34"/>
      <c r="Y447" s="35"/>
      <c r="Z447" s="34"/>
      <c r="AA447" s="35"/>
      <c r="AB447" s="34"/>
      <c r="AC447" s="36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</row>
    <row r="448" spans="2:63" s="28" customFormat="1">
      <c r="B448" s="27"/>
      <c r="D448" s="29"/>
      <c r="E448" s="30"/>
      <c r="G448" s="31"/>
      <c r="H448" s="32"/>
      <c r="I448" s="32"/>
      <c r="J448" s="32"/>
      <c r="K448" s="32"/>
      <c r="L448" s="32"/>
      <c r="O448" s="69"/>
      <c r="V448" s="33"/>
      <c r="W448" s="33"/>
      <c r="X448" s="34"/>
      <c r="Y448" s="35"/>
      <c r="Z448" s="34"/>
      <c r="AA448" s="35"/>
      <c r="AB448" s="34"/>
      <c r="AC448" s="36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</row>
    <row r="449" spans="2:63" s="28" customFormat="1">
      <c r="B449" s="27"/>
      <c r="D449" s="29"/>
      <c r="E449" s="30"/>
      <c r="G449" s="31"/>
      <c r="H449" s="32"/>
      <c r="I449" s="32"/>
      <c r="J449" s="32"/>
      <c r="K449" s="32"/>
      <c r="L449" s="32"/>
      <c r="O449" s="68"/>
      <c r="V449" s="33"/>
      <c r="W449" s="33"/>
      <c r="X449" s="34"/>
      <c r="Y449" s="35"/>
      <c r="Z449" s="34"/>
      <c r="AA449" s="35"/>
      <c r="AB449" s="34"/>
      <c r="AC449" s="36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</row>
    <row r="450" spans="2:63" s="28" customFormat="1">
      <c r="B450" s="27"/>
      <c r="D450" s="29"/>
      <c r="E450" s="30"/>
      <c r="G450" s="31"/>
      <c r="H450" s="32"/>
      <c r="I450" s="32"/>
      <c r="J450" s="32"/>
      <c r="K450" s="32"/>
      <c r="L450" s="32"/>
      <c r="O450" s="69"/>
      <c r="V450" s="33"/>
      <c r="W450" s="33"/>
      <c r="X450" s="34"/>
      <c r="Y450" s="35"/>
      <c r="Z450" s="34"/>
      <c r="AA450" s="35"/>
      <c r="AB450" s="34"/>
      <c r="AC450" s="36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</row>
    <row r="451" spans="2:63" s="28" customFormat="1">
      <c r="B451" s="27"/>
      <c r="D451" s="29"/>
      <c r="E451" s="30"/>
      <c r="G451" s="31"/>
      <c r="H451" s="32"/>
      <c r="I451" s="32"/>
      <c r="J451" s="32"/>
      <c r="K451" s="32"/>
      <c r="L451" s="32"/>
      <c r="O451" s="65"/>
      <c r="V451" s="33"/>
      <c r="W451" s="33"/>
      <c r="X451" s="34"/>
      <c r="Y451" s="35"/>
      <c r="Z451" s="34"/>
      <c r="AA451" s="35"/>
      <c r="AB451" s="34"/>
      <c r="AC451" s="36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</row>
    <row r="452" spans="2:63" s="28" customFormat="1">
      <c r="B452" s="27"/>
      <c r="D452" s="29"/>
      <c r="E452" s="30"/>
      <c r="G452" s="31"/>
      <c r="H452" s="32"/>
      <c r="I452" s="32"/>
      <c r="J452" s="32"/>
      <c r="K452" s="32"/>
      <c r="L452" s="32"/>
      <c r="O452" s="75"/>
      <c r="V452" s="33"/>
      <c r="W452" s="33"/>
      <c r="X452" s="34"/>
      <c r="Y452" s="35"/>
      <c r="Z452" s="34"/>
      <c r="AA452" s="35"/>
      <c r="AB452" s="34"/>
      <c r="AC452" s="36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</row>
    <row r="453" spans="2:63" s="28" customFormat="1">
      <c r="B453" s="27"/>
      <c r="D453" s="29"/>
      <c r="E453" s="30"/>
      <c r="G453" s="31"/>
      <c r="H453" s="32"/>
      <c r="I453" s="32"/>
      <c r="J453" s="32"/>
      <c r="K453" s="32"/>
      <c r="L453" s="32"/>
      <c r="O453" s="85"/>
      <c r="V453" s="33"/>
      <c r="W453" s="33"/>
      <c r="X453" s="34"/>
      <c r="Y453" s="35"/>
      <c r="Z453" s="34"/>
      <c r="AA453" s="35"/>
      <c r="AB453" s="34"/>
      <c r="AC453" s="36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</row>
    <row r="454" spans="2:63" s="28" customFormat="1">
      <c r="B454" s="27"/>
      <c r="D454" s="29"/>
      <c r="E454" s="30"/>
      <c r="G454" s="31"/>
      <c r="H454" s="32"/>
      <c r="I454" s="32"/>
      <c r="J454" s="32"/>
      <c r="K454" s="32"/>
      <c r="L454" s="32"/>
      <c r="O454" s="75"/>
      <c r="V454" s="33"/>
      <c r="W454" s="33"/>
      <c r="X454" s="34"/>
      <c r="Y454" s="35"/>
      <c r="Z454" s="34"/>
      <c r="AA454" s="35"/>
      <c r="AB454" s="34"/>
      <c r="AC454" s="36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</row>
    <row r="455" spans="2:63" s="28" customFormat="1">
      <c r="B455" s="27"/>
      <c r="D455" s="29"/>
      <c r="E455" s="30"/>
      <c r="G455" s="31"/>
      <c r="H455" s="32"/>
      <c r="I455" s="32"/>
      <c r="J455" s="32"/>
      <c r="K455" s="32"/>
      <c r="L455" s="32"/>
      <c r="O455" s="65"/>
      <c r="V455" s="33"/>
      <c r="W455" s="33"/>
      <c r="X455" s="34"/>
      <c r="Y455" s="35"/>
      <c r="Z455" s="34"/>
      <c r="AA455" s="35"/>
      <c r="AB455" s="34"/>
      <c r="AC455" s="36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</row>
    <row r="456" spans="2:63" s="28" customFormat="1">
      <c r="B456" s="27"/>
      <c r="D456" s="29"/>
      <c r="E456" s="30"/>
      <c r="G456" s="31"/>
      <c r="H456" s="32"/>
      <c r="I456" s="32"/>
      <c r="J456" s="32"/>
      <c r="K456" s="32"/>
      <c r="L456" s="32"/>
      <c r="O456" s="65"/>
      <c r="V456" s="33"/>
      <c r="W456" s="33"/>
      <c r="X456" s="34"/>
      <c r="Y456" s="35"/>
      <c r="Z456" s="34"/>
      <c r="AA456" s="35"/>
      <c r="AB456" s="34"/>
      <c r="AC456" s="36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</row>
    <row r="457" spans="2:63" s="28" customFormat="1">
      <c r="B457" s="27"/>
      <c r="D457" s="29"/>
      <c r="E457" s="30"/>
      <c r="G457" s="31"/>
      <c r="H457" s="32"/>
      <c r="I457" s="32"/>
      <c r="J457" s="32"/>
      <c r="K457" s="32"/>
      <c r="L457" s="32"/>
      <c r="O457" s="70"/>
      <c r="V457" s="33"/>
      <c r="W457" s="33"/>
      <c r="X457" s="34"/>
      <c r="Y457" s="35"/>
      <c r="Z457" s="34"/>
      <c r="AA457" s="35"/>
      <c r="AB457" s="34"/>
      <c r="AC457" s="36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</row>
    <row r="458" spans="2:63" s="28" customFormat="1">
      <c r="B458" s="27"/>
      <c r="D458" s="29"/>
      <c r="E458" s="30"/>
      <c r="G458" s="31"/>
      <c r="H458" s="32"/>
      <c r="I458" s="32"/>
      <c r="J458" s="32"/>
      <c r="K458" s="32"/>
      <c r="L458" s="32"/>
      <c r="O458" s="80"/>
      <c r="V458" s="33"/>
      <c r="W458" s="33"/>
      <c r="X458" s="34"/>
      <c r="Y458" s="35"/>
      <c r="Z458" s="34"/>
      <c r="AA458" s="35"/>
      <c r="AB458" s="34"/>
      <c r="AC458" s="36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</row>
    <row r="459" spans="2:63" s="28" customFormat="1">
      <c r="B459" s="27"/>
      <c r="D459" s="29"/>
      <c r="E459" s="30"/>
      <c r="G459" s="31"/>
      <c r="H459" s="32"/>
      <c r="I459" s="32"/>
      <c r="J459" s="32"/>
      <c r="K459" s="32"/>
      <c r="L459" s="32"/>
      <c r="O459" s="65"/>
      <c r="V459" s="33"/>
      <c r="W459" s="33"/>
      <c r="X459" s="34"/>
      <c r="Y459" s="35"/>
      <c r="Z459" s="34"/>
      <c r="AA459" s="35"/>
      <c r="AB459" s="34"/>
      <c r="AC459" s="36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</row>
    <row r="460" spans="2:63" s="28" customFormat="1">
      <c r="B460" s="27"/>
      <c r="D460" s="29"/>
      <c r="E460" s="30"/>
      <c r="G460" s="31"/>
      <c r="H460" s="32"/>
      <c r="I460" s="32"/>
      <c r="J460" s="32"/>
      <c r="K460" s="32"/>
      <c r="L460" s="32"/>
      <c r="O460" s="64"/>
      <c r="V460" s="33"/>
      <c r="W460" s="33"/>
      <c r="X460" s="34"/>
      <c r="Y460" s="35"/>
      <c r="Z460" s="34"/>
      <c r="AA460" s="35"/>
      <c r="AB460" s="34"/>
      <c r="AC460" s="36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</row>
  </sheetData>
  <mergeCells count="19">
    <mergeCell ref="G2:G4"/>
    <mergeCell ref="B2:B4"/>
    <mergeCell ref="C2:C4"/>
    <mergeCell ref="D2:D4"/>
    <mergeCell ref="E2:E4"/>
    <mergeCell ref="F2:F4"/>
    <mergeCell ref="V2:V4"/>
    <mergeCell ref="W2:W4"/>
    <mergeCell ref="R2:R4"/>
    <mergeCell ref="S2:S4"/>
    <mergeCell ref="T2:U3"/>
    <mergeCell ref="H2:L3"/>
    <mergeCell ref="M2:Q2"/>
    <mergeCell ref="M3:M4"/>
    <mergeCell ref="N3:N4"/>
    <mergeCell ref="O3:O4"/>
    <mergeCell ref="P3:P4"/>
    <mergeCell ref="Q3:Q4"/>
    <mergeCell ref="K4:L4"/>
  </mergeCells>
  <dataValidations count="2">
    <dataValidation type="list" allowBlank="1" showInputMessage="1" showErrorMessage="1" sqref="I6:I16">
      <formula1>"TK/0,TK/1,TK/2,TK/3,K/0,K/1,K/2,K/3"</formula1>
    </dataValidation>
    <dataValidation type="list" allowBlank="1" showInputMessage="1" showErrorMessage="1" sqref="H6:H16">
      <formula1>"L,P"</formula1>
    </dataValidation>
  </dataValidations>
  <pageMargins left="1.3385826771653544" right="0.74803149606299213" top="0.39370078740157483" bottom="0.39370078740157483" header="0.51181102362204722" footer="0.51181102362204722"/>
  <pageSetup paperSize="5" scale="45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110"/>
  <sheetViews>
    <sheetView zoomScaleNormal="100" zoomScaleSheetLayoutView="100" workbookViewId="0">
      <pane xSplit="3" topLeftCell="S1" activePane="topRight" state="frozen"/>
      <selection pane="topRight" activeCell="AG6" sqref="AG6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5.28515625" style="28" customWidth="1"/>
    <col min="4" max="4" width="16.85546875" style="208" customWidth="1" outlineLevel="1"/>
    <col min="5" max="5" width="18.5703125" style="30" customWidth="1" outlineLevel="1"/>
    <col min="6" max="6" width="22.140625" style="28" customWidth="1" outlineLevel="1"/>
    <col min="7" max="7" width="15.7109375" style="31" customWidth="1" outlineLevel="1"/>
    <col min="8" max="8" width="4.140625" style="32" customWidth="1" outlineLevel="1"/>
    <col min="9" max="9" width="4.42578125" style="32" customWidth="1" outlineLevel="1"/>
    <col min="10" max="10" width="6.42578125" style="32" customWidth="1" outlineLevel="1"/>
    <col min="11" max="11" width="11.7109375" style="28" customWidth="1"/>
    <col min="12" max="14" width="9.85546875" style="28" customWidth="1"/>
    <col min="15" max="15" width="8.5703125" style="28" customWidth="1"/>
    <col min="16" max="16" width="10.140625" style="28" customWidth="1"/>
    <col min="17" max="17" width="9.85546875" style="28" customWidth="1"/>
    <col min="18" max="19" width="9.7109375" style="28" customWidth="1"/>
    <col min="20" max="20" width="10.7109375" style="28" customWidth="1"/>
    <col min="21" max="21" width="9.85546875" style="28" customWidth="1"/>
    <col min="22" max="22" width="8.28515625" style="28" customWidth="1"/>
    <col min="23" max="23" width="9.7109375" style="28" customWidth="1"/>
    <col min="24" max="24" width="9.85546875" style="28" customWidth="1"/>
    <col min="25" max="25" width="10.5703125" style="28" customWidth="1"/>
    <col min="26" max="27" width="12.7109375" style="28" hidden="1" customWidth="1"/>
    <col min="28" max="28" width="10.42578125" style="28" customWidth="1"/>
    <col min="29" max="29" width="11.7109375" style="28" customWidth="1"/>
    <col min="30" max="30" width="6.85546875" style="28" hidden="1" customWidth="1"/>
    <col min="31" max="31" width="11.7109375" style="28" customWidth="1" collapsed="1"/>
    <col min="32" max="32" width="7" style="90" customWidth="1"/>
    <col min="33" max="33" width="9.85546875" style="90" customWidth="1"/>
    <col min="34" max="34" width="7.7109375" style="90" customWidth="1"/>
    <col min="35" max="35" width="10" style="28" customWidth="1"/>
    <col min="36" max="36" width="11.5703125" style="143" hidden="1" customWidth="1"/>
    <col min="37" max="37" width="10.140625" style="27" hidden="1" customWidth="1"/>
    <col min="38" max="38" width="10.28515625" style="27" hidden="1" customWidth="1"/>
    <col min="39" max="39" width="9.28515625" style="60"/>
    <col min="40" max="40" width="11.140625" style="60" bestFit="1" customWidth="1"/>
    <col min="41" max="41" width="10" style="60" customWidth="1"/>
    <col min="42" max="42" width="11.140625" style="60" customWidth="1"/>
    <col min="43" max="43" width="10.140625" style="60" customWidth="1"/>
    <col min="44" max="16384" width="9.28515625" style="60"/>
  </cols>
  <sheetData>
    <row r="1" spans="2:45">
      <c r="B1" s="27" t="s">
        <v>72</v>
      </c>
    </row>
    <row r="2" spans="2:45">
      <c r="B2" s="27" t="s">
        <v>79</v>
      </c>
    </row>
    <row r="3" spans="2:45">
      <c r="B3" s="27" t="s">
        <v>99</v>
      </c>
    </row>
    <row r="4" spans="2:45" s="27" customFormat="1" ht="13.5" thickBot="1">
      <c r="C4" s="87" t="s">
        <v>40</v>
      </c>
      <c r="D4" s="208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  <c r="AH4" s="90"/>
      <c r="AI4" s="28"/>
      <c r="AJ4" s="143"/>
    </row>
    <row r="5" spans="2:45" s="27" customFormat="1" ht="47.25" customHeight="1" thickBot="1">
      <c r="B5" s="205" t="s">
        <v>64</v>
      </c>
      <c r="C5" s="205" t="s">
        <v>25</v>
      </c>
      <c r="D5" s="206" t="s">
        <v>26</v>
      </c>
      <c r="E5" s="207" t="s">
        <v>27</v>
      </c>
      <c r="F5" s="205" t="s">
        <v>28</v>
      </c>
      <c r="G5" s="204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03" t="s">
        <v>68</v>
      </c>
      <c r="M5" s="203" t="s">
        <v>69</v>
      </c>
      <c r="N5" s="203" t="s">
        <v>80</v>
      </c>
      <c r="O5" s="203" t="s">
        <v>81</v>
      </c>
      <c r="P5" s="203" t="s">
        <v>84</v>
      </c>
      <c r="Q5" s="145" t="s">
        <v>319</v>
      </c>
      <c r="R5" s="203" t="s">
        <v>309</v>
      </c>
      <c r="S5" s="203" t="s">
        <v>310</v>
      </c>
      <c r="T5" s="203" t="s">
        <v>320</v>
      </c>
      <c r="U5" s="203" t="s">
        <v>315</v>
      </c>
      <c r="V5" s="203" t="s">
        <v>311</v>
      </c>
      <c r="W5" s="203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45" t="s">
        <v>327</v>
      </c>
      <c r="AH5" s="145" t="s">
        <v>328</v>
      </c>
      <c r="AI5" s="145" t="s">
        <v>329</v>
      </c>
      <c r="AJ5" s="145" t="s">
        <v>70</v>
      </c>
      <c r="AK5" s="145" t="s">
        <v>71</v>
      </c>
      <c r="AL5" s="145" t="s">
        <v>73</v>
      </c>
      <c r="AN5" s="27" t="s">
        <v>316</v>
      </c>
      <c r="AO5" s="27" t="s">
        <v>317</v>
      </c>
      <c r="AP5" s="27" t="s">
        <v>318</v>
      </c>
    </row>
    <row r="6" spans="2:45" s="173" customFormat="1" ht="18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29*122333.33</f>
        <v>3547666.57</v>
      </c>
      <c r="L6" s="168">
        <f>3670000*0.84%</f>
        <v>30827.999999999996</v>
      </c>
      <c r="M6" s="168">
        <f>[3]MAINTENANCE!AK10</f>
        <v>148680</v>
      </c>
      <c r="N6" s="168">
        <f>[3]MAINTENANCE!$W10</f>
        <v>156600</v>
      </c>
      <c r="O6" s="168">
        <f>[3]MAINTENANCE!Z10</f>
        <v>66000</v>
      </c>
      <c r="P6" s="168">
        <f>[3]MAINTENANCE!AE10</f>
        <v>137890.18</v>
      </c>
      <c r="Q6" s="169">
        <f>[3]MAINTENANCE!AC10</f>
        <v>0</v>
      </c>
      <c r="R6" s="168"/>
      <c r="S6" s="168"/>
      <c r="T6" s="168"/>
      <c r="U6" s="168"/>
      <c r="V6" s="168"/>
      <c r="W6" s="168"/>
      <c r="X6" s="168">
        <f>[3]MAINTENANCE!AB10</f>
        <v>47000</v>
      </c>
      <c r="Y6" s="169"/>
      <c r="Z6" s="169"/>
      <c r="AA6" s="169"/>
      <c r="AB6" s="168">
        <f>-[3]MAINTENANCE!BA10</f>
        <v>0</v>
      </c>
      <c r="AC6" s="168">
        <f>[4]MAINTENANCE!$M11</f>
        <v>3878999.9</v>
      </c>
      <c r="AD6" s="168"/>
      <c r="AE6" s="170">
        <f t="shared" ref="AE6:AE69" si="0">ROUNDDOWN(SUM(K6:AD6),0)</f>
        <v>8013664</v>
      </c>
      <c r="AF6" s="171">
        <f t="shared" ref="AF6:AF37" si="1">IF(J6="TER A",VLOOKUP(AE6,Ter_A,4,TRUE),IF(J6="TER B",VLOOKUP(AE6,Ter_B,4,TRUE),VLOOKUP(AE6,Ter_C,4,TRUE)))</f>
        <v>0.01</v>
      </c>
      <c r="AG6" s="152">
        <f>ROUNDDOWN(IF(H6=0,AE6*AF6*120%,AE6*AF6),0)</f>
        <v>80136</v>
      </c>
      <c r="AH6" s="211" t="e">
        <f>#REF!</f>
        <v>#REF!</v>
      </c>
      <c r="AI6" s="172" t="e">
        <f>AG6-AH6</f>
        <v>#REF!</v>
      </c>
      <c r="AJ6" s="93"/>
      <c r="AK6" s="146" t="e">
        <f>AJ6-AI6</f>
        <v>#REF!</v>
      </c>
      <c r="AL6" s="147"/>
      <c r="AN6" s="199">
        <f>[3]MAINTENANCE!$AF10</f>
        <v>3955156.7500000005</v>
      </c>
      <c r="AO6" s="200">
        <f t="shared" ref="AO6:AO66" si="2">L6+M6</f>
        <v>179508</v>
      </c>
      <c r="AP6" s="199">
        <f>AN6+AO6</f>
        <v>4134664.7500000005</v>
      </c>
      <c r="AQ6" s="201">
        <f>AP6-AE6</f>
        <v>-3878999.2499999995</v>
      </c>
    </row>
    <row r="7" spans="2:45" s="173" customFormat="1" ht="18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70" si="3">IF(ISBLANK(I7),"",IF(OR(I7="TK/0",I7="TK/1",I7="K/0"),"TER A",IF(I7="K/3","TER C","TER B")))</f>
        <v>TER A</v>
      </c>
      <c r="K7" s="182">
        <f>29*121333.33</f>
        <v>3518666.57</v>
      </c>
      <c r="L7" s="169">
        <f>3640000*0.84%</f>
        <v>30575.999999999996</v>
      </c>
      <c r="M7" s="169">
        <f>[3]MAINTENANCE!AK11</f>
        <v>146680</v>
      </c>
      <c r="N7" s="189">
        <f>[3]MAINTENANCE!$W11</f>
        <v>65250</v>
      </c>
      <c r="O7" s="189">
        <f>[3]MAINTENANCE!Z11</f>
        <v>0</v>
      </c>
      <c r="P7" s="189">
        <f>[3]MAINTENANCE!AE11</f>
        <v>0</v>
      </c>
      <c r="Q7" s="169">
        <f>[3]MAINTENANCE!AC11</f>
        <v>0</v>
      </c>
      <c r="R7" s="169"/>
      <c r="S7" s="169"/>
      <c r="T7" s="169"/>
      <c r="U7" s="169"/>
      <c r="V7" s="169"/>
      <c r="W7" s="169"/>
      <c r="X7" s="189">
        <f>[3]MAINTENANCE!AB11</f>
        <v>27000</v>
      </c>
      <c r="Y7" s="169"/>
      <c r="Z7" s="169"/>
      <c r="AA7" s="169"/>
      <c r="AB7" s="189">
        <f>-[3]MAINTENANCE!BA11</f>
        <v>0</v>
      </c>
      <c r="AC7" s="189">
        <f>[4]MAINTENANCE!$M12</f>
        <v>3734499.9</v>
      </c>
      <c r="AD7" s="169"/>
      <c r="AE7" s="183">
        <f>ROUNDDOWN(SUM(K7:AD7),0)</f>
        <v>7522672</v>
      </c>
      <c r="AF7" s="184">
        <f t="shared" si="1"/>
        <v>1.5000000000000001E-2</v>
      </c>
      <c r="AG7" s="152">
        <f>ROUNDDOWN(IF(H7=0,AE7*AF7*120%,AE7*AF7),0)</f>
        <v>112840</v>
      </c>
      <c r="AH7" s="211" t="e">
        <f>#REF!</f>
        <v>#REF!</v>
      </c>
      <c r="AI7" s="172" t="e">
        <f t="shared" ref="AI7:AI66" si="4">AG7-AH7</f>
        <v>#REF!</v>
      </c>
      <c r="AJ7" s="93"/>
      <c r="AK7" s="146" t="e">
        <f>AJ7-AI7</f>
        <v>#REF!</v>
      </c>
      <c r="AL7" s="147"/>
      <c r="AN7" s="199">
        <f>[3]MAINTENANCE!$AF11</f>
        <v>3610916.5700000003</v>
      </c>
      <c r="AO7" s="200">
        <f t="shared" si="2"/>
        <v>177256</v>
      </c>
      <c r="AP7" s="199">
        <f t="shared" ref="AP7:AP70" si="5">AN7+AO7</f>
        <v>3788172.5700000003</v>
      </c>
      <c r="AQ7" s="201">
        <f t="shared" ref="AQ7:AQ70" si="6">AP7-AE7</f>
        <v>-3734499.4299999997</v>
      </c>
    </row>
    <row r="8" spans="2:45" s="173" customFormat="1" ht="18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3"/>
        <v>TER A</v>
      </c>
      <c r="K8" s="182">
        <f t="shared" ref="K8:K66" si="7">29*121333.33</f>
        <v>3518666.57</v>
      </c>
      <c r="L8" s="169">
        <f t="shared" ref="L8:L66" si="8">3640000*0.84%</f>
        <v>30575.999999999996</v>
      </c>
      <c r="M8" s="189">
        <f>[3]MAINTENANCE!AK12</f>
        <v>146800</v>
      </c>
      <c r="N8" s="189">
        <f>[3]MAINTENANCE!$W12</f>
        <v>63000</v>
      </c>
      <c r="O8" s="189">
        <f>[3]MAINTENANCE!Z12</f>
        <v>0</v>
      </c>
      <c r="P8" s="189">
        <f>[3]MAINTENANCE!AE12</f>
        <v>0</v>
      </c>
      <c r="Q8" s="169">
        <f>[3]MAINTENANCE!AC12</f>
        <v>0</v>
      </c>
      <c r="R8" s="169"/>
      <c r="S8" s="169"/>
      <c r="T8" s="169"/>
      <c r="U8" s="169"/>
      <c r="V8" s="169"/>
      <c r="W8" s="169"/>
      <c r="X8" s="189">
        <f>[3]MAINTENANCE!AB12</f>
        <v>30000</v>
      </c>
      <c r="Y8" s="169"/>
      <c r="Z8" s="169"/>
      <c r="AA8" s="169"/>
      <c r="AB8" s="189">
        <f>-[3]MAINTENANCE!BA12</f>
        <v>-121333.33</v>
      </c>
      <c r="AC8" s="189">
        <f>[4]MAINTENANCE!$M13</f>
        <v>3737499.9</v>
      </c>
      <c r="AD8" s="169"/>
      <c r="AE8" s="183">
        <f>ROUNDDOWN(SUM(K8:AD8),0)</f>
        <v>7405209</v>
      </c>
      <c r="AF8" s="184">
        <f t="shared" si="1"/>
        <v>1.2500000000000001E-2</v>
      </c>
      <c r="AG8" s="152">
        <f t="shared" ref="AG8:AG70" si="9">ROUNDDOWN(IF(H8=0,AE8*AF8*120%,AE8*AF8),0)</f>
        <v>92565</v>
      </c>
      <c r="AH8" s="211" t="e">
        <f>#REF!</f>
        <v>#REF!</v>
      </c>
      <c r="AI8" s="172" t="e">
        <f t="shared" si="4"/>
        <v>#REF!</v>
      </c>
      <c r="AJ8" s="93"/>
      <c r="AK8" s="146" t="e">
        <f t="shared" ref="AK8:AK89" si="10">AJ8-AI8</f>
        <v>#REF!</v>
      </c>
      <c r="AL8" s="147"/>
      <c r="AN8" s="199">
        <f>[3]MAINTENANCE!$AF12</f>
        <v>3490333.24</v>
      </c>
      <c r="AO8" s="200">
        <f t="shared" si="2"/>
        <v>177376</v>
      </c>
      <c r="AP8" s="199">
        <f>AN8+AO8</f>
        <v>3667709.24</v>
      </c>
      <c r="AQ8" s="201">
        <f t="shared" si="6"/>
        <v>-3737499.76</v>
      </c>
      <c r="AS8" s="200">
        <f>AB8+AQ8</f>
        <v>-3858833.09</v>
      </c>
    </row>
    <row r="9" spans="2:45" s="173" customFormat="1" ht="18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3"/>
        <v>TER A</v>
      </c>
      <c r="K9" s="182">
        <f t="shared" si="7"/>
        <v>3518666.57</v>
      </c>
      <c r="L9" s="169">
        <f t="shared" si="8"/>
        <v>30575.999999999996</v>
      </c>
      <c r="M9" s="189">
        <f>[3]MAINTENANCE!AK13</f>
        <v>147480</v>
      </c>
      <c r="N9" s="189">
        <f>[3]MAINTENANCE!$W13</f>
        <v>60750</v>
      </c>
      <c r="O9" s="189">
        <f>[3]MAINTENANCE!Z13</f>
        <v>0</v>
      </c>
      <c r="P9" s="189">
        <f>[3]MAINTENANCE!AE13</f>
        <v>0</v>
      </c>
      <c r="Q9" s="169">
        <f>[3]MAINTENANCE!AC13</f>
        <v>0</v>
      </c>
      <c r="R9" s="169"/>
      <c r="S9" s="169"/>
      <c r="T9" s="169"/>
      <c r="U9" s="169"/>
      <c r="V9" s="169"/>
      <c r="W9" s="169"/>
      <c r="X9" s="189">
        <f>[3]MAINTENANCE!AB13</f>
        <v>47000</v>
      </c>
      <c r="Y9" s="169"/>
      <c r="Z9" s="169"/>
      <c r="AA9" s="169"/>
      <c r="AB9" s="189">
        <f>-[3]MAINTENANCE!BA13</f>
        <v>-242666.66</v>
      </c>
      <c r="AC9" s="189">
        <f>[4]MAINTENANCE!$M14</f>
        <v>3754499.9</v>
      </c>
      <c r="AD9" s="169"/>
      <c r="AE9" s="183">
        <f t="shared" si="0"/>
        <v>7316305</v>
      </c>
      <c r="AF9" s="184">
        <f t="shared" si="1"/>
        <v>1.2500000000000001E-2</v>
      </c>
      <c r="AG9" s="152">
        <f t="shared" si="9"/>
        <v>91453</v>
      </c>
      <c r="AH9" s="211" t="e">
        <f>#REF!</f>
        <v>#REF!</v>
      </c>
      <c r="AI9" s="172" t="e">
        <f t="shared" si="4"/>
        <v>#REF!</v>
      </c>
      <c r="AJ9" s="93"/>
      <c r="AK9" s="146" t="e">
        <f t="shared" si="10"/>
        <v>#REF!</v>
      </c>
      <c r="AL9" s="147"/>
      <c r="AN9" s="199">
        <f>[3]MAINTENANCE!$AF13</f>
        <v>3383749.91</v>
      </c>
      <c r="AO9" s="200">
        <f t="shared" si="2"/>
        <v>178056</v>
      </c>
      <c r="AP9" s="199">
        <f t="shared" si="5"/>
        <v>3561805.91</v>
      </c>
      <c r="AQ9" s="201">
        <f t="shared" si="6"/>
        <v>-3754499.09</v>
      </c>
      <c r="AS9" s="200">
        <f>AB9+AQ9</f>
        <v>-3997165.75</v>
      </c>
    </row>
    <row r="10" spans="2:45" s="173" customFormat="1" ht="18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3"/>
        <v>TER A</v>
      </c>
      <c r="K10" s="182">
        <f t="shared" si="7"/>
        <v>3518666.57</v>
      </c>
      <c r="L10" s="169">
        <f t="shared" si="8"/>
        <v>30575.999999999996</v>
      </c>
      <c r="M10" s="189">
        <f>[3]MAINTENANCE!AK14</f>
        <v>146800</v>
      </c>
      <c r="N10" s="189">
        <f>[3]MAINTENANCE!$W14</f>
        <v>65250</v>
      </c>
      <c r="O10" s="189">
        <f>[3]MAINTENANCE!Z14</f>
        <v>0</v>
      </c>
      <c r="P10" s="189">
        <f>[3]MAINTENANCE!AE14</f>
        <v>0</v>
      </c>
      <c r="Q10" s="169">
        <f>[3]MAINTENANCE!AC14</f>
        <v>0</v>
      </c>
      <c r="R10" s="169"/>
      <c r="S10" s="169"/>
      <c r="T10" s="169"/>
      <c r="U10" s="169"/>
      <c r="V10" s="169"/>
      <c r="W10" s="169"/>
      <c r="X10" s="189">
        <f>[3]MAINTENANCE!AB14</f>
        <v>30000</v>
      </c>
      <c r="Y10" s="169"/>
      <c r="Z10" s="169"/>
      <c r="AA10" s="169"/>
      <c r="AB10" s="189">
        <f>-[3]MAINTENANCE!BA14</f>
        <v>0</v>
      </c>
      <c r="AC10" s="189">
        <f>[4]MAINTENANCE!$M15</f>
        <v>3737499.9</v>
      </c>
      <c r="AD10" s="169"/>
      <c r="AE10" s="183">
        <f t="shared" si="0"/>
        <v>7528792</v>
      </c>
      <c r="AF10" s="184">
        <f t="shared" si="1"/>
        <v>1.5000000000000001E-2</v>
      </c>
      <c r="AG10" s="152">
        <f t="shared" si="9"/>
        <v>112931</v>
      </c>
      <c r="AH10" s="211" t="e">
        <f>#REF!</f>
        <v>#REF!</v>
      </c>
      <c r="AI10" s="172" t="e">
        <f t="shared" si="4"/>
        <v>#REF!</v>
      </c>
      <c r="AJ10" s="93"/>
      <c r="AK10" s="146" t="e">
        <f t="shared" si="10"/>
        <v>#REF!</v>
      </c>
      <c r="AL10" s="147"/>
      <c r="AN10" s="199">
        <f>[3]MAINTENANCE!$AF14</f>
        <v>3613916.5700000003</v>
      </c>
      <c r="AO10" s="200">
        <f t="shared" si="2"/>
        <v>177376</v>
      </c>
      <c r="AP10" s="199">
        <f t="shared" si="5"/>
        <v>3791292.5700000003</v>
      </c>
      <c r="AQ10" s="201">
        <f t="shared" si="6"/>
        <v>-3737499.4299999997</v>
      </c>
    </row>
    <row r="11" spans="2:45" s="173" customFormat="1" ht="18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3"/>
        <v>TER A</v>
      </c>
      <c r="K11" s="182">
        <f t="shared" si="7"/>
        <v>3518666.57</v>
      </c>
      <c r="L11" s="169">
        <f t="shared" si="8"/>
        <v>30575.999999999996</v>
      </c>
      <c r="M11" s="189">
        <f>[3]MAINTENANCE!AK15</f>
        <v>147340</v>
      </c>
      <c r="N11" s="189">
        <f>[3]MAINTENANCE!$W15</f>
        <v>63000</v>
      </c>
      <c r="O11" s="189">
        <f>[3]MAINTENANCE!Z15</f>
        <v>0</v>
      </c>
      <c r="P11" s="189">
        <f>[3]MAINTENANCE!AE15</f>
        <v>0</v>
      </c>
      <c r="Q11" s="169">
        <f>[3]MAINTENANCE!AC15</f>
        <v>0</v>
      </c>
      <c r="R11" s="169"/>
      <c r="S11" s="169"/>
      <c r="T11" s="169"/>
      <c r="U11" s="169"/>
      <c r="V11" s="169"/>
      <c r="W11" s="169"/>
      <c r="X11" s="189">
        <f>[3]MAINTENANCE!AB15</f>
        <v>43500</v>
      </c>
      <c r="Y11" s="169"/>
      <c r="Z11" s="169"/>
      <c r="AA11" s="169"/>
      <c r="AB11" s="189">
        <f>-[3]MAINTENANCE!BA15</f>
        <v>-121333.33</v>
      </c>
      <c r="AC11" s="189">
        <f>[4]MAINTENANCE!$M16</f>
        <v>3750999.9</v>
      </c>
      <c r="AD11" s="169"/>
      <c r="AE11" s="183">
        <f t="shared" si="0"/>
        <v>7432749</v>
      </c>
      <c r="AF11" s="184">
        <f t="shared" si="1"/>
        <v>1.2500000000000001E-2</v>
      </c>
      <c r="AG11" s="152">
        <f t="shared" si="9"/>
        <v>92909</v>
      </c>
      <c r="AH11" s="211" t="e">
        <f>#REF!</f>
        <v>#REF!</v>
      </c>
      <c r="AI11" s="172" t="e">
        <f t="shared" si="4"/>
        <v>#REF!</v>
      </c>
      <c r="AJ11" s="93"/>
      <c r="AK11" s="146" t="e">
        <f t="shared" si="10"/>
        <v>#REF!</v>
      </c>
      <c r="AL11" s="147"/>
      <c r="AN11" s="199">
        <f>[3]MAINTENANCE!$AF15</f>
        <v>3503833.24</v>
      </c>
      <c r="AO11" s="200">
        <f t="shared" si="2"/>
        <v>177916</v>
      </c>
      <c r="AP11" s="199">
        <f t="shared" si="5"/>
        <v>3681749.24</v>
      </c>
      <c r="AQ11" s="201">
        <f t="shared" si="6"/>
        <v>-3750999.76</v>
      </c>
    </row>
    <row r="12" spans="2:45" s="173" customFormat="1" ht="18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3"/>
        <v>TER A</v>
      </c>
      <c r="K12" s="182">
        <f t="shared" si="7"/>
        <v>3518666.57</v>
      </c>
      <c r="L12" s="169">
        <f t="shared" si="8"/>
        <v>30575.999999999996</v>
      </c>
      <c r="M12" s="189">
        <f>[3]MAINTENANCE!AK16</f>
        <v>147480</v>
      </c>
      <c r="N12" s="189">
        <f>[3]MAINTENANCE!$W16</f>
        <v>65250</v>
      </c>
      <c r="O12" s="189">
        <f>[3]MAINTENANCE!Z16</f>
        <v>0</v>
      </c>
      <c r="P12" s="189">
        <f>[3]MAINTENANCE!AE16</f>
        <v>0</v>
      </c>
      <c r="Q12" s="169">
        <f>[3]MAINTENANCE!AC16</f>
        <v>0</v>
      </c>
      <c r="R12" s="169"/>
      <c r="S12" s="169"/>
      <c r="T12" s="169"/>
      <c r="U12" s="169"/>
      <c r="V12" s="169"/>
      <c r="W12" s="169"/>
      <c r="X12" s="189">
        <f>[3]MAINTENANCE!AB16</f>
        <v>47000</v>
      </c>
      <c r="Y12" s="169"/>
      <c r="Z12" s="169"/>
      <c r="AA12" s="169"/>
      <c r="AB12" s="189">
        <f>-[3]MAINTENANCE!BA16</f>
        <v>0</v>
      </c>
      <c r="AC12" s="189">
        <f>[4]MAINTENANCE!$M17</f>
        <v>3754499.9</v>
      </c>
      <c r="AD12" s="169"/>
      <c r="AE12" s="183">
        <f t="shared" si="0"/>
        <v>7563472</v>
      </c>
      <c r="AF12" s="184">
        <f t="shared" si="1"/>
        <v>1.5000000000000001E-2</v>
      </c>
      <c r="AG12" s="152">
        <f t="shared" si="9"/>
        <v>113452</v>
      </c>
      <c r="AH12" s="211" t="e">
        <f>#REF!</f>
        <v>#REF!</v>
      </c>
      <c r="AI12" s="172" t="e">
        <f t="shared" si="4"/>
        <v>#REF!</v>
      </c>
      <c r="AJ12" s="93"/>
      <c r="AK12" s="146" t="e">
        <f t="shared" si="10"/>
        <v>#REF!</v>
      </c>
      <c r="AL12" s="147"/>
      <c r="AN12" s="199">
        <f>[3]MAINTENANCE!$AF16</f>
        <v>3630916.5700000003</v>
      </c>
      <c r="AO12" s="200">
        <f t="shared" si="2"/>
        <v>178056</v>
      </c>
      <c r="AP12" s="199">
        <f t="shared" si="5"/>
        <v>3808972.5700000003</v>
      </c>
      <c r="AQ12" s="201">
        <f t="shared" si="6"/>
        <v>-3754499.4299999997</v>
      </c>
    </row>
    <row r="13" spans="2:45" s="173" customFormat="1" ht="18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3"/>
        <v>TER A</v>
      </c>
      <c r="K13" s="182">
        <f t="shared" si="7"/>
        <v>3518666.57</v>
      </c>
      <c r="L13" s="169">
        <f t="shared" si="8"/>
        <v>30575.999999999996</v>
      </c>
      <c r="M13" s="189">
        <f>[3]MAINTENANCE!AK17</f>
        <v>147340</v>
      </c>
      <c r="N13" s="189">
        <f>[3]MAINTENANCE!$W17</f>
        <v>65250</v>
      </c>
      <c r="O13" s="189">
        <f>[3]MAINTENANCE!Z17</f>
        <v>0</v>
      </c>
      <c r="P13" s="189">
        <f>[3]MAINTENANCE!AE17</f>
        <v>0</v>
      </c>
      <c r="Q13" s="169">
        <f>[3]MAINTENANCE!AC17</f>
        <v>0</v>
      </c>
      <c r="R13" s="169"/>
      <c r="S13" s="169"/>
      <c r="T13" s="169"/>
      <c r="U13" s="169"/>
      <c r="V13" s="169"/>
      <c r="W13" s="169"/>
      <c r="X13" s="189">
        <f>[3]MAINTENANCE!AB17</f>
        <v>43500</v>
      </c>
      <c r="Y13" s="169"/>
      <c r="Z13" s="169"/>
      <c r="AA13" s="169"/>
      <c r="AB13" s="189">
        <f>-[3]MAINTENANCE!BA17</f>
        <v>0</v>
      </c>
      <c r="AC13" s="189">
        <f>[4]MAINTENANCE!$M18</f>
        <v>3754499.9</v>
      </c>
      <c r="AD13" s="169"/>
      <c r="AE13" s="183">
        <f t="shared" si="0"/>
        <v>7559832</v>
      </c>
      <c r="AF13" s="184">
        <f t="shared" si="1"/>
        <v>1.5000000000000001E-2</v>
      </c>
      <c r="AG13" s="152">
        <f t="shared" si="9"/>
        <v>113397</v>
      </c>
      <c r="AH13" s="211" t="e">
        <f>#REF!</f>
        <v>#REF!</v>
      </c>
      <c r="AI13" s="172" t="e">
        <f t="shared" si="4"/>
        <v>#REF!</v>
      </c>
      <c r="AJ13" s="93"/>
      <c r="AK13" s="146" t="e">
        <f t="shared" si="10"/>
        <v>#REF!</v>
      </c>
      <c r="AL13" s="147"/>
      <c r="AN13" s="199">
        <f>[3]MAINTENANCE!$AF17</f>
        <v>3627416.5700000003</v>
      </c>
      <c r="AO13" s="200">
        <f t="shared" si="2"/>
        <v>177916</v>
      </c>
      <c r="AP13" s="199">
        <f t="shared" si="5"/>
        <v>3805332.5700000003</v>
      </c>
      <c r="AQ13" s="201">
        <f t="shared" si="6"/>
        <v>-3754499.4299999997</v>
      </c>
    </row>
    <row r="14" spans="2:45" s="173" customFormat="1" ht="18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3"/>
        <v>TER A</v>
      </c>
      <c r="K14" s="182">
        <f t="shared" si="7"/>
        <v>3518666.57</v>
      </c>
      <c r="L14" s="169">
        <f t="shared" si="8"/>
        <v>30575.999999999996</v>
      </c>
      <c r="M14" s="189">
        <f>[3]MAINTENANCE!AK18</f>
        <v>147480</v>
      </c>
      <c r="N14" s="189">
        <f>[3]MAINTENANCE!$W18</f>
        <v>65250</v>
      </c>
      <c r="O14" s="189">
        <f>[3]MAINTENANCE!Z18</f>
        <v>0</v>
      </c>
      <c r="P14" s="189">
        <f>[3]MAINTENANCE!AE18</f>
        <v>0</v>
      </c>
      <c r="Q14" s="169">
        <f>[3]MAINTENANCE!AC18</f>
        <v>0</v>
      </c>
      <c r="R14" s="169"/>
      <c r="S14" s="169"/>
      <c r="T14" s="169"/>
      <c r="U14" s="169"/>
      <c r="V14" s="169"/>
      <c r="W14" s="169"/>
      <c r="X14" s="189">
        <f>[3]MAINTENANCE!AB18</f>
        <v>47000</v>
      </c>
      <c r="Y14" s="169"/>
      <c r="Z14" s="169"/>
      <c r="AA14" s="169"/>
      <c r="AB14" s="189">
        <f>-[3]MAINTENANCE!BA18</f>
        <v>0</v>
      </c>
      <c r="AC14" s="189">
        <f>[4]MAINTENANCE!$M19</f>
        <v>3754499.9</v>
      </c>
      <c r="AD14" s="169"/>
      <c r="AE14" s="183">
        <f t="shared" si="0"/>
        <v>7563472</v>
      </c>
      <c r="AF14" s="184">
        <f t="shared" si="1"/>
        <v>1.5000000000000001E-2</v>
      </c>
      <c r="AG14" s="152">
        <f t="shared" si="9"/>
        <v>113452</v>
      </c>
      <c r="AH14" s="211" t="e">
        <f>#REF!</f>
        <v>#REF!</v>
      </c>
      <c r="AI14" s="172" t="e">
        <f t="shared" si="4"/>
        <v>#REF!</v>
      </c>
      <c r="AJ14" s="93"/>
      <c r="AK14" s="146" t="e">
        <f t="shared" si="10"/>
        <v>#REF!</v>
      </c>
      <c r="AL14" s="147"/>
      <c r="AN14" s="199">
        <f>[3]MAINTENANCE!$AF18</f>
        <v>3630916.5700000003</v>
      </c>
      <c r="AO14" s="200">
        <f t="shared" si="2"/>
        <v>178056</v>
      </c>
      <c r="AP14" s="199">
        <f t="shared" si="5"/>
        <v>3808972.5700000003</v>
      </c>
      <c r="AQ14" s="201">
        <f t="shared" si="6"/>
        <v>-3754499.4299999997</v>
      </c>
    </row>
    <row r="15" spans="2:45" s="173" customFormat="1" ht="18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3"/>
        <v>TER A</v>
      </c>
      <c r="K15" s="182">
        <f t="shared" si="7"/>
        <v>3518666.57</v>
      </c>
      <c r="L15" s="169">
        <f t="shared" si="8"/>
        <v>30575.999999999996</v>
      </c>
      <c r="M15" s="189">
        <f>[3]MAINTENANCE!AK19</f>
        <v>147620</v>
      </c>
      <c r="N15" s="189">
        <f>[3]MAINTENANCE!$W19</f>
        <v>60750</v>
      </c>
      <c r="O15" s="189">
        <f>[3]MAINTENANCE!Z19</f>
        <v>0</v>
      </c>
      <c r="P15" s="189">
        <f>[3]MAINTENANCE!AE19</f>
        <v>0</v>
      </c>
      <c r="Q15" s="169">
        <f>[3]MAINTENANCE!AC19</f>
        <v>0</v>
      </c>
      <c r="R15" s="169"/>
      <c r="S15" s="169"/>
      <c r="T15" s="169"/>
      <c r="U15" s="169"/>
      <c r="V15" s="169"/>
      <c r="W15" s="169"/>
      <c r="X15" s="189">
        <f>[3]MAINTENANCE!AB19</f>
        <v>50500</v>
      </c>
      <c r="Y15" s="169"/>
      <c r="Z15" s="169"/>
      <c r="AA15" s="169"/>
      <c r="AB15" s="189">
        <f>-[3]MAINTENANCE!BA19</f>
        <v>-242666.66</v>
      </c>
      <c r="AC15" s="189">
        <f>[4]MAINTENANCE!$M20</f>
        <v>3757999.9</v>
      </c>
      <c r="AD15" s="169"/>
      <c r="AE15" s="183">
        <f t="shared" si="0"/>
        <v>7323445</v>
      </c>
      <c r="AF15" s="184">
        <f t="shared" si="1"/>
        <v>1.2500000000000001E-2</v>
      </c>
      <c r="AG15" s="152">
        <f t="shared" si="9"/>
        <v>91543</v>
      </c>
      <c r="AH15" s="211" t="e">
        <f>#REF!</f>
        <v>#REF!</v>
      </c>
      <c r="AI15" s="172" t="e">
        <f t="shared" si="4"/>
        <v>#REF!</v>
      </c>
      <c r="AJ15" s="93"/>
      <c r="AK15" s="146" t="e">
        <f t="shared" si="10"/>
        <v>#REF!</v>
      </c>
      <c r="AL15" s="147"/>
      <c r="AN15" s="199">
        <f>[3]MAINTENANCE!$AF19</f>
        <v>3387249.91</v>
      </c>
      <c r="AO15" s="200">
        <f t="shared" si="2"/>
        <v>178196</v>
      </c>
      <c r="AP15" s="199">
        <f t="shared" si="5"/>
        <v>3565445.91</v>
      </c>
      <c r="AQ15" s="201">
        <f t="shared" si="6"/>
        <v>-3757999.09</v>
      </c>
    </row>
    <row r="16" spans="2:45" s="173" customFormat="1" ht="18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3"/>
        <v>TER A</v>
      </c>
      <c r="K16" s="182">
        <f t="shared" si="7"/>
        <v>3518666.57</v>
      </c>
      <c r="L16" s="169">
        <f t="shared" si="8"/>
        <v>30575.999999999996</v>
      </c>
      <c r="M16" s="189">
        <f>[3]MAINTENANCE!AK20</f>
        <v>147480</v>
      </c>
      <c r="N16" s="189">
        <f>[3]MAINTENANCE!$W20</f>
        <v>63000</v>
      </c>
      <c r="O16" s="189">
        <f>[3]MAINTENANCE!Z20</f>
        <v>0</v>
      </c>
      <c r="P16" s="189">
        <f>[3]MAINTENANCE!AE20</f>
        <v>0</v>
      </c>
      <c r="Q16" s="169">
        <f>[3]MAINTENANCE!AC20</f>
        <v>0</v>
      </c>
      <c r="R16" s="169"/>
      <c r="S16" s="169"/>
      <c r="T16" s="169"/>
      <c r="U16" s="169"/>
      <c r="V16" s="169"/>
      <c r="W16" s="169"/>
      <c r="X16" s="189">
        <f>[3]MAINTENANCE!AB20</f>
        <v>47000</v>
      </c>
      <c r="Y16" s="169"/>
      <c r="Z16" s="169"/>
      <c r="AA16" s="169"/>
      <c r="AB16" s="189">
        <f>-[3]MAINTENANCE!BA20</f>
        <v>-121333.33</v>
      </c>
      <c r="AC16" s="189">
        <f>[4]MAINTENANCE!$M21</f>
        <v>3754499.9</v>
      </c>
      <c r="AD16" s="169"/>
      <c r="AE16" s="183">
        <f t="shared" si="0"/>
        <v>7439889</v>
      </c>
      <c r="AF16" s="184">
        <f t="shared" si="1"/>
        <v>1.2500000000000001E-2</v>
      </c>
      <c r="AG16" s="152">
        <f t="shared" si="9"/>
        <v>92998</v>
      </c>
      <c r="AH16" s="211" t="e">
        <f>#REF!</f>
        <v>#REF!</v>
      </c>
      <c r="AI16" s="172" t="e">
        <f t="shared" si="4"/>
        <v>#REF!</v>
      </c>
      <c r="AJ16" s="93"/>
      <c r="AK16" s="146" t="e">
        <f t="shared" si="10"/>
        <v>#REF!</v>
      </c>
      <c r="AL16" s="147"/>
      <c r="AN16" s="199">
        <f>[3]MAINTENANCE!$AF20</f>
        <v>3507333.24</v>
      </c>
      <c r="AO16" s="200">
        <f t="shared" si="2"/>
        <v>178056</v>
      </c>
      <c r="AP16" s="199">
        <f t="shared" si="5"/>
        <v>3685389.24</v>
      </c>
      <c r="AQ16" s="201">
        <f t="shared" si="6"/>
        <v>-3754499.76</v>
      </c>
    </row>
    <row r="17" spans="2:43" s="173" customFormat="1" ht="18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3"/>
        <v>TER A</v>
      </c>
      <c r="K17" s="182">
        <f t="shared" si="7"/>
        <v>3518666.57</v>
      </c>
      <c r="L17" s="169">
        <f t="shared" si="8"/>
        <v>30575.999999999996</v>
      </c>
      <c r="M17" s="189">
        <f>[3]MAINTENANCE!AK21</f>
        <v>147340</v>
      </c>
      <c r="N17" s="189">
        <f>[3]MAINTENANCE!$W21</f>
        <v>47250</v>
      </c>
      <c r="O17" s="189">
        <f>[3]MAINTENANCE!Z21</f>
        <v>0</v>
      </c>
      <c r="P17" s="189">
        <f>[3]MAINTENANCE!AE21</f>
        <v>0</v>
      </c>
      <c r="Q17" s="169">
        <f>[3]MAINTENANCE!AC21</f>
        <v>0</v>
      </c>
      <c r="R17" s="169"/>
      <c r="S17" s="169"/>
      <c r="T17" s="169"/>
      <c r="U17" s="169"/>
      <c r="V17" s="169"/>
      <c r="W17" s="169"/>
      <c r="X17" s="189">
        <f>[3]MAINTENANCE!AB21</f>
        <v>43500</v>
      </c>
      <c r="Y17" s="169"/>
      <c r="Z17" s="169"/>
      <c r="AA17" s="169"/>
      <c r="AB17" s="189">
        <f>-[3]MAINTENANCE!BA21</f>
        <v>-970666.64</v>
      </c>
      <c r="AC17" s="189">
        <f>[4]MAINTENANCE!$M22</f>
        <v>3750999.9</v>
      </c>
      <c r="AD17" s="169"/>
      <c r="AE17" s="183">
        <f t="shared" si="0"/>
        <v>6567665</v>
      </c>
      <c r="AF17" s="184">
        <f t="shared" si="1"/>
        <v>0.01</v>
      </c>
      <c r="AG17" s="152">
        <f t="shared" si="9"/>
        <v>65676</v>
      </c>
      <c r="AH17" s="211" t="e">
        <f>#REF!</f>
        <v>#REF!</v>
      </c>
      <c r="AI17" s="172" t="e">
        <f t="shared" si="4"/>
        <v>#REF!</v>
      </c>
      <c r="AJ17" s="93"/>
      <c r="AK17" s="146" t="e">
        <f t="shared" si="10"/>
        <v>#REF!</v>
      </c>
      <c r="AL17" s="147"/>
      <c r="AN17" s="199">
        <f>[3]MAINTENANCE!$AF21</f>
        <v>2638749.9299999997</v>
      </c>
      <c r="AO17" s="200">
        <f t="shared" si="2"/>
        <v>177916</v>
      </c>
      <c r="AP17" s="199">
        <f t="shared" si="5"/>
        <v>2816665.9299999997</v>
      </c>
      <c r="AQ17" s="201">
        <f t="shared" si="6"/>
        <v>-3750999.0700000003</v>
      </c>
    </row>
    <row r="18" spans="2:43" s="173" customFormat="1" ht="18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3"/>
        <v>TER A</v>
      </c>
      <c r="K18" s="182">
        <f t="shared" si="7"/>
        <v>3518666.57</v>
      </c>
      <c r="L18" s="169">
        <f t="shared" si="8"/>
        <v>30575.999999999996</v>
      </c>
      <c r="M18" s="189">
        <f>[3]MAINTENANCE!AK22</f>
        <v>147340</v>
      </c>
      <c r="N18" s="189">
        <f>[3]MAINTENANCE!$W22</f>
        <v>65250</v>
      </c>
      <c r="O18" s="189">
        <f>[3]MAINTENANCE!Z22</f>
        <v>0</v>
      </c>
      <c r="P18" s="189">
        <f>[3]MAINTENANCE!AE22</f>
        <v>0</v>
      </c>
      <c r="Q18" s="169">
        <f>[3]MAINTENANCE!AC22</f>
        <v>0</v>
      </c>
      <c r="R18" s="169"/>
      <c r="S18" s="169"/>
      <c r="T18" s="169"/>
      <c r="U18" s="169"/>
      <c r="V18" s="169"/>
      <c r="W18" s="169"/>
      <c r="X18" s="189">
        <f>[3]MAINTENANCE!AB22</f>
        <v>43500</v>
      </c>
      <c r="Y18" s="169"/>
      <c r="Z18" s="169"/>
      <c r="AA18" s="169"/>
      <c r="AB18" s="189">
        <f>-[3]MAINTENANCE!BA22</f>
        <v>0</v>
      </c>
      <c r="AC18" s="189">
        <f>[4]MAINTENANCE!$M23</f>
        <v>3750999.9</v>
      </c>
      <c r="AD18" s="169"/>
      <c r="AE18" s="183">
        <f t="shared" si="0"/>
        <v>7556332</v>
      </c>
      <c r="AF18" s="184">
        <f t="shared" si="1"/>
        <v>1.5000000000000001E-2</v>
      </c>
      <c r="AG18" s="152">
        <f t="shared" si="9"/>
        <v>113344</v>
      </c>
      <c r="AH18" s="211" t="e">
        <f>#REF!</f>
        <v>#REF!</v>
      </c>
      <c r="AI18" s="172" t="e">
        <f t="shared" si="4"/>
        <v>#REF!</v>
      </c>
      <c r="AJ18" s="93"/>
      <c r="AK18" s="146" t="e">
        <f t="shared" si="10"/>
        <v>#REF!</v>
      </c>
      <c r="AL18" s="147"/>
      <c r="AN18" s="199">
        <f>[3]MAINTENANCE!$AF22</f>
        <v>3627416.5700000003</v>
      </c>
      <c r="AO18" s="200">
        <f t="shared" si="2"/>
        <v>177916</v>
      </c>
      <c r="AP18" s="199">
        <f t="shared" si="5"/>
        <v>3805332.5700000003</v>
      </c>
      <c r="AQ18" s="201">
        <f t="shared" si="6"/>
        <v>-3750999.4299999997</v>
      </c>
    </row>
    <row r="19" spans="2:43" s="173" customFormat="1" ht="18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3"/>
        <v>TER A</v>
      </c>
      <c r="K19" s="182">
        <f t="shared" si="7"/>
        <v>3518666.57</v>
      </c>
      <c r="L19" s="169">
        <f t="shared" si="8"/>
        <v>30575.999999999996</v>
      </c>
      <c r="M19" s="189">
        <f>[3]MAINTENANCE!AK23</f>
        <v>146920</v>
      </c>
      <c r="N19" s="189">
        <f>[3]MAINTENANCE!$W23</f>
        <v>63000</v>
      </c>
      <c r="O19" s="189">
        <f>[3]MAINTENANCE!Z23</f>
        <v>0</v>
      </c>
      <c r="P19" s="189">
        <f>[3]MAINTENANCE!AE23</f>
        <v>0</v>
      </c>
      <c r="Q19" s="169">
        <f>[3]MAINTENANCE!AC23</f>
        <v>0</v>
      </c>
      <c r="R19" s="169"/>
      <c r="S19" s="169"/>
      <c r="T19" s="169"/>
      <c r="U19" s="169"/>
      <c r="V19" s="169"/>
      <c r="W19" s="169"/>
      <c r="X19" s="189">
        <f>[3]MAINTENANCE!AB23</f>
        <v>33000</v>
      </c>
      <c r="Y19" s="169"/>
      <c r="Z19" s="169"/>
      <c r="AA19" s="169"/>
      <c r="AB19" s="189">
        <f>-[3]MAINTENANCE!BA23</f>
        <v>-121333.33</v>
      </c>
      <c r="AC19" s="189">
        <f>[4]MAINTENANCE!$M24</f>
        <v>3740499.9</v>
      </c>
      <c r="AD19" s="169"/>
      <c r="AE19" s="183">
        <f t="shared" si="0"/>
        <v>7411329</v>
      </c>
      <c r="AF19" s="184">
        <f t="shared" si="1"/>
        <v>1.2500000000000001E-2</v>
      </c>
      <c r="AG19" s="152">
        <f t="shared" si="9"/>
        <v>92641</v>
      </c>
      <c r="AH19" s="211" t="e">
        <f>#REF!</f>
        <v>#REF!</v>
      </c>
      <c r="AI19" s="172" t="e">
        <f t="shared" si="4"/>
        <v>#REF!</v>
      </c>
      <c r="AJ19" s="93"/>
      <c r="AK19" s="146" t="e">
        <f t="shared" si="10"/>
        <v>#REF!</v>
      </c>
      <c r="AL19" s="147"/>
      <c r="AN19" s="199">
        <f>[3]MAINTENANCE!$AF23</f>
        <v>3493333.24</v>
      </c>
      <c r="AO19" s="200">
        <f t="shared" si="2"/>
        <v>177496</v>
      </c>
      <c r="AP19" s="199">
        <f t="shared" si="5"/>
        <v>3670829.24</v>
      </c>
      <c r="AQ19" s="201">
        <f t="shared" si="6"/>
        <v>-3740499.76</v>
      </c>
    </row>
    <row r="20" spans="2:43" s="173" customFormat="1" ht="18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3"/>
        <v>TER C</v>
      </c>
      <c r="K20" s="182">
        <f t="shared" si="7"/>
        <v>3518666.57</v>
      </c>
      <c r="L20" s="169">
        <f t="shared" si="8"/>
        <v>30575.999999999996</v>
      </c>
      <c r="M20" s="189">
        <f>[3]MAINTENANCE!AK24</f>
        <v>147340</v>
      </c>
      <c r="N20" s="189">
        <f>[3]MAINTENANCE!$W24</f>
        <v>126000</v>
      </c>
      <c r="O20" s="189">
        <f>[3]MAINTENANCE!Z24</f>
        <v>0</v>
      </c>
      <c r="P20" s="189">
        <f>[3]MAINTENANCE!AE24</f>
        <v>0</v>
      </c>
      <c r="Q20" s="169">
        <f>[3]MAINTENANCE!AC24</f>
        <v>0</v>
      </c>
      <c r="R20" s="169"/>
      <c r="S20" s="169"/>
      <c r="T20" s="169"/>
      <c r="U20" s="169"/>
      <c r="V20" s="169"/>
      <c r="W20" s="169"/>
      <c r="X20" s="189">
        <f>[3]MAINTENANCE!AB24</f>
        <v>43500</v>
      </c>
      <c r="Y20" s="169"/>
      <c r="Z20" s="169"/>
      <c r="AA20" s="169"/>
      <c r="AB20" s="189">
        <f>-[3]MAINTENANCE!BA24</f>
        <v>-121333.33</v>
      </c>
      <c r="AC20" s="189">
        <f>[4]MAINTENANCE!$M25</f>
        <v>3818499.9</v>
      </c>
      <c r="AD20" s="169"/>
      <c r="AE20" s="183">
        <f t="shared" si="0"/>
        <v>7563249</v>
      </c>
      <c r="AF20" s="184">
        <f t="shared" si="1"/>
        <v>7.4999999999999997E-3</v>
      </c>
      <c r="AG20" s="152">
        <f t="shared" si="9"/>
        <v>56724</v>
      </c>
      <c r="AH20" s="211" t="e">
        <f>#REF!</f>
        <v>#REF!</v>
      </c>
      <c r="AI20" s="172" t="e">
        <f t="shared" si="4"/>
        <v>#REF!</v>
      </c>
      <c r="AJ20" s="93"/>
      <c r="AK20" s="146" t="e">
        <f t="shared" si="10"/>
        <v>#REF!</v>
      </c>
      <c r="AL20" s="147"/>
      <c r="AN20" s="199">
        <f>[3]MAINTENANCE!$AF24</f>
        <v>3566833.24</v>
      </c>
      <c r="AO20" s="200">
        <f t="shared" si="2"/>
        <v>177916</v>
      </c>
      <c r="AP20" s="199">
        <f t="shared" si="5"/>
        <v>3744749.24</v>
      </c>
      <c r="AQ20" s="201">
        <f t="shared" si="6"/>
        <v>-3818499.76</v>
      </c>
    </row>
    <row r="21" spans="2:43" s="173" customFormat="1" ht="18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3"/>
        <v>TER B</v>
      </c>
      <c r="K21" s="182">
        <f t="shared" si="7"/>
        <v>3518666.57</v>
      </c>
      <c r="L21" s="169">
        <f t="shared" si="8"/>
        <v>30575.999999999996</v>
      </c>
      <c r="M21" s="189">
        <f>[3]MAINTENANCE!AK25</f>
        <v>146680</v>
      </c>
      <c r="N21" s="189">
        <f>[3]MAINTENANCE!$W25</f>
        <v>126000</v>
      </c>
      <c r="O21" s="189">
        <f>[3]MAINTENANCE!Z25</f>
        <v>0</v>
      </c>
      <c r="P21" s="189">
        <f>[3]MAINTENANCE!AE25</f>
        <v>357687.82</v>
      </c>
      <c r="Q21" s="169">
        <f>[3]MAINTENANCE!AC25</f>
        <v>335250</v>
      </c>
      <c r="R21" s="169"/>
      <c r="S21" s="169"/>
      <c r="T21" s="169"/>
      <c r="U21" s="169"/>
      <c r="V21" s="169"/>
      <c r="W21" s="169"/>
      <c r="X21" s="189">
        <f>[3]MAINTENANCE!AB25</f>
        <v>27000</v>
      </c>
      <c r="Y21" s="169"/>
      <c r="Z21" s="169"/>
      <c r="AA21" s="169"/>
      <c r="AB21" s="189">
        <f>-[3]MAINTENANCE!BA25</f>
        <v>-121333.33</v>
      </c>
      <c r="AC21" s="189">
        <f>[4]MAINTENANCE!$M26</f>
        <v>3801999.9</v>
      </c>
      <c r="AD21" s="169"/>
      <c r="AE21" s="183">
        <f t="shared" si="0"/>
        <v>8222526</v>
      </c>
      <c r="AF21" s="184">
        <f t="shared" si="1"/>
        <v>0.01</v>
      </c>
      <c r="AG21" s="152">
        <f t="shared" si="9"/>
        <v>82225</v>
      </c>
      <c r="AH21" s="211" t="e">
        <f>#REF!</f>
        <v>#REF!</v>
      </c>
      <c r="AI21" s="172" t="e">
        <f t="shared" si="4"/>
        <v>#REF!</v>
      </c>
      <c r="AJ21" s="93"/>
      <c r="AK21" s="146" t="e">
        <f t="shared" si="10"/>
        <v>#REF!</v>
      </c>
      <c r="AL21" s="147"/>
      <c r="AN21" s="199">
        <f>[3]MAINTENANCE!$AF25</f>
        <v>4243271.0600000005</v>
      </c>
      <c r="AO21" s="200">
        <f t="shared" si="2"/>
        <v>177256</v>
      </c>
      <c r="AP21" s="199">
        <f t="shared" si="5"/>
        <v>4420527.0600000005</v>
      </c>
      <c r="AQ21" s="201">
        <f t="shared" si="6"/>
        <v>-3801998.9399999995</v>
      </c>
    </row>
    <row r="22" spans="2:43" s="173" customFormat="1" ht="18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3"/>
        <v>TER A</v>
      </c>
      <c r="K22" s="182">
        <f t="shared" si="7"/>
        <v>3518666.57</v>
      </c>
      <c r="L22" s="169">
        <f t="shared" si="8"/>
        <v>30575.999999999996</v>
      </c>
      <c r="M22" s="189">
        <f>[3]MAINTENANCE!AK26</f>
        <v>147480</v>
      </c>
      <c r="N22" s="189">
        <f>[3]MAINTENANCE!$W26</f>
        <v>65250</v>
      </c>
      <c r="O22" s="189">
        <f>[3]MAINTENANCE!Z26</f>
        <v>0</v>
      </c>
      <c r="P22" s="189">
        <f>[3]MAINTENANCE!AE26</f>
        <v>0</v>
      </c>
      <c r="Q22" s="169">
        <f>[3]MAINTENANCE!AC26</f>
        <v>0</v>
      </c>
      <c r="R22" s="169"/>
      <c r="S22" s="169"/>
      <c r="T22" s="169"/>
      <c r="U22" s="169"/>
      <c r="V22" s="169"/>
      <c r="W22" s="169"/>
      <c r="X22" s="189">
        <f>[3]MAINTENANCE!AB26</f>
        <v>47000</v>
      </c>
      <c r="Y22" s="169"/>
      <c r="Z22" s="169"/>
      <c r="AA22" s="169"/>
      <c r="AB22" s="189">
        <f>-[3]MAINTENANCE!BA26</f>
        <v>0</v>
      </c>
      <c r="AC22" s="189">
        <f>[4]MAINTENANCE!$M27</f>
        <v>3754499.9</v>
      </c>
      <c r="AD22" s="169"/>
      <c r="AE22" s="183">
        <f t="shared" si="0"/>
        <v>7563472</v>
      </c>
      <c r="AF22" s="184">
        <f t="shared" si="1"/>
        <v>1.5000000000000001E-2</v>
      </c>
      <c r="AG22" s="152">
        <f t="shared" si="9"/>
        <v>113452</v>
      </c>
      <c r="AH22" s="211" t="e">
        <f>#REF!</f>
        <v>#REF!</v>
      </c>
      <c r="AI22" s="172" t="e">
        <f t="shared" si="4"/>
        <v>#REF!</v>
      </c>
      <c r="AJ22" s="93"/>
      <c r="AK22" s="146" t="e">
        <f t="shared" si="10"/>
        <v>#REF!</v>
      </c>
      <c r="AL22" s="147"/>
      <c r="AN22" s="199">
        <f>[3]MAINTENANCE!$AF26</f>
        <v>3630916.5700000003</v>
      </c>
      <c r="AO22" s="200">
        <f t="shared" si="2"/>
        <v>178056</v>
      </c>
      <c r="AP22" s="199">
        <f t="shared" si="5"/>
        <v>3808972.5700000003</v>
      </c>
      <c r="AQ22" s="201">
        <f t="shared" si="6"/>
        <v>-3754499.4299999997</v>
      </c>
    </row>
    <row r="23" spans="2:43" s="173" customFormat="1" ht="18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3"/>
        <v>TER A</v>
      </c>
      <c r="K23" s="182">
        <f t="shared" si="7"/>
        <v>3518666.57</v>
      </c>
      <c r="L23" s="169">
        <f t="shared" si="8"/>
        <v>30575.999999999996</v>
      </c>
      <c r="M23" s="189">
        <f>[3]MAINTENANCE!AK27</f>
        <v>147340</v>
      </c>
      <c r="N23" s="189">
        <f>[3]MAINTENANCE!$W27</f>
        <v>63000</v>
      </c>
      <c r="O23" s="189">
        <f>[3]MAINTENANCE!Z27</f>
        <v>0</v>
      </c>
      <c r="P23" s="189">
        <f>[3]MAINTENANCE!AE27</f>
        <v>0</v>
      </c>
      <c r="Q23" s="169">
        <f>[3]MAINTENANCE!AC27</f>
        <v>0</v>
      </c>
      <c r="R23" s="189"/>
      <c r="S23" s="189"/>
      <c r="T23" s="189"/>
      <c r="U23" s="189"/>
      <c r="V23" s="189"/>
      <c r="W23" s="189"/>
      <c r="X23" s="189">
        <f>[3]MAINTENANCE!AB27</f>
        <v>43500</v>
      </c>
      <c r="Y23" s="189"/>
      <c r="Z23" s="189"/>
      <c r="AA23" s="189"/>
      <c r="AB23" s="189">
        <f>-[3]MAINTENANCE!BA27</f>
        <v>-121333.33</v>
      </c>
      <c r="AC23" s="189">
        <f>[4]MAINTENANCE!$M28</f>
        <v>3750999.9</v>
      </c>
      <c r="AD23" s="189"/>
      <c r="AE23" s="183">
        <f t="shared" si="0"/>
        <v>7432749</v>
      </c>
      <c r="AF23" s="184">
        <f t="shared" si="1"/>
        <v>1.2500000000000001E-2</v>
      </c>
      <c r="AG23" s="152">
        <f t="shared" si="9"/>
        <v>92909</v>
      </c>
      <c r="AH23" s="211" t="e">
        <f>#REF!</f>
        <v>#REF!</v>
      </c>
      <c r="AI23" s="172" t="e">
        <f t="shared" si="4"/>
        <v>#REF!</v>
      </c>
      <c r="AJ23" s="93"/>
      <c r="AK23" s="146" t="e">
        <f t="shared" si="10"/>
        <v>#REF!</v>
      </c>
      <c r="AL23" s="147"/>
      <c r="AN23" s="199">
        <f>[3]MAINTENANCE!$AF27</f>
        <v>3503833.24</v>
      </c>
      <c r="AO23" s="200">
        <f t="shared" si="2"/>
        <v>177916</v>
      </c>
      <c r="AP23" s="199">
        <f t="shared" si="5"/>
        <v>3681749.24</v>
      </c>
      <c r="AQ23" s="201">
        <f t="shared" si="6"/>
        <v>-3750999.76</v>
      </c>
    </row>
    <row r="24" spans="2:43" s="173" customFormat="1" ht="18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3"/>
        <v>TER A</v>
      </c>
      <c r="K24" s="182">
        <f t="shared" si="7"/>
        <v>3518666.57</v>
      </c>
      <c r="L24" s="169">
        <f t="shared" si="8"/>
        <v>30575.999999999996</v>
      </c>
      <c r="M24" s="189">
        <f>[3]MAINTENANCE!AK28</f>
        <v>146800</v>
      </c>
      <c r="N24" s="189">
        <f>[3]MAINTENANCE!$W28</f>
        <v>65250</v>
      </c>
      <c r="O24" s="189">
        <f>[3]MAINTENANCE!Z28</f>
        <v>40000</v>
      </c>
      <c r="P24" s="189">
        <f>[3]MAINTENANCE!AE28</f>
        <v>1599074.96</v>
      </c>
      <c r="Q24" s="169">
        <f>[3]MAINTENANCE!AC28</f>
        <v>0</v>
      </c>
      <c r="R24" s="189"/>
      <c r="S24" s="189"/>
      <c r="T24" s="189"/>
      <c r="U24" s="189"/>
      <c r="V24" s="189"/>
      <c r="W24" s="189"/>
      <c r="X24" s="189">
        <f>[3]MAINTENANCE!AB28</f>
        <v>30000</v>
      </c>
      <c r="Y24" s="189"/>
      <c r="Z24" s="189"/>
      <c r="AA24" s="189"/>
      <c r="AB24" s="189">
        <f>-[3]MAINTENANCE!BA28</f>
        <v>0</v>
      </c>
      <c r="AC24" s="189">
        <f>[4]MAINTENANCE!$M29</f>
        <v>3737499.9</v>
      </c>
      <c r="AD24" s="189"/>
      <c r="AE24" s="183">
        <f>ROUNDDOWN(SUM(K24:AD24),0)</f>
        <v>9167867</v>
      </c>
      <c r="AF24" s="184">
        <f t="shared" si="1"/>
        <v>1.7500000000000002E-2</v>
      </c>
      <c r="AG24" s="152">
        <f t="shared" si="9"/>
        <v>160437</v>
      </c>
      <c r="AH24" s="211" t="e">
        <f>#REF!</f>
        <v>#REF!</v>
      </c>
      <c r="AI24" s="172" t="e">
        <f t="shared" si="4"/>
        <v>#REF!</v>
      </c>
      <c r="AJ24" s="93"/>
      <c r="AK24" s="146" t="e">
        <f t="shared" si="10"/>
        <v>#REF!</v>
      </c>
      <c r="AL24" s="147"/>
      <c r="AN24" s="199">
        <f>[3]MAINTENANCE!$AF28</f>
        <v>5252991.53</v>
      </c>
      <c r="AO24" s="200">
        <f t="shared" si="2"/>
        <v>177376</v>
      </c>
      <c r="AP24" s="199">
        <f t="shared" si="5"/>
        <v>5430367.5300000003</v>
      </c>
      <c r="AQ24" s="201">
        <f t="shared" si="6"/>
        <v>-3737499.4699999997</v>
      </c>
    </row>
    <row r="25" spans="2:43" s="173" customFormat="1" ht="18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3"/>
        <v>TER C</v>
      </c>
      <c r="K25" s="182">
        <f t="shared" si="7"/>
        <v>3518666.57</v>
      </c>
      <c r="L25" s="169">
        <f t="shared" si="8"/>
        <v>30575.999999999996</v>
      </c>
      <c r="M25" s="189">
        <f>[3]MAINTENANCE!AK29</f>
        <v>147340</v>
      </c>
      <c r="N25" s="189">
        <f>[3]MAINTENANCE!$W29</f>
        <v>151200</v>
      </c>
      <c r="O25" s="189">
        <f>[3]MAINTENANCE!Z29</f>
        <v>0</v>
      </c>
      <c r="P25" s="189">
        <f>[3]MAINTENANCE!AE29</f>
        <v>0</v>
      </c>
      <c r="Q25" s="169">
        <f>[3]MAINTENANCE!AC29</f>
        <v>0</v>
      </c>
      <c r="R25" s="189"/>
      <c r="S25" s="189"/>
      <c r="T25" s="189"/>
      <c r="U25" s="189"/>
      <c r="V25" s="189"/>
      <c r="W25" s="189"/>
      <c r="X25" s="189">
        <f>[3]MAINTENANCE!AB29</f>
        <v>43500</v>
      </c>
      <c r="Y25" s="189"/>
      <c r="Z25" s="189"/>
      <c r="AA25" s="189"/>
      <c r="AB25" s="189">
        <f>-[3]MAINTENANCE!BA29</f>
        <v>-121333.33</v>
      </c>
      <c r="AC25" s="189">
        <f>[4]MAINTENANCE!$M30</f>
        <v>3845499.9</v>
      </c>
      <c r="AD25" s="189"/>
      <c r="AE25" s="183">
        <f t="shared" si="0"/>
        <v>7615449</v>
      </c>
      <c r="AF25" s="184">
        <f t="shared" si="1"/>
        <v>7.4999999999999997E-3</v>
      </c>
      <c r="AG25" s="152">
        <f t="shared" si="9"/>
        <v>57115</v>
      </c>
      <c r="AH25" s="211" t="e">
        <f>#REF!</f>
        <v>#REF!</v>
      </c>
      <c r="AI25" s="172" t="e">
        <f t="shared" si="4"/>
        <v>#REF!</v>
      </c>
      <c r="AJ25" s="93"/>
      <c r="AK25" s="146" t="e">
        <f t="shared" si="10"/>
        <v>#REF!</v>
      </c>
      <c r="AL25" s="147"/>
      <c r="AN25" s="199">
        <f>[3]MAINTENANCE!$AF29</f>
        <v>3592033.24</v>
      </c>
      <c r="AO25" s="200">
        <f t="shared" si="2"/>
        <v>177916</v>
      </c>
      <c r="AP25" s="199">
        <f t="shared" si="5"/>
        <v>3769949.24</v>
      </c>
      <c r="AQ25" s="201">
        <f t="shared" si="6"/>
        <v>-3845499.76</v>
      </c>
    </row>
    <row r="26" spans="2:43" s="173" customFormat="1" ht="18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3"/>
        <v>TER A</v>
      </c>
      <c r="K26" s="182">
        <f t="shared" si="7"/>
        <v>3518666.57</v>
      </c>
      <c r="L26" s="169">
        <f t="shared" si="8"/>
        <v>30575.999999999996</v>
      </c>
      <c r="M26" s="189">
        <f>[3]MAINTENANCE!AK30</f>
        <v>148040</v>
      </c>
      <c r="N26" s="189">
        <f>[3]MAINTENANCE!$W30</f>
        <v>65250</v>
      </c>
      <c r="O26" s="189">
        <f>[3]MAINTENANCE!Z30</f>
        <v>0</v>
      </c>
      <c r="P26" s="189">
        <f>[3]MAINTENANCE!AE30</f>
        <v>0</v>
      </c>
      <c r="Q26" s="169">
        <f>[3]MAINTENANCE!AC30</f>
        <v>0</v>
      </c>
      <c r="R26" s="189"/>
      <c r="S26" s="189"/>
      <c r="T26" s="189"/>
      <c r="U26" s="189"/>
      <c r="V26" s="189"/>
      <c r="W26" s="189"/>
      <c r="X26" s="189">
        <f>[3]MAINTENANCE!AB30</f>
        <v>61000</v>
      </c>
      <c r="Y26" s="189"/>
      <c r="Z26" s="189"/>
      <c r="AA26" s="189"/>
      <c r="AB26" s="189">
        <f>-[3]MAINTENANCE!BA30</f>
        <v>0</v>
      </c>
      <c r="AC26" s="189">
        <f>[4]MAINTENANCE!$M31</f>
        <v>3768499.9</v>
      </c>
      <c r="AD26" s="189"/>
      <c r="AE26" s="183">
        <f t="shared" si="0"/>
        <v>7592032</v>
      </c>
      <c r="AF26" s="184">
        <f t="shared" si="1"/>
        <v>1.5000000000000001E-2</v>
      </c>
      <c r="AG26" s="152">
        <f t="shared" si="9"/>
        <v>113880</v>
      </c>
      <c r="AH26" s="211" t="e">
        <f>#REF!</f>
        <v>#REF!</v>
      </c>
      <c r="AI26" s="172" t="e">
        <f t="shared" si="4"/>
        <v>#REF!</v>
      </c>
      <c r="AJ26" s="93"/>
      <c r="AK26" s="146" t="e">
        <f t="shared" si="10"/>
        <v>#REF!</v>
      </c>
      <c r="AL26" s="147"/>
      <c r="AN26" s="199">
        <f>[3]MAINTENANCE!$AF30</f>
        <v>3644916.5700000003</v>
      </c>
      <c r="AO26" s="200">
        <f t="shared" si="2"/>
        <v>178616</v>
      </c>
      <c r="AP26" s="199">
        <f t="shared" si="5"/>
        <v>3823532.5700000003</v>
      </c>
      <c r="AQ26" s="201">
        <f t="shared" si="6"/>
        <v>-3768499.4299999997</v>
      </c>
    </row>
    <row r="27" spans="2:43" s="173" customFormat="1" ht="18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3"/>
        <v>TER A</v>
      </c>
      <c r="K27" s="182">
        <f t="shared" si="7"/>
        <v>3518666.57</v>
      </c>
      <c r="L27" s="169">
        <f t="shared" si="8"/>
        <v>30575.999999999996</v>
      </c>
      <c r="M27" s="189">
        <f>[3]MAINTENANCE!AK31</f>
        <v>147620</v>
      </c>
      <c r="N27" s="189">
        <f>[3]MAINTENANCE!$W31</f>
        <v>65250</v>
      </c>
      <c r="O27" s="189">
        <f>[3]MAINTENANCE!Z31</f>
        <v>0</v>
      </c>
      <c r="P27" s="189">
        <f>[3]MAINTENANCE!AE31</f>
        <v>0</v>
      </c>
      <c r="Q27" s="169">
        <f>[3]MAINTENANCE!AC31</f>
        <v>0</v>
      </c>
      <c r="R27" s="189"/>
      <c r="S27" s="189"/>
      <c r="T27" s="189"/>
      <c r="U27" s="189"/>
      <c r="V27" s="189"/>
      <c r="W27" s="189"/>
      <c r="X27" s="189">
        <f>[3]MAINTENANCE!AB31</f>
        <v>50500</v>
      </c>
      <c r="Y27" s="189"/>
      <c r="Z27" s="189"/>
      <c r="AA27" s="189"/>
      <c r="AB27" s="189">
        <f>-[3]MAINTENANCE!BA31</f>
        <v>0</v>
      </c>
      <c r="AC27" s="189">
        <f>[4]MAINTENANCE!$M32</f>
        <v>3757999.9</v>
      </c>
      <c r="AD27" s="189"/>
      <c r="AE27" s="183">
        <f t="shared" si="0"/>
        <v>7570612</v>
      </c>
      <c r="AF27" s="184">
        <f t="shared" si="1"/>
        <v>1.5000000000000001E-2</v>
      </c>
      <c r="AG27" s="152">
        <f t="shared" si="9"/>
        <v>113559</v>
      </c>
      <c r="AH27" s="211" t="e">
        <f>#REF!</f>
        <v>#REF!</v>
      </c>
      <c r="AI27" s="172" t="e">
        <f t="shared" si="4"/>
        <v>#REF!</v>
      </c>
      <c r="AJ27" s="93"/>
      <c r="AK27" s="146" t="e">
        <f t="shared" si="10"/>
        <v>#REF!</v>
      </c>
      <c r="AL27" s="147"/>
      <c r="AN27" s="199">
        <f>[3]MAINTENANCE!$AF31</f>
        <v>3634416.5700000003</v>
      </c>
      <c r="AO27" s="200">
        <f t="shared" si="2"/>
        <v>178196</v>
      </c>
      <c r="AP27" s="199">
        <f t="shared" si="5"/>
        <v>3812612.5700000003</v>
      </c>
      <c r="AQ27" s="201">
        <f t="shared" si="6"/>
        <v>-3757999.4299999997</v>
      </c>
    </row>
    <row r="28" spans="2:43" s="173" customFormat="1" ht="18" customHeight="1">
      <c r="B28" s="174">
        <v>23</v>
      </c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3"/>
        <v>TER B</v>
      </c>
      <c r="K28" s="194">
        <f>29*123833.33</f>
        <v>3591166.57</v>
      </c>
      <c r="L28" s="169">
        <f>3715000*0.84%</f>
        <v>31205.999999999996</v>
      </c>
      <c r="M28" s="189">
        <f>'[3]HARVESTING KHT'!AQ10</f>
        <v>150340</v>
      </c>
      <c r="N28" s="189">
        <f>'[3]HARVESTING KHT'!U10</f>
        <v>145800</v>
      </c>
      <c r="O28" s="189">
        <f>'[3]HARVESTING KHT'!X10</f>
        <v>54000</v>
      </c>
      <c r="P28" s="189">
        <f>'[3]HARVESTING KHT'!AD10</f>
        <v>1481705.22</v>
      </c>
      <c r="Q28" s="189">
        <f>'[3]HARVESTING KHT'!AE10</f>
        <v>0</v>
      </c>
      <c r="R28" s="189">
        <f>'[3]HARVESTING KHT'!AA10</f>
        <v>0</v>
      </c>
      <c r="S28" s="189">
        <f>'[3]HARVESTING KHT'!AB10</f>
        <v>0</v>
      </c>
      <c r="T28" s="189">
        <f>'[3]HARVESTING KHT'!AC10</f>
        <v>0</v>
      </c>
      <c r="U28" s="189">
        <f>'[3]HARVESTING KHT'!AF10</f>
        <v>120000</v>
      </c>
      <c r="V28" s="189">
        <f>'[3]HARVESTING KHT'!AH10</f>
        <v>0</v>
      </c>
      <c r="W28" s="189">
        <f>'[3]HARVESTING KHT'!AK10</f>
        <v>0</v>
      </c>
      <c r="X28" s="189">
        <f>'[3]HARVESTING KHT'!Z10</f>
        <v>43500</v>
      </c>
      <c r="Y28" s="189">
        <f>-'[3]HARVESTING KHT'!AI10</f>
        <v>0</v>
      </c>
      <c r="Z28" s="189"/>
      <c r="AA28" s="189"/>
      <c r="AB28" s="189">
        <f>-'[3]HARVESTING KHT'!BI10</f>
        <v>-247666.66</v>
      </c>
      <c r="AC28" s="189">
        <f>'[4]HARVESTING KHT'!$M11</f>
        <v>3920499.9</v>
      </c>
      <c r="AD28" s="189"/>
      <c r="AE28" s="183">
        <f t="shared" si="0"/>
        <v>9290551</v>
      </c>
      <c r="AF28" s="184">
        <f t="shared" si="1"/>
        <v>1.4999999999999999E-2</v>
      </c>
      <c r="AG28" s="152">
        <f t="shared" si="9"/>
        <v>139358</v>
      </c>
      <c r="AH28" s="211" t="e">
        <f>#REF!</f>
        <v>#REF!</v>
      </c>
      <c r="AI28" s="172" t="e">
        <f t="shared" si="4"/>
        <v>#REF!</v>
      </c>
      <c r="AJ28" s="93"/>
      <c r="AK28" s="146" t="e">
        <f t="shared" si="10"/>
        <v>#REF!</v>
      </c>
      <c r="AL28" s="147"/>
      <c r="AN28" s="199">
        <f>'[3]HARVESTING KHT'!$AL10</f>
        <v>5188505.13</v>
      </c>
      <c r="AO28" s="200">
        <f t="shared" si="2"/>
        <v>181546</v>
      </c>
      <c r="AP28" s="199">
        <f t="shared" si="5"/>
        <v>5370051.1299999999</v>
      </c>
      <c r="AQ28" s="201">
        <f t="shared" si="6"/>
        <v>-3920499.87</v>
      </c>
    </row>
    <row r="29" spans="2:43" s="173" customFormat="1" ht="18" customHeight="1">
      <c r="B29" s="174">
        <v>24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3"/>
        <v>TER A</v>
      </c>
      <c r="K29" s="182">
        <f t="shared" si="7"/>
        <v>3518666.57</v>
      </c>
      <c r="L29" s="169">
        <f t="shared" si="8"/>
        <v>30575.999999999996</v>
      </c>
      <c r="M29" s="189">
        <f>'[3]HARVESTING KHT'!AQ11</f>
        <v>147620</v>
      </c>
      <c r="N29" s="189">
        <f>'[3]HARVESTING KHT'!U11</f>
        <v>65250</v>
      </c>
      <c r="O29" s="189">
        <f>'[3]HARVESTING KHT'!X11</f>
        <v>40000</v>
      </c>
      <c r="P29" s="189">
        <f>'[3]HARVESTING KHT'!AD11</f>
        <v>1556994.04</v>
      </c>
      <c r="Q29" s="189">
        <f>'[3]HARVESTING KHT'!AE11</f>
        <v>0</v>
      </c>
      <c r="R29" s="189">
        <f>'[3]HARVESTING KHT'!AA11</f>
        <v>0</v>
      </c>
      <c r="S29" s="189">
        <f>'[3]HARVESTING KHT'!AB11</f>
        <v>0</v>
      </c>
      <c r="T29" s="189">
        <f>'[3]HARVESTING KHT'!AC11</f>
        <v>0</v>
      </c>
      <c r="U29" s="189">
        <f>'[3]HARVESTING KHT'!AF11</f>
        <v>0</v>
      </c>
      <c r="V29" s="189">
        <f>'[3]HARVESTING KHT'!AH11</f>
        <v>0</v>
      </c>
      <c r="W29" s="189">
        <f>'[3]HARVESTING KHT'!AK11</f>
        <v>0</v>
      </c>
      <c r="X29" s="189">
        <f>'[3]HARVESTING KHT'!Z11</f>
        <v>50500</v>
      </c>
      <c r="Y29" s="189">
        <f>-'[3]HARVESTING KHT'!AI11</f>
        <v>0</v>
      </c>
      <c r="Z29" s="189"/>
      <c r="AA29" s="189"/>
      <c r="AB29" s="189">
        <f>-'[3]HARVESTING KHT'!BI11</f>
        <v>0</v>
      </c>
      <c r="AC29" s="189">
        <f>'[4]HARVESTING KHT'!$M12</f>
        <v>3757999.9</v>
      </c>
      <c r="AD29" s="189"/>
      <c r="AE29" s="183">
        <f t="shared" si="0"/>
        <v>9167606</v>
      </c>
      <c r="AF29" s="184">
        <f t="shared" si="1"/>
        <v>1.7500000000000002E-2</v>
      </c>
      <c r="AG29" s="152">
        <f t="shared" si="9"/>
        <v>160433</v>
      </c>
      <c r="AH29" s="211" t="e">
        <f>#REF!</f>
        <v>#REF!</v>
      </c>
      <c r="AI29" s="172" t="e">
        <f t="shared" si="4"/>
        <v>#REF!</v>
      </c>
      <c r="AJ29" s="93"/>
      <c r="AK29" s="146" t="e">
        <f t="shared" si="10"/>
        <v>#REF!</v>
      </c>
      <c r="AL29" s="147"/>
      <c r="AN29" s="199">
        <f>'[3]HARVESTING KHT'!$AL11</f>
        <v>5231410.6100000003</v>
      </c>
      <c r="AO29" s="200">
        <f t="shared" si="2"/>
        <v>178196</v>
      </c>
      <c r="AP29" s="199">
        <f t="shared" si="5"/>
        <v>5409606.6100000003</v>
      </c>
      <c r="AQ29" s="201">
        <f t="shared" si="6"/>
        <v>-3757999.3899999997</v>
      </c>
    </row>
    <row r="30" spans="2:43" s="173" customFormat="1" ht="18" customHeight="1">
      <c r="B30" s="174">
        <v>25</v>
      </c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3"/>
        <v>TER B</v>
      </c>
      <c r="K30" s="182">
        <f t="shared" si="7"/>
        <v>3518666.57</v>
      </c>
      <c r="L30" s="169">
        <f t="shared" si="8"/>
        <v>30575.999999999996</v>
      </c>
      <c r="M30" s="189">
        <f>'[3]HARVESTING KHT'!AQ12</f>
        <v>146440</v>
      </c>
      <c r="N30" s="189">
        <f>'[3]HARVESTING KHT'!U12</f>
        <v>121500</v>
      </c>
      <c r="O30" s="189">
        <f>'[3]HARVESTING KHT'!X12</f>
        <v>0</v>
      </c>
      <c r="P30" s="189">
        <f>'[3]HARVESTING KHT'!AD12</f>
        <v>0</v>
      </c>
      <c r="Q30" s="189">
        <f>'[3]HARVESTING KHT'!AE12</f>
        <v>0</v>
      </c>
      <c r="R30" s="189">
        <f>'[3]HARVESTING KHT'!AA12</f>
        <v>0</v>
      </c>
      <c r="S30" s="189">
        <f>'[3]HARVESTING KHT'!AB12</f>
        <v>174300</v>
      </c>
      <c r="T30" s="189">
        <f>'[3]HARVESTING KHT'!AC12</f>
        <v>303050</v>
      </c>
      <c r="U30" s="189">
        <f>'[3]HARVESTING KHT'!AF12</f>
        <v>153825</v>
      </c>
      <c r="V30" s="189">
        <f>'[3]HARVESTING KHT'!AH12</f>
        <v>0</v>
      </c>
      <c r="W30" s="189">
        <f>'[3]HARVESTING KHT'!AK12</f>
        <v>0</v>
      </c>
      <c r="X30" s="189">
        <f>'[3]HARVESTING KHT'!Z12</f>
        <v>21000</v>
      </c>
      <c r="Y30" s="189">
        <f>-'[3]HARVESTING KHT'!AI12</f>
        <v>-284870</v>
      </c>
      <c r="Z30" s="189"/>
      <c r="AA30" s="189"/>
      <c r="AB30" s="189">
        <f>-'[3]HARVESTING KHT'!BI12</f>
        <v>-242666.66</v>
      </c>
      <c r="AC30" s="189">
        <f>'[4]HARVESTING KHT'!$M13</f>
        <v>3795999.9</v>
      </c>
      <c r="AD30" s="189"/>
      <c r="AE30" s="183">
        <f t="shared" si="0"/>
        <v>7737820</v>
      </c>
      <c r="AF30" s="184">
        <f t="shared" si="1"/>
        <v>0.01</v>
      </c>
      <c r="AG30" s="152">
        <f t="shared" si="9"/>
        <v>77378</v>
      </c>
      <c r="AH30" s="211" t="e">
        <f>#REF!</f>
        <v>#REF!</v>
      </c>
      <c r="AI30" s="172" t="e">
        <f t="shared" si="4"/>
        <v>#REF!</v>
      </c>
      <c r="AJ30" s="93"/>
      <c r="AK30" s="146" t="e">
        <f t="shared" si="10"/>
        <v>#REF!</v>
      </c>
      <c r="AL30" s="147"/>
      <c r="AN30" s="199">
        <f>'[3]HARVESTING KHT'!$AL12</f>
        <v>3764804.91</v>
      </c>
      <c r="AO30" s="200">
        <f t="shared" si="2"/>
        <v>177016</v>
      </c>
      <c r="AP30" s="199">
        <f t="shared" si="5"/>
        <v>3941820.91</v>
      </c>
      <c r="AQ30" s="201">
        <f t="shared" si="6"/>
        <v>-3795999.09</v>
      </c>
    </row>
    <row r="31" spans="2:43" s="173" customFormat="1" ht="18" customHeight="1">
      <c r="B31" s="174">
        <v>26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3"/>
        <v>TER B</v>
      </c>
      <c r="K31" s="182">
        <f t="shared" si="7"/>
        <v>3518666.57</v>
      </c>
      <c r="L31" s="169">
        <f t="shared" si="8"/>
        <v>30575.999999999996</v>
      </c>
      <c r="M31" s="189">
        <f>'[3]HARVESTING KHT'!AQ13</f>
        <v>146440</v>
      </c>
      <c r="N31" s="189">
        <f>'[3]HARVESTING KHT'!U13</f>
        <v>130500</v>
      </c>
      <c r="O31" s="189">
        <f>'[3]HARVESTING KHT'!X13</f>
        <v>0</v>
      </c>
      <c r="P31" s="189">
        <f>'[3]HARVESTING KHT'!AD13</f>
        <v>0</v>
      </c>
      <c r="Q31" s="189">
        <f>'[3]HARVESTING KHT'!AE13</f>
        <v>0</v>
      </c>
      <c r="R31" s="189">
        <f>'[3]HARVESTING KHT'!AA13</f>
        <v>111471</v>
      </c>
      <c r="S31" s="189">
        <f>'[3]HARVESTING KHT'!AB13</f>
        <v>190050</v>
      </c>
      <c r="T31" s="189">
        <f>'[3]HARVESTING KHT'!AC13</f>
        <v>471900</v>
      </c>
      <c r="U31" s="189">
        <f>'[3]HARVESTING KHT'!AF13</f>
        <v>156030</v>
      </c>
      <c r="V31" s="189">
        <f>'[3]HARVESTING KHT'!AH13</f>
        <v>0</v>
      </c>
      <c r="W31" s="189">
        <f>'[3]HARVESTING KHT'!AK13</f>
        <v>0</v>
      </c>
      <c r="X31" s="189">
        <f>'[3]HARVESTING KHT'!Z13</f>
        <v>21000</v>
      </c>
      <c r="Y31" s="189">
        <f>-'[3]HARVESTING KHT'!AI13</f>
        <v>-101551</v>
      </c>
      <c r="Z31" s="189"/>
      <c r="AA31" s="189"/>
      <c r="AB31" s="189">
        <f>-'[3]HARVESTING KHT'!BI13</f>
        <v>0</v>
      </c>
      <c r="AC31" s="189">
        <f>'[4]HARVESTING KHT'!$M14</f>
        <v>3795999.9</v>
      </c>
      <c r="AD31" s="189"/>
      <c r="AE31" s="183">
        <f t="shared" si="0"/>
        <v>8471082</v>
      </c>
      <c r="AF31" s="184">
        <f t="shared" si="1"/>
        <v>0.01</v>
      </c>
      <c r="AG31" s="152">
        <f t="shared" si="9"/>
        <v>84710</v>
      </c>
      <c r="AH31" s="211" t="e">
        <f>#REF!</f>
        <v>#REF!</v>
      </c>
      <c r="AI31" s="172" t="e">
        <f t="shared" si="4"/>
        <v>#REF!</v>
      </c>
      <c r="AJ31" s="93"/>
      <c r="AK31" s="146" t="e">
        <f t="shared" si="10"/>
        <v>#REF!</v>
      </c>
      <c r="AL31" s="147"/>
      <c r="AN31" s="199">
        <f>'[3]HARVESTING KHT'!$AL13</f>
        <v>4498066.57</v>
      </c>
      <c r="AO31" s="200">
        <f t="shared" si="2"/>
        <v>177016</v>
      </c>
      <c r="AP31" s="199">
        <f t="shared" si="5"/>
        <v>4675082.57</v>
      </c>
      <c r="AQ31" s="201">
        <f t="shared" si="6"/>
        <v>-3795999.4299999997</v>
      </c>
    </row>
    <row r="32" spans="2:43" s="173" customFormat="1" ht="18" customHeight="1">
      <c r="B32" s="174">
        <v>27</v>
      </c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3"/>
        <v>TER B</v>
      </c>
      <c r="K32" s="182">
        <f t="shared" si="7"/>
        <v>3518666.57</v>
      </c>
      <c r="L32" s="169">
        <f t="shared" si="8"/>
        <v>30575.999999999996</v>
      </c>
      <c r="M32" s="189">
        <f>'[3]HARVESTING KHT'!AQ14</f>
        <v>146440</v>
      </c>
      <c r="N32" s="189">
        <f>'[3]HARVESTING KHT'!U14</f>
        <v>58500</v>
      </c>
      <c r="O32" s="189">
        <f>'[3]HARVESTING KHT'!X14</f>
        <v>0</v>
      </c>
      <c r="P32" s="189">
        <f>'[3]HARVESTING KHT'!AD14</f>
        <v>0</v>
      </c>
      <c r="Q32" s="189">
        <f>'[3]HARVESTING KHT'!AE14</f>
        <v>0</v>
      </c>
      <c r="R32" s="189">
        <f>'[3]HARVESTING KHT'!AA14</f>
        <v>0</v>
      </c>
      <c r="S32" s="189">
        <f>'[3]HARVESTING KHT'!AB14</f>
        <v>136500</v>
      </c>
      <c r="T32" s="189">
        <f>'[3]HARVESTING KHT'!AC14</f>
        <v>303050</v>
      </c>
      <c r="U32" s="189">
        <f>'[3]HARVESTING KHT'!AF14</f>
        <v>104055</v>
      </c>
      <c r="V32" s="189">
        <f>'[3]HARVESTING KHT'!AH14</f>
        <v>0</v>
      </c>
      <c r="W32" s="189">
        <f>'[3]HARVESTING KHT'!AK14</f>
        <v>0</v>
      </c>
      <c r="X32" s="189">
        <f>'[3]HARVESTING KHT'!Z14</f>
        <v>21000</v>
      </c>
      <c r="Y32" s="189">
        <f>-'[3]HARVESTING KHT'!AI14</f>
        <v>-303333</v>
      </c>
      <c r="Z32" s="189"/>
      <c r="AA32" s="189"/>
      <c r="AB32" s="189">
        <f>-'[3]HARVESTING KHT'!BI14</f>
        <v>-363999.99</v>
      </c>
      <c r="AC32" s="189">
        <f>'[4]HARVESTING KHT'!$M15</f>
        <v>3728499.9</v>
      </c>
      <c r="AD32" s="189"/>
      <c r="AE32" s="183">
        <f t="shared" si="0"/>
        <v>7379954</v>
      </c>
      <c r="AF32" s="184">
        <f t="shared" si="1"/>
        <v>0.01</v>
      </c>
      <c r="AG32" s="152">
        <f t="shared" si="9"/>
        <v>73799</v>
      </c>
      <c r="AH32" s="211" t="e">
        <f>#REF!</f>
        <v>#REF!</v>
      </c>
      <c r="AI32" s="172" t="e">
        <f t="shared" si="4"/>
        <v>#REF!</v>
      </c>
      <c r="AJ32" s="93"/>
      <c r="AK32" s="146" t="e">
        <f t="shared" si="10"/>
        <v>#REF!</v>
      </c>
      <c r="AL32" s="147"/>
      <c r="AN32" s="199">
        <f>'[3]HARVESTING KHT'!$AL14</f>
        <v>3474438.58</v>
      </c>
      <c r="AO32" s="200">
        <f t="shared" si="2"/>
        <v>177016</v>
      </c>
      <c r="AP32" s="199">
        <f t="shared" si="5"/>
        <v>3651454.58</v>
      </c>
      <c r="AQ32" s="201">
        <f t="shared" si="6"/>
        <v>-3728499.42</v>
      </c>
    </row>
    <row r="33" spans="2:43" s="173" customFormat="1" ht="18" customHeight="1">
      <c r="B33" s="174">
        <v>28</v>
      </c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3"/>
        <v>TER B</v>
      </c>
      <c r="K33" s="182">
        <f t="shared" si="7"/>
        <v>3518666.57</v>
      </c>
      <c r="L33" s="169">
        <f t="shared" si="8"/>
        <v>30575.999999999996</v>
      </c>
      <c r="M33" s="189">
        <f>'[3]HARVESTING KHT'!AQ15</f>
        <v>146440</v>
      </c>
      <c r="N33" s="189">
        <f>'[3]HARVESTING KHT'!U15</f>
        <v>100800</v>
      </c>
      <c r="O33" s="189">
        <f>'[3]HARVESTING KHT'!X15</f>
        <v>0</v>
      </c>
      <c r="P33" s="189">
        <f>'[3]HARVESTING KHT'!AD15</f>
        <v>0</v>
      </c>
      <c r="Q33" s="189">
        <f>'[3]HARVESTING KHT'!AE15</f>
        <v>0</v>
      </c>
      <c r="R33" s="189">
        <f>'[3]HARVESTING KHT'!AA15</f>
        <v>0</v>
      </c>
      <c r="S33" s="189">
        <f>'[3]HARVESTING KHT'!AB15</f>
        <v>163800</v>
      </c>
      <c r="T33" s="189">
        <f>'[3]HARVESTING KHT'!AC15</f>
        <v>467500</v>
      </c>
      <c r="U33" s="189">
        <f>'[3]HARVESTING KHT'!AF15</f>
        <v>0</v>
      </c>
      <c r="V33" s="189">
        <f>'[3]HARVESTING KHT'!AH15</f>
        <v>0</v>
      </c>
      <c r="W33" s="189">
        <f>'[3]HARVESTING KHT'!AK15</f>
        <v>0</v>
      </c>
      <c r="X33" s="189">
        <f>'[3]HARVESTING KHT'!Z15</f>
        <v>21000</v>
      </c>
      <c r="Y33" s="189">
        <f>-'[3]HARVESTING KHT'!AI15</f>
        <v>-97594</v>
      </c>
      <c r="Z33" s="189"/>
      <c r="AA33" s="189"/>
      <c r="AB33" s="189">
        <f>-'[3]HARVESTING KHT'!BI15</f>
        <v>-121333.33</v>
      </c>
      <c r="AC33" s="189">
        <f>'[4]HARVESTING KHT'!$M16</f>
        <v>3768999.9</v>
      </c>
      <c r="AD33" s="189"/>
      <c r="AE33" s="183">
        <f t="shared" si="0"/>
        <v>7998855</v>
      </c>
      <c r="AF33" s="184">
        <f t="shared" si="1"/>
        <v>0.01</v>
      </c>
      <c r="AG33" s="152">
        <f t="shared" si="9"/>
        <v>79988</v>
      </c>
      <c r="AH33" s="211" t="e">
        <f>#REF!</f>
        <v>#REF!</v>
      </c>
      <c r="AI33" s="172" t="e">
        <f t="shared" si="4"/>
        <v>#REF!</v>
      </c>
      <c r="AJ33" s="93"/>
      <c r="AK33" s="146" t="e">
        <f t="shared" si="10"/>
        <v>#REF!</v>
      </c>
      <c r="AL33" s="147"/>
      <c r="AN33" s="199">
        <f>'[3]HARVESTING KHT'!$AL15</f>
        <v>4052839.24</v>
      </c>
      <c r="AO33" s="200">
        <f t="shared" si="2"/>
        <v>177016</v>
      </c>
      <c r="AP33" s="199">
        <f t="shared" si="5"/>
        <v>4229855.24</v>
      </c>
      <c r="AQ33" s="201">
        <f t="shared" si="6"/>
        <v>-3768999.76</v>
      </c>
    </row>
    <row r="34" spans="2:43" s="173" customFormat="1" ht="18" customHeight="1">
      <c r="B34" s="174">
        <v>29</v>
      </c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3"/>
        <v>TER B</v>
      </c>
      <c r="K34" s="182">
        <f t="shared" si="7"/>
        <v>3518666.57</v>
      </c>
      <c r="L34" s="169">
        <f t="shared" si="8"/>
        <v>30575.999999999996</v>
      </c>
      <c r="M34" s="189">
        <f>'[3]HARVESTING KHT'!AQ16</f>
        <v>146200</v>
      </c>
      <c r="N34" s="189">
        <f>'[3]HARVESTING KHT'!U16</f>
        <v>126000</v>
      </c>
      <c r="O34" s="189">
        <f>'[3]HARVESTING KHT'!X16</f>
        <v>0</v>
      </c>
      <c r="P34" s="189">
        <f>'[3]HARVESTING KHT'!AD16</f>
        <v>0</v>
      </c>
      <c r="Q34" s="189">
        <f>'[3]HARVESTING KHT'!AE16</f>
        <v>0</v>
      </c>
      <c r="R34" s="189">
        <f>'[3]HARVESTING KHT'!AA16</f>
        <v>7635</v>
      </c>
      <c r="S34" s="189">
        <f>'[3]HARVESTING KHT'!AB16</f>
        <v>130200</v>
      </c>
      <c r="T34" s="189">
        <f>'[3]HARVESTING KHT'!AC16</f>
        <v>421850</v>
      </c>
      <c r="U34" s="189">
        <f>'[3]HARVESTING KHT'!AF16</f>
        <v>0</v>
      </c>
      <c r="V34" s="189">
        <f>'[3]HARVESTING KHT'!AH16</f>
        <v>0</v>
      </c>
      <c r="W34" s="189">
        <f>'[3]HARVESTING KHT'!AK16</f>
        <v>0</v>
      </c>
      <c r="X34" s="189">
        <f>'[3]HARVESTING KHT'!Z16</f>
        <v>15000</v>
      </c>
      <c r="Y34" s="189">
        <f>-'[3]HARVESTING KHT'!AI16</f>
        <v>-304652</v>
      </c>
      <c r="Z34" s="189"/>
      <c r="AA34" s="189"/>
      <c r="AB34" s="189">
        <f>-'[3]HARVESTING KHT'!BI16</f>
        <v>-121333.33</v>
      </c>
      <c r="AC34" s="189">
        <f>'[4]HARVESTING KHT'!$M17</f>
        <v>3789999.9</v>
      </c>
      <c r="AD34" s="189"/>
      <c r="AE34" s="183">
        <f t="shared" si="0"/>
        <v>7760142</v>
      </c>
      <c r="AF34" s="184">
        <f t="shared" si="1"/>
        <v>0.01</v>
      </c>
      <c r="AG34" s="152">
        <f t="shared" si="9"/>
        <v>77601</v>
      </c>
      <c r="AH34" s="211" t="e">
        <f>#REF!</f>
        <v>#REF!</v>
      </c>
      <c r="AI34" s="172" t="e">
        <f t="shared" si="4"/>
        <v>#REF!</v>
      </c>
      <c r="AJ34" s="93"/>
      <c r="AK34" s="146" t="e">
        <f t="shared" si="10"/>
        <v>#REF!</v>
      </c>
      <c r="AL34" s="147"/>
      <c r="AN34" s="199">
        <f>'[3]HARVESTING KHT'!$AL16</f>
        <v>3793366.24</v>
      </c>
      <c r="AO34" s="200">
        <f t="shared" si="2"/>
        <v>176776</v>
      </c>
      <c r="AP34" s="199">
        <f t="shared" si="5"/>
        <v>3970142.24</v>
      </c>
      <c r="AQ34" s="201">
        <f t="shared" si="6"/>
        <v>-3789999.76</v>
      </c>
    </row>
    <row r="35" spans="2:43" s="173" customFormat="1" ht="18" customHeight="1">
      <c r="B35" s="174">
        <v>30</v>
      </c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3"/>
        <v>TER A</v>
      </c>
      <c r="K35" s="182">
        <f t="shared" si="7"/>
        <v>3518666.57</v>
      </c>
      <c r="L35" s="169">
        <f t="shared" si="8"/>
        <v>30575.999999999996</v>
      </c>
      <c r="M35" s="189">
        <f>'[3]HARVESTING KHT'!AQ17</f>
        <v>145900</v>
      </c>
      <c r="N35" s="189">
        <f>'[3]HARVESTING KHT'!U17</f>
        <v>97200</v>
      </c>
      <c r="O35" s="189">
        <f>'[3]HARVESTING KHT'!X17</f>
        <v>0</v>
      </c>
      <c r="P35" s="189">
        <f>'[3]HARVESTING KHT'!AD17</f>
        <v>0</v>
      </c>
      <c r="Q35" s="189">
        <f>'[3]HARVESTING KHT'!AE17</f>
        <v>0</v>
      </c>
      <c r="R35" s="189">
        <f>'[3]HARVESTING KHT'!AA17</f>
        <v>0</v>
      </c>
      <c r="S35" s="189">
        <f>'[3]HARVESTING KHT'!AB17</f>
        <v>184800</v>
      </c>
      <c r="T35" s="189">
        <f>'[3]HARVESTING KHT'!AC17</f>
        <v>453200</v>
      </c>
      <c r="U35" s="189">
        <f>'[3]HARVESTING KHT'!AF17</f>
        <v>0</v>
      </c>
      <c r="V35" s="189">
        <f>'[3]HARVESTING KHT'!AH17</f>
        <v>0</v>
      </c>
      <c r="W35" s="189">
        <f>'[3]HARVESTING KHT'!AK17</f>
        <v>0</v>
      </c>
      <c r="X35" s="189">
        <f>'[3]HARVESTING KHT'!Z17</f>
        <v>7500</v>
      </c>
      <c r="Y35" s="189">
        <f>-'[3]HARVESTING KHT'!AI17</f>
        <v>0</v>
      </c>
      <c r="Z35" s="189"/>
      <c r="AA35" s="189"/>
      <c r="AB35" s="189">
        <f>-'[3]HARVESTING KHT'!BI17</f>
        <v>-242666.66</v>
      </c>
      <c r="AC35" s="189">
        <f>'[4]HARVESTING KHT'!$M18</f>
        <v>3755499.9</v>
      </c>
      <c r="AD35" s="189"/>
      <c r="AE35" s="183">
        <f t="shared" si="0"/>
        <v>7950675</v>
      </c>
      <c r="AF35" s="184">
        <f t="shared" si="1"/>
        <v>1.5000000000000001E-2</v>
      </c>
      <c r="AG35" s="152">
        <f t="shared" si="9"/>
        <v>119260</v>
      </c>
      <c r="AH35" s="211" t="e">
        <f>#REF!</f>
        <v>#REF!</v>
      </c>
      <c r="AI35" s="172" t="e">
        <f t="shared" si="4"/>
        <v>#REF!</v>
      </c>
      <c r="AJ35" s="93"/>
      <c r="AK35" s="146" t="e">
        <f t="shared" si="10"/>
        <v>#REF!</v>
      </c>
      <c r="AL35" s="147"/>
      <c r="AN35" s="199">
        <f>'[3]HARVESTING KHT'!$AL17</f>
        <v>4018699.91</v>
      </c>
      <c r="AO35" s="200">
        <f t="shared" si="2"/>
        <v>176476</v>
      </c>
      <c r="AP35" s="199">
        <f t="shared" si="5"/>
        <v>4195175.91</v>
      </c>
      <c r="AQ35" s="201">
        <f t="shared" si="6"/>
        <v>-3755499.09</v>
      </c>
    </row>
    <row r="36" spans="2:43" s="173" customFormat="1" ht="18" customHeight="1">
      <c r="B36" s="174">
        <v>31</v>
      </c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3"/>
        <v>TER B</v>
      </c>
      <c r="K36" s="182">
        <f t="shared" si="7"/>
        <v>3518666.57</v>
      </c>
      <c r="L36" s="169">
        <f t="shared" si="8"/>
        <v>30575.999999999996</v>
      </c>
      <c r="M36" s="189">
        <f>'[3]HARVESTING KHT'!AQ18</f>
        <v>145800</v>
      </c>
      <c r="N36" s="189">
        <f>'[3]HARVESTING KHT'!U18</f>
        <v>151200</v>
      </c>
      <c r="O36" s="189">
        <f>'[3]HARVESTING KHT'!X18</f>
        <v>0</v>
      </c>
      <c r="P36" s="189">
        <f>'[3]HARVESTING KHT'!AD18</f>
        <v>0</v>
      </c>
      <c r="Q36" s="189">
        <f>'[3]HARVESTING KHT'!AE18</f>
        <v>0</v>
      </c>
      <c r="R36" s="189">
        <f>'[3]HARVESTING KHT'!AA18</f>
        <v>297765</v>
      </c>
      <c r="S36" s="189">
        <f>'[3]HARVESTING KHT'!AB18</f>
        <v>149100</v>
      </c>
      <c r="T36" s="189">
        <f>'[3]HARVESTING KHT'!AC18</f>
        <v>314600</v>
      </c>
      <c r="U36" s="189">
        <f>'[3]HARVESTING KHT'!AF18</f>
        <v>138390</v>
      </c>
      <c r="V36" s="189">
        <f>'[3]HARVESTING KHT'!AH18</f>
        <v>0</v>
      </c>
      <c r="W36" s="189">
        <f>'[3]HARVESTING KHT'!AK18</f>
        <v>0</v>
      </c>
      <c r="X36" s="189">
        <f>'[3]HARVESTING KHT'!Z18</f>
        <v>5000</v>
      </c>
      <c r="Y36" s="189">
        <f>-'[3]HARVESTING KHT'!AI18</f>
        <v>-320478</v>
      </c>
      <c r="Z36" s="189"/>
      <c r="AA36" s="189"/>
      <c r="AB36" s="189">
        <f>-'[3]HARVESTING KHT'!BI18</f>
        <v>-121333.33</v>
      </c>
      <c r="AC36" s="189">
        <f>'[4]HARVESTING KHT'!$M19</f>
        <v>3806999.9</v>
      </c>
      <c r="AD36" s="189"/>
      <c r="AE36" s="183">
        <f t="shared" si="0"/>
        <v>8116286</v>
      </c>
      <c r="AF36" s="184">
        <f t="shared" si="1"/>
        <v>0.01</v>
      </c>
      <c r="AG36" s="152">
        <f t="shared" si="9"/>
        <v>81162</v>
      </c>
      <c r="AH36" s="211" t="e">
        <f>#REF!</f>
        <v>#REF!</v>
      </c>
      <c r="AI36" s="172" t="e">
        <f t="shared" si="4"/>
        <v>#REF!</v>
      </c>
      <c r="AJ36" s="93"/>
      <c r="AK36" s="146" t="e">
        <f t="shared" si="10"/>
        <v>#REF!</v>
      </c>
      <c r="AL36" s="147"/>
      <c r="AN36" s="199">
        <f>'[3]HARVESTING KHT'!$AL18</f>
        <v>4132910.24</v>
      </c>
      <c r="AO36" s="200">
        <f t="shared" si="2"/>
        <v>176376</v>
      </c>
      <c r="AP36" s="199">
        <f t="shared" si="5"/>
        <v>4309286.24</v>
      </c>
      <c r="AQ36" s="201">
        <f t="shared" si="6"/>
        <v>-3806999.76</v>
      </c>
    </row>
    <row r="37" spans="2:43" s="173" customFormat="1" ht="18" customHeight="1">
      <c r="B37" s="174">
        <v>32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3"/>
        <v>TER B</v>
      </c>
      <c r="K37" s="182">
        <f t="shared" si="7"/>
        <v>3518666.57</v>
      </c>
      <c r="L37" s="169">
        <f t="shared" si="8"/>
        <v>30575.999999999996</v>
      </c>
      <c r="M37" s="189">
        <f>'[3]HARVESTING KHT'!AQ19</f>
        <v>145700</v>
      </c>
      <c r="N37" s="189">
        <f>'[3]HARVESTING KHT'!U19</f>
        <v>130500</v>
      </c>
      <c r="O37" s="189">
        <f>'[3]HARVESTING KHT'!X19</f>
        <v>0</v>
      </c>
      <c r="P37" s="189">
        <f>'[3]HARVESTING KHT'!AD19</f>
        <v>0</v>
      </c>
      <c r="Q37" s="189">
        <f>'[3]HARVESTING KHT'!AE19</f>
        <v>0</v>
      </c>
      <c r="R37" s="189">
        <f>'[3]HARVESTING KHT'!AA19</f>
        <v>317616</v>
      </c>
      <c r="S37" s="189">
        <f>'[3]HARVESTING KHT'!AB19</f>
        <v>220500</v>
      </c>
      <c r="T37" s="189">
        <f>'[3]HARVESTING KHT'!AC19</f>
        <v>471900</v>
      </c>
      <c r="U37" s="189">
        <f>'[3]HARVESTING KHT'!AF19</f>
        <v>0</v>
      </c>
      <c r="V37" s="189">
        <f>'[3]HARVESTING KHT'!AH19</f>
        <v>0</v>
      </c>
      <c r="W37" s="189">
        <f>'[3]HARVESTING KHT'!AK19</f>
        <v>0</v>
      </c>
      <c r="X37" s="189">
        <f>'[3]HARVESTING KHT'!Z19</f>
        <v>2500</v>
      </c>
      <c r="Y37" s="189">
        <f>-'[3]HARVESTING KHT'!AI19</f>
        <v>0</v>
      </c>
      <c r="Z37" s="189"/>
      <c r="AA37" s="189"/>
      <c r="AB37" s="189">
        <f>-'[3]HARVESTING KHT'!BI19</f>
        <v>0</v>
      </c>
      <c r="AC37" s="189">
        <f>'[4]HARVESTING KHT'!$M20</f>
        <v>3779999.9</v>
      </c>
      <c r="AD37" s="189"/>
      <c r="AE37" s="183">
        <f t="shared" si="0"/>
        <v>8617958</v>
      </c>
      <c r="AF37" s="184">
        <f t="shared" si="1"/>
        <v>0.01</v>
      </c>
      <c r="AG37" s="152">
        <f t="shared" si="9"/>
        <v>86179</v>
      </c>
      <c r="AH37" s="211" t="e">
        <f>#REF!</f>
        <v>#REF!</v>
      </c>
      <c r="AI37" s="172" t="e">
        <f t="shared" si="4"/>
        <v>#REF!</v>
      </c>
      <c r="AJ37" s="93"/>
      <c r="AK37" s="146" t="e">
        <f t="shared" si="10"/>
        <v>#REF!</v>
      </c>
      <c r="AL37" s="147"/>
      <c r="AN37" s="199">
        <f>'[3]HARVESTING KHT'!$AL19</f>
        <v>4661682.57</v>
      </c>
      <c r="AO37" s="200">
        <f t="shared" si="2"/>
        <v>176276</v>
      </c>
      <c r="AP37" s="199">
        <f t="shared" si="5"/>
        <v>4837958.57</v>
      </c>
      <c r="AQ37" s="201">
        <f t="shared" si="6"/>
        <v>-3779999.4299999997</v>
      </c>
    </row>
    <row r="38" spans="2:43" s="173" customFormat="1" ht="18" customHeight="1">
      <c r="B38" s="174">
        <v>33</v>
      </c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3"/>
        <v>TER B</v>
      </c>
      <c r="K38" s="182">
        <f t="shared" si="7"/>
        <v>3518666.57</v>
      </c>
      <c r="L38" s="169">
        <f t="shared" si="8"/>
        <v>30575.999999999996</v>
      </c>
      <c r="M38" s="189">
        <f>'[3]HARVESTING KHT'!AQ20</f>
        <v>145700</v>
      </c>
      <c r="N38" s="189">
        <f>'[3]HARVESTING KHT'!U20</f>
        <v>130500</v>
      </c>
      <c r="O38" s="189">
        <f>'[3]HARVESTING KHT'!X20</f>
        <v>0</v>
      </c>
      <c r="P38" s="189">
        <f>'[3]HARVESTING KHT'!AD20</f>
        <v>0</v>
      </c>
      <c r="Q38" s="189">
        <f>'[3]HARVESTING KHT'!AE20</f>
        <v>0</v>
      </c>
      <c r="R38" s="189">
        <f>'[3]HARVESTING KHT'!AA20</f>
        <v>108417</v>
      </c>
      <c r="S38" s="189">
        <f>'[3]HARVESTING KHT'!AB20</f>
        <v>129150</v>
      </c>
      <c r="T38" s="189">
        <f>'[3]HARVESTING KHT'!AC20</f>
        <v>470800</v>
      </c>
      <c r="U38" s="189">
        <f>'[3]HARVESTING KHT'!AF20</f>
        <v>0</v>
      </c>
      <c r="V38" s="189">
        <f>'[3]HARVESTING KHT'!AH20</f>
        <v>0</v>
      </c>
      <c r="W38" s="189">
        <f>'[3]HARVESTING KHT'!AK20</f>
        <v>0</v>
      </c>
      <c r="X38" s="189">
        <f>'[3]HARVESTING KHT'!Z20</f>
        <v>2500</v>
      </c>
      <c r="Y38" s="189">
        <f>-'[3]HARVESTING KHT'!AI20</f>
        <v>0</v>
      </c>
      <c r="Z38" s="189"/>
      <c r="AA38" s="189"/>
      <c r="AB38" s="189">
        <f>-'[3]HARVESTING KHT'!BI20</f>
        <v>0</v>
      </c>
      <c r="AC38" s="189">
        <f>'[4]HARVESTING KHT'!$M21</f>
        <v>3779999.9</v>
      </c>
      <c r="AD38" s="189"/>
      <c r="AE38" s="183">
        <f t="shared" si="0"/>
        <v>8316309</v>
      </c>
      <c r="AF38" s="184">
        <f t="shared" ref="AF38:AF69" si="11">IF(J38="TER A",VLOOKUP(AE38,Ter_A,4,TRUE),IF(J38="TER B",VLOOKUP(AE38,Ter_B,4,TRUE),VLOOKUP(AE38,Ter_C,4,TRUE)))</f>
        <v>0.01</v>
      </c>
      <c r="AG38" s="152">
        <f t="shared" si="9"/>
        <v>83163</v>
      </c>
      <c r="AH38" s="211" t="e">
        <f>#REF!</f>
        <v>#REF!</v>
      </c>
      <c r="AI38" s="172" t="e">
        <f t="shared" si="4"/>
        <v>#REF!</v>
      </c>
      <c r="AJ38" s="93"/>
      <c r="AK38" s="146" t="e">
        <f t="shared" si="10"/>
        <v>#REF!</v>
      </c>
      <c r="AL38" s="147"/>
      <c r="AN38" s="199">
        <f>'[3]HARVESTING KHT'!$AL20</f>
        <v>4360033.57</v>
      </c>
      <c r="AO38" s="200">
        <f t="shared" si="2"/>
        <v>176276</v>
      </c>
      <c r="AP38" s="199">
        <f t="shared" si="5"/>
        <v>4536309.57</v>
      </c>
      <c r="AQ38" s="201">
        <f t="shared" si="6"/>
        <v>-3779999.4299999997</v>
      </c>
    </row>
    <row r="39" spans="2:43" s="173" customFormat="1" ht="18" customHeight="1">
      <c r="B39" s="174">
        <v>34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3"/>
        <v>TER B</v>
      </c>
      <c r="K39" s="182">
        <f t="shared" si="7"/>
        <v>3518666.57</v>
      </c>
      <c r="L39" s="169">
        <f t="shared" si="8"/>
        <v>30575.999999999996</v>
      </c>
      <c r="M39" s="189">
        <f>'[3]HARVESTING KHT'!AQ21</f>
        <v>145700</v>
      </c>
      <c r="N39" s="189">
        <f>'[3]HARVESTING KHT'!U21</f>
        <v>130500</v>
      </c>
      <c r="O39" s="189">
        <f>'[3]HARVESTING KHT'!X21</f>
        <v>0</v>
      </c>
      <c r="P39" s="189">
        <f>'[3]HARVESTING KHT'!AD21</f>
        <v>0</v>
      </c>
      <c r="Q39" s="189">
        <f>'[3]HARVESTING KHT'!AE21</f>
        <v>0</v>
      </c>
      <c r="R39" s="189">
        <f>'[3]HARVESTING KHT'!AA21</f>
        <v>517653</v>
      </c>
      <c r="S39" s="189">
        <f>'[3]HARVESTING KHT'!AB21</f>
        <v>157500</v>
      </c>
      <c r="T39" s="189">
        <f>'[3]HARVESTING KHT'!AC21</f>
        <v>437800</v>
      </c>
      <c r="U39" s="189">
        <f>'[3]HARVESTING KHT'!AF21</f>
        <v>0</v>
      </c>
      <c r="V39" s="189">
        <f>'[3]HARVESTING KHT'!AH21</f>
        <v>150000</v>
      </c>
      <c r="W39" s="189">
        <f>'[3]HARVESTING KHT'!AK21</f>
        <v>0</v>
      </c>
      <c r="X39" s="189">
        <f>'[3]HARVESTING KHT'!Z21</f>
        <v>2500</v>
      </c>
      <c r="Y39" s="189">
        <f>-'[3]HARVESTING KHT'!AI21</f>
        <v>0</v>
      </c>
      <c r="Z39" s="189"/>
      <c r="AA39" s="189"/>
      <c r="AB39" s="189">
        <f>-'[3]HARVESTING KHT'!BI21</f>
        <v>0</v>
      </c>
      <c r="AC39" s="189">
        <f>'[4]HARVESTING KHT'!$M22</f>
        <v>3779999.9</v>
      </c>
      <c r="AD39" s="189"/>
      <c r="AE39" s="183">
        <f t="shared" si="0"/>
        <v>8870895</v>
      </c>
      <c r="AF39" s="184">
        <f t="shared" si="11"/>
        <v>0.01</v>
      </c>
      <c r="AG39" s="152">
        <f t="shared" si="9"/>
        <v>88708</v>
      </c>
      <c r="AH39" s="211" t="e">
        <f>#REF!</f>
        <v>#REF!</v>
      </c>
      <c r="AI39" s="172" t="e">
        <f t="shared" si="4"/>
        <v>#REF!</v>
      </c>
      <c r="AJ39" s="93"/>
      <c r="AK39" s="146" t="e">
        <f t="shared" si="10"/>
        <v>#REF!</v>
      </c>
      <c r="AL39" s="147"/>
      <c r="AN39" s="199">
        <f>'[3]HARVESTING KHT'!$AL21</f>
        <v>4914619.57</v>
      </c>
      <c r="AO39" s="200">
        <f t="shared" si="2"/>
        <v>176276</v>
      </c>
      <c r="AP39" s="199">
        <f t="shared" si="5"/>
        <v>5090895.57</v>
      </c>
      <c r="AQ39" s="201">
        <f t="shared" si="6"/>
        <v>-3779999.4299999997</v>
      </c>
    </row>
    <row r="40" spans="2:43" s="173" customFormat="1" ht="18" customHeight="1">
      <c r="B40" s="174">
        <v>35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3"/>
        <v>TER A</v>
      </c>
      <c r="K40" s="182">
        <f t="shared" si="7"/>
        <v>3518666.57</v>
      </c>
      <c r="L40" s="169">
        <f t="shared" si="8"/>
        <v>30575.999999999996</v>
      </c>
      <c r="M40" s="189">
        <f>'[3]HARVESTING KHT'!AQ22</f>
        <v>145700</v>
      </c>
      <c r="N40" s="189">
        <f>'[3]HARVESTING KHT'!U22</f>
        <v>60750</v>
      </c>
      <c r="O40" s="189">
        <f>'[3]HARVESTING KHT'!X22</f>
        <v>0</v>
      </c>
      <c r="P40" s="189">
        <f>'[3]HARVESTING KHT'!AD22</f>
        <v>0</v>
      </c>
      <c r="Q40" s="189">
        <f>'[3]HARVESTING KHT'!AE22</f>
        <v>0</v>
      </c>
      <c r="R40" s="189">
        <f>'[3]HARVESTING KHT'!AA22</f>
        <v>42756</v>
      </c>
      <c r="S40" s="189">
        <f>'[3]HARVESTING KHT'!AB22</f>
        <v>171150</v>
      </c>
      <c r="T40" s="189">
        <f>'[3]HARVESTING KHT'!AC22</f>
        <v>301950</v>
      </c>
      <c r="U40" s="189">
        <f>'[3]HARVESTING KHT'!AF22</f>
        <v>0</v>
      </c>
      <c r="V40" s="189">
        <f>'[3]HARVESTING KHT'!AH22</f>
        <v>0</v>
      </c>
      <c r="W40" s="189">
        <f>'[3]HARVESTING KHT'!AK22</f>
        <v>0</v>
      </c>
      <c r="X40" s="189">
        <f>'[3]HARVESTING KHT'!Z22</f>
        <v>2500</v>
      </c>
      <c r="Y40" s="189">
        <f>-'[3]HARVESTING KHT'!AI22</f>
        <v>-105507</v>
      </c>
      <c r="Z40" s="189"/>
      <c r="AA40" s="189"/>
      <c r="AB40" s="189">
        <f>-'[3]HARVESTING KHT'!BI22</f>
        <v>-242666.66</v>
      </c>
      <c r="AC40" s="189">
        <f>'[4]HARVESTING KHT'!$M23</f>
        <v>3709999.9</v>
      </c>
      <c r="AD40" s="189"/>
      <c r="AE40" s="183">
        <f t="shared" si="0"/>
        <v>7635874</v>
      </c>
      <c r="AF40" s="184">
        <f t="shared" si="11"/>
        <v>1.5000000000000001E-2</v>
      </c>
      <c r="AG40" s="152">
        <f t="shared" si="9"/>
        <v>114538</v>
      </c>
      <c r="AH40" s="211" t="e">
        <f>#REF!</f>
        <v>#REF!</v>
      </c>
      <c r="AI40" s="172" t="e">
        <f t="shared" si="4"/>
        <v>#REF!</v>
      </c>
      <c r="AJ40" s="93"/>
      <c r="AK40" s="146" t="e">
        <f t="shared" si="10"/>
        <v>#REF!</v>
      </c>
      <c r="AL40" s="147"/>
      <c r="AN40" s="199">
        <f>'[3]HARVESTING KHT'!$AL22</f>
        <v>3749598.91</v>
      </c>
      <c r="AO40" s="200">
        <f t="shared" si="2"/>
        <v>176276</v>
      </c>
      <c r="AP40" s="199">
        <f t="shared" si="5"/>
        <v>3925874.91</v>
      </c>
      <c r="AQ40" s="201">
        <f t="shared" si="6"/>
        <v>-3709999.09</v>
      </c>
    </row>
    <row r="41" spans="2:43" s="173" customFormat="1" ht="18" customHeight="1">
      <c r="B41" s="174">
        <v>36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3"/>
        <v>TER B</v>
      </c>
      <c r="K41" s="182">
        <f t="shared" si="7"/>
        <v>3518666.57</v>
      </c>
      <c r="L41" s="169">
        <f t="shared" si="8"/>
        <v>30575.999999999996</v>
      </c>
      <c r="M41" s="189">
        <f>'[3]HARVESTING KHT'!AQ23</f>
        <v>146320</v>
      </c>
      <c r="N41" s="189">
        <f>'[3]HARVESTING KHT'!U23</f>
        <v>145800</v>
      </c>
      <c r="O41" s="189">
        <f>'[3]HARVESTING KHT'!X23</f>
        <v>0</v>
      </c>
      <c r="P41" s="189">
        <f>'[3]HARVESTING KHT'!AD23</f>
        <v>0</v>
      </c>
      <c r="Q41" s="189">
        <f>'[3]HARVESTING KHT'!AE23</f>
        <v>0</v>
      </c>
      <c r="R41" s="189">
        <f>'[3]HARVESTING KHT'!AA23</f>
        <v>0</v>
      </c>
      <c r="S41" s="189">
        <f>'[3]HARVESTING KHT'!AB23</f>
        <v>110250</v>
      </c>
      <c r="T41" s="189">
        <f>'[3]HARVESTING KHT'!AC23</f>
        <v>445500</v>
      </c>
      <c r="U41" s="189">
        <f>'[3]HARVESTING KHT'!AF23</f>
        <v>0</v>
      </c>
      <c r="V41" s="189">
        <f>'[3]HARVESTING KHT'!AH23</f>
        <v>0</v>
      </c>
      <c r="W41" s="189">
        <f>'[3]HARVESTING KHT'!AK23</f>
        <v>0</v>
      </c>
      <c r="X41" s="189">
        <f>'[3]HARVESTING KHT'!Z23</f>
        <v>18000</v>
      </c>
      <c r="Y41" s="189">
        <f>-'[3]HARVESTING KHT'!AI23</f>
        <v>-321797</v>
      </c>
      <c r="Z41" s="189"/>
      <c r="AA41" s="189"/>
      <c r="AB41" s="189">
        <f>-'[3]HARVESTING KHT'!BI23</f>
        <v>-242666.66</v>
      </c>
      <c r="AC41" s="189">
        <f>'[4]HARVESTING KHT'!$M24</f>
        <v>3819999.9</v>
      </c>
      <c r="AD41" s="189"/>
      <c r="AE41" s="183">
        <f t="shared" si="0"/>
        <v>7670648</v>
      </c>
      <c r="AF41" s="184">
        <f t="shared" si="11"/>
        <v>0.01</v>
      </c>
      <c r="AG41" s="152">
        <f t="shared" si="9"/>
        <v>76706</v>
      </c>
      <c r="AH41" s="211" t="e">
        <f>#REF!</f>
        <v>#REF!</v>
      </c>
      <c r="AI41" s="172" t="e">
        <f t="shared" si="4"/>
        <v>#REF!</v>
      </c>
      <c r="AJ41" s="93"/>
      <c r="AK41" s="146" t="e">
        <f t="shared" si="10"/>
        <v>#REF!</v>
      </c>
      <c r="AL41" s="147"/>
      <c r="AN41" s="199">
        <f>'[3]HARVESTING KHT'!$AL23</f>
        <v>3673752.91</v>
      </c>
      <c r="AO41" s="200">
        <f t="shared" si="2"/>
        <v>176896</v>
      </c>
      <c r="AP41" s="199">
        <f t="shared" si="5"/>
        <v>3850648.91</v>
      </c>
      <c r="AQ41" s="201">
        <f t="shared" si="6"/>
        <v>-3819999.09</v>
      </c>
    </row>
    <row r="42" spans="2:43" s="173" customFormat="1" ht="18" customHeight="1">
      <c r="B42" s="174">
        <v>37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3"/>
        <v>TER B</v>
      </c>
      <c r="K42" s="182">
        <f t="shared" si="7"/>
        <v>3518666.57</v>
      </c>
      <c r="L42" s="169">
        <f t="shared" si="8"/>
        <v>30575.999999999996</v>
      </c>
      <c r="M42" s="189">
        <f>'[3]HARVESTING KHT'!AQ24</f>
        <v>146440</v>
      </c>
      <c r="N42" s="189">
        <f>'[3]HARVESTING KHT'!U24</f>
        <v>130500</v>
      </c>
      <c r="O42" s="189">
        <f>'[3]HARVESTING KHT'!X24</f>
        <v>0</v>
      </c>
      <c r="P42" s="189">
        <f>'[3]HARVESTING KHT'!AD24</f>
        <v>0</v>
      </c>
      <c r="Q42" s="189">
        <f>'[3]HARVESTING KHT'!AE24</f>
        <v>0</v>
      </c>
      <c r="R42" s="189">
        <f>'[3]HARVESTING KHT'!AA24</f>
        <v>0</v>
      </c>
      <c r="S42" s="189">
        <f>'[3]HARVESTING KHT'!AB24</f>
        <v>132300</v>
      </c>
      <c r="T42" s="189">
        <f>'[3]HARVESTING KHT'!AC24</f>
        <v>314600</v>
      </c>
      <c r="U42" s="189">
        <f>'[3]HARVESTING KHT'!AF24</f>
        <v>0</v>
      </c>
      <c r="V42" s="189">
        <f>'[3]HARVESTING KHT'!AH24</f>
        <v>0</v>
      </c>
      <c r="W42" s="189">
        <f>'[3]HARVESTING KHT'!AK24</f>
        <v>0</v>
      </c>
      <c r="X42" s="189">
        <f>'[3]HARVESTING KHT'!Z24</f>
        <v>21000</v>
      </c>
      <c r="Y42" s="189">
        <f>-'[3]HARVESTING KHT'!AI24</f>
        <v>-193870</v>
      </c>
      <c r="Z42" s="189"/>
      <c r="AA42" s="189"/>
      <c r="AB42" s="189">
        <f>-'[3]HARVESTING KHT'!BI24</f>
        <v>0</v>
      </c>
      <c r="AC42" s="189">
        <f>'[4]HARVESTING KHT'!$M25</f>
        <v>3795999.9</v>
      </c>
      <c r="AD42" s="189"/>
      <c r="AE42" s="183">
        <f t="shared" si="0"/>
        <v>7896212</v>
      </c>
      <c r="AF42" s="184">
        <f t="shared" si="11"/>
        <v>0.01</v>
      </c>
      <c r="AG42" s="152">
        <f t="shared" si="9"/>
        <v>78962</v>
      </c>
      <c r="AH42" s="211" t="e">
        <f>#REF!</f>
        <v>#REF!</v>
      </c>
      <c r="AI42" s="172" t="e">
        <f t="shared" si="4"/>
        <v>#REF!</v>
      </c>
      <c r="AJ42" s="93"/>
      <c r="AK42" s="146" t="e">
        <f t="shared" si="10"/>
        <v>#REF!</v>
      </c>
      <c r="AL42" s="147"/>
      <c r="AN42" s="199">
        <f>'[3]HARVESTING KHT'!$AL24</f>
        <v>3923196.5700000003</v>
      </c>
      <c r="AO42" s="200">
        <f t="shared" si="2"/>
        <v>177016</v>
      </c>
      <c r="AP42" s="199">
        <f t="shared" si="5"/>
        <v>4100212.5700000003</v>
      </c>
      <c r="AQ42" s="201">
        <f t="shared" si="6"/>
        <v>-3795999.4299999997</v>
      </c>
    </row>
    <row r="43" spans="2:43" s="173" customFormat="1" ht="18" customHeight="1">
      <c r="B43" s="174">
        <v>38</v>
      </c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3"/>
        <v>TER B</v>
      </c>
      <c r="K43" s="182">
        <f t="shared" si="7"/>
        <v>3518666.57</v>
      </c>
      <c r="L43" s="169">
        <f t="shared" si="8"/>
        <v>30575.999999999996</v>
      </c>
      <c r="M43" s="189">
        <f>'[3]HARVESTING KHT'!AQ25</f>
        <v>145800</v>
      </c>
      <c r="N43" s="189">
        <f>'[3]HARVESTING KHT'!U25</f>
        <v>130500</v>
      </c>
      <c r="O43" s="189">
        <f>'[3]HARVESTING KHT'!X25</f>
        <v>0</v>
      </c>
      <c r="P43" s="189">
        <f>'[3]HARVESTING KHT'!AD25</f>
        <v>0</v>
      </c>
      <c r="Q43" s="189">
        <f>'[3]HARVESTING KHT'!AE25</f>
        <v>0</v>
      </c>
      <c r="R43" s="189">
        <f>'[3]HARVESTING KHT'!AA25</f>
        <v>161862</v>
      </c>
      <c r="S43" s="189">
        <f>'[3]HARVESTING KHT'!AB25</f>
        <v>132300</v>
      </c>
      <c r="T43" s="189">
        <f>'[3]HARVESTING KHT'!AC25</f>
        <v>470800</v>
      </c>
      <c r="U43" s="189">
        <f>'[3]HARVESTING KHT'!AF25</f>
        <v>0</v>
      </c>
      <c r="V43" s="189">
        <f>'[3]HARVESTING KHT'!AH25</f>
        <v>0</v>
      </c>
      <c r="W43" s="189">
        <f>'[3]HARVESTING KHT'!AK25</f>
        <v>0</v>
      </c>
      <c r="X43" s="189">
        <f>'[3]HARVESTING KHT'!Z25</f>
        <v>5000</v>
      </c>
      <c r="Y43" s="189">
        <f>-'[3]HARVESTING KHT'!AI25</f>
        <v>0</v>
      </c>
      <c r="Z43" s="189"/>
      <c r="AA43" s="189"/>
      <c r="AB43" s="189">
        <f>-'[3]HARVESTING KHT'!BI25</f>
        <v>0</v>
      </c>
      <c r="AC43" s="189">
        <f>'[4]HARVESTING KHT'!$M26</f>
        <v>3779999.9</v>
      </c>
      <c r="AD43" s="189"/>
      <c r="AE43" s="183">
        <f t="shared" si="0"/>
        <v>8375504</v>
      </c>
      <c r="AF43" s="184">
        <f t="shared" si="11"/>
        <v>0.01</v>
      </c>
      <c r="AG43" s="152">
        <f t="shared" si="9"/>
        <v>83755</v>
      </c>
      <c r="AH43" s="211" t="e">
        <f>#REF!</f>
        <v>#REF!</v>
      </c>
      <c r="AI43" s="172" t="e">
        <f t="shared" si="4"/>
        <v>#REF!</v>
      </c>
      <c r="AJ43" s="93"/>
      <c r="AK43" s="146" t="e">
        <f t="shared" si="10"/>
        <v>#REF!</v>
      </c>
      <c r="AL43" s="147"/>
      <c r="AN43" s="199">
        <f>'[3]HARVESTING KHT'!$AL25</f>
        <v>4419128.57</v>
      </c>
      <c r="AO43" s="200">
        <f t="shared" si="2"/>
        <v>176376</v>
      </c>
      <c r="AP43" s="199">
        <f t="shared" si="5"/>
        <v>4595504.57</v>
      </c>
      <c r="AQ43" s="201">
        <f t="shared" si="6"/>
        <v>-3779999.4299999997</v>
      </c>
    </row>
    <row r="44" spans="2:43" s="173" customFormat="1" ht="18" customHeight="1">
      <c r="B44" s="174">
        <v>39</v>
      </c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3"/>
        <v>TER B</v>
      </c>
      <c r="K44" s="182">
        <f t="shared" si="7"/>
        <v>3518666.57</v>
      </c>
      <c r="L44" s="169">
        <f t="shared" si="8"/>
        <v>30575.999999999996</v>
      </c>
      <c r="M44" s="189">
        <f>'[3]HARVESTING KHT'!AQ26</f>
        <v>146000</v>
      </c>
      <c r="N44" s="189">
        <f>'[3]HARVESTING KHT'!U26</f>
        <v>121500</v>
      </c>
      <c r="O44" s="189">
        <f>'[3]HARVESTING KHT'!X26</f>
        <v>0</v>
      </c>
      <c r="P44" s="189">
        <f>'[3]HARVESTING KHT'!AD26</f>
        <v>0</v>
      </c>
      <c r="Q44" s="189">
        <f>'[3]HARVESTING KHT'!AE26</f>
        <v>0</v>
      </c>
      <c r="R44" s="189">
        <f>'[3]HARVESTING KHT'!AA26</f>
        <v>27486</v>
      </c>
      <c r="S44" s="189">
        <f>'[3]HARVESTING KHT'!AB26</f>
        <v>97650</v>
      </c>
      <c r="T44" s="189">
        <f>'[3]HARVESTING KHT'!AC26</f>
        <v>469700</v>
      </c>
      <c r="U44" s="189">
        <f>'[3]HARVESTING KHT'!AF26</f>
        <v>0</v>
      </c>
      <c r="V44" s="189">
        <f>'[3]HARVESTING KHT'!AH26</f>
        <v>0</v>
      </c>
      <c r="W44" s="189">
        <f>'[3]HARVESTING KHT'!AK26</f>
        <v>0</v>
      </c>
      <c r="X44" s="189">
        <f>'[3]HARVESTING KHT'!Z26</f>
        <v>10000</v>
      </c>
      <c r="Y44" s="189">
        <f>-'[3]HARVESTING KHT'!AI26</f>
        <v>-212333</v>
      </c>
      <c r="Z44" s="189"/>
      <c r="AA44" s="189"/>
      <c r="AB44" s="189">
        <f>-'[3]HARVESTING KHT'!BI26</f>
        <v>-242666.66</v>
      </c>
      <c r="AC44" s="189">
        <f>'[4]HARVESTING KHT'!$M27</f>
        <v>3784999.9</v>
      </c>
      <c r="AD44" s="189"/>
      <c r="AE44" s="183">
        <f t="shared" si="0"/>
        <v>7751578</v>
      </c>
      <c r="AF44" s="184">
        <f t="shared" si="11"/>
        <v>0.01</v>
      </c>
      <c r="AG44" s="152">
        <f t="shared" si="9"/>
        <v>77515</v>
      </c>
      <c r="AH44" s="211" t="e">
        <f>#REF!</f>
        <v>#REF!</v>
      </c>
      <c r="AI44" s="172" t="e">
        <f t="shared" si="4"/>
        <v>#REF!</v>
      </c>
      <c r="AJ44" s="93"/>
      <c r="AK44" s="146" t="e">
        <f t="shared" si="10"/>
        <v>#REF!</v>
      </c>
      <c r="AL44" s="147"/>
      <c r="AN44" s="199">
        <f>'[3]HARVESTING KHT'!$AL26</f>
        <v>3790002.91</v>
      </c>
      <c r="AO44" s="200">
        <f t="shared" si="2"/>
        <v>176576</v>
      </c>
      <c r="AP44" s="199">
        <f t="shared" si="5"/>
        <v>3966578.91</v>
      </c>
      <c r="AQ44" s="201">
        <f t="shared" si="6"/>
        <v>-3784999.09</v>
      </c>
    </row>
    <row r="45" spans="2:43" s="173" customFormat="1" ht="18" customHeight="1">
      <c r="B45" s="174">
        <v>40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3"/>
        <v>TER B</v>
      </c>
      <c r="K45" s="182">
        <f t="shared" si="7"/>
        <v>3518666.57</v>
      </c>
      <c r="L45" s="169">
        <f t="shared" si="8"/>
        <v>30575.999999999996</v>
      </c>
      <c r="M45" s="189">
        <f>'[3]HARVESTING KHT'!AQ27</f>
        <v>145700</v>
      </c>
      <c r="N45" s="189">
        <f>'[3]HARVESTING KHT'!U27</f>
        <v>156600</v>
      </c>
      <c r="O45" s="189">
        <f>'[3]HARVESTING KHT'!X27</f>
        <v>0</v>
      </c>
      <c r="P45" s="189">
        <f>'[3]HARVESTING KHT'!AD27</f>
        <v>0</v>
      </c>
      <c r="Q45" s="189">
        <f>'[3]HARVESTING KHT'!AE27</f>
        <v>0</v>
      </c>
      <c r="R45" s="189">
        <f>'[3]HARVESTING KHT'!AA27</f>
        <v>374115</v>
      </c>
      <c r="S45" s="189">
        <f>'[3]HARVESTING KHT'!AB27</f>
        <v>142800</v>
      </c>
      <c r="T45" s="189">
        <f>'[3]HARVESTING KHT'!AC27</f>
        <v>314600</v>
      </c>
      <c r="U45" s="189">
        <f>'[3]HARVESTING KHT'!AF27</f>
        <v>0</v>
      </c>
      <c r="V45" s="189">
        <f>'[3]HARVESTING KHT'!AH27</f>
        <v>0</v>
      </c>
      <c r="W45" s="189">
        <f>'[3]HARVESTING KHT'!AK27</f>
        <v>0</v>
      </c>
      <c r="X45" s="189">
        <f>'[3]HARVESTING KHT'!Z27</f>
        <v>2500</v>
      </c>
      <c r="Y45" s="189">
        <f>-'[3]HARVESTING KHT'!AI27</f>
        <v>-208377</v>
      </c>
      <c r="Z45" s="189"/>
      <c r="AA45" s="189"/>
      <c r="AB45" s="189">
        <f>-'[3]HARVESTING KHT'!BI27</f>
        <v>0</v>
      </c>
      <c r="AC45" s="189">
        <f>'[4]HARVESTING KHT'!$M28</f>
        <v>3804499.9</v>
      </c>
      <c r="AD45" s="189"/>
      <c r="AE45" s="183">
        <f t="shared" si="0"/>
        <v>8281680</v>
      </c>
      <c r="AF45" s="184">
        <f t="shared" si="11"/>
        <v>0.01</v>
      </c>
      <c r="AG45" s="152">
        <f t="shared" si="9"/>
        <v>82816</v>
      </c>
      <c r="AH45" s="211" t="e">
        <f>#REF!</f>
        <v>#REF!</v>
      </c>
      <c r="AI45" s="172" t="e">
        <f t="shared" si="4"/>
        <v>#REF!</v>
      </c>
      <c r="AJ45" s="93"/>
      <c r="AK45" s="146" t="e">
        <f t="shared" si="10"/>
        <v>#REF!</v>
      </c>
      <c r="AL45" s="147"/>
      <c r="AN45" s="199">
        <f>'[3]HARVESTING KHT'!$AL27</f>
        <v>4300904.57</v>
      </c>
      <c r="AO45" s="200">
        <f t="shared" si="2"/>
        <v>176276</v>
      </c>
      <c r="AP45" s="199">
        <f t="shared" si="5"/>
        <v>4477180.57</v>
      </c>
      <c r="AQ45" s="201">
        <f t="shared" si="6"/>
        <v>-3804499.4299999997</v>
      </c>
    </row>
    <row r="46" spans="2:43" s="173" customFormat="1" ht="18" customHeight="1">
      <c r="B46" s="174">
        <v>41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3"/>
        <v>TER A</v>
      </c>
      <c r="K46" s="182">
        <f t="shared" si="7"/>
        <v>3518666.57</v>
      </c>
      <c r="L46" s="169">
        <f t="shared" si="8"/>
        <v>30575.999999999996</v>
      </c>
      <c r="M46" s="189">
        <f>'[3]HARVESTING KHT'!AQ28</f>
        <v>145900</v>
      </c>
      <c r="N46" s="189">
        <f>'[3]HARVESTING KHT'!U28</f>
        <v>65250</v>
      </c>
      <c r="O46" s="189">
        <f>'[3]HARVESTING KHT'!X28</f>
        <v>0</v>
      </c>
      <c r="P46" s="189">
        <f>'[3]HARVESTING KHT'!AD28</f>
        <v>0</v>
      </c>
      <c r="Q46" s="189">
        <f>'[3]HARVESTING KHT'!AE28</f>
        <v>0</v>
      </c>
      <c r="R46" s="189">
        <f>'[3]HARVESTING KHT'!AA28</f>
        <v>685623</v>
      </c>
      <c r="S46" s="189">
        <f>'[3]HARVESTING KHT'!AB28</f>
        <v>172200</v>
      </c>
      <c r="T46" s="189">
        <f>'[3]HARVESTING KHT'!AC28</f>
        <v>487300</v>
      </c>
      <c r="U46" s="189">
        <f>'[3]HARVESTING KHT'!AF28</f>
        <v>0</v>
      </c>
      <c r="V46" s="189">
        <f>'[3]HARVESTING KHT'!AH28</f>
        <v>150000</v>
      </c>
      <c r="W46" s="189">
        <f>'[3]HARVESTING KHT'!AK28</f>
        <v>0</v>
      </c>
      <c r="X46" s="189">
        <f>'[3]HARVESTING KHT'!Z28</f>
        <v>7500</v>
      </c>
      <c r="Y46" s="189">
        <f>-'[3]HARVESTING KHT'!AI28</f>
        <v>0</v>
      </c>
      <c r="Z46" s="189"/>
      <c r="AA46" s="189"/>
      <c r="AB46" s="189">
        <f>-'[3]HARVESTING KHT'!BI28</f>
        <v>0</v>
      </c>
      <c r="AC46" s="189">
        <f>'[4]HARVESTING KHT'!$M29</f>
        <v>3714999.9</v>
      </c>
      <c r="AD46" s="189"/>
      <c r="AE46" s="183">
        <f t="shared" si="0"/>
        <v>8978015</v>
      </c>
      <c r="AF46" s="184">
        <f t="shared" si="11"/>
        <v>1.7500000000000002E-2</v>
      </c>
      <c r="AG46" s="152">
        <f t="shared" si="9"/>
        <v>157115</v>
      </c>
      <c r="AH46" s="211" t="e">
        <f>#REF!</f>
        <v>#REF!</v>
      </c>
      <c r="AI46" s="172" t="e">
        <f t="shared" si="4"/>
        <v>#REF!</v>
      </c>
      <c r="AJ46" s="93"/>
      <c r="AK46" s="146" t="e">
        <f t="shared" si="10"/>
        <v>#REF!</v>
      </c>
      <c r="AL46" s="147"/>
      <c r="AN46" s="199">
        <f>'[3]HARVESTING KHT'!$AL28</f>
        <v>5086539.57</v>
      </c>
      <c r="AO46" s="200">
        <f t="shared" si="2"/>
        <v>176476</v>
      </c>
      <c r="AP46" s="199">
        <f t="shared" si="5"/>
        <v>5263015.57</v>
      </c>
      <c r="AQ46" s="201">
        <f t="shared" si="6"/>
        <v>-3714999.4299999997</v>
      </c>
    </row>
    <row r="47" spans="2:43" s="173" customFormat="1" ht="18" customHeight="1">
      <c r="B47" s="174">
        <v>42</v>
      </c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3"/>
        <v>TER B</v>
      </c>
      <c r="K47" s="182">
        <f t="shared" si="7"/>
        <v>3518666.57</v>
      </c>
      <c r="L47" s="169">
        <f t="shared" si="8"/>
        <v>30575.999999999996</v>
      </c>
      <c r="M47" s="189">
        <f>'[3]HARVESTING KHT'!AQ29</f>
        <v>146100</v>
      </c>
      <c r="N47" s="189">
        <f>'[3]HARVESTING KHT'!U29</f>
        <v>145800</v>
      </c>
      <c r="O47" s="189">
        <f>'[3]HARVESTING KHT'!X29</f>
        <v>0</v>
      </c>
      <c r="P47" s="189">
        <f>'[3]HARVESTING KHT'!AD29</f>
        <v>0</v>
      </c>
      <c r="Q47" s="189">
        <f>'[3]HARVESTING KHT'!AE29</f>
        <v>0</v>
      </c>
      <c r="R47" s="189">
        <f>'[3]HARVESTING KHT'!AA29</f>
        <v>0</v>
      </c>
      <c r="S47" s="189">
        <f>'[3]HARVESTING KHT'!AB29</f>
        <v>134400</v>
      </c>
      <c r="T47" s="189">
        <f>'[3]HARVESTING KHT'!AC29</f>
        <v>696300</v>
      </c>
      <c r="U47" s="189">
        <f>'[3]HARVESTING KHT'!AF29</f>
        <v>0</v>
      </c>
      <c r="V47" s="189">
        <f>'[3]HARVESTING KHT'!AH29</f>
        <v>0</v>
      </c>
      <c r="W47" s="189">
        <f>'[3]HARVESTING KHT'!AK29</f>
        <v>0</v>
      </c>
      <c r="X47" s="189">
        <f>'[3]HARVESTING KHT'!Z29</f>
        <v>12500</v>
      </c>
      <c r="Y47" s="189">
        <f>-'[3]HARVESTING KHT'!AI29</f>
        <v>-101551</v>
      </c>
      <c r="Z47" s="189"/>
      <c r="AA47" s="189"/>
      <c r="AB47" s="189">
        <f>-'[3]HARVESTING KHT'!BI29</f>
        <v>-242666.66</v>
      </c>
      <c r="AC47" s="189">
        <f>'[4]HARVESTING KHT'!$M30</f>
        <v>3816999.9</v>
      </c>
      <c r="AD47" s="189"/>
      <c r="AE47" s="183">
        <f t="shared" si="0"/>
        <v>8157124</v>
      </c>
      <c r="AF47" s="184">
        <f t="shared" si="11"/>
        <v>0.01</v>
      </c>
      <c r="AG47" s="152">
        <f t="shared" si="9"/>
        <v>81571</v>
      </c>
      <c r="AH47" s="211" t="e">
        <f>#REF!</f>
        <v>#REF!</v>
      </c>
      <c r="AI47" s="172" t="e">
        <f t="shared" si="4"/>
        <v>#REF!</v>
      </c>
      <c r="AJ47" s="93"/>
      <c r="AK47" s="146" t="e">
        <f t="shared" si="10"/>
        <v>#REF!</v>
      </c>
      <c r="AL47" s="147"/>
      <c r="AN47" s="199">
        <f>'[3]HARVESTING KHT'!$AL29</f>
        <v>4163448.91</v>
      </c>
      <c r="AO47" s="200">
        <f t="shared" si="2"/>
        <v>176676</v>
      </c>
      <c r="AP47" s="199">
        <f t="shared" si="5"/>
        <v>4340124.91</v>
      </c>
      <c r="AQ47" s="201">
        <f t="shared" si="6"/>
        <v>-3816999.09</v>
      </c>
    </row>
    <row r="48" spans="2:43" s="173" customFormat="1" ht="18" customHeight="1">
      <c r="B48" s="174">
        <v>43</v>
      </c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3"/>
        <v>TER A</v>
      </c>
      <c r="K48" s="182">
        <f t="shared" si="7"/>
        <v>3518666.57</v>
      </c>
      <c r="L48" s="169">
        <f t="shared" si="8"/>
        <v>30575.999999999996</v>
      </c>
      <c r="M48" s="189">
        <f>'[3]HARVESTING KHT'!AQ30</f>
        <v>145800</v>
      </c>
      <c r="N48" s="189">
        <f>'[3]HARVESTING KHT'!U30</f>
        <v>60750</v>
      </c>
      <c r="O48" s="189">
        <f>'[3]HARVESTING KHT'!X30</f>
        <v>0</v>
      </c>
      <c r="P48" s="189">
        <f>'[3]HARVESTING KHT'!AD30</f>
        <v>0</v>
      </c>
      <c r="Q48" s="189">
        <f>'[3]HARVESTING KHT'!AE30</f>
        <v>0</v>
      </c>
      <c r="R48" s="189">
        <f>'[3]HARVESTING KHT'!AA30</f>
        <v>54972</v>
      </c>
      <c r="S48" s="189">
        <f>'[3]HARVESTING KHT'!AB30</f>
        <v>168000</v>
      </c>
      <c r="T48" s="189">
        <f>'[3]HARVESTING KHT'!AC30</f>
        <v>416350</v>
      </c>
      <c r="U48" s="189">
        <f>'[3]HARVESTING KHT'!AF30</f>
        <v>0</v>
      </c>
      <c r="V48" s="189">
        <f>'[3]HARVESTING KHT'!AH30</f>
        <v>0</v>
      </c>
      <c r="W48" s="189">
        <f>'[3]HARVESTING KHT'!AK30</f>
        <v>0</v>
      </c>
      <c r="X48" s="189">
        <f>'[3]HARVESTING KHT'!Z30</f>
        <v>5000</v>
      </c>
      <c r="Y48" s="189">
        <f>-'[3]HARVESTING KHT'!AI30</f>
        <v>-213652</v>
      </c>
      <c r="Z48" s="189"/>
      <c r="AA48" s="189"/>
      <c r="AB48" s="189">
        <f>-'[3]HARVESTING KHT'!BI30</f>
        <v>-242666.66</v>
      </c>
      <c r="AC48" s="189">
        <f>'[4]HARVESTING KHT'!$M31</f>
        <v>3712499.9</v>
      </c>
      <c r="AD48" s="189"/>
      <c r="AE48" s="183">
        <f t="shared" si="0"/>
        <v>7656295</v>
      </c>
      <c r="AF48" s="184">
        <f t="shared" si="11"/>
        <v>1.5000000000000001E-2</v>
      </c>
      <c r="AG48" s="152">
        <f t="shared" si="9"/>
        <v>114844</v>
      </c>
      <c r="AH48" s="211" t="e">
        <f>#REF!</f>
        <v>#REF!</v>
      </c>
      <c r="AI48" s="172" t="e">
        <f t="shared" si="4"/>
        <v>#REF!</v>
      </c>
      <c r="AJ48" s="93"/>
      <c r="AK48" s="146" t="e">
        <f t="shared" si="10"/>
        <v>#REF!</v>
      </c>
      <c r="AL48" s="147"/>
      <c r="AN48" s="199">
        <f>'[3]HARVESTING KHT'!$AL30</f>
        <v>3767419.91</v>
      </c>
      <c r="AO48" s="200">
        <f t="shared" si="2"/>
        <v>176376</v>
      </c>
      <c r="AP48" s="199">
        <f t="shared" si="5"/>
        <v>3943795.91</v>
      </c>
      <c r="AQ48" s="201">
        <f t="shared" si="6"/>
        <v>-3712499.09</v>
      </c>
    </row>
    <row r="49" spans="2:43" s="173" customFormat="1" ht="18" customHeight="1">
      <c r="B49" s="174">
        <v>44</v>
      </c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3"/>
        <v>TER A</v>
      </c>
      <c r="K49" s="182">
        <f t="shared" si="7"/>
        <v>3518666.57</v>
      </c>
      <c r="L49" s="169">
        <f t="shared" si="8"/>
        <v>30575.999999999996</v>
      </c>
      <c r="M49" s="189">
        <f>'[3]HARVESTING KHT'!AQ31</f>
        <v>145600</v>
      </c>
      <c r="N49" s="189">
        <f>'[3]HARVESTING KHT'!U31</f>
        <v>63000</v>
      </c>
      <c r="O49" s="189">
        <f>'[3]HARVESTING KHT'!X31</f>
        <v>0</v>
      </c>
      <c r="P49" s="189">
        <f>'[3]HARVESTING KHT'!AD31</f>
        <v>0</v>
      </c>
      <c r="Q49" s="189">
        <f>'[3]HARVESTING KHT'!AE31</f>
        <v>0</v>
      </c>
      <c r="R49" s="189">
        <f>'[3]HARVESTING KHT'!AA31</f>
        <v>15270</v>
      </c>
      <c r="S49" s="189">
        <f>'[3]HARVESTING KHT'!AB31</f>
        <v>116550</v>
      </c>
      <c r="T49" s="189">
        <f>'[3]HARVESTING KHT'!AC31</f>
        <v>393800</v>
      </c>
      <c r="U49" s="189">
        <f>'[3]HARVESTING KHT'!AF31</f>
        <v>0</v>
      </c>
      <c r="V49" s="189">
        <f>'[3]HARVESTING KHT'!AH31</f>
        <v>0</v>
      </c>
      <c r="W49" s="189">
        <f>'[3]HARVESTING KHT'!AK31</f>
        <v>0</v>
      </c>
      <c r="X49" s="189">
        <f>'[3]HARVESTING KHT'!Z31</f>
        <v>0</v>
      </c>
      <c r="Y49" s="189">
        <f>-'[3]HARVESTING KHT'!AI31</f>
        <v>-203101</v>
      </c>
      <c r="Z49" s="189"/>
      <c r="AA49" s="189"/>
      <c r="AB49" s="189">
        <f>-'[3]HARVESTING KHT'!BI31</f>
        <v>-121333.33</v>
      </c>
      <c r="AC49" s="189">
        <f>'[4]HARVESTING KHT'!$M32</f>
        <v>3089583.25</v>
      </c>
      <c r="AD49" s="189"/>
      <c r="AE49" s="183">
        <f t="shared" si="0"/>
        <v>7048611</v>
      </c>
      <c r="AF49" s="184">
        <f t="shared" si="11"/>
        <v>1.2500000000000001E-2</v>
      </c>
      <c r="AG49" s="152">
        <f t="shared" si="9"/>
        <v>88107</v>
      </c>
      <c r="AH49" s="211" t="e">
        <f>#REF!</f>
        <v>#REF!</v>
      </c>
      <c r="AI49" s="172" t="e">
        <f t="shared" si="4"/>
        <v>#REF!</v>
      </c>
      <c r="AJ49" s="93"/>
      <c r="AK49" s="146" t="e">
        <f t="shared" si="10"/>
        <v>#REF!</v>
      </c>
      <c r="AL49" s="147"/>
      <c r="AN49" s="199">
        <f>'[3]HARVESTING KHT'!$AL31</f>
        <v>3782852.24</v>
      </c>
      <c r="AO49" s="200">
        <f t="shared" si="2"/>
        <v>176176</v>
      </c>
      <c r="AP49" s="199">
        <f t="shared" si="5"/>
        <v>3959028.24</v>
      </c>
      <c r="AQ49" s="201">
        <f t="shared" si="6"/>
        <v>-3089582.76</v>
      </c>
    </row>
    <row r="50" spans="2:43" s="173" customFormat="1" ht="18" customHeight="1">
      <c r="B50" s="174">
        <v>45</v>
      </c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3"/>
        <v>TER A</v>
      </c>
      <c r="K50" s="182">
        <f t="shared" si="7"/>
        <v>3518666.57</v>
      </c>
      <c r="L50" s="169">
        <f t="shared" si="8"/>
        <v>30575.999999999996</v>
      </c>
      <c r="M50" s="189">
        <f>'[3]HARVESTING KHT'!AQ32</f>
        <v>145600</v>
      </c>
      <c r="N50" s="189">
        <f>'[3]HARVESTING KHT'!U32</f>
        <v>65250</v>
      </c>
      <c r="O50" s="189">
        <f>'[3]HARVESTING KHT'!X32</f>
        <v>0</v>
      </c>
      <c r="P50" s="189">
        <f>'[3]HARVESTING KHT'!AD32</f>
        <v>0</v>
      </c>
      <c r="Q50" s="189">
        <f>'[3]HARVESTING KHT'!AE32</f>
        <v>0</v>
      </c>
      <c r="R50" s="189">
        <f>'[3]HARVESTING KHT'!AA32</f>
        <v>42756</v>
      </c>
      <c r="S50" s="189">
        <f>'[3]HARVESTING KHT'!AB32</f>
        <v>95550</v>
      </c>
      <c r="T50" s="189">
        <f>'[3]HARVESTING KHT'!AC32</f>
        <v>459800</v>
      </c>
      <c r="U50" s="189">
        <f>'[3]HARVESTING KHT'!AF32</f>
        <v>0</v>
      </c>
      <c r="V50" s="189">
        <f>'[3]HARVESTING KHT'!AH32</f>
        <v>0</v>
      </c>
      <c r="W50" s="189">
        <f>'[3]HARVESTING KHT'!AK32</f>
        <v>0</v>
      </c>
      <c r="X50" s="189">
        <f>'[3]HARVESTING KHT'!Z32</f>
        <v>0</v>
      </c>
      <c r="Y50" s="189">
        <f>-'[3]HARVESTING KHT'!AI32</f>
        <v>-323116</v>
      </c>
      <c r="Z50" s="189"/>
      <c r="AA50" s="189"/>
      <c r="AB50" s="189">
        <f>-'[3]HARVESTING KHT'!BI32</f>
        <v>0</v>
      </c>
      <c r="AC50" s="189">
        <f>'[4]HARVESTING KHT'!$M33</f>
        <v>3398541.5750000002</v>
      </c>
      <c r="AD50" s="189"/>
      <c r="AE50" s="183">
        <f t="shared" si="0"/>
        <v>7433624</v>
      </c>
      <c r="AF50" s="184">
        <f t="shared" si="11"/>
        <v>1.2500000000000001E-2</v>
      </c>
      <c r="AG50" s="152">
        <f t="shared" si="9"/>
        <v>92920</v>
      </c>
      <c r="AH50" s="211" t="e">
        <f>#REF!</f>
        <v>#REF!</v>
      </c>
      <c r="AI50" s="172" t="e">
        <f t="shared" si="4"/>
        <v>#REF!</v>
      </c>
      <c r="AJ50" s="93"/>
      <c r="AK50" s="146" t="e">
        <f t="shared" si="10"/>
        <v>#REF!</v>
      </c>
      <c r="AL50" s="147"/>
      <c r="AN50" s="199">
        <f>'[3]HARVESTING KHT'!$AL32</f>
        <v>3858906.5700000003</v>
      </c>
      <c r="AO50" s="200">
        <f t="shared" si="2"/>
        <v>176176</v>
      </c>
      <c r="AP50" s="199">
        <f t="shared" si="5"/>
        <v>4035082.5700000003</v>
      </c>
      <c r="AQ50" s="201">
        <f t="shared" si="6"/>
        <v>-3398541.4299999997</v>
      </c>
    </row>
    <row r="51" spans="2:43" s="173" customFormat="1" ht="18" customHeight="1">
      <c r="B51" s="174">
        <v>46</v>
      </c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3"/>
        <v>TER B</v>
      </c>
      <c r="K51" s="182">
        <f t="shared" si="7"/>
        <v>3518666.57</v>
      </c>
      <c r="L51" s="169">
        <f t="shared" si="8"/>
        <v>30575.999999999996</v>
      </c>
      <c r="M51" s="189">
        <f>'[3]HARVESTING KHT'!AQ33</f>
        <v>145900</v>
      </c>
      <c r="N51" s="189">
        <f>'[3]HARVESTING KHT'!U33</f>
        <v>156600</v>
      </c>
      <c r="O51" s="189">
        <f>'[3]HARVESTING KHT'!X33</f>
        <v>0</v>
      </c>
      <c r="P51" s="189">
        <f>'[3]HARVESTING KHT'!AD33</f>
        <v>0</v>
      </c>
      <c r="Q51" s="189">
        <f>'[3]HARVESTING KHT'!AE33</f>
        <v>0</v>
      </c>
      <c r="R51" s="189">
        <f>'[3]HARVESTING KHT'!AA33</f>
        <v>516126</v>
      </c>
      <c r="S51" s="189">
        <f>'[3]HARVESTING KHT'!AB33</f>
        <v>133350</v>
      </c>
      <c r="T51" s="189">
        <f>'[3]HARVESTING KHT'!AC33</f>
        <v>303050</v>
      </c>
      <c r="U51" s="189">
        <f>'[3]HARVESTING KHT'!AF33</f>
        <v>146475</v>
      </c>
      <c r="V51" s="189">
        <f>'[3]HARVESTING KHT'!AH33</f>
        <v>150000</v>
      </c>
      <c r="W51" s="189">
        <f>'[3]HARVESTING KHT'!AK33</f>
        <v>0</v>
      </c>
      <c r="X51" s="189">
        <f>'[3]HARVESTING KHT'!Z33</f>
        <v>7500</v>
      </c>
      <c r="Y51" s="189">
        <f>-'[3]HARVESTING KHT'!AI33</f>
        <v>-106826</v>
      </c>
      <c r="Z51" s="189"/>
      <c r="AA51" s="189"/>
      <c r="AB51" s="189">
        <f>-'[3]HARVESTING KHT'!BI33</f>
        <v>0</v>
      </c>
      <c r="AC51" s="189">
        <f>'[4]HARVESTING KHT'!$M34</f>
        <v>3809499.9</v>
      </c>
      <c r="AD51" s="189"/>
      <c r="AE51" s="183">
        <f t="shared" si="0"/>
        <v>8810917</v>
      </c>
      <c r="AF51" s="184">
        <f t="shared" si="11"/>
        <v>0.01</v>
      </c>
      <c r="AG51" s="152">
        <f t="shared" si="9"/>
        <v>88109</v>
      </c>
      <c r="AH51" s="211" t="e">
        <f>#REF!</f>
        <v>#REF!</v>
      </c>
      <c r="AI51" s="172" t="e">
        <f t="shared" si="4"/>
        <v>#REF!</v>
      </c>
      <c r="AJ51" s="93"/>
      <c r="AK51" s="146" t="e">
        <f t="shared" si="10"/>
        <v>#REF!</v>
      </c>
      <c r="AL51" s="147"/>
      <c r="AN51" s="199">
        <f>'[3]HARVESTING KHT'!$AL33</f>
        <v>4824941.57</v>
      </c>
      <c r="AO51" s="200">
        <f t="shared" si="2"/>
        <v>176476</v>
      </c>
      <c r="AP51" s="199">
        <f t="shared" si="5"/>
        <v>5001417.57</v>
      </c>
      <c r="AQ51" s="201">
        <f t="shared" si="6"/>
        <v>-3809499.4299999997</v>
      </c>
    </row>
    <row r="52" spans="2:43" s="173" customFormat="1" ht="18" customHeight="1">
      <c r="B52" s="174">
        <v>47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3"/>
        <v>TER B</v>
      </c>
      <c r="K52" s="182">
        <f t="shared" si="7"/>
        <v>3518666.57</v>
      </c>
      <c r="L52" s="169">
        <f t="shared" si="8"/>
        <v>30575.999999999996</v>
      </c>
      <c r="M52" s="189">
        <f>'[3]HARVESTING KHT'!AQ34</f>
        <v>145800</v>
      </c>
      <c r="N52" s="189">
        <f>'[3]HARVESTING KHT'!U34</f>
        <v>156600</v>
      </c>
      <c r="O52" s="189">
        <f>'[3]HARVESTING KHT'!X34</f>
        <v>0</v>
      </c>
      <c r="P52" s="189">
        <f>'[3]HARVESTING KHT'!AD34</f>
        <v>0</v>
      </c>
      <c r="Q52" s="189">
        <f>'[3]HARVESTING KHT'!AE34</f>
        <v>0</v>
      </c>
      <c r="R52" s="189">
        <f>'[3]HARVESTING KHT'!AA34</f>
        <v>0</v>
      </c>
      <c r="S52" s="189">
        <f>'[3]HARVESTING KHT'!AB34</f>
        <v>161700</v>
      </c>
      <c r="T52" s="189">
        <f>'[3]HARVESTING KHT'!AC34</f>
        <v>462550</v>
      </c>
      <c r="U52" s="189">
        <f>'[3]HARVESTING KHT'!AF34</f>
        <v>0</v>
      </c>
      <c r="V52" s="189">
        <f>'[3]HARVESTING KHT'!AH34</f>
        <v>0</v>
      </c>
      <c r="W52" s="189">
        <f>'[3]HARVESTING KHT'!AK34</f>
        <v>0</v>
      </c>
      <c r="X52" s="189">
        <f>'[3]HARVESTING KHT'!Z34</f>
        <v>5000</v>
      </c>
      <c r="Y52" s="189">
        <f>-'[3]HARVESTING KHT'!AI34</f>
        <v>-105507</v>
      </c>
      <c r="Z52" s="189"/>
      <c r="AA52" s="189"/>
      <c r="AB52" s="189">
        <f>-'[3]HARVESTING KHT'!BI34</f>
        <v>0</v>
      </c>
      <c r="AC52" s="189">
        <f>'[4]HARVESTING KHT'!$M35</f>
        <v>3806999.9</v>
      </c>
      <c r="AD52" s="189"/>
      <c r="AE52" s="183">
        <f t="shared" si="0"/>
        <v>8182385</v>
      </c>
      <c r="AF52" s="184">
        <f t="shared" si="11"/>
        <v>0.01</v>
      </c>
      <c r="AG52" s="152">
        <f t="shared" si="9"/>
        <v>81823</v>
      </c>
      <c r="AH52" s="211" t="e">
        <f>#REF!</f>
        <v>#REF!</v>
      </c>
      <c r="AI52" s="172" t="e">
        <f t="shared" si="4"/>
        <v>#REF!</v>
      </c>
      <c r="AJ52" s="93"/>
      <c r="AK52" s="146" t="e">
        <f t="shared" si="10"/>
        <v>#REF!</v>
      </c>
      <c r="AL52" s="147"/>
      <c r="AN52" s="199">
        <f>'[3]HARVESTING KHT'!$AL34</f>
        <v>4199009.5699999994</v>
      </c>
      <c r="AO52" s="200">
        <f t="shared" si="2"/>
        <v>176376</v>
      </c>
      <c r="AP52" s="199">
        <f t="shared" si="5"/>
        <v>4375385.5699999994</v>
      </c>
      <c r="AQ52" s="201">
        <f t="shared" si="6"/>
        <v>-3806999.4300000006</v>
      </c>
    </row>
    <row r="53" spans="2:43" s="173" customFormat="1" ht="18" customHeight="1">
      <c r="B53" s="174">
        <v>48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3"/>
        <v>TER B</v>
      </c>
      <c r="K53" s="182">
        <f t="shared" si="7"/>
        <v>3518666.57</v>
      </c>
      <c r="L53" s="169">
        <f t="shared" si="8"/>
        <v>30575.999999999996</v>
      </c>
      <c r="M53" s="189">
        <f>'[3]HARVESTING KHT'!AQ35</f>
        <v>145700</v>
      </c>
      <c r="N53" s="189">
        <f>'[3]HARVESTING KHT'!U35</f>
        <v>156600</v>
      </c>
      <c r="O53" s="189">
        <f>'[3]HARVESTING KHT'!X35</f>
        <v>0</v>
      </c>
      <c r="P53" s="189">
        <f>'[3]HARVESTING KHT'!AD35</f>
        <v>0</v>
      </c>
      <c r="Q53" s="189">
        <f>'[3]HARVESTING KHT'!AE35</f>
        <v>0</v>
      </c>
      <c r="R53" s="189">
        <f>'[3]HARVESTING KHT'!AA35</f>
        <v>0</v>
      </c>
      <c r="S53" s="189">
        <f>'[3]HARVESTING KHT'!AB35</f>
        <v>184800</v>
      </c>
      <c r="T53" s="189">
        <f>'[3]HARVESTING KHT'!AC35</f>
        <v>459800</v>
      </c>
      <c r="U53" s="189">
        <f>'[3]HARVESTING KHT'!AF35</f>
        <v>0</v>
      </c>
      <c r="V53" s="189">
        <f>'[3]HARVESTING KHT'!AH35</f>
        <v>0</v>
      </c>
      <c r="W53" s="189">
        <f>'[3]HARVESTING KHT'!AK35</f>
        <v>0</v>
      </c>
      <c r="X53" s="189">
        <f>'[3]HARVESTING KHT'!Z35</f>
        <v>2500</v>
      </c>
      <c r="Y53" s="189">
        <f>-'[3]HARVESTING KHT'!AI35</f>
        <v>-184638</v>
      </c>
      <c r="Z53" s="189"/>
      <c r="AA53" s="189"/>
      <c r="AB53" s="189">
        <f>-'[3]HARVESTING KHT'!BI35</f>
        <v>0</v>
      </c>
      <c r="AC53" s="189">
        <f>'[4]HARVESTING KHT'!$M36</f>
        <v>3804499.9</v>
      </c>
      <c r="AD53" s="189"/>
      <c r="AE53" s="183">
        <f t="shared" si="0"/>
        <v>8118504</v>
      </c>
      <c r="AF53" s="184">
        <f t="shared" si="11"/>
        <v>0.01</v>
      </c>
      <c r="AG53" s="152">
        <f t="shared" si="9"/>
        <v>81185</v>
      </c>
      <c r="AH53" s="211" t="e">
        <f>#REF!</f>
        <v>#REF!</v>
      </c>
      <c r="AI53" s="172" t="e">
        <f t="shared" si="4"/>
        <v>#REF!</v>
      </c>
      <c r="AJ53" s="93"/>
      <c r="AK53" s="146" t="e">
        <f t="shared" si="10"/>
        <v>#REF!</v>
      </c>
      <c r="AL53" s="147"/>
      <c r="AN53" s="199">
        <f>'[3]HARVESTING KHT'!$AL35</f>
        <v>4137728.5700000003</v>
      </c>
      <c r="AO53" s="200">
        <f t="shared" si="2"/>
        <v>176276</v>
      </c>
      <c r="AP53" s="199">
        <f t="shared" si="5"/>
        <v>4314004.57</v>
      </c>
      <c r="AQ53" s="201">
        <f t="shared" si="6"/>
        <v>-3804499.4299999997</v>
      </c>
    </row>
    <row r="54" spans="2:43" s="173" customFormat="1" ht="18" customHeight="1">
      <c r="B54" s="174">
        <v>49</v>
      </c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3"/>
        <v>TER B</v>
      </c>
      <c r="K54" s="182">
        <f t="shared" si="7"/>
        <v>3518666.57</v>
      </c>
      <c r="L54" s="169">
        <f t="shared" si="8"/>
        <v>30575.999999999996</v>
      </c>
      <c r="M54" s="189">
        <f>'[3]HARVESTING KHT'!AQ36</f>
        <v>145600</v>
      </c>
      <c r="N54" s="189">
        <f>'[3]HARVESTING KHT'!U36</f>
        <v>156600</v>
      </c>
      <c r="O54" s="189">
        <f>'[3]HARVESTING KHT'!X36</f>
        <v>0</v>
      </c>
      <c r="P54" s="189">
        <f>'[3]HARVESTING KHT'!AD36</f>
        <v>0</v>
      </c>
      <c r="Q54" s="189">
        <f>'[3]HARVESTING KHT'!AE36</f>
        <v>0</v>
      </c>
      <c r="R54" s="189">
        <f>'[3]HARVESTING KHT'!AA36</f>
        <v>0</v>
      </c>
      <c r="S54" s="189">
        <f>'[3]HARVESTING KHT'!AB36</f>
        <v>144900</v>
      </c>
      <c r="T54" s="189">
        <f>'[3]HARVESTING KHT'!AC36</f>
        <v>394350</v>
      </c>
      <c r="U54" s="189">
        <f>'[3]HARVESTING KHT'!AF36</f>
        <v>0</v>
      </c>
      <c r="V54" s="189">
        <f>'[3]HARVESTING KHT'!AH36</f>
        <v>0</v>
      </c>
      <c r="W54" s="189">
        <f>'[3]HARVESTING KHT'!AK36</f>
        <v>0</v>
      </c>
      <c r="X54" s="189">
        <f>'[3]HARVESTING KHT'!Z36</f>
        <v>0</v>
      </c>
      <c r="Y54" s="189">
        <f>-'[3]HARVESTING KHT'!AI36</f>
        <v>-189913</v>
      </c>
      <c r="Z54" s="189"/>
      <c r="AA54" s="189"/>
      <c r="AB54" s="189">
        <f>-'[3]HARVESTING KHT'!BI36</f>
        <v>0</v>
      </c>
      <c r="AC54" s="189">
        <f>'[4]HARVESTING KHT'!$M37</f>
        <v>2851499.9250000003</v>
      </c>
      <c r="AD54" s="189"/>
      <c r="AE54" s="183">
        <f t="shared" si="0"/>
        <v>7052279</v>
      </c>
      <c r="AF54" s="184">
        <f t="shared" si="11"/>
        <v>7.4999999999999997E-3</v>
      </c>
      <c r="AG54" s="152">
        <f t="shared" si="9"/>
        <v>52892</v>
      </c>
      <c r="AH54" s="211" t="e">
        <f>#REF!</f>
        <v>#REF!</v>
      </c>
      <c r="AI54" s="172" t="e">
        <f t="shared" si="4"/>
        <v>#REF!</v>
      </c>
      <c r="AJ54" s="93"/>
      <c r="AK54" s="146" t="e">
        <f t="shared" si="10"/>
        <v>#REF!</v>
      </c>
      <c r="AL54" s="147"/>
      <c r="AN54" s="199">
        <f>'[3]HARVESTING KHT'!$AL36</f>
        <v>4024603.5700000003</v>
      </c>
      <c r="AO54" s="200">
        <f t="shared" si="2"/>
        <v>176176</v>
      </c>
      <c r="AP54" s="199">
        <f t="shared" si="5"/>
        <v>4200779.57</v>
      </c>
      <c r="AQ54" s="201">
        <f t="shared" si="6"/>
        <v>-2851499.4299999997</v>
      </c>
    </row>
    <row r="55" spans="2:43" s="173" customFormat="1" ht="18" customHeight="1">
      <c r="B55" s="174">
        <v>50</v>
      </c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3"/>
        <v>TER B</v>
      </c>
      <c r="K55" s="182">
        <f t="shared" si="7"/>
        <v>3518666.57</v>
      </c>
      <c r="L55" s="169">
        <f t="shared" si="8"/>
        <v>30575.999999999996</v>
      </c>
      <c r="M55" s="189">
        <f>'[3]HARVESTING KHT'!AQ37</f>
        <v>145600</v>
      </c>
      <c r="N55" s="189">
        <f>'[3]HARVESTING KHT'!U37</f>
        <v>104400</v>
      </c>
      <c r="O55" s="189">
        <f>'[3]HARVESTING KHT'!X37</f>
        <v>0</v>
      </c>
      <c r="P55" s="189">
        <f>'[3]HARVESTING KHT'!AD37</f>
        <v>0</v>
      </c>
      <c r="Q55" s="189">
        <f>'[3]HARVESTING KHT'!AE37</f>
        <v>0</v>
      </c>
      <c r="R55" s="189">
        <f>'[3]HARVESTING KHT'!AA37</f>
        <v>340521</v>
      </c>
      <c r="S55" s="189">
        <f>'[3]HARVESTING KHT'!AB37</f>
        <v>134400</v>
      </c>
      <c r="T55" s="189">
        <f>'[3]HARVESTING KHT'!AC37</f>
        <v>302500</v>
      </c>
      <c r="U55" s="189">
        <f>'[3]HARVESTING KHT'!AF37</f>
        <v>106955</v>
      </c>
      <c r="V55" s="189">
        <f>'[3]HARVESTING KHT'!AH37</f>
        <v>0</v>
      </c>
      <c r="W55" s="189">
        <f>'[3]HARVESTING KHT'!AK37</f>
        <v>0</v>
      </c>
      <c r="X55" s="189">
        <f>'[3]HARVESTING KHT'!Z37</f>
        <v>0</v>
      </c>
      <c r="Y55" s="189">
        <f>-'[3]HARVESTING KHT'!AI37</f>
        <v>-92319</v>
      </c>
      <c r="Z55" s="189"/>
      <c r="AA55" s="189"/>
      <c r="AB55" s="189">
        <f>-'[3]HARVESTING KHT'!BI37</f>
        <v>0</v>
      </c>
      <c r="AC55" s="189">
        <f>'[4]HARVESTING KHT'!$M38</f>
        <v>2498666.6</v>
      </c>
      <c r="AD55" s="189"/>
      <c r="AE55" s="183">
        <f t="shared" si="0"/>
        <v>7089966</v>
      </c>
      <c r="AF55" s="184">
        <f t="shared" si="11"/>
        <v>7.4999999999999997E-3</v>
      </c>
      <c r="AG55" s="152">
        <f t="shared" si="9"/>
        <v>53174</v>
      </c>
      <c r="AH55" s="211" t="e">
        <f>#REF!</f>
        <v>#REF!</v>
      </c>
      <c r="AI55" s="172" t="e">
        <f t="shared" si="4"/>
        <v>#REF!</v>
      </c>
      <c r="AJ55" s="93"/>
      <c r="AK55" s="146" t="e">
        <f t="shared" si="10"/>
        <v>#REF!</v>
      </c>
      <c r="AL55" s="147"/>
      <c r="AN55" s="199">
        <f>'[3]HARVESTING KHT'!$AL37</f>
        <v>4415123.5699999994</v>
      </c>
      <c r="AO55" s="200">
        <f t="shared" si="2"/>
        <v>176176</v>
      </c>
      <c r="AP55" s="199">
        <f t="shared" si="5"/>
        <v>4591299.5699999994</v>
      </c>
      <c r="AQ55" s="201">
        <f t="shared" si="6"/>
        <v>-2498666.4300000006</v>
      </c>
    </row>
    <row r="56" spans="2:43" s="173" customFormat="1" ht="18" customHeight="1">
      <c r="B56" s="174">
        <v>51</v>
      </c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3"/>
        <v>TER B</v>
      </c>
      <c r="K56" s="182">
        <f t="shared" si="7"/>
        <v>3518666.57</v>
      </c>
      <c r="L56" s="169">
        <f t="shared" si="8"/>
        <v>30575.999999999996</v>
      </c>
      <c r="M56" s="189">
        <f>'[3]HARVESTING KHT'!AQ38</f>
        <v>145600</v>
      </c>
      <c r="N56" s="189">
        <f>'[3]HARVESTING KHT'!U38</f>
        <v>129600</v>
      </c>
      <c r="O56" s="189">
        <f>'[3]HARVESTING KHT'!X38</f>
        <v>0</v>
      </c>
      <c r="P56" s="189">
        <f>'[3]HARVESTING KHT'!AD38</f>
        <v>0</v>
      </c>
      <c r="Q56" s="189">
        <f>'[3]HARVESTING KHT'!AE38</f>
        <v>0</v>
      </c>
      <c r="R56" s="189">
        <f>'[3]HARVESTING KHT'!AA38</f>
        <v>24432</v>
      </c>
      <c r="S56" s="189">
        <f>'[3]HARVESTING KHT'!AB38</f>
        <v>70350</v>
      </c>
      <c r="T56" s="189">
        <f>'[3]HARVESTING KHT'!AC38</f>
        <v>451000</v>
      </c>
      <c r="U56" s="189">
        <f>'[3]HARVESTING KHT'!AF38</f>
        <v>0</v>
      </c>
      <c r="V56" s="189">
        <f>'[3]HARVESTING KHT'!AH38</f>
        <v>0</v>
      </c>
      <c r="W56" s="189">
        <f>'[3]HARVESTING KHT'!AK38</f>
        <v>761220</v>
      </c>
      <c r="X56" s="189">
        <f>'[3]HARVESTING KHT'!Z38</f>
        <v>0</v>
      </c>
      <c r="Y56" s="189">
        <f>-'[3]HARVESTING KHT'!AI38</f>
        <v>0</v>
      </c>
      <c r="Z56" s="189"/>
      <c r="AA56" s="189"/>
      <c r="AB56" s="189">
        <f>-'[3]HARVESTING KHT'!BI38</f>
        <v>-606666.65</v>
      </c>
      <c r="AC56" s="189">
        <f>'[4]HARVESTING KHT'!$M39</f>
        <v>2534666.6</v>
      </c>
      <c r="AD56" s="189"/>
      <c r="AE56" s="183">
        <f t="shared" si="0"/>
        <v>7059444</v>
      </c>
      <c r="AF56" s="184">
        <f t="shared" si="11"/>
        <v>7.4999999999999997E-3</v>
      </c>
      <c r="AG56" s="152">
        <f t="shared" si="9"/>
        <v>52945</v>
      </c>
      <c r="AH56" s="211" t="e">
        <f>#REF!</f>
        <v>#REF!</v>
      </c>
      <c r="AI56" s="172" t="e">
        <f t="shared" si="4"/>
        <v>#REF!</v>
      </c>
      <c r="AJ56" s="93"/>
      <c r="AK56" s="146" t="e">
        <f t="shared" si="10"/>
        <v>#REF!</v>
      </c>
      <c r="AL56" s="147"/>
      <c r="AN56" s="199">
        <f>'[3]HARVESTING KHT'!$AL38</f>
        <v>4348601.92</v>
      </c>
      <c r="AO56" s="200">
        <f t="shared" si="2"/>
        <v>176176</v>
      </c>
      <c r="AP56" s="199">
        <f t="shared" si="5"/>
        <v>4524777.92</v>
      </c>
      <c r="AQ56" s="201">
        <f t="shared" si="6"/>
        <v>-2534666.08</v>
      </c>
    </row>
    <row r="57" spans="2:43" s="173" customFormat="1" ht="18" customHeight="1">
      <c r="B57" s="174">
        <v>52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3"/>
        <v>TER B</v>
      </c>
      <c r="K57" s="182">
        <f t="shared" si="7"/>
        <v>3518666.57</v>
      </c>
      <c r="L57" s="169">
        <f t="shared" si="8"/>
        <v>30575.999999999996</v>
      </c>
      <c r="M57" s="189">
        <f>'[3]HARVESTING KHT'!AQ39</f>
        <v>146000</v>
      </c>
      <c r="N57" s="189">
        <f>'[3]HARVESTING KHT'!U39</f>
        <v>156600</v>
      </c>
      <c r="O57" s="189">
        <f>'[3]HARVESTING KHT'!X39</f>
        <v>0</v>
      </c>
      <c r="P57" s="189">
        <f>'[3]HARVESTING KHT'!AD39</f>
        <v>0</v>
      </c>
      <c r="Q57" s="189">
        <f>'[3]HARVESTING KHT'!AE39</f>
        <v>0</v>
      </c>
      <c r="R57" s="189">
        <f>'[3]HARVESTING KHT'!AA39</f>
        <v>108417</v>
      </c>
      <c r="S57" s="189">
        <f>'[3]HARVESTING KHT'!AB39</f>
        <v>195300</v>
      </c>
      <c r="T57" s="189">
        <f>'[3]HARVESTING KHT'!AC39</f>
        <v>471350</v>
      </c>
      <c r="U57" s="189">
        <f>'[3]HARVESTING KHT'!AF39</f>
        <v>129570</v>
      </c>
      <c r="V57" s="189">
        <f>'[3]HARVESTING KHT'!AH39</f>
        <v>0</v>
      </c>
      <c r="W57" s="189">
        <f>'[3]HARVESTING KHT'!AK39</f>
        <v>0</v>
      </c>
      <c r="X57" s="189">
        <f>'[3]HARVESTING KHT'!Z39</f>
        <v>10000</v>
      </c>
      <c r="Y57" s="189">
        <f>-'[3]HARVESTING KHT'!AI39</f>
        <v>0</v>
      </c>
      <c r="Z57" s="189"/>
      <c r="AA57" s="189"/>
      <c r="AB57" s="189">
        <f>-'[3]HARVESTING KHT'!BI39</f>
        <v>0</v>
      </c>
      <c r="AC57" s="189">
        <f>'[4]HARVESTING KHT'!$M40</f>
        <v>3811999.9</v>
      </c>
      <c r="AD57" s="189"/>
      <c r="AE57" s="183">
        <f t="shared" si="0"/>
        <v>8578479</v>
      </c>
      <c r="AF57" s="184">
        <f t="shared" si="11"/>
        <v>0.01</v>
      </c>
      <c r="AG57" s="152">
        <f t="shared" si="9"/>
        <v>85784</v>
      </c>
      <c r="AH57" s="211" t="e">
        <f>#REF!</f>
        <v>#REF!</v>
      </c>
      <c r="AI57" s="172" t="e">
        <f t="shared" si="4"/>
        <v>#REF!</v>
      </c>
      <c r="AJ57" s="93"/>
      <c r="AK57" s="146" t="e">
        <f t="shared" si="10"/>
        <v>#REF!</v>
      </c>
      <c r="AL57" s="147"/>
      <c r="AN57" s="199">
        <f>'[3]HARVESTING KHT'!$AL39</f>
        <v>4589903.57</v>
      </c>
      <c r="AO57" s="200">
        <f t="shared" si="2"/>
        <v>176576</v>
      </c>
      <c r="AP57" s="199">
        <f t="shared" si="5"/>
        <v>4766479.57</v>
      </c>
      <c r="AQ57" s="201">
        <f t="shared" si="6"/>
        <v>-3811999.4299999997</v>
      </c>
    </row>
    <row r="58" spans="2:43" s="173" customFormat="1" ht="18" customHeight="1">
      <c r="B58" s="174">
        <v>53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3"/>
        <v>TER A</v>
      </c>
      <c r="K58" s="182">
        <f t="shared" si="7"/>
        <v>3518666.57</v>
      </c>
      <c r="L58" s="169">
        <f t="shared" si="8"/>
        <v>30575.999999999996</v>
      </c>
      <c r="M58" s="189">
        <f>'[3]HARVESTING KHT'!AQ40</f>
        <v>145600</v>
      </c>
      <c r="N58" s="189">
        <f>'[3]HARVESTING KHT'!U40</f>
        <v>100800</v>
      </c>
      <c r="O58" s="189">
        <f>'[3]HARVESTING KHT'!X40</f>
        <v>0</v>
      </c>
      <c r="P58" s="189">
        <f>'[3]HARVESTING KHT'!AD40</f>
        <v>0</v>
      </c>
      <c r="Q58" s="189">
        <f>'[3]HARVESTING KHT'!AE40</f>
        <v>0</v>
      </c>
      <c r="R58" s="189">
        <f>'[3]HARVESTING KHT'!AA40</f>
        <v>108417</v>
      </c>
      <c r="S58" s="189">
        <f>'[3]HARVESTING KHT'!AB40</f>
        <v>196350</v>
      </c>
      <c r="T58" s="189">
        <f>'[3]HARVESTING KHT'!AC40</f>
        <v>585750</v>
      </c>
      <c r="U58" s="189">
        <f>'[3]HARVESTING KHT'!AF40</f>
        <v>131880</v>
      </c>
      <c r="V58" s="189">
        <f>'[3]HARVESTING KHT'!AH40</f>
        <v>0</v>
      </c>
      <c r="W58" s="189">
        <f>'[3]HARVESTING KHT'!AK40</f>
        <v>0</v>
      </c>
      <c r="X58" s="189">
        <f>'[3]HARVESTING KHT'!Z40</f>
        <v>0</v>
      </c>
      <c r="Y58" s="189">
        <f>-'[3]HARVESTING KHT'!AI40</f>
        <v>0</v>
      </c>
      <c r="Z58" s="189"/>
      <c r="AA58" s="189"/>
      <c r="AB58" s="189">
        <f>-'[3]HARVESTING KHT'!BI40</f>
        <v>-121333.33</v>
      </c>
      <c r="AC58" s="189">
        <f>'[4]HARVESTING KHT'!$M41</f>
        <v>3435666.5750000002</v>
      </c>
      <c r="AD58" s="189"/>
      <c r="AE58" s="183">
        <f t="shared" si="0"/>
        <v>8132372</v>
      </c>
      <c r="AF58" s="184">
        <f t="shared" si="11"/>
        <v>1.5000000000000001E-2</v>
      </c>
      <c r="AG58" s="152">
        <f t="shared" si="9"/>
        <v>121985</v>
      </c>
      <c r="AH58" s="211" t="e">
        <f>#REF!</f>
        <v>#REF!</v>
      </c>
      <c r="AI58" s="172" t="e">
        <f t="shared" si="4"/>
        <v>#REF!</v>
      </c>
      <c r="AJ58" s="93"/>
      <c r="AK58" s="146" t="e">
        <f t="shared" si="10"/>
        <v>#REF!</v>
      </c>
      <c r="AL58" s="147"/>
      <c r="AN58" s="199">
        <f>'[3]HARVESTING KHT'!$AL40</f>
        <v>4520530.24</v>
      </c>
      <c r="AO58" s="200">
        <f t="shared" si="2"/>
        <v>176176</v>
      </c>
      <c r="AP58" s="199">
        <f t="shared" si="5"/>
        <v>4696706.24</v>
      </c>
      <c r="AQ58" s="201">
        <f t="shared" si="6"/>
        <v>-3435665.76</v>
      </c>
    </row>
    <row r="59" spans="2:43" s="173" customFormat="1" ht="18" customHeight="1">
      <c r="B59" s="174">
        <v>54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3"/>
        <v>TER C</v>
      </c>
      <c r="K59" s="182">
        <f t="shared" si="7"/>
        <v>3518666.57</v>
      </c>
      <c r="L59" s="169">
        <f t="shared" si="8"/>
        <v>30575.999999999996</v>
      </c>
      <c r="M59" s="189">
        <f>'[3]HARVESTING KHT'!AQ41</f>
        <v>145600</v>
      </c>
      <c r="N59" s="189">
        <f>'[3]HARVESTING KHT'!U41</f>
        <v>156600</v>
      </c>
      <c r="O59" s="189">
        <f>'[3]HARVESTING KHT'!X41</f>
        <v>0</v>
      </c>
      <c r="P59" s="189">
        <f>'[3]HARVESTING KHT'!AD41</f>
        <v>0</v>
      </c>
      <c r="Q59" s="189">
        <f>'[3]HARVESTING KHT'!AE41</f>
        <v>0</v>
      </c>
      <c r="R59" s="189">
        <f>'[3]HARVESTING KHT'!AA41</f>
        <v>24432</v>
      </c>
      <c r="S59" s="189">
        <f>'[3]HARVESTING KHT'!AB41</f>
        <v>148050</v>
      </c>
      <c r="T59" s="189">
        <f>'[3]HARVESTING KHT'!AC41</f>
        <v>456500</v>
      </c>
      <c r="U59" s="189">
        <f>'[3]HARVESTING KHT'!AF41</f>
        <v>0</v>
      </c>
      <c r="V59" s="189">
        <f>'[3]HARVESTING KHT'!AH41</f>
        <v>0</v>
      </c>
      <c r="W59" s="189">
        <f>'[3]HARVESTING KHT'!AK41</f>
        <v>0</v>
      </c>
      <c r="X59" s="189">
        <f>'[3]HARVESTING KHT'!Z41</f>
        <v>0</v>
      </c>
      <c r="Y59" s="189">
        <f>-'[3]HARVESTING KHT'!AI41</f>
        <v>-96275</v>
      </c>
      <c r="Z59" s="189"/>
      <c r="AA59" s="189"/>
      <c r="AB59" s="189">
        <f>-'[3]HARVESTING KHT'!BI41</f>
        <v>0</v>
      </c>
      <c r="AC59" s="189">
        <f>'[4]HARVESTING KHT'!$M42</f>
        <v>2217833.2749999999</v>
      </c>
      <c r="AD59" s="189"/>
      <c r="AE59" s="183">
        <f t="shared" si="0"/>
        <v>6601982</v>
      </c>
      <c r="AF59" s="184">
        <f t="shared" si="11"/>
        <v>2.5000000000000001E-3</v>
      </c>
      <c r="AG59" s="152">
        <f t="shared" si="9"/>
        <v>16504</v>
      </c>
      <c r="AH59" s="211" t="e">
        <f>#REF!</f>
        <v>#REF!</v>
      </c>
      <c r="AI59" s="172" t="e">
        <f t="shared" si="4"/>
        <v>#REF!</v>
      </c>
      <c r="AJ59" s="93"/>
      <c r="AK59" s="146" t="e">
        <f t="shared" si="10"/>
        <v>#REF!</v>
      </c>
      <c r="AL59" s="147"/>
      <c r="AN59" s="199">
        <f>'[3]HARVESTING KHT'!$AL41</f>
        <v>4207973.57</v>
      </c>
      <c r="AO59" s="200">
        <f t="shared" si="2"/>
        <v>176176</v>
      </c>
      <c r="AP59" s="199">
        <f t="shared" si="5"/>
        <v>4384149.57</v>
      </c>
      <c r="AQ59" s="201">
        <f t="shared" si="6"/>
        <v>-2217832.4299999997</v>
      </c>
    </row>
    <row r="60" spans="2:43" s="173" customFormat="1" ht="18" customHeight="1">
      <c r="B60" s="174">
        <v>55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3"/>
        <v>TER C</v>
      </c>
      <c r="K60" s="182">
        <f t="shared" si="7"/>
        <v>3518666.57</v>
      </c>
      <c r="L60" s="169">
        <f t="shared" si="8"/>
        <v>30575.999999999996</v>
      </c>
      <c r="M60" s="189">
        <f>'[3]HARVESTING KHT'!AQ42</f>
        <v>145600</v>
      </c>
      <c r="N60" s="189">
        <f>'[3]HARVESTING KHT'!U42</f>
        <v>156600</v>
      </c>
      <c r="O60" s="189">
        <f>'[3]HARVESTING KHT'!X42</f>
        <v>0</v>
      </c>
      <c r="P60" s="189">
        <f>'[3]HARVESTING KHT'!AD42</f>
        <v>231444.28</v>
      </c>
      <c r="Q60" s="189">
        <f>'[3]HARVESTING KHT'!AE42</f>
        <v>136380</v>
      </c>
      <c r="R60" s="189">
        <f>'[3]HARVESTING KHT'!AA42</f>
        <v>374115</v>
      </c>
      <c r="S60" s="189">
        <f>'[3]HARVESTING KHT'!AB42</f>
        <v>153300</v>
      </c>
      <c r="T60" s="189">
        <f>'[3]HARVESTING KHT'!AC42</f>
        <v>433400</v>
      </c>
      <c r="U60" s="189">
        <f>'[3]HARVESTING KHT'!AF42</f>
        <v>166635</v>
      </c>
      <c r="V60" s="189">
        <f>'[3]HARVESTING KHT'!AH42</f>
        <v>0</v>
      </c>
      <c r="W60" s="189">
        <f>'[3]HARVESTING KHT'!AK42</f>
        <v>680080</v>
      </c>
      <c r="X60" s="189">
        <f>'[3]HARVESTING KHT'!Z42</f>
        <v>0</v>
      </c>
      <c r="Y60" s="189">
        <f>-'[3]HARVESTING KHT'!AI42</f>
        <v>0</v>
      </c>
      <c r="Z60" s="189"/>
      <c r="AA60" s="189"/>
      <c r="AB60" s="189">
        <f>-'[3]HARVESTING KHT'!BI42</f>
        <v>0</v>
      </c>
      <c r="AC60" s="189">
        <f>'[4]HARVESTING KHT'!$M43</f>
        <v>2217833.2749999999</v>
      </c>
      <c r="AD60" s="189"/>
      <c r="AE60" s="183">
        <f t="shared" si="0"/>
        <v>8244630</v>
      </c>
      <c r="AF60" s="184">
        <f t="shared" si="11"/>
        <v>0.01</v>
      </c>
      <c r="AG60" s="152">
        <f t="shared" si="9"/>
        <v>82446</v>
      </c>
      <c r="AH60" s="211" t="e">
        <f>#REF!</f>
        <v>#REF!</v>
      </c>
      <c r="AI60" s="172" t="e">
        <f t="shared" si="4"/>
        <v>#REF!</v>
      </c>
      <c r="AJ60" s="93"/>
      <c r="AK60" s="146" t="e">
        <f t="shared" si="10"/>
        <v>#REF!</v>
      </c>
      <c r="AL60" s="147"/>
      <c r="AN60" s="199">
        <f>'[3]HARVESTING KHT'!$AL42</f>
        <v>5850620.8500000006</v>
      </c>
      <c r="AO60" s="200">
        <f t="shared" si="2"/>
        <v>176176</v>
      </c>
      <c r="AP60" s="199">
        <f t="shared" si="5"/>
        <v>6026796.8500000006</v>
      </c>
      <c r="AQ60" s="201">
        <f t="shared" si="6"/>
        <v>-2217833.1499999994</v>
      </c>
    </row>
    <row r="61" spans="2:43" s="173" customFormat="1" ht="18" customHeight="1">
      <c r="B61" s="174">
        <v>56</v>
      </c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3"/>
        <v>TER B</v>
      </c>
      <c r="K61" s="182">
        <f t="shared" si="7"/>
        <v>3518666.57</v>
      </c>
      <c r="L61" s="169">
        <f t="shared" si="8"/>
        <v>30575.999999999996</v>
      </c>
      <c r="M61" s="189">
        <f>'[3]HARVESTING KHT'!AQ43</f>
        <v>145800</v>
      </c>
      <c r="N61" s="189">
        <f>'[3]HARVESTING KHT'!U43</f>
        <v>156600</v>
      </c>
      <c r="O61" s="189">
        <f>'[3]HARVESTING KHT'!X43</f>
        <v>0</v>
      </c>
      <c r="P61" s="189">
        <f>'[3]HARVESTING KHT'!AD43</f>
        <v>0</v>
      </c>
      <c r="Q61" s="189">
        <f>'[3]HARVESTING KHT'!AE43</f>
        <v>0</v>
      </c>
      <c r="R61" s="189">
        <f>'[3]HARVESTING KHT'!AA43</f>
        <v>0</v>
      </c>
      <c r="S61" s="189">
        <f>'[3]HARVESTING KHT'!AB43</f>
        <v>229950</v>
      </c>
      <c r="T61" s="189">
        <f>'[3]HARVESTING KHT'!AC43</f>
        <v>454850</v>
      </c>
      <c r="U61" s="189">
        <f>'[3]HARVESTING KHT'!AF43</f>
        <v>90300</v>
      </c>
      <c r="V61" s="189">
        <f>'[3]HARVESTING KHT'!AH43</f>
        <v>0</v>
      </c>
      <c r="W61" s="189">
        <f>'[3]HARVESTING KHT'!AK43</f>
        <v>0</v>
      </c>
      <c r="X61" s="189">
        <f>'[3]HARVESTING KHT'!Z43</f>
        <v>5000</v>
      </c>
      <c r="Y61" s="189">
        <f>-'[3]HARVESTING KHT'!AI43</f>
        <v>-94957</v>
      </c>
      <c r="Z61" s="189"/>
      <c r="AA61" s="189"/>
      <c r="AB61" s="189">
        <f>-'[3]HARVESTING KHT'!BI43</f>
        <v>0</v>
      </c>
      <c r="AC61" s="189">
        <f>'[4]HARVESTING KHT'!$M44</f>
        <v>3809499.9</v>
      </c>
      <c r="AD61" s="189"/>
      <c r="AE61" s="183">
        <f t="shared" si="0"/>
        <v>8346285</v>
      </c>
      <c r="AF61" s="184">
        <f t="shared" si="11"/>
        <v>0.01</v>
      </c>
      <c r="AG61" s="152">
        <f t="shared" si="9"/>
        <v>83462</v>
      </c>
      <c r="AH61" s="211" t="e">
        <f>#REF!</f>
        <v>#REF!</v>
      </c>
      <c r="AI61" s="172" t="e">
        <f t="shared" si="4"/>
        <v>#REF!</v>
      </c>
      <c r="AJ61" s="93"/>
      <c r="AK61" s="146" t="e">
        <f t="shared" si="10"/>
        <v>#REF!</v>
      </c>
      <c r="AL61" s="147"/>
      <c r="AN61" s="199">
        <f>'[3]HARVESTING KHT'!$AL43</f>
        <v>4360409.57</v>
      </c>
      <c r="AO61" s="200">
        <f t="shared" si="2"/>
        <v>176376</v>
      </c>
      <c r="AP61" s="199">
        <f t="shared" si="5"/>
        <v>4536785.57</v>
      </c>
      <c r="AQ61" s="201">
        <f t="shared" si="6"/>
        <v>-3809499.4299999997</v>
      </c>
    </row>
    <row r="62" spans="2:43" s="173" customFormat="1" ht="18" customHeight="1">
      <c r="B62" s="174">
        <v>57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3"/>
        <v>TER B</v>
      </c>
      <c r="K62" s="182">
        <f t="shared" si="7"/>
        <v>3518666.57</v>
      </c>
      <c r="L62" s="169">
        <f t="shared" si="8"/>
        <v>30575.999999999996</v>
      </c>
      <c r="M62" s="189">
        <f>'[3]HARVESTING KHT'!AQ44</f>
        <v>145900</v>
      </c>
      <c r="N62" s="189">
        <f>'[3]HARVESTING KHT'!U44</f>
        <v>156600</v>
      </c>
      <c r="O62" s="189">
        <f>'[3]HARVESTING KHT'!X44</f>
        <v>0</v>
      </c>
      <c r="P62" s="189">
        <f>'[3]HARVESTING KHT'!AD44</f>
        <v>0</v>
      </c>
      <c r="Q62" s="189">
        <f>'[3]HARVESTING KHT'!AE44</f>
        <v>0</v>
      </c>
      <c r="R62" s="189">
        <f>'[3]HARVESTING KHT'!AA44</f>
        <v>563463</v>
      </c>
      <c r="S62" s="189">
        <f>'[3]HARVESTING KHT'!AB44</f>
        <v>245700</v>
      </c>
      <c r="T62" s="189">
        <f>'[3]HARVESTING KHT'!AC44</f>
        <v>451000</v>
      </c>
      <c r="U62" s="189">
        <f>'[3]HARVESTING KHT'!AF44</f>
        <v>0</v>
      </c>
      <c r="V62" s="189">
        <f>'[3]HARVESTING KHT'!AH44</f>
        <v>150000</v>
      </c>
      <c r="W62" s="189">
        <f>'[3]HARVESTING KHT'!AK44</f>
        <v>0</v>
      </c>
      <c r="X62" s="189">
        <f>'[3]HARVESTING KHT'!Z44</f>
        <v>7500</v>
      </c>
      <c r="Y62" s="189">
        <f>-'[3]HARVESTING KHT'!AI44</f>
        <v>-88362</v>
      </c>
      <c r="Z62" s="189"/>
      <c r="AA62" s="189"/>
      <c r="AB62" s="189">
        <f>-'[3]HARVESTING KHT'!BI44</f>
        <v>0</v>
      </c>
      <c r="AC62" s="189">
        <f>'[4]HARVESTING KHT'!$M45</f>
        <v>3809499.9</v>
      </c>
      <c r="AD62" s="189"/>
      <c r="AE62" s="183">
        <f t="shared" si="0"/>
        <v>8990543</v>
      </c>
      <c r="AF62" s="184">
        <f t="shared" si="11"/>
        <v>0.01</v>
      </c>
      <c r="AG62" s="152">
        <f t="shared" si="9"/>
        <v>89905</v>
      </c>
      <c r="AH62" s="211" t="e">
        <f>#REF!</f>
        <v>#REF!</v>
      </c>
      <c r="AI62" s="172" t="e">
        <f t="shared" si="4"/>
        <v>#REF!</v>
      </c>
      <c r="AJ62" s="93"/>
      <c r="AK62" s="146" t="e">
        <f t="shared" si="10"/>
        <v>#REF!</v>
      </c>
      <c r="AL62" s="147"/>
      <c r="AN62" s="199">
        <f>'[3]HARVESTING KHT'!$AL44</f>
        <v>5004567.57</v>
      </c>
      <c r="AO62" s="200">
        <f t="shared" si="2"/>
        <v>176476</v>
      </c>
      <c r="AP62" s="199">
        <f t="shared" si="5"/>
        <v>5181043.57</v>
      </c>
      <c r="AQ62" s="201">
        <f t="shared" si="6"/>
        <v>-3809499.4299999997</v>
      </c>
    </row>
    <row r="63" spans="2:43" s="173" customFormat="1" ht="18" customHeight="1">
      <c r="B63" s="174">
        <v>58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3"/>
        <v>TER B</v>
      </c>
      <c r="K63" s="182">
        <f t="shared" si="7"/>
        <v>3518666.57</v>
      </c>
      <c r="L63" s="169">
        <f t="shared" si="8"/>
        <v>30575.999999999996</v>
      </c>
      <c r="M63" s="189">
        <f>[3]TRANSPORT!AH11</f>
        <v>146920</v>
      </c>
      <c r="N63" s="189">
        <f>[3]TRANSPORT!S11</f>
        <v>117000</v>
      </c>
      <c r="O63" s="189">
        <f>[3]TRANSPORT!V11</f>
        <v>45000</v>
      </c>
      <c r="P63" s="189">
        <f>[3]TRANSPORT!Z11</f>
        <v>736416.1</v>
      </c>
      <c r="Q63" s="189">
        <f>[3]TRANSPORT!Y11</f>
        <v>804150</v>
      </c>
      <c r="R63" s="189"/>
      <c r="S63" s="189"/>
      <c r="T63" s="189"/>
      <c r="U63" s="189"/>
      <c r="V63" s="189"/>
      <c r="W63" s="189"/>
      <c r="X63" s="189">
        <f>[3]TRANSPORT!X11</f>
        <v>33000</v>
      </c>
      <c r="Y63" s="189"/>
      <c r="Z63" s="189"/>
      <c r="AA63" s="189"/>
      <c r="AB63" s="189">
        <f>-[3]TRANSPORT!AX11</f>
        <v>-363999.99</v>
      </c>
      <c r="AC63" s="189">
        <f>[4]TRANSPORT!$N12</f>
        <v>3807999.9</v>
      </c>
      <c r="AD63" s="189"/>
      <c r="AE63" s="183">
        <f t="shared" si="0"/>
        <v>8875728</v>
      </c>
      <c r="AF63" s="184">
        <f t="shared" si="11"/>
        <v>0.01</v>
      </c>
      <c r="AG63" s="152">
        <f t="shared" si="9"/>
        <v>88757</v>
      </c>
      <c r="AH63" s="211" t="e">
        <f>#REF!</f>
        <v>#REF!</v>
      </c>
      <c r="AI63" s="172" t="e">
        <f t="shared" si="4"/>
        <v>#REF!</v>
      </c>
      <c r="AJ63" s="93"/>
      <c r="AK63" s="146" t="e">
        <f t="shared" si="10"/>
        <v>#REF!</v>
      </c>
      <c r="AL63" s="147"/>
      <c r="AN63" s="199">
        <f>[3]TRANSPORT!$AC11</f>
        <v>4890232.68</v>
      </c>
      <c r="AO63" s="200">
        <f t="shared" si="2"/>
        <v>177496</v>
      </c>
      <c r="AP63" s="199">
        <f t="shared" si="5"/>
        <v>5067728.68</v>
      </c>
      <c r="AQ63" s="201">
        <f t="shared" si="6"/>
        <v>-3807999.3200000003</v>
      </c>
    </row>
    <row r="64" spans="2:43" s="173" customFormat="1" ht="18" customHeight="1">
      <c r="B64" s="174">
        <v>59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3"/>
        <v>TER B</v>
      </c>
      <c r="K64" s="182">
        <f t="shared" si="7"/>
        <v>3518666.57</v>
      </c>
      <c r="L64" s="169">
        <f t="shared" si="8"/>
        <v>30575.999999999996</v>
      </c>
      <c r="M64" s="189">
        <f>[3]TRANSPORT!AH12</f>
        <v>147340</v>
      </c>
      <c r="N64" s="189">
        <f>[3]TRANSPORT!S12</f>
        <v>151200</v>
      </c>
      <c r="O64" s="189">
        <f>[3]TRANSPORT!V12</f>
        <v>38000</v>
      </c>
      <c r="P64" s="189">
        <f>[3]TRANSPORT!Z12</f>
        <v>873179.09</v>
      </c>
      <c r="Q64" s="189">
        <f>[3]TRANSPORT!Y12</f>
        <v>963160</v>
      </c>
      <c r="R64" s="189"/>
      <c r="S64" s="189"/>
      <c r="T64" s="189"/>
      <c r="U64" s="189"/>
      <c r="V64" s="189"/>
      <c r="W64" s="189"/>
      <c r="X64" s="189">
        <f>[3]TRANSPORT!X12</f>
        <v>43500</v>
      </c>
      <c r="Y64" s="189"/>
      <c r="Z64" s="189"/>
      <c r="AA64" s="189"/>
      <c r="AB64" s="189">
        <f>-[3]TRANSPORT!AX12</f>
        <v>-121333.33</v>
      </c>
      <c r="AC64" s="189">
        <f>[4]TRANSPORT!$N13</f>
        <v>3848999.9</v>
      </c>
      <c r="AD64" s="189"/>
      <c r="AE64" s="183">
        <f t="shared" si="0"/>
        <v>9493288</v>
      </c>
      <c r="AF64" s="184">
        <f t="shared" si="11"/>
        <v>1.4999999999999999E-2</v>
      </c>
      <c r="AG64" s="152">
        <f t="shared" si="9"/>
        <v>142399</v>
      </c>
      <c r="AH64" s="211" t="e">
        <f>#REF!</f>
        <v>#REF!</v>
      </c>
      <c r="AI64" s="172" t="e">
        <f t="shared" si="4"/>
        <v>#REF!</v>
      </c>
      <c r="AJ64" s="93"/>
      <c r="AK64" s="146" t="e">
        <f t="shared" si="10"/>
        <v>#REF!</v>
      </c>
      <c r="AL64" s="147"/>
      <c r="AN64" s="199">
        <f>[3]TRANSPORT!$AC12</f>
        <v>5466372.3300000001</v>
      </c>
      <c r="AO64" s="200">
        <f t="shared" si="2"/>
        <v>177916</v>
      </c>
      <c r="AP64" s="199">
        <f t="shared" si="5"/>
        <v>5644288.3300000001</v>
      </c>
      <c r="AQ64" s="201">
        <f t="shared" si="6"/>
        <v>-3848999.67</v>
      </c>
    </row>
    <row r="65" spans="2:43" s="173" customFormat="1" ht="18" customHeight="1">
      <c r="B65" s="174">
        <v>60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3"/>
        <v>TER B</v>
      </c>
      <c r="K65" s="182">
        <f t="shared" si="7"/>
        <v>3518666.57</v>
      </c>
      <c r="L65" s="169">
        <f t="shared" si="8"/>
        <v>30575.999999999996</v>
      </c>
      <c r="M65" s="189">
        <f>[3]TRANSPORT!AH13</f>
        <v>148040</v>
      </c>
      <c r="N65" s="189">
        <f>[3]TRANSPORT!S13</f>
        <v>112500</v>
      </c>
      <c r="O65" s="189">
        <f>[3]TRANSPORT!V13</f>
        <v>54000</v>
      </c>
      <c r="P65" s="189">
        <f>[3]TRANSPORT!Z13</f>
        <v>746936.33</v>
      </c>
      <c r="Q65" s="189">
        <f>[3]TRANSPORT!Y13</f>
        <v>736250</v>
      </c>
      <c r="R65" s="189"/>
      <c r="S65" s="189"/>
      <c r="T65" s="189"/>
      <c r="U65" s="189"/>
      <c r="V65" s="189"/>
      <c r="W65" s="189"/>
      <c r="X65" s="189">
        <f>[3]TRANSPORT!X13</f>
        <v>61000</v>
      </c>
      <c r="Y65" s="189"/>
      <c r="Z65" s="189"/>
      <c r="AA65" s="189"/>
      <c r="AB65" s="189">
        <f>-[3]TRANSPORT!AX13</f>
        <v>-485333.32</v>
      </c>
      <c r="AC65" s="189">
        <f>[4]TRANSPORT!$N14</f>
        <v>3835999.9</v>
      </c>
      <c r="AD65" s="189"/>
      <c r="AE65" s="183">
        <f t="shared" si="0"/>
        <v>8758635</v>
      </c>
      <c r="AF65" s="184">
        <f t="shared" si="11"/>
        <v>0.01</v>
      </c>
      <c r="AG65" s="152">
        <f t="shared" si="9"/>
        <v>87586</v>
      </c>
      <c r="AH65" s="211" t="e">
        <f>#REF!</f>
        <v>#REF!</v>
      </c>
      <c r="AI65" s="172" t="e">
        <f t="shared" si="4"/>
        <v>#REF!</v>
      </c>
      <c r="AJ65" s="93"/>
      <c r="AK65" s="146" t="e">
        <f t="shared" si="10"/>
        <v>#REF!</v>
      </c>
      <c r="AL65" s="147"/>
      <c r="AN65" s="199">
        <f>[3]TRANSPORT!$AC13</f>
        <v>4744019.58</v>
      </c>
      <c r="AO65" s="200">
        <f t="shared" si="2"/>
        <v>178616</v>
      </c>
      <c r="AP65" s="199">
        <f t="shared" si="5"/>
        <v>4922635.58</v>
      </c>
      <c r="AQ65" s="201">
        <f t="shared" si="6"/>
        <v>-3835999.42</v>
      </c>
    </row>
    <row r="66" spans="2:43" s="173" customFormat="1" ht="18" customHeight="1" thickBot="1">
      <c r="B66" s="174">
        <v>61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3"/>
        <v>TER B</v>
      </c>
      <c r="K66" s="182">
        <f t="shared" si="7"/>
        <v>3518666.57</v>
      </c>
      <c r="L66" s="169">
        <f t="shared" si="8"/>
        <v>30575.999999999996</v>
      </c>
      <c r="M66" s="189">
        <f>[3]TRANSPORT!AH14</f>
        <v>146680</v>
      </c>
      <c r="N66" s="189">
        <f>[3]TRANSPORT!S14</f>
        <v>151200</v>
      </c>
      <c r="O66" s="189">
        <f>[3]TRANSPORT!V14</f>
        <v>40000</v>
      </c>
      <c r="P66" s="189">
        <f>[3]TRANSPORT!Z14</f>
        <v>854835</v>
      </c>
      <c r="Q66" s="189">
        <f>[3]TRANSPORT!Y14</f>
        <v>852138.63</v>
      </c>
      <c r="R66" s="189"/>
      <c r="S66" s="189"/>
      <c r="T66" s="189"/>
      <c r="U66" s="189"/>
      <c r="V66" s="189"/>
      <c r="W66" s="189"/>
      <c r="X66" s="189">
        <f>[3]TRANSPORT!X14</f>
        <v>27000</v>
      </c>
      <c r="Y66" s="189"/>
      <c r="Z66" s="189"/>
      <c r="AA66" s="189"/>
      <c r="AB66" s="189">
        <f>-[3]TRANSPORT!AX14</f>
        <v>-121333.33</v>
      </c>
      <c r="AC66" s="189">
        <f>[4]TRANSPORT!$N15</f>
        <v>3828999.9</v>
      </c>
      <c r="AD66" s="189"/>
      <c r="AE66" s="183">
        <f t="shared" si="0"/>
        <v>9328762</v>
      </c>
      <c r="AF66" s="184">
        <f t="shared" si="11"/>
        <v>1.4999999999999999E-2</v>
      </c>
      <c r="AG66" s="152">
        <f t="shared" si="9"/>
        <v>139931</v>
      </c>
      <c r="AH66" s="211" t="e">
        <f>#REF!</f>
        <v>#REF!</v>
      </c>
      <c r="AI66" s="172" t="e">
        <f t="shared" si="4"/>
        <v>#REF!</v>
      </c>
      <c r="AJ66" s="93"/>
      <c r="AK66" s="146" t="e">
        <f t="shared" si="10"/>
        <v>#REF!</v>
      </c>
      <c r="AL66" s="147"/>
      <c r="AN66" s="199">
        <f>[3]TRANSPORT!$AC14</f>
        <v>5322506.87</v>
      </c>
      <c r="AO66" s="200">
        <f t="shared" si="2"/>
        <v>177256</v>
      </c>
      <c r="AP66" s="199">
        <f t="shared" si="5"/>
        <v>5499762.8700000001</v>
      </c>
      <c r="AQ66" s="201">
        <f t="shared" si="6"/>
        <v>-3828999.13</v>
      </c>
    </row>
    <row r="67" spans="2:43" s="27" customFormat="1" ht="14.25" hidden="1" customHeight="1">
      <c r="B67" s="148">
        <v>62</v>
      </c>
      <c r="C67" s="149"/>
      <c r="D67" s="48"/>
      <c r="E67" s="49"/>
      <c r="F67" s="47"/>
      <c r="G67" s="151"/>
      <c r="H67" s="50"/>
      <c r="I67" s="51"/>
      <c r="J67" s="92" t="str">
        <f t="shared" si="3"/>
        <v/>
      </c>
      <c r="K67" s="93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95">
        <f t="shared" si="0"/>
        <v>0</v>
      </c>
      <c r="AF67" s="96">
        <f t="shared" si="11"/>
        <v>0</v>
      </c>
      <c r="AG67" s="152">
        <f t="shared" si="9"/>
        <v>0</v>
      </c>
      <c r="AH67" s="210"/>
      <c r="AI67" s="152">
        <f>ROUND(IF(E67=0,AE67*AF67*120%,AE67*AF67),0)</f>
        <v>0</v>
      </c>
      <c r="AJ67" s="93"/>
      <c r="AK67" s="146">
        <f t="shared" si="10"/>
        <v>0</v>
      </c>
      <c r="AL67" s="147"/>
      <c r="AP67" s="201">
        <f t="shared" si="5"/>
        <v>0</v>
      </c>
      <c r="AQ67" s="201">
        <f t="shared" si="6"/>
        <v>0</v>
      </c>
    </row>
    <row r="68" spans="2:43" s="27" customFormat="1" ht="14.25" hidden="1" customHeight="1">
      <c r="B68" s="148">
        <v>63</v>
      </c>
      <c r="C68" s="149"/>
      <c r="D68" s="48"/>
      <c r="E68" s="49"/>
      <c r="F68" s="47"/>
      <c r="G68" s="151"/>
      <c r="H68" s="50"/>
      <c r="I68" s="51"/>
      <c r="J68" s="92" t="str">
        <f t="shared" si="3"/>
        <v/>
      </c>
      <c r="K68" s="93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95">
        <f t="shared" si="0"/>
        <v>0</v>
      </c>
      <c r="AF68" s="96">
        <f t="shared" si="11"/>
        <v>0</v>
      </c>
      <c r="AG68" s="152">
        <f t="shared" si="9"/>
        <v>0</v>
      </c>
      <c r="AH68" s="210"/>
      <c r="AI68" s="152">
        <f>ROUND(IF(E68=0,AE68*AF68*120%,AE68*AF68),0)</f>
        <v>0</v>
      </c>
      <c r="AJ68" s="93"/>
      <c r="AK68" s="146">
        <f t="shared" si="10"/>
        <v>0</v>
      </c>
      <c r="AL68" s="147"/>
      <c r="AP68" s="201">
        <f t="shared" si="5"/>
        <v>0</v>
      </c>
      <c r="AQ68" s="201">
        <f t="shared" si="6"/>
        <v>0</v>
      </c>
    </row>
    <row r="69" spans="2:43" s="27" customFormat="1" ht="14.25" hidden="1" customHeight="1">
      <c r="B69" s="148">
        <v>64</v>
      </c>
      <c r="C69" s="149"/>
      <c r="D69" s="48"/>
      <c r="E69" s="49"/>
      <c r="F69" s="47"/>
      <c r="G69" s="151"/>
      <c r="H69" s="50"/>
      <c r="I69" s="51"/>
      <c r="J69" s="92" t="str">
        <f t="shared" si="3"/>
        <v/>
      </c>
      <c r="K69" s="93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95">
        <f t="shared" si="0"/>
        <v>0</v>
      </c>
      <c r="AF69" s="96">
        <f t="shared" si="11"/>
        <v>0</v>
      </c>
      <c r="AG69" s="152">
        <f t="shared" si="9"/>
        <v>0</v>
      </c>
      <c r="AH69" s="210"/>
      <c r="AI69" s="152">
        <f>ROUND(IF(E69=0,AE69*AF69*120%,AE69*AF69),0)</f>
        <v>0</v>
      </c>
      <c r="AJ69" s="93"/>
      <c r="AK69" s="146">
        <f t="shared" si="10"/>
        <v>0</v>
      </c>
      <c r="AL69" s="147"/>
      <c r="AP69" s="201">
        <f t="shared" si="5"/>
        <v>0</v>
      </c>
      <c r="AQ69" s="201">
        <f t="shared" si="6"/>
        <v>0</v>
      </c>
    </row>
    <row r="70" spans="2:43" s="27" customFormat="1" ht="14.25" hidden="1" customHeight="1">
      <c r="B70" s="148">
        <v>65</v>
      </c>
      <c r="C70" s="149"/>
      <c r="D70" s="48"/>
      <c r="E70" s="49"/>
      <c r="F70" s="47"/>
      <c r="G70" s="151"/>
      <c r="H70" s="50"/>
      <c r="I70" s="51"/>
      <c r="J70" s="92" t="str">
        <f t="shared" si="3"/>
        <v/>
      </c>
      <c r="K70" s="93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95">
        <f t="shared" ref="AE70:AE89" si="12">ROUNDDOWN(SUM(K70:AD70),0)</f>
        <v>0</v>
      </c>
      <c r="AF70" s="96">
        <f t="shared" ref="AF70:AF89" si="13">IF(J70="TER A",VLOOKUP(AE70,Ter_A,4,TRUE),IF(J70="TER B",VLOOKUP(AE70,Ter_B,4,TRUE),VLOOKUP(AE70,Ter_C,4,TRUE)))</f>
        <v>0</v>
      </c>
      <c r="AG70" s="152">
        <f t="shared" si="9"/>
        <v>0</v>
      </c>
      <c r="AH70" s="210"/>
      <c r="AI70" s="152">
        <f t="shared" ref="AI70:AI89" si="14">ROUND(IF(E70=0,AE70*AF70*120%,AE70*AF70),0)</f>
        <v>0</v>
      </c>
      <c r="AJ70" s="93"/>
      <c r="AK70" s="146">
        <f t="shared" si="10"/>
        <v>0</v>
      </c>
      <c r="AL70" s="147"/>
      <c r="AP70" s="201">
        <f t="shared" si="5"/>
        <v>0</v>
      </c>
      <c r="AQ70" s="201">
        <f t="shared" si="6"/>
        <v>0</v>
      </c>
    </row>
    <row r="71" spans="2:43" s="27" customFormat="1" ht="14.25" hidden="1" customHeight="1">
      <c r="B71" s="148">
        <v>66</v>
      </c>
      <c r="C71" s="149"/>
      <c r="D71" s="48"/>
      <c r="E71" s="49"/>
      <c r="F71" s="47"/>
      <c r="G71" s="151"/>
      <c r="H71" s="50"/>
      <c r="I71" s="51"/>
      <c r="J71" s="92" t="str">
        <f t="shared" ref="J71:J89" si="15">IF(ISBLANK(I71),"",IF(OR(I71="TK/0",I71="TK/1",I71="K/0"),"TER A",IF(I71="K/3","TER C","TER B")))</f>
        <v/>
      </c>
      <c r="K71" s="93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95">
        <f t="shared" si="12"/>
        <v>0</v>
      </c>
      <c r="AF71" s="96">
        <f t="shared" si="13"/>
        <v>0</v>
      </c>
      <c r="AG71" s="152">
        <f t="shared" ref="AG71:AG90" si="16">ROUNDDOWN(IF(H71=0,AE71*AF71*120%,AE71*AF71),0)</f>
        <v>0</v>
      </c>
      <c r="AH71" s="210"/>
      <c r="AI71" s="152">
        <f t="shared" si="14"/>
        <v>0</v>
      </c>
      <c r="AJ71" s="93"/>
      <c r="AK71" s="146">
        <f t="shared" si="10"/>
        <v>0</v>
      </c>
      <c r="AL71" s="147"/>
      <c r="AP71" s="201">
        <f t="shared" ref="AP71:AP90" si="17">AN71+AO71</f>
        <v>0</v>
      </c>
      <c r="AQ71" s="201">
        <f t="shared" ref="AQ71:AQ90" si="18">AP71-AE71</f>
        <v>0</v>
      </c>
    </row>
    <row r="72" spans="2:43" s="27" customFormat="1" ht="14.25" hidden="1" customHeight="1">
      <c r="B72" s="148">
        <v>67</v>
      </c>
      <c r="C72" s="149"/>
      <c r="D72" s="48"/>
      <c r="E72" s="49"/>
      <c r="F72" s="47"/>
      <c r="G72" s="151"/>
      <c r="H72" s="50"/>
      <c r="I72" s="51"/>
      <c r="J72" s="92" t="str">
        <f t="shared" si="15"/>
        <v/>
      </c>
      <c r="K72" s="93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95">
        <f t="shared" si="12"/>
        <v>0</v>
      </c>
      <c r="AF72" s="96">
        <f t="shared" si="13"/>
        <v>0</v>
      </c>
      <c r="AG72" s="152">
        <f t="shared" si="16"/>
        <v>0</v>
      </c>
      <c r="AH72" s="210"/>
      <c r="AI72" s="152">
        <f t="shared" si="14"/>
        <v>0</v>
      </c>
      <c r="AJ72" s="93"/>
      <c r="AK72" s="146">
        <f t="shared" si="10"/>
        <v>0</v>
      </c>
      <c r="AL72" s="147"/>
      <c r="AP72" s="201">
        <f t="shared" si="17"/>
        <v>0</v>
      </c>
      <c r="AQ72" s="201">
        <f t="shared" si="18"/>
        <v>0</v>
      </c>
    </row>
    <row r="73" spans="2:43" s="27" customFormat="1" ht="14.25" hidden="1" customHeight="1">
      <c r="B73" s="148">
        <v>68</v>
      </c>
      <c r="C73" s="149"/>
      <c r="D73" s="48"/>
      <c r="E73" s="49"/>
      <c r="F73" s="47"/>
      <c r="G73" s="151"/>
      <c r="H73" s="50"/>
      <c r="I73" s="51"/>
      <c r="J73" s="92" t="str">
        <f t="shared" si="15"/>
        <v/>
      </c>
      <c r="K73" s="93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95">
        <f t="shared" si="12"/>
        <v>0</v>
      </c>
      <c r="AF73" s="96">
        <f t="shared" si="13"/>
        <v>0</v>
      </c>
      <c r="AG73" s="152">
        <f t="shared" si="16"/>
        <v>0</v>
      </c>
      <c r="AH73" s="210"/>
      <c r="AI73" s="152">
        <f t="shared" si="14"/>
        <v>0</v>
      </c>
      <c r="AJ73" s="93"/>
      <c r="AK73" s="146">
        <f t="shared" si="10"/>
        <v>0</v>
      </c>
      <c r="AL73" s="147"/>
      <c r="AP73" s="201">
        <f t="shared" si="17"/>
        <v>0</v>
      </c>
      <c r="AQ73" s="201">
        <f t="shared" si="18"/>
        <v>0</v>
      </c>
    </row>
    <row r="74" spans="2:43" s="27" customFormat="1" ht="14.25" hidden="1" customHeight="1">
      <c r="B74" s="148">
        <v>69</v>
      </c>
      <c r="C74" s="149"/>
      <c r="D74" s="48"/>
      <c r="E74" s="49"/>
      <c r="F74" s="47"/>
      <c r="G74" s="151"/>
      <c r="H74" s="50"/>
      <c r="I74" s="51"/>
      <c r="J74" s="92" t="str">
        <f t="shared" si="15"/>
        <v/>
      </c>
      <c r="K74" s="93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95">
        <f t="shared" si="12"/>
        <v>0</v>
      </c>
      <c r="AF74" s="96">
        <f t="shared" si="13"/>
        <v>0</v>
      </c>
      <c r="AG74" s="152">
        <f t="shared" si="16"/>
        <v>0</v>
      </c>
      <c r="AH74" s="210"/>
      <c r="AI74" s="152">
        <f t="shared" si="14"/>
        <v>0</v>
      </c>
      <c r="AJ74" s="93"/>
      <c r="AK74" s="146">
        <f t="shared" si="10"/>
        <v>0</v>
      </c>
      <c r="AL74" s="147"/>
      <c r="AP74" s="201">
        <f t="shared" si="17"/>
        <v>0</v>
      </c>
      <c r="AQ74" s="201">
        <f t="shared" si="18"/>
        <v>0</v>
      </c>
    </row>
    <row r="75" spans="2:43" s="27" customFormat="1" ht="14.25" hidden="1" customHeight="1">
      <c r="B75" s="148">
        <v>70</v>
      </c>
      <c r="C75" s="149"/>
      <c r="D75" s="48"/>
      <c r="E75" s="49"/>
      <c r="F75" s="47"/>
      <c r="G75" s="151"/>
      <c r="H75" s="50"/>
      <c r="I75" s="51"/>
      <c r="J75" s="92" t="str">
        <f t="shared" si="15"/>
        <v/>
      </c>
      <c r="K75" s="93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95">
        <f t="shared" si="12"/>
        <v>0</v>
      </c>
      <c r="AF75" s="96">
        <f t="shared" si="13"/>
        <v>0</v>
      </c>
      <c r="AG75" s="152">
        <f t="shared" si="16"/>
        <v>0</v>
      </c>
      <c r="AH75" s="210"/>
      <c r="AI75" s="152">
        <f t="shared" si="14"/>
        <v>0</v>
      </c>
      <c r="AJ75" s="93"/>
      <c r="AK75" s="146">
        <f t="shared" si="10"/>
        <v>0</v>
      </c>
      <c r="AL75" s="147"/>
      <c r="AP75" s="201">
        <f t="shared" si="17"/>
        <v>0</v>
      </c>
      <c r="AQ75" s="201">
        <f t="shared" si="18"/>
        <v>0</v>
      </c>
    </row>
    <row r="76" spans="2:43" s="27" customFormat="1" ht="14.25" hidden="1" customHeight="1">
      <c r="B76" s="148">
        <v>71</v>
      </c>
      <c r="C76" s="149"/>
      <c r="D76" s="48"/>
      <c r="E76" s="49"/>
      <c r="F76" s="47"/>
      <c r="G76" s="151"/>
      <c r="H76" s="50"/>
      <c r="I76" s="51"/>
      <c r="J76" s="92" t="str">
        <f t="shared" si="15"/>
        <v/>
      </c>
      <c r="K76" s="93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95">
        <f t="shared" si="12"/>
        <v>0</v>
      </c>
      <c r="AF76" s="96">
        <f t="shared" si="13"/>
        <v>0</v>
      </c>
      <c r="AG76" s="152">
        <f t="shared" si="16"/>
        <v>0</v>
      </c>
      <c r="AH76" s="210"/>
      <c r="AI76" s="152">
        <f t="shared" si="14"/>
        <v>0</v>
      </c>
      <c r="AJ76" s="93"/>
      <c r="AK76" s="146">
        <f t="shared" si="10"/>
        <v>0</v>
      </c>
      <c r="AL76" s="147"/>
      <c r="AP76" s="201">
        <f t="shared" si="17"/>
        <v>0</v>
      </c>
      <c r="AQ76" s="201">
        <f t="shared" si="18"/>
        <v>0</v>
      </c>
    </row>
    <row r="77" spans="2:43" s="27" customFormat="1" ht="14.25" hidden="1" customHeight="1">
      <c r="B77" s="148">
        <v>72</v>
      </c>
      <c r="C77" s="149"/>
      <c r="D77" s="48"/>
      <c r="E77" s="49"/>
      <c r="F77" s="47"/>
      <c r="G77" s="151"/>
      <c r="H77" s="50"/>
      <c r="I77" s="51"/>
      <c r="J77" s="92" t="str">
        <f t="shared" si="15"/>
        <v/>
      </c>
      <c r="K77" s="93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95">
        <f t="shared" si="12"/>
        <v>0</v>
      </c>
      <c r="AF77" s="96">
        <f t="shared" si="13"/>
        <v>0</v>
      </c>
      <c r="AG77" s="152">
        <f t="shared" si="16"/>
        <v>0</v>
      </c>
      <c r="AH77" s="210"/>
      <c r="AI77" s="152">
        <f t="shared" si="14"/>
        <v>0</v>
      </c>
      <c r="AJ77" s="93"/>
      <c r="AK77" s="146">
        <f t="shared" si="10"/>
        <v>0</v>
      </c>
      <c r="AL77" s="147"/>
      <c r="AP77" s="201">
        <f t="shared" si="17"/>
        <v>0</v>
      </c>
      <c r="AQ77" s="201">
        <f t="shared" si="18"/>
        <v>0</v>
      </c>
    </row>
    <row r="78" spans="2:43" s="27" customFormat="1" ht="14.25" hidden="1" customHeight="1">
      <c r="B78" s="148">
        <v>73</v>
      </c>
      <c r="C78" s="149"/>
      <c r="D78" s="48"/>
      <c r="E78" s="49"/>
      <c r="F78" s="47"/>
      <c r="G78" s="151"/>
      <c r="H78" s="50"/>
      <c r="I78" s="51"/>
      <c r="J78" s="92" t="str">
        <f t="shared" si="15"/>
        <v/>
      </c>
      <c r="K78" s="93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95">
        <f t="shared" si="12"/>
        <v>0</v>
      </c>
      <c r="AF78" s="96">
        <f t="shared" si="13"/>
        <v>0</v>
      </c>
      <c r="AG78" s="152">
        <f t="shared" si="16"/>
        <v>0</v>
      </c>
      <c r="AH78" s="210"/>
      <c r="AI78" s="152">
        <f t="shared" si="14"/>
        <v>0</v>
      </c>
      <c r="AJ78" s="93"/>
      <c r="AK78" s="146">
        <f t="shared" si="10"/>
        <v>0</v>
      </c>
      <c r="AL78" s="147"/>
      <c r="AP78" s="201">
        <f t="shared" si="17"/>
        <v>0</v>
      </c>
      <c r="AQ78" s="201">
        <f t="shared" si="18"/>
        <v>0</v>
      </c>
    </row>
    <row r="79" spans="2:43" s="27" customFormat="1" ht="14.25" hidden="1" customHeight="1">
      <c r="B79" s="148">
        <v>74</v>
      </c>
      <c r="C79" s="149"/>
      <c r="D79" s="48"/>
      <c r="E79" s="49"/>
      <c r="F79" s="47"/>
      <c r="G79" s="151"/>
      <c r="H79" s="50"/>
      <c r="I79" s="51"/>
      <c r="J79" s="92" t="str">
        <f t="shared" si="15"/>
        <v/>
      </c>
      <c r="K79" s="93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95">
        <f t="shared" si="12"/>
        <v>0</v>
      </c>
      <c r="AF79" s="96">
        <f t="shared" si="13"/>
        <v>0</v>
      </c>
      <c r="AG79" s="152">
        <f t="shared" si="16"/>
        <v>0</v>
      </c>
      <c r="AH79" s="210"/>
      <c r="AI79" s="152">
        <f t="shared" si="14"/>
        <v>0</v>
      </c>
      <c r="AJ79" s="93"/>
      <c r="AK79" s="146">
        <f t="shared" si="10"/>
        <v>0</v>
      </c>
      <c r="AL79" s="147"/>
      <c r="AP79" s="201">
        <f t="shared" si="17"/>
        <v>0</v>
      </c>
      <c r="AQ79" s="201">
        <f t="shared" si="18"/>
        <v>0</v>
      </c>
    </row>
    <row r="80" spans="2:43" s="27" customFormat="1" ht="14.25" hidden="1" customHeight="1">
      <c r="B80" s="148">
        <v>75</v>
      </c>
      <c r="C80" s="149"/>
      <c r="D80" s="48"/>
      <c r="E80" s="49"/>
      <c r="F80" s="47"/>
      <c r="G80" s="151"/>
      <c r="H80" s="50"/>
      <c r="I80" s="51"/>
      <c r="J80" s="92" t="str">
        <f t="shared" si="15"/>
        <v/>
      </c>
      <c r="K80" s="93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95">
        <f t="shared" si="12"/>
        <v>0</v>
      </c>
      <c r="AF80" s="96">
        <f t="shared" si="13"/>
        <v>0</v>
      </c>
      <c r="AG80" s="152">
        <f t="shared" si="16"/>
        <v>0</v>
      </c>
      <c r="AH80" s="210"/>
      <c r="AI80" s="152">
        <f t="shared" si="14"/>
        <v>0</v>
      </c>
      <c r="AJ80" s="93"/>
      <c r="AK80" s="146">
        <f t="shared" si="10"/>
        <v>0</v>
      </c>
      <c r="AL80" s="147"/>
      <c r="AP80" s="201">
        <f t="shared" si="17"/>
        <v>0</v>
      </c>
      <c r="AQ80" s="201">
        <f t="shared" si="18"/>
        <v>0</v>
      </c>
    </row>
    <row r="81" spans="2:43" s="27" customFormat="1" ht="14.25" hidden="1" customHeight="1">
      <c r="B81" s="148">
        <v>76</v>
      </c>
      <c r="C81" s="149"/>
      <c r="D81" s="48"/>
      <c r="E81" s="49"/>
      <c r="F81" s="47"/>
      <c r="G81" s="151"/>
      <c r="H81" s="50"/>
      <c r="I81" s="51"/>
      <c r="J81" s="92" t="str">
        <f t="shared" si="15"/>
        <v/>
      </c>
      <c r="K81" s="93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95">
        <f t="shared" si="12"/>
        <v>0</v>
      </c>
      <c r="AF81" s="96">
        <f t="shared" si="13"/>
        <v>0</v>
      </c>
      <c r="AG81" s="152">
        <f t="shared" si="16"/>
        <v>0</v>
      </c>
      <c r="AH81" s="210"/>
      <c r="AI81" s="152">
        <f t="shared" si="14"/>
        <v>0</v>
      </c>
      <c r="AJ81" s="93"/>
      <c r="AK81" s="146">
        <f t="shared" si="10"/>
        <v>0</v>
      </c>
      <c r="AL81" s="147"/>
      <c r="AP81" s="201">
        <f t="shared" si="17"/>
        <v>0</v>
      </c>
      <c r="AQ81" s="201">
        <f t="shared" si="18"/>
        <v>0</v>
      </c>
    </row>
    <row r="82" spans="2:43" s="27" customFormat="1" ht="14.25" hidden="1" customHeight="1">
      <c r="B82" s="148">
        <v>77</v>
      </c>
      <c r="C82" s="149"/>
      <c r="D82" s="48"/>
      <c r="E82" s="49"/>
      <c r="F82" s="47"/>
      <c r="G82" s="151"/>
      <c r="H82" s="50"/>
      <c r="I82" s="51"/>
      <c r="J82" s="92" t="str">
        <f t="shared" si="15"/>
        <v/>
      </c>
      <c r="K82" s="93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95">
        <f t="shared" si="12"/>
        <v>0</v>
      </c>
      <c r="AF82" s="96">
        <f t="shared" si="13"/>
        <v>0</v>
      </c>
      <c r="AG82" s="152">
        <f t="shared" si="16"/>
        <v>0</v>
      </c>
      <c r="AH82" s="210"/>
      <c r="AI82" s="152">
        <f t="shared" si="14"/>
        <v>0</v>
      </c>
      <c r="AJ82" s="93"/>
      <c r="AK82" s="146">
        <f t="shared" si="10"/>
        <v>0</v>
      </c>
      <c r="AL82" s="147"/>
      <c r="AP82" s="201">
        <f t="shared" si="17"/>
        <v>0</v>
      </c>
      <c r="AQ82" s="201">
        <f t="shared" si="18"/>
        <v>0</v>
      </c>
    </row>
    <row r="83" spans="2:43" s="27" customFormat="1" ht="14.25" hidden="1" customHeight="1">
      <c r="B83" s="148">
        <v>78</v>
      </c>
      <c r="C83" s="149"/>
      <c r="D83" s="48"/>
      <c r="E83" s="49"/>
      <c r="F83" s="47"/>
      <c r="G83" s="151"/>
      <c r="H83" s="50"/>
      <c r="I83" s="51"/>
      <c r="J83" s="92" t="str">
        <f t="shared" si="15"/>
        <v/>
      </c>
      <c r="K83" s="93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95">
        <f t="shared" si="12"/>
        <v>0</v>
      </c>
      <c r="AF83" s="96">
        <f t="shared" si="13"/>
        <v>0</v>
      </c>
      <c r="AG83" s="152">
        <f t="shared" si="16"/>
        <v>0</v>
      </c>
      <c r="AH83" s="210"/>
      <c r="AI83" s="152">
        <f t="shared" si="14"/>
        <v>0</v>
      </c>
      <c r="AJ83" s="93"/>
      <c r="AK83" s="146">
        <f t="shared" si="10"/>
        <v>0</v>
      </c>
      <c r="AL83" s="147"/>
      <c r="AP83" s="201">
        <f t="shared" si="17"/>
        <v>0</v>
      </c>
      <c r="AQ83" s="201">
        <f t="shared" si="18"/>
        <v>0</v>
      </c>
    </row>
    <row r="84" spans="2:43" s="27" customFormat="1" ht="14.25" hidden="1" customHeight="1">
      <c r="B84" s="148">
        <v>79</v>
      </c>
      <c r="C84" s="149"/>
      <c r="D84" s="48"/>
      <c r="E84" s="49"/>
      <c r="F84" s="47"/>
      <c r="G84" s="151"/>
      <c r="H84" s="50"/>
      <c r="I84" s="51"/>
      <c r="J84" s="92" t="str">
        <f t="shared" si="15"/>
        <v/>
      </c>
      <c r="K84" s="93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95">
        <f t="shared" si="12"/>
        <v>0</v>
      </c>
      <c r="AF84" s="96">
        <f t="shared" si="13"/>
        <v>0</v>
      </c>
      <c r="AG84" s="152">
        <f t="shared" si="16"/>
        <v>0</v>
      </c>
      <c r="AH84" s="210"/>
      <c r="AI84" s="152">
        <f t="shared" si="14"/>
        <v>0</v>
      </c>
      <c r="AJ84" s="93"/>
      <c r="AK84" s="146">
        <f t="shared" si="10"/>
        <v>0</v>
      </c>
      <c r="AL84" s="147"/>
      <c r="AP84" s="201">
        <f t="shared" si="17"/>
        <v>0</v>
      </c>
      <c r="AQ84" s="201">
        <f t="shared" si="18"/>
        <v>0</v>
      </c>
    </row>
    <row r="85" spans="2:43" s="27" customFormat="1" ht="14.25" hidden="1" customHeight="1">
      <c r="B85" s="148">
        <v>80</v>
      </c>
      <c r="C85" s="149"/>
      <c r="D85" s="48"/>
      <c r="E85" s="49"/>
      <c r="F85" s="47"/>
      <c r="G85" s="151"/>
      <c r="H85" s="50"/>
      <c r="I85" s="51"/>
      <c r="J85" s="92" t="str">
        <f t="shared" si="15"/>
        <v/>
      </c>
      <c r="K85" s="93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95">
        <f t="shared" si="12"/>
        <v>0</v>
      </c>
      <c r="AF85" s="96">
        <f t="shared" si="13"/>
        <v>0</v>
      </c>
      <c r="AG85" s="152">
        <f t="shared" si="16"/>
        <v>0</v>
      </c>
      <c r="AH85" s="210"/>
      <c r="AI85" s="152">
        <f t="shared" si="14"/>
        <v>0</v>
      </c>
      <c r="AJ85" s="93"/>
      <c r="AK85" s="146">
        <f t="shared" si="10"/>
        <v>0</v>
      </c>
      <c r="AL85" s="147"/>
      <c r="AP85" s="201">
        <f t="shared" si="17"/>
        <v>0</v>
      </c>
      <c r="AQ85" s="201">
        <f t="shared" si="18"/>
        <v>0</v>
      </c>
    </row>
    <row r="86" spans="2:43" s="27" customFormat="1" ht="14.25" hidden="1" customHeight="1">
      <c r="B86" s="148">
        <v>81</v>
      </c>
      <c r="C86" s="149"/>
      <c r="D86" s="48"/>
      <c r="E86" s="49"/>
      <c r="F86" s="47"/>
      <c r="G86" s="151"/>
      <c r="H86" s="50"/>
      <c r="I86" s="51"/>
      <c r="J86" s="92" t="str">
        <f t="shared" si="15"/>
        <v/>
      </c>
      <c r="K86" s="93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95">
        <f t="shared" si="12"/>
        <v>0</v>
      </c>
      <c r="AF86" s="96">
        <f t="shared" si="13"/>
        <v>0</v>
      </c>
      <c r="AG86" s="152">
        <f t="shared" si="16"/>
        <v>0</v>
      </c>
      <c r="AH86" s="210"/>
      <c r="AI86" s="152">
        <f t="shared" si="14"/>
        <v>0</v>
      </c>
      <c r="AJ86" s="93"/>
      <c r="AK86" s="146">
        <f t="shared" si="10"/>
        <v>0</v>
      </c>
      <c r="AL86" s="147"/>
      <c r="AP86" s="201">
        <f t="shared" si="17"/>
        <v>0</v>
      </c>
      <c r="AQ86" s="201">
        <f t="shared" si="18"/>
        <v>0</v>
      </c>
    </row>
    <row r="87" spans="2:43" s="27" customFormat="1" ht="14.25" hidden="1" customHeight="1">
      <c r="B87" s="148">
        <v>82</v>
      </c>
      <c r="C87" s="149"/>
      <c r="D87" s="48"/>
      <c r="E87" s="49"/>
      <c r="F87" s="47"/>
      <c r="G87" s="151"/>
      <c r="H87" s="50"/>
      <c r="I87" s="51"/>
      <c r="J87" s="92" t="str">
        <f t="shared" si="15"/>
        <v/>
      </c>
      <c r="K87" s="93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95">
        <f t="shared" si="12"/>
        <v>0</v>
      </c>
      <c r="AF87" s="96">
        <f t="shared" si="13"/>
        <v>0</v>
      </c>
      <c r="AG87" s="152">
        <f t="shared" si="16"/>
        <v>0</v>
      </c>
      <c r="AH87" s="210"/>
      <c r="AI87" s="152">
        <f t="shared" si="14"/>
        <v>0</v>
      </c>
      <c r="AJ87" s="93"/>
      <c r="AK87" s="146">
        <f t="shared" si="10"/>
        <v>0</v>
      </c>
      <c r="AL87" s="147"/>
      <c r="AP87" s="201">
        <f t="shared" si="17"/>
        <v>0</v>
      </c>
      <c r="AQ87" s="201">
        <f t="shared" si="18"/>
        <v>0</v>
      </c>
    </row>
    <row r="88" spans="2:43" s="27" customFormat="1" ht="14.25" hidden="1" customHeight="1">
      <c r="B88" s="148">
        <v>83</v>
      </c>
      <c r="C88" s="149"/>
      <c r="D88" s="48"/>
      <c r="E88" s="49"/>
      <c r="F88" s="47"/>
      <c r="G88" s="151"/>
      <c r="H88" s="50"/>
      <c r="I88" s="51"/>
      <c r="J88" s="92" t="str">
        <f t="shared" si="15"/>
        <v/>
      </c>
      <c r="K88" s="93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95">
        <f t="shared" si="12"/>
        <v>0</v>
      </c>
      <c r="AF88" s="96">
        <f t="shared" si="13"/>
        <v>0</v>
      </c>
      <c r="AG88" s="152">
        <f t="shared" si="16"/>
        <v>0</v>
      </c>
      <c r="AH88" s="210"/>
      <c r="AI88" s="152">
        <f t="shared" si="14"/>
        <v>0</v>
      </c>
      <c r="AJ88" s="93"/>
      <c r="AK88" s="146">
        <f t="shared" si="10"/>
        <v>0</v>
      </c>
      <c r="AL88" s="147"/>
      <c r="AP88" s="201">
        <f t="shared" si="17"/>
        <v>0</v>
      </c>
      <c r="AQ88" s="201">
        <f t="shared" si="18"/>
        <v>0</v>
      </c>
    </row>
    <row r="89" spans="2:43" s="27" customFormat="1" ht="14.25" hidden="1" customHeight="1">
      <c r="B89" s="148">
        <v>84</v>
      </c>
      <c r="C89" s="149"/>
      <c r="D89" s="48"/>
      <c r="E89" s="49"/>
      <c r="F89" s="47"/>
      <c r="G89" s="151"/>
      <c r="H89" s="50"/>
      <c r="I89" s="51"/>
      <c r="J89" s="92" t="str">
        <f t="shared" si="15"/>
        <v/>
      </c>
      <c r="K89" s="93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95">
        <f t="shared" si="12"/>
        <v>0</v>
      </c>
      <c r="AF89" s="96">
        <f t="shared" si="13"/>
        <v>0</v>
      </c>
      <c r="AG89" s="152">
        <f t="shared" si="16"/>
        <v>0</v>
      </c>
      <c r="AH89" s="210"/>
      <c r="AI89" s="152">
        <f t="shared" si="14"/>
        <v>0</v>
      </c>
      <c r="AJ89" s="93"/>
      <c r="AK89" s="146">
        <f t="shared" si="10"/>
        <v>0</v>
      </c>
      <c r="AL89" s="147"/>
      <c r="AP89" s="201">
        <f t="shared" si="17"/>
        <v>0</v>
      </c>
      <c r="AQ89" s="201">
        <f t="shared" si="18"/>
        <v>0</v>
      </c>
    </row>
    <row r="90" spans="2:43" s="27" customFormat="1" ht="14.25" hidden="1" customHeight="1" thickBot="1">
      <c r="B90" s="148"/>
      <c r="C90" s="149"/>
      <c r="D90" s="48"/>
      <c r="E90" s="49"/>
      <c r="F90" s="47"/>
      <c r="G90" s="151"/>
      <c r="H90" s="50"/>
      <c r="I90" s="51"/>
      <c r="J90" s="92"/>
      <c r="K90" s="93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95"/>
      <c r="AF90" s="96"/>
      <c r="AG90" s="152">
        <f t="shared" si="16"/>
        <v>0</v>
      </c>
      <c r="AH90" s="210"/>
      <c r="AI90" s="152"/>
      <c r="AJ90" s="143"/>
      <c r="AK90" s="144"/>
      <c r="AP90" s="201">
        <f t="shared" si="17"/>
        <v>0</v>
      </c>
      <c r="AQ90" s="201">
        <f t="shared" si="18"/>
        <v>0</v>
      </c>
    </row>
    <row r="91" spans="2:43" s="59" customFormat="1" ht="22.15" customHeight="1" thickBot="1">
      <c r="B91" s="132"/>
      <c r="C91" s="133"/>
      <c r="D91" s="133"/>
      <c r="E91" s="133"/>
      <c r="F91" s="133"/>
      <c r="G91" s="133"/>
      <c r="H91" s="133"/>
      <c r="I91" s="133"/>
      <c r="J91" s="133"/>
      <c r="K91" s="196">
        <f>SUM(K6:K90)</f>
        <v>214740160.76999971</v>
      </c>
      <c r="L91" s="196">
        <f>SUM(L6:L90)</f>
        <v>1866017.9999999998</v>
      </c>
      <c r="M91" s="196">
        <f>SUM(M6:M90)</f>
        <v>8942780</v>
      </c>
      <c r="N91" s="196">
        <f>SUM(N6:N90)</f>
        <v>6506100</v>
      </c>
      <c r="O91" s="196">
        <f t="shared" ref="O91:AH91" si="19">SUM(O6:O90)</f>
        <v>377000</v>
      </c>
      <c r="P91" s="196">
        <f t="shared" si="19"/>
        <v>8576163.0199999996</v>
      </c>
      <c r="Q91" s="196">
        <f t="shared" si="19"/>
        <v>3827328.63</v>
      </c>
      <c r="R91" s="196">
        <f t="shared" si="19"/>
        <v>4825320</v>
      </c>
      <c r="S91" s="196">
        <f t="shared" si="19"/>
        <v>5107200</v>
      </c>
      <c r="T91" s="196">
        <f t="shared" si="19"/>
        <v>14112450</v>
      </c>
      <c r="U91" s="196">
        <f t="shared" si="19"/>
        <v>1444115</v>
      </c>
      <c r="V91" s="196">
        <f t="shared" si="19"/>
        <v>600000</v>
      </c>
      <c r="W91" s="196">
        <f t="shared" si="19"/>
        <v>1441300</v>
      </c>
      <c r="X91" s="196">
        <f t="shared" si="19"/>
        <v>1424500</v>
      </c>
      <c r="Y91" s="196">
        <f t="shared" si="19"/>
        <v>-4254579</v>
      </c>
      <c r="Z91" s="196">
        <f t="shared" si="19"/>
        <v>0</v>
      </c>
      <c r="AA91" s="196">
        <f t="shared" si="19"/>
        <v>0</v>
      </c>
      <c r="AB91" s="196">
        <f t="shared" si="19"/>
        <v>-7042333.1400000025</v>
      </c>
      <c r="AC91" s="196">
        <f>SUM(AC6:AC90)</f>
        <v>222666785.77500018</v>
      </c>
      <c r="AD91" s="196">
        <f t="shared" si="19"/>
        <v>0</v>
      </c>
      <c r="AE91" s="196">
        <f t="shared" si="19"/>
        <v>485160280</v>
      </c>
      <c r="AF91" s="196">
        <f t="shared" si="19"/>
        <v>0.71500000000000019</v>
      </c>
      <c r="AG91" s="196">
        <f>SUM(AG6:AG90)</f>
        <v>5719113</v>
      </c>
      <c r="AH91" s="196" t="e">
        <f t="shared" si="19"/>
        <v>#REF!</v>
      </c>
      <c r="AI91" s="196" t="e">
        <f>SUM(AI6:AI90)</f>
        <v>#REF!</v>
      </c>
      <c r="AJ91" s="135">
        <f>SUM(AJ6:AJ90)</f>
        <v>0</v>
      </c>
      <c r="AK91" s="135" t="e">
        <f>AJ91-AI91</f>
        <v>#REF!</v>
      </c>
      <c r="AL91" s="198"/>
      <c r="AN91" s="202">
        <f>SUM(AN6:AN90)</f>
        <v>251684725.27999988</v>
      </c>
      <c r="AO91" s="202">
        <f>SUM(AO6:AO90)</f>
        <v>10808798</v>
      </c>
      <c r="AP91" s="202">
        <f>SUM(AP6:AP90)</f>
        <v>262493523.27999988</v>
      </c>
      <c r="AQ91" s="202">
        <f>SUM(AQ6:AQ90)</f>
        <v>-222666756.72000012</v>
      </c>
    </row>
    <row r="92" spans="2:43" ht="15" customHeight="1">
      <c r="AJ92" s="143">
        <f>+'[5]PPH21-STAFF'!$T$215</f>
        <v>4628793.8715650011</v>
      </c>
    </row>
    <row r="93" spans="2:43" ht="15" hidden="1" customHeight="1">
      <c r="B93" s="58" t="s">
        <v>47</v>
      </c>
      <c r="M93" s="62"/>
      <c r="N93" s="62"/>
      <c r="O93" s="62"/>
      <c r="P93" s="62"/>
      <c r="Q93" s="62"/>
      <c r="R93" s="62"/>
      <c r="S93" s="62"/>
    </row>
    <row r="94" spans="2:43" ht="15" hidden="1" customHeight="1">
      <c r="B94" s="27" t="s">
        <v>48</v>
      </c>
      <c r="M94" s="62"/>
      <c r="N94" s="62"/>
      <c r="O94" s="62"/>
      <c r="P94" s="62"/>
      <c r="Q94" s="62"/>
      <c r="R94" s="62"/>
      <c r="S94" s="62"/>
    </row>
    <row r="95" spans="2:43" ht="15" hidden="1" customHeight="1">
      <c r="B95" s="27" t="s">
        <v>56</v>
      </c>
      <c r="M95" s="62"/>
      <c r="N95" s="62"/>
      <c r="O95" s="62"/>
      <c r="P95" s="62"/>
      <c r="Q95" s="62"/>
      <c r="R95" s="62"/>
      <c r="S95" s="62"/>
    </row>
    <row r="96" spans="2:43" ht="15" hidden="1" customHeight="1">
      <c r="B96" s="27" t="s">
        <v>49</v>
      </c>
      <c r="M96" s="62"/>
      <c r="N96" s="62"/>
      <c r="O96" s="62"/>
      <c r="P96" s="62"/>
      <c r="Q96" s="62"/>
      <c r="R96" s="62"/>
      <c r="S96" s="62"/>
    </row>
    <row r="97" spans="2:60" s="33" customFormat="1" ht="15" hidden="1" customHeight="1">
      <c r="B97" s="27" t="s">
        <v>57</v>
      </c>
      <c r="C97" s="28"/>
      <c r="D97" s="208"/>
      <c r="E97" s="30"/>
      <c r="F97" s="28"/>
      <c r="G97" s="31"/>
      <c r="H97" s="32"/>
      <c r="I97" s="32"/>
      <c r="J97" s="32"/>
      <c r="K97" s="28"/>
      <c r="L97" s="28"/>
      <c r="M97" s="62"/>
      <c r="N97" s="62"/>
      <c r="O97" s="62"/>
      <c r="P97" s="62"/>
      <c r="Q97" s="62"/>
      <c r="R97" s="62"/>
      <c r="S97" s="62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90"/>
      <c r="AG97" s="90"/>
      <c r="AH97" s="90"/>
      <c r="AI97" s="28"/>
      <c r="AJ97" s="143"/>
      <c r="AK97" s="27"/>
      <c r="AL97" s="27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</row>
    <row r="98" spans="2:60" s="33" customFormat="1" ht="15" hidden="1" customHeight="1">
      <c r="B98" s="27" t="s">
        <v>50</v>
      </c>
      <c r="C98" s="28"/>
      <c r="D98" s="208"/>
      <c r="E98" s="30"/>
      <c r="F98" s="28"/>
      <c r="G98" s="31"/>
      <c r="H98" s="32"/>
      <c r="I98" s="32"/>
      <c r="J98" s="32"/>
      <c r="K98" s="28"/>
      <c r="L98" s="28"/>
      <c r="M98" s="62"/>
      <c r="N98" s="62"/>
      <c r="O98" s="62"/>
      <c r="P98" s="62"/>
      <c r="Q98" s="62"/>
      <c r="R98" s="62"/>
      <c r="S98" s="62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90"/>
      <c r="AG98" s="90"/>
      <c r="AH98" s="90"/>
      <c r="AI98" s="28"/>
      <c r="AJ98" s="143"/>
      <c r="AK98" s="27"/>
      <c r="AL98" s="27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</row>
    <row r="99" spans="2:60" s="33" customFormat="1" ht="15" hidden="1" customHeight="1">
      <c r="B99" s="27" t="s">
        <v>51</v>
      </c>
      <c r="C99" s="28"/>
      <c r="D99" s="208"/>
      <c r="E99" s="30"/>
      <c r="F99" s="28"/>
      <c r="G99" s="31"/>
      <c r="H99" s="32"/>
      <c r="I99" s="32"/>
      <c r="J99" s="32"/>
      <c r="K99" s="28"/>
      <c r="L99" s="28"/>
      <c r="M99" s="62"/>
      <c r="N99" s="62"/>
      <c r="O99" s="62"/>
      <c r="P99" s="62"/>
      <c r="Q99" s="62"/>
      <c r="R99" s="62"/>
      <c r="S99" s="62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90"/>
      <c r="AG99" s="90"/>
      <c r="AH99" s="90"/>
      <c r="AI99" s="28"/>
      <c r="AJ99" s="143"/>
      <c r="AK99" s="27"/>
      <c r="AL99" s="27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</row>
    <row r="100" spans="2:60" s="33" customFormat="1" ht="15" hidden="1" customHeight="1">
      <c r="B100" s="27" t="s">
        <v>52</v>
      </c>
      <c r="C100" s="28"/>
      <c r="D100" s="208"/>
      <c r="E100" s="30"/>
      <c r="F100" s="28"/>
      <c r="G100" s="31"/>
      <c r="H100" s="32"/>
      <c r="I100" s="32"/>
      <c r="J100" s="32"/>
      <c r="K100" s="28"/>
      <c r="L100" s="28"/>
      <c r="M100" s="62"/>
      <c r="N100" s="62"/>
      <c r="O100" s="62"/>
      <c r="P100" s="62"/>
      <c r="Q100" s="62"/>
      <c r="R100" s="62"/>
      <c r="S100" s="62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90"/>
      <c r="AG100" s="90"/>
      <c r="AH100" s="90"/>
      <c r="AI100" s="28"/>
      <c r="AJ100" s="143"/>
      <c r="AK100" s="27"/>
      <c r="AL100" s="27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</row>
    <row r="101" spans="2:60" s="33" customFormat="1" ht="15" hidden="1" customHeight="1">
      <c r="B101" s="27" t="s">
        <v>58</v>
      </c>
      <c r="C101" s="28"/>
      <c r="D101" s="208"/>
      <c r="E101" s="30"/>
      <c r="F101" s="28"/>
      <c r="G101" s="31"/>
      <c r="H101" s="32"/>
      <c r="I101" s="32"/>
      <c r="J101" s="32"/>
      <c r="K101" s="28"/>
      <c r="L101" s="28"/>
      <c r="M101" s="62"/>
      <c r="N101" s="62"/>
      <c r="O101" s="62"/>
      <c r="P101" s="62"/>
      <c r="Q101" s="62"/>
      <c r="R101" s="62"/>
      <c r="S101" s="62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90"/>
      <c r="AG101" s="90"/>
      <c r="AH101" s="90"/>
      <c r="AI101" s="28"/>
      <c r="AJ101" s="143"/>
      <c r="AK101" s="27"/>
      <c r="AL101" s="27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</row>
    <row r="102" spans="2:60" s="33" customFormat="1" ht="15" hidden="1" customHeight="1">
      <c r="B102" s="27" t="s">
        <v>59</v>
      </c>
      <c r="C102" s="28"/>
      <c r="D102" s="208"/>
      <c r="E102" s="30"/>
      <c r="F102" s="28"/>
      <c r="G102" s="31"/>
      <c r="H102" s="32"/>
      <c r="I102" s="32"/>
      <c r="J102" s="32"/>
      <c r="K102" s="28"/>
      <c r="L102" s="28"/>
      <c r="M102" s="62"/>
      <c r="N102" s="62"/>
      <c r="O102" s="62"/>
      <c r="P102" s="62"/>
      <c r="Q102" s="62"/>
      <c r="R102" s="62"/>
      <c r="S102" s="62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90"/>
      <c r="AG102" s="90"/>
      <c r="AH102" s="90"/>
      <c r="AI102" s="28"/>
      <c r="AJ102" s="143"/>
      <c r="AK102" s="27"/>
      <c r="AL102" s="27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</row>
    <row r="103" spans="2:60" s="33" customFormat="1" ht="15" hidden="1" customHeight="1">
      <c r="B103" s="27" t="s">
        <v>65</v>
      </c>
      <c r="C103" s="28"/>
      <c r="D103" s="208"/>
      <c r="E103" s="30"/>
      <c r="F103" s="28"/>
      <c r="G103" s="31"/>
      <c r="H103" s="32"/>
      <c r="I103" s="32"/>
      <c r="J103" s="32"/>
      <c r="K103" s="28"/>
      <c r="L103" s="28"/>
      <c r="M103" s="62"/>
      <c r="N103" s="62"/>
      <c r="O103" s="62"/>
      <c r="P103" s="62"/>
      <c r="Q103" s="62"/>
      <c r="R103" s="62"/>
      <c r="S103" s="62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90"/>
      <c r="AG103" s="90"/>
      <c r="AH103" s="90"/>
      <c r="AI103" s="28"/>
      <c r="AJ103" s="143"/>
      <c r="AK103" s="27"/>
      <c r="AL103" s="27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</row>
    <row r="104" spans="2:60" s="33" customFormat="1" ht="15" hidden="1" customHeight="1">
      <c r="B104" s="27"/>
      <c r="C104" s="28"/>
      <c r="D104" s="208"/>
      <c r="E104" s="30"/>
      <c r="F104" s="28"/>
      <c r="G104" s="31"/>
      <c r="H104" s="32"/>
      <c r="I104" s="32"/>
      <c r="J104" s="32"/>
      <c r="K104" s="28"/>
      <c r="L104" s="28"/>
      <c r="M104" s="62"/>
      <c r="N104" s="62"/>
      <c r="O104" s="62"/>
      <c r="P104" s="62"/>
      <c r="Q104" s="62"/>
      <c r="R104" s="62"/>
      <c r="S104" s="62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90"/>
      <c r="AG104" s="90"/>
      <c r="AH104" s="90"/>
      <c r="AI104" s="28"/>
      <c r="AJ104" s="143"/>
      <c r="AK104" s="27"/>
      <c r="AL104" s="27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</row>
    <row r="105" spans="2:60" s="33" customFormat="1" ht="15" hidden="1" customHeight="1">
      <c r="B105" s="27"/>
      <c r="C105" s="28"/>
      <c r="D105" s="208"/>
      <c r="E105" s="30"/>
      <c r="F105" s="28"/>
      <c r="G105" s="31"/>
      <c r="H105" s="32"/>
      <c r="I105" s="32"/>
      <c r="J105" s="32"/>
      <c r="K105" s="28"/>
      <c r="L105" s="28"/>
      <c r="M105" s="62"/>
      <c r="N105" s="62"/>
      <c r="O105" s="62"/>
      <c r="P105" s="62"/>
      <c r="Q105" s="62"/>
      <c r="R105" s="62"/>
      <c r="S105" s="62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90"/>
      <c r="AG105" s="90"/>
      <c r="AH105" s="90"/>
      <c r="AI105" s="28"/>
      <c r="AJ105" s="143"/>
      <c r="AK105" s="27"/>
      <c r="AL105" s="27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</row>
    <row r="106" spans="2:60" s="33" customFormat="1" ht="15" customHeight="1">
      <c r="B106" s="27"/>
      <c r="C106" s="28"/>
      <c r="D106" s="208"/>
      <c r="E106" s="30"/>
      <c r="F106" s="28"/>
      <c r="G106" s="31"/>
      <c r="H106" s="32"/>
      <c r="I106" s="32"/>
      <c r="J106" s="32"/>
      <c r="K106" s="208" t="s">
        <v>324</v>
      </c>
      <c r="L106" s="28"/>
      <c r="M106" s="62"/>
      <c r="N106" s="62"/>
      <c r="O106" s="62"/>
      <c r="P106" s="62"/>
      <c r="Q106" s="62"/>
      <c r="R106" s="62"/>
      <c r="S106" s="62"/>
      <c r="T106" s="28"/>
      <c r="U106" s="28"/>
      <c r="V106" s="28"/>
      <c r="W106" s="28"/>
      <c r="X106" s="28"/>
      <c r="Y106" s="28"/>
      <c r="Z106" s="28"/>
      <c r="AA106" s="28"/>
      <c r="AB106" s="457" t="s">
        <v>321</v>
      </c>
      <c r="AC106" s="457"/>
      <c r="AD106" s="457"/>
      <c r="AE106" s="457"/>
      <c r="AF106" s="90"/>
      <c r="AG106" s="90"/>
      <c r="AH106" s="90"/>
      <c r="AI106" s="28"/>
      <c r="AJ106" s="143"/>
      <c r="AK106" s="27"/>
      <c r="AL106" s="27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</row>
    <row r="109" spans="2:60" ht="15">
      <c r="K109" s="209" t="s">
        <v>325</v>
      </c>
      <c r="AB109" s="458" t="s">
        <v>322</v>
      </c>
      <c r="AC109" s="458"/>
      <c r="AD109" s="458"/>
      <c r="AE109" s="458"/>
    </row>
    <row r="110" spans="2:60">
      <c r="K110" s="208" t="s">
        <v>326</v>
      </c>
      <c r="AB110" s="457" t="s">
        <v>323</v>
      </c>
      <c r="AC110" s="457"/>
      <c r="AD110" s="457"/>
      <c r="AE110" s="457"/>
    </row>
  </sheetData>
  <mergeCells count="3">
    <mergeCell ref="AB106:AE106"/>
    <mergeCell ref="AB109:AE109"/>
    <mergeCell ref="AB110:AE110"/>
  </mergeCells>
  <conditionalFormatting sqref="AL6:AL89">
    <cfRule type="containsText" dxfId="4" priority="1" operator="containsText" text="KURANG POT">
      <formula>NOT(ISERROR(SEARCH("KURANG POT",AL6)))</formula>
    </cfRule>
  </conditionalFormatting>
  <dataValidations count="2">
    <dataValidation type="list" allowBlank="1" showInputMessage="1" showErrorMessage="1" sqref="I6:I90">
      <formula1>"TK/0,TK/1,TK/2,TK/3,K/0,K/1,K/2,K/3"</formula1>
    </dataValidation>
    <dataValidation type="list" allowBlank="1" showInputMessage="1" showErrorMessage="1" sqref="H6:H90">
      <formula1>"L,P"</formula1>
    </dataValidation>
  </dataValidations>
  <pageMargins left="0.11811023622047245" right="0.11811023622047245" top="0.15748031496062992" bottom="0.15748031496062992" header="0.31496062992125984" footer="0.31496062992125984"/>
  <pageSetup paperSize="9" scale="4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I86"/>
  <sheetViews>
    <sheetView zoomScaleNormal="100" zoomScaleSheetLayoutView="100" workbookViewId="0">
      <pane xSplit="3" topLeftCell="AB1" activePane="topRight" state="frozen"/>
      <selection pane="topRight" activeCell="M6" sqref="M6:M66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08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14" width="9.85546875" style="28" customWidth="1"/>
    <col min="15" max="15" width="8.7109375" style="28" customWidth="1"/>
    <col min="16" max="16" width="10.140625" style="28" customWidth="1"/>
    <col min="17" max="17" width="9.85546875" style="28" customWidth="1"/>
    <col min="18" max="18" width="10.140625" style="28" customWidth="1"/>
    <col min="19" max="19" width="10" style="28" customWidth="1"/>
    <col min="20" max="20" width="10.7109375" style="28" customWidth="1"/>
    <col min="21" max="21" width="9.85546875" style="28" customWidth="1"/>
    <col min="22" max="22" width="9.7109375" style="28" customWidth="1"/>
    <col min="23" max="23" width="9.7109375" style="28" hidden="1" customWidth="1"/>
    <col min="24" max="24" width="10.140625" style="28" customWidth="1"/>
    <col min="25" max="25" width="9" style="28" customWidth="1"/>
    <col min="26" max="27" width="12.7109375" style="28" hidden="1" customWidth="1"/>
    <col min="28" max="28" width="10.5703125" style="28" customWidth="1"/>
    <col min="29" max="29" width="11.7109375" style="28" customWidth="1"/>
    <col min="30" max="30" width="6.85546875" style="28" hidden="1" customWidth="1"/>
    <col min="31" max="31" width="12" style="28" customWidth="1" collapsed="1"/>
    <col min="32" max="32" width="7.7109375" style="90" customWidth="1"/>
    <col min="33" max="34" width="10.140625" style="90" customWidth="1"/>
    <col min="35" max="35" width="9" style="28" customWidth="1"/>
    <col min="36" max="36" width="11.5703125" style="143" hidden="1" customWidth="1"/>
    <col min="37" max="37" width="10.140625" style="27" hidden="1" customWidth="1"/>
    <col min="38" max="38" width="10.28515625" style="27" hidden="1" customWidth="1"/>
    <col min="39" max="39" width="10.28515625" style="27" customWidth="1"/>
    <col min="40" max="40" width="9.28515625" style="60"/>
    <col min="41" max="41" width="11.140625" style="60" bestFit="1" customWidth="1"/>
    <col min="42" max="42" width="10" style="60" customWidth="1"/>
    <col min="43" max="43" width="12.28515625" style="60" bestFit="1" customWidth="1"/>
    <col min="44" max="44" width="11.5703125" style="60" customWidth="1"/>
    <col min="45" max="16384" width="9.28515625" style="60"/>
  </cols>
  <sheetData>
    <row r="1" spans="2:46">
      <c r="B1" s="27" t="s">
        <v>72</v>
      </c>
    </row>
    <row r="2" spans="2:46">
      <c r="B2" s="27" t="s">
        <v>333</v>
      </c>
    </row>
    <row r="3" spans="2:46">
      <c r="B3" s="27" t="s">
        <v>99</v>
      </c>
    </row>
    <row r="4" spans="2:46" s="27" customFormat="1" ht="13.5" thickBot="1">
      <c r="C4" s="87" t="s">
        <v>40</v>
      </c>
      <c r="D4" s="208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  <c r="AH4" s="90"/>
      <c r="AI4" s="28"/>
      <c r="AJ4" s="143"/>
    </row>
    <row r="5" spans="2:46" s="27" customFormat="1" ht="47.25" customHeight="1" thickBot="1">
      <c r="B5" s="205" t="s">
        <v>64</v>
      </c>
      <c r="C5" s="205" t="s">
        <v>25</v>
      </c>
      <c r="D5" s="206" t="s">
        <v>26</v>
      </c>
      <c r="E5" s="207" t="s">
        <v>27</v>
      </c>
      <c r="F5" s="205" t="s">
        <v>28</v>
      </c>
      <c r="G5" s="204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03" t="s">
        <v>68</v>
      </c>
      <c r="M5" s="203" t="s">
        <v>69</v>
      </c>
      <c r="N5" s="203" t="s">
        <v>80</v>
      </c>
      <c r="O5" s="203" t="s">
        <v>81</v>
      </c>
      <c r="P5" s="203" t="s">
        <v>84</v>
      </c>
      <c r="Q5" s="145" t="s">
        <v>319</v>
      </c>
      <c r="R5" s="203" t="s">
        <v>309</v>
      </c>
      <c r="S5" s="203" t="s">
        <v>310</v>
      </c>
      <c r="T5" s="203" t="s">
        <v>320</v>
      </c>
      <c r="U5" s="203" t="s">
        <v>315</v>
      </c>
      <c r="V5" s="203" t="s">
        <v>311</v>
      </c>
      <c r="W5" s="203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45" t="s">
        <v>332</v>
      </c>
      <c r="AH5" s="145" t="s">
        <v>331</v>
      </c>
      <c r="AI5" s="145" t="s">
        <v>330</v>
      </c>
      <c r="AJ5" s="145" t="s">
        <v>70</v>
      </c>
      <c r="AK5" s="145" t="s">
        <v>71</v>
      </c>
      <c r="AL5" s="212" t="s">
        <v>73</v>
      </c>
      <c r="AM5" s="145" t="s">
        <v>334</v>
      </c>
      <c r="AO5" s="27" t="s">
        <v>316</v>
      </c>
      <c r="AP5" s="27" t="s">
        <v>317</v>
      </c>
      <c r="AQ5" s="27" t="s">
        <v>318</v>
      </c>
    </row>
    <row r="6" spans="2:46" s="173" customFormat="1" ht="18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31*122333.33</f>
        <v>3792333.23</v>
      </c>
      <c r="L6" s="168">
        <f>3670000*0.84%</f>
        <v>30827.999999999996</v>
      </c>
      <c r="M6" s="168">
        <f>[6]MAINTENANCE!$AK10</f>
        <v>148680</v>
      </c>
      <c r="N6" s="168">
        <f>[6]MAINTENANCE!$W10</f>
        <v>162000</v>
      </c>
      <c r="O6" s="168">
        <f>[6]MAINTENANCE!$Z10</f>
        <v>69000</v>
      </c>
      <c r="P6" s="168">
        <f>[6]MAINTENANCE!$AE10</f>
        <v>127283.24</v>
      </c>
      <c r="Q6" s="169">
        <f>[6]MAINTENANCE!$AC10</f>
        <v>0</v>
      </c>
      <c r="R6" s="168"/>
      <c r="S6" s="168"/>
      <c r="T6" s="168"/>
      <c r="U6" s="168"/>
      <c r="V6" s="168"/>
      <c r="W6" s="168"/>
      <c r="X6" s="168">
        <f>[6]MAINTENANCE!$AB10</f>
        <v>47000</v>
      </c>
      <c r="Y6" s="169"/>
      <c r="Z6" s="169"/>
      <c r="AA6" s="169"/>
      <c r="AB6" s="168">
        <f>-[6]MAINTENANCE!$BA10</f>
        <v>-122333.33</v>
      </c>
      <c r="AC6" s="168">
        <f>[4]MAINTENANCE!$M11</f>
        <v>3878999.9</v>
      </c>
      <c r="AD6" s="168"/>
      <c r="AE6" s="170">
        <f>ROUNDDOWN(SUM(K6:AD6),0)</f>
        <v>8133791</v>
      </c>
      <c r="AF6" s="171">
        <f t="shared" ref="AF6:AF37" si="0">IF(J6="TER A",VLOOKUP(AE6,Ter_A,4,TRUE),IF(J6="TER B",VLOOKUP(AE6,Ter_B,4,TRUE),VLOOKUP(AE6,Ter_C,4,TRUE)))</f>
        <v>0.01</v>
      </c>
      <c r="AG6" s="152">
        <f>ROUNDDOWN(IF(H6=0,AE6*AF6*120%,AE6*AF6),0)</f>
        <v>81337</v>
      </c>
      <c r="AH6" s="211" t="e">
        <f>'THR''24'!AI6</f>
        <v>#REF!</v>
      </c>
      <c r="AI6" s="172" t="e">
        <f>AG6-AH6</f>
        <v>#REF!</v>
      </c>
      <c r="AJ6" s="93"/>
      <c r="AK6" s="146" t="e">
        <f>AJ6-AI6</f>
        <v>#REF!</v>
      </c>
      <c r="AL6" s="213"/>
      <c r="AM6" s="215"/>
      <c r="AO6" s="199">
        <f>[6]MAINTENANCE!$AF10</f>
        <v>4075283.14</v>
      </c>
      <c r="AP6" s="200">
        <f t="shared" ref="AP6:AP37" si="1">L6+M6</f>
        <v>179508</v>
      </c>
      <c r="AQ6" s="199">
        <f>AO6+AP6</f>
        <v>4254791.1400000006</v>
      </c>
      <c r="AR6" s="201">
        <f>AQ6-AE6</f>
        <v>-3878999.8599999994</v>
      </c>
    </row>
    <row r="7" spans="2:46" s="173" customFormat="1" ht="18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2">IF(ISBLANK(I7),"",IF(OR(I7="TK/0",I7="TK/1",I7="K/0"),"TER A",IF(I7="K/3","TER C","TER B")))</f>
        <v>TER A</v>
      </c>
      <c r="K7" s="182">
        <f>31*121333.33</f>
        <v>3761333.23</v>
      </c>
      <c r="L7" s="169">
        <f>3640000*0.84%</f>
        <v>30575.999999999996</v>
      </c>
      <c r="M7" s="189">
        <f>[6]MAINTENANCE!$AK11</f>
        <v>146680</v>
      </c>
      <c r="N7" s="189">
        <f>[6]MAINTENANCE!$W11</f>
        <v>69750</v>
      </c>
      <c r="O7" s="189">
        <f>[6]MAINTENANCE!$Z11</f>
        <v>0</v>
      </c>
      <c r="P7" s="189">
        <f>[6]MAINTENANCE!$AE11</f>
        <v>0</v>
      </c>
      <c r="Q7" s="169">
        <f>[6]MAINTENANCE!$AC11</f>
        <v>0</v>
      </c>
      <c r="R7" s="169"/>
      <c r="S7" s="169"/>
      <c r="T7" s="169"/>
      <c r="U7" s="169"/>
      <c r="V7" s="169"/>
      <c r="W7" s="169"/>
      <c r="X7" s="189">
        <f>[6]MAINTENANCE!$AB11</f>
        <v>27000</v>
      </c>
      <c r="Y7" s="169"/>
      <c r="Z7" s="169"/>
      <c r="AA7" s="169"/>
      <c r="AB7" s="189">
        <f>-[6]MAINTENANCE!$BA11</f>
        <v>0</v>
      </c>
      <c r="AC7" s="189">
        <f>[4]MAINTENANCE!$M12</f>
        <v>3734499.9</v>
      </c>
      <c r="AD7" s="169"/>
      <c r="AE7" s="183">
        <f>ROUNDDOWN(SUM(K7:AD7),0)</f>
        <v>7769839</v>
      </c>
      <c r="AF7" s="184">
        <f t="shared" si="0"/>
        <v>1.5000000000000001E-2</v>
      </c>
      <c r="AG7" s="152">
        <f>ROUNDDOWN(IF(H7=0,AE7*AF7*120%,AE7*AF7),0)</f>
        <v>116547</v>
      </c>
      <c r="AH7" s="211" t="e">
        <f>'THR''24'!AI7</f>
        <v>#REF!</v>
      </c>
      <c r="AI7" s="172" t="e">
        <f>AG7-AH7</f>
        <v>#REF!</v>
      </c>
      <c r="AJ7" s="93"/>
      <c r="AK7" s="146" t="e">
        <f>AJ7-AI7</f>
        <v>#REF!</v>
      </c>
      <c r="AL7" s="213"/>
      <c r="AM7" s="214"/>
      <c r="AO7" s="199">
        <f>[6]MAINTENANCE!$AF11</f>
        <v>3858083.23</v>
      </c>
      <c r="AP7" s="200">
        <f t="shared" si="1"/>
        <v>177256</v>
      </c>
      <c r="AQ7" s="199">
        <f t="shared" ref="AQ7:AQ65" si="3">AO7+AP7</f>
        <v>4035339.23</v>
      </c>
      <c r="AR7" s="201">
        <f t="shared" ref="AR7:AR64" si="4">AQ7-AE7</f>
        <v>-3734499.77</v>
      </c>
    </row>
    <row r="8" spans="2:46" s="173" customFormat="1" ht="18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27" si="5">31*121333.33</f>
        <v>3761333.23</v>
      </c>
      <c r="L8" s="169">
        <f t="shared" ref="L8:L66" si="6">3640000*0.84%</f>
        <v>30575.999999999996</v>
      </c>
      <c r="M8" s="189">
        <f>[6]MAINTENANCE!$AK12</f>
        <v>146800</v>
      </c>
      <c r="N8" s="189">
        <f>[6]MAINTENANCE!$W12</f>
        <v>69750</v>
      </c>
      <c r="O8" s="189">
        <f>[6]MAINTENANCE!$Z12</f>
        <v>0</v>
      </c>
      <c r="P8" s="189">
        <f>[6]MAINTENANCE!$AE12</f>
        <v>0</v>
      </c>
      <c r="Q8" s="169">
        <f>[6]MAINTENANCE!$AC12</f>
        <v>0</v>
      </c>
      <c r="R8" s="169"/>
      <c r="S8" s="169"/>
      <c r="T8" s="169"/>
      <c r="U8" s="169"/>
      <c r="V8" s="169"/>
      <c r="W8" s="169"/>
      <c r="X8" s="189">
        <f>[6]MAINTENANCE!$AB12</f>
        <v>30000</v>
      </c>
      <c r="Y8" s="169"/>
      <c r="Z8" s="169"/>
      <c r="AA8" s="169"/>
      <c r="AB8" s="189">
        <f>-[6]MAINTENANCE!$BA12</f>
        <v>0</v>
      </c>
      <c r="AC8" s="189">
        <f>[4]MAINTENANCE!$M13</f>
        <v>3737499.9</v>
      </c>
      <c r="AD8" s="169"/>
      <c r="AE8" s="183">
        <f>ROUNDDOWN(SUM(K8:AD8),0)</f>
        <v>7775959</v>
      </c>
      <c r="AF8" s="184">
        <f t="shared" si="0"/>
        <v>1.5000000000000001E-2</v>
      </c>
      <c r="AG8" s="152">
        <f t="shared" ref="AG8:AG66" si="7">ROUNDDOWN(IF(H8=0,AE8*AF8*120%,AE8*AF8),0)</f>
        <v>116639</v>
      </c>
      <c r="AH8" s="211" t="e">
        <f>'THR''24'!AI8</f>
        <v>#REF!</v>
      </c>
      <c r="AI8" s="172" t="e">
        <f>AG8-AH8</f>
        <v>#REF!</v>
      </c>
      <c r="AJ8" s="93"/>
      <c r="AK8" s="146" t="e">
        <f t="shared" ref="AK8:AK66" si="8">AJ8-AI8</f>
        <v>#REF!</v>
      </c>
      <c r="AL8" s="213"/>
      <c r="AM8" s="214"/>
      <c r="AO8" s="199">
        <f>[6]MAINTENANCE!$AF12</f>
        <v>3861083.2300000004</v>
      </c>
      <c r="AP8" s="200">
        <f t="shared" si="1"/>
        <v>177376</v>
      </c>
      <c r="AQ8" s="199">
        <f>AO8+AP8</f>
        <v>4038459.2300000004</v>
      </c>
      <c r="AR8" s="201">
        <f t="shared" si="4"/>
        <v>-3737499.7699999996</v>
      </c>
      <c r="AT8" s="200">
        <f>AB8+AR8</f>
        <v>-3737499.7699999996</v>
      </c>
    </row>
    <row r="9" spans="2:46" s="173" customFormat="1" ht="18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5"/>
        <v>3761333.23</v>
      </c>
      <c r="L9" s="169">
        <f t="shared" si="6"/>
        <v>30575.999999999996</v>
      </c>
      <c r="M9" s="189">
        <f>[6]MAINTENANCE!$AK13</f>
        <v>147480</v>
      </c>
      <c r="N9" s="189">
        <f>[6]MAINTENANCE!$W13</f>
        <v>65250</v>
      </c>
      <c r="O9" s="189">
        <f>[6]MAINTENANCE!$Z13</f>
        <v>0</v>
      </c>
      <c r="P9" s="189">
        <f>[6]MAINTENANCE!$AE13</f>
        <v>0</v>
      </c>
      <c r="Q9" s="169">
        <f>[6]MAINTENANCE!$AC13</f>
        <v>0</v>
      </c>
      <c r="R9" s="169"/>
      <c r="S9" s="169"/>
      <c r="T9" s="169"/>
      <c r="U9" s="169"/>
      <c r="V9" s="169"/>
      <c r="W9" s="169"/>
      <c r="X9" s="189">
        <f>[6]MAINTENANCE!$AB13</f>
        <v>47000</v>
      </c>
      <c r="Y9" s="169"/>
      <c r="Z9" s="169"/>
      <c r="AA9" s="169"/>
      <c r="AB9" s="189">
        <f>-[6]MAINTENANCE!$BA13</f>
        <v>-242666.66</v>
      </c>
      <c r="AC9" s="189">
        <f>[4]MAINTENANCE!$M14</f>
        <v>3754499.9</v>
      </c>
      <c r="AD9" s="169"/>
      <c r="AE9" s="183">
        <f t="shared" ref="AE9:AE65" si="9">ROUNDDOWN(SUM(K9:AD9),0)</f>
        <v>7563472</v>
      </c>
      <c r="AF9" s="184">
        <f t="shared" si="0"/>
        <v>1.5000000000000001E-2</v>
      </c>
      <c r="AG9" s="152">
        <f t="shared" si="7"/>
        <v>113452</v>
      </c>
      <c r="AH9" s="211" t="e">
        <f>'THR''24'!AI9</f>
        <v>#REF!</v>
      </c>
      <c r="AI9" s="172" t="e">
        <f t="shared" ref="AI9:AI66" si="10">AG9-AH9</f>
        <v>#REF!</v>
      </c>
      <c r="AJ9" s="93"/>
      <c r="AK9" s="146" t="e">
        <f t="shared" si="8"/>
        <v>#REF!</v>
      </c>
      <c r="AL9" s="213"/>
      <c r="AM9" s="214"/>
      <c r="AO9" s="199">
        <f>[6]MAINTENANCE!$AF13</f>
        <v>3630916.5700000003</v>
      </c>
      <c r="AP9" s="200">
        <f t="shared" si="1"/>
        <v>178056</v>
      </c>
      <c r="AQ9" s="199">
        <f t="shared" si="3"/>
        <v>3808972.5700000003</v>
      </c>
      <c r="AR9" s="201">
        <f t="shared" si="4"/>
        <v>-3754499.4299999997</v>
      </c>
      <c r="AT9" s="200">
        <f>AB9+AR9</f>
        <v>-3997166.09</v>
      </c>
    </row>
    <row r="10" spans="2:46" s="173" customFormat="1" ht="18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5"/>
        <v>3761333.23</v>
      </c>
      <c r="L10" s="169">
        <f t="shared" si="6"/>
        <v>30575.999999999996</v>
      </c>
      <c r="M10" s="189">
        <f>[6]MAINTENANCE!$AK14</f>
        <v>146800</v>
      </c>
      <c r="N10" s="189">
        <f>[6]MAINTENANCE!$W14</f>
        <v>67500</v>
      </c>
      <c r="O10" s="189">
        <f>[6]MAINTENANCE!$Z14</f>
        <v>0</v>
      </c>
      <c r="P10" s="189">
        <f>[6]MAINTENANCE!$AE14</f>
        <v>0</v>
      </c>
      <c r="Q10" s="169">
        <f>[6]MAINTENANCE!$AC14</f>
        <v>0</v>
      </c>
      <c r="R10" s="169"/>
      <c r="S10" s="169"/>
      <c r="T10" s="169"/>
      <c r="U10" s="169"/>
      <c r="V10" s="169"/>
      <c r="W10" s="169"/>
      <c r="X10" s="189">
        <f>[6]MAINTENANCE!$AB14</f>
        <v>30000</v>
      </c>
      <c r="Y10" s="169"/>
      <c r="Z10" s="169"/>
      <c r="AA10" s="169"/>
      <c r="AB10" s="189">
        <f>-[6]MAINTENANCE!$BA14</f>
        <v>-121333.33</v>
      </c>
      <c r="AC10" s="189">
        <f>[4]MAINTENANCE!$M15</f>
        <v>3737499.9</v>
      </c>
      <c r="AD10" s="169"/>
      <c r="AE10" s="183">
        <f t="shared" si="9"/>
        <v>7652375</v>
      </c>
      <c r="AF10" s="184">
        <f t="shared" si="0"/>
        <v>1.5000000000000001E-2</v>
      </c>
      <c r="AG10" s="152">
        <f t="shared" si="7"/>
        <v>114785</v>
      </c>
      <c r="AH10" s="211" t="e">
        <f>'THR''24'!AI10</f>
        <v>#REF!</v>
      </c>
      <c r="AI10" s="172" t="e">
        <f t="shared" si="10"/>
        <v>#REF!</v>
      </c>
      <c r="AJ10" s="93"/>
      <c r="AK10" s="146" t="e">
        <f t="shared" si="8"/>
        <v>#REF!</v>
      </c>
      <c r="AL10" s="213"/>
      <c r="AM10" s="214"/>
      <c r="AO10" s="199">
        <f>[6]MAINTENANCE!$AF14</f>
        <v>3737499.9000000004</v>
      </c>
      <c r="AP10" s="200">
        <f t="shared" si="1"/>
        <v>177376</v>
      </c>
      <c r="AQ10" s="199">
        <f t="shared" si="3"/>
        <v>3914875.9000000004</v>
      </c>
      <c r="AR10" s="201">
        <f t="shared" si="4"/>
        <v>-3737499.0999999996</v>
      </c>
    </row>
    <row r="11" spans="2:46" s="173" customFormat="1" ht="18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5"/>
        <v>3761333.23</v>
      </c>
      <c r="L11" s="169">
        <f t="shared" si="6"/>
        <v>30575.999999999996</v>
      </c>
      <c r="M11" s="189">
        <f>[6]MAINTENANCE!$AK15</f>
        <v>147340</v>
      </c>
      <c r="N11" s="189">
        <f>[6]MAINTENANCE!$W15</f>
        <v>67500</v>
      </c>
      <c r="O11" s="189">
        <f>[6]MAINTENANCE!$Z15</f>
        <v>0</v>
      </c>
      <c r="P11" s="189">
        <f>[6]MAINTENANCE!$AE15</f>
        <v>0</v>
      </c>
      <c r="Q11" s="169">
        <f>[6]MAINTENANCE!$AC15</f>
        <v>0</v>
      </c>
      <c r="R11" s="169"/>
      <c r="S11" s="169"/>
      <c r="T11" s="169"/>
      <c r="U11" s="169"/>
      <c r="V11" s="169"/>
      <c r="W11" s="169"/>
      <c r="X11" s="189">
        <f>[6]MAINTENANCE!$AB15</f>
        <v>43500</v>
      </c>
      <c r="Y11" s="169"/>
      <c r="Z11" s="169"/>
      <c r="AA11" s="169"/>
      <c r="AB11" s="189">
        <f>-[6]MAINTENANCE!$BA15</f>
        <v>-121333.33</v>
      </c>
      <c r="AC11" s="189">
        <f>[4]MAINTENANCE!$M16</f>
        <v>3750999.9</v>
      </c>
      <c r="AD11" s="169"/>
      <c r="AE11" s="183">
        <f t="shared" si="9"/>
        <v>7679915</v>
      </c>
      <c r="AF11" s="184">
        <f t="shared" si="0"/>
        <v>1.5000000000000001E-2</v>
      </c>
      <c r="AG11" s="152">
        <f t="shared" si="7"/>
        <v>115198</v>
      </c>
      <c r="AH11" s="211" t="e">
        <f>'THR''24'!AI11</f>
        <v>#REF!</v>
      </c>
      <c r="AI11" s="172" t="e">
        <f t="shared" si="10"/>
        <v>#REF!</v>
      </c>
      <c r="AJ11" s="93"/>
      <c r="AK11" s="146" t="e">
        <f t="shared" si="8"/>
        <v>#REF!</v>
      </c>
      <c r="AL11" s="213"/>
      <c r="AM11" s="214"/>
      <c r="AO11" s="199">
        <f>[6]MAINTENANCE!$AF15</f>
        <v>3750999.9000000004</v>
      </c>
      <c r="AP11" s="200">
        <f t="shared" si="1"/>
        <v>177916</v>
      </c>
      <c r="AQ11" s="199">
        <f t="shared" si="3"/>
        <v>3928915.9000000004</v>
      </c>
      <c r="AR11" s="201">
        <f t="shared" si="4"/>
        <v>-3750999.0999999996</v>
      </c>
    </row>
    <row r="12" spans="2:46" s="173" customFormat="1" ht="18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5"/>
        <v>3761333.23</v>
      </c>
      <c r="L12" s="169">
        <f t="shared" si="6"/>
        <v>30575.999999999996</v>
      </c>
      <c r="M12" s="189">
        <f>[6]MAINTENANCE!$AK16</f>
        <v>147480</v>
      </c>
      <c r="N12" s="189">
        <f>[6]MAINTENANCE!$W16</f>
        <v>69750</v>
      </c>
      <c r="O12" s="189">
        <f>[6]MAINTENANCE!$Z16</f>
        <v>0</v>
      </c>
      <c r="P12" s="189">
        <f>[6]MAINTENANCE!$AE16</f>
        <v>0</v>
      </c>
      <c r="Q12" s="169">
        <f>[6]MAINTENANCE!$AC16</f>
        <v>0</v>
      </c>
      <c r="R12" s="169"/>
      <c r="S12" s="169"/>
      <c r="T12" s="169"/>
      <c r="U12" s="169"/>
      <c r="V12" s="169"/>
      <c r="W12" s="169"/>
      <c r="X12" s="189">
        <f>[6]MAINTENANCE!$AB16</f>
        <v>47000</v>
      </c>
      <c r="Y12" s="169"/>
      <c r="Z12" s="169"/>
      <c r="AA12" s="169"/>
      <c r="AB12" s="189">
        <f>-[6]MAINTENANCE!$BA16</f>
        <v>0</v>
      </c>
      <c r="AC12" s="189">
        <f>[4]MAINTENANCE!$M17</f>
        <v>3754499.9</v>
      </c>
      <c r="AD12" s="169"/>
      <c r="AE12" s="183">
        <f t="shared" si="9"/>
        <v>7810639</v>
      </c>
      <c r="AF12" s="184">
        <f t="shared" si="0"/>
        <v>1.5000000000000001E-2</v>
      </c>
      <c r="AG12" s="152">
        <f t="shared" si="7"/>
        <v>117159</v>
      </c>
      <c r="AH12" s="211" t="e">
        <f>'THR''24'!AI12</f>
        <v>#REF!</v>
      </c>
      <c r="AI12" s="172" t="e">
        <f t="shared" si="10"/>
        <v>#REF!</v>
      </c>
      <c r="AJ12" s="93"/>
      <c r="AK12" s="146" t="e">
        <f t="shared" si="8"/>
        <v>#REF!</v>
      </c>
      <c r="AL12" s="213"/>
      <c r="AM12" s="214"/>
      <c r="AO12" s="199">
        <f>[6]MAINTENANCE!$AF16</f>
        <v>3878083.2300000004</v>
      </c>
      <c r="AP12" s="200">
        <f t="shared" si="1"/>
        <v>178056</v>
      </c>
      <c r="AQ12" s="199">
        <f t="shared" si="3"/>
        <v>4056139.2300000004</v>
      </c>
      <c r="AR12" s="201">
        <f t="shared" si="4"/>
        <v>-3754499.7699999996</v>
      </c>
    </row>
    <row r="13" spans="2:46" s="173" customFormat="1" ht="18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5"/>
        <v>3761333.23</v>
      </c>
      <c r="L13" s="169">
        <f t="shared" si="6"/>
        <v>30575.999999999996</v>
      </c>
      <c r="M13" s="189">
        <f>[6]MAINTENANCE!$AK17</f>
        <v>147480</v>
      </c>
      <c r="N13" s="189">
        <f>[6]MAINTENANCE!$W17</f>
        <v>67500</v>
      </c>
      <c r="O13" s="189">
        <f>[6]MAINTENANCE!$Z17</f>
        <v>0</v>
      </c>
      <c r="P13" s="189">
        <f>[6]MAINTENANCE!$AE17</f>
        <v>0</v>
      </c>
      <c r="Q13" s="169">
        <f>[6]MAINTENANCE!$AC17</f>
        <v>0</v>
      </c>
      <c r="R13" s="169"/>
      <c r="S13" s="169"/>
      <c r="T13" s="169"/>
      <c r="U13" s="169"/>
      <c r="V13" s="169"/>
      <c r="W13" s="169"/>
      <c r="X13" s="189">
        <f>[6]MAINTENANCE!$AB17</f>
        <v>47000</v>
      </c>
      <c r="Y13" s="169"/>
      <c r="Z13" s="169"/>
      <c r="AA13" s="169"/>
      <c r="AB13" s="189">
        <f>-[6]MAINTENANCE!$BA17</f>
        <v>-121333.33</v>
      </c>
      <c r="AC13" s="189">
        <f>[4]MAINTENANCE!$M18</f>
        <v>3754499.9</v>
      </c>
      <c r="AD13" s="169"/>
      <c r="AE13" s="183">
        <f t="shared" si="9"/>
        <v>7687055</v>
      </c>
      <c r="AF13" s="184">
        <f t="shared" si="0"/>
        <v>1.5000000000000001E-2</v>
      </c>
      <c r="AG13" s="152">
        <f t="shared" si="7"/>
        <v>115305</v>
      </c>
      <c r="AH13" s="211" t="e">
        <f>'THR''24'!AI13</f>
        <v>#REF!</v>
      </c>
      <c r="AI13" s="172" t="e">
        <f t="shared" si="10"/>
        <v>#REF!</v>
      </c>
      <c r="AJ13" s="93"/>
      <c r="AK13" s="146" t="e">
        <f t="shared" si="8"/>
        <v>#REF!</v>
      </c>
      <c r="AL13" s="213"/>
      <c r="AM13" s="214"/>
      <c r="AO13" s="199">
        <f>[6]MAINTENANCE!$AF17</f>
        <v>3754499.9</v>
      </c>
      <c r="AP13" s="200">
        <f t="shared" si="1"/>
        <v>178056</v>
      </c>
      <c r="AQ13" s="199">
        <f t="shared" si="3"/>
        <v>3932555.9</v>
      </c>
      <c r="AR13" s="201">
        <f t="shared" si="4"/>
        <v>-3754499.1</v>
      </c>
    </row>
    <row r="14" spans="2:46" s="173" customFormat="1" ht="18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5"/>
        <v>3761333.23</v>
      </c>
      <c r="L14" s="169">
        <f t="shared" si="6"/>
        <v>30575.999999999996</v>
      </c>
      <c r="M14" s="189">
        <f>[6]MAINTENANCE!$AK18</f>
        <v>147480</v>
      </c>
      <c r="N14" s="189">
        <f>[6]MAINTENANCE!$W18</f>
        <v>67500</v>
      </c>
      <c r="O14" s="189">
        <f>[6]MAINTENANCE!$Z18</f>
        <v>0</v>
      </c>
      <c r="P14" s="189">
        <f>[6]MAINTENANCE!$AE18</f>
        <v>0</v>
      </c>
      <c r="Q14" s="169">
        <f>[6]MAINTENANCE!$AC18</f>
        <v>0</v>
      </c>
      <c r="R14" s="169"/>
      <c r="S14" s="169"/>
      <c r="T14" s="169"/>
      <c r="U14" s="169"/>
      <c r="V14" s="169"/>
      <c r="W14" s="169"/>
      <c r="X14" s="189">
        <f>[6]MAINTENANCE!$AB18</f>
        <v>47000</v>
      </c>
      <c r="Y14" s="169"/>
      <c r="Z14" s="169"/>
      <c r="AA14" s="169"/>
      <c r="AB14" s="189">
        <f>-[6]MAINTENANCE!$BA18</f>
        <v>-121333.33</v>
      </c>
      <c r="AC14" s="189">
        <f>[4]MAINTENANCE!$M19</f>
        <v>3754499.9</v>
      </c>
      <c r="AD14" s="169"/>
      <c r="AE14" s="183">
        <f t="shared" si="9"/>
        <v>7687055</v>
      </c>
      <c r="AF14" s="184">
        <f t="shared" si="0"/>
        <v>1.5000000000000001E-2</v>
      </c>
      <c r="AG14" s="152">
        <f t="shared" si="7"/>
        <v>115305</v>
      </c>
      <c r="AH14" s="211" t="e">
        <f>'THR''24'!AI14</f>
        <v>#REF!</v>
      </c>
      <c r="AI14" s="172" t="e">
        <f t="shared" si="10"/>
        <v>#REF!</v>
      </c>
      <c r="AJ14" s="93"/>
      <c r="AK14" s="146" t="e">
        <f t="shared" si="8"/>
        <v>#REF!</v>
      </c>
      <c r="AL14" s="213"/>
      <c r="AM14" s="214"/>
      <c r="AO14" s="199">
        <f>[6]MAINTENANCE!$AF18</f>
        <v>3754499.9000000004</v>
      </c>
      <c r="AP14" s="200">
        <f t="shared" si="1"/>
        <v>178056</v>
      </c>
      <c r="AQ14" s="199">
        <f t="shared" si="3"/>
        <v>3932555.9000000004</v>
      </c>
      <c r="AR14" s="201">
        <f t="shared" si="4"/>
        <v>-3754499.0999999996</v>
      </c>
    </row>
    <row r="15" spans="2:46" s="173" customFormat="1" ht="18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5"/>
        <v>3761333.23</v>
      </c>
      <c r="L15" s="169">
        <f t="shared" si="6"/>
        <v>30575.999999999996</v>
      </c>
      <c r="M15" s="189">
        <f>[6]MAINTENANCE!$AK19</f>
        <v>147620</v>
      </c>
      <c r="N15" s="189">
        <f>[6]MAINTENANCE!$W19</f>
        <v>65250</v>
      </c>
      <c r="O15" s="189">
        <f>[6]MAINTENANCE!$Z19</f>
        <v>0</v>
      </c>
      <c r="P15" s="189">
        <f>[6]MAINTENANCE!$AE19</f>
        <v>0</v>
      </c>
      <c r="Q15" s="169">
        <f>[6]MAINTENANCE!$AC19</f>
        <v>0</v>
      </c>
      <c r="R15" s="169"/>
      <c r="S15" s="169"/>
      <c r="T15" s="169"/>
      <c r="U15" s="169"/>
      <c r="V15" s="169"/>
      <c r="W15" s="169"/>
      <c r="X15" s="189">
        <f>[6]MAINTENANCE!$AB19</f>
        <v>50500</v>
      </c>
      <c r="Y15" s="169"/>
      <c r="Z15" s="169"/>
      <c r="AA15" s="169"/>
      <c r="AB15" s="189">
        <f>-[6]MAINTENANCE!$BA19</f>
        <v>-242666.66</v>
      </c>
      <c r="AC15" s="189">
        <f>[4]MAINTENANCE!$M20</f>
        <v>3757999.9</v>
      </c>
      <c r="AD15" s="169"/>
      <c r="AE15" s="183">
        <f t="shared" si="9"/>
        <v>7570612</v>
      </c>
      <c r="AF15" s="184">
        <f t="shared" si="0"/>
        <v>1.5000000000000001E-2</v>
      </c>
      <c r="AG15" s="152">
        <f t="shared" si="7"/>
        <v>113559</v>
      </c>
      <c r="AH15" s="211" t="e">
        <f>'THR''24'!AI15</f>
        <v>#REF!</v>
      </c>
      <c r="AI15" s="172" t="e">
        <f t="shared" si="10"/>
        <v>#REF!</v>
      </c>
      <c r="AJ15" s="93"/>
      <c r="AK15" s="146" t="e">
        <f t="shared" si="8"/>
        <v>#REF!</v>
      </c>
      <c r="AL15" s="213"/>
      <c r="AM15" s="214"/>
      <c r="AO15" s="199">
        <f>[6]MAINTENANCE!$AF19</f>
        <v>3634416.5700000003</v>
      </c>
      <c r="AP15" s="200">
        <f t="shared" si="1"/>
        <v>178196</v>
      </c>
      <c r="AQ15" s="199">
        <f t="shared" si="3"/>
        <v>3812612.5700000003</v>
      </c>
      <c r="AR15" s="201">
        <f t="shared" si="4"/>
        <v>-3757999.4299999997</v>
      </c>
    </row>
    <row r="16" spans="2:46" s="173" customFormat="1" ht="18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5"/>
        <v>3761333.23</v>
      </c>
      <c r="L16" s="169">
        <f t="shared" si="6"/>
        <v>30575.999999999996</v>
      </c>
      <c r="M16" s="189">
        <f>[6]MAINTENANCE!$AK20</f>
        <v>147480</v>
      </c>
      <c r="N16" s="189">
        <f>[6]MAINTENANCE!$W20</f>
        <v>69750</v>
      </c>
      <c r="O16" s="189">
        <f>[6]MAINTENANCE!$Z20</f>
        <v>0</v>
      </c>
      <c r="P16" s="189">
        <f>[6]MAINTENANCE!$AE20</f>
        <v>0</v>
      </c>
      <c r="Q16" s="169">
        <f>[6]MAINTENANCE!$AC20</f>
        <v>0</v>
      </c>
      <c r="R16" s="169"/>
      <c r="S16" s="169"/>
      <c r="T16" s="169"/>
      <c r="U16" s="169"/>
      <c r="V16" s="169"/>
      <c r="W16" s="169"/>
      <c r="X16" s="189">
        <f>[6]MAINTENANCE!$AB20</f>
        <v>47000</v>
      </c>
      <c r="Y16" s="169"/>
      <c r="Z16" s="169"/>
      <c r="AA16" s="169"/>
      <c r="AB16" s="189">
        <f>-[6]MAINTENANCE!$BA20</f>
        <v>0</v>
      </c>
      <c r="AC16" s="189">
        <f>[4]MAINTENANCE!$M21</f>
        <v>3754499.9</v>
      </c>
      <c r="AD16" s="169"/>
      <c r="AE16" s="183">
        <f t="shared" si="9"/>
        <v>7810639</v>
      </c>
      <c r="AF16" s="184">
        <f t="shared" si="0"/>
        <v>1.5000000000000001E-2</v>
      </c>
      <c r="AG16" s="152">
        <f t="shared" si="7"/>
        <v>117159</v>
      </c>
      <c r="AH16" s="211" t="e">
        <f>'THR''24'!AI16</f>
        <v>#REF!</v>
      </c>
      <c r="AI16" s="172" t="e">
        <f t="shared" si="10"/>
        <v>#REF!</v>
      </c>
      <c r="AJ16" s="93"/>
      <c r="AK16" s="146" t="e">
        <f t="shared" si="8"/>
        <v>#REF!</v>
      </c>
      <c r="AL16" s="213"/>
      <c r="AM16" s="214"/>
      <c r="AO16" s="199">
        <f>[6]MAINTENANCE!$AF20</f>
        <v>3878083.23</v>
      </c>
      <c r="AP16" s="200">
        <f t="shared" si="1"/>
        <v>178056</v>
      </c>
      <c r="AQ16" s="199">
        <f t="shared" si="3"/>
        <v>4056139.23</v>
      </c>
      <c r="AR16" s="201">
        <f t="shared" si="4"/>
        <v>-3754499.77</v>
      </c>
    </row>
    <row r="17" spans="2:44" s="173" customFormat="1" ht="18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5"/>
        <v>3761333.23</v>
      </c>
      <c r="L17" s="169">
        <f t="shared" si="6"/>
        <v>30575.999999999996</v>
      </c>
      <c r="M17" s="189">
        <f>[6]MAINTENANCE!$AK21</f>
        <v>147340</v>
      </c>
      <c r="N17" s="189">
        <f>[6]MAINTENANCE!$W21</f>
        <v>65250</v>
      </c>
      <c r="O17" s="189">
        <f>[6]MAINTENANCE!$Z21</f>
        <v>0</v>
      </c>
      <c r="P17" s="189">
        <f>[6]MAINTENANCE!$AE21</f>
        <v>0</v>
      </c>
      <c r="Q17" s="169">
        <f>[6]MAINTENANCE!$AC21</f>
        <v>0</v>
      </c>
      <c r="R17" s="169"/>
      <c r="S17" s="169"/>
      <c r="T17" s="169"/>
      <c r="U17" s="169"/>
      <c r="V17" s="169"/>
      <c r="W17" s="169"/>
      <c r="X17" s="189">
        <f>[6]MAINTENANCE!$AB21</f>
        <v>43500</v>
      </c>
      <c r="Y17" s="169"/>
      <c r="Z17" s="169"/>
      <c r="AA17" s="169"/>
      <c r="AB17" s="189">
        <f>-[6]MAINTENANCE!$BA21</f>
        <v>-242666.66</v>
      </c>
      <c r="AC17" s="189">
        <f>[4]MAINTENANCE!$M22</f>
        <v>3750999.9</v>
      </c>
      <c r="AD17" s="169"/>
      <c r="AE17" s="183">
        <f t="shared" si="9"/>
        <v>7556332</v>
      </c>
      <c r="AF17" s="184">
        <f t="shared" si="0"/>
        <v>1.5000000000000001E-2</v>
      </c>
      <c r="AG17" s="152">
        <f t="shared" si="7"/>
        <v>113344</v>
      </c>
      <c r="AH17" s="211" t="e">
        <f>'THR''24'!AI17</f>
        <v>#REF!</v>
      </c>
      <c r="AI17" s="172" t="e">
        <f t="shared" si="10"/>
        <v>#REF!</v>
      </c>
      <c r="AJ17" s="93"/>
      <c r="AK17" s="146" t="e">
        <f t="shared" si="8"/>
        <v>#REF!</v>
      </c>
      <c r="AL17" s="213"/>
      <c r="AM17" s="214"/>
      <c r="AO17" s="199">
        <f>[6]MAINTENANCE!$AF21</f>
        <v>3627416.5700000003</v>
      </c>
      <c r="AP17" s="200">
        <f t="shared" si="1"/>
        <v>177916</v>
      </c>
      <c r="AQ17" s="199">
        <f t="shared" si="3"/>
        <v>3805332.5700000003</v>
      </c>
      <c r="AR17" s="201">
        <f t="shared" si="4"/>
        <v>-3750999.4299999997</v>
      </c>
    </row>
    <row r="18" spans="2:44" s="173" customFormat="1" ht="18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5"/>
        <v>3761333.23</v>
      </c>
      <c r="L18" s="169">
        <f t="shared" si="6"/>
        <v>30575.999999999996</v>
      </c>
      <c r="M18" s="189">
        <f>[6]MAINTENANCE!$AK22</f>
        <v>147340</v>
      </c>
      <c r="N18" s="189">
        <f>[6]MAINTENANCE!$W22</f>
        <v>67500</v>
      </c>
      <c r="O18" s="189">
        <f>[6]MAINTENANCE!$Z22</f>
        <v>0</v>
      </c>
      <c r="P18" s="189">
        <f>[6]MAINTENANCE!$AE22</f>
        <v>0</v>
      </c>
      <c r="Q18" s="169">
        <f>[6]MAINTENANCE!$AC22</f>
        <v>0</v>
      </c>
      <c r="R18" s="169"/>
      <c r="S18" s="169"/>
      <c r="T18" s="169"/>
      <c r="U18" s="169"/>
      <c r="V18" s="169"/>
      <c r="W18" s="169"/>
      <c r="X18" s="189">
        <f>[6]MAINTENANCE!$AB22</f>
        <v>43500</v>
      </c>
      <c r="Y18" s="169"/>
      <c r="Z18" s="169"/>
      <c r="AA18" s="169"/>
      <c r="AB18" s="189">
        <f>-[6]MAINTENANCE!$BA22</f>
        <v>-121333.33</v>
      </c>
      <c r="AC18" s="189">
        <f>[4]MAINTENANCE!$M23</f>
        <v>3750999.9</v>
      </c>
      <c r="AD18" s="169"/>
      <c r="AE18" s="183">
        <f t="shared" si="9"/>
        <v>7679915</v>
      </c>
      <c r="AF18" s="184">
        <f t="shared" si="0"/>
        <v>1.5000000000000001E-2</v>
      </c>
      <c r="AG18" s="152">
        <f t="shared" si="7"/>
        <v>115198</v>
      </c>
      <c r="AH18" s="211" t="e">
        <f>'THR''24'!AI18</f>
        <v>#REF!</v>
      </c>
      <c r="AI18" s="172" t="e">
        <f t="shared" si="10"/>
        <v>#REF!</v>
      </c>
      <c r="AJ18" s="93"/>
      <c r="AK18" s="146" t="e">
        <f t="shared" si="8"/>
        <v>#REF!</v>
      </c>
      <c r="AL18" s="213"/>
      <c r="AM18" s="214"/>
      <c r="AO18" s="199">
        <f>[6]MAINTENANCE!$AF22</f>
        <v>3750999.9</v>
      </c>
      <c r="AP18" s="200">
        <f t="shared" si="1"/>
        <v>177916</v>
      </c>
      <c r="AQ18" s="199">
        <f t="shared" si="3"/>
        <v>3928915.9</v>
      </c>
      <c r="AR18" s="201">
        <f t="shared" si="4"/>
        <v>-3750999.1</v>
      </c>
    </row>
    <row r="19" spans="2:44" s="173" customFormat="1" ht="18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5"/>
        <v>3761333.23</v>
      </c>
      <c r="L19" s="169">
        <f t="shared" si="6"/>
        <v>30575.999999999996</v>
      </c>
      <c r="M19" s="189">
        <f>[6]MAINTENANCE!$AK23</f>
        <v>146920</v>
      </c>
      <c r="N19" s="189">
        <f>[6]MAINTENANCE!$W23</f>
        <v>65250</v>
      </c>
      <c r="O19" s="189">
        <f>[6]MAINTENANCE!$Z23</f>
        <v>0</v>
      </c>
      <c r="P19" s="189">
        <f>[6]MAINTENANCE!$AE23</f>
        <v>0</v>
      </c>
      <c r="Q19" s="169">
        <f>[6]MAINTENANCE!$AC23</f>
        <v>0</v>
      </c>
      <c r="R19" s="169"/>
      <c r="S19" s="169"/>
      <c r="T19" s="169"/>
      <c r="U19" s="169"/>
      <c r="V19" s="169"/>
      <c r="W19" s="169"/>
      <c r="X19" s="189">
        <f>[6]MAINTENANCE!$AB23</f>
        <v>33000</v>
      </c>
      <c r="Y19" s="169"/>
      <c r="Z19" s="169"/>
      <c r="AA19" s="169"/>
      <c r="AB19" s="189">
        <f>-[6]MAINTENANCE!$BA23</f>
        <v>-242666.66</v>
      </c>
      <c r="AC19" s="189">
        <f>[4]MAINTENANCE!$M24</f>
        <v>3740499.9</v>
      </c>
      <c r="AD19" s="169"/>
      <c r="AE19" s="183">
        <f t="shared" si="9"/>
        <v>7534912</v>
      </c>
      <c r="AF19" s="184">
        <f t="shared" si="0"/>
        <v>1.5000000000000001E-2</v>
      </c>
      <c r="AG19" s="152">
        <f t="shared" si="7"/>
        <v>113023</v>
      </c>
      <c r="AH19" s="211" t="e">
        <f>'THR''24'!AI19</f>
        <v>#REF!</v>
      </c>
      <c r="AI19" s="172" t="e">
        <f t="shared" si="10"/>
        <v>#REF!</v>
      </c>
      <c r="AJ19" s="93"/>
      <c r="AK19" s="146" t="e">
        <f t="shared" si="8"/>
        <v>#REF!</v>
      </c>
      <c r="AL19" s="213"/>
      <c r="AM19" s="214"/>
      <c r="AO19" s="199">
        <f>[6]MAINTENANCE!$AF23</f>
        <v>3616916.5700000003</v>
      </c>
      <c r="AP19" s="200">
        <f t="shared" si="1"/>
        <v>177496</v>
      </c>
      <c r="AQ19" s="199">
        <f t="shared" si="3"/>
        <v>3794412.5700000003</v>
      </c>
      <c r="AR19" s="201">
        <f t="shared" si="4"/>
        <v>-3740499.4299999997</v>
      </c>
    </row>
    <row r="20" spans="2:44" s="173" customFormat="1" ht="18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>
        <f t="shared" si="5"/>
        <v>3761333.23</v>
      </c>
      <c r="L20" s="169">
        <f t="shared" si="6"/>
        <v>30575.999999999996</v>
      </c>
      <c r="M20" s="189">
        <f>[6]MAINTENANCE!$AK24</f>
        <v>147340</v>
      </c>
      <c r="N20" s="189">
        <f>[6]MAINTENANCE!$W24</f>
        <v>139500</v>
      </c>
      <c r="O20" s="189">
        <f>[6]MAINTENANCE!$Z24</f>
        <v>0</v>
      </c>
      <c r="P20" s="189">
        <f>[6]MAINTENANCE!$AE24</f>
        <v>0</v>
      </c>
      <c r="Q20" s="169">
        <f>[6]MAINTENANCE!$AC24</f>
        <v>0</v>
      </c>
      <c r="R20" s="169"/>
      <c r="S20" s="169"/>
      <c r="T20" s="169"/>
      <c r="U20" s="169"/>
      <c r="V20" s="169"/>
      <c r="W20" s="169"/>
      <c r="X20" s="189">
        <f>[6]MAINTENANCE!$AB24</f>
        <v>43500</v>
      </c>
      <c r="Y20" s="169"/>
      <c r="Z20" s="169"/>
      <c r="AA20" s="169"/>
      <c r="AB20" s="189">
        <f>-[6]MAINTENANCE!$BA24</f>
        <v>0</v>
      </c>
      <c r="AC20" s="189">
        <f>[4]MAINTENANCE!$M25</f>
        <v>3818499.9</v>
      </c>
      <c r="AD20" s="169"/>
      <c r="AE20" s="183">
        <f t="shared" si="9"/>
        <v>7940749</v>
      </c>
      <c r="AF20" s="184">
        <f t="shared" si="0"/>
        <v>0.01</v>
      </c>
      <c r="AG20" s="152">
        <f t="shared" si="7"/>
        <v>79407</v>
      </c>
      <c r="AH20" s="211" t="e">
        <f>'THR''24'!AI20</f>
        <v>#REF!</v>
      </c>
      <c r="AI20" s="172" t="e">
        <f t="shared" si="10"/>
        <v>#REF!</v>
      </c>
      <c r="AJ20" s="93"/>
      <c r="AK20" s="146" t="e">
        <f t="shared" si="8"/>
        <v>#REF!</v>
      </c>
      <c r="AL20" s="213"/>
      <c r="AM20" s="214"/>
      <c r="AO20" s="199">
        <f>[6]MAINTENANCE!$AF24</f>
        <v>3944333.23</v>
      </c>
      <c r="AP20" s="200">
        <f t="shared" si="1"/>
        <v>177916</v>
      </c>
      <c r="AQ20" s="199">
        <f t="shared" si="3"/>
        <v>4122249.23</v>
      </c>
      <c r="AR20" s="201">
        <f t="shared" si="4"/>
        <v>-3818499.77</v>
      </c>
    </row>
    <row r="21" spans="2:44" s="173" customFormat="1" ht="18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 t="shared" si="5"/>
        <v>3761333.23</v>
      </c>
      <c r="L21" s="169">
        <f t="shared" si="6"/>
        <v>30575.999999999996</v>
      </c>
      <c r="M21" s="189">
        <f>[6]MAINTENANCE!$AK25</f>
        <v>146680</v>
      </c>
      <c r="N21" s="189">
        <f>[6]MAINTENANCE!$W25</f>
        <v>139500</v>
      </c>
      <c r="O21" s="189">
        <f>[6]MAINTENANCE!$Z25</f>
        <v>0</v>
      </c>
      <c r="P21" s="189">
        <f>[6]MAINTENANCE!$AE25</f>
        <v>368208.05</v>
      </c>
      <c r="Q21" s="169">
        <f>[6]MAINTENANCE!$AC25</f>
        <v>310370</v>
      </c>
      <c r="R21" s="169"/>
      <c r="S21" s="169"/>
      <c r="T21" s="169"/>
      <c r="U21" s="169"/>
      <c r="V21" s="169"/>
      <c r="W21" s="169"/>
      <c r="X21" s="189">
        <f>[6]MAINTENANCE!$AB25</f>
        <v>27000</v>
      </c>
      <c r="Y21" s="169"/>
      <c r="Z21" s="169"/>
      <c r="AA21" s="169"/>
      <c r="AB21" s="189">
        <f>-[6]MAINTENANCE!$BA25</f>
        <v>0</v>
      </c>
      <c r="AC21" s="189">
        <f>[4]MAINTENANCE!$M26</f>
        <v>3801999.9</v>
      </c>
      <c r="AD21" s="169"/>
      <c r="AE21" s="183">
        <f t="shared" si="9"/>
        <v>8585667</v>
      </c>
      <c r="AF21" s="184">
        <f t="shared" si="0"/>
        <v>0.01</v>
      </c>
      <c r="AG21" s="152">
        <f t="shared" si="7"/>
        <v>85856</v>
      </c>
      <c r="AH21" s="211" t="e">
        <f>'THR''24'!AI21</f>
        <v>#REF!</v>
      </c>
      <c r="AI21" s="172" t="e">
        <f t="shared" si="10"/>
        <v>#REF!</v>
      </c>
      <c r="AJ21" s="93"/>
      <c r="AK21" s="146" t="e">
        <f t="shared" si="8"/>
        <v>#REF!</v>
      </c>
      <c r="AL21" s="213"/>
      <c r="AM21" s="214"/>
      <c r="AO21" s="199">
        <f>[6]MAINTENANCE!$AF25</f>
        <v>4606411.28</v>
      </c>
      <c r="AP21" s="200">
        <f t="shared" si="1"/>
        <v>177256</v>
      </c>
      <c r="AQ21" s="199">
        <f t="shared" si="3"/>
        <v>4783667.28</v>
      </c>
      <c r="AR21" s="201">
        <f t="shared" si="4"/>
        <v>-3801999.7199999997</v>
      </c>
    </row>
    <row r="22" spans="2:44" s="173" customFormat="1" ht="18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si="5"/>
        <v>3761333.23</v>
      </c>
      <c r="L22" s="169">
        <f t="shared" si="6"/>
        <v>30575.999999999996</v>
      </c>
      <c r="M22" s="189">
        <f>[6]MAINTENANCE!$AK26</f>
        <v>147480</v>
      </c>
      <c r="N22" s="189">
        <f>[6]MAINTENANCE!$W26</f>
        <v>69750</v>
      </c>
      <c r="O22" s="189">
        <f>[6]MAINTENANCE!$Z26</f>
        <v>0</v>
      </c>
      <c r="P22" s="189">
        <f>[6]MAINTENANCE!$AE26</f>
        <v>0</v>
      </c>
      <c r="Q22" s="169">
        <f>[6]MAINTENANCE!$AC26</f>
        <v>0</v>
      </c>
      <c r="R22" s="169"/>
      <c r="S22" s="169"/>
      <c r="T22" s="169"/>
      <c r="U22" s="169"/>
      <c r="V22" s="169"/>
      <c r="W22" s="169"/>
      <c r="X22" s="189">
        <f>[6]MAINTENANCE!$AB26</f>
        <v>47000</v>
      </c>
      <c r="Y22" s="169"/>
      <c r="Z22" s="169"/>
      <c r="AA22" s="169"/>
      <c r="AB22" s="189">
        <f>-[6]MAINTENANCE!$BA26</f>
        <v>0</v>
      </c>
      <c r="AC22" s="189">
        <f>[4]MAINTENANCE!$M27</f>
        <v>3754499.9</v>
      </c>
      <c r="AD22" s="169"/>
      <c r="AE22" s="183">
        <f t="shared" si="9"/>
        <v>7810639</v>
      </c>
      <c r="AF22" s="184">
        <f t="shared" si="0"/>
        <v>1.5000000000000001E-2</v>
      </c>
      <c r="AG22" s="152">
        <f t="shared" si="7"/>
        <v>117159</v>
      </c>
      <c r="AH22" s="211" t="e">
        <f>'THR''24'!AI22</f>
        <v>#REF!</v>
      </c>
      <c r="AI22" s="172" t="e">
        <f t="shared" si="10"/>
        <v>#REF!</v>
      </c>
      <c r="AJ22" s="93"/>
      <c r="AK22" s="146" t="e">
        <f t="shared" si="8"/>
        <v>#REF!</v>
      </c>
      <c r="AL22" s="213"/>
      <c r="AM22" s="214"/>
      <c r="AO22" s="199">
        <f>[6]MAINTENANCE!$AF26</f>
        <v>3878083.2300000004</v>
      </c>
      <c r="AP22" s="200">
        <f t="shared" si="1"/>
        <v>178056</v>
      </c>
      <c r="AQ22" s="199">
        <f t="shared" si="3"/>
        <v>4056139.2300000004</v>
      </c>
      <c r="AR22" s="201">
        <f t="shared" si="4"/>
        <v>-3754499.7699999996</v>
      </c>
    </row>
    <row r="23" spans="2:44" s="173" customFormat="1" ht="18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5"/>
        <v>3761333.23</v>
      </c>
      <c r="L23" s="169">
        <f t="shared" si="6"/>
        <v>30575.999999999996</v>
      </c>
      <c r="M23" s="189">
        <f>[6]MAINTENANCE!$AK27</f>
        <v>147340</v>
      </c>
      <c r="N23" s="189">
        <f>[6]MAINTENANCE!$W27</f>
        <v>67500</v>
      </c>
      <c r="O23" s="189">
        <f>[6]MAINTENANCE!$Z27</f>
        <v>0</v>
      </c>
      <c r="P23" s="189">
        <f>[6]MAINTENANCE!$AE27</f>
        <v>0</v>
      </c>
      <c r="Q23" s="169">
        <f>[6]MAINTENANCE!$AC27</f>
        <v>0</v>
      </c>
      <c r="R23" s="189"/>
      <c r="S23" s="189"/>
      <c r="T23" s="189"/>
      <c r="U23" s="189"/>
      <c r="V23" s="189"/>
      <c r="W23" s="189"/>
      <c r="X23" s="189">
        <f>[6]MAINTENANCE!$AB27</f>
        <v>43500</v>
      </c>
      <c r="Y23" s="189"/>
      <c r="Z23" s="189"/>
      <c r="AA23" s="189"/>
      <c r="AB23" s="189">
        <f>-[6]MAINTENANCE!$BA27</f>
        <v>-121333.33</v>
      </c>
      <c r="AC23" s="189">
        <f>[4]MAINTENANCE!$M28</f>
        <v>3750999.9</v>
      </c>
      <c r="AD23" s="189"/>
      <c r="AE23" s="183">
        <f t="shared" si="9"/>
        <v>7679915</v>
      </c>
      <c r="AF23" s="184">
        <f t="shared" si="0"/>
        <v>1.5000000000000001E-2</v>
      </c>
      <c r="AG23" s="152">
        <f t="shared" si="7"/>
        <v>115198</v>
      </c>
      <c r="AH23" s="211" t="e">
        <f>'THR''24'!AI23</f>
        <v>#REF!</v>
      </c>
      <c r="AI23" s="172" t="e">
        <f t="shared" si="10"/>
        <v>#REF!</v>
      </c>
      <c r="AJ23" s="93"/>
      <c r="AK23" s="146" t="e">
        <f t="shared" si="8"/>
        <v>#REF!</v>
      </c>
      <c r="AL23" s="213"/>
      <c r="AM23" s="214"/>
      <c r="AO23" s="199">
        <f>[6]MAINTENANCE!$AF27</f>
        <v>3750999.9</v>
      </c>
      <c r="AP23" s="200">
        <f t="shared" si="1"/>
        <v>177916</v>
      </c>
      <c r="AQ23" s="199">
        <f t="shared" si="3"/>
        <v>3928915.9</v>
      </c>
      <c r="AR23" s="201">
        <f t="shared" si="4"/>
        <v>-3750999.1</v>
      </c>
    </row>
    <row r="24" spans="2:44" s="173" customFormat="1" ht="18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5"/>
        <v>3761333.23</v>
      </c>
      <c r="L24" s="169">
        <f t="shared" si="6"/>
        <v>30575.999999999996</v>
      </c>
      <c r="M24" s="189">
        <f>[6]MAINTENANCE!$AK28</f>
        <v>146800</v>
      </c>
      <c r="N24" s="189">
        <f>[6]MAINTENANCE!$W28</f>
        <v>69750</v>
      </c>
      <c r="O24" s="189">
        <f>[6]MAINTENANCE!$Z28</f>
        <v>38000</v>
      </c>
      <c r="P24" s="189">
        <f>[6]MAINTENANCE!$AE28</f>
        <v>1430751.28</v>
      </c>
      <c r="Q24" s="169">
        <f>[6]MAINTENANCE!$AC28</f>
        <v>0</v>
      </c>
      <c r="R24" s="189"/>
      <c r="S24" s="189"/>
      <c r="T24" s="189"/>
      <c r="U24" s="189"/>
      <c r="V24" s="189"/>
      <c r="W24" s="189"/>
      <c r="X24" s="189">
        <f>[6]MAINTENANCE!$AB28</f>
        <v>30000</v>
      </c>
      <c r="Y24" s="189"/>
      <c r="Z24" s="189"/>
      <c r="AA24" s="189"/>
      <c r="AB24" s="189">
        <f>-[6]MAINTENANCE!$BA28</f>
        <v>0</v>
      </c>
      <c r="AC24" s="189">
        <f>[4]MAINTENANCE!$M29</f>
        <v>3737499.9</v>
      </c>
      <c r="AD24" s="189"/>
      <c r="AE24" s="183">
        <f>ROUNDDOWN(SUM(K24:AD24),0)</f>
        <v>9244710</v>
      </c>
      <c r="AF24" s="184">
        <f t="shared" si="0"/>
        <v>1.7500000000000002E-2</v>
      </c>
      <c r="AG24" s="152">
        <f t="shared" si="7"/>
        <v>161782</v>
      </c>
      <c r="AH24" s="211" t="e">
        <f>'THR''24'!AI24</f>
        <v>#REF!</v>
      </c>
      <c r="AI24" s="172" t="e">
        <f t="shared" si="10"/>
        <v>#REF!</v>
      </c>
      <c r="AJ24" s="93"/>
      <c r="AK24" s="146" t="e">
        <f t="shared" si="8"/>
        <v>#REF!</v>
      </c>
      <c r="AL24" s="213"/>
      <c r="AM24" s="214"/>
      <c r="AO24" s="199">
        <f>[6]MAINTENANCE!$AF28</f>
        <v>5329834.51</v>
      </c>
      <c r="AP24" s="200">
        <f t="shared" si="1"/>
        <v>177376</v>
      </c>
      <c r="AQ24" s="199">
        <f t="shared" si="3"/>
        <v>5507210.5099999998</v>
      </c>
      <c r="AR24" s="201">
        <f t="shared" si="4"/>
        <v>-3737499.49</v>
      </c>
    </row>
    <row r="25" spans="2:44" s="173" customFormat="1" ht="18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5"/>
        <v>3761333.23</v>
      </c>
      <c r="L25" s="169">
        <f t="shared" si="6"/>
        <v>30575.999999999996</v>
      </c>
      <c r="M25" s="189">
        <f>[6]MAINTENANCE!$AK29</f>
        <v>147340</v>
      </c>
      <c r="N25" s="189">
        <f>[6]MAINTENANCE!$W29</f>
        <v>162000</v>
      </c>
      <c r="O25" s="189">
        <f>[6]MAINTENANCE!$Z29</f>
        <v>0</v>
      </c>
      <c r="P25" s="189">
        <f>[6]MAINTENANCE!$AE29</f>
        <v>0</v>
      </c>
      <c r="Q25" s="169">
        <f>[6]MAINTENANCE!$AC29</f>
        <v>0</v>
      </c>
      <c r="R25" s="189"/>
      <c r="S25" s="189"/>
      <c r="T25" s="189"/>
      <c r="U25" s="189"/>
      <c r="V25" s="189"/>
      <c r="W25" s="189"/>
      <c r="X25" s="189">
        <f>[6]MAINTENANCE!$AB29</f>
        <v>43500</v>
      </c>
      <c r="Y25" s="189"/>
      <c r="Z25" s="189"/>
      <c r="AA25" s="189"/>
      <c r="AB25" s="189">
        <f>-[6]MAINTENANCE!$BA29</f>
        <v>-121333.33</v>
      </c>
      <c r="AC25" s="189">
        <f>[4]MAINTENANCE!$M30</f>
        <v>3845499.9</v>
      </c>
      <c r="AD25" s="189"/>
      <c r="AE25" s="183">
        <f t="shared" si="9"/>
        <v>7868915</v>
      </c>
      <c r="AF25" s="184">
        <f t="shared" si="0"/>
        <v>0.01</v>
      </c>
      <c r="AG25" s="152">
        <f t="shared" si="7"/>
        <v>78689</v>
      </c>
      <c r="AH25" s="211" t="e">
        <f>'THR''24'!AI25</f>
        <v>#REF!</v>
      </c>
      <c r="AI25" s="172" t="e">
        <f t="shared" si="10"/>
        <v>#REF!</v>
      </c>
      <c r="AJ25" s="93"/>
      <c r="AK25" s="146" t="e">
        <f t="shared" si="8"/>
        <v>#REF!</v>
      </c>
      <c r="AL25" s="213"/>
      <c r="AM25" s="214"/>
      <c r="AO25" s="199">
        <f>[6]MAINTENANCE!$AF29</f>
        <v>3845499.9</v>
      </c>
      <c r="AP25" s="200">
        <f t="shared" si="1"/>
        <v>177916</v>
      </c>
      <c r="AQ25" s="199">
        <f t="shared" si="3"/>
        <v>4023415.9</v>
      </c>
      <c r="AR25" s="201">
        <f t="shared" si="4"/>
        <v>-3845499.1</v>
      </c>
    </row>
    <row r="26" spans="2:44" s="173" customFormat="1" ht="18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5"/>
        <v>3761333.23</v>
      </c>
      <c r="L26" s="169">
        <f t="shared" si="6"/>
        <v>30575.999999999996</v>
      </c>
      <c r="M26" s="189">
        <f>[6]MAINTENANCE!$AK30</f>
        <v>148040</v>
      </c>
      <c r="N26" s="189">
        <f>[6]MAINTENANCE!$W30</f>
        <v>69750</v>
      </c>
      <c r="O26" s="189">
        <f>[6]MAINTENANCE!$Z30</f>
        <v>0</v>
      </c>
      <c r="P26" s="189">
        <f>[6]MAINTENANCE!$AE30</f>
        <v>0</v>
      </c>
      <c r="Q26" s="169">
        <f>[6]MAINTENANCE!$AC30</f>
        <v>0</v>
      </c>
      <c r="R26" s="189"/>
      <c r="S26" s="189"/>
      <c r="T26" s="189"/>
      <c r="U26" s="189"/>
      <c r="V26" s="189"/>
      <c r="W26" s="189"/>
      <c r="X26" s="189">
        <f>[6]MAINTENANCE!$AB30</f>
        <v>61000</v>
      </c>
      <c r="Y26" s="189"/>
      <c r="Z26" s="189"/>
      <c r="AA26" s="189"/>
      <c r="AB26" s="189">
        <f>-[6]MAINTENANCE!$BA30</f>
        <v>0</v>
      </c>
      <c r="AC26" s="189">
        <f>[4]MAINTENANCE!$M31</f>
        <v>3768499.9</v>
      </c>
      <c r="AD26" s="189"/>
      <c r="AE26" s="183">
        <f t="shared" si="9"/>
        <v>7839199</v>
      </c>
      <c r="AF26" s="184">
        <f t="shared" si="0"/>
        <v>1.5000000000000001E-2</v>
      </c>
      <c r="AG26" s="152">
        <f t="shared" si="7"/>
        <v>117587</v>
      </c>
      <c r="AH26" s="211" t="e">
        <f>'THR''24'!AI26</f>
        <v>#REF!</v>
      </c>
      <c r="AI26" s="172" t="e">
        <f t="shared" si="10"/>
        <v>#REF!</v>
      </c>
      <c r="AJ26" s="93"/>
      <c r="AK26" s="146" t="e">
        <f t="shared" si="8"/>
        <v>#REF!</v>
      </c>
      <c r="AL26" s="213"/>
      <c r="AM26" s="214"/>
      <c r="AO26" s="199">
        <f>[6]MAINTENANCE!$AF30</f>
        <v>3892083.2300000004</v>
      </c>
      <c r="AP26" s="200">
        <f t="shared" si="1"/>
        <v>178616</v>
      </c>
      <c r="AQ26" s="199">
        <f t="shared" si="3"/>
        <v>4070699.2300000004</v>
      </c>
      <c r="AR26" s="201">
        <f t="shared" si="4"/>
        <v>-3768499.7699999996</v>
      </c>
    </row>
    <row r="27" spans="2:44" s="173" customFormat="1" ht="18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5"/>
        <v>3761333.23</v>
      </c>
      <c r="L27" s="169">
        <f t="shared" si="6"/>
        <v>30575.999999999996</v>
      </c>
      <c r="M27" s="189">
        <f>[6]MAINTENANCE!$AK31</f>
        <v>147620</v>
      </c>
      <c r="N27" s="189">
        <f>[6]MAINTENANCE!$W31</f>
        <v>69750</v>
      </c>
      <c r="O27" s="189">
        <f>[6]MAINTENANCE!$Z31</f>
        <v>0</v>
      </c>
      <c r="P27" s="189">
        <f>[6]MAINTENANCE!$AE31</f>
        <v>0</v>
      </c>
      <c r="Q27" s="169">
        <f>[6]MAINTENANCE!$AC31</f>
        <v>0</v>
      </c>
      <c r="R27" s="189"/>
      <c r="S27" s="189"/>
      <c r="T27" s="189"/>
      <c r="U27" s="189"/>
      <c r="V27" s="189"/>
      <c r="W27" s="189"/>
      <c r="X27" s="189">
        <f>[6]MAINTENANCE!$AB31</f>
        <v>50500</v>
      </c>
      <c r="Y27" s="189"/>
      <c r="Z27" s="189"/>
      <c r="AA27" s="189"/>
      <c r="AB27" s="189">
        <f>-[6]MAINTENANCE!$BA31</f>
        <v>0</v>
      </c>
      <c r="AC27" s="189">
        <f>[4]MAINTENANCE!$M32</f>
        <v>3757999.9</v>
      </c>
      <c r="AD27" s="189"/>
      <c r="AE27" s="183">
        <f t="shared" si="9"/>
        <v>7817779</v>
      </c>
      <c r="AF27" s="184">
        <f t="shared" si="0"/>
        <v>1.5000000000000001E-2</v>
      </c>
      <c r="AG27" s="152">
        <f t="shared" si="7"/>
        <v>117266</v>
      </c>
      <c r="AH27" s="211" t="e">
        <f>'THR''24'!AI27</f>
        <v>#REF!</v>
      </c>
      <c r="AI27" s="172" t="e">
        <f t="shared" si="10"/>
        <v>#REF!</v>
      </c>
      <c r="AJ27" s="93"/>
      <c r="AK27" s="146" t="e">
        <f t="shared" si="8"/>
        <v>#REF!</v>
      </c>
      <c r="AL27" s="213"/>
      <c r="AM27" s="214"/>
      <c r="AO27" s="199">
        <f>[6]MAINTENANCE!$AF31</f>
        <v>3881583.2300000004</v>
      </c>
      <c r="AP27" s="200">
        <f t="shared" si="1"/>
        <v>178196</v>
      </c>
      <c r="AQ27" s="199">
        <f t="shared" si="3"/>
        <v>4059779.2300000004</v>
      </c>
      <c r="AR27" s="201">
        <f t="shared" si="4"/>
        <v>-3757999.7699999996</v>
      </c>
    </row>
    <row r="28" spans="2:44" s="173" customFormat="1" ht="18" customHeight="1">
      <c r="B28" s="174">
        <v>23</v>
      </c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>
        <f>31*123833.33</f>
        <v>3838833.23</v>
      </c>
      <c r="L28" s="169">
        <f>3715000*0.84%</f>
        <v>31205.999999999996</v>
      </c>
      <c r="M28" s="189">
        <f>'[6]HARVESTING KHT'!$AQ10</f>
        <v>150340</v>
      </c>
      <c r="N28" s="189">
        <f>'[6]HARVESTING KHT'!$U10</f>
        <v>162000</v>
      </c>
      <c r="O28" s="189">
        <f>'[6]HARVESTING KHT'!$X10</f>
        <v>69000</v>
      </c>
      <c r="P28" s="189">
        <f>'[6]HARVESTING KHT'!$AD10</f>
        <v>1900448</v>
      </c>
      <c r="Q28" s="189">
        <f>'[6]HARVESTING KHT'!$AE10</f>
        <v>0</v>
      </c>
      <c r="R28" s="189">
        <f>'[6]HARVESTING KHT'!$AA10</f>
        <v>0</v>
      </c>
      <c r="S28" s="189">
        <f>'[6]HARVESTING KHT'!$AB10</f>
        <v>0</v>
      </c>
      <c r="T28" s="189">
        <f>'[6]HARVESTING KHT'!$AC10</f>
        <v>0</v>
      </c>
      <c r="U28" s="189">
        <f>'[6]HARVESTING KHT'!$AF10</f>
        <v>120000</v>
      </c>
      <c r="V28" s="189">
        <f>'[6]HARVESTING KHT'!$AH10</f>
        <v>0</v>
      </c>
      <c r="W28" s="189">
        <f>'[6]HARVESTING KHT'!$AK10</f>
        <v>0</v>
      </c>
      <c r="X28" s="189">
        <f>'[6]HARVESTING KHT'!$Z10</f>
        <v>43500</v>
      </c>
      <c r="Y28" s="189">
        <f>-'[6]HARVESTING KHT'!$AI10</f>
        <v>0</v>
      </c>
      <c r="Z28" s="189"/>
      <c r="AA28" s="189"/>
      <c r="AB28" s="189">
        <f>-'[6]HARVESTING KHT'!$BI10</f>
        <v>-123833.33</v>
      </c>
      <c r="AC28" s="189">
        <f>'[4]HARVESTING KHT'!$M11</f>
        <v>3920499.9</v>
      </c>
      <c r="AD28" s="189"/>
      <c r="AE28" s="183">
        <f>ROUNDDOWN(SUM(K28:AD28),0)</f>
        <v>10111993</v>
      </c>
      <c r="AF28" s="184">
        <f t="shared" si="0"/>
        <v>1.4999999999999999E-2</v>
      </c>
      <c r="AG28" s="152">
        <f t="shared" si="7"/>
        <v>151679</v>
      </c>
      <c r="AH28" s="211" t="e">
        <f>'THR''24'!AI28</f>
        <v>#REF!</v>
      </c>
      <c r="AI28" s="172" t="e">
        <f t="shared" si="10"/>
        <v>#REF!</v>
      </c>
      <c r="AJ28" s="93"/>
      <c r="AK28" s="146" t="e">
        <f t="shared" si="8"/>
        <v>#REF!</v>
      </c>
      <c r="AL28" s="213"/>
      <c r="AM28" s="214"/>
      <c r="AO28" s="199">
        <f>'[6]HARVESTING KHT'!$AL10</f>
        <v>6009947.9000000004</v>
      </c>
      <c r="AP28" s="200">
        <f t="shared" si="1"/>
        <v>181546</v>
      </c>
      <c r="AQ28" s="199">
        <f t="shared" si="3"/>
        <v>6191493.9000000004</v>
      </c>
      <c r="AR28" s="201">
        <f t="shared" si="4"/>
        <v>-3920499.0999999996</v>
      </c>
    </row>
    <row r="29" spans="2:44" s="173" customFormat="1" ht="18" customHeight="1">
      <c r="B29" s="174">
        <v>24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31*121333.33</f>
        <v>3761333.23</v>
      </c>
      <c r="L29" s="169">
        <f t="shared" si="6"/>
        <v>30575.999999999996</v>
      </c>
      <c r="M29" s="189">
        <f>'[6]HARVESTING KHT'!$AQ11</f>
        <v>147620</v>
      </c>
      <c r="N29" s="189">
        <f>'[6]HARVESTING KHT'!$U11</f>
        <v>69750</v>
      </c>
      <c r="O29" s="189">
        <f>'[6]HARVESTING KHT'!$X11</f>
        <v>40000</v>
      </c>
      <c r="P29" s="189">
        <f>'[6]HARVESTING KHT'!$AD11</f>
        <v>1641155.88</v>
      </c>
      <c r="Q29" s="189">
        <f>'[6]HARVESTING KHT'!$AE11</f>
        <v>0</v>
      </c>
      <c r="R29" s="189">
        <f>'[6]HARVESTING KHT'!$AA11</f>
        <v>0</v>
      </c>
      <c r="S29" s="189">
        <f>'[6]HARVESTING KHT'!$AB11</f>
        <v>0</v>
      </c>
      <c r="T29" s="189">
        <f>'[6]HARVESTING KHT'!$AC11</f>
        <v>0</v>
      </c>
      <c r="U29" s="189">
        <f>'[6]HARVESTING KHT'!$AF11</f>
        <v>0</v>
      </c>
      <c r="V29" s="189">
        <f>'[6]HARVESTING KHT'!$AH11</f>
        <v>0</v>
      </c>
      <c r="W29" s="189">
        <f>'[6]HARVESTING KHT'!$AK11</f>
        <v>0</v>
      </c>
      <c r="X29" s="189">
        <f>'[6]HARVESTING KHT'!$Z11</f>
        <v>50500</v>
      </c>
      <c r="Y29" s="189">
        <f>-'[6]HARVESTING KHT'!$AI11</f>
        <v>0</v>
      </c>
      <c r="Z29" s="189"/>
      <c r="AA29" s="189"/>
      <c r="AB29" s="189">
        <f>-'[6]HARVESTING KHT'!$BI11</f>
        <v>0</v>
      </c>
      <c r="AC29" s="189">
        <f>'[4]HARVESTING KHT'!$M12</f>
        <v>3757999.9</v>
      </c>
      <c r="AD29" s="189"/>
      <c r="AE29" s="183">
        <f t="shared" si="9"/>
        <v>9498935</v>
      </c>
      <c r="AF29" s="184">
        <f t="shared" si="0"/>
        <v>1.7500000000000002E-2</v>
      </c>
      <c r="AG29" s="152">
        <f t="shared" si="7"/>
        <v>166231</v>
      </c>
      <c r="AH29" s="211" t="e">
        <f>'THR''24'!AI29</f>
        <v>#REF!</v>
      </c>
      <c r="AI29" s="172" t="e">
        <f t="shared" si="10"/>
        <v>#REF!</v>
      </c>
      <c r="AJ29" s="93"/>
      <c r="AK29" s="146" t="e">
        <f t="shared" si="8"/>
        <v>#REF!</v>
      </c>
      <c r="AL29" s="213"/>
      <c r="AM29" s="214"/>
      <c r="AO29" s="199">
        <f>'[6]HARVESTING KHT'!$AL11</f>
        <v>5562739.1100000003</v>
      </c>
      <c r="AP29" s="200">
        <f t="shared" si="1"/>
        <v>178196</v>
      </c>
      <c r="AQ29" s="199">
        <f t="shared" si="3"/>
        <v>5740935.1100000003</v>
      </c>
      <c r="AR29" s="201">
        <f t="shared" si="4"/>
        <v>-3757999.8899999997</v>
      </c>
    </row>
    <row r="30" spans="2:44" s="173" customFormat="1" ht="18" customHeight="1">
      <c r="B30" s="174">
        <v>25</v>
      </c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>
        <f t="shared" ref="K30:K66" si="11">31*121333.33</f>
        <v>3761333.23</v>
      </c>
      <c r="L30" s="169">
        <f t="shared" si="6"/>
        <v>30575.999999999996</v>
      </c>
      <c r="M30" s="189">
        <f>'[6]HARVESTING KHT'!$AQ12</f>
        <v>146440</v>
      </c>
      <c r="N30" s="189">
        <f>'[6]HARVESTING KHT'!$U12</f>
        <v>130500</v>
      </c>
      <c r="O30" s="189">
        <f>'[6]HARVESTING KHT'!$X12</f>
        <v>0</v>
      </c>
      <c r="P30" s="189">
        <f>'[6]HARVESTING KHT'!$AD12</f>
        <v>0</v>
      </c>
      <c r="Q30" s="189">
        <f>'[6]HARVESTING KHT'!$AE12</f>
        <v>0</v>
      </c>
      <c r="R30" s="189">
        <f>'[6]HARVESTING KHT'!$AA12</f>
        <v>0</v>
      </c>
      <c r="S30" s="189">
        <f>'[6]HARVESTING KHT'!$AB12</f>
        <v>148050</v>
      </c>
      <c r="T30" s="189">
        <f>'[6]HARVESTING KHT'!$AC12</f>
        <v>165550</v>
      </c>
      <c r="U30" s="189">
        <f>'[6]HARVESTING KHT'!$AF12</f>
        <v>124845</v>
      </c>
      <c r="V30" s="189">
        <f>'[6]HARVESTING KHT'!$AH12</f>
        <v>0</v>
      </c>
      <c r="W30" s="189">
        <f>'[6]HARVESTING KHT'!$AK12</f>
        <v>0</v>
      </c>
      <c r="X30" s="189">
        <f>'[6]HARVESTING KHT'!$Z12</f>
        <v>21000</v>
      </c>
      <c r="Y30" s="189">
        <f>-'[6]HARVESTING KHT'!$AI12</f>
        <v>-92319</v>
      </c>
      <c r="Z30" s="189"/>
      <c r="AA30" s="189"/>
      <c r="AB30" s="189">
        <f>-'[6]HARVESTING KHT'!$BI12</f>
        <v>-242666.66</v>
      </c>
      <c r="AC30" s="189">
        <f>'[4]HARVESTING KHT'!$M13</f>
        <v>3795999.9</v>
      </c>
      <c r="AD30" s="189"/>
      <c r="AE30" s="183">
        <f t="shared" si="9"/>
        <v>7989308</v>
      </c>
      <c r="AF30" s="184">
        <f t="shared" si="0"/>
        <v>0.01</v>
      </c>
      <c r="AG30" s="152">
        <f t="shared" si="7"/>
        <v>79893</v>
      </c>
      <c r="AH30" s="211" t="e">
        <f>'THR''24'!AI30</f>
        <v>#REF!</v>
      </c>
      <c r="AI30" s="172" t="e">
        <f t="shared" si="10"/>
        <v>#REF!</v>
      </c>
      <c r="AJ30" s="93"/>
      <c r="AK30" s="146" t="e">
        <f t="shared" si="8"/>
        <v>#REF!</v>
      </c>
      <c r="AL30" s="213"/>
      <c r="AM30" s="214"/>
      <c r="AO30" s="199">
        <f>'[6]HARVESTING KHT'!$AL12</f>
        <v>4016292.5700000003</v>
      </c>
      <c r="AP30" s="200">
        <f t="shared" si="1"/>
        <v>177016</v>
      </c>
      <c r="AQ30" s="199">
        <f t="shared" si="3"/>
        <v>4193308.5700000003</v>
      </c>
      <c r="AR30" s="201">
        <f t="shared" si="4"/>
        <v>-3795999.4299999997</v>
      </c>
    </row>
    <row r="31" spans="2:44" s="173" customFormat="1" ht="18" customHeight="1">
      <c r="B31" s="174">
        <v>26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 t="shared" si="11"/>
        <v>3761333.23</v>
      </c>
      <c r="L31" s="169">
        <f t="shared" si="6"/>
        <v>30575.999999999996</v>
      </c>
      <c r="M31" s="189">
        <f>'[6]HARVESTING KHT'!$AQ13</f>
        <v>146440</v>
      </c>
      <c r="N31" s="189">
        <f>'[6]HARVESTING KHT'!$U13</f>
        <v>139500</v>
      </c>
      <c r="O31" s="189">
        <f>'[6]HARVESTING KHT'!$X13</f>
        <v>0</v>
      </c>
      <c r="P31" s="189">
        <f>'[6]HARVESTING KHT'!$AD13</f>
        <v>0</v>
      </c>
      <c r="Q31" s="189">
        <f>'[6]HARVESTING KHT'!$AE13</f>
        <v>0</v>
      </c>
      <c r="R31" s="189">
        <f>'[6]HARVESTING KHT'!$AA13</f>
        <v>549720</v>
      </c>
      <c r="S31" s="189">
        <f>'[6]HARVESTING KHT'!$AB13</f>
        <v>139650</v>
      </c>
      <c r="T31" s="189">
        <f>'[6]HARVESTING KHT'!$AC13</f>
        <v>157300</v>
      </c>
      <c r="U31" s="189">
        <f>'[6]HARVESTING KHT'!$AF13</f>
        <v>153300</v>
      </c>
      <c r="V31" s="189">
        <f>'[6]HARVESTING KHT'!$AH13</f>
        <v>300000</v>
      </c>
      <c r="W31" s="189">
        <f>'[6]HARVESTING KHT'!$AK13</f>
        <v>0</v>
      </c>
      <c r="X31" s="189">
        <f>'[6]HARVESTING KHT'!$Z13</f>
        <v>21000</v>
      </c>
      <c r="Y31" s="189">
        <f>-'[6]HARVESTING KHT'!$AI13</f>
        <v>0</v>
      </c>
      <c r="Z31" s="189"/>
      <c r="AA31" s="189"/>
      <c r="AB31" s="189">
        <f>-'[6]HARVESTING KHT'!$BI13</f>
        <v>0</v>
      </c>
      <c r="AC31" s="189">
        <f>'[4]HARVESTING KHT'!$M14</f>
        <v>3795999.9</v>
      </c>
      <c r="AD31" s="189"/>
      <c r="AE31" s="183">
        <f t="shared" si="9"/>
        <v>9194819</v>
      </c>
      <c r="AF31" s="184">
        <f t="shared" si="0"/>
        <v>0.01</v>
      </c>
      <c r="AG31" s="152">
        <f t="shared" si="7"/>
        <v>91948</v>
      </c>
      <c r="AH31" s="211" t="e">
        <f>'THR''24'!AI31</f>
        <v>#REF!</v>
      </c>
      <c r="AI31" s="172" t="e">
        <f>AG31-AH31</f>
        <v>#REF!</v>
      </c>
      <c r="AJ31" s="93"/>
      <c r="AK31" s="146" t="e">
        <f t="shared" si="8"/>
        <v>#REF!</v>
      </c>
      <c r="AL31" s="213"/>
      <c r="AM31" s="214"/>
      <c r="AO31" s="199">
        <f>'[6]HARVESTING KHT'!$AL13</f>
        <v>5221803.2300000004</v>
      </c>
      <c r="AP31" s="200">
        <f t="shared" si="1"/>
        <v>177016</v>
      </c>
      <c r="AQ31" s="199">
        <f t="shared" si="3"/>
        <v>5398819.2300000004</v>
      </c>
      <c r="AR31" s="201">
        <f t="shared" si="4"/>
        <v>-3795999.7699999996</v>
      </c>
    </row>
    <row r="32" spans="2:44" s="173" customFormat="1" ht="18" customHeight="1">
      <c r="B32" s="174">
        <v>27</v>
      </c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>
        <f>29*121333.33</f>
        <v>3518666.57</v>
      </c>
      <c r="L32" s="169">
        <f t="shared" si="6"/>
        <v>30575.999999999996</v>
      </c>
      <c r="M32" s="189">
        <f>'[6]HARVESTING KHT'!$AQ14</f>
        <v>146440</v>
      </c>
      <c r="N32" s="189">
        <f>'[6]HARVESTING KHT'!$U14</f>
        <v>63000</v>
      </c>
      <c r="O32" s="189">
        <f>'[6]HARVESTING KHT'!$X14</f>
        <v>0</v>
      </c>
      <c r="P32" s="189">
        <f>'[6]HARVESTING KHT'!$AD14</f>
        <v>0</v>
      </c>
      <c r="Q32" s="189">
        <f>'[6]HARVESTING KHT'!$AE14</f>
        <v>0</v>
      </c>
      <c r="R32" s="189">
        <f>'[6]HARVESTING KHT'!$AA14</f>
        <v>0</v>
      </c>
      <c r="S32" s="189">
        <f>'[6]HARVESTING KHT'!$AB14</f>
        <v>121800</v>
      </c>
      <c r="T32" s="189">
        <f>'[6]HARVESTING KHT'!$AC14</f>
        <v>165550</v>
      </c>
      <c r="U32" s="189">
        <f>'[6]HARVESTING KHT'!$AF14</f>
        <v>111405</v>
      </c>
      <c r="V32" s="189">
        <f>'[6]HARVESTING KHT'!$AH14</f>
        <v>0</v>
      </c>
      <c r="W32" s="189">
        <f>'[6]HARVESTING KHT'!$AK14</f>
        <v>0</v>
      </c>
      <c r="X32" s="189">
        <f>'[6]HARVESTING KHT'!$Z14</f>
        <v>21000</v>
      </c>
      <c r="Y32" s="189">
        <f>-'[6]HARVESTING KHT'!$AI14</f>
        <v>0</v>
      </c>
      <c r="Z32" s="189"/>
      <c r="AA32" s="189"/>
      <c r="AB32" s="189">
        <f>-'[6]HARVESTING KHT'!$BI14</f>
        <v>-121333.33</v>
      </c>
      <c r="AC32" s="189">
        <f>'[4]HARVESTING KHT'!$M15</f>
        <v>3728499.9</v>
      </c>
      <c r="AD32" s="189"/>
      <c r="AE32" s="183">
        <f t="shared" si="9"/>
        <v>7785604</v>
      </c>
      <c r="AF32" s="184">
        <f t="shared" si="0"/>
        <v>0.01</v>
      </c>
      <c r="AG32" s="152">
        <f t="shared" si="7"/>
        <v>77856</v>
      </c>
      <c r="AH32" s="211" t="e">
        <f>'THR''24'!AI32</f>
        <v>#REF!</v>
      </c>
      <c r="AI32" s="172" t="e">
        <f t="shared" si="10"/>
        <v>#REF!</v>
      </c>
      <c r="AJ32" s="93"/>
      <c r="AK32" s="146" t="e">
        <f t="shared" si="8"/>
        <v>#REF!</v>
      </c>
      <c r="AL32" s="213"/>
      <c r="AM32" s="214"/>
      <c r="AO32" s="199">
        <f>'[6]HARVESTING KHT'!$AL14</f>
        <v>3880088.24</v>
      </c>
      <c r="AP32" s="200">
        <f t="shared" si="1"/>
        <v>177016</v>
      </c>
      <c r="AQ32" s="199">
        <f t="shared" si="3"/>
        <v>4057104.24</v>
      </c>
      <c r="AR32" s="201">
        <f t="shared" si="4"/>
        <v>-3728499.76</v>
      </c>
    </row>
    <row r="33" spans="2:44" s="173" customFormat="1" ht="18" customHeight="1">
      <c r="B33" s="174">
        <v>28</v>
      </c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>
        <f>25*121333.33</f>
        <v>3033333.25</v>
      </c>
      <c r="L33" s="169">
        <f t="shared" si="6"/>
        <v>30575.999999999996</v>
      </c>
      <c r="M33" s="189">
        <f>'[6]HARVESTING KHT'!$AQ15</f>
        <v>146440</v>
      </c>
      <c r="N33" s="189">
        <f>'[6]HARVESTING KHT'!$U15</f>
        <v>82800</v>
      </c>
      <c r="O33" s="189">
        <f>'[6]HARVESTING KHT'!$X15</f>
        <v>0</v>
      </c>
      <c r="P33" s="189">
        <f>'[6]HARVESTING KHT'!$AD15</f>
        <v>0</v>
      </c>
      <c r="Q33" s="189">
        <f>'[6]HARVESTING KHT'!$AE15</f>
        <v>0</v>
      </c>
      <c r="R33" s="189">
        <f>'[6]HARVESTING KHT'!$AA15</f>
        <v>183240</v>
      </c>
      <c r="S33" s="189">
        <f>'[6]HARVESTING KHT'!$AB15</f>
        <v>85050</v>
      </c>
      <c r="T33" s="189">
        <f>'[6]HARVESTING KHT'!$AC15</f>
        <v>150150</v>
      </c>
      <c r="U33" s="189">
        <f>'[6]HARVESTING KHT'!$AF15</f>
        <v>0</v>
      </c>
      <c r="V33" s="189">
        <f>'[6]HARVESTING KHT'!$AH15</f>
        <v>0</v>
      </c>
      <c r="W33" s="189">
        <f>'[6]HARVESTING KHT'!$AK15</f>
        <v>0</v>
      </c>
      <c r="X33" s="189">
        <f>'[6]HARVESTING KHT'!$Z15</f>
        <v>21000</v>
      </c>
      <c r="Y33" s="189">
        <f>-'[6]HARVESTING KHT'!$AI15</f>
        <v>0</v>
      </c>
      <c r="Z33" s="189"/>
      <c r="AA33" s="189"/>
      <c r="AB33" s="189">
        <f>-'[6]HARVESTING KHT'!$BI15</f>
        <v>-242666.66</v>
      </c>
      <c r="AC33" s="189">
        <f>'[4]HARVESTING KHT'!$M16</f>
        <v>3768999.9</v>
      </c>
      <c r="AD33" s="189"/>
      <c r="AE33" s="183">
        <f t="shared" si="9"/>
        <v>7258922</v>
      </c>
      <c r="AF33" s="184">
        <f t="shared" si="0"/>
        <v>7.4999999999999997E-3</v>
      </c>
      <c r="AG33" s="152">
        <f t="shared" si="7"/>
        <v>54441</v>
      </c>
      <c r="AH33" s="211" t="e">
        <f>'THR''24'!AI33</f>
        <v>#REF!</v>
      </c>
      <c r="AI33" s="172"/>
      <c r="AJ33" s="93"/>
      <c r="AK33" s="146">
        <f t="shared" si="8"/>
        <v>0</v>
      </c>
      <c r="AL33" s="213"/>
      <c r="AM33" s="218" t="e">
        <f>AG33-AH33</f>
        <v>#REF!</v>
      </c>
      <c r="AO33" s="199">
        <f>'[6]HARVESTING KHT'!$AL15</f>
        <v>3312906.59</v>
      </c>
      <c r="AP33" s="200">
        <f t="shared" si="1"/>
        <v>177016</v>
      </c>
      <c r="AQ33" s="199">
        <f t="shared" si="3"/>
        <v>3489922.59</v>
      </c>
      <c r="AR33" s="201">
        <f t="shared" si="4"/>
        <v>-3768999.41</v>
      </c>
    </row>
    <row r="34" spans="2:44" s="173" customFormat="1" ht="18" customHeight="1">
      <c r="B34" s="174">
        <v>29</v>
      </c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>
        <f t="shared" si="11"/>
        <v>3761333.23</v>
      </c>
      <c r="L34" s="169">
        <f t="shared" si="6"/>
        <v>30575.999999999996</v>
      </c>
      <c r="M34" s="189">
        <f>'[6]HARVESTING KHT'!$AQ16</f>
        <v>146200</v>
      </c>
      <c r="N34" s="189">
        <f>'[6]HARVESTING KHT'!$U16</f>
        <v>135000</v>
      </c>
      <c r="O34" s="189">
        <f>'[6]HARVESTING KHT'!$X16</f>
        <v>0</v>
      </c>
      <c r="P34" s="189">
        <f>'[6]HARVESTING KHT'!$AD16</f>
        <v>0</v>
      </c>
      <c r="Q34" s="189">
        <f>'[6]HARVESTING KHT'!$AE16</f>
        <v>0</v>
      </c>
      <c r="R34" s="189">
        <f>'[6]HARVESTING KHT'!$AA16</f>
        <v>0</v>
      </c>
      <c r="S34" s="189">
        <f>'[6]HARVESTING KHT'!$AB16</f>
        <v>116550</v>
      </c>
      <c r="T34" s="189">
        <f>'[6]HARVESTING KHT'!$AC16</f>
        <v>319000</v>
      </c>
      <c r="U34" s="189">
        <f>'[6]HARVESTING KHT'!$AF16</f>
        <v>0</v>
      </c>
      <c r="V34" s="189">
        <f>'[6]HARVESTING KHT'!$AH16</f>
        <v>0</v>
      </c>
      <c r="W34" s="189">
        <f>'[6]HARVESTING KHT'!$AK16</f>
        <v>0</v>
      </c>
      <c r="X34" s="189">
        <f>'[6]HARVESTING KHT'!$Z16</f>
        <v>15000</v>
      </c>
      <c r="Y34" s="189">
        <f>-'[6]HARVESTING KHT'!$AI16</f>
        <v>0</v>
      </c>
      <c r="Z34" s="189"/>
      <c r="AA34" s="189"/>
      <c r="AB34" s="189">
        <f>-'[6]HARVESTING KHT'!$BI16</f>
        <v>-121333.33</v>
      </c>
      <c r="AC34" s="189">
        <f>'[4]HARVESTING KHT'!$M17</f>
        <v>3789999.9</v>
      </c>
      <c r="AD34" s="189"/>
      <c r="AE34" s="183">
        <f t="shared" si="9"/>
        <v>8192325</v>
      </c>
      <c r="AF34" s="184">
        <f t="shared" si="0"/>
        <v>0.01</v>
      </c>
      <c r="AG34" s="152">
        <f t="shared" si="7"/>
        <v>81923</v>
      </c>
      <c r="AH34" s="211" t="e">
        <f>'THR''24'!AI34</f>
        <v>#REF!</v>
      </c>
      <c r="AI34" s="172" t="e">
        <f t="shared" si="10"/>
        <v>#REF!</v>
      </c>
      <c r="AJ34" s="93"/>
      <c r="AK34" s="146" t="e">
        <f t="shared" si="8"/>
        <v>#REF!</v>
      </c>
      <c r="AL34" s="213"/>
      <c r="AM34" s="218"/>
      <c r="AO34" s="199">
        <f>'[6]HARVESTING KHT'!$AL16</f>
        <v>4225549.9000000004</v>
      </c>
      <c r="AP34" s="200">
        <f t="shared" si="1"/>
        <v>176776</v>
      </c>
      <c r="AQ34" s="199">
        <f t="shared" si="3"/>
        <v>4402325.9000000004</v>
      </c>
      <c r="AR34" s="201">
        <f t="shared" si="4"/>
        <v>-3789999.0999999996</v>
      </c>
    </row>
    <row r="35" spans="2:44" s="173" customFormat="1" ht="18" customHeight="1">
      <c r="B35" s="174">
        <v>30</v>
      </c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>
        <f t="shared" si="11"/>
        <v>3761333.23</v>
      </c>
      <c r="L35" s="169">
        <f t="shared" si="6"/>
        <v>30575.999999999996</v>
      </c>
      <c r="M35" s="189">
        <f>'[6]HARVESTING KHT'!$AQ17</f>
        <v>145900</v>
      </c>
      <c r="N35" s="189">
        <f>'[6]HARVESTING KHT'!$U17</f>
        <v>111600</v>
      </c>
      <c r="O35" s="189">
        <f>'[6]HARVESTING KHT'!$X17</f>
        <v>0</v>
      </c>
      <c r="P35" s="189">
        <f>'[6]HARVESTING KHT'!$AD17</f>
        <v>0</v>
      </c>
      <c r="Q35" s="189">
        <f>'[6]HARVESTING KHT'!$AE17</f>
        <v>0</v>
      </c>
      <c r="R35" s="189">
        <f>'[6]HARVESTING KHT'!$AA17</f>
        <v>0</v>
      </c>
      <c r="S35" s="189">
        <f>'[6]HARVESTING KHT'!$AB17</f>
        <v>158550</v>
      </c>
      <c r="T35" s="189">
        <f>'[6]HARVESTING KHT'!$AC17</f>
        <v>336050</v>
      </c>
      <c r="U35" s="189">
        <f>'[6]HARVESTING KHT'!$AF17</f>
        <v>0</v>
      </c>
      <c r="V35" s="189">
        <f>'[6]HARVESTING KHT'!$AH17</f>
        <v>0</v>
      </c>
      <c r="W35" s="189">
        <f>'[6]HARVESTING KHT'!$AK17</f>
        <v>0</v>
      </c>
      <c r="X35" s="189">
        <f>'[6]HARVESTING KHT'!$Z17</f>
        <v>7500</v>
      </c>
      <c r="Y35" s="189">
        <f>-'[6]HARVESTING KHT'!$AI17</f>
        <v>0</v>
      </c>
      <c r="Z35" s="189"/>
      <c r="AA35" s="189"/>
      <c r="AB35" s="189">
        <f>-'[6]HARVESTING KHT'!$BI17</f>
        <v>0</v>
      </c>
      <c r="AC35" s="189">
        <f>'[4]HARVESTING KHT'!$M18</f>
        <v>3755499.9</v>
      </c>
      <c r="AD35" s="189"/>
      <c r="AE35" s="183">
        <f t="shared" si="9"/>
        <v>8307009</v>
      </c>
      <c r="AF35" s="184">
        <f t="shared" si="0"/>
        <v>1.5000000000000001E-2</v>
      </c>
      <c r="AG35" s="152">
        <f t="shared" si="7"/>
        <v>124605</v>
      </c>
      <c r="AH35" s="211" t="e">
        <f>'THR''24'!AI35</f>
        <v>#REF!</v>
      </c>
      <c r="AI35" s="172" t="e">
        <f t="shared" si="10"/>
        <v>#REF!</v>
      </c>
      <c r="AJ35" s="93"/>
      <c r="AK35" s="146" t="e">
        <f t="shared" si="8"/>
        <v>#REF!</v>
      </c>
      <c r="AL35" s="213"/>
      <c r="AM35" s="218"/>
      <c r="AO35" s="199">
        <f>'[6]HARVESTING KHT'!$AL17</f>
        <v>4375033.2300000004</v>
      </c>
      <c r="AP35" s="200">
        <f t="shared" si="1"/>
        <v>176476</v>
      </c>
      <c r="AQ35" s="199">
        <f t="shared" si="3"/>
        <v>4551509.2300000004</v>
      </c>
      <c r="AR35" s="201">
        <f t="shared" si="4"/>
        <v>-3755499.7699999996</v>
      </c>
    </row>
    <row r="36" spans="2:44" s="173" customFormat="1" ht="18" customHeight="1">
      <c r="B36" s="174">
        <v>31</v>
      </c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>
        <f t="shared" si="11"/>
        <v>3761333.23</v>
      </c>
      <c r="L36" s="169">
        <f t="shared" si="6"/>
        <v>30575.999999999996</v>
      </c>
      <c r="M36" s="189">
        <f>'[6]HARVESTING KHT'!$AQ18</f>
        <v>145800</v>
      </c>
      <c r="N36" s="189">
        <f>'[6]HARVESTING KHT'!$U18</f>
        <v>156600</v>
      </c>
      <c r="O36" s="189">
        <f>'[6]HARVESTING KHT'!$X18</f>
        <v>0</v>
      </c>
      <c r="P36" s="189">
        <f>'[6]HARVESTING KHT'!$AD18</f>
        <v>0</v>
      </c>
      <c r="Q36" s="189">
        <f>'[6]HARVESTING KHT'!$AE18</f>
        <v>0</v>
      </c>
      <c r="R36" s="189">
        <f>'[6]HARVESTING KHT'!$AA18</f>
        <v>96201</v>
      </c>
      <c r="S36" s="189">
        <f>'[6]HARVESTING KHT'!$AB18</f>
        <v>108150</v>
      </c>
      <c r="T36" s="189">
        <f>'[6]HARVESTING KHT'!$AC18</f>
        <v>165550</v>
      </c>
      <c r="U36" s="189">
        <f>'[6]HARVESTING KHT'!$AF18</f>
        <v>0</v>
      </c>
      <c r="V36" s="189">
        <f>'[6]HARVESTING KHT'!$AH18</f>
        <v>0</v>
      </c>
      <c r="W36" s="189">
        <f>'[6]HARVESTING KHT'!$AK18</f>
        <v>0</v>
      </c>
      <c r="X36" s="189">
        <f>'[6]HARVESTING KHT'!$Z18</f>
        <v>5000</v>
      </c>
      <c r="Y36" s="189">
        <f>-'[6]HARVESTING KHT'!$AI18</f>
        <v>0</v>
      </c>
      <c r="Z36" s="189"/>
      <c r="AA36" s="189"/>
      <c r="AB36" s="189">
        <f>-'[6]HARVESTING KHT'!$BI18</f>
        <v>-242666.66</v>
      </c>
      <c r="AC36" s="189">
        <f>'[4]HARVESTING KHT'!$M19</f>
        <v>3806999.9</v>
      </c>
      <c r="AD36" s="189"/>
      <c r="AE36" s="183">
        <f t="shared" si="9"/>
        <v>8033543</v>
      </c>
      <c r="AF36" s="184">
        <f t="shared" si="0"/>
        <v>0.01</v>
      </c>
      <c r="AG36" s="152">
        <f t="shared" si="7"/>
        <v>80335</v>
      </c>
      <c r="AH36" s="211" t="e">
        <f>'THR''24'!AI36</f>
        <v>#REF!</v>
      </c>
      <c r="AI36" s="172"/>
      <c r="AJ36" s="93"/>
      <c r="AK36" s="146">
        <f t="shared" si="8"/>
        <v>0</v>
      </c>
      <c r="AL36" s="213"/>
      <c r="AM36" s="218" t="e">
        <f>AG36-AH36</f>
        <v>#REF!</v>
      </c>
      <c r="AO36" s="199">
        <f>'[6]HARVESTING KHT'!$AL18</f>
        <v>4050167.5700000003</v>
      </c>
      <c r="AP36" s="200">
        <f t="shared" si="1"/>
        <v>176376</v>
      </c>
      <c r="AQ36" s="199">
        <f t="shared" si="3"/>
        <v>4226543.57</v>
      </c>
      <c r="AR36" s="201">
        <f t="shared" si="4"/>
        <v>-3806999.4299999997</v>
      </c>
    </row>
    <row r="37" spans="2:44" s="173" customFormat="1" ht="18" customHeight="1">
      <c r="B37" s="174">
        <v>32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 t="shared" si="11"/>
        <v>3761333.23</v>
      </c>
      <c r="L37" s="169">
        <f t="shared" si="6"/>
        <v>30575.999999999996</v>
      </c>
      <c r="M37" s="189">
        <f>'[6]HARVESTING KHT'!$AQ19</f>
        <v>145800</v>
      </c>
      <c r="N37" s="189">
        <f>'[6]HARVESTING KHT'!$U19</f>
        <v>139500</v>
      </c>
      <c r="O37" s="189">
        <f>'[6]HARVESTING KHT'!$X19</f>
        <v>0</v>
      </c>
      <c r="P37" s="189">
        <f>'[6]HARVESTING KHT'!$AD19</f>
        <v>0</v>
      </c>
      <c r="Q37" s="189">
        <f>'[6]HARVESTING KHT'!$AE19</f>
        <v>0</v>
      </c>
      <c r="R37" s="189">
        <f>'[6]HARVESTING KHT'!$AA19</f>
        <v>1012401</v>
      </c>
      <c r="S37" s="189">
        <f>'[6]HARVESTING KHT'!$AB19</f>
        <v>122850</v>
      </c>
      <c r="T37" s="189">
        <f>'[6]HARVESTING KHT'!$AC19</f>
        <v>220550</v>
      </c>
      <c r="U37" s="189">
        <f>'[6]HARVESTING KHT'!$AF19</f>
        <v>112245</v>
      </c>
      <c r="V37" s="189">
        <f>'[6]HARVESTING KHT'!$AH19</f>
        <v>300000</v>
      </c>
      <c r="W37" s="189">
        <f>'[6]HARVESTING KHT'!$AK19</f>
        <v>0</v>
      </c>
      <c r="X37" s="189">
        <f>'[6]HARVESTING KHT'!$Z19</f>
        <v>5000</v>
      </c>
      <c r="Y37" s="189">
        <f>-'[6]HARVESTING KHT'!$AI19</f>
        <v>0</v>
      </c>
      <c r="Z37" s="189"/>
      <c r="AA37" s="189"/>
      <c r="AB37" s="189">
        <f>-'[6]HARVESTING KHT'!$BI19</f>
        <v>0</v>
      </c>
      <c r="AC37" s="189">
        <f>'[4]HARVESTING KHT'!$M20</f>
        <v>3779999.9</v>
      </c>
      <c r="AD37" s="189"/>
      <c r="AE37" s="183">
        <f t="shared" si="9"/>
        <v>9630255</v>
      </c>
      <c r="AF37" s="184">
        <f t="shared" si="0"/>
        <v>1.4999999999999999E-2</v>
      </c>
      <c r="AG37" s="152">
        <f t="shared" si="7"/>
        <v>144453</v>
      </c>
      <c r="AH37" s="211" t="e">
        <f>'THR''24'!AI37</f>
        <v>#REF!</v>
      </c>
      <c r="AI37" s="172" t="e">
        <f t="shared" si="10"/>
        <v>#REF!</v>
      </c>
      <c r="AJ37" s="93"/>
      <c r="AK37" s="146" t="e">
        <f t="shared" si="8"/>
        <v>#REF!</v>
      </c>
      <c r="AL37" s="213"/>
      <c r="AM37" s="218"/>
      <c r="AO37" s="199">
        <f>'[6]HARVESTING KHT'!$AL19</f>
        <v>5673879.2300000004</v>
      </c>
      <c r="AP37" s="200">
        <f t="shared" si="1"/>
        <v>176376</v>
      </c>
      <c r="AQ37" s="199">
        <f t="shared" si="3"/>
        <v>5850255.2300000004</v>
      </c>
      <c r="AR37" s="201">
        <f t="shared" si="4"/>
        <v>-3779999.7699999996</v>
      </c>
    </row>
    <row r="38" spans="2:44" s="173" customFormat="1" ht="18" customHeight="1">
      <c r="B38" s="174">
        <v>33</v>
      </c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>
        <f>29*121333.33</f>
        <v>3518666.57</v>
      </c>
      <c r="L38" s="169">
        <f t="shared" si="6"/>
        <v>30575.999999999996</v>
      </c>
      <c r="M38" s="189">
        <f>'[6]HARVESTING KHT'!$AQ20</f>
        <v>145800</v>
      </c>
      <c r="N38" s="189">
        <f>'[6]HARVESTING KHT'!$U20</f>
        <v>130500</v>
      </c>
      <c r="O38" s="189">
        <f>'[6]HARVESTING KHT'!$X20</f>
        <v>0</v>
      </c>
      <c r="P38" s="189">
        <f>'[6]HARVESTING KHT'!$AD20</f>
        <v>0</v>
      </c>
      <c r="Q38" s="189">
        <f>'[6]HARVESTING KHT'!$AE20</f>
        <v>0</v>
      </c>
      <c r="R38" s="189">
        <f>'[6]HARVESTING KHT'!$AA20</f>
        <v>774189</v>
      </c>
      <c r="S38" s="189">
        <f>'[6]HARVESTING KHT'!$AB20</f>
        <v>105000</v>
      </c>
      <c r="T38" s="189">
        <f>'[6]HARVESTING KHT'!$AC20</f>
        <v>154550</v>
      </c>
      <c r="U38" s="189">
        <f>'[6]HARVESTING KHT'!$AF20</f>
        <v>0</v>
      </c>
      <c r="V38" s="189">
        <f>'[6]HARVESTING KHT'!$AH20</f>
        <v>150000</v>
      </c>
      <c r="W38" s="189">
        <f>'[6]HARVESTING KHT'!$AK20</f>
        <v>0</v>
      </c>
      <c r="X38" s="189">
        <f>'[6]HARVESTING KHT'!$Z20</f>
        <v>5000</v>
      </c>
      <c r="Y38" s="189">
        <f>-'[6]HARVESTING KHT'!$AI20</f>
        <v>0</v>
      </c>
      <c r="Z38" s="189"/>
      <c r="AA38" s="189"/>
      <c r="AB38" s="189">
        <f>-'[6]HARVESTING KHT'!$BI20</f>
        <v>0</v>
      </c>
      <c r="AC38" s="189">
        <f>'[4]HARVESTING KHT'!$M21</f>
        <v>3779999.9</v>
      </c>
      <c r="AD38" s="189"/>
      <c r="AE38" s="183">
        <f t="shared" si="9"/>
        <v>8794281</v>
      </c>
      <c r="AF38" s="184">
        <f t="shared" ref="AF38:AF66" si="12">IF(J38="TER A",VLOOKUP(AE38,Ter_A,4,TRUE),IF(J38="TER B",VLOOKUP(AE38,Ter_B,4,TRUE),VLOOKUP(AE38,Ter_C,4,TRUE)))</f>
        <v>0.01</v>
      </c>
      <c r="AG38" s="152">
        <f t="shared" si="7"/>
        <v>87942</v>
      </c>
      <c r="AH38" s="211" t="e">
        <f>'THR''24'!AI38</f>
        <v>#REF!</v>
      </c>
      <c r="AI38" s="172" t="e">
        <f t="shared" si="10"/>
        <v>#REF!</v>
      </c>
      <c r="AJ38" s="93"/>
      <c r="AK38" s="146" t="e">
        <f t="shared" si="8"/>
        <v>#REF!</v>
      </c>
      <c r="AL38" s="213"/>
      <c r="AM38" s="218"/>
      <c r="AO38" s="199">
        <f>'[6]HARVESTING KHT'!$AL20</f>
        <v>4837905.57</v>
      </c>
      <c r="AP38" s="200">
        <f t="shared" ref="AP38:AP66" si="13">L38+M38</f>
        <v>176376</v>
      </c>
      <c r="AQ38" s="199">
        <f t="shared" si="3"/>
        <v>5014281.57</v>
      </c>
      <c r="AR38" s="201">
        <f t="shared" si="4"/>
        <v>-3779999.4299999997</v>
      </c>
    </row>
    <row r="39" spans="2:44" s="173" customFormat="1" ht="18" customHeight="1">
      <c r="B39" s="174">
        <v>34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>
        <f t="shared" si="11"/>
        <v>3761333.23</v>
      </c>
      <c r="L39" s="169">
        <f t="shared" si="6"/>
        <v>30575.999999999996</v>
      </c>
      <c r="M39" s="189">
        <f>'[6]HARVESTING KHT'!$AQ21</f>
        <v>145800</v>
      </c>
      <c r="N39" s="189">
        <f>'[6]HARVESTING KHT'!$U21</f>
        <v>130500</v>
      </c>
      <c r="O39" s="189">
        <f>'[6]HARVESTING KHT'!$X21</f>
        <v>0</v>
      </c>
      <c r="P39" s="189">
        <f>'[6]HARVESTING KHT'!$AD21</f>
        <v>0</v>
      </c>
      <c r="Q39" s="189">
        <f>'[6]HARVESTING KHT'!$AE21</f>
        <v>0</v>
      </c>
      <c r="R39" s="189">
        <f>'[6]HARVESTING KHT'!$AA21</f>
        <v>462681</v>
      </c>
      <c r="S39" s="189">
        <f>'[6]HARVESTING KHT'!$AB21</f>
        <v>147000</v>
      </c>
      <c r="T39" s="189">
        <f>'[6]HARVESTING KHT'!$AC21</f>
        <v>312950</v>
      </c>
      <c r="U39" s="189">
        <f>'[6]HARVESTING KHT'!$AF21</f>
        <v>142695</v>
      </c>
      <c r="V39" s="189">
        <f>'[6]HARVESTING KHT'!$AH21</f>
        <v>0</v>
      </c>
      <c r="W39" s="189">
        <f>'[6]HARVESTING KHT'!$AK21</f>
        <v>0</v>
      </c>
      <c r="X39" s="189">
        <f>'[6]HARVESTING KHT'!$Z21</f>
        <v>5000</v>
      </c>
      <c r="Y39" s="189">
        <f>-'[6]HARVESTING KHT'!$AI21</f>
        <v>0</v>
      </c>
      <c r="Z39" s="189"/>
      <c r="AA39" s="189"/>
      <c r="AB39" s="189">
        <f>-'[6]HARVESTING KHT'!$BI21</f>
        <v>-242666.66</v>
      </c>
      <c r="AC39" s="189">
        <f>'[4]HARVESTING KHT'!$M22</f>
        <v>3779999.9</v>
      </c>
      <c r="AD39" s="189"/>
      <c r="AE39" s="183">
        <f t="shared" si="9"/>
        <v>8675868</v>
      </c>
      <c r="AF39" s="184">
        <f t="shared" si="12"/>
        <v>0.01</v>
      </c>
      <c r="AG39" s="152">
        <f t="shared" si="7"/>
        <v>86758</v>
      </c>
      <c r="AH39" s="211" t="e">
        <f>'THR''24'!AI39</f>
        <v>#REF!</v>
      </c>
      <c r="AI39" s="172"/>
      <c r="AJ39" s="93"/>
      <c r="AK39" s="146">
        <f t="shared" si="8"/>
        <v>0</v>
      </c>
      <c r="AL39" s="213"/>
      <c r="AM39" s="218" t="e">
        <f>AG39-AH39</f>
        <v>#REF!</v>
      </c>
      <c r="AO39" s="199">
        <f>'[6]HARVESTING KHT'!$AL21</f>
        <v>4719492.57</v>
      </c>
      <c r="AP39" s="200">
        <f t="shared" si="13"/>
        <v>176376</v>
      </c>
      <c r="AQ39" s="199">
        <f t="shared" si="3"/>
        <v>4895868.57</v>
      </c>
      <c r="AR39" s="201">
        <f t="shared" si="4"/>
        <v>-3779999.4299999997</v>
      </c>
    </row>
    <row r="40" spans="2:44" s="173" customFormat="1" ht="18" customHeight="1">
      <c r="B40" s="174">
        <v>35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>
        <f t="shared" si="11"/>
        <v>3761333.23</v>
      </c>
      <c r="L40" s="169">
        <f t="shared" si="6"/>
        <v>30575.999999999996</v>
      </c>
      <c r="M40" s="189">
        <f>'[6]HARVESTING KHT'!$AQ22</f>
        <v>145700</v>
      </c>
      <c r="N40" s="189">
        <f>'[6]HARVESTING KHT'!$U22</f>
        <v>67500</v>
      </c>
      <c r="O40" s="189">
        <f>'[6]HARVESTING KHT'!$X22</f>
        <v>0</v>
      </c>
      <c r="P40" s="189">
        <f>'[6]HARVESTING KHT'!$AD22</f>
        <v>0</v>
      </c>
      <c r="Q40" s="189">
        <f>'[6]HARVESTING KHT'!$AE22</f>
        <v>0</v>
      </c>
      <c r="R40" s="189">
        <f>'[6]HARVESTING KHT'!$AA22</f>
        <v>323724</v>
      </c>
      <c r="S40" s="189">
        <f>'[6]HARVESTING KHT'!$AB22</f>
        <v>119700</v>
      </c>
      <c r="T40" s="189">
        <f>'[6]HARVESTING KHT'!$AC22</f>
        <v>165550</v>
      </c>
      <c r="U40" s="189">
        <f>'[6]HARVESTING KHT'!$AF22</f>
        <v>0</v>
      </c>
      <c r="V40" s="189">
        <f>'[6]HARVESTING KHT'!$AH22</f>
        <v>0</v>
      </c>
      <c r="W40" s="189">
        <f>'[6]HARVESTING KHT'!$AK22</f>
        <v>0</v>
      </c>
      <c r="X40" s="189">
        <f>'[6]HARVESTING KHT'!$Z22</f>
        <v>2500</v>
      </c>
      <c r="Y40" s="189">
        <f>-'[6]HARVESTING KHT'!$AI22</f>
        <v>0</v>
      </c>
      <c r="Z40" s="189"/>
      <c r="AA40" s="189"/>
      <c r="AB40" s="189">
        <f>-'[6]HARVESTING KHT'!$BI22</f>
        <v>-121333.33</v>
      </c>
      <c r="AC40" s="189">
        <f>'[4]HARVESTING KHT'!$M23</f>
        <v>3709999.9</v>
      </c>
      <c r="AD40" s="189"/>
      <c r="AE40" s="183">
        <f t="shared" si="9"/>
        <v>8205249</v>
      </c>
      <c r="AF40" s="184">
        <f t="shared" si="12"/>
        <v>1.5000000000000001E-2</v>
      </c>
      <c r="AG40" s="152">
        <f t="shared" si="7"/>
        <v>123078</v>
      </c>
      <c r="AH40" s="211" t="e">
        <f>'THR''24'!AI40</f>
        <v>#REF!</v>
      </c>
      <c r="AI40" s="172" t="e">
        <f t="shared" si="10"/>
        <v>#REF!</v>
      </c>
      <c r="AJ40" s="93"/>
      <c r="AK40" s="146" t="e">
        <f t="shared" si="8"/>
        <v>#REF!</v>
      </c>
      <c r="AL40" s="213"/>
      <c r="AM40" s="218"/>
      <c r="AO40" s="199">
        <f>'[6]HARVESTING KHT'!$AL22</f>
        <v>4318973.9000000004</v>
      </c>
      <c r="AP40" s="200">
        <f t="shared" si="13"/>
        <v>176276</v>
      </c>
      <c r="AQ40" s="199">
        <f t="shared" si="3"/>
        <v>4495249.9000000004</v>
      </c>
      <c r="AR40" s="201">
        <f t="shared" si="4"/>
        <v>-3709999.0999999996</v>
      </c>
    </row>
    <row r="41" spans="2:44" s="173" customFormat="1" ht="18" customHeight="1">
      <c r="B41" s="174">
        <v>36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 t="shared" si="11"/>
        <v>3761333.23</v>
      </c>
      <c r="L41" s="169">
        <f t="shared" si="6"/>
        <v>30575.999999999996</v>
      </c>
      <c r="M41" s="189">
        <f>'[6]HARVESTING KHT'!$AQ23</f>
        <v>146320</v>
      </c>
      <c r="N41" s="189">
        <f>'[6]HARVESTING KHT'!$U23</f>
        <v>167400</v>
      </c>
      <c r="O41" s="189">
        <f>'[6]HARVESTING KHT'!$X23</f>
        <v>0</v>
      </c>
      <c r="P41" s="189">
        <f>'[6]HARVESTING KHT'!$AD23</f>
        <v>0</v>
      </c>
      <c r="Q41" s="189">
        <f>'[6]HARVESTING KHT'!$AE23</f>
        <v>0</v>
      </c>
      <c r="R41" s="189">
        <f>'[6]HARVESTING KHT'!$AA23</f>
        <v>0</v>
      </c>
      <c r="S41" s="189">
        <f>'[6]HARVESTING KHT'!$AB23</f>
        <v>118650</v>
      </c>
      <c r="T41" s="189">
        <f>'[6]HARVESTING KHT'!$AC23</f>
        <v>278850</v>
      </c>
      <c r="U41" s="189">
        <f>'[6]HARVESTING KHT'!$AF23</f>
        <v>0</v>
      </c>
      <c r="V41" s="189">
        <f>'[6]HARVESTING KHT'!$AH23</f>
        <v>0</v>
      </c>
      <c r="W41" s="189">
        <f>'[6]HARVESTING KHT'!$AK23</f>
        <v>0</v>
      </c>
      <c r="X41" s="189">
        <f>'[6]HARVESTING KHT'!$Z23</f>
        <v>18000</v>
      </c>
      <c r="Y41" s="189">
        <f>-'[6]HARVESTING KHT'!$AI23</f>
        <v>-276957</v>
      </c>
      <c r="Z41" s="189"/>
      <c r="AA41" s="189"/>
      <c r="AB41" s="189">
        <f>-'[6]HARVESTING KHT'!$BI23</f>
        <v>0</v>
      </c>
      <c r="AC41" s="189">
        <f>'[4]HARVESTING KHT'!$M24</f>
        <v>3819999.9</v>
      </c>
      <c r="AD41" s="189"/>
      <c r="AE41" s="183">
        <f t="shared" si="9"/>
        <v>8064172</v>
      </c>
      <c r="AF41" s="184">
        <f t="shared" si="12"/>
        <v>0.01</v>
      </c>
      <c r="AG41" s="152">
        <f t="shared" si="7"/>
        <v>80641</v>
      </c>
      <c r="AH41" s="211" t="e">
        <f>'THR''24'!AI41</f>
        <v>#REF!</v>
      </c>
      <c r="AI41" s="172" t="e">
        <f t="shared" si="10"/>
        <v>#REF!</v>
      </c>
      <c r="AJ41" s="93"/>
      <c r="AK41" s="146" t="e">
        <f t="shared" si="8"/>
        <v>#REF!</v>
      </c>
      <c r="AL41" s="213"/>
      <c r="AM41" s="218"/>
      <c r="AO41" s="199">
        <f>'[6]HARVESTING KHT'!$AL23</f>
        <v>4067276.2300000004</v>
      </c>
      <c r="AP41" s="200">
        <f t="shared" si="13"/>
        <v>176896</v>
      </c>
      <c r="AQ41" s="199">
        <f t="shared" si="3"/>
        <v>4244172.2300000004</v>
      </c>
      <c r="AR41" s="201">
        <f t="shared" si="4"/>
        <v>-3819999.7699999996</v>
      </c>
    </row>
    <row r="42" spans="2:44" s="173" customFormat="1" ht="18" customHeight="1">
      <c r="B42" s="174">
        <v>37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 t="shared" si="11"/>
        <v>3761333.23</v>
      </c>
      <c r="L42" s="169">
        <f t="shared" si="6"/>
        <v>30575.999999999996</v>
      </c>
      <c r="M42" s="189">
        <f>'[6]HARVESTING KHT'!$AQ24</f>
        <v>146440</v>
      </c>
      <c r="N42" s="189">
        <f>'[6]HARVESTING KHT'!$U24</f>
        <v>139500</v>
      </c>
      <c r="O42" s="189">
        <f>'[6]HARVESTING KHT'!$X24</f>
        <v>0</v>
      </c>
      <c r="P42" s="189">
        <f>'[6]HARVESTING KHT'!$AD24</f>
        <v>0</v>
      </c>
      <c r="Q42" s="189">
        <f>'[6]HARVESTING KHT'!$AE24</f>
        <v>0</v>
      </c>
      <c r="R42" s="189">
        <f>'[6]HARVESTING KHT'!$AA24</f>
        <v>0</v>
      </c>
      <c r="S42" s="189">
        <f>'[6]HARVESTING KHT'!$AB24</f>
        <v>98700</v>
      </c>
      <c r="T42" s="189">
        <f>'[6]HARVESTING KHT'!$AC24</f>
        <v>150150</v>
      </c>
      <c r="U42" s="189">
        <f>'[6]HARVESTING KHT'!$AF24</f>
        <v>0</v>
      </c>
      <c r="V42" s="189">
        <f>'[6]HARVESTING KHT'!$AH24</f>
        <v>0</v>
      </c>
      <c r="W42" s="189">
        <f>'[6]HARVESTING KHT'!$AK24</f>
        <v>0</v>
      </c>
      <c r="X42" s="189">
        <f>'[6]HARVESTING KHT'!$Z24</f>
        <v>21000</v>
      </c>
      <c r="Y42" s="189">
        <f>-'[6]HARVESTING KHT'!$AI24</f>
        <v>0</v>
      </c>
      <c r="Z42" s="189"/>
      <c r="AA42" s="189"/>
      <c r="AB42" s="189">
        <f>-'[6]HARVESTING KHT'!$BI24</f>
        <v>0</v>
      </c>
      <c r="AC42" s="189">
        <f>'[4]HARVESTING KHT'!$M25</f>
        <v>3795999.9</v>
      </c>
      <c r="AD42" s="189"/>
      <c r="AE42" s="183">
        <f t="shared" si="9"/>
        <v>8143699</v>
      </c>
      <c r="AF42" s="184">
        <f t="shared" si="12"/>
        <v>0.01</v>
      </c>
      <c r="AG42" s="152">
        <f t="shared" si="7"/>
        <v>81436</v>
      </c>
      <c r="AH42" s="211" t="e">
        <f>'THR''24'!AI42</f>
        <v>#REF!</v>
      </c>
      <c r="AI42" s="172" t="e">
        <f t="shared" si="10"/>
        <v>#REF!</v>
      </c>
      <c r="AJ42" s="93"/>
      <c r="AK42" s="146" t="e">
        <f t="shared" si="8"/>
        <v>#REF!</v>
      </c>
      <c r="AL42" s="213"/>
      <c r="AM42" s="218"/>
      <c r="AO42" s="199">
        <f>'[6]HARVESTING KHT'!$AL24</f>
        <v>4170683.2300000004</v>
      </c>
      <c r="AP42" s="200">
        <f t="shared" si="13"/>
        <v>177016</v>
      </c>
      <c r="AQ42" s="199">
        <f t="shared" si="3"/>
        <v>4347699.2300000004</v>
      </c>
      <c r="AR42" s="201">
        <f t="shared" si="4"/>
        <v>-3795999.7699999996</v>
      </c>
    </row>
    <row r="43" spans="2:44" s="173" customFormat="1" ht="18" customHeight="1">
      <c r="B43" s="174">
        <v>38</v>
      </c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>
        <f t="shared" si="11"/>
        <v>3761333.23</v>
      </c>
      <c r="L43" s="169">
        <f t="shared" si="6"/>
        <v>30575.999999999996</v>
      </c>
      <c r="M43" s="189">
        <f>'[6]HARVESTING KHT'!$AQ25</f>
        <v>145800</v>
      </c>
      <c r="N43" s="189">
        <f>'[6]HARVESTING KHT'!$U25</f>
        <v>139500</v>
      </c>
      <c r="O43" s="189">
        <f>'[6]HARVESTING KHT'!$X25</f>
        <v>0</v>
      </c>
      <c r="P43" s="189">
        <f>'[6]HARVESTING KHT'!$AD25</f>
        <v>0</v>
      </c>
      <c r="Q43" s="189">
        <f>'[6]HARVESTING KHT'!$AE25</f>
        <v>0</v>
      </c>
      <c r="R43" s="189">
        <f>'[6]HARVESTING KHT'!$AA25</f>
        <v>288603</v>
      </c>
      <c r="S43" s="189">
        <f>'[6]HARVESTING KHT'!$AB25</f>
        <v>109200</v>
      </c>
      <c r="T43" s="189">
        <f>'[6]HARVESTING KHT'!$AC25</f>
        <v>217250</v>
      </c>
      <c r="U43" s="189">
        <f>'[6]HARVESTING KHT'!$AF25</f>
        <v>0</v>
      </c>
      <c r="V43" s="189">
        <f>'[6]HARVESTING KHT'!$AH25</f>
        <v>0</v>
      </c>
      <c r="W43" s="189">
        <f>'[6]HARVESTING KHT'!$AK25</f>
        <v>0</v>
      </c>
      <c r="X43" s="189">
        <f>'[6]HARVESTING KHT'!$Z25</f>
        <v>5000</v>
      </c>
      <c r="Y43" s="189">
        <f>-'[6]HARVESTING KHT'!$AI25</f>
        <v>0</v>
      </c>
      <c r="Z43" s="189"/>
      <c r="AA43" s="189"/>
      <c r="AB43" s="189">
        <f>-'[6]HARVESTING KHT'!$BI25</f>
        <v>0</v>
      </c>
      <c r="AC43" s="189">
        <f>'[4]HARVESTING KHT'!$M26</f>
        <v>3779999.9</v>
      </c>
      <c r="AD43" s="189"/>
      <c r="AE43" s="183">
        <f t="shared" si="9"/>
        <v>8477262</v>
      </c>
      <c r="AF43" s="184">
        <f t="shared" si="12"/>
        <v>0.01</v>
      </c>
      <c r="AG43" s="152">
        <f t="shared" si="7"/>
        <v>84772</v>
      </c>
      <c r="AH43" s="211" t="e">
        <f>'THR''24'!AI43</f>
        <v>#REF!</v>
      </c>
      <c r="AI43" s="172" t="e">
        <f t="shared" si="10"/>
        <v>#REF!</v>
      </c>
      <c r="AJ43" s="93"/>
      <c r="AK43" s="146" t="e">
        <f t="shared" si="8"/>
        <v>#REF!</v>
      </c>
      <c r="AL43" s="213"/>
      <c r="AM43" s="218"/>
      <c r="AO43" s="199">
        <f>'[6]HARVESTING KHT'!$AL25</f>
        <v>4520886.2300000004</v>
      </c>
      <c r="AP43" s="200">
        <f t="shared" si="13"/>
        <v>176376</v>
      </c>
      <c r="AQ43" s="199">
        <f t="shared" si="3"/>
        <v>4697262.2300000004</v>
      </c>
      <c r="AR43" s="201">
        <f t="shared" si="4"/>
        <v>-3779999.7699999996</v>
      </c>
    </row>
    <row r="44" spans="2:44" s="173" customFormat="1" ht="18" customHeight="1">
      <c r="B44" s="174">
        <v>39</v>
      </c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>
        <f>29*121333.33</f>
        <v>3518666.57</v>
      </c>
      <c r="L44" s="169">
        <f t="shared" si="6"/>
        <v>30575.999999999996</v>
      </c>
      <c r="M44" s="189">
        <f>'[6]HARVESTING KHT'!$AQ26</f>
        <v>146000</v>
      </c>
      <c r="N44" s="189">
        <f>'[6]HARVESTING KHT'!$U26</f>
        <v>130500</v>
      </c>
      <c r="O44" s="189">
        <f>'[6]HARVESTING KHT'!$X26</f>
        <v>0</v>
      </c>
      <c r="P44" s="189">
        <f>'[6]HARVESTING KHT'!$AD26</f>
        <v>0</v>
      </c>
      <c r="Q44" s="189">
        <f>'[6]HARVESTING KHT'!$AE26</f>
        <v>0</v>
      </c>
      <c r="R44" s="189">
        <f>'[6]HARVESTING KHT'!$AA26</f>
        <v>265698</v>
      </c>
      <c r="S44" s="189">
        <f>'[6]HARVESTING KHT'!$AB26</f>
        <v>103950</v>
      </c>
      <c r="T44" s="189">
        <f>'[6]HARVESTING KHT'!$AC26</f>
        <v>145750</v>
      </c>
      <c r="U44" s="189">
        <f>'[6]HARVESTING KHT'!$AF26</f>
        <v>160230</v>
      </c>
      <c r="V44" s="189">
        <f>'[6]HARVESTING KHT'!$AH26</f>
        <v>0</v>
      </c>
      <c r="W44" s="189">
        <f>'[6]HARVESTING KHT'!$AK26</f>
        <v>0</v>
      </c>
      <c r="X44" s="189">
        <f>'[6]HARVESTING KHT'!$Z26</f>
        <v>10000</v>
      </c>
      <c r="Y44" s="189">
        <f>-'[6]HARVESTING KHT'!$AI26</f>
        <v>0</v>
      </c>
      <c r="Z44" s="189"/>
      <c r="AA44" s="189"/>
      <c r="AB44" s="189">
        <f>-'[6]HARVESTING KHT'!$BI26</f>
        <v>0</v>
      </c>
      <c r="AC44" s="189">
        <f>'[4]HARVESTING KHT'!$M27</f>
        <v>3784999.9</v>
      </c>
      <c r="AD44" s="189"/>
      <c r="AE44" s="183">
        <f t="shared" si="9"/>
        <v>8296370</v>
      </c>
      <c r="AF44" s="184">
        <f t="shared" si="12"/>
        <v>0.01</v>
      </c>
      <c r="AG44" s="152">
        <f t="shared" si="7"/>
        <v>82963</v>
      </c>
      <c r="AH44" s="211" t="e">
        <f>'THR''24'!AI44</f>
        <v>#REF!</v>
      </c>
      <c r="AI44" s="172" t="e">
        <f t="shared" si="10"/>
        <v>#REF!</v>
      </c>
      <c r="AJ44" s="93"/>
      <c r="AK44" s="146" t="e">
        <f t="shared" si="8"/>
        <v>#REF!</v>
      </c>
      <c r="AL44" s="213"/>
      <c r="AM44" s="218"/>
      <c r="AO44" s="199">
        <f>'[6]HARVESTING KHT'!$AL26</f>
        <v>4334794.57</v>
      </c>
      <c r="AP44" s="200">
        <f t="shared" si="13"/>
        <v>176576</v>
      </c>
      <c r="AQ44" s="199">
        <f t="shared" si="3"/>
        <v>4511370.57</v>
      </c>
      <c r="AR44" s="201">
        <f t="shared" si="4"/>
        <v>-3784999.4299999997</v>
      </c>
    </row>
    <row r="45" spans="2:44" s="173" customFormat="1" ht="18" customHeight="1">
      <c r="B45" s="174">
        <v>40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 t="shared" si="11"/>
        <v>3761333.23</v>
      </c>
      <c r="L45" s="169">
        <f t="shared" si="6"/>
        <v>30575.999999999996</v>
      </c>
      <c r="M45" s="189">
        <f>'[6]HARVESTING KHT'!$AQ27</f>
        <v>145700</v>
      </c>
      <c r="N45" s="189">
        <f>'[6]HARVESTING KHT'!$U27</f>
        <v>167400</v>
      </c>
      <c r="O45" s="189">
        <f>'[6]HARVESTING KHT'!$X27</f>
        <v>0</v>
      </c>
      <c r="P45" s="189">
        <f>'[6]HARVESTING KHT'!$AD27</f>
        <v>0</v>
      </c>
      <c r="Q45" s="189">
        <f>'[6]HARVESTING KHT'!$AE27</f>
        <v>0</v>
      </c>
      <c r="R45" s="189">
        <f>'[6]HARVESTING KHT'!$AA27</f>
        <v>152700</v>
      </c>
      <c r="S45" s="189">
        <f>'[6]HARVESTING KHT'!$AB27</f>
        <v>123900</v>
      </c>
      <c r="T45" s="189">
        <f>'[6]HARVESTING KHT'!$AC27</f>
        <v>165550</v>
      </c>
      <c r="U45" s="189">
        <f>'[6]HARVESTING KHT'!$AF27</f>
        <v>0</v>
      </c>
      <c r="V45" s="189">
        <f>'[6]HARVESTING KHT'!$AH27</f>
        <v>0</v>
      </c>
      <c r="W45" s="189">
        <f>'[6]HARVESTING KHT'!$AK27</f>
        <v>0</v>
      </c>
      <c r="X45" s="189">
        <f>'[6]HARVESTING KHT'!$Z27</f>
        <v>2500</v>
      </c>
      <c r="Y45" s="189">
        <f>-'[6]HARVESTING KHT'!$AI27</f>
        <v>-55391</v>
      </c>
      <c r="Z45" s="189"/>
      <c r="AA45" s="189"/>
      <c r="AB45" s="189">
        <f>-'[6]HARVESTING KHT'!$BI27</f>
        <v>0</v>
      </c>
      <c r="AC45" s="189">
        <f>'[4]HARVESTING KHT'!$M28</f>
        <v>3804499.9</v>
      </c>
      <c r="AD45" s="189"/>
      <c r="AE45" s="183">
        <f t="shared" si="9"/>
        <v>8298768</v>
      </c>
      <c r="AF45" s="184">
        <f t="shared" si="12"/>
        <v>0.01</v>
      </c>
      <c r="AG45" s="152">
        <f t="shared" si="7"/>
        <v>82987</v>
      </c>
      <c r="AH45" s="211" t="e">
        <f>'THR''24'!AI45</f>
        <v>#REF!</v>
      </c>
      <c r="AI45" s="172" t="e">
        <f t="shared" si="10"/>
        <v>#REF!</v>
      </c>
      <c r="AJ45" s="93"/>
      <c r="AK45" s="146" t="e">
        <f t="shared" si="8"/>
        <v>#REF!</v>
      </c>
      <c r="AL45" s="213"/>
      <c r="AM45" s="218"/>
      <c r="AO45" s="199">
        <f>'[6]HARVESTING KHT'!$AL27</f>
        <v>4317992.2300000004</v>
      </c>
      <c r="AP45" s="200">
        <f t="shared" si="13"/>
        <v>176276</v>
      </c>
      <c r="AQ45" s="199">
        <f t="shared" si="3"/>
        <v>4494268.2300000004</v>
      </c>
      <c r="AR45" s="201">
        <f t="shared" si="4"/>
        <v>-3804499.7699999996</v>
      </c>
    </row>
    <row r="46" spans="2:44" s="173" customFormat="1" ht="18" customHeight="1">
      <c r="B46" s="174">
        <v>41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 t="shared" si="11"/>
        <v>3761333.23</v>
      </c>
      <c r="L46" s="169">
        <f t="shared" si="6"/>
        <v>30575.999999999996</v>
      </c>
      <c r="M46" s="189">
        <f>'[6]HARVESTING KHT'!$AQ28</f>
        <v>145900</v>
      </c>
      <c r="N46" s="189">
        <f>'[6]HARVESTING KHT'!$U28</f>
        <v>69750</v>
      </c>
      <c r="O46" s="189">
        <f>'[6]HARVESTING KHT'!$X28</f>
        <v>0</v>
      </c>
      <c r="P46" s="189">
        <f>'[6]HARVESTING KHT'!$AD28</f>
        <v>0</v>
      </c>
      <c r="Q46" s="189">
        <f>'[6]HARVESTING KHT'!$AE28</f>
        <v>0</v>
      </c>
      <c r="R46" s="189">
        <f>'[6]HARVESTING KHT'!$AA28</f>
        <v>633705</v>
      </c>
      <c r="S46" s="189">
        <f>'[6]HARVESTING KHT'!$AB28</f>
        <v>119700</v>
      </c>
      <c r="T46" s="189">
        <f>'[6]HARVESTING KHT'!$AC28</f>
        <v>330000</v>
      </c>
      <c r="U46" s="189">
        <f>'[6]HARVESTING KHT'!$AF28</f>
        <v>0</v>
      </c>
      <c r="V46" s="189">
        <f>'[6]HARVESTING KHT'!$AH28</f>
        <v>150000</v>
      </c>
      <c r="W46" s="189">
        <f>'[6]HARVESTING KHT'!$AK28</f>
        <v>0</v>
      </c>
      <c r="X46" s="189">
        <f>'[6]HARVESTING KHT'!$Z28</f>
        <v>7500</v>
      </c>
      <c r="Y46" s="189">
        <f>-'[6]HARVESTING KHT'!$AI28</f>
        <v>0</v>
      </c>
      <c r="Z46" s="189"/>
      <c r="AA46" s="189"/>
      <c r="AB46" s="189">
        <f>-'[6]HARVESTING KHT'!$BI28</f>
        <v>0</v>
      </c>
      <c r="AC46" s="189">
        <f>'[4]HARVESTING KHT'!$M29</f>
        <v>3714999.9</v>
      </c>
      <c r="AD46" s="189"/>
      <c r="AE46" s="183">
        <f t="shared" si="9"/>
        <v>8963464</v>
      </c>
      <c r="AF46" s="184">
        <f t="shared" si="12"/>
        <v>1.7500000000000002E-2</v>
      </c>
      <c r="AG46" s="152">
        <f t="shared" si="7"/>
        <v>156860</v>
      </c>
      <c r="AH46" s="211" t="e">
        <f>'THR''24'!AI46</f>
        <v>#REF!</v>
      </c>
      <c r="AI46" s="172"/>
      <c r="AJ46" s="93"/>
      <c r="AK46" s="146">
        <f t="shared" si="8"/>
        <v>0</v>
      </c>
      <c r="AL46" s="213"/>
      <c r="AM46" s="218" t="e">
        <f>AG46-AH46</f>
        <v>#REF!</v>
      </c>
      <c r="AO46" s="199">
        <f>'[6]HARVESTING KHT'!$AL28</f>
        <v>5071988.2300000004</v>
      </c>
      <c r="AP46" s="200">
        <f t="shared" si="13"/>
        <v>176476</v>
      </c>
      <c r="AQ46" s="199">
        <f t="shared" si="3"/>
        <v>5248464.2300000004</v>
      </c>
      <c r="AR46" s="201">
        <f t="shared" si="4"/>
        <v>-3714999.7699999996</v>
      </c>
    </row>
    <row r="47" spans="2:44" s="173" customFormat="1" ht="18" customHeight="1">
      <c r="B47" s="174">
        <v>42</v>
      </c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>
        <f t="shared" si="11"/>
        <v>3761333.23</v>
      </c>
      <c r="L47" s="169">
        <f t="shared" si="6"/>
        <v>30575.999999999996</v>
      </c>
      <c r="M47" s="189">
        <f>'[6]HARVESTING KHT'!$AQ29</f>
        <v>146200</v>
      </c>
      <c r="N47" s="189">
        <f>'[6]HARVESTING KHT'!$U29</f>
        <v>167400</v>
      </c>
      <c r="O47" s="189">
        <f>'[6]HARVESTING KHT'!$X29</f>
        <v>0</v>
      </c>
      <c r="P47" s="189">
        <f>'[6]HARVESTING KHT'!$AD29</f>
        <v>0</v>
      </c>
      <c r="Q47" s="189">
        <f>'[6]HARVESTING KHT'!$AE29</f>
        <v>0</v>
      </c>
      <c r="R47" s="189">
        <f>'[6]HARVESTING KHT'!$AA29</f>
        <v>245847</v>
      </c>
      <c r="S47" s="189">
        <f>'[6]HARVESTING KHT'!$AB29</f>
        <v>128100</v>
      </c>
      <c r="T47" s="189">
        <f>'[6]HARVESTING KHT'!$AC29</f>
        <v>110000</v>
      </c>
      <c r="U47" s="189">
        <f>'[6]HARVESTING KHT'!$AF29</f>
        <v>0</v>
      </c>
      <c r="V47" s="189">
        <f>'[6]HARVESTING KHT'!$AH29</f>
        <v>0</v>
      </c>
      <c r="W47" s="189">
        <f>'[6]HARVESTING KHT'!$AK29</f>
        <v>0</v>
      </c>
      <c r="X47" s="189">
        <f>'[6]HARVESTING KHT'!$Z29</f>
        <v>15000</v>
      </c>
      <c r="Y47" s="189">
        <f>-'[6]HARVESTING KHT'!$AI29</f>
        <v>0</v>
      </c>
      <c r="Z47" s="189"/>
      <c r="AA47" s="189"/>
      <c r="AB47" s="189">
        <f>-'[6]HARVESTING KHT'!$BI29</f>
        <v>0</v>
      </c>
      <c r="AC47" s="189">
        <f>'[4]HARVESTING KHT'!$M30</f>
        <v>3816999.9</v>
      </c>
      <c r="AD47" s="189"/>
      <c r="AE47" s="183">
        <f t="shared" si="9"/>
        <v>8421456</v>
      </c>
      <c r="AF47" s="184">
        <f t="shared" si="12"/>
        <v>0.01</v>
      </c>
      <c r="AG47" s="152">
        <f t="shared" si="7"/>
        <v>84214</v>
      </c>
      <c r="AH47" s="211" t="e">
        <f>'THR''24'!AI47</f>
        <v>#REF!</v>
      </c>
      <c r="AI47" s="172" t="e">
        <f t="shared" si="10"/>
        <v>#REF!</v>
      </c>
      <c r="AJ47" s="93"/>
      <c r="AK47" s="146" t="e">
        <f t="shared" si="8"/>
        <v>#REF!</v>
      </c>
      <c r="AL47" s="213"/>
      <c r="AM47" s="218"/>
      <c r="AO47" s="199">
        <f>'[6]HARVESTING KHT'!$AL29</f>
        <v>4427680.2300000004</v>
      </c>
      <c r="AP47" s="200">
        <f t="shared" si="13"/>
        <v>176776</v>
      </c>
      <c r="AQ47" s="199">
        <f t="shared" si="3"/>
        <v>4604456.2300000004</v>
      </c>
      <c r="AR47" s="201">
        <f t="shared" si="4"/>
        <v>-3816999.7699999996</v>
      </c>
    </row>
    <row r="48" spans="2:44" s="173" customFormat="1" ht="18" customHeight="1">
      <c r="B48" s="174">
        <v>43</v>
      </c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>
        <f t="shared" si="11"/>
        <v>3761333.23</v>
      </c>
      <c r="L48" s="169">
        <f t="shared" si="6"/>
        <v>30575.999999999996</v>
      </c>
      <c r="M48" s="189">
        <f>'[6]HARVESTING KHT'!$AQ30</f>
        <v>145800</v>
      </c>
      <c r="N48" s="189">
        <f>'[6]HARVESTING KHT'!$U30</f>
        <v>69750</v>
      </c>
      <c r="O48" s="189">
        <f>'[6]HARVESTING KHT'!$X30</f>
        <v>0</v>
      </c>
      <c r="P48" s="189">
        <f>'[6]HARVESTING KHT'!$AD30</f>
        <v>0</v>
      </c>
      <c r="Q48" s="189">
        <f>'[6]HARVESTING KHT'!$AE30</f>
        <v>0</v>
      </c>
      <c r="R48" s="189">
        <f>'[6]HARVESTING KHT'!$AA30</f>
        <v>50391</v>
      </c>
      <c r="S48" s="189">
        <f>'[6]HARVESTING KHT'!$AB30</f>
        <v>183750</v>
      </c>
      <c r="T48" s="189">
        <f>'[6]HARVESTING KHT'!$AC30</f>
        <v>352000</v>
      </c>
      <c r="U48" s="189">
        <f>'[6]HARVESTING KHT'!$AF30</f>
        <v>0</v>
      </c>
      <c r="V48" s="189">
        <f>'[6]HARVESTING KHT'!$AH30</f>
        <v>0</v>
      </c>
      <c r="W48" s="189">
        <f>'[6]HARVESTING KHT'!$AK30</f>
        <v>0</v>
      </c>
      <c r="X48" s="189">
        <f>'[6]HARVESTING KHT'!$Z30</f>
        <v>5000</v>
      </c>
      <c r="Y48" s="189">
        <f>-'[6]HARVESTING KHT'!$AI30</f>
        <v>0</v>
      </c>
      <c r="Z48" s="189"/>
      <c r="AA48" s="189"/>
      <c r="AB48" s="189">
        <f>-'[6]HARVESTING KHT'!$BI30</f>
        <v>0</v>
      </c>
      <c r="AC48" s="189">
        <f>'[4]HARVESTING KHT'!$M31</f>
        <v>3712499.9</v>
      </c>
      <c r="AD48" s="189"/>
      <c r="AE48" s="183">
        <f t="shared" si="9"/>
        <v>8311100</v>
      </c>
      <c r="AF48" s="184">
        <f t="shared" si="12"/>
        <v>1.5000000000000001E-2</v>
      </c>
      <c r="AG48" s="152">
        <f t="shared" si="7"/>
        <v>124666</v>
      </c>
      <c r="AH48" s="211" t="e">
        <f>'THR''24'!AI48</f>
        <v>#REF!</v>
      </c>
      <c r="AI48" s="172" t="e">
        <f t="shared" si="10"/>
        <v>#REF!</v>
      </c>
      <c r="AJ48" s="93"/>
      <c r="AK48" s="146" t="e">
        <f t="shared" si="8"/>
        <v>#REF!</v>
      </c>
      <c r="AL48" s="213"/>
      <c r="AM48" s="218"/>
      <c r="AO48" s="199">
        <f>'[6]HARVESTING KHT'!$AL30</f>
        <v>4422224.2300000004</v>
      </c>
      <c r="AP48" s="200">
        <f t="shared" si="13"/>
        <v>176376</v>
      </c>
      <c r="AQ48" s="199">
        <f t="shared" si="3"/>
        <v>4598600.2300000004</v>
      </c>
      <c r="AR48" s="201">
        <f t="shared" si="4"/>
        <v>-3712499.7699999996</v>
      </c>
    </row>
    <row r="49" spans="2:44" s="173" customFormat="1" ht="18" customHeight="1">
      <c r="B49" s="174">
        <v>44</v>
      </c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>
        <f t="shared" si="11"/>
        <v>3761333.23</v>
      </c>
      <c r="L49" s="169">
        <f t="shared" si="6"/>
        <v>30575.999999999996</v>
      </c>
      <c r="M49" s="189">
        <f>'[6]HARVESTING KHT'!$AQ31</f>
        <v>145600</v>
      </c>
      <c r="N49" s="189">
        <f>'[6]HARVESTING KHT'!$U31</f>
        <v>65250</v>
      </c>
      <c r="O49" s="189">
        <f>'[6]HARVESTING KHT'!$X31</f>
        <v>0</v>
      </c>
      <c r="P49" s="189">
        <f>'[6]HARVESTING KHT'!$AD31</f>
        <v>0</v>
      </c>
      <c r="Q49" s="189">
        <f>'[6]HARVESTING KHT'!$AE31</f>
        <v>0</v>
      </c>
      <c r="R49" s="189">
        <f>'[6]HARVESTING KHT'!$AA31</f>
        <v>27486</v>
      </c>
      <c r="S49" s="189">
        <f>'[6]HARVESTING KHT'!$AB31</f>
        <v>117600</v>
      </c>
      <c r="T49" s="189">
        <f>'[6]HARVESTING KHT'!$AC31</f>
        <v>353650</v>
      </c>
      <c r="U49" s="189">
        <f>'[6]HARVESTING KHT'!$AF31</f>
        <v>0</v>
      </c>
      <c r="V49" s="189">
        <f>'[6]HARVESTING KHT'!$AH31</f>
        <v>0</v>
      </c>
      <c r="W49" s="189">
        <f>'[6]HARVESTING KHT'!$AK31</f>
        <v>0</v>
      </c>
      <c r="X49" s="189">
        <f>'[6]HARVESTING KHT'!$Z31</f>
        <v>0</v>
      </c>
      <c r="Y49" s="189">
        <f>-'[6]HARVESTING KHT'!$AI31</f>
        <v>0</v>
      </c>
      <c r="Z49" s="189"/>
      <c r="AA49" s="189"/>
      <c r="AB49" s="189">
        <f>-'[6]HARVESTING KHT'!$BI31</f>
        <v>-242666.66</v>
      </c>
      <c r="AC49" s="189">
        <f>'[4]HARVESTING KHT'!$M32</f>
        <v>3089583.25</v>
      </c>
      <c r="AD49" s="189"/>
      <c r="AE49" s="183">
        <f t="shared" si="9"/>
        <v>7348411</v>
      </c>
      <c r="AF49" s="184">
        <f t="shared" si="12"/>
        <v>1.2500000000000001E-2</v>
      </c>
      <c r="AG49" s="152">
        <f t="shared" si="7"/>
        <v>91855</v>
      </c>
      <c r="AH49" s="211" t="e">
        <f>'THR''24'!AI49</f>
        <v>#REF!</v>
      </c>
      <c r="AI49" s="172" t="e">
        <f t="shared" si="10"/>
        <v>#REF!</v>
      </c>
      <c r="AJ49" s="93"/>
      <c r="AK49" s="146" t="e">
        <f t="shared" si="8"/>
        <v>#REF!</v>
      </c>
      <c r="AL49" s="213"/>
      <c r="AM49" s="218"/>
      <c r="AO49" s="199">
        <f>'[6]HARVESTING KHT'!$AL31</f>
        <v>4082652.57</v>
      </c>
      <c r="AP49" s="200">
        <f t="shared" si="13"/>
        <v>176176</v>
      </c>
      <c r="AQ49" s="199">
        <f t="shared" si="3"/>
        <v>4258828.57</v>
      </c>
      <c r="AR49" s="201">
        <f t="shared" si="4"/>
        <v>-3089582.4299999997</v>
      </c>
    </row>
    <row r="50" spans="2:44" s="173" customFormat="1" ht="18" customHeight="1">
      <c r="B50" s="174">
        <v>45</v>
      </c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>
        <f t="shared" si="11"/>
        <v>3761333.23</v>
      </c>
      <c r="L50" s="169">
        <f t="shared" si="6"/>
        <v>30575.999999999996</v>
      </c>
      <c r="M50" s="189">
        <f>'[6]HARVESTING KHT'!$AQ32</f>
        <v>145600</v>
      </c>
      <c r="N50" s="189">
        <f>'[6]HARVESTING KHT'!$U32</f>
        <v>65250</v>
      </c>
      <c r="O50" s="189">
        <f>'[6]HARVESTING KHT'!$X32</f>
        <v>0</v>
      </c>
      <c r="P50" s="189">
        <f>'[6]HARVESTING KHT'!$AD32</f>
        <v>0</v>
      </c>
      <c r="Q50" s="189">
        <f>'[6]HARVESTING KHT'!$AE32</f>
        <v>0</v>
      </c>
      <c r="R50" s="189">
        <f>'[6]HARVESTING KHT'!$AA32</f>
        <v>24432</v>
      </c>
      <c r="S50" s="189">
        <f>'[6]HARVESTING KHT'!$AB32</f>
        <v>73500</v>
      </c>
      <c r="T50" s="189">
        <f>'[6]HARVESTING KHT'!$AC32</f>
        <v>143000</v>
      </c>
      <c r="U50" s="189">
        <f>'[6]HARVESTING KHT'!$AF32</f>
        <v>0</v>
      </c>
      <c r="V50" s="189">
        <f>'[6]HARVESTING KHT'!$AH32</f>
        <v>0</v>
      </c>
      <c r="W50" s="189">
        <f>'[6]HARVESTING KHT'!$AK32</f>
        <v>0</v>
      </c>
      <c r="X50" s="189">
        <f>'[6]HARVESTING KHT'!$Z32</f>
        <v>0</v>
      </c>
      <c r="Y50" s="189">
        <f>-'[6]HARVESTING KHT'!$AI32</f>
        <v>-42203</v>
      </c>
      <c r="Z50" s="189"/>
      <c r="AA50" s="189"/>
      <c r="AB50" s="189">
        <f>-'[6]HARVESTING KHT'!$BI32</f>
        <v>-242666.66</v>
      </c>
      <c r="AC50" s="189">
        <f>'[4]HARVESTING KHT'!$M33</f>
        <v>3398541.5750000002</v>
      </c>
      <c r="AD50" s="189"/>
      <c r="AE50" s="183">
        <f t="shared" si="9"/>
        <v>7357363</v>
      </c>
      <c r="AF50" s="184">
        <f t="shared" si="12"/>
        <v>1.2500000000000001E-2</v>
      </c>
      <c r="AG50" s="152">
        <f t="shared" si="7"/>
        <v>91967</v>
      </c>
      <c r="AH50" s="211" t="e">
        <f>'THR''24'!AI50</f>
        <v>#REF!</v>
      </c>
      <c r="AI50" s="172"/>
      <c r="AJ50" s="93"/>
      <c r="AK50" s="146">
        <f t="shared" si="8"/>
        <v>0</v>
      </c>
      <c r="AL50" s="213"/>
      <c r="AM50" s="218" t="e">
        <f>AG50-AH50</f>
        <v>#REF!</v>
      </c>
      <c r="AO50" s="199">
        <f>'[6]HARVESTING KHT'!$AL32</f>
        <v>3782645.57</v>
      </c>
      <c r="AP50" s="200">
        <f t="shared" si="13"/>
        <v>176176</v>
      </c>
      <c r="AQ50" s="199">
        <f t="shared" si="3"/>
        <v>3958821.57</v>
      </c>
      <c r="AR50" s="201">
        <f t="shared" si="4"/>
        <v>-3398541.43</v>
      </c>
    </row>
    <row r="51" spans="2:44" s="173" customFormat="1" ht="18" customHeight="1">
      <c r="B51" s="174">
        <v>46</v>
      </c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>
        <f t="shared" si="11"/>
        <v>3761333.23</v>
      </c>
      <c r="L51" s="169">
        <f t="shared" si="6"/>
        <v>30575.999999999996</v>
      </c>
      <c r="M51" s="189">
        <f>'[6]HARVESTING KHT'!$AQ33</f>
        <v>145900</v>
      </c>
      <c r="N51" s="189">
        <f>'[6]HARVESTING KHT'!$U33</f>
        <v>167400</v>
      </c>
      <c r="O51" s="189">
        <f>'[6]HARVESTING KHT'!$X33</f>
        <v>0</v>
      </c>
      <c r="P51" s="189">
        <f>'[6]HARVESTING KHT'!$AD33</f>
        <v>0</v>
      </c>
      <c r="Q51" s="189">
        <f>'[6]HARVESTING KHT'!$AE33</f>
        <v>0</v>
      </c>
      <c r="R51" s="189">
        <f>'[6]HARVESTING KHT'!$AA33</f>
        <v>755865</v>
      </c>
      <c r="S51" s="189">
        <f>'[6]HARVESTING KHT'!$AB33</f>
        <v>123900</v>
      </c>
      <c r="T51" s="189">
        <f>'[6]HARVESTING KHT'!$AC33</f>
        <v>165550</v>
      </c>
      <c r="U51" s="189">
        <f>'[6]HARVESTING KHT'!$AF33</f>
        <v>123060</v>
      </c>
      <c r="V51" s="189">
        <f>'[6]HARVESTING KHT'!$AH33</f>
        <v>300000</v>
      </c>
      <c r="W51" s="189">
        <f>'[6]HARVESTING KHT'!$AK33</f>
        <v>0</v>
      </c>
      <c r="X51" s="189">
        <f>'[6]HARVESTING KHT'!$Z33</f>
        <v>7500</v>
      </c>
      <c r="Y51" s="189">
        <f>-'[6]HARVESTING KHT'!$AI33</f>
        <v>0</v>
      </c>
      <c r="Z51" s="189"/>
      <c r="AA51" s="189"/>
      <c r="AB51" s="189">
        <f>-'[6]HARVESTING KHT'!$BI33</f>
        <v>0</v>
      </c>
      <c r="AC51" s="189">
        <f>'[4]HARVESTING KHT'!$M34</f>
        <v>3809499.9</v>
      </c>
      <c r="AD51" s="189"/>
      <c r="AE51" s="183">
        <f t="shared" si="9"/>
        <v>9390584</v>
      </c>
      <c r="AF51" s="184">
        <f t="shared" si="12"/>
        <v>1.4999999999999999E-2</v>
      </c>
      <c r="AG51" s="152">
        <f t="shared" si="7"/>
        <v>140858</v>
      </c>
      <c r="AH51" s="211" t="e">
        <f>'THR''24'!AI51</f>
        <v>#REF!</v>
      </c>
      <c r="AI51" s="172" t="e">
        <f t="shared" si="10"/>
        <v>#REF!</v>
      </c>
      <c r="AJ51" s="93"/>
      <c r="AK51" s="146" t="e">
        <f t="shared" si="8"/>
        <v>#REF!</v>
      </c>
      <c r="AL51" s="213"/>
      <c r="AM51" s="218"/>
      <c r="AO51" s="199">
        <f>'[6]HARVESTING KHT'!$AL33</f>
        <v>5404608.2300000004</v>
      </c>
      <c r="AP51" s="200">
        <f t="shared" si="13"/>
        <v>176476</v>
      </c>
      <c r="AQ51" s="199">
        <f t="shared" si="3"/>
        <v>5581084.2300000004</v>
      </c>
      <c r="AR51" s="201">
        <f t="shared" si="4"/>
        <v>-3809499.7699999996</v>
      </c>
    </row>
    <row r="52" spans="2:44" s="173" customFormat="1" ht="18" customHeight="1">
      <c r="B52" s="174">
        <v>47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>
        <f t="shared" si="11"/>
        <v>3761333.23</v>
      </c>
      <c r="L52" s="169">
        <f t="shared" si="6"/>
        <v>30575.999999999996</v>
      </c>
      <c r="M52" s="189">
        <f>'[6]HARVESTING KHT'!$AQ34</f>
        <v>145800</v>
      </c>
      <c r="N52" s="189">
        <f>'[6]HARVESTING KHT'!$U34</f>
        <v>167400</v>
      </c>
      <c r="O52" s="189">
        <f>'[6]HARVESTING KHT'!$X34</f>
        <v>0</v>
      </c>
      <c r="P52" s="189">
        <f>'[6]HARVESTING KHT'!$AD34</f>
        <v>0</v>
      </c>
      <c r="Q52" s="189">
        <f>'[6]HARVESTING KHT'!$AE34</f>
        <v>0</v>
      </c>
      <c r="R52" s="189">
        <f>'[6]HARVESTING KHT'!$AA34</f>
        <v>212253</v>
      </c>
      <c r="S52" s="189">
        <f>'[6]HARVESTING KHT'!$AB34</f>
        <v>171150</v>
      </c>
      <c r="T52" s="189">
        <f>'[6]HARVESTING KHT'!$AC34</f>
        <v>311300</v>
      </c>
      <c r="U52" s="189">
        <f>'[6]HARVESTING KHT'!$AF34</f>
        <v>0</v>
      </c>
      <c r="V52" s="189">
        <f>'[6]HARVESTING KHT'!$AH34</f>
        <v>150000</v>
      </c>
      <c r="W52" s="189">
        <f>'[6]HARVESTING KHT'!$AK34</f>
        <v>0</v>
      </c>
      <c r="X52" s="189">
        <f>'[6]HARVESTING KHT'!$Z34</f>
        <v>5000</v>
      </c>
      <c r="Y52" s="189">
        <f>-'[6]HARVESTING KHT'!$AI34</f>
        <v>0</v>
      </c>
      <c r="Z52" s="189"/>
      <c r="AA52" s="189"/>
      <c r="AB52" s="189">
        <f>-'[6]HARVESTING KHT'!$BI34</f>
        <v>0</v>
      </c>
      <c r="AC52" s="189">
        <f>'[4]HARVESTING KHT'!$M35</f>
        <v>3806999.9</v>
      </c>
      <c r="AD52" s="189"/>
      <c r="AE52" s="183">
        <f t="shared" si="9"/>
        <v>8761812</v>
      </c>
      <c r="AF52" s="184">
        <f t="shared" si="12"/>
        <v>0.01</v>
      </c>
      <c r="AG52" s="152">
        <f t="shared" si="7"/>
        <v>87618</v>
      </c>
      <c r="AH52" s="211" t="e">
        <f>'THR''24'!AI52</f>
        <v>#REF!</v>
      </c>
      <c r="AI52" s="172" t="e">
        <f t="shared" si="10"/>
        <v>#REF!</v>
      </c>
      <c r="AJ52" s="93"/>
      <c r="AK52" s="146" t="e">
        <f t="shared" si="8"/>
        <v>#REF!</v>
      </c>
      <c r="AL52" s="213"/>
      <c r="AM52" s="218"/>
      <c r="AO52" s="199">
        <f>'[6]HARVESTING KHT'!$AL34</f>
        <v>4778436.2300000004</v>
      </c>
      <c r="AP52" s="200">
        <f t="shared" si="13"/>
        <v>176376</v>
      </c>
      <c r="AQ52" s="199">
        <f t="shared" si="3"/>
        <v>4954812.2300000004</v>
      </c>
      <c r="AR52" s="201">
        <f t="shared" si="4"/>
        <v>-3806999.7699999996</v>
      </c>
    </row>
    <row r="53" spans="2:44" s="173" customFormat="1" ht="18" customHeight="1">
      <c r="B53" s="174">
        <v>48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 t="shared" si="11"/>
        <v>3761333.23</v>
      </c>
      <c r="L53" s="169">
        <f t="shared" si="6"/>
        <v>30575.999999999996</v>
      </c>
      <c r="M53" s="189">
        <f>'[6]HARVESTING KHT'!$AQ35</f>
        <v>145700</v>
      </c>
      <c r="N53" s="189">
        <f>'[6]HARVESTING KHT'!$U35</f>
        <v>167400</v>
      </c>
      <c r="O53" s="189">
        <f>'[6]HARVESTING KHT'!$X35</f>
        <v>0</v>
      </c>
      <c r="P53" s="189">
        <f>'[6]HARVESTING KHT'!$AD35</f>
        <v>0</v>
      </c>
      <c r="Q53" s="189">
        <f>'[6]HARVESTING KHT'!$AE35</f>
        <v>0</v>
      </c>
      <c r="R53" s="189">
        <f>'[6]HARVESTING KHT'!$AA35</f>
        <v>255009</v>
      </c>
      <c r="S53" s="189">
        <f>'[6]HARVESTING KHT'!$AB35</f>
        <v>170100</v>
      </c>
      <c r="T53" s="189">
        <f>'[6]HARVESTING KHT'!$AC35</f>
        <v>294250</v>
      </c>
      <c r="U53" s="189">
        <f>'[6]HARVESTING KHT'!$AF35</f>
        <v>0</v>
      </c>
      <c r="V53" s="189">
        <f>'[6]HARVESTING KHT'!$AH35</f>
        <v>0</v>
      </c>
      <c r="W53" s="189">
        <f>'[6]HARVESTING KHT'!$AK35</f>
        <v>0</v>
      </c>
      <c r="X53" s="189">
        <f>'[6]HARVESTING KHT'!$Z35</f>
        <v>2500</v>
      </c>
      <c r="Y53" s="189">
        <f>-'[6]HARVESTING KHT'!$AI35</f>
        <v>0</v>
      </c>
      <c r="Z53" s="189"/>
      <c r="AA53" s="189"/>
      <c r="AB53" s="189">
        <f>-'[6]HARVESTING KHT'!$BI35</f>
        <v>0</v>
      </c>
      <c r="AC53" s="189">
        <f>'[4]HARVESTING KHT'!$M36</f>
        <v>3804499.9</v>
      </c>
      <c r="AD53" s="189"/>
      <c r="AE53" s="183">
        <f t="shared" si="9"/>
        <v>8631368</v>
      </c>
      <c r="AF53" s="184">
        <f t="shared" si="12"/>
        <v>0.01</v>
      </c>
      <c r="AG53" s="152">
        <f t="shared" si="7"/>
        <v>86313</v>
      </c>
      <c r="AH53" s="211" t="e">
        <f>'THR''24'!AI53</f>
        <v>#REF!</v>
      </c>
      <c r="AI53" s="172" t="e">
        <f t="shared" si="10"/>
        <v>#REF!</v>
      </c>
      <c r="AJ53" s="93"/>
      <c r="AK53" s="146" t="e">
        <f t="shared" si="8"/>
        <v>#REF!</v>
      </c>
      <c r="AL53" s="213"/>
      <c r="AM53" s="218"/>
      <c r="AO53" s="199">
        <f>'[6]HARVESTING KHT'!$AL35</f>
        <v>4650592.2300000004</v>
      </c>
      <c r="AP53" s="200">
        <f t="shared" si="13"/>
        <v>176276</v>
      </c>
      <c r="AQ53" s="199">
        <f t="shared" si="3"/>
        <v>4826868.2300000004</v>
      </c>
      <c r="AR53" s="201">
        <f t="shared" si="4"/>
        <v>-3804499.7699999996</v>
      </c>
    </row>
    <row r="54" spans="2:44" s="173" customFormat="1" ht="18" customHeight="1">
      <c r="B54" s="174">
        <v>49</v>
      </c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>
        <f t="shared" si="11"/>
        <v>3761333.23</v>
      </c>
      <c r="L54" s="169">
        <f t="shared" si="6"/>
        <v>30575.999999999996</v>
      </c>
      <c r="M54" s="189">
        <f>'[6]HARVESTING KHT'!$AQ36</f>
        <v>145600</v>
      </c>
      <c r="N54" s="189">
        <f>'[6]HARVESTING KHT'!$U36</f>
        <v>167400</v>
      </c>
      <c r="O54" s="189">
        <f>'[6]HARVESTING KHT'!$X36</f>
        <v>0</v>
      </c>
      <c r="P54" s="189">
        <f>'[6]HARVESTING KHT'!$AD36</f>
        <v>0</v>
      </c>
      <c r="Q54" s="189">
        <f>'[6]HARVESTING KHT'!$AE36</f>
        <v>0</v>
      </c>
      <c r="R54" s="189">
        <f>'[6]HARVESTING KHT'!$AA36</f>
        <v>0</v>
      </c>
      <c r="S54" s="189">
        <f>'[6]HARVESTING KHT'!$AB36</f>
        <v>163800</v>
      </c>
      <c r="T54" s="189">
        <f>'[6]HARVESTING KHT'!$AC36</f>
        <v>165550</v>
      </c>
      <c r="U54" s="189">
        <f>'[6]HARVESTING KHT'!$AF36</f>
        <v>0</v>
      </c>
      <c r="V54" s="189">
        <f>'[6]HARVESTING KHT'!$AH36</f>
        <v>0</v>
      </c>
      <c r="W54" s="189">
        <f>'[6]HARVESTING KHT'!$AK36</f>
        <v>0</v>
      </c>
      <c r="X54" s="189">
        <f>'[6]HARVESTING KHT'!$Z36</f>
        <v>0</v>
      </c>
      <c r="Y54" s="189">
        <f>-'[6]HARVESTING KHT'!$AI36</f>
        <v>0</v>
      </c>
      <c r="Z54" s="189"/>
      <c r="AA54" s="189"/>
      <c r="AB54" s="189">
        <f>-'[6]HARVESTING KHT'!$BI36</f>
        <v>0</v>
      </c>
      <c r="AC54" s="189">
        <f>'[4]HARVESTING KHT'!$M37</f>
        <v>2851499.9250000003</v>
      </c>
      <c r="AD54" s="189"/>
      <c r="AE54" s="183">
        <f t="shared" si="9"/>
        <v>7285759</v>
      </c>
      <c r="AF54" s="184">
        <f t="shared" si="12"/>
        <v>7.4999999999999997E-3</v>
      </c>
      <c r="AG54" s="152">
        <f t="shared" si="7"/>
        <v>54643</v>
      </c>
      <c r="AH54" s="211" t="e">
        <f>'THR''24'!AI54</f>
        <v>#REF!</v>
      </c>
      <c r="AI54" s="172" t="e">
        <f t="shared" si="10"/>
        <v>#REF!</v>
      </c>
      <c r="AJ54" s="93"/>
      <c r="AK54" s="146" t="e">
        <f t="shared" si="8"/>
        <v>#REF!</v>
      </c>
      <c r="AL54" s="213"/>
      <c r="AM54" s="218"/>
      <c r="AO54" s="199">
        <f>'[6]HARVESTING KHT'!$AL36</f>
        <v>4258083.2300000004</v>
      </c>
      <c r="AP54" s="200">
        <f t="shared" si="13"/>
        <v>176176</v>
      </c>
      <c r="AQ54" s="199">
        <f t="shared" si="3"/>
        <v>4434259.2300000004</v>
      </c>
      <c r="AR54" s="201">
        <f t="shared" si="4"/>
        <v>-2851499.7699999996</v>
      </c>
    </row>
    <row r="55" spans="2:44" s="173" customFormat="1" ht="18" customHeight="1">
      <c r="B55" s="174">
        <v>50</v>
      </c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>
        <f t="shared" si="11"/>
        <v>3761333.23</v>
      </c>
      <c r="L55" s="169">
        <f t="shared" si="6"/>
        <v>30575.999999999996</v>
      </c>
      <c r="M55" s="189">
        <f>'[6]HARVESTING KHT'!$AQ37</f>
        <v>145600</v>
      </c>
      <c r="N55" s="189">
        <f>'[6]HARVESTING KHT'!$U37</f>
        <v>111600</v>
      </c>
      <c r="O55" s="189">
        <f>'[6]HARVESTING KHT'!$X37</f>
        <v>0</v>
      </c>
      <c r="P55" s="189">
        <f>'[6]HARVESTING KHT'!$AD37</f>
        <v>0</v>
      </c>
      <c r="Q55" s="189">
        <f>'[6]HARVESTING KHT'!$AE37</f>
        <v>0</v>
      </c>
      <c r="R55" s="189">
        <f>'[6]HARVESTING KHT'!$AA37</f>
        <v>293184</v>
      </c>
      <c r="S55" s="189">
        <f>'[6]HARVESTING KHT'!$AB37</f>
        <v>157500</v>
      </c>
      <c r="T55" s="189">
        <f>'[6]HARVESTING KHT'!$AC37</f>
        <v>165550</v>
      </c>
      <c r="U55" s="189">
        <f>'[6]HARVESTING KHT'!$AF37</f>
        <v>0</v>
      </c>
      <c r="V55" s="189">
        <f>'[6]HARVESTING KHT'!$AH37</f>
        <v>0</v>
      </c>
      <c r="W55" s="189">
        <f>'[6]HARVESTING KHT'!$AK37</f>
        <v>0</v>
      </c>
      <c r="X55" s="189">
        <f>'[6]HARVESTING KHT'!$Z37</f>
        <v>0</v>
      </c>
      <c r="Y55" s="189">
        <f>-'[6]HARVESTING KHT'!$AI37</f>
        <v>-84406</v>
      </c>
      <c r="Z55" s="189"/>
      <c r="AA55" s="189"/>
      <c r="AB55" s="189">
        <f>-'[6]HARVESTING KHT'!$BI37</f>
        <v>0</v>
      </c>
      <c r="AC55" s="189">
        <f>'[4]HARVESTING KHT'!$M38</f>
        <v>2498666.6</v>
      </c>
      <c r="AD55" s="189"/>
      <c r="AE55" s="183">
        <f t="shared" si="9"/>
        <v>7079603</v>
      </c>
      <c r="AF55" s="184">
        <f t="shared" si="12"/>
        <v>7.4999999999999997E-3</v>
      </c>
      <c r="AG55" s="152">
        <f t="shared" si="7"/>
        <v>53097</v>
      </c>
      <c r="AH55" s="211" t="e">
        <f>'THR''24'!AI55</f>
        <v>#REF!</v>
      </c>
      <c r="AI55" s="172"/>
      <c r="AJ55" s="93"/>
      <c r="AK55" s="146">
        <f t="shared" si="8"/>
        <v>0</v>
      </c>
      <c r="AL55" s="213"/>
      <c r="AM55" s="218" t="e">
        <f>AG55-AH55</f>
        <v>#REF!</v>
      </c>
      <c r="AO55" s="199">
        <f>'[6]HARVESTING KHT'!$AL37</f>
        <v>4404761.2300000004</v>
      </c>
      <c r="AP55" s="200">
        <f t="shared" si="13"/>
        <v>176176</v>
      </c>
      <c r="AQ55" s="199">
        <f t="shared" si="3"/>
        <v>4580937.2300000004</v>
      </c>
      <c r="AR55" s="201">
        <f t="shared" si="4"/>
        <v>-2498665.7699999996</v>
      </c>
    </row>
    <row r="56" spans="2:44" s="173" customFormat="1" ht="18" customHeight="1">
      <c r="B56" s="174">
        <v>51</v>
      </c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>
        <f t="shared" si="11"/>
        <v>3761333.23</v>
      </c>
      <c r="L56" s="169">
        <f t="shared" si="6"/>
        <v>30575.999999999996</v>
      </c>
      <c r="M56" s="189">
        <f>'[6]HARVESTING KHT'!$AQ38</f>
        <v>145600</v>
      </c>
      <c r="N56" s="189">
        <f>'[6]HARVESTING KHT'!$U38</f>
        <v>162000</v>
      </c>
      <c r="O56" s="189">
        <f>'[6]HARVESTING KHT'!$X38</f>
        <v>0</v>
      </c>
      <c r="P56" s="189">
        <f>'[6]HARVESTING KHT'!$AD38</f>
        <v>0</v>
      </c>
      <c r="Q56" s="189">
        <f>'[6]HARVESTING KHT'!$AE38</f>
        <v>0</v>
      </c>
      <c r="R56" s="189">
        <f>'[6]HARVESTING KHT'!$AA38</f>
        <v>100782</v>
      </c>
      <c r="S56" s="189">
        <f>'[6]HARVESTING KHT'!$AB38</f>
        <v>110250</v>
      </c>
      <c r="T56" s="189">
        <f>'[6]HARVESTING KHT'!$AC38</f>
        <v>341000</v>
      </c>
      <c r="U56" s="189">
        <f>'[6]HARVESTING KHT'!$AF38</f>
        <v>0</v>
      </c>
      <c r="V56" s="189">
        <f>'[6]HARVESTING KHT'!$AH38</f>
        <v>0</v>
      </c>
      <c r="W56" s="189">
        <f>'[6]HARVESTING KHT'!$AK38</f>
        <v>0</v>
      </c>
      <c r="X56" s="189">
        <f>'[6]HARVESTING KHT'!$Z38</f>
        <v>0</v>
      </c>
      <c r="Y56" s="189">
        <f>-'[6]HARVESTING KHT'!$AI38</f>
        <v>-101551</v>
      </c>
      <c r="Z56" s="189"/>
      <c r="AA56" s="189"/>
      <c r="AB56" s="189">
        <f>-'[6]HARVESTING KHT'!$BI38</f>
        <v>-121333.33</v>
      </c>
      <c r="AC56" s="189">
        <f>'[4]HARVESTING KHT'!$M39</f>
        <v>2534666.6</v>
      </c>
      <c r="AD56" s="189"/>
      <c r="AE56" s="183">
        <f t="shared" si="9"/>
        <v>6963323</v>
      </c>
      <c r="AF56" s="184">
        <f t="shared" si="12"/>
        <v>7.4999999999999997E-3</v>
      </c>
      <c r="AG56" s="152">
        <f t="shared" si="7"/>
        <v>52224</v>
      </c>
      <c r="AH56" s="211" t="e">
        <f>'THR''24'!AI56</f>
        <v>#REF!</v>
      </c>
      <c r="AI56" s="172"/>
      <c r="AJ56" s="93"/>
      <c r="AK56" s="146">
        <f t="shared" si="8"/>
        <v>0</v>
      </c>
      <c r="AL56" s="213"/>
      <c r="AM56" s="218" t="e">
        <f>AG56-AH56</f>
        <v>#REF!</v>
      </c>
      <c r="AO56" s="199">
        <f>'[6]HARVESTING KHT'!$AL38</f>
        <v>4252480.9000000004</v>
      </c>
      <c r="AP56" s="200">
        <f t="shared" si="13"/>
        <v>176176</v>
      </c>
      <c r="AQ56" s="199">
        <f t="shared" si="3"/>
        <v>4428656.9000000004</v>
      </c>
      <c r="AR56" s="201">
        <f t="shared" si="4"/>
        <v>-2534666.0999999996</v>
      </c>
    </row>
    <row r="57" spans="2:44" s="173" customFormat="1" ht="18" customHeight="1">
      <c r="B57" s="174">
        <v>52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 t="shared" si="11"/>
        <v>3761333.23</v>
      </c>
      <c r="L57" s="169">
        <f t="shared" si="6"/>
        <v>30575.999999999996</v>
      </c>
      <c r="M57" s="189">
        <f>'[6]HARVESTING KHT'!$AQ39</f>
        <v>146000</v>
      </c>
      <c r="N57" s="189">
        <f>'[6]HARVESTING KHT'!$U39</f>
        <v>167400</v>
      </c>
      <c r="O57" s="189">
        <f>'[6]HARVESTING KHT'!$X39</f>
        <v>0</v>
      </c>
      <c r="P57" s="189">
        <f>'[6]HARVESTING KHT'!$AD39</f>
        <v>0</v>
      </c>
      <c r="Q57" s="189">
        <f>'[6]HARVESTING KHT'!$AE39</f>
        <v>0</v>
      </c>
      <c r="R57" s="189">
        <f>'[6]HARVESTING KHT'!$AA39</f>
        <v>545139</v>
      </c>
      <c r="S57" s="189">
        <f>'[6]HARVESTING KHT'!$AB39</f>
        <v>164850</v>
      </c>
      <c r="T57" s="189">
        <f>'[6]HARVESTING KHT'!$AC39</f>
        <v>155650</v>
      </c>
      <c r="U57" s="189">
        <f>'[6]HARVESTING KHT'!$AF39</f>
        <v>0</v>
      </c>
      <c r="V57" s="189">
        <f>'[6]HARVESTING KHT'!$AH39</f>
        <v>150000</v>
      </c>
      <c r="W57" s="189">
        <f>'[6]HARVESTING KHT'!$AK39</f>
        <v>0</v>
      </c>
      <c r="X57" s="189">
        <f>'[6]HARVESTING KHT'!$Z39</f>
        <v>10000</v>
      </c>
      <c r="Y57" s="189">
        <f>-'[6]HARVESTING KHT'!$AI39</f>
        <v>0</v>
      </c>
      <c r="Z57" s="189"/>
      <c r="AA57" s="189"/>
      <c r="AB57" s="189">
        <f>-'[6]HARVESTING KHT'!$BI39</f>
        <v>0</v>
      </c>
      <c r="AC57" s="189">
        <f>'[4]HARVESTING KHT'!$M40</f>
        <v>3811999.9</v>
      </c>
      <c r="AD57" s="189"/>
      <c r="AE57" s="183">
        <f t="shared" si="9"/>
        <v>8942948</v>
      </c>
      <c r="AF57" s="184">
        <f t="shared" si="12"/>
        <v>0.01</v>
      </c>
      <c r="AG57" s="152">
        <f t="shared" si="7"/>
        <v>89429</v>
      </c>
      <c r="AH57" s="211" t="e">
        <f>'THR''24'!AI57</f>
        <v>#REF!</v>
      </c>
      <c r="AI57" s="172" t="e">
        <f t="shared" si="10"/>
        <v>#REF!</v>
      </c>
      <c r="AJ57" s="93"/>
      <c r="AK57" s="146" t="e">
        <f t="shared" si="8"/>
        <v>#REF!</v>
      </c>
      <c r="AL57" s="213"/>
      <c r="AM57" s="218"/>
      <c r="AO57" s="199">
        <f>'[6]HARVESTING KHT'!$AL39</f>
        <v>4954372.2300000004</v>
      </c>
      <c r="AP57" s="200">
        <f t="shared" si="13"/>
        <v>176576</v>
      </c>
      <c r="AQ57" s="199">
        <f t="shared" si="3"/>
        <v>5130948.2300000004</v>
      </c>
      <c r="AR57" s="201">
        <f t="shared" si="4"/>
        <v>-3811999.7699999996</v>
      </c>
    </row>
    <row r="58" spans="2:44" s="173" customFormat="1" ht="18" customHeight="1">
      <c r="B58" s="174">
        <v>53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 t="shared" si="11"/>
        <v>3761333.23</v>
      </c>
      <c r="L58" s="169">
        <f t="shared" si="6"/>
        <v>30575.999999999996</v>
      </c>
      <c r="M58" s="189">
        <f>'[6]HARVESTING KHT'!$AQ40</f>
        <v>145600</v>
      </c>
      <c r="N58" s="189">
        <f>'[6]HARVESTING KHT'!$U40</f>
        <v>111600</v>
      </c>
      <c r="O58" s="189">
        <f>'[6]HARVESTING KHT'!$X40</f>
        <v>0</v>
      </c>
      <c r="P58" s="189">
        <f>'[6]HARVESTING KHT'!$AD40</f>
        <v>0</v>
      </c>
      <c r="Q58" s="189">
        <f>'[6]HARVESTING KHT'!$AE40</f>
        <v>0</v>
      </c>
      <c r="R58" s="189">
        <f>'[6]HARVESTING KHT'!$AA40</f>
        <v>610800</v>
      </c>
      <c r="S58" s="189">
        <f>'[6]HARVESTING KHT'!$AB40</f>
        <v>168000</v>
      </c>
      <c r="T58" s="189">
        <f>'[6]HARVESTING KHT'!$AC40</f>
        <v>150150</v>
      </c>
      <c r="U58" s="189">
        <f>'[6]HARVESTING KHT'!$AF40</f>
        <v>0</v>
      </c>
      <c r="V58" s="189">
        <f>'[6]HARVESTING KHT'!$AH40</f>
        <v>150000</v>
      </c>
      <c r="W58" s="189">
        <f>'[6]HARVESTING KHT'!$AK40</f>
        <v>0</v>
      </c>
      <c r="X58" s="189">
        <f>'[6]HARVESTING KHT'!$Z40</f>
        <v>0</v>
      </c>
      <c r="Y58" s="189">
        <f>-'[6]HARVESTING KHT'!$AI40</f>
        <v>0</v>
      </c>
      <c r="Z58" s="189"/>
      <c r="AA58" s="189"/>
      <c r="AB58" s="189">
        <f>-'[6]HARVESTING KHT'!$BI40</f>
        <v>0</v>
      </c>
      <c r="AC58" s="189">
        <f>'[4]HARVESTING KHT'!$M41</f>
        <v>3435666.5750000002</v>
      </c>
      <c r="AD58" s="189"/>
      <c r="AE58" s="183">
        <f t="shared" si="9"/>
        <v>8563725</v>
      </c>
      <c r="AF58" s="184">
        <f t="shared" si="12"/>
        <v>1.7500000000000002E-2</v>
      </c>
      <c r="AG58" s="152">
        <f t="shared" si="7"/>
        <v>149865</v>
      </c>
      <c r="AH58" s="211" t="e">
        <f>'THR''24'!AI58</f>
        <v>#REF!</v>
      </c>
      <c r="AI58" s="172" t="e">
        <f t="shared" si="10"/>
        <v>#REF!</v>
      </c>
      <c r="AJ58" s="93"/>
      <c r="AK58" s="146" t="e">
        <f t="shared" si="8"/>
        <v>#REF!</v>
      </c>
      <c r="AL58" s="213"/>
      <c r="AM58" s="218"/>
      <c r="AO58" s="199">
        <f>'[6]HARVESTING KHT'!$AL40</f>
        <v>4951883.2300000004</v>
      </c>
      <c r="AP58" s="200">
        <f t="shared" si="13"/>
        <v>176176</v>
      </c>
      <c r="AQ58" s="199">
        <f t="shared" si="3"/>
        <v>5128059.2300000004</v>
      </c>
      <c r="AR58" s="201">
        <f t="shared" si="4"/>
        <v>-3435665.7699999996</v>
      </c>
    </row>
    <row r="59" spans="2:44" s="173" customFormat="1" ht="18" customHeight="1">
      <c r="B59" s="174">
        <v>54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>
        <f t="shared" si="11"/>
        <v>3761333.23</v>
      </c>
      <c r="L59" s="169">
        <f t="shared" si="6"/>
        <v>30575.999999999996</v>
      </c>
      <c r="M59" s="189">
        <f>'[6]HARVESTING KHT'!$AQ41</f>
        <v>145600</v>
      </c>
      <c r="N59" s="189">
        <f>'[6]HARVESTING KHT'!$U41</f>
        <v>167400</v>
      </c>
      <c r="O59" s="189">
        <f>'[6]HARVESTING KHT'!$X41</f>
        <v>0</v>
      </c>
      <c r="P59" s="189">
        <f>'[6]HARVESTING KHT'!$AD41</f>
        <v>0</v>
      </c>
      <c r="Q59" s="189">
        <f>'[6]HARVESTING KHT'!$AE41</f>
        <v>0</v>
      </c>
      <c r="R59" s="189">
        <f>'[6]HARVESTING KHT'!$AA41</f>
        <v>456573</v>
      </c>
      <c r="S59" s="189">
        <f>'[6]HARVESTING KHT'!$AB41</f>
        <v>141750</v>
      </c>
      <c r="T59" s="189">
        <f>'[6]HARVESTING KHT'!$AC41</f>
        <v>344300</v>
      </c>
      <c r="U59" s="189">
        <f>'[6]HARVESTING KHT'!$AF41</f>
        <v>122850</v>
      </c>
      <c r="V59" s="189">
        <f>'[6]HARVESTING KHT'!$AH41</f>
        <v>150000</v>
      </c>
      <c r="W59" s="189">
        <f>'[6]HARVESTING KHT'!$AK41</f>
        <v>0</v>
      </c>
      <c r="X59" s="189">
        <f>'[6]HARVESTING KHT'!$Z41</f>
        <v>0</v>
      </c>
      <c r="Y59" s="189">
        <f>-'[6]HARVESTING KHT'!$AI41</f>
        <v>0</v>
      </c>
      <c r="Z59" s="189"/>
      <c r="AA59" s="189"/>
      <c r="AB59" s="189">
        <f>-'[6]HARVESTING KHT'!$BI41</f>
        <v>0</v>
      </c>
      <c r="AC59" s="189">
        <f>'[4]HARVESTING KHT'!$M42</f>
        <v>2217833.2749999999</v>
      </c>
      <c r="AD59" s="189"/>
      <c r="AE59" s="183">
        <f t="shared" si="9"/>
        <v>7538215</v>
      </c>
      <c r="AF59" s="184">
        <f t="shared" si="12"/>
        <v>7.4999999999999997E-3</v>
      </c>
      <c r="AG59" s="152">
        <f>ROUNDDOWN(IF(H59=0,AE59*AF59*120%,AE59*AF59),0)</f>
        <v>56536</v>
      </c>
      <c r="AH59" s="211" t="e">
        <f>'THR''24'!AI59</f>
        <v>#REF!</v>
      </c>
      <c r="AI59" s="172" t="e">
        <f t="shared" si="10"/>
        <v>#REF!</v>
      </c>
      <c r="AJ59" s="93"/>
      <c r="AK59" s="146" t="e">
        <f t="shared" si="8"/>
        <v>#REF!</v>
      </c>
      <c r="AL59" s="213"/>
      <c r="AM59" s="218"/>
      <c r="AO59" s="199">
        <f>'[6]HARVESTING KHT'!$AL41</f>
        <v>5144206.2300000004</v>
      </c>
      <c r="AP59" s="200">
        <f t="shared" si="13"/>
        <v>176176</v>
      </c>
      <c r="AQ59" s="199">
        <f t="shared" si="3"/>
        <v>5320382.2300000004</v>
      </c>
      <c r="AR59" s="201">
        <f t="shared" si="4"/>
        <v>-2217832.7699999996</v>
      </c>
    </row>
    <row r="60" spans="2:44" s="173" customFormat="1" ht="18" customHeight="1">
      <c r="B60" s="174">
        <v>55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 t="shared" si="11"/>
        <v>3761333.23</v>
      </c>
      <c r="L60" s="169">
        <f t="shared" si="6"/>
        <v>30575.999999999996</v>
      </c>
      <c r="M60" s="189">
        <f>'[6]HARVESTING KHT'!$AQ42</f>
        <v>145600</v>
      </c>
      <c r="N60" s="189">
        <f>'[6]HARVESTING KHT'!$U42</f>
        <v>167400</v>
      </c>
      <c r="O60" s="189">
        <f>'[6]HARVESTING KHT'!$X42</f>
        <v>0</v>
      </c>
      <c r="P60" s="189">
        <f>'[6]HARVESTING KHT'!$AD42</f>
        <v>105202.3</v>
      </c>
      <c r="Q60" s="189">
        <f>'[6]HARVESTING KHT'!$AE42</f>
        <v>44505</v>
      </c>
      <c r="R60" s="189">
        <f>'[6]HARVESTING KHT'!$AA42</f>
        <v>366480</v>
      </c>
      <c r="S60" s="189">
        <f>'[6]HARVESTING KHT'!$AB42</f>
        <v>123900</v>
      </c>
      <c r="T60" s="189">
        <f>'[6]HARVESTING KHT'!$AC42</f>
        <v>165550</v>
      </c>
      <c r="U60" s="189">
        <f>'[6]HARVESTING KHT'!$AF42</f>
        <v>0</v>
      </c>
      <c r="V60" s="189">
        <f>'[6]HARVESTING KHT'!$AH42</f>
        <v>0</v>
      </c>
      <c r="W60" s="189">
        <f>'[6]HARVESTING KHT'!$AK42</f>
        <v>0</v>
      </c>
      <c r="X60" s="189">
        <f>'[6]HARVESTING KHT'!$Z42</f>
        <v>0</v>
      </c>
      <c r="Y60" s="189">
        <f>-'[6]HARVESTING KHT'!$AI42</f>
        <v>0</v>
      </c>
      <c r="Z60" s="189"/>
      <c r="AA60" s="189"/>
      <c r="AB60" s="189">
        <f>-'[6]HARVESTING KHT'!$BI42</f>
        <v>0</v>
      </c>
      <c r="AC60" s="189">
        <f>'[4]HARVESTING KHT'!$M43</f>
        <v>2217833.2749999999</v>
      </c>
      <c r="AD60" s="189"/>
      <c r="AE60" s="183">
        <f t="shared" si="9"/>
        <v>7128379</v>
      </c>
      <c r="AF60" s="184">
        <f t="shared" si="12"/>
        <v>5.0000000000000001E-3</v>
      </c>
      <c r="AG60" s="152">
        <f>ROUNDDOWN(IF(H60=0,AE60*AF60*120%,AE60*AF60),0)</f>
        <v>35641</v>
      </c>
      <c r="AH60" s="211" t="e">
        <f>'THR''24'!AI60</f>
        <v>#REF!</v>
      </c>
      <c r="AI60" s="172"/>
      <c r="AJ60" s="93"/>
      <c r="AK60" s="146">
        <f t="shared" si="8"/>
        <v>0</v>
      </c>
      <c r="AL60" s="213"/>
      <c r="AM60" s="218" t="e">
        <f>AG60-AH60</f>
        <v>#REF!</v>
      </c>
      <c r="AO60" s="199">
        <f>'[6]HARVESTING KHT'!$AL42</f>
        <v>4734370.53</v>
      </c>
      <c r="AP60" s="200">
        <f t="shared" si="13"/>
        <v>176176</v>
      </c>
      <c r="AQ60" s="199">
        <f t="shared" si="3"/>
        <v>4910546.53</v>
      </c>
      <c r="AR60" s="201">
        <f t="shared" si="4"/>
        <v>-2217832.4699999997</v>
      </c>
    </row>
    <row r="61" spans="2:44" s="173" customFormat="1" ht="18" customHeight="1">
      <c r="B61" s="174">
        <v>56</v>
      </c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>
        <f t="shared" si="11"/>
        <v>3761333.23</v>
      </c>
      <c r="L61" s="169">
        <f t="shared" si="6"/>
        <v>30575.999999999996</v>
      </c>
      <c r="M61" s="189">
        <f>'[6]HARVESTING KHT'!$AQ43</f>
        <v>145900</v>
      </c>
      <c r="N61" s="189">
        <f>'[6]HARVESTING KHT'!$U43</f>
        <v>167400</v>
      </c>
      <c r="O61" s="189">
        <f>'[6]HARVESTING KHT'!$X43</f>
        <v>0</v>
      </c>
      <c r="P61" s="189">
        <f>'[6]HARVESTING KHT'!$AD43</f>
        <v>0</v>
      </c>
      <c r="Q61" s="189">
        <f>'[6]HARVESTING KHT'!$AE43</f>
        <v>0</v>
      </c>
      <c r="R61" s="189">
        <f>'[6]HARVESTING KHT'!$AA43</f>
        <v>42756</v>
      </c>
      <c r="S61" s="189">
        <f>'[6]HARVESTING KHT'!$AB43</f>
        <v>142800</v>
      </c>
      <c r="T61" s="189">
        <f>'[6]HARVESTING KHT'!$AC43</f>
        <v>336050</v>
      </c>
      <c r="U61" s="189">
        <f>'[6]HARVESTING KHT'!$AF43</f>
        <v>163380</v>
      </c>
      <c r="V61" s="189">
        <f>'[6]HARVESTING KHT'!$AH43</f>
        <v>0</v>
      </c>
      <c r="W61" s="189">
        <f>'[6]HARVESTING KHT'!$AK43</f>
        <v>0</v>
      </c>
      <c r="X61" s="189">
        <f>'[6]HARVESTING KHT'!$Z43</f>
        <v>7500</v>
      </c>
      <c r="Y61" s="189">
        <f>-'[6]HARVESTING KHT'!$AI43</f>
        <v>0</v>
      </c>
      <c r="Z61" s="189"/>
      <c r="AA61" s="189"/>
      <c r="AB61" s="189">
        <f>-'[6]HARVESTING KHT'!$BI43</f>
        <v>0</v>
      </c>
      <c r="AC61" s="189">
        <f>'[4]HARVESTING KHT'!$M44</f>
        <v>3809499.9</v>
      </c>
      <c r="AD61" s="189"/>
      <c r="AE61" s="183">
        <f t="shared" si="9"/>
        <v>8607195</v>
      </c>
      <c r="AF61" s="184">
        <f t="shared" si="12"/>
        <v>0.01</v>
      </c>
      <c r="AG61" s="152">
        <f t="shared" si="7"/>
        <v>86071</v>
      </c>
      <c r="AH61" s="211" t="e">
        <f>'THR''24'!AI61</f>
        <v>#REF!</v>
      </c>
      <c r="AI61" s="172" t="e">
        <f t="shared" si="10"/>
        <v>#REF!</v>
      </c>
      <c r="AJ61" s="93"/>
      <c r="AK61" s="146" t="e">
        <f t="shared" si="8"/>
        <v>#REF!</v>
      </c>
      <c r="AL61" s="213"/>
      <c r="AM61" s="218"/>
      <c r="AO61" s="199">
        <f>'[6]HARVESTING KHT'!$AL43</f>
        <v>4621219.2300000004</v>
      </c>
      <c r="AP61" s="200">
        <f t="shared" si="13"/>
        <v>176476</v>
      </c>
      <c r="AQ61" s="199">
        <f t="shared" si="3"/>
        <v>4797695.2300000004</v>
      </c>
      <c r="AR61" s="201">
        <f t="shared" si="4"/>
        <v>-3809499.7699999996</v>
      </c>
    </row>
    <row r="62" spans="2:44" s="173" customFormat="1" ht="18" customHeight="1">
      <c r="B62" s="174">
        <v>57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 t="shared" si="11"/>
        <v>3761333.23</v>
      </c>
      <c r="L62" s="169">
        <f t="shared" si="6"/>
        <v>30575.999999999996</v>
      </c>
      <c r="M62" s="189">
        <f>'[6]HARVESTING KHT'!$AQ44</f>
        <v>145900</v>
      </c>
      <c r="N62" s="189">
        <f>'[6]HARVESTING KHT'!$U44</f>
        <v>167400</v>
      </c>
      <c r="O62" s="189">
        <f>'[6]HARVESTING KHT'!$X44</f>
        <v>0</v>
      </c>
      <c r="P62" s="189">
        <f>'[6]HARVESTING KHT'!$AD44</f>
        <v>0</v>
      </c>
      <c r="Q62" s="189">
        <f>'[6]HARVESTING KHT'!$AE44</f>
        <v>0</v>
      </c>
      <c r="R62" s="189">
        <f>'[6]HARVESTING KHT'!$AA44</f>
        <v>375642</v>
      </c>
      <c r="S62" s="189">
        <f>'[6]HARVESTING KHT'!$AB44</f>
        <v>169050</v>
      </c>
      <c r="T62" s="189">
        <f>'[6]HARVESTING KHT'!$AC44</f>
        <v>335500</v>
      </c>
      <c r="U62" s="189">
        <f>'[6]HARVESTING KHT'!$AF44</f>
        <v>0</v>
      </c>
      <c r="V62" s="189">
        <f>'[6]HARVESTING KHT'!$AH44</f>
        <v>0</v>
      </c>
      <c r="W62" s="189">
        <f>'[6]HARVESTING KHT'!$AK44</f>
        <v>0</v>
      </c>
      <c r="X62" s="189">
        <f>'[6]HARVESTING KHT'!$Z44</f>
        <v>7500</v>
      </c>
      <c r="Y62" s="189">
        <f>-'[6]HARVESTING KHT'!$AI44</f>
        <v>0</v>
      </c>
      <c r="Z62" s="189"/>
      <c r="AA62" s="189"/>
      <c r="AB62" s="189">
        <f>-'[6]HARVESTING KHT'!$BI44</f>
        <v>0</v>
      </c>
      <c r="AC62" s="189">
        <f>'[4]HARVESTING KHT'!$M45</f>
        <v>3809499.9</v>
      </c>
      <c r="AD62" s="189"/>
      <c r="AE62" s="183">
        <f t="shared" si="9"/>
        <v>8802401</v>
      </c>
      <c r="AF62" s="184">
        <f t="shared" si="12"/>
        <v>0.01</v>
      </c>
      <c r="AG62" s="152">
        <f t="shared" si="7"/>
        <v>88024</v>
      </c>
      <c r="AH62" s="211" t="e">
        <f>'THR''24'!AI62</f>
        <v>#REF!</v>
      </c>
      <c r="AI62" s="172"/>
      <c r="AJ62" s="93"/>
      <c r="AK62" s="146">
        <f t="shared" si="8"/>
        <v>0</v>
      </c>
      <c r="AL62" s="213"/>
      <c r="AM62" s="218" t="e">
        <f>AG62-AH62</f>
        <v>#REF!</v>
      </c>
      <c r="AO62" s="199">
        <f>'[6]HARVESTING KHT'!$AL44</f>
        <v>4816425.2300000004</v>
      </c>
      <c r="AP62" s="200">
        <f t="shared" si="13"/>
        <v>176476</v>
      </c>
      <c r="AQ62" s="199">
        <f t="shared" si="3"/>
        <v>4992901.2300000004</v>
      </c>
      <c r="AR62" s="201">
        <f t="shared" si="4"/>
        <v>-3809499.7699999996</v>
      </c>
    </row>
    <row r="63" spans="2:44" s="173" customFormat="1" ht="18" customHeight="1">
      <c r="B63" s="174">
        <v>58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 t="shared" si="11"/>
        <v>3761333.23</v>
      </c>
      <c r="L63" s="169">
        <f t="shared" si="6"/>
        <v>30575.999999999996</v>
      </c>
      <c r="M63" s="189">
        <f>[6]TRANSPORT!$AH11</f>
        <v>146920</v>
      </c>
      <c r="N63" s="189">
        <f>[6]TRANSPORT!$S11</f>
        <v>130500</v>
      </c>
      <c r="O63" s="189">
        <f>[6]TRANSPORT!$V11</f>
        <v>60000</v>
      </c>
      <c r="P63" s="189">
        <f>[6]TRANSPORT!$Z11</f>
        <v>1009942.08</v>
      </c>
      <c r="Q63" s="189">
        <f>[6]TRANSPORT!$Y11</f>
        <v>1003725</v>
      </c>
      <c r="R63" s="189"/>
      <c r="S63" s="189"/>
      <c r="T63" s="189"/>
      <c r="U63" s="189"/>
      <c r="V63" s="189"/>
      <c r="W63" s="189"/>
      <c r="X63" s="189">
        <f>[6]TRANSPORT!$X11</f>
        <v>33000</v>
      </c>
      <c r="Y63" s="189"/>
      <c r="Z63" s="189"/>
      <c r="AA63" s="189"/>
      <c r="AB63" s="189">
        <f>-[6]TRANSPORT!$AX11</f>
        <v>-242666.66</v>
      </c>
      <c r="AC63" s="189">
        <f>[4]TRANSPORT!$N12</f>
        <v>3807999.9</v>
      </c>
      <c r="AD63" s="189"/>
      <c r="AE63" s="183">
        <f t="shared" si="9"/>
        <v>9741329</v>
      </c>
      <c r="AF63" s="184">
        <f t="shared" si="12"/>
        <v>1.4999999999999999E-2</v>
      </c>
      <c r="AG63" s="152">
        <f t="shared" si="7"/>
        <v>146119</v>
      </c>
      <c r="AH63" s="211" t="e">
        <f>'THR''24'!AI63</f>
        <v>#REF!</v>
      </c>
      <c r="AI63" s="172" t="e">
        <f t="shared" si="10"/>
        <v>#REF!</v>
      </c>
      <c r="AJ63" s="93"/>
      <c r="AK63" s="146" t="e">
        <f t="shared" si="8"/>
        <v>#REF!</v>
      </c>
      <c r="AL63" s="213"/>
      <c r="AM63" s="218"/>
      <c r="AO63" s="199">
        <f>[6]TRANSPORT!$AC11</f>
        <v>5755833.6500000004</v>
      </c>
      <c r="AP63" s="200">
        <f t="shared" si="13"/>
        <v>177496</v>
      </c>
      <c r="AQ63" s="199">
        <f t="shared" si="3"/>
        <v>5933329.6500000004</v>
      </c>
      <c r="AR63" s="201">
        <f t="shared" si="4"/>
        <v>-3807999.3499999996</v>
      </c>
    </row>
    <row r="64" spans="2:44" s="173" customFormat="1" ht="18" customHeight="1">
      <c r="B64" s="174">
        <v>59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 t="shared" si="11"/>
        <v>3761333.23</v>
      </c>
      <c r="L64" s="169">
        <f t="shared" si="6"/>
        <v>30575.999999999996</v>
      </c>
      <c r="M64" s="189">
        <f>[6]TRANSPORT!$AH12</f>
        <v>147480</v>
      </c>
      <c r="N64" s="189">
        <f>[6]TRANSPORT!$S12</f>
        <v>156600</v>
      </c>
      <c r="O64" s="189">
        <f>[6]TRANSPORT!$V12</f>
        <v>32000</v>
      </c>
      <c r="P64" s="189">
        <f>[6]TRANSPORT!$Z12</f>
        <v>757456.56</v>
      </c>
      <c r="Q64" s="189">
        <f>[6]TRANSPORT!$Y12</f>
        <v>843540</v>
      </c>
      <c r="R64" s="189"/>
      <c r="S64" s="189"/>
      <c r="T64" s="189"/>
      <c r="U64" s="189"/>
      <c r="V64" s="189"/>
      <c r="W64" s="189"/>
      <c r="X64" s="189">
        <f>[6]TRANSPORT!$X12</f>
        <v>47000</v>
      </c>
      <c r="Y64" s="189"/>
      <c r="Z64" s="189"/>
      <c r="AA64" s="189"/>
      <c r="AB64" s="189">
        <f>-[6]TRANSPORT!$AX12</f>
        <v>-242666.66</v>
      </c>
      <c r="AC64" s="189">
        <f>[4]TRANSPORT!$N13</f>
        <v>3848999.9</v>
      </c>
      <c r="AD64" s="189"/>
      <c r="AE64" s="183">
        <f t="shared" si="9"/>
        <v>9382319</v>
      </c>
      <c r="AF64" s="184">
        <f t="shared" si="12"/>
        <v>1.4999999999999999E-2</v>
      </c>
      <c r="AG64" s="152">
        <f t="shared" si="7"/>
        <v>140734</v>
      </c>
      <c r="AH64" s="211" t="e">
        <f>'THR''24'!AI64</f>
        <v>#REF!</v>
      </c>
      <c r="AI64" s="172"/>
      <c r="AJ64" s="93"/>
      <c r="AK64" s="146">
        <f t="shared" si="8"/>
        <v>0</v>
      </c>
      <c r="AL64" s="213"/>
      <c r="AM64" s="218" t="e">
        <f>AG64-AH64</f>
        <v>#REF!</v>
      </c>
      <c r="AO64" s="199">
        <f>[6]TRANSPORT!$AC12</f>
        <v>5355263.1300000008</v>
      </c>
      <c r="AP64" s="200">
        <f t="shared" si="13"/>
        <v>178056</v>
      </c>
      <c r="AQ64" s="199">
        <f t="shared" si="3"/>
        <v>5533319.1300000008</v>
      </c>
      <c r="AR64" s="201">
        <f t="shared" si="4"/>
        <v>-3848999.8699999992</v>
      </c>
    </row>
    <row r="65" spans="2:61" s="173" customFormat="1" ht="18" customHeight="1">
      <c r="B65" s="174">
        <v>60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 t="shared" si="11"/>
        <v>3761333.23</v>
      </c>
      <c r="L65" s="169">
        <f t="shared" si="6"/>
        <v>30575.999999999996</v>
      </c>
      <c r="M65" s="189">
        <f>[6]TRANSPORT!$AH13</f>
        <v>148040</v>
      </c>
      <c r="N65" s="189">
        <f>[6]TRANSPORT!$S13</f>
        <v>130500</v>
      </c>
      <c r="O65" s="189">
        <f>[6]TRANSPORT!$V13</f>
        <v>63000</v>
      </c>
      <c r="P65" s="189">
        <f>[6]TRANSPORT!$Z13</f>
        <v>1125664.6100000001</v>
      </c>
      <c r="Q65" s="189">
        <f>[6]TRANSPORT!$Y13</f>
        <v>905715</v>
      </c>
      <c r="R65" s="189"/>
      <c r="S65" s="189"/>
      <c r="T65" s="189"/>
      <c r="U65" s="189"/>
      <c r="V65" s="189"/>
      <c r="W65" s="189"/>
      <c r="X65" s="189">
        <f>[6]TRANSPORT!$X13</f>
        <v>61000</v>
      </c>
      <c r="Y65" s="189"/>
      <c r="Z65" s="189"/>
      <c r="AA65" s="189"/>
      <c r="AB65" s="189">
        <f>-[6]TRANSPORT!$AX13</f>
        <v>-242666.66</v>
      </c>
      <c r="AC65" s="189">
        <f>[4]TRANSPORT!$N14</f>
        <v>3835999.9</v>
      </c>
      <c r="AD65" s="189"/>
      <c r="AE65" s="183">
        <f t="shared" si="9"/>
        <v>9819162</v>
      </c>
      <c r="AF65" s="184">
        <f t="shared" si="12"/>
        <v>1.4999999999999999E-2</v>
      </c>
      <c r="AG65" s="152">
        <f t="shared" si="7"/>
        <v>147287</v>
      </c>
      <c r="AH65" s="211" t="e">
        <f>'THR''24'!AI65</f>
        <v>#REF!</v>
      </c>
      <c r="AI65" s="172" t="e">
        <f t="shared" si="10"/>
        <v>#REF!</v>
      </c>
      <c r="AJ65" s="93"/>
      <c r="AK65" s="146" t="e">
        <f t="shared" si="8"/>
        <v>#REF!</v>
      </c>
      <c r="AL65" s="213"/>
      <c r="AM65" s="218"/>
      <c r="AO65" s="199">
        <f>[6]TRANSPORT!$AC13</f>
        <v>5804546.1800000006</v>
      </c>
      <c r="AP65" s="200">
        <f t="shared" si="13"/>
        <v>178616</v>
      </c>
      <c r="AQ65" s="199">
        <f t="shared" si="3"/>
        <v>5983162.1800000006</v>
      </c>
      <c r="AR65" s="201">
        <f>AQ65-AE65</f>
        <v>-3835999.8199999994</v>
      </c>
    </row>
    <row r="66" spans="2:61" s="173" customFormat="1" ht="18" customHeight="1" thickBot="1">
      <c r="B66" s="174">
        <v>61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 t="shared" si="11"/>
        <v>3761333.23</v>
      </c>
      <c r="L66" s="169">
        <f t="shared" si="6"/>
        <v>30575.999999999996</v>
      </c>
      <c r="M66" s="189">
        <f>[6]TRANSPORT!$AH14</f>
        <v>146680</v>
      </c>
      <c r="N66" s="189">
        <f>[6]TRANSPORT!$S14</f>
        <v>167400</v>
      </c>
      <c r="O66" s="189">
        <f>[6]TRANSPORT!$V14</f>
        <v>48000</v>
      </c>
      <c r="P66" s="189">
        <f>[6]TRANSPORT!$Z14</f>
        <v>1178265.76</v>
      </c>
      <c r="Q66" s="189">
        <f>[6]TRANSPORT!$Y14</f>
        <v>1095165</v>
      </c>
      <c r="R66" s="189"/>
      <c r="S66" s="189"/>
      <c r="T66" s="189"/>
      <c r="U66" s="189"/>
      <c r="V66" s="189"/>
      <c r="W66" s="189"/>
      <c r="X66" s="189">
        <f>[6]TRANSPORT!$X14</f>
        <v>27000</v>
      </c>
      <c r="Y66" s="189"/>
      <c r="Z66" s="189"/>
      <c r="AA66" s="189"/>
      <c r="AB66" s="189">
        <f>-[6]TRANSPORT!$AX14</f>
        <v>0</v>
      </c>
      <c r="AC66" s="189">
        <f>[4]TRANSPORT!$N15</f>
        <v>3828999.9</v>
      </c>
      <c r="AD66" s="189"/>
      <c r="AE66" s="183">
        <f>ROUNDDOWN(SUM(K66:AD66),0)</f>
        <v>10283419</v>
      </c>
      <c r="AF66" s="184">
        <f t="shared" si="12"/>
        <v>1.4999999999999999E-2</v>
      </c>
      <c r="AG66" s="152">
        <f t="shared" si="7"/>
        <v>154251</v>
      </c>
      <c r="AH66" s="211" t="e">
        <f>'THR''24'!AI66</f>
        <v>#REF!</v>
      </c>
      <c r="AI66" s="172" t="e">
        <f t="shared" si="10"/>
        <v>#REF!</v>
      </c>
      <c r="AJ66" s="93"/>
      <c r="AK66" s="146" t="e">
        <f t="shared" si="8"/>
        <v>#REF!</v>
      </c>
      <c r="AL66" s="213"/>
      <c r="AM66" s="219"/>
      <c r="AO66" s="199">
        <f>[6]TRANSPORT!$AC14</f>
        <v>6277163.9900000002</v>
      </c>
      <c r="AP66" s="200">
        <f t="shared" si="13"/>
        <v>177256</v>
      </c>
      <c r="AQ66" s="199">
        <f>AO66+AP66</f>
        <v>6454419.9900000002</v>
      </c>
      <c r="AR66" s="201">
        <f>AQ66-AE66</f>
        <v>-3828999.01</v>
      </c>
    </row>
    <row r="67" spans="2:61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M67" si="14">SUM(K6:K66)</f>
        <v>228093827.06999975</v>
      </c>
      <c r="L67" s="196">
        <f t="shared" si="14"/>
        <v>1866017.9999999998</v>
      </c>
      <c r="M67" s="196">
        <f t="shared" si="14"/>
        <v>8943560</v>
      </c>
      <c r="N67" s="196">
        <f t="shared" si="14"/>
        <v>7004250</v>
      </c>
      <c r="O67" s="196">
        <f t="shared" si="14"/>
        <v>419000</v>
      </c>
      <c r="P67" s="196">
        <f t="shared" si="14"/>
        <v>9644377.7599999998</v>
      </c>
      <c r="Q67" s="196">
        <f t="shared" si="14"/>
        <v>4203020</v>
      </c>
      <c r="R67" s="196">
        <f t="shared" si="14"/>
        <v>9105501</v>
      </c>
      <c r="S67" s="196">
        <f t="shared" si="14"/>
        <v>4356450</v>
      </c>
      <c r="T67" s="196">
        <f t="shared" si="14"/>
        <v>7489350</v>
      </c>
      <c r="U67" s="196">
        <f t="shared" si="14"/>
        <v>1334010</v>
      </c>
      <c r="V67" s="196">
        <f t="shared" si="14"/>
        <v>1800000</v>
      </c>
      <c r="W67" s="196">
        <f t="shared" si="14"/>
        <v>0</v>
      </c>
      <c r="X67" s="196">
        <f t="shared" si="14"/>
        <v>1444000</v>
      </c>
      <c r="Y67" s="196">
        <f t="shared" si="14"/>
        <v>-652827</v>
      </c>
      <c r="Z67" s="196">
        <f t="shared" si="14"/>
        <v>0</v>
      </c>
      <c r="AA67" s="196">
        <f t="shared" si="14"/>
        <v>0</v>
      </c>
      <c r="AB67" s="196">
        <f t="shared" si="14"/>
        <v>-4735499.870000001</v>
      </c>
      <c r="AC67" s="196">
        <f t="shared" si="14"/>
        <v>222666785.77500018</v>
      </c>
      <c r="AD67" s="196">
        <f t="shared" si="14"/>
        <v>0</v>
      </c>
      <c r="AE67" s="196">
        <f t="shared" si="14"/>
        <v>502981800</v>
      </c>
      <c r="AF67" s="196">
        <f t="shared" si="14"/>
        <v>0.76250000000000007</v>
      </c>
      <c r="AG67" s="196">
        <f t="shared" si="14"/>
        <v>6333167</v>
      </c>
      <c r="AH67" s="196" t="e">
        <f t="shared" si="14"/>
        <v>#REF!</v>
      </c>
      <c r="AI67" s="196" t="e">
        <f t="shared" si="14"/>
        <v>#REF!</v>
      </c>
      <c r="AJ67" s="196">
        <f t="shared" si="14"/>
        <v>0</v>
      </c>
      <c r="AK67" s="196" t="e">
        <f t="shared" si="14"/>
        <v>#REF!</v>
      </c>
      <c r="AL67" s="196">
        <f t="shared" si="14"/>
        <v>0</v>
      </c>
      <c r="AM67" s="196" t="e">
        <f t="shared" si="14"/>
        <v>#REF!</v>
      </c>
      <c r="AO67" s="202">
        <f>SUM(AO6:AO66)</f>
        <v>269505458.95999986</v>
      </c>
      <c r="AP67" s="202">
        <f>SUM(AP6:AP66)</f>
        <v>10809578</v>
      </c>
      <c r="AQ67" s="202">
        <f>SUM(AQ6:AQ66)</f>
        <v>280315036.95999986</v>
      </c>
      <c r="AR67" s="202">
        <f>SUM(AR6:AR66)</f>
        <v>-222666763.04000011</v>
      </c>
    </row>
    <row r="68" spans="2:61" ht="15" customHeight="1">
      <c r="AJ68" s="143">
        <f>+'[5]PPH21-STAFF'!$T$215</f>
        <v>4628793.8715650011</v>
      </c>
      <c r="AQ68" s="217"/>
    </row>
    <row r="69" spans="2:61" ht="1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61" ht="1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61" ht="1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61" ht="1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61" s="33" customFormat="1" ht="15" hidden="1" customHeight="1">
      <c r="B73" s="27" t="s">
        <v>57</v>
      </c>
      <c r="C73" s="28"/>
      <c r="D73" s="208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90"/>
      <c r="AI73" s="28"/>
      <c r="AJ73" s="143"/>
      <c r="AK73" s="27"/>
      <c r="AL73" s="27"/>
      <c r="AM73" s="27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</row>
    <row r="74" spans="2:61" s="33" customFormat="1" ht="15" hidden="1" customHeight="1">
      <c r="B74" s="27" t="s">
        <v>50</v>
      </c>
      <c r="C74" s="28"/>
      <c r="D74" s="208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90"/>
      <c r="AI74" s="28"/>
      <c r="AJ74" s="143"/>
      <c r="AK74" s="27"/>
      <c r="AL74" s="27"/>
      <c r="AM74" s="27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</row>
    <row r="75" spans="2:61" s="33" customFormat="1" ht="15" hidden="1" customHeight="1">
      <c r="B75" s="27" t="s">
        <v>51</v>
      </c>
      <c r="C75" s="28"/>
      <c r="D75" s="208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90"/>
      <c r="AI75" s="28"/>
      <c r="AJ75" s="143"/>
      <c r="AK75" s="27"/>
      <c r="AL75" s="27"/>
      <c r="AM75" s="27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</row>
    <row r="76" spans="2:61" s="33" customFormat="1" ht="15" hidden="1" customHeight="1">
      <c r="B76" s="27" t="s">
        <v>52</v>
      </c>
      <c r="C76" s="28"/>
      <c r="D76" s="208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90"/>
      <c r="AI76" s="28"/>
      <c r="AJ76" s="143"/>
      <c r="AK76" s="27"/>
      <c r="AL76" s="27"/>
      <c r="AM76" s="27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</row>
    <row r="77" spans="2:61" s="33" customFormat="1" ht="15" hidden="1" customHeight="1">
      <c r="B77" s="27" t="s">
        <v>58</v>
      </c>
      <c r="C77" s="28"/>
      <c r="D77" s="208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90"/>
      <c r="AI77" s="28"/>
      <c r="AJ77" s="143"/>
      <c r="AK77" s="27"/>
      <c r="AL77" s="27"/>
      <c r="AM77" s="27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</row>
    <row r="78" spans="2:61" s="33" customFormat="1" ht="15" hidden="1" customHeight="1">
      <c r="B78" s="27" t="s">
        <v>59</v>
      </c>
      <c r="C78" s="28"/>
      <c r="D78" s="208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90"/>
      <c r="AI78" s="28"/>
      <c r="AJ78" s="143"/>
      <c r="AK78" s="27"/>
      <c r="AL78" s="27"/>
      <c r="AM78" s="27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</row>
    <row r="79" spans="2:61" s="33" customFormat="1" ht="15" hidden="1" customHeight="1">
      <c r="B79" s="27" t="s">
        <v>65</v>
      </c>
      <c r="C79" s="28"/>
      <c r="D79" s="208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90"/>
      <c r="AI79" s="28"/>
      <c r="AJ79" s="143"/>
      <c r="AK79" s="27"/>
      <c r="AL79" s="27"/>
      <c r="AM79" s="27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</row>
    <row r="80" spans="2:61" s="33" customFormat="1" ht="15" hidden="1" customHeight="1">
      <c r="B80" s="27"/>
      <c r="C80" s="28"/>
      <c r="D80" s="208"/>
      <c r="E80" s="30"/>
      <c r="F80" s="28"/>
      <c r="G80" s="31"/>
      <c r="H80" s="32"/>
      <c r="I80" s="32"/>
      <c r="J80" s="32"/>
      <c r="K80" s="28"/>
      <c r="L80" s="28"/>
      <c r="M80" s="62"/>
      <c r="N80" s="62"/>
      <c r="O80" s="62"/>
      <c r="P80" s="62"/>
      <c r="Q80" s="62"/>
      <c r="R80" s="62"/>
      <c r="S80" s="62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90"/>
      <c r="AG80" s="90"/>
      <c r="AH80" s="90"/>
      <c r="AI80" s="28"/>
      <c r="AJ80" s="143"/>
      <c r="AK80" s="27"/>
      <c r="AL80" s="27"/>
      <c r="AM80" s="27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</row>
    <row r="81" spans="2:61" s="33" customFormat="1" ht="15" hidden="1" customHeight="1">
      <c r="B81" s="27"/>
      <c r="C81" s="28"/>
      <c r="D81" s="208"/>
      <c r="E81" s="30"/>
      <c r="F81" s="28"/>
      <c r="G81" s="31"/>
      <c r="H81" s="32"/>
      <c r="I81" s="32"/>
      <c r="J81" s="32"/>
      <c r="K81" s="28"/>
      <c r="L81" s="28"/>
      <c r="M81" s="62"/>
      <c r="N81" s="62"/>
      <c r="O81" s="62"/>
      <c r="P81" s="62"/>
      <c r="Q81" s="62"/>
      <c r="R81" s="62"/>
      <c r="S81" s="62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90"/>
      <c r="AG81" s="90"/>
      <c r="AH81" s="90"/>
      <c r="AI81" s="28"/>
      <c r="AJ81" s="143"/>
      <c r="AK81" s="27"/>
      <c r="AL81" s="27"/>
      <c r="AM81" s="27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</row>
    <row r="82" spans="2:61" s="33" customFormat="1" ht="15" customHeight="1">
      <c r="B82" s="27"/>
      <c r="C82" s="28"/>
      <c r="D82" s="208"/>
      <c r="E82" s="30"/>
      <c r="F82" s="28"/>
      <c r="G82" s="31"/>
      <c r="H82" s="32"/>
      <c r="I82" s="32"/>
      <c r="J82" s="32"/>
      <c r="K82" s="208" t="s">
        <v>324</v>
      </c>
      <c r="L82" s="28"/>
      <c r="M82" s="62"/>
      <c r="N82" s="62"/>
      <c r="O82" s="62"/>
      <c r="P82" s="62"/>
      <c r="Q82" s="62"/>
      <c r="R82" s="62"/>
      <c r="S82" s="62"/>
      <c r="T82" s="28"/>
      <c r="U82" s="28"/>
      <c r="V82" s="28"/>
      <c r="W82" s="28"/>
      <c r="X82" s="28"/>
      <c r="Y82" s="28"/>
      <c r="Z82" s="28"/>
      <c r="AA82" s="28"/>
      <c r="AB82" s="457" t="s">
        <v>321</v>
      </c>
      <c r="AC82" s="457"/>
      <c r="AD82" s="457"/>
      <c r="AE82" s="457"/>
      <c r="AF82" s="90"/>
      <c r="AG82" s="90"/>
      <c r="AH82" s="90"/>
      <c r="AI82" s="28"/>
      <c r="AJ82" s="143"/>
      <c r="AK82" s="27"/>
      <c r="AL82" s="27"/>
      <c r="AM82" s="27"/>
      <c r="AN82" s="60"/>
      <c r="AO82" s="60"/>
      <c r="AP82" s="60"/>
      <c r="AQ82" s="216">
        <f>AC67+AQ67</f>
        <v>502981822.73500001</v>
      </c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</row>
    <row r="83" spans="2:61">
      <c r="AR83" s="216"/>
    </row>
    <row r="84" spans="2:61">
      <c r="AQ84" s="216">
        <f>AQ67-AR85</f>
        <v>280315014.22499985</v>
      </c>
      <c r="AR84" s="216"/>
    </row>
    <row r="85" spans="2:61" ht="15">
      <c r="K85" s="209" t="s">
        <v>325</v>
      </c>
      <c r="AB85" s="458" t="s">
        <v>322</v>
      </c>
      <c r="AC85" s="458"/>
      <c r="AD85" s="458"/>
      <c r="AE85" s="458"/>
      <c r="AR85" s="216">
        <f>AQ82-AE67</f>
        <v>22.735000014305115</v>
      </c>
    </row>
    <row r="86" spans="2:61">
      <c r="K86" s="208" t="s">
        <v>326</v>
      </c>
      <c r="AB86" s="457" t="s">
        <v>323</v>
      </c>
      <c r="AC86" s="457"/>
      <c r="AD86" s="457"/>
      <c r="AE86" s="457"/>
    </row>
  </sheetData>
  <mergeCells count="3">
    <mergeCell ref="AB82:AE82"/>
    <mergeCell ref="AB85:AE85"/>
    <mergeCell ref="AB86:AE86"/>
  </mergeCells>
  <conditionalFormatting sqref="AL6:AM66">
    <cfRule type="containsText" dxfId="3" priority="1" operator="containsText" text="KURANG POT">
      <formula>NOT(ISERROR(SEARCH("KURANG POT",AL6)))</formula>
    </cfRule>
  </conditionalFormatting>
  <dataValidations disablePrompts="1" count="2">
    <dataValidation type="list" allowBlank="1" showInputMessage="1" showErrorMessage="1" sqref="H6:H66">
      <formula1>"L,P"</formula1>
    </dataValidation>
    <dataValidation type="list" allowBlank="1" showInputMessage="1" showErrorMessage="1" sqref="I6:I66">
      <formula1>"TK/0,TK/1,TK/2,TK/3,K/0,K/1,K/2,K/3"</formula1>
    </dataValidation>
  </dataValidations>
  <pageMargins left="0.11811023622047245" right="0.11811023622047245" top="0.15748031496062992" bottom="0.15748031496062992" header="0.31496062992125984" footer="0.31496062992125984"/>
  <pageSetup paperSize="9" scale="41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I86"/>
  <sheetViews>
    <sheetView topLeftCell="A49" zoomScaleNormal="100" zoomScaleSheetLayoutView="100" workbookViewId="0">
      <pane xSplit="3" topLeftCell="D1" activePane="topRight" state="frozen"/>
      <selection pane="topRight" activeCell="AG36" sqref="AG36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25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14" width="9.85546875" style="28" customWidth="1"/>
    <col min="15" max="15" width="8.7109375" style="28" customWidth="1"/>
    <col min="16" max="16" width="10.140625" style="28" customWidth="1"/>
    <col min="17" max="17" width="9.85546875" style="28" customWidth="1"/>
    <col min="18" max="18" width="10.140625" style="28" customWidth="1"/>
    <col min="19" max="19" width="10" style="28" customWidth="1"/>
    <col min="20" max="20" width="10.7109375" style="28" customWidth="1"/>
    <col min="21" max="21" width="9.85546875" style="28" customWidth="1"/>
    <col min="22" max="22" width="9.7109375" style="28" customWidth="1"/>
    <col min="23" max="23" width="9.7109375" style="28" hidden="1" customWidth="1"/>
    <col min="24" max="24" width="10.140625" style="28" customWidth="1"/>
    <col min="25" max="25" width="9" style="28" customWidth="1"/>
    <col min="26" max="27" width="12.7109375" style="28" hidden="1" customWidth="1"/>
    <col min="28" max="28" width="10.5703125" style="28" customWidth="1"/>
    <col min="29" max="29" width="11.7109375" style="28" hidden="1" customWidth="1"/>
    <col min="30" max="30" width="6.85546875" style="28" hidden="1" customWidth="1"/>
    <col min="31" max="31" width="12" style="28" customWidth="1" collapsed="1"/>
    <col min="32" max="32" width="7.7109375" style="90" customWidth="1"/>
    <col min="33" max="33" width="10.140625" style="90" customWidth="1"/>
    <col min="34" max="34" width="10.140625" style="90" hidden="1" customWidth="1"/>
    <col min="35" max="35" width="9" style="28" hidden="1" customWidth="1"/>
    <col min="36" max="36" width="11.5703125" style="143" hidden="1" customWidth="1"/>
    <col min="37" max="37" width="10.140625" style="27" hidden="1" customWidth="1"/>
    <col min="38" max="39" width="10.28515625" style="27" hidden="1" customWidth="1"/>
    <col min="40" max="40" width="9.28515625" style="60"/>
    <col min="41" max="41" width="11.140625" style="60" bestFit="1" customWidth="1"/>
    <col min="42" max="42" width="10" style="60" customWidth="1"/>
    <col min="43" max="43" width="12.28515625" style="60" bestFit="1" customWidth="1"/>
    <col min="44" max="44" width="11.5703125" style="60" customWidth="1"/>
    <col min="45" max="16384" width="9.28515625" style="60"/>
  </cols>
  <sheetData>
    <row r="1" spans="2:46">
      <c r="B1" s="27" t="s">
        <v>72</v>
      </c>
    </row>
    <row r="2" spans="2:46">
      <c r="B2" s="27" t="s">
        <v>336</v>
      </c>
    </row>
    <row r="3" spans="2:46">
      <c r="B3" s="27" t="s">
        <v>99</v>
      </c>
    </row>
    <row r="4" spans="2:46" s="27" customFormat="1" ht="13.5" thickBot="1">
      <c r="C4" s="87" t="s">
        <v>40</v>
      </c>
      <c r="D4" s="225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  <c r="AH4" s="90"/>
      <c r="AI4" s="28"/>
      <c r="AJ4" s="143"/>
    </row>
    <row r="5" spans="2:46" s="27" customFormat="1" ht="47.25" customHeight="1" thickBot="1">
      <c r="B5" s="222" t="s">
        <v>64</v>
      </c>
      <c r="C5" s="222" t="s">
        <v>25</v>
      </c>
      <c r="D5" s="223" t="s">
        <v>26</v>
      </c>
      <c r="E5" s="224" t="s">
        <v>27</v>
      </c>
      <c r="F5" s="222" t="s">
        <v>28</v>
      </c>
      <c r="G5" s="221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20" t="s">
        <v>68</v>
      </c>
      <c r="M5" s="220" t="s">
        <v>69</v>
      </c>
      <c r="N5" s="220" t="s">
        <v>80</v>
      </c>
      <c r="O5" s="220" t="s">
        <v>81</v>
      </c>
      <c r="P5" s="220" t="s">
        <v>84</v>
      </c>
      <c r="Q5" s="145" t="s">
        <v>319</v>
      </c>
      <c r="R5" s="220" t="s">
        <v>309</v>
      </c>
      <c r="S5" s="220" t="s">
        <v>310</v>
      </c>
      <c r="T5" s="220" t="s">
        <v>320</v>
      </c>
      <c r="U5" s="220" t="s">
        <v>315</v>
      </c>
      <c r="V5" s="220" t="s">
        <v>311</v>
      </c>
      <c r="W5" s="220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45" t="s">
        <v>335</v>
      </c>
      <c r="AH5" s="145" t="s">
        <v>331</v>
      </c>
      <c r="AI5" s="145" t="s">
        <v>330</v>
      </c>
      <c r="AJ5" s="145" t="s">
        <v>70</v>
      </c>
      <c r="AK5" s="145" t="s">
        <v>71</v>
      </c>
      <c r="AL5" s="212" t="s">
        <v>73</v>
      </c>
      <c r="AM5" s="145" t="s">
        <v>334</v>
      </c>
      <c r="AO5" s="27" t="s">
        <v>316</v>
      </c>
      <c r="AP5" s="27" t="s">
        <v>317</v>
      </c>
      <c r="AQ5" s="27" t="s">
        <v>318</v>
      </c>
    </row>
    <row r="6" spans="2:46" s="173" customFormat="1" ht="17.25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30*122333.33</f>
        <v>3669999.9</v>
      </c>
      <c r="L6" s="168">
        <f>3670000*0.84%</f>
        <v>30827.999999999996</v>
      </c>
      <c r="M6" s="168">
        <f>[7]MAINTENANCE!$AK10</f>
        <v>148680</v>
      </c>
      <c r="N6" s="168">
        <f>[7]MAINTENANCE!$W10</f>
        <v>162000</v>
      </c>
      <c r="O6" s="168">
        <f>[7]MAINTENANCE!$Z10</f>
        <v>60000</v>
      </c>
      <c r="P6" s="168">
        <f>[7]MAINTENANCE!$AE10</f>
        <v>127283.24</v>
      </c>
      <c r="Q6" s="169">
        <f>[7]MAINTENANCE!$AC10</f>
        <v>0</v>
      </c>
      <c r="R6" s="168"/>
      <c r="S6" s="168"/>
      <c r="T6" s="168"/>
      <c r="U6" s="168"/>
      <c r="V6" s="168"/>
      <c r="W6" s="168"/>
      <c r="X6" s="168">
        <f>[7]MAINTENANCE!$AB10</f>
        <v>47000</v>
      </c>
      <c r="Y6" s="169"/>
      <c r="Z6" s="169"/>
      <c r="AA6" s="169"/>
      <c r="AB6" s="168">
        <f>-[7]MAINTENANCE!$BA10</f>
        <v>0</v>
      </c>
      <c r="AC6" s="168"/>
      <c r="AD6" s="168"/>
      <c r="AE6" s="170">
        <f>ROUNDDOWN(SUM(K6:AD6),0)</f>
        <v>4245791</v>
      </c>
      <c r="AF6" s="171">
        <f t="shared" ref="AF6:AF37" si="0">IF(J6="TER A",VLOOKUP(AE6,Ter_A,4,TRUE),IF(J6="TER B",VLOOKUP(AE6,Ter_B,4,TRUE),VLOOKUP(AE6,Ter_C,4,TRUE)))</f>
        <v>0</v>
      </c>
      <c r="AG6" s="152">
        <f>ROUNDDOWN(IF(H6=0,AE6*AF6*120%,AE6*AF6),0)</f>
        <v>0</v>
      </c>
      <c r="AH6" s="211"/>
      <c r="AI6" s="172">
        <f>AG6-AH6</f>
        <v>0</v>
      </c>
      <c r="AJ6" s="93"/>
      <c r="AK6" s="146">
        <f>AJ6-AI6</f>
        <v>0</v>
      </c>
      <c r="AL6" s="213"/>
      <c r="AM6" s="215"/>
      <c r="AO6" s="199">
        <f>[7]MAINTENANCE!$AF10</f>
        <v>4066283.14</v>
      </c>
      <c r="AP6" s="200">
        <f>L6+M6</f>
        <v>179508</v>
      </c>
      <c r="AQ6" s="199">
        <f>AO6+AP6</f>
        <v>4245791.1400000006</v>
      </c>
      <c r="AR6" s="201">
        <f>AQ6-AE6</f>
        <v>0.14000000059604645</v>
      </c>
    </row>
    <row r="7" spans="2:46" s="173" customFormat="1" ht="17.25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1">IF(ISBLANK(I7),"",IF(OR(I7="TK/0",I7="TK/1",I7="K/0"),"TER A",IF(I7="K/3","TER C","TER B")))</f>
        <v>TER A</v>
      </c>
      <c r="K7" s="182">
        <f>30*121333.33</f>
        <v>3639999.9</v>
      </c>
      <c r="L7" s="169">
        <f>3640000*0.84%</f>
        <v>30575.999999999996</v>
      </c>
      <c r="M7" s="189">
        <f>[7]MAINTENANCE!$AK11</f>
        <v>146680</v>
      </c>
      <c r="N7" s="189">
        <f>[7]MAINTENANCE!$W11</f>
        <v>67500</v>
      </c>
      <c r="O7" s="189"/>
      <c r="P7" s="189">
        <f>[7]MAINTENANCE!$AE11</f>
        <v>0</v>
      </c>
      <c r="Q7" s="169">
        <f>[7]MAINTENANCE!$AC11</f>
        <v>0</v>
      </c>
      <c r="R7" s="169"/>
      <c r="S7" s="169"/>
      <c r="T7" s="169"/>
      <c r="U7" s="169"/>
      <c r="V7" s="169"/>
      <c r="W7" s="169"/>
      <c r="X7" s="189">
        <f>[7]MAINTENANCE!$AB11</f>
        <v>27000</v>
      </c>
      <c r="Y7" s="169"/>
      <c r="Z7" s="169"/>
      <c r="AA7" s="169"/>
      <c r="AB7" s="189">
        <f>-[7]MAINTENANCE!$BA11</f>
        <v>0</v>
      </c>
      <c r="AC7" s="189"/>
      <c r="AD7" s="169"/>
      <c r="AE7" s="183">
        <f>ROUNDDOWN(SUM(K7:AD7),0)</f>
        <v>3911755</v>
      </c>
      <c r="AF7" s="184">
        <f t="shared" si="0"/>
        <v>0</v>
      </c>
      <c r="AG7" s="152">
        <f>ROUNDDOWN(IF(H7=0,AE7*AF7*120%,AE7*AF7),0)</f>
        <v>0</v>
      </c>
      <c r="AH7" s="211"/>
      <c r="AI7" s="172">
        <f>AG7-AH7</f>
        <v>0</v>
      </c>
      <c r="AJ7" s="93"/>
      <c r="AK7" s="146">
        <f>AJ7-AI7</f>
        <v>0</v>
      </c>
      <c r="AL7" s="213"/>
      <c r="AM7" s="214"/>
      <c r="AO7" s="199">
        <f>[7]MAINTENANCE!$AF11</f>
        <v>3734499.9</v>
      </c>
      <c r="AP7" s="200">
        <f t="shared" ref="AP7:AP66" si="2">L7+M7</f>
        <v>177256</v>
      </c>
      <c r="AQ7" s="199">
        <f t="shared" ref="AQ7:AQ65" si="3">AO7+AP7</f>
        <v>3911755.9</v>
      </c>
      <c r="AR7" s="201">
        <f t="shared" ref="AR7:AR64" si="4">AQ7-AE7</f>
        <v>0.89999999990686774</v>
      </c>
    </row>
    <row r="8" spans="2:46" s="173" customFormat="1" ht="17.25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1"/>
        <v>TER A</v>
      </c>
      <c r="K8" s="182">
        <f t="shared" ref="K8:K27" si="5">30*121333.33</f>
        <v>3639999.9</v>
      </c>
      <c r="L8" s="169">
        <f t="shared" ref="L8:L66" si="6">3640000*0.84%</f>
        <v>30575.999999999996</v>
      </c>
      <c r="M8" s="189">
        <f>[7]MAINTENANCE!$AK12</f>
        <v>146800</v>
      </c>
      <c r="N8" s="189">
        <f>[7]MAINTENANCE!$W12</f>
        <v>65250</v>
      </c>
      <c r="O8" s="189"/>
      <c r="P8" s="189">
        <f>[7]MAINTENANCE!$AE12</f>
        <v>0</v>
      </c>
      <c r="Q8" s="169">
        <f>[7]MAINTENANCE!$AC12</f>
        <v>0</v>
      </c>
      <c r="R8" s="169"/>
      <c r="S8" s="169"/>
      <c r="T8" s="169"/>
      <c r="U8" s="169"/>
      <c r="V8" s="169"/>
      <c r="W8" s="169"/>
      <c r="X8" s="189">
        <f>[7]MAINTENANCE!$AB12</f>
        <v>30000</v>
      </c>
      <c r="Y8" s="169"/>
      <c r="Z8" s="169"/>
      <c r="AA8" s="169"/>
      <c r="AB8" s="189">
        <f>-[7]MAINTENANCE!$BA12</f>
        <v>-121333.33</v>
      </c>
      <c r="AC8" s="189"/>
      <c r="AD8" s="169"/>
      <c r="AE8" s="183">
        <f>ROUNDDOWN(SUM(K8:AD8),0)</f>
        <v>3791292</v>
      </c>
      <c r="AF8" s="184">
        <f t="shared" si="0"/>
        <v>0</v>
      </c>
      <c r="AG8" s="152">
        <f t="shared" ref="AG8:AG66" si="7">ROUNDDOWN(IF(H8=0,AE8*AF8*120%,AE8*AF8),0)</f>
        <v>0</v>
      </c>
      <c r="AH8" s="211"/>
      <c r="AI8" s="172">
        <f>AG8-AH8</f>
        <v>0</v>
      </c>
      <c r="AJ8" s="93"/>
      <c r="AK8" s="146">
        <f t="shared" ref="AK8:AK66" si="8">AJ8-AI8</f>
        <v>0</v>
      </c>
      <c r="AL8" s="213"/>
      <c r="AM8" s="214"/>
      <c r="AO8" s="199">
        <f>[7]MAINTENANCE!$AF12</f>
        <v>3613916.5700000003</v>
      </c>
      <c r="AP8" s="200">
        <f t="shared" si="2"/>
        <v>177376</v>
      </c>
      <c r="AQ8" s="199">
        <f>AO8+AP8</f>
        <v>3791292.5700000003</v>
      </c>
      <c r="AR8" s="201">
        <f t="shared" si="4"/>
        <v>0.57000000029802322</v>
      </c>
      <c r="AT8" s="200">
        <f>AB8+AR8</f>
        <v>-121332.7599999997</v>
      </c>
    </row>
    <row r="9" spans="2:46" s="173" customFormat="1" ht="17.25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1"/>
        <v>TER A</v>
      </c>
      <c r="K9" s="182">
        <f t="shared" si="5"/>
        <v>3639999.9</v>
      </c>
      <c r="L9" s="169">
        <f t="shared" si="6"/>
        <v>30575.999999999996</v>
      </c>
      <c r="M9" s="189">
        <f>[7]MAINTENANCE!$AK13</f>
        <v>147480</v>
      </c>
      <c r="N9" s="189">
        <f>[7]MAINTENANCE!$W13</f>
        <v>65250</v>
      </c>
      <c r="O9" s="189"/>
      <c r="P9" s="189">
        <f>[7]MAINTENANCE!$AE13</f>
        <v>0</v>
      </c>
      <c r="Q9" s="169">
        <f>[7]MAINTENANCE!$AC13</f>
        <v>0</v>
      </c>
      <c r="R9" s="169"/>
      <c r="S9" s="169"/>
      <c r="T9" s="169"/>
      <c r="U9" s="169"/>
      <c r="V9" s="169"/>
      <c r="W9" s="169"/>
      <c r="X9" s="189">
        <f>[7]MAINTENANCE!$AB13</f>
        <v>47000</v>
      </c>
      <c r="Y9" s="169"/>
      <c r="Z9" s="169"/>
      <c r="AA9" s="169"/>
      <c r="AB9" s="189">
        <f>-[7]MAINTENANCE!$BA13</f>
        <v>-121333.33</v>
      </c>
      <c r="AC9" s="189"/>
      <c r="AD9" s="169"/>
      <c r="AE9" s="183">
        <f t="shared" ref="AE9:AE65" si="9">ROUNDDOWN(SUM(K9:AD9),0)</f>
        <v>3808972</v>
      </c>
      <c r="AF9" s="184">
        <f t="shared" si="0"/>
        <v>0</v>
      </c>
      <c r="AG9" s="152">
        <f t="shared" si="7"/>
        <v>0</v>
      </c>
      <c r="AH9" s="211"/>
      <c r="AI9" s="172">
        <f t="shared" ref="AI9:AI66" si="10">AG9-AH9</f>
        <v>0</v>
      </c>
      <c r="AJ9" s="93"/>
      <c r="AK9" s="146">
        <f t="shared" si="8"/>
        <v>0</v>
      </c>
      <c r="AL9" s="213"/>
      <c r="AM9" s="214"/>
      <c r="AO9" s="199">
        <f>[7]MAINTENANCE!$AF13</f>
        <v>3630916.5700000003</v>
      </c>
      <c r="AP9" s="200">
        <f t="shared" si="2"/>
        <v>178056</v>
      </c>
      <c r="AQ9" s="199">
        <f t="shared" si="3"/>
        <v>3808972.5700000003</v>
      </c>
      <c r="AR9" s="201">
        <f t="shared" si="4"/>
        <v>0.57000000029802322</v>
      </c>
      <c r="AT9" s="200">
        <f>AB9+AR9</f>
        <v>-121332.7599999997</v>
      </c>
    </row>
    <row r="10" spans="2:46" s="173" customFormat="1" ht="17.25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1"/>
        <v>TER A</v>
      </c>
      <c r="K10" s="182">
        <f t="shared" si="5"/>
        <v>3639999.9</v>
      </c>
      <c r="L10" s="169">
        <f t="shared" si="6"/>
        <v>30575.999999999996</v>
      </c>
      <c r="M10" s="189">
        <f>[7]MAINTENANCE!$AK14</f>
        <v>146800</v>
      </c>
      <c r="N10" s="189">
        <f>[7]MAINTENANCE!$W14</f>
        <v>63000</v>
      </c>
      <c r="O10" s="189"/>
      <c r="P10" s="189">
        <f>[7]MAINTENANCE!$AE14</f>
        <v>0</v>
      </c>
      <c r="Q10" s="169">
        <f>[7]MAINTENANCE!$AC14</f>
        <v>0</v>
      </c>
      <c r="R10" s="169"/>
      <c r="S10" s="169"/>
      <c r="T10" s="169"/>
      <c r="U10" s="169"/>
      <c r="V10" s="169"/>
      <c r="W10" s="169"/>
      <c r="X10" s="189">
        <f>[7]MAINTENANCE!$AB14</f>
        <v>30000</v>
      </c>
      <c r="Y10" s="169"/>
      <c r="Z10" s="169"/>
      <c r="AA10" s="169"/>
      <c r="AB10" s="189">
        <f>-[7]MAINTENANCE!$BA14</f>
        <v>-242666.66</v>
      </c>
      <c r="AC10" s="189"/>
      <c r="AD10" s="169"/>
      <c r="AE10" s="183">
        <f t="shared" si="9"/>
        <v>3667709</v>
      </c>
      <c r="AF10" s="184">
        <f t="shared" si="0"/>
        <v>0</v>
      </c>
      <c r="AG10" s="152">
        <f t="shared" si="7"/>
        <v>0</v>
      </c>
      <c r="AH10" s="211"/>
      <c r="AI10" s="172">
        <f t="shared" si="10"/>
        <v>0</v>
      </c>
      <c r="AJ10" s="93"/>
      <c r="AK10" s="146">
        <f t="shared" si="8"/>
        <v>0</v>
      </c>
      <c r="AL10" s="213"/>
      <c r="AM10" s="214"/>
      <c r="AO10" s="199">
        <f>[7]MAINTENANCE!$AF14</f>
        <v>3490333.24</v>
      </c>
      <c r="AP10" s="200">
        <f t="shared" si="2"/>
        <v>177376</v>
      </c>
      <c r="AQ10" s="199">
        <f t="shared" si="3"/>
        <v>3667709.24</v>
      </c>
      <c r="AR10" s="201">
        <f t="shared" si="4"/>
        <v>0.24000000022351742</v>
      </c>
    </row>
    <row r="11" spans="2:46" s="173" customFormat="1" ht="17.25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1"/>
        <v>TER A</v>
      </c>
      <c r="K11" s="182">
        <f t="shared" si="5"/>
        <v>3639999.9</v>
      </c>
      <c r="L11" s="169">
        <f t="shared" si="6"/>
        <v>30575.999999999996</v>
      </c>
      <c r="M11" s="189">
        <f>[7]MAINTENANCE!$AK15</f>
        <v>147340</v>
      </c>
      <c r="N11" s="189">
        <f>[7]MAINTENANCE!$W15</f>
        <v>65250</v>
      </c>
      <c r="O11" s="189"/>
      <c r="P11" s="189">
        <f>[7]MAINTENANCE!$AE15</f>
        <v>0</v>
      </c>
      <c r="Q11" s="169">
        <f>[7]MAINTENANCE!$AC15</f>
        <v>0</v>
      </c>
      <c r="R11" s="169"/>
      <c r="S11" s="169"/>
      <c r="T11" s="169"/>
      <c r="U11" s="169"/>
      <c r="V11" s="169"/>
      <c r="W11" s="169"/>
      <c r="X11" s="189">
        <f>[7]MAINTENANCE!$AB15</f>
        <v>43500</v>
      </c>
      <c r="Y11" s="169"/>
      <c r="Z11" s="169"/>
      <c r="AA11" s="169"/>
      <c r="AB11" s="189">
        <f>-[7]MAINTENANCE!$BA15</f>
        <v>-121333.33</v>
      </c>
      <c r="AC11" s="189"/>
      <c r="AD11" s="169"/>
      <c r="AE11" s="183">
        <f t="shared" si="9"/>
        <v>3805332</v>
      </c>
      <c r="AF11" s="184">
        <f t="shared" si="0"/>
        <v>0</v>
      </c>
      <c r="AG11" s="152">
        <f t="shared" si="7"/>
        <v>0</v>
      </c>
      <c r="AH11" s="211"/>
      <c r="AI11" s="172">
        <f t="shared" si="10"/>
        <v>0</v>
      </c>
      <c r="AJ11" s="93"/>
      <c r="AK11" s="146">
        <f t="shared" si="8"/>
        <v>0</v>
      </c>
      <c r="AL11" s="213"/>
      <c r="AM11" s="214"/>
      <c r="AO11" s="199">
        <f>[7]MAINTENANCE!$AF15</f>
        <v>3627416.57</v>
      </c>
      <c r="AP11" s="200">
        <f t="shared" si="2"/>
        <v>177916</v>
      </c>
      <c r="AQ11" s="199">
        <f t="shared" si="3"/>
        <v>3805332.57</v>
      </c>
      <c r="AR11" s="201">
        <f t="shared" si="4"/>
        <v>0.56999999983236194</v>
      </c>
    </row>
    <row r="12" spans="2:46" s="173" customFormat="1" ht="17.25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1"/>
        <v>TER A</v>
      </c>
      <c r="K12" s="182">
        <f t="shared" si="5"/>
        <v>3639999.9</v>
      </c>
      <c r="L12" s="169">
        <f t="shared" si="6"/>
        <v>30575.999999999996</v>
      </c>
      <c r="M12" s="189">
        <f>[7]MAINTENANCE!$AK16</f>
        <v>147480</v>
      </c>
      <c r="N12" s="189">
        <f>[7]MAINTENANCE!$W16</f>
        <v>67500</v>
      </c>
      <c r="O12" s="189"/>
      <c r="P12" s="189">
        <f>[7]MAINTENANCE!$AE16</f>
        <v>0</v>
      </c>
      <c r="Q12" s="169">
        <f>[7]MAINTENANCE!$AC16</f>
        <v>0</v>
      </c>
      <c r="R12" s="169"/>
      <c r="S12" s="169"/>
      <c r="T12" s="169"/>
      <c r="U12" s="169"/>
      <c r="V12" s="169"/>
      <c r="W12" s="169"/>
      <c r="X12" s="189">
        <f>[7]MAINTENANCE!$AB16</f>
        <v>47000</v>
      </c>
      <c r="Y12" s="169"/>
      <c r="Z12" s="169"/>
      <c r="AA12" s="169"/>
      <c r="AB12" s="189">
        <f>-[7]MAINTENANCE!$BA16</f>
        <v>0</v>
      </c>
      <c r="AC12" s="189"/>
      <c r="AD12" s="169"/>
      <c r="AE12" s="183">
        <f t="shared" si="9"/>
        <v>3932555</v>
      </c>
      <c r="AF12" s="184">
        <f t="shared" si="0"/>
        <v>0</v>
      </c>
      <c r="AG12" s="152">
        <f t="shared" si="7"/>
        <v>0</v>
      </c>
      <c r="AH12" s="211"/>
      <c r="AI12" s="172">
        <f t="shared" si="10"/>
        <v>0</v>
      </c>
      <c r="AJ12" s="93"/>
      <c r="AK12" s="146">
        <f t="shared" si="8"/>
        <v>0</v>
      </c>
      <c r="AL12" s="213"/>
      <c r="AM12" s="214"/>
      <c r="AO12" s="199">
        <f>[7]MAINTENANCE!$AF16</f>
        <v>3754499.9</v>
      </c>
      <c r="AP12" s="200">
        <f t="shared" si="2"/>
        <v>178056</v>
      </c>
      <c r="AQ12" s="199">
        <f t="shared" si="3"/>
        <v>3932555.9</v>
      </c>
      <c r="AR12" s="201">
        <f t="shared" si="4"/>
        <v>0.89999999990686774</v>
      </c>
    </row>
    <row r="13" spans="2:46" s="173" customFormat="1" ht="17.25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1"/>
        <v>TER A</v>
      </c>
      <c r="K13" s="182">
        <f t="shared" si="5"/>
        <v>3639999.9</v>
      </c>
      <c r="L13" s="169">
        <f t="shared" si="6"/>
        <v>30575.999999999996</v>
      </c>
      <c r="M13" s="189">
        <f>[7]MAINTENANCE!$AK17</f>
        <v>147480</v>
      </c>
      <c r="N13" s="189">
        <f>[7]MAINTENANCE!$W17</f>
        <v>65250</v>
      </c>
      <c r="O13" s="189"/>
      <c r="P13" s="189">
        <f>[7]MAINTENANCE!$AE17</f>
        <v>0</v>
      </c>
      <c r="Q13" s="169">
        <f>[7]MAINTENANCE!$AC17</f>
        <v>0</v>
      </c>
      <c r="R13" s="169"/>
      <c r="S13" s="169"/>
      <c r="T13" s="169"/>
      <c r="U13" s="169"/>
      <c r="V13" s="169"/>
      <c r="W13" s="169"/>
      <c r="X13" s="189">
        <f>[7]MAINTENANCE!$AB17</f>
        <v>47000</v>
      </c>
      <c r="Y13" s="169"/>
      <c r="Z13" s="169"/>
      <c r="AA13" s="169"/>
      <c r="AB13" s="189">
        <f>-[7]MAINTENANCE!$BA17</f>
        <v>-121333.33</v>
      </c>
      <c r="AC13" s="189"/>
      <c r="AD13" s="169"/>
      <c r="AE13" s="183">
        <f t="shared" si="9"/>
        <v>3808972</v>
      </c>
      <c r="AF13" s="184">
        <f t="shared" si="0"/>
        <v>0</v>
      </c>
      <c r="AG13" s="152">
        <f t="shared" si="7"/>
        <v>0</v>
      </c>
      <c r="AH13" s="211"/>
      <c r="AI13" s="172">
        <f t="shared" si="10"/>
        <v>0</v>
      </c>
      <c r="AJ13" s="93"/>
      <c r="AK13" s="146">
        <f t="shared" si="8"/>
        <v>0</v>
      </c>
      <c r="AL13" s="213"/>
      <c r="AM13" s="214"/>
      <c r="AO13" s="199">
        <f>[7]MAINTENANCE!$AF17</f>
        <v>3630916.57</v>
      </c>
      <c r="AP13" s="200">
        <f t="shared" si="2"/>
        <v>178056</v>
      </c>
      <c r="AQ13" s="199">
        <f t="shared" si="3"/>
        <v>3808972.57</v>
      </c>
      <c r="AR13" s="201">
        <f t="shared" si="4"/>
        <v>0.56999999983236194</v>
      </c>
    </row>
    <row r="14" spans="2:46" s="173" customFormat="1" ht="17.25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1"/>
        <v>TER A</v>
      </c>
      <c r="K14" s="182">
        <f t="shared" si="5"/>
        <v>3639999.9</v>
      </c>
      <c r="L14" s="169">
        <f t="shared" si="6"/>
        <v>30575.999999999996</v>
      </c>
      <c r="M14" s="189">
        <f>[7]MAINTENANCE!$AK18</f>
        <v>147480</v>
      </c>
      <c r="N14" s="189">
        <f>[7]MAINTENANCE!$W18</f>
        <v>67500</v>
      </c>
      <c r="O14" s="189"/>
      <c r="P14" s="189">
        <f>[7]MAINTENANCE!$AE18</f>
        <v>0</v>
      </c>
      <c r="Q14" s="169">
        <f>[7]MAINTENANCE!$AC18</f>
        <v>0</v>
      </c>
      <c r="R14" s="169"/>
      <c r="S14" s="169"/>
      <c r="T14" s="169"/>
      <c r="U14" s="169"/>
      <c r="V14" s="169"/>
      <c r="W14" s="169"/>
      <c r="X14" s="189">
        <f>[7]MAINTENANCE!$AB18</f>
        <v>47000</v>
      </c>
      <c r="Y14" s="169"/>
      <c r="Z14" s="169"/>
      <c r="AA14" s="169"/>
      <c r="AB14" s="189">
        <f>-[7]MAINTENANCE!$BA18</f>
        <v>0</v>
      </c>
      <c r="AC14" s="189"/>
      <c r="AD14" s="169"/>
      <c r="AE14" s="183">
        <f t="shared" si="9"/>
        <v>3932555</v>
      </c>
      <c r="AF14" s="184">
        <f t="shared" si="0"/>
        <v>0</v>
      </c>
      <c r="AG14" s="152">
        <f t="shared" si="7"/>
        <v>0</v>
      </c>
      <c r="AH14" s="211"/>
      <c r="AI14" s="172">
        <f t="shared" si="10"/>
        <v>0</v>
      </c>
      <c r="AJ14" s="93"/>
      <c r="AK14" s="146">
        <f t="shared" si="8"/>
        <v>0</v>
      </c>
      <c r="AL14" s="213"/>
      <c r="AM14" s="214"/>
      <c r="AO14" s="199">
        <f>[7]MAINTENANCE!$AF18</f>
        <v>3754499.9</v>
      </c>
      <c r="AP14" s="200">
        <f t="shared" si="2"/>
        <v>178056</v>
      </c>
      <c r="AQ14" s="199">
        <f t="shared" si="3"/>
        <v>3932555.9</v>
      </c>
      <c r="AR14" s="201">
        <f t="shared" si="4"/>
        <v>0.89999999990686774</v>
      </c>
    </row>
    <row r="15" spans="2:46" s="173" customFormat="1" ht="17.25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1"/>
        <v>TER A</v>
      </c>
      <c r="K15" s="182">
        <f t="shared" si="5"/>
        <v>3639999.9</v>
      </c>
      <c r="L15" s="169">
        <f t="shared" si="6"/>
        <v>30575.999999999996</v>
      </c>
      <c r="M15" s="189">
        <f>[7]MAINTENANCE!$AK19</f>
        <v>147620</v>
      </c>
      <c r="N15" s="189">
        <f>[7]MAINTENANCE!$W19</f>
        <v>63000</v>
      </c>
      <c r="O15" s="189"/>
      <c r="P15" s="189">
        <f>[7]MAINTENANCE!$AE19</f>
        <v>0</v>
      </c>
      <c r="Q15" s="169">
        <f>[7]MAINTENANCE!$AC19</f>
        <v>0</v>
      </c>
      <c r="R15" s="169"/>
      <c r="S15" s="169"/>
      <c r="T15" s="169"/>
      <c r="U15" s="169"/>
      <c r="V15" s="169"/>
      <c r="W15" s="169"/>
      <c r="X15" s="189">
        <f>[7]MAINTENANCE!$AB19</f>
        <v>50500</v>
      </c>
      <c r="Y15" s="169"/>
      <c r="Z15" s="169"/>
      <c r="AA15" s="169"/>
      <c r="AB15" s="189">
        <f>-[7]MAINTENANCE!$BA19</f>
        <v>-242666.66</v>
      </c>
      <c r="AC15" s="189"/>
      <c r="AD15" s="169"/>
      <c r="AE15" s="183">
        <f t="shared" si="9"/>
        <v>3689029</v>
      </c>
      <c r="AF15" s="184">
        <f t="shared" si="0"/>
        <v>0</v>
      </c>
      <c r="AG15" s="152">
        <f t="shared" si="7"/>
        <v>0</v>
      </c>
      <c r="AH15" s="211"/>
      <c r="AI15" s="172">
        <f t="shared" si="10"/>
        <v>0</v>
      </c>
      <c r="AJ15" s="93"/>
      <c r="AK15" s="146">
        <f t="shared" si="8"/>
        <v>0</v>
      </c>
      <c r="AL15" s="213"/>
      <c r="AM15" s="214"/>
      <c r="AO15" s="199">
        <f>[7]MAINTENANCE!$AF19</f>
        <v>3510833.24</v>
      </c>
      <c r="AP15" s="200">
        <f t="shared" si="2"/>
        <v>178196</v>
      </c>
      <c r="AQ15" s="199">
        <f t="shared" si="3"/>
        <v>3689029.24</v>
      </c>
      <c r="AR15" s="201">
        <f t="shared" si="4"/>
        <v>0.24000000022351742</v>
      </c>
    </row>
    <row r="16" spans="2:46" s="173" customFormat="1" ht="17.25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1"/>
        <v>TER A</v>
      </c>
      <c r="K16" s="182">
        <f t="shared" si="5"/>
        <v>3639999.9</v>
      </c>
      <c r="L16" s="169">
        <f t="shared" si="6"/>
        <v>30575.999999999996</v>
      </c>
      <c r="M16" s="189">
        <f>[7]MAINTENANCE!$AK20</f>
        <v>147480</v>
      </c>
      <c r="N16" s="189">
        <f>[7]MAINTENANCE!$W20</f>
        <v>67500</v>
      </c>
      <c r="O16" s="189"/>
      <c r="P16" s="189">
        <f>[7]MAINTENANCE!$AE20</f>
        <v>0</v>
      </c>
      <c r="Q16" s="169">
        <f>[7]MAINTENANCE!$AC20</f>
        <v>0</v>
      </c>
      <c r="R16" s="169"/>
      <c r="S16" s="169"/>
      <c r="T16" s="169"/>
      <c r="U16" s="169"/>
      <c r="V16" s="169"/>
      <c r="W16" s="169"/>
      <c r="X16" s="189">
        <f>[7]MAINTENANCE!$AB20</f>
        <v>47000</v>
      </c>
      <c r="Y16" s="169"/>
      <c r="Z16" s="169"/>
      <c r="AA16" s="169"/>
      <c r="AB16" s="189">
        <f>-[7]MAINTENANCE!$BA20</f>
        <v>0</v>
      </c>
      <c r="AC16" s="189"/>
      <c r="AD16" s="169"/>
      <c r="AE16" s="183">
        <f t="shared" si="9"/>
        <v>3932555</v>
      </c>
      <c r="AF16" s="184">
        <f t="shared" si="0"/>
        <v>0</v>
      </c>
      <c r="AG16" s="152">
        <f t="shared" si="7"/>
        <v>0</v>
      </c>
      <c r="AH16" s="211"/>
      <c r="AI16" s="172">
        <f t="shared" si="10"/>
        <v>0</v>
      </c>
      <c r="AJ16" s="93"/>
      <c r="AK16" s="146">
        <f t="shared" si="8"/>
        <v>0</v>
      </c>
      <c r="AL16" s="213"/>
      <c r="AM16" s="214"/>
      <c r="AO16" s="199">
        <f>[7]MAINTENANCE!$AF20</f>
        <v>3754499.9</v>
      </c>
      <c r="AP16" s="200">
        <f t="shared" si="2"/>
        <v>178056</v>
      </c>
      <c r="AQ16" s="199">
        <f t="shared" si="3"/>
        <v>3932555.9</v>
      </c>
      <c r="AR16" s="201">
        <f t="shared" si="4"/>
        <v>0.89999999990686774</v>
      </c>
    </row>
    <row r="17" spans="2:44" s="173" customFormat="1" ht="17.25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1"/>
        <v>TER A</v>
      </c>
      <c r="K17" s="182">
        <f t="shared" si="5"/>
        <v>3639999.9</v>
      </c>
      <c r="L17" s="169">
        <f t="shared" si="6"/>
        <v>30575.999999999996</v>
      </c>
      <c r="M17" s="189">
        <f>[7]MAINTENANCE!$AK21</f>
        <v>147340</v>
      </c>
      <c r="N17" s="189">
        <f>[7]MAINTENANCE!$W21</f>
        <v>63000</v>
      </c>
      <c r="O17" s="189"/>
      <c r="P17" s="189">
        <f>[7]MAINTENANCE!$AE21</f>
        <v>0</v>
      </c>
      <c r="Q17" s="169">
        <f>[7]MAINTENANCE!$AC21</f>
        <v>0</v>
      </c>
      <c r="R17" s="169"/>
      <c r="S17" s="169"/>
      <c r="T17" s="169"/>
      <c r="U17" s="169"/>
      <c r="V17" s="169"/>
      <c r="W17" s="169"/>
      <c r="X17" s="189">
        <f>[7]MAINTENANCE!$AB21</f>
        <v>43500</v>
      </c>
      <c r="Y17" s="169"/>
      <c r="Z17" s="169"/>
      <c r="AA17" s="169"/>
      <c r="AB17" s="189">
        <f>-[7]MAINTENANCE!$BA21</f>
        <v>-242666.66</v>
      </c>
      <c r="AC17" s="189"/>
      <c r="AD17" s="169"/>
      <c r="AE17" s="183">
        <f t="shared" si="9"/>
        <v>3681749</v>
      </c>
      <c r="AF17" s="184">
        <f t="shared" si="0"/>
        <v>0</v>
      </c>
      <c r="AG17" s="152">
        <f t="shared" si="7"/>
        <v>0</v>
      </c>
      <c r="AH17" s="211"/>
      <c r="AI17" s="172">
        <f t="shared" si="10"/>
        <v>0</v>
      </c>
      <c r="AJ17" s="93"/>
      <c r="AK17" s="146">
        <f t="shared" si="8"/>
        <v>0</v>
      </c>
      <c r="AL17" s="213"/>
      <c r="AM17" s="214"/>
      <c r="AO17" s="199">
        <f>[7]MAINTENANCE!$AF21</f>
        <v>3503833.2399999998</v>
      </c>
      <c r="AP17" s="200">
        <f t="shared" si="2"/>
        <v>177916</v>
      </c>
      <c r="AQ17" s="199">
        <f t="shared" si="3"/>
        <v>3681749.2399999998</v>
      </c>
      <c r="AR17" s="201">
        <f t="shared" si="4"/>
        <v>0.23999999975785613</v>
      </c>
    </row>
    <row r="18" spans="2:44" s="173" customFormat="1" ht="17.25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1"/>
        <v>TER A</v>
      </c>
      <c r="K18" s="182">
        <f t="shared" si="5"/>
        <v>3639999.9</v>
      </c>
      <c r="L18" s="169">
        <f t="shared" si="6"/>
        <v>30575.999999999996</v>
      </c>
      <c r="M18" s="189">
        <f>[7]MAINTENANCE!$AK22</f>
        <v>147340</v>
      </c>
      <c r="N18" s="189">
        <f>[7]MAINTENANCE!$W22</f>
        <v>65250</v>
      </c>
      <c r="O18" s="189"/>
      <c r="P18" s="189">
        <f>[7]MAINTENANCE!$AE22</f>
        <v>0</v>
      </c>
      <c r="Q18" s="169">
        <f>[7]MAINTENANCE!$AC22</f>
        <v>0</v>
      </c>
      <c r="R18" s="169"/>
      <c r="S18" s="169">
        <f>[7]MAINTENANCE!$AD$22</f>
        <v>3150</v>
      </c>
      <c r="T18" s="169"/>
      <c r="U18" s="169"/>
      <c r="V18" s="169"/>
      <c r="W18" s="169"/>
      <c r="X18" s="189">
        <f>[7]MAINTENANCE!$AB22</f>
        <v>43500</v>
      </c>
      <c r="Y18" s="169"/>
      <c r="Z18" s="169"/>
      <c r="AA18" s="169"/>
      <c r="AB18" s="189">
        <f>-[7]MAINTENANCE!$BA22</f>
        <v>-121333.33</v>
      </c>
      <c r="AC18" s="189"/>
      <c r="AD18" s="169"/>
      <c r="AE18" s="183">
        <f t="shared" si="9"/>
        <v>3808482</v>
      </c>
      <c r="AF18" s="184">
        <f t="shared" si="0"/>
        <v>0</v>
      </c>
      <c r="AG18" s="152">
        <f t="shared" si="7"/>
        <v>0</v>
      </c>
      <c r="AH18" s="211"/>
      <c r="AI18" s="172">
        <f t="shared" si="10"/>
        <v>0</v>
      </c>
      <c r="AJ18" s="93"/>
      <c r="AK18" s="146">
        <f t="shared" si="8"/>
        <v>0</v>
      </c>
      <c r="AL18" s="213"/>
      <c r="AM18" s="214"/>
      <c r="AO18" s="199">
        <f>[7]MAINTENANCE!$AF22</f>
        <v>3630566.57</v>
      </c>
      <c r="AP18" s="200">
        <f t="shared" si="2"/>
        <v>177916</v>
      </c>
      <c r="AQ18" s="199">
        <f t="shared" si="3"/>
        <v>3808482.57</v>
      </c>
      <c r="AR18" s="201">
        <f t="shared" si="4"/>
        <v>0.56999999983236194</v>
      </c>
    </row>
    <row r="19" spans="2:44" s="173" customFormat="1" ht="17.25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1"/>
        <v>TER A</v>
      </c>
      <c r="K19" s="182">
        <f t="shared" si="5"/>
        <v>3639999.9</v>
      </c>
      <c r="L19" s="169">
        <f t="shared" si="6"/>
        <v>30575.999999999996</v>
      </c>
      <c r="M19" s="189">
        <f>[7]MAINTENANCE!$AK23</f>
        <v>146920</v>
      </c>
      <c r="N19" s="189">
        <f>[7]MAINTENANCE!$W23</f>
        <v>65250</v>
      </c>
      <c r="O19" s="189"/>
      <c r="P19" s="189">
        <f>[7]MAINTENANCE!$AE23</f>
        <v>0</v>
      </c>
      <c r="Q19" s="169">
        <f>[7]MAINTENANCE!$AC23</f>
        <v>0</v>
      </c>
      <c r="R19" s="169"/>
      <c r="S19" s="169"/>
      <c r="T19" s="169"/>
      <c r="U19" s="169"/>
      <c r="V19" s="169"/>
      <c r="W19" s="169"/>
      <c r="X19" s="189">
        <f>[7]MAINTENANCE!$AB23</f>
        <v>33000</v>
      </c>
      <c r="Y19" s="169"/>
      <c r="Z19" s="169"/>
      <c r="AA19" s="169"/>
      <c r="AB19" s="189">
        <f>-[7]MAINTENANCE!$BA23</f>
        <v>-121333.33</v>
      </c>
      <c r="AC19" s="189"/>
      <c r="AD19" s="169"/>
      <c r="AE19" s="183">
        <f t="shared" si="9"/>
        <v>3794412</v>
      </c>
      <c r="AF19" s="184">
        <f t="shared" si="0"/>
        <v>0</v>
      </c>
      <c r="AG19" s="152">
        <f t="shared" si="7"/>
        <v>0</v>
      </c>
      <c r="AH19" s="211"/>
      <c r="AI19" s="172">
        <f t="shared" si="10"/>
        <v>0</v>
      </c>
      <c r="AJ19" s="93"/>
      <c r="AK19" s="146">
        <f t="shared" si="8"/>
        <v>0</v>
      </c>
      <c r="AL19" s="213"/>
      <c r="AM19" s="214"/>
      <c r="AO19" s="199">
        <f>[7]MAINTENANCE!$AF23</f>
        <v>3616916.5700000003</v>
      </c>
      <c r="AP19" s="200">
        <f t="shared" si="2"/>
        <v>177496</v>
      </c>
      <c r="AQ19" s="199">
        <f t="shared" si="3"/>
        <v>3794412.5700000003</v>
      </c>
      <c r="AR19" s="201">
        <f t="shared" si="4"/>
        <v>0.57000000029802322</v>
      </c>
    </row>
    <row r="20" spans="2:44" s="173" customFormat="1" ht="17.25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1"/>
        <v>TER C</v>
      </c>
      <c r="K20" s="182">
        <f t="shared" si="5"/>
        <v>3639999.9</v>
      </c>
      <c r="L20" s="169">
        <f t="shared" si="6"/>
        <v>30575.999999999996</v>
      </c>
      <c r="M20" s="189">
        <f>[7]MAINTENANCE!$AK24</f>
        <v>147340</v>
      </c>
      <c r="N20" s="189">
        <f>[7]MAINTENANCE!$W24</f>
        <v>130500</v>
      </c>
      <c r="O20" s="189"/>
      <c r="P20" s="189">
        <f>[7]MAINTENANCE!$AE24</f>
        <v>0</v>
      </c>
      <c r="Q20" s="169">
        <f>[7]MAINTENANCE!$AC24</f>
        <v>0</v>
      </c>
      <c r="R20" s="169"/>
      <c r="S20" s="169"/>
      <c r="T20" s="169"/>
      <c r="U20" s="169"/>
      <c r="V20" s="169"/>
      <c r="W20" s="169"/>
      <c r="X20" s="189">
        <f>[7]MAINTENANCE!$AB24</f>
        <v>43500</v>
      </c>
      <c r="Y20" s="169"/>
      <c r="Z20" s="169"/>
      <c r="AA20" s="169"/>
      <c r="AB20" s="189">
        <f>-[7]MAINTENANCE!$BA24</f>
        <v>-121333.33</v>
      </c>
      <c r="AC20" s="189"/>
      <c r="AD20" s="169"/>
      <c r="AE20" s="183">
        <f t="shared" si="9"/>
        <v>3870582</v>
      </c>
      <c r="AF20" s="184">
        <f t="shared" si="0"/>
        <v>0</v>
      </c>
      <c r="AG20" s="152">
        <f t="shared" si="7"/>
        <v>0</v>
      </c>
      <c r="AH20" s="211"/>
      <c r="AI20" s="172">
        <f t="shared" si="10"/>
        <v>0</v>
      </c>
      <c r="AJ20" s="93"/>
      <c r="AK20" s="146">
        <f t="shared" si="8"/>
        <v>0</v>
      </c>
      <c r="AL20" s="213"/>
      <c r="AM20" s="214"/>
      <c r="AO20" s="199">
        <f>[7]MAINTENANCE!$AF24</f>
        <v>3692666.57</v>
      </c>
      <c r="AP20" s="200">
        <f t="shared" si="2"/>
        <v>177916</v>
      </c>
      <c r="AQ20" s="199">
        <f t="shared" si="3"/>
        <v>3870582.57</v>
      </c>
      <c r="AR20" s="201">
        <f t="shared" si="4"/>
        <v>0.56999999983236194</v>
      </c>
    </row>
    <row r="21" spans="2:44" s="173" customFormat="1" ht="17.25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1"/>
        <v>TER B</v>
      </c>
      <c r="K21" s="182">
        <f t="shared" si="5"/>
        <v>3639999.9</v>
      </c>
      <c r="L21" s="169">
        <f t="shared" si="6"/>
        <v>30575.999999999996</v>
      </c>
      <c r="M21" s="189">
        <f>[7]MAINTENANCE!$AK25</f>
        <v>146680</v>
      </c>
      <c r="N21" s="189">
        <f>[7]MAINTENANCE!$W25</f>
        <v>135000</v>
      </c>
      <c r="O21" s="189"/>
      <c r="P21" s="189">
        <f>[7]MAINTENANCE!$AE25</f>
        <v>441849.66</v>
      </c>
      <c r="Q21" s="169">
        <f>[7]MAINTENANCE!$AC25</f>
        <v>200115</v>
      </c>
      <c r="R21" s="169"/>
      <c r="S21" s="169">
        <f>[7]MAINTENANCE!$AD$25</f>
        <v>5250</v>
      </c>
      <c r="T21" s="169"/>
      <c r="U21" s="169"/>
      <c r="V21" s="169"/>
      <c r="W21" s="169"/>
      <c r="X21" s="189">
        <f>[7]MAINTENANCE!$AB25</f>
        <v>27000</v>
      </c>
      <c r="Y21" s="169"/>
      <c r="Z21" s="169"/>
      <c r="AA21" s="169"/>
      <c r="AB21" s="189">
        <f>-[7]MAINTENANCE!$BA25</f>
        <v>0</v>
      </c>
      <c r="AC21" s="189"/>
      <c r="AD21" s="169"/>
      <c r="AE21" s="183">
        <f>ROUNDDOWN(SUM(K21:AD21),0)</f>
        <v>4626470</v>
      </c>
      <c r="AF21" s="184">
        <f t="shared" si="0"/>
        <v>0</v>
      </c>
      <c r="AG21" s="152">
        <f t="shared" si="7"/>
        <v>0</v>
      </c>
      <c r="AH21" s="211"/>
      <c r="AI21" s="172">
        <f t="shared" si="10"/>
        <v>0</v>
      </c>
      <c r="AJ21" s="93"/>
      <c r="AK21" s="146">
        <f t="shared" si="8"/>
        <v>0</v>
      </c>
      <c r="AL21" s="213"/>
      <c r="AM21" s="214"/>
      <c r="AO21" s="199">
        <f>[7]MAINTENANCE!$AF25</f>
        <v>4449214.5599999996</v>
      </c>
      <c r="AP21" s="200">
        <f t="shared" si="2"/>
        <v>177256</v>
      </c>
      <c r="AQ21" s="199">
        <f>AO21+AP21</f>
        <v>4626470.5599999996</v>
      </c>
      <c r="AR21" s="201">
        <f>AQ21-AE21</f>
        <v>0.55999999959021807</v>
      </c>
    </row>
    <row r="22" spans="2:44" s="173" customFormat="1" ht="17.25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1"/>
        <v>TER A</v>
      </c>
      <c r="K22" s="182">
        <f t="shared" si="5"/>
        <v>3639999.9</v>
      </c>
      <c r="L22" s="169">
        <f t="shared" si="6"/>
        <v>30575.999999999996</v>
      </c>
      <c r="M22" s="189">
        <f>[7]MAINTENANCE!$AK26</f>
        <v>147480</v>
      </c>
      <c r="N22" s="189">
        <f>[7]MAINTENANCE!$W26</f>
        <v>67500</v>
      </c>
      <c r="O22" s="189"/>
      <c r="P22" s="189">
        <f>[7]MAINTENANCE!$AE26</f>
        <v>0</v>
      </c>
      <c r="Q22" s="169">
        <f>[7]MAINTENANCE!$AC26</f>
        <v>0</v>
      </c>
      <c r="R22" s="169"/>
      <c r="S22" s="169"/>
      <c r="T22" s="169"/>
      <c r="U22" s="169"/>
      <c r="V22" s="169"/>
      <c r="W22" s="169"/>
      <c r="X22" s="189">
        <f>[7]MAINTENANCE!$AB26</f>
        <v>47000</v>
      </c>
      <c r="Y22" s="169"/>
      <c r="Z22" s="169"/>
      <c r="AA22" s="169"/>
      <c r="AB22" s="189">
        <f>-[7]MAINTENANCE!$BA26</f>
        <v>0</v>
      </c>
      <c r="AC22" s="189"/>
      <c r="AD22" s="169"/>
      <c r="AE22" s="183">
        <f t="shared" si="9"/>
        <v>3932555</v>
      </c>
      <c r="AF22" s="184">
        <f t="shared" si="0"/>
        <v>0</v>
      </c>
      <c r="AG22" s="152">
        <f t="shared" si="7"/>
        <v>0</v>
      </c>
      <c r="AH22" s="211"/>
      <c r="AI22" s="172">
        <f t="shared" si="10"/>
        <v>0</v>
      </c>
      <c r="AJ22" s="93"/>
      <c r="AK22" s="146">
        <f t="shared" si="8"/>
        <v>0</v>
      </c>
      <c r="AL22" s="213"/>
      <c r="AM22" s="214"/>
      <c r="AO22" s="199">
        <f>[7]MAINTENANCE!$AF26</f>
        <v>3754499.9</v>
      </c>
      <c r="AP22" s="200">
        <f t="shared" si="2"/>
        <v>178056</v>
      </c>
      <c r="AQ22" s="199">
        <f t="shared" si="3"/>
        <v>3932555.9</v>
      </c>
      <c r="AR22" s="201">
        <f t="shared" si="4"/>
        <v>0.89999999990686774</v>
      </c>
    </row>
    <row r="23" spans="2:44" s="173" customFormat="1" ht="17.25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1"/>
        <v>TER A</v>
      </c>
      <c r="K23" s="182">
        <f t="shared" si="5"/>
        <v>3639999.9</v>
      </c>
      <c r="L23" s="169">
        <f t="shared" si="6"/>
        <v>30575.999999999996</v>
      </c>
      <c r="M23" s="189">
        <f>[7]MAINTENANCE!$AK27</f>
        <v>147340</v>
      </c>
      <c r="N23" s="189">
        <f>[7]MAINTENANCE!$W27</f>
        <v>65250</v>
      </c>
      <c r="O23" s="189"/>
      <c r="P23" s="189">
        <f>[7]MAINTENANCE!$AE27</f>
        <v>0</v>
      </c>
      <c r="Q23" s="169">
        <f>[7]MAINTENANCE!$AC27</f>
        <v>0</v>
      </c>
      <c r="R23" s="189"/>
      <c r="S23" s="189"/>
      <c r="T23" s="189"/>
      <c r="U23" s="189"/>
      <c r="V23" s="189"/>
      <c r="W23" s="189"/>
      <c r="X23" s="189">
        <f>[7]MAINTENANCE!$AB27</f>
        <v>43500</v>
      </c>
      <c r="Y23" s="189"/>
      <c r="Z23" s="189"/>
      <c r="AA23" s="189"/>
      <c r="AB23" s="189">
        <f>-[7]MAINTENANCE!$BA27</f>
        <v>-121333.33</v>
      </c>
      <c r="AC23" s="189"/>
      <c r="AD23" s="189"/>
      <c r="AE23" s="183">
        <f t="shared" si="9"/>
        <v>3805332</v>
      </c>
      <c r="AF23" s="184">
        <f t="shared" si="0"/>
        <v>0</v>
      </c>
      <c r="AG23" s="152">
        <f t="shared" si="7"/>
        <v>0</v>
      </c>
      <c r="AH23" s="211"/>
      <c r="AI23" s="172">
        <f t="shared" si="10"/>
        <v>0</v>
      </c>
      <c r="AJ23" s="93"/>
      <c r="AK23" s="146">
        <f t="shared" si="8"/>
        <v>0</v>
      </c>
      <c r="AL23" s="213"/>
      <c r="AM23" s="214"/>
      <c r="AO23" s="199">
        <f>[7]MAINTENANCE!$AF27</f>
        <v>3627416.57</v>
      </c>
      <c r="AP23" s="200">
        <f t="shared" si="2"/>
        <v>177916</v>
      </c>
      <c r="AQ23" s="199">
        <f t="shared" si="3"/>
        <v>3805332.57</v>
      </c>
      <c r="AR23" s="201">
        <f t="shared" si="4"/>
        <v>0.56999999983236194</v>
      </c>
    </row>
    <row r="24" spans="2:44" s="173" customFormat="1" ht="17.25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1"/>
        <v>TER A</v>
      </c>
      <c r="K24" s="182">
        <f t="shared" si="5"/>
        <v>3639999.9</v>
      </c>
      <c r="L24" s="169">
        <f t="shared" si="6"/>
        <v>30575.999999999996</v>
      </c>
      <c r="M24" s="189">
        <f>[7]MAINTENANCE!$AK28</f>
        <v>146800</v>
      </c>
      <c r="N24" s="189">
        <f>[7]MAINTENANCE!$W28</f>
        <v>67500</v>
      </c>
      <c r="O24" s="189">
        <f>[7]MAINTENANCE!$Z28</f>
        <v>38000</v>
      </c>
      <c r="P24" s="189">
        <f>[7]MAINTENANCE!$AE28</f>
        <v>1420231.05</v>
      </c>
      <c r="Q24" s="169">
        <f>[7]MAINTENANCE!$AC28</f>
        <v>0</v>
      </c>
      <c r="R24" s="189"/>
      <c r="S24" s="189"/>
      <c r="T24" s="189"/>
      <c r="U24" s="189"/>
      <c r="V24" s="189"/>
      <c r="W24" s="189"/>
      <c r="X24" s="189">
        <f>[7]MAINTENANCE!$AB28</f>
        <v>30000</v>
      </c>
      <c r="Y24" s="189"/>
      <c r="Z24" s="189"/>
      <c r="AA24" s="189"/>
      <c r="AB24" s="189">
        <f>-[7]MAINTENANCE!$BA28</f>
        <v>0</v>
      </c>
      <c r="AC24" s="189"/>
      <c r="AD24" s="189"/>
      <c r="AE24" s="183">
        <f>ROUNDDOWN(SUM(K24:AD24),0)</f>
        <v>5373106</v>
      </c>
      <c r="AF24" s="184">
        <f t="shared" si="0"/>
        <v>0</v>
      </c>
      <c r="AG24" s="152">
        <f t="shared" si="7"/>
        <v>0</v>
      </c>
      <c r="AH24" s="211"/>
      <c r="AI24" s="172">
        <f t="shared" si="10"/>
        <v>0</v>
      </c>
      <c r="AJ24" s="93"/>
      <c r="AK24" s="146">
        <f t="shared" si="8"/>
        <v>0</v>
      </c>
      <c r="AL24" s="213"/>
      <c r="AM24" s="214"/>
      <c r="AO24" s="199">
        <f>[7]MAINTENANCE!$AF28</f>
        <v>5195730.95</v>
      </c>
      <c r="AP24" s="200">
        <f t="shared" si="2"/>
        <v>177376</v>
      </c>
      <c r="AQ24" s="199">
        <f t="shared" si="3"/>
        <v>5373106.9500000002</v>
      </c>
      <c r="AR24" s="201">
        <f t="shared" si="4"/>
        <v>0.95000000018626451</v>
      </c>
    </row>
    <row r="25" spans="2:44" s="173" customFormat="1" ht="17.25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1"/>
        <v>TER C</v>
      </c>
      <c r="K25" s="182">
        <f t="shared" si="5"/>
        <v>3639999.9</v>
      </c>
      <c r="L25" s="169">
        <f t="shared" si="6"/>
        <v>30575.999999999996</v>
      </c>
      <c r="M25" s="189">
        <f>[7]MAINTENANCE!$AK29</f>
        <v>147340</v>
      </c>
      <c r="N25" s="189">
        <f>[7]MAINTENANCE!$W29</f>
        <v>156600</v>
      </c>
      <c r="O25" s="189"/>
      <c r="P25" s="189">
        <f>[7]MAINTENANCE!$AE29</f>
        <v>0</v>
      </c>
      <c r="Q25" s="169">
        <f>[7]MAINTENANCE!$AC29</f>
        <v>0</v>
      </c>
      <c r="R25" s="189"/>
      <c r="S25" s="189"/>
      <c r="T25" s="189"/>
      <c r="U25" s="189"/>
      <c r="V25" s="189"/>
      <c r="W25" s="189"/>
      <c r="X25" s="189">
        <f>[7]MAINTENANCE!$AB29</f>
        <v>43500</v>
      </c>
      <c r="Y25" s="189"/>
      <c r="Z25" s="189"/>
      <c r="AA25" s="189"/>
      <c r="AB25" s="189">
        <f>-[7]MAINTENANCE!$BA29</f>
        <v>-121333.33</v>
      </c>
      <c r="AC25" s="189"/>
      <c r="AD25" s="189"/>
      <c r="AE25" s="183">
        <f t="shared" si="9"/>
        <v>3896682</v>
      </c>
      <c r="AF25" s="184">
        <f t="shared" si="0"/>
        <v>0</v>
      </c>
      <c r="AG25" s="152">
        <f t="shared" si="7"/>
        <v>0</v>
      </c>
      <c r="AH25" s="211"/>
      <c r="AI25" s="172">
        <f t="shared" si="10"/>
        <v>0</v>
      </c>
      <c r="AJ25" s="93"/>
      <c r="AK25" s="146">
        <f t="shared" si="8"/>
        <v>0</v>
      </c>
      <c r="AL25" s="213"/>
      <c r="AM25" s="214"/>
      <c r="AO25" s="199">
        <f>[7]MAINTENANCE!$AF29</f>
        <v>3718766.57</v>
      </c>
      <c r="AP25" s="200">
        <f t="shared" si="2"/>
        <v>177916</v>
      </c>
      <c r="AQ25" s="199">
        <f t="shared" si="3"/>
        <v>3896682.57</v>
      </c>
      <c r="AR25" s="201">
        <f t="shared" si="4"/>
        <v>0.56999999983236194</v>
      </c>
    </row>
    <row r="26" spans="2:44" s="173" customFormat="1" ht="17.25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1"/>
        <v>TER A</v>
      </c>
      <c r="K26" s="182">
        <f t="shared" si="5"/>
        <v>3639999.9</v>
      </c>
      <c r="L26" s="169">
        <f t="shared" si="6"/>
        <v>30575.999999999996</v>
      </c>
      <c r="M26" s="189">
        <f>[7]MAINTENANCE!$AK30</f>
        <v>148040</v>
      </c>
      <c r="N26" s="189">
        <f>[7]MAINTENANCE!$W30</f>
        <v>67500</v>
      </c>
      <c r="O26" s="189"/>
      <c r="P26" s="189">
        <f>[7]MAINTENANCE!$AE30</f>
        <v>0</v>
      </c>
      <c r="Q26" s="169">
        <f>[7]MAINTENANCE!$AC30</f>
        <v>0</v>
      </c>
      <c r="R26" s="189"/>
      <c r="S26" s="189"/>
      <c r="T26" s="189"/>
      <c r="U26" s="189"/>
      <c r="V26" s="189"/>
      <c r="W26" s="189"/>
      <c r="X26" s="189">
        <f>[7]MAINTENANCE!$AB30</f>
        <v>61000</v>
      </c>
      <c r="Y26" s="189"/>
      <c r="Z26" s="189"/>
      <c r="AA26" s="189"/>
      <c r="AB26" s="189">
        <f>-[7]MAINTENANCE!$BA30</f>
        <v>0</v>
      </c>
      <c r="AC26" s="189"/>
      <c r="AD26" s="189"/>
      <c r="AE26" s="183">
        <f t="shared" si="9"/>
        <v>3947115</v>
      </c>
      <c r="AF26" s="184">
        <f t="shared" si="0"/>
        <v>0</v>
      </c>
      <c r="AG26" s="152">
        <f t="shared" si="7"/>
        <v>0</v>
      </c>
      <c r="AH26" s="211"/>
      <c r="AI26" s="172">
        <f t="shared" si="10"/>
        <v>0</v>
      </c>
      <c r="AJ26" s="93"/>
      <c r="AK26" s="146">
        <f t="shared" si="8"/>
        <v>0</v>
      </c>
      <c r="AL26" s="213"/>
      <c r="AM26" s="214"/>
      <c r="AO26" s="199">
        <f>[7]MAINTENANCE!$AF30</f>
        <v>3768499.9</v>
      </c>
      <c r="AP26" s="200">
        <f t="shared" si="2"/>
        <v>178616</v>
      </c>
      <c r="AQ26" s="199">
        <f t="shared" si="3"/>
        <v>3947115.9</v>
      </c>
      <c r="AR26" s="201">
        <f t="shared" si="4"/>
        <v>0.89999999990686774</v>
      </c>
    </row>
    <row r="27" spans="2:44" s="173" customFormat="1" ht="17.25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1"/>
        <v>TER A</v>
      </c>
      <c r="K27" s="182">
        <f t="shared" si="5"/>
        <v>3639999.9</v>
      </c>
      <c r="L27" s="169">
        <f t="shared" si="6"/>
        <v>30575.999999999996</v>
      </c>
      <c r="M27" s="189">
        <f>[7]MAINTENANCE!$AK31</f>
        <v>147620</v>
      </c>
      <c r="N27" s="189">
        <f>[7]MAINTENANCE!$W31</f>
        <v>67500</v>
      </c>
      <c r="O27" s="189"/>
      <c r="P27" s="189">
        <f>[7]MAINTENANCE!$AE31</f>
        <v>0</v>
      </c>
      <c r="Q27" s="169">
        <f>[7]MAINTENANCE!$AC31</f>
        <v>0</v>
      </c>
      <c r="R27" s="189"/>
      <c r="S27" s="189"/>
      <c r="T27" s="189"/>
      <c r="U27" s="189"/>
      <c r="V27" s="189"/>
      <c r="W27" s="189"/>
      <c r="X27" s="189">
        <f>[7]MAINTENANCE!$AB31</f>
        <v>50500</v>
      </c>
      <c r="Y27" s="189"/>
      <c r="Z27" s="189"/>
      <c r="AA27" s="189"/>
      <c r="AB27" s="189">
        <f>-[7]MAINTENANCE!$BA31</f>
        <v>0</v>
      </c>
      <c r="AC27" s="189"/>
      <c r="AD27" s="189"/>
      <c r="AE27" s="183">
        <f t="shared" si="9"/>
        <v>3936195</v>
      </c>
      <c r="AF27" s="184">
        <f t="shared" si="0"/>
        <v>0</v>
      </c>
      <c r="AG27" s="152">
        <f t="shared" si="7"/>
        <v>0</v>
      </c>
      <c r="AH27" s="211"/>
      <c r="AI27" s="172">
        <f t="shared" si="10"/>
        <v>0</v>
      </c>
      <c r="AJ27" s="93"/>
      <c r="AK27" s="146">
        <f t="shared" si="8"/>
        <v>0</v>
      </c>
      <c r="AL27" s="213"/>
      <c r="AM27" s="214"/>
      <c r="AO27" s="199">
        <f>[7]MAINTENANCE!$AF31</f>
        <v>3757999.9</v>
      </c>
      <c r="AP27" s="200">
        <f t="shared" si="2"/>
        <v>178196</v>
      </c>
      <c r="AQ27" s="199">
        <f t="shared" si="3"/>
        <v>3936195.9</v>
      </c>
      <c r="AR27" s="201">
        <f t="shared" si="4"/>
        <v>0.89999999990686774</v>
      </c>
    </row>
    <row r="28" spans="2:44" s="173" customFormat="1" ht="17.25" customHeight="1">
      <c r="B28" s="174">
        <v>23</v>
      </c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1"/>
        <v>TER B</v>
      </c>
      <c r="K28" s="194">
        <f>30*123833.33</f>
        <v>3714999.9</v>
      </c>
      <c r="L28" s="169">
        <f>3715000*0.84%</f>
        <v>31205.999999999996</v>
      </c>
      <c r="M28" s="189">
        <f>'[7]HARVESTING KHT'!$AQ10</f>
        <v>150340</v>
      </c>
      <c r="N28" s="189">
        <f>'[7]HARVESTING KHT'!$U10</f>
        <v>151200</v>
      </c>
      <c r="O28" s="189">
        <f>'[7]HARVESTING KHT'!$X10</f>
        <v>57000</v>
      </c>
      <c r="P28" s="189">
        <f>'[7]HARVESTING KHT'!$AD10</f>
        <v>1556864.18</v>
      </c>
      <c r="Q28" s="189">
        <f>'[7]HARVESTING KHT'!$AE10</f>
        <v>0</v>
      </c>
      <c r="R28" s="189">
        <f>'[7]HARVESTING KHT'!$AA10</f>
        <v>0</v>
      </c>
      <c r="S28" s="189">
        <f>'[7]HARVESTING KHT'!$AB10</f>
        <v>0</v>
      </c>
      <c r="T28" s="189">
        <f>'[7]HARVESTING KHT'!$AC10</f>
        <v>0</v>
      </c>
      <c r="U28" s="189">
        <f>'[7]HARVESTING KHT'!$AF10</f>
        <v>240000</v>
      </c>
      <c r="V28" s="189">
        <f>'[7]HARVESTING KHT'!$AH10</f>
        <v>0</v>
      </c>
      <c r="W28" s="189">
        <f>'[6]HARVESTING KHT'!$AK10</f>
        <v>0</v>
      </c>
      <c r="X28" s="189">
        <f>'[7]HARVESTING KHT'!$Z10</f>
        <v>43500</v>
      </c>
      <c r="Y28" s="189">
        <f>-'[7]HARVESTING KHT'!$AI10</f>
        <v>0</v>
      </c>
      <c r="Z28" s="189"/>
      <c r="AA28" s="189"/>
      <c r="AB28" s="189">
        <f>-'[7]HARVESTING KHT'!$BI10</f>
        <v>-247666.66</v>
      </c>
      <c r="AC28" s="189"/>
      <c r="AD28" s="189"/>
      <c r="AE28" s="183">
        <f>ROUNDDOWN(SUM(K28:AD28),0)</f>
        <v>5697443</v>
      </c>
      <c r="AF28" s="184">
        <f t="shared" si="0"/>
        <v>0</v>
      </c>
      <c r="AG28" s="152">
        <f t="shared" si="7"/>
        <v>0</v>
      </c>
      <c r="AH28" s="211"/>
      <c r="AI28" s="172">
        <f t="shared" si="10"/>
        <v>0</v>
      </c>
      <c r="AJ28" s="93"/>
      <c r="AK28" s="146">
        <f t="shared" si="8"/>
        <v>0</v>
      </c>
      <c r="AL28" s="213"/>
      <c r="AM28" s="214"/>
      <c r="AO28" s="199">
        <f>'[7]HARVESTING KHT'!$AL10</f>
        <v>5515897.4199999999</v>
      </c>
      <c r="AP28" s="200">
        <f t="shared" si="2"/>
        <v>181546</v>
      </c>
      <c r="AQ28" s="199">
        <f t="shared" si="3"/>
        <v>5697443.4199999999</v>
      </c>
      <c r="AR28" s="201">
        <f t="shared" si="4"/>
        <v>0.41999999992549419</v>
      </c>
    </row>
    <row r="29" spans="2:44" s="173" customFormat="1" ht="17.25" customHeight="1">
      <c r="B29" s="174">
        <v>24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1"/>
        <v>TER A</v>
      </c>
      <c r="K29" s="182">
        <f>30*121333.33</f>
        <v>3639999.9</v>
      </c>
      <c r="L29" s="169">
        <f t="shared" si="6"/>
        <v>30575.999999999996</v>
      </c>
      <c r="M29" s="189">
        <f>'[7]HARVESTING KHT'!$AQ11</f>
        <v>147620</v>
      </c>
      <c r="N29" s="189">
        <f>'[7]HARVESTING KHT'!$U11</f>
        <v>67500</v>
      </c>
      <c r="O29" s="189">
        <f>'[7]HARVESTING KHT'!$X11</f>
        <v>34000</v>
      </c>
      <c r="P29" s="189">
        <f>'[7]HARVESTING KHT'!$AD11</f>
        <v>1178265.76</v>
      </c>
      <c r="Q29" s="189">
        <f>'[7]HARVESTING KHT'!$AE11</f>
        <v>0</v>
      </c>
      <c r="R29" s="189">
        <f>'[7]HARVESTING KHT'!$AA11</f>
        <v>0</v>
      </c>
      <c r="S29" s="189">
        <f>'[7]HARVESTING KHT'!$AB11</f>
        <v>0</v>
      </c>
      <c r="T29" s="189">
        <f>'[7]HARVESTING KHT'!$AC11</f>
        <v>0</v>
      </c>
      <c r="U29" s="189">
        <f>'[7]HARVESTING KHT'!$AF11</f>
        <v>240000</v>
      </c>
      <c r="V29" s="189">
        <f>'[7]HARVESTING KHT'!$AH11</f>
        <v>0</v>
      </c>
      <c r="W29" s="189">
        <f>'[6]HARVESTING KHT'!$AK11</f>
        <v>0</v>
      </c>
      <c r="X29" s="189">
        <f>'[7]HARVESTING KHT'!$Z11</f>
        <v>50500</v>
      </c>
      <c r="Y29" s="189">
        <f>-'[7]HARVESTING KHT'!$AI11</f>
        <v>0</v>
      </c>
      <c r="Z29" s="189"/>
      <c r="AA29" s="189"/>
      <c r="AB29" s="189">
        <f>-'[7]HARVESTING KHT'!$BI11</f>
        <v>0</v>
      </c>
      <c r="AC29" s="189"/>
      <c r="AD29" s="189"/>
      <c r="AE29" s="183">
        <f t="shared" si="9"/>
        <v>5388461</v>
      </c>
      <c r="AF29" s="184">
        <f t="shared" si="0"/>
        <v>0</v>
      </c>
      <c r="AG29" s="152">
        <f t="shared" si="7"/>
        <v>0</v>
      </c>
      <c r="AH29" s="211"/>
      <c r="AI29" s="172">
        <f t="shared" si="10"/>
        <v>0</v>
      </c>
      <c r="AJ29" s="93"/>
      <c r="AK29" s="146">
        <f t="shared" si="8"/>
        <v>0</v>
      </c>
      <c r="AL29" s="213"/>
      <c r="AM29" s="214"/>
      <c r="AO29" s="199">
        <f>'[7]HARVESTING KHT'!$AL11</f>
        <v>5210265.66</v>
      </c>
      <c r="AP29" s="200">
        <f t="shared" si="2"/>
        <v>178196</v>
      </c>
      <c r="AQ29" s="199">
        <f t="shared" si="3"/>
        <v>5388461.6600000001</v>
      </c>
      <c r="AR29" s="201">
        <f t="shared" si="4"/>
        <v>0.66000000014901161</v>
      </c>
    </row>
    <row r="30" spans="2:44" s="173" customFormat="1" ht="17.25" customHeight="1">
      <c r="B30" s="174">
        <v>25</v>
      </c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1"/>
        <v>TER B</v>
      </c>
      <c r="K30" s="182">
        <f t="shared" ref="K30:K66" si="11">30*121333.33</f>
        <v>3639999.9</v>
      </c>
      <c r="L30" s="169">
        <f t="shared" si="6"/>
        <v>30575.999999999996</v>
      </c>
      <c r="M30" s="189">
        <f>'[7]HARVESTING KHT'!$AQ12</f>
        <v>146560</v>
      </c>
      <c r="N30" s="189">
        <f>'[7]HARVESTING KHT'!$U12</f>
        <v>99000</v>
      </c>
      <c r="O30" s="189"/>
      <c r="P30" s="189">
        <f>'[7]HARVESTING KHT'!$AD12</f>
        <v>0</v>
      </c>
      <c r="Q30" s="189">
        <f>'[7]HARVESTING KHT'!$AE12</f>
        <v>0</v>
      </c>
      <c r="R30" s="189">
        <f>'[7]HARVESTING KHT'!$AA12</f>
        <v>0</v>
      </c>
      <c r="S30" s="189">
        <f>'[7]HARVESTING KHT'!$AB12</f>
        <v>106050</v>
      </c>
      <c r="T30" s="189">
        <f>'[7]HARVESTING KHT'!$AC12</f>
        <v>410400</v>
      </c>
      <c r="U30" s="189">
        <f>'[7]HARVESTING KHT'!$AF12</f>
        <v>251121</v>
      </c>
      <c r="V30" s="189">
        <f>'[7]HARVESTING KHT'!$AH12</f>
        <v>0</v>
      </c>
      <c r="W30" s="189">
        <f>'[6]HARVESTING KHT'!$AK12</f>
        <v>0</v>
      </c>
      <c r="X30" s="189">
        <f>'[7]HARVESTING KHT'!$Z12</f>
        <v>24000</v>
      </c>
      <c r="Y30" s="189">
        <f>-'[7]HARVESTING KHT'!$AI12</f>
        <v>-77478</v>
      </c>
      <c r="Z30" s="189"/>
      <c r="AA30" s="189"/>
      <c r="AB30" s="189">
        <f>-'[7]HARVESTING KHT'!$BI12</f>
        <v>-970666.64</v>
      </c>
      <c r="AC30" s="189"/>
      <c r="AD30" s="189"/>
      <c r="AE30" s="183">
        <f t="shared" si="9"/>
        <v>3659562</v>
      </c>
      <c r="AF30" s="184">
        <f t="shared" si="0"/>
        <v>0</v>
      </c>
      <c r="AG30" s="152">
        <f t="shared" si="7"/>
        <v>0</v>
      </c>
      <c r="AH30" s="211"/>
      <c r="AI30" s="172">
        <f t="shared" si="10"/>
        <v>0</v>
      </c>
      <c r="AJ30" s="93"/>
      <c r="AK30" s="146">
        <f t="shared" si="8"/>
        <v>0</v>
      </c>
      <c r="AL30" s="213"/>
      <c r="AM30" s="214"/>
      <c r="AO30" s="199">
        <f>'[7]HARVESTING KHT'!$AL12</f>
        <v>3482426.2600000002</v>
      </c>
      <c r="AP30" s="200">
        <f t="shared" si="2"/>
        <v>177136</v>
      </c>
      <c r="AQ30" s="199">
        <f t="shared" si="3"/>
        <v>3659562.2600000002</v>
      </c>
      <c r="AR30" s="201">
        <f t="shared" si="4"/>
        <v>0.26000000024214387</v>
      </c>
    </row>
    <row r="31" spans="2:44" s="173" customFormat="1" ht="17.25" customHeight="1">
      <c r="B31" s="174">
        <v>26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1"/>
        <v>TER B</v>
      </c>
      <c r="K31" s="182">
        <f t="shared" si="11"/>
        <v>3639999.9</v>
      </c>
      <c r="L31" s="169">
        <f t="shared" si="6"/>
        <v>30575.999999999996</v>
      </c>
      <c r="M31" s="189">
        <f>'[7]HARVESTING KHT'!$AQ13</f>
        <v>146560</v>
      </c>
      <c r="N31" s="189">
        <f>'[7]HARVESTING KHT'!$U13</f>
        <v>135000</v>
      </c>
      <c r="O31" s="189"/>
      <c r="P31" s="189">
        <f>'[7]HARVESTING KHT'!$AD13</f>
        <v>0</v>
      </c>
      <c r="Q31" s="189">
        <f>'[7]HARVESTING KHT'!$AE13</f>
        <v>0</v>
      </c>
      <c r="R31" s="189">
        <f>'[7]HARVESTING KHT'!$AA13</f>
        <v>23954</v>
      </c>
      <c r="S31" s="189">
        <f>'[7]HARVESTING KHT'!$AB13</f>
        <v>212100</v>
      </c>
      <c r="T31" s="189">
        <f>'[7]HARVESTING KHT'!$AC13</f>
        <v>786700</v>
      </c>
      <c r="U31" s="189">
        <f>'[7]HARVESTING KHT'!$AF13</f>
        <v>362417</v>
      </c>
      <c r="V31" s="189">
        <f>'[7]HARVESTING KHT'!$AH13</f>
        <v>0</v>
      </c>
      <c r="W31" s="189">
        <f>'[6]HARVESTING KHT'!$AK13</f>
        <v>0</v>
      </c>
      <c r="X31" s="189">
        <f>'[7]HARVESTING KHT'!$Z13</f>
        <v>24000</v>
      </c>
      <c r="Y31" s="189">
        <f>-'[7]HARVESTING KHT'!$AI13</f>
        <v>0</v>
      </c>
      <c r="Z31" s="189"/>
      <c r="AA31" s="189"/>
      <c r="AB31" s="189">
        <f>-'[7]HARVESTING KHT'!$BI13</f>
        <v>0</v>
      </c>
      <c r="AC31" s="189"/>
      <c r="AD31" s="189"/>
      <c r="AE31" s="183">
        <f t="shared" si="9"/>
        <v>5361306</v>
      </c>
      <c r="AF31" s="184">
        <f t="shared" si="0"/>
        <v>0</v>
      </c>
      <c r="AG31" s="152">
        <f t="shared" si="7"/>
        <v>0</v>
      </c>
      <c r="AH31" s="211"/>
      <c r="AI31" s="172">
        <f>AG31-AH31</f>
        <v>0</v>
      </c>
      <c r="AJ31" s="93"/>
      <c r="AK31" s="146">
        <f t="shared" si="8"/>
        <v>0</v>
      </c>
      <c r="AL31" s="213"/>
      <c r="AM31" s="214"/>
      <c r="AO31" s="199">
        <f>'[7]HARVESTING KHT'!$AL13</f>
        <v>5184170.9000000004</v>
      </c>
      <c r="AP31" s="200">
        <f t="shared" si="2"/>
        <v>177136</v>
      </c>
      <c r="AQ31" s="199">
        <f t="shared" si="3"/>
        <v>5361306.9000000004</v>
      </c>
      <c r="AR31" s="201">
        <f t="shared" si="4"/>
        <v>0.90000000037252903</v>
      </c>
    </row>
    <row r="32" spans="2:44" s="173" customFormat="1" ht="17.25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1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9"/>
        <v>0</v>
      </c>
      <c r="AF32" s="184">
        <f t="shared" si="0"/>
        <v>0</v>
      </c>
      <c r="AG32" s="152">
        <f t="shared" si="7"/>
        <v>0</v>
      </c>
      <c r="AH32" s="211"/>
      <c r="AI32" s="172">
        <f t="shared" si="10"/>
        <v>0</v>
      </c>
      <c r="AJ32" s="93"/>
      <c r="AK32" s="146">
        <f t="shared" si="8"/>
        <v>0</v>
      </c>
      <c r="AL32" s="213"/>
      <c r="AM32" s="214"/>
      <c r="AO32" s="199"/>
      <c r="AP32" s="200">
        <f t="shared" si="2"/>
        <v>0</v>
      </c>
      <c r="AQ32" s="199">
        <f t="shared" si="3"/>
        <v>0</v>
      </c>
      <c r="AR32" s="201">
        <f t="shared" si="4"/>
        <v>0</v>
      </c>
    </row>
    <row r="33" spans="2:44" s="173" customFormat="1" ht="17.25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1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9"/>
        <v>0</v>
      </c>
      <c r="AF33" s="184">
        <f t="shared" si="0"/>
        <v>0</v>
      </c>
      <c r="AG33" s="152">
        <f t="shared" si="7"/>
        <v>0</v>
      </c>
      <c r="AH33" s="211"/>
      <c r="AI33" s="172"/>
      <c r="AJ33" s="93"/>
      <c r="AK33" s="146">
        <f t="shared" si="8"/>
        <v>0</v>
      </c>
      <c r="AL33" s="213"/>
      <c r="AM33" s="218">
        <f>AG33-AH33</f>
        <v>0</v>
      </c>
      <c r="AO33" s="199"/>
      <c r="AP33" s="200">
        <f t="shared" si="2"/>
        <v>0</v>
      </c>
      <c r="AQ33" s="199">
        <f t="shared" si="3"/>
        <v>0</v>
      </c>
      <c r="AR33" s="201">
        <f t="shared" si="4"/>
        <v>0</v>
      </c>
    </row>
    <row r="34" spans="2:44" s="173" customFormat="1" ht="17.25" customHeight="1">
      <c r="B34" s="174">
        <v>27</v>
      </c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1"/>
        <v>TER B</v>
      </c>
      <c r="K34" s="182">
        <f t="shared" si="11"/>
        <v>3639999.9</v>
      </c>
      <c r="L34" s="169">
        <f t="shared" si="6"/>
        <v>30575.999999999996</v>
      </c>
      <c r="M34" s="189">
        <f>'[7]HARVESTING KHT'!$AQ14</f>
        <v>146200</v>
      </c>
      <c r="N34" s="189">
        <f>'[7]HARVESTING KHT'!$U14</f>
        <v>126000</v>
      </c>
      <c r="O34" s="189"/>
      <c r="P34" s="189">
        <f>'[7]HARVESTING KHT'!$AD14</f>
        <v>0</v>
      </c>
      <c r="Q34" s="189">
        <f>'[7]HARVESTING KHT'!$AE14</f>
        <v>0</v>
      </c>
      <c r="R34" s="189">
        <f>'[7]HARVESTING KHT'!$AA14</f>
        <v>0</v>
      </c>
      <c r="S34" s="189">
        <f>'[7]HARVESTING KHT'!$AB14</f>
        <v>103950</v>
      </c>
      <c r="T34" s="189">
        <f>'[7]HARVESTING KHT'!$AC14</f>
        <v>299750</v>
      </c>
      <c r="U34" s="189">
        <f>'[7]HARVESTING KHT'!$AF14</f>
        <v>0</v>
      </c>
      <c r="V34" s="189">
        <f>'[7]HARVESTING KHT'!$AH14</f>
        <v>0</v>
      </c>
      <c r="W34" s="189">
        <f>'[6]HARVESTING KHT'!$AK16</f>
        <v>0</v>
      </c>
      <c r="X34" s="189">
        <f>'[7]HARVESTING KHT'!$Z14</f>
        <v>15000</v>
      </c>
      <c r="Y34" s="189">
        <f>-'[7]HARVESTING KHT'!$AI14</f>
        <v>-100867</v>
      </c>
      <c r="Z34" s="189"/>
      <c r="AA34" s="189"/>
      <c r="AB34" s="189">
        <f>-'[7]HARVESTING KHT'!$BI14</f>
        <v>-242666.66</v>
      </c>
      <c r="AC34" s="189"/>
      <c r="AD34" s="189"/>
      <c r="AE34" s="183">
        <f t="shared" si="9"/>
        <v>4017942</v>
      </c>
      <c r="AF34" s="184">
        <f t="shared" si="0"/>
        <v>0</v>
      </c>
      <c r="AG34" s="152">
        <f t="shared" si="7"/>
        <v>0</v>
      </c>
      <c r="AH34" s="211"/>
      <c r="AI34" s="172">
        <f t="shared" si="10"/>
        <v>0</v>
      </c>
      <c r="AJ34" s="93"/>
      <c r="AK34" s="146">
        <f t="shared" si="8"/>
        <v>0</v>
      </c>
      <c r="AL34" s="213"/>
      <c r="AM34" s="218"/>
      <c r="AO34" s="199">
        <f>'[7]HARVESTING KHT'!$AL14</f>
        <v>3841166.2399999998</v>
      </c>
      <c r="AP34" s="200">
        <f t="shared" si="2"/>
        <v>176776</v>
      </c>
      <c r="AQ34" s="199">
        <f t="shared" si="3"/>
        <v>4017942.2399999998</v>
      </c>
      <c r="AR34" s="201">
        <f t="shared" si="4"/>
        <v>0.23999999975785613</v>
      </c>
    </row>
    <row r="35" spans="2:44" s="173" customFormat="1" ht="17.25" customHeight="1">
      <c r="B35" s="174">
        <v>28</v>
      </c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1"/>
        <v>TER A</v>
      </c>
      <c r="K35" s="182">
        <f t="shared" si="11"/>
        <v>3639999.9</v>
      </c>
      <c r="L35" s="169">
        <f t="shared" si="6"/>
        <v>30575.999999999996</v>
      </c>
      <c r="M35" s="189">
        <f>'[7]HARVESTING KHT'!$AQ15</f>
        <v>145900</v>
      </c>
      <c r="N35" s="189">
        <f>'[7]HARVESTING KHT'!$U15</f>
        <v>108000</v>
      </c>
      <c r="O35" s="189"/>
      <c r="P35" s="189">
        <f>'[7]HARVESTING KHT'!$AD15</f>
        <v>0</v>
      </c>
      <c r="Q35" s="189">
        <f>'[7]HARVESTING KHT'!$AE15</f>
        <v>0</v>
      </c>
      <c r="R35" s="189">
        <f>'[7]HARVESTING KHT'!$AA15</f>
        <v>4581</v>
      </c>
      <c r="S35" s="189">
        <f>'[7]HARVESTING KHT'!$AB15</f>
        <v>149100</v>
      </c>
      <c r="T35" s="189">
        <f>'[7]HARVESTING KHT'!$AC15</f>
        <v>448800</v>
      </c>
      <c r="U35" s="189">
        <f>'[7]HARVESTING KHT'!$AF15</f>
        <v>0</v>
      </c>
      <c r="V35" s="189">
        <f>'[7]HARVESTING KHT'!$AH15</f>
        <v>0</v>
      </c>
      <c r="W35" s="189">
        <f>'[6]HARVESTING KHT'!$AK17</f>
        <v>0</v>
      </c>
      <c r="X35" s="189">
        <f>'[7]HARVESTING KHT'!$Z15</f>
        <v>7500</v>
      </c>
      <c r="Y35" s="189">
        <f>-'[7]HARVESTING KHT'!$AI15</f>
        <v>0</v>
      </c>
      <c r="Z35" s="189"/>
      <c r="AA35" s="189"/>
      <c r="AB35" s="189">
        <f>-'[7]HARVESTING KHT'!$BI15</f>
        <v>0</v>
      </c>
      <c r="AC35" s="189"/>
      <c r="AD35" s="189"/>
      <c r="AE35" s="183">
        <f t="shared" si="9"/>
        <v>4534456</v>
      </c>
      <c r="AF35" s="184">
        <f t="shared" si="0"/>
        <v>0</v>
      </c>
      <c r="AG35" s="152">
        <f>ROUNDDOWN(IF(H35=0,AE35*AF35*120%,AE35*AF35),0)</f>
        <v>0</v>
      </c>
      <c r="AH35" s="211"/>
      <c r="AI35" s="172">
        <f t="shared" si="10"/>
        <v>0</v>
      </c>
      <c r="AJ35" s="93"/>
      <c r="AK35" s="146">
        <f t="shared" si="8"/>
        <v>0</v>
      </c>
      <c r="AL35" s="213"/>
      <c r="AM35" s="218"/>
      <c r="AO35" s="199">
        <f>'[7]HARVESTING KHT'!$AL15</f>
        <v>4357980.9000000004</v>
      </c>
      <c r="AP35" s="200">
        <f t="shared" si="2"/>
        <v>176476</v>
      </c>
      <c r="AQ35" s="199">
        <f t="shared" si="3"/>
        <v>4534456.9000000004</v>
      </c>
      <c r="AR35" s="201">
        <f t="shared" si="4"/>
        <v>0.90000000037252903</v>
      </c>
    </row>
    <row r="36" spans="2:44" s="173" customFormat="1" ht="17.25" customHeight="1">
      <c r="B36" s="174">
        <v>29</v>
      </c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1"/>
        <v>TER B</v>
      </c>
      <c r="K36" s="182">
        <f t="shared" si="11"/>
        <v>3639999.9</v>
      </c>
      <c r="L36" s="169">
        <f t="shared" si="6"/>
        <v>30575.999999999996</v>
      </c>
      <c r="M36" s="189">
        <f>'[7]HARVESTING KHT'!$AQ16</f>
        <v>145800</v>
      </c>
      <c r="N36" s="189">
        <f>'[7]HARVESTING KHT'!$U16</f>
        <v>145800</v>
      </c>
      <c r="O36" s="189"/>
      <c r="P36" s="189">
        <f>'[7]HARVESTING KHT'!$AD16</f>
        <v>0</v>
      </c>
      <c r="Q36" s="189">
        <f>'[7]HARVESTING KHT'!$AE16</f>
        <v>0</v>
      </c>
      <c r="R36" s="189">
        <f>'[7]HARVESTING KHT'!$AA16</f>
        <v>114637</v>
      </c>
      <c r="S36" s="189">
        <f>'[7]HARVESTING KHT'!$AB16</f>
        <v>93450</v>
      </c>
      <c r="T36" s="189">
        <f>'[7]HARVESTING KHT'!$AC16</f>
        <v>443050</v>
      </c>
      <c r="U36" s="189">
        <f>'[7]HARVESTING KHT'!$AF16</f>
        <v>178450</v>
      </c>
      <c r="V36" s="189">
        <f>'[7]HARVESTING KHT'!$AH16</f>
        <v>0</v>
      </c>
      <c r="W36" s="189">
        <f>'[6]HARVESTING KHT'!$AK18</f>
        <v>0</v>
      </c>
      <c r="X36" s="189">
        <f>'[7]HARVESTING KHT'!$Z16</f>
        <v>5000</v>
      </c>
      <c r="Y36" s="189">
        <f>-'[7]HARVESTING KHT'!$AI16</f>
        <v>-92096</v>
      </c>
      <c r="Z36" s="189"/>
      <c r="AA36" s="189"/>
      <c r="AB36" s="189">
        <f>-'[7]HARVESTING KHT'!$BI16</f>
        <v>-363999.99</v>
      </c>
      <c r="AC36" s="189"/>
      <c r="AD36" s="189"/>
      <c r="AE36" s="183">
        <f t="shared" si="9"/>
        <v>4340666</v>
      </c>
      <c r="AF36" s="184">
        <f t="shared" si="0"/>
        <v>0</v>
      </c>
      <c r="AG36" s="152">
        <f t="shared" si="7"/>
        <v>0</v>
      </c>
      <c r="AH36" s="211"/>
      <c r="AI36" s="172"/>
      <c r="AJ36" s="93"/>
      <c r="AK36" s="146">
        <f t="shared" si="8"/>
        <v>0</v>
      </c>
      <c r="AL36" s="213"/>
      <c r="AM36" s="218">
        <f>AG36-AH36</f>
        <v>0</v>
      </c>
      <c r="AO36" s="199">
        <f>'[7]HARVESTING KHT'!$AL16</f>
        <v>4164290.91</v>
      </c>
      <c r="AP36" s="200">
        <f t="shared" si="2"/>
        <v>176376</v>
      </c>
      <c r="AQ36" s="199">
        <f t="shared" si="3"/>
        <v>4340666.91</v>
      </c>
      <c r="AR36" s="201">
        <f t="shared" si="4"/>
        <v>0.91000000014901161</v>
      </c>
    </row>
    <row r="37" spans="2:44" s="173" customFormat="1" ht="17.25" customHeight="1">
      <c r="B37" s="174">
        <v>30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1"/>
        <v>TER B</v>
      </c>
      <c r="K37" s="182">
        <f t="shared" si="11"/>
        <v>3639999.9</v>
      </c>
      <c r="L37" s="169">
        <f t="shared" si="6"/>
        <v>30575.999999999996</v>
      </c>
      <c r="M37" s="189">
        <f>'[7]HARVESTING KHT'!$AQ17</f>
        <v>145800</v>
      </c>
      <c r="N37" s="189">
        <f>'[7]HARVESTING KHT'!$U17</f>
        <v>135000</v>
      </c>
      <c r="O37" s="189"/>
      <c r="P37" s="189">
        <f>'[7]HARVESTING KHT'!$AD17</f>
        <v>0</v>
      </c>
      <c r="Q37" s="189">
        <f>'[7]HARVESTING KHT'!$AE17</f>
        <v>0</v>
      </c>
      <c r="R37" s="189">
        <f>'[7]HARVESTING KHT'!$AA17</f>
        <v>518947</v>
      </c>
      <c r="S37" s="189">
        <f>'[7]HARVESTING KHT'!$AB17</f>
        <v>139650</v>
      </c>
      <c r="T37" s="189">
        <f>'[7]HARVESTING KHT'!$AC17</f>
        <v>606200</v>
      </c>
      <c r="U37" s="189">
        <f>'[7]HARVESTING KHT'!$AF17</f>
        <v>647535</v>
      </c>
      <c r="V37" s="189">
        <f>'[7]HARVESTING KHT'!$AH17</f>
        <v>150000</v>
      </c>
      <c r="W37" s="189">
        <f>'[6]HARVESTING KHT'!$AK19</f>
        <v>0</v>
      </c>
      <c r="X37" s="189">
        <f>'[7]HARVESTING KHT'!$Z17</f>
        <v>5000</v>
      </c>
      <c r="Y37" s="189">
        <f>-'[7]HARVESTING KHT'!$AI17</f>
        <v>0</v>
      </c>
      <c r="Z37" s="189"/>
      <c r="AA37" s="189"/>
      <c r="AB37" s="189">
        <f>-'[7]HARVESTING KHT'!$BI17</f>
        <v>0</v>
      </c>
      <c r="AC37" s="189"/>
      <c r="AD37" s="189"/>
      <c r="AE37" s="183">
        <f t="shared" si="9"/>
        <v>6018707</v>
      </c>
      <c r="AF37" s="184">
        <f t="shared" si="0"/>
        <v>0</v>
      </c>
      <c r="AG37" s="152">
        <f t="shared" si="7"/>
        <v>0</v>
      </c>
      <c r="AH37" s="211"/>
      <c r="AI37" s="172">
        <f t="shared" si="10"/>
        <v>0</v>
      </c>
      <c r="AJ37" s="93"/>
      <c r="AK37" s="146">
        <f t="shared" si="8"/>
        <v>0</v>
      </c>
      <c r="AL37" s="213"/>
      <c r="AM37" s="218"/>
      <c r="AO37" s="199">
        <f>'[7]HARVESTING KHT'!$AL17</f>
        <v>5842331.9000000004</v>
      </c>
      <c r="AP37" s="200">
        <f t="shared" si="2"/>
        <v>176376</v>
      </c>
      <c r="AQ37" s="199">
        <f t="shared" si="3"/>
        <v>6018707.9000000004</v>
      </c>
      <c r="AR37" s="201">
        <f t="shared" si="4"/>
        <v>0.90000000037252903</v>
      </c>
    </row>
    <row r="38" spans="2:44" s="173" customFormat="1" ht="17.25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1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9"/>
        <v>0</v>
      </c>
      <c r="AF38" s="184">
        <f t="shared" ref="AF38:AF66" si="12">IF(J38="TER A",VLOOKUP(AE38,Ter_A,4,TRUE),IF(J38="TER B",VLOOKUP(AE38,Ter_B,4,TRUE),VLOOKUP(AE38,Ter_C,4,TRUE)))</f>
        <v>0</v>
      </c>
      <c r="AG38" s="152">
        <f t="shared" si="7"/>
        <v>0</v>
      </c>
      <c r="AH38" s="211"/>
      <c r="AI38" s="172">
        <f t="shared" si="10"/>
        <v>0</v>
      </c>
      <c r="AJ38" s="93"/>
      <c r="AK38" s="146">
        <f t="shared" si="8"/>
        <v>0</v>
      </c>
      <c r="AL38" s="213"/>
      <c r="AM38" s="218"/>
      <c r="AO38" s="199"/>
      <c r="AP38" s="200">
        <f t="shared" si="2"/>
        <v>0</v>
      </c>
      <c r="AQ38" s="199">
        <f t="shared" si="3"/>
        <v>0</v>
      </c>
      <c r="AR38" s="201">
        <f t="shared" si="4"/>
        <v>0</v>
      </c>
    </row>
    <row r="39" spans="2:44" s="173" customFormat="1" ht="17.25" customHeight="1">
      <c r="B39" s="174">
        <v>31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1"/>
        <v>TER B</v>
      </c>
      <c r="K39" s="182">
        <f t="shared" si="11"/>
        <v>3639999.9</v>
      </c>
      <c r="L39" s="169">
        <f t="shared" si="6"/>
        <v>30575.999999999996</v>
      </c>
      <c r="M39" s="189">
        <f>'[7]HARVESTING KHT'!$AQ18</f>
        <v>145800</v>
      </c>
      <c r="N39" s="189">
        <f>'[7]HARVESTING KHT'!$U18</f>
        <v>135000</v>
      </c>
      <c r="O39" s="189"/>
      <c r="P39" s="189">
        <f>'[7]HARVESTING KHT'!$AD18</f>
        <v>0</v>
      </c>
      <c r="Q39" s="189">
        <f>'[7]HARVESTING KHT'!$AE18</f>
        <v>0</v>
      </c>
      <c r="R39" s="189">
        <f>'[7]HARVESTING KHT'!$AA18</f>
        <v>196581</v>
      </c>
      <c r="S39" s="189">
        <f>'[7]HARVESTING KHT'!$AB18</f>
        <v>163800</v>
      </c>
      <c r="T39" s="189">
        <f>'[7]HARVESTING KHT'!$AC18</f>
        <v>615100</v>
      </c>
      <c r="U39" s="189">
        <f>'[7]HARVESTING KHT'!$AF18</f>
        <v>488042</v>
      </c>
      <c r="V39" s="189">
        <f>'[7]HARVESTING KHT'!$AH18</f>
        <v>0</v>
      </c>
      <c r="W39" s="189">
        <f>'[6]HARVESTING KHT'!$AK21</f>
        <v>0</v>
      </c>
      <c r="X39" s="189">
        <f>'[7]HARVESTING KHT'!$Z18</f>
        <v>5000</v>
      </c>
      <c r="Y39" s="189">
        <f>-'[7]HARVESTING KHT'!$AI18</f>
        <v>0</v>
      </c>
      <c r="Z39" s="189"/>
      <c r="AA39" s="189"/>
      <c r="AB39" s="189">
        <f>-'[7]HARVESTING KHT'!$BI18</f>
        <v>0</v>
      </c>
      <c r="AC39" s="189"/>
      <c r="AD39" s="189"/>
      <c r="AE39" s="183">
        <f t="shared" si="9"/>
        <v>5419898</v>
      </c>
      <c r="AF39" s="184">
        <f t="shared" si="12"/>
        <v>0</v>
      </c>
      <c r="AG39" s="152">
        <f t="shared" si="7"/>
        <v>0</v>
      </c>
      <c r="AH39" s="211"/>
      <c r="AI39" s="172"/>
      <c r="AJ39" s="93"/>
      <c r="AK39" s="146">
        <f t="shared" si="8"/>
        <v>0</v>
      </c>
      <c r="AL39" s="213"/>
      <c r="AM39" s="218">
        <f>AG39-AH39</f>
        <v>0</v>
      </c>
      <c r="AO39" s="199">
        <f>'[7]HARVESTING KHT'!$AL18</f>
        <v>5243522.9000000004</v>
      </c>
      <c r="AP39" s="200">
        <f t="shared" si="2"/>
        <v>176376</v>
      </c>
      <c r="AQ39" s="199">
        <f t="shared" si="3"/>
        <v>5419898.9000000004</v>
      </c>
      <c r="AR39" s="201">
        <f t="shared" si="4"/>
        <v>0.90000000037252903</v>
      </c>
    </row>
    <row r="40" spans="2:44" s="173" customFormat="1" ht="17.25" customHeight="1">
      <c r="B40" s="174">
        <v>32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1"/>
        <v>TER A</v>
      </c>
      <c r="K40" s="182">
        <f t="shared" si="11"/>
        <v>3639999.9</v>
      </c>
      <c r="L40" s="169">
        <f t="shared" si="6"/>
        <v>30575.999999999996</v>
      </c>
      <c r="M40" s="189">
        <f>'[7]HARVESTING KHT'!$AQ19</f>
        <v>145700</v>
      </c>
      <c r="N40" s="189">
        <f>'[7]HARVESTING KHT'!$U19</f>
        <v>60750</v>
      </c>
      <c r="O40" s="189"/>
      <c r="P40" s="189">
        <f>'[7]HARVESTING KHT'!$AD19</f>
        <v>73641.61</v>
      </c>
      <c r="Q40" s="189">
        <f>'[7]HARVESTING KHT'!$AE19</f>
        <v>0</v>
      </c>
      <c r="R40" s="189">
        <f>'[7]HARVESTING KHT'!$AA19</f>
        <v>423776</v>
      </c>
      <c r="S40" s="189">
        <f>'[7]HARVESTING KHT'!$AB19</f>
        <v>107100</v>
      </c>
      <c r="T40" s="189">
        <f>'[7]HARVESTING KHT'!$AC19</f>
        <v>414900</v>
      </c>
      <c r="U40" s="189">
        <f>'[7]HARVESTING KHT'!$AF19</f>
        <v>216061</v>
      </c>
      <c r="V40" s="189">
        <f>'[7]HARVESTING KHT'!$AH19</f>
        <v>0</v>
      </c>
      <c r="W40" s="189">
        <f>'[6]HARVESTING KHT'!$AK22</f>
        <v>0</v>
      </c>
      <c r="X40" s="189">
        <f>'[7]HARVESTING KHT'!$Z19</f>
        <v>2500</v>
      </c>
      <c r="Y40" s="189">
        <f>-'[7]HARVESTING KHT'!$AI19</f>
        <v>0</v>
      </c>
      <c r="Z40" s="189"/>
      <c r="AA40" s="189"/>
      <c r="AB40" s="189">
        <f>-'[7]HARVESTING KHT'!$BI19</f>
        <v>-363999.99</v>
      </c>
      <c r="AC40" s="189"/>
      <c r="AD40" s="189"/>
      <c r="AE40" s="183">
        <f t="shared" si="9"/>
        <v>4751004</v>
      </c>
      <c r="AF40" s="184">
        <f t="shared" si="12"/>
        <v>0</v>
      </c>
      <c r="AG40" s="152">
        <f t="shared" si="7"/>
        <v>0</v>
      </c>
      <c r="AH40" s="211"/>
      <c r="AI40" s="172">
        <f t="shared" si="10"/>
        <v>0</v>
      </c>
      <c r="AJ40" s="93"/>
      <c r="AK40" s="146">
        <f t="shared" si="8"/>
        <v>0</v>
      </c>
      <c r="AL40" s="213"/>
      <c r="AM40" s="218"/>
      <c r="AO40" s="199">
        <f>'[7]HARVESTING KHT'!$AL19</f>
        <v>4574728.5200000005</v>
      </c>
      <c r="AP40" s="200">
        <f t="shared" si="2"/>
        <v>176276</v>
      </c>
      <c r="AQ40" s="199">
        <f t="shared" si="3"/>
        <v>4751004.5200000005</v>
      </c>
      <c r="AR40" s="201">
        <f t="shared" si="4"/>
        <v>0.52000000048428774</v>
      </c>
    </row>
    <row r="41" spans="2:44" s="173" customFormat="1" ht="17.25" customHeight="1">
      <c r="B41" s="174">
        <v>33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1"/>
        <v>TER B</v>
      </c>
      <c r="K41" s="182">
        <f t="shared" si="11"/>
        <v>3639999.9</v>
      </c>
      <c r="L41" s="169">
        <f t="shared" si="6"/>
        <v>30575.999999999996</v>
      </c>
      <c r="M41" s="189">
        <f>'[7]HARVESTING KHT'!$AQ20</f>
        <v>146320</v>
      </c>
      <c r="N41" s="189">
        <f>'[7]HARVESTING KHT'!$U20</f>
        <v>151200</v>
      </c>
      <c r="O41" s="189"/>
      <c r="P41" s="189">
        <f>'[7]HARVESTING KHT'!$AD20</f>
        <v>0</v>
      </c>
      <c r="Q41" s="189">
        <f>'[7]HARVESTING KHT'!$AE20</f>
        <v>0</v>
      </c>
      <c r="R41" s="189">
        <f>'[7]HARVESTING KHT'!$AA20</f>
        <v>0</v>
      </c>
      <c r="S41" s="189">
        <f>'[7]HARVESTING KHT'!$AB20</f>
        <v>101850</v>
      </c>
      <c r="T41" s="189">
        <f>'[7]HARVESTING KHT'!$AC20</f>
        <v>273900</v>
      </c>
      <c r="U41" s="189">
        <f>'[7]HARVESTING KHT'!$AF20</f>
        <v>0</v>
      </c>
      <c r="V41" s="189">
        <f>'[7]HARVESTING KHT'!$AH20</f>
        <v>0</v>
      </c>
      <c r="W41" s="189">
        <f>'[6]HARVESTING KHT'!$AK23</f>
        <v>0</v>
      </c>
      <c r="X41" s="189">
        <f>'[7]HARVESTING KHT'!$Z20</f>
        <v>18000</v>
      </c>
      <c r="Y41" s="189">
        <f>-'[7]HARVESTING KHT'!$AI20</f>
        <v>-100867</v>
      </c>
      <c r="Z41" s="189"/>
      <c r="AA41" s="189"/>
      <c r="AB41" s="189">
        <f>-'[7]HARVESTING KHT'!$BI20</f>
        <v>-242666.66</v>
      </c>
      <c r="AC41" s="189"/>
      <c r="AD41" s="189"/>
      <c r="AE41" s="183">
        <f t="shared" si="9"/>
        <v>4018312</v>
      </c>
      <c r="AF41" s="184">
        <f t="shared" si="12"/>
        <v>0</v>
      </c>
      <c r="AG41" s="152">
        <f t="shared" si="7"/>
        <v>0</v>
      </c>
      <c r="AH41" s="211"/>
      <c r="AI41" s="172">
        <f t="shared" si="10"/>
        <v>0</v>
      </c>
      <c r="AJ41" s="93"/>
      <c r="AK41" s="146">
        <f t="shared" si="8"/>
        <v>0</v>
      </c>
      <c r="AL41" s="213"/>
      <c r="AM41" s="218"/>
      <c r="AO41" s="199">
        <f>'[7]HARVESTING KHT'!$AL20</f>
        <v>3841416.2399999998</v>
      </c>
      <c r="AP41" s="200">
        <f t="shared" si="2"/>
        <v>176896</v>
      </c>
      <c r="AQ41" s="199">
        <f t="shared" si="3"/>
        <v>4018312.2399999998</v>
      </c>
      <c r="AR41" s="201">
        <f t="shared" si="4"/>
        <v>0.23999999975785613</v>
      </c>
    </row>
    <row r="42" spans="2:44" s="173" customFormat="1" ht="17.25" customHeight="1">
      <c r="B42" s="174">
        <v>34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1"/>
        <v>TER B</v>
      </c>
      <c r="K42" s="182">
        <f t="shared" si="11"/>
        <v>3639999.9</v>
      </c>
      <c r="L42" s="169">
        <f t="shared" si="6"/>
        <v>30575.999999999996</v>
      </c>
      <c r="M42" s="189">
        <f>'[7]HARVESTING KHT'!$AQ21</f>
        <v>146440</v>
      </c>
      <c r="N42" s="189">
        <f>'[7]HARVESTING KHT'!$U21</f>
        <v>135000</v>
      </c>
      <c r="O42" s="189"/>
      <c r="P42" s="189">
        <f>'[7]HARVESTING KHT'!$AD21</f>
        <v>0</v>
      </c>
      <c r="Q42" s="189">
        <f>'[7]HARVESTING KHT'!$AE21</f>
        <v>0</v>
      </c>
      <c r="R42" s="189">
        <f>'[7]HARVESTING KHT'!$AA21</f>
        <v>0</v>
      </c>
      <c r="S42" s="189">
        <f>'[7]HARVESTING KHT'!$AB21</f>
        <v>96600</v>
      </c>
      <c r="T42" s="189">
        <f>'[7]HARVESTING KHT'!$AC21</f>
        <v>480850</v>
      </c>
      <c r="U42" s="189">
        <f>'[7]HARVESTING KHT'!$AF21</f>
        <v>0</v>
      </c>
      <c r="V42" s="189">
        <f>'[7]HARVESTING KHT'!$AH21</f>
        <v>0</v>
      </c>
      <c r="W42" s="189">
        <f>'[6]HARVESTING KHT'!$AK24</f>
        <v>0</v>
      </c>
      <c r="X42" s="189">
        <f>'[7]HARVESTING KHT'!$Z21</f>
        <v>21000</v>
      </c>
      <c r="Y42" s="189">
        <f>-'[7]HARVESTING KHT'!$AI21</f>
        <v>0</v>
      </c>
      <c r="Z42" s="189"/>
      <c r="AA42" s="189"/>
      <c r="AB42" s="189">
        <f>-'[7]HARVESTING KHT'!$BI21</f>
        <v>0</v>
      </c>
      <c r="AC42" s="189"/>
      <c r="AD42" s="189"/>
      <c r="AE42" s="183">
        <f t="shared" si="9"/>
        <v>4550465</v>
      </c>
      <c r="AF42" s="184">
        <f t="shared" si="12"/>
        <v>0</v>
      </c>
      <c r="AG42" s="152">
        <f t="shared" si="7"/>
        <v>0</v>
      </c>
      <c r="AH42" s="211"/>
      <c r="AI42" s="172">
        <f t="shared" si="10"/>
        <v>0</v>
      </c>
      <c r="AJ42" s="93"/>
      <c r="AK42" s="146">
        <f t="shared" si="8"/>
        <v>0</v>
      </c>
      <c r="AL42" s="213"/>
      <c r="AM42" s="218"/>
      <c r="AO42" s="199">
        <f>'[7]HARVESTING KHT'!$AL21</f>
        <v>4373449.9000000004</v>
      </c>
      <c r="AP42" s="200">
        <f t="shared" si="2"/>
        <v>177016</v>
      </c>
      <c r="AQ42" s="199">
        <f t="shared" si="3"/>
        <v>4550465.9000000004</v>
      </c>
      <c r="AR42" s="201">
        <f t="shared" si="4"/>
        <v>0.90000000037252903</v>
      </c>
    </row>
    <row r="43" spans="2:44" s="173" customFormat="1" ht="17.25" customHeight="1">
      <c r="B43" s="174">
        <v>35</v>
      </c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1"/>
        <v>TER B</v>
      </c>
      <c r="K43" s="182">
        <f t="shared" si="11"/>
        <v>3639999.9</v>
      </c>
      <c r="L43" s="169">
        <f t="shared" si="6"/>
        <v>30575.999999999996</v>
      </c>
      <c r="M43" s="189">
        <f>'[7]HARVESTING KHT'!$AQ22</f>
        <v>145800</v>
      </c>
      <c r="N43" s="189">
        <f>'[7]HARVESTING KHT'!$U22</f>
        <v>135000</v>
      </c>
      <c r="O43" s="189"/>
      <c r="P43" s="189">
        <f>'[7]HARVESTING KHT'!$AD22</f>
        <v>0</v>
      </c>
      <c r="Q43" s="189">
        <f>'[7]HARVESTING KHT'!$AE22</f>
        <v>0</v>
      </c>
      <c r="R43" s="189">
        <f>'[7]HARVESTING KHT'!$AA22</f>
        <v>444860</v>
      </c>
      <c r="S43" s="189">
        <f>'[7]HARVESTING KHT'!$AB22</f>
        <v>105000</v>
      </c>
      <c r="T43" s="189">
        <f>'[7]HARVESTING KHT'!$AC22</f>
        <v>454400</v>
      </c>
      <c r="U43" s="189">
        <f>'[7]HARVESTING KHT'!$AF22</f>
        <v>200000</v>
      </c>
      <c r="V43" s="189">
        <f>'[7]HARVESTING KHT'!$AH22</f>
        <v>0</v>
      </c>
      <c r="W43" s="189">
        <f>'[6]HARVESTING KHT'!$AK25</f>
        <v>0</v>
      </c>
      <c r="X43" s="189">
        <f>'[7]HARVESTING KHT'!$Z22</f>
        <v>5000</v>
      </c>
      <c r="Y43" s="189">
        <f>-'[7]HARVESTING KHT'!$AI22</f>
        <v>0</v>
      </c>
      <c r="Z43" s="189"/>
      <c r="AA43" s="189"/>
      <c r="AB43" s="189">
        <f>-'[7]HARVESTING KHT'!$BI22</f>
        <v>0</v>
      </c>
      <c r="AC43" s="189"/>
      <c r="AD43" s="189"/>
      <c r="AE43" s="183">
        <f t="shared" si="9"/>
        <v>5160635</v>
      </c>
      <c r="AF43" s="184">
        <f t="shared" si="12"/>
        <v>0</v>
      </c>
      <c r="AG43" s="152">
        <f t="shared" si="7"/>
        <v>0</v>
      </c>
      <c r="AH43" s="211"/>
      <c r="AI43" s="172">
        <f t="shared" si="10"/>
        <v>0</v>
      </c>
      <c r="AJ43" s="93"/>
      <c r="AK43" s="146">
        <f t="shared" si="8"/>
        <v>0</v>
      </c>
      <c r="AL43" s="213"/>
      <c r="AM43" s="218"/>
      <c r="AO43" s="199">
        <f>'[7]HARVESTING KHT'!$AL22</f>
        <v>4984259.9000000004</v>
      </c>
      <c r="AP43" s="200">
        <f t="shared" si="2"/>
        <v>176376</v>
      </c>
      <c r="AQ43" s="199">
        <f t="shared" si="3"/>
        <v>5160635.9000000004</v>
      </c>
      <c r="AR43" s="201">
        <f t="shared" si="4"/>
        <v>0.90000000037252903</v>
      </c>
    </row>
    <row r="44" spans="2:44" s="173" customFormat="1" ht="17.25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1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9"/>
        <v>0</v>
      </c>
      <c r="AF44" s="184">
        <f t="shared" si="12"/>
        <v>0</v>
      </c>
      <c r="AG44" s="152">
        <f t="shared" si="7"/>
        <v>0</v>
      </c>
      <c r="AH44" s="211"/>
      <c r="AI44" s="172">
        <f t="shared" si="10"/>
        <v>0</v>
      </c>
      <c r="AJ44" s="93"/>
      <c r="AK44" s="146">
        <f t="shared" si="8"/>
        <v>0</v>
      </c>
      <c r="AL44" s="213"/>
      <c r="AM44" s="218"/>
      <c r="AO44" s="199"/>
      <c r="AP44" s="200">
        <f t="shared" si="2"/>
        <v>0</v>
      </c>
      <c r="AQ44" s="199">
        <f t="shared" si="3"/>
        <v>0</v>
      </c>
      <c r="AR44" s="201">
        <f t="shared" si="4"/>
        <v>0</v>
      </c>
    </row>
    <row r="45" spans="2:44" s="173" customFormat="1" ht="17.25" customHeight="1">
      <c r="B45" s="174">
        <v>36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1"/>
        <v>TER B</v>
      </c>
      <c r="K45" s="182">
        <f t="shared" si="11"/>
        <v>3639999.9</v>
      </c>
      <c r="L45" s="169">
        <f t="shared" si="6"/>
        <v>30575.999999999996</v>
      </c>
      <c r="M45" s="189">
        <f>'[7]HARVESTING KHT'!$AQ23</f>
        <v>145700</v>
      </c>
      <c r="N45" s="189">
        <f>'[7]HARVESTING KHT'!$U23</f>
        <v>162000</v>
      </c>
      <c r="O45" s="189"/>
      <c r="P45" s="189">
        <f>'[7]HARVESTING KHT'!$AD23</f>
        <v>0</v>
      </c>
      <c r="Q45" s="189">
        <f>'[7]HARVESTING KHT'!$AE23</f>
        <v>0</v>
      </c>
      <c r="R45" s="189">
        <f>'[7]HARVESTING KHT'!$AA23</f>
        <v>193343</v>
      </c>
      <c r="S45" s="189">
        <f>'[7]HARVESTING KHT'!$AB23</f>
        <v>168000</v>
      </c>
      <c r="T45" s="189">
        <f>'[7]HARVESTING KHT'!$AC23</f>
        <v>670750</v>
      </c>
      <c r="U45" s="189">
        <f>'[7]HARVESTING KHT'!$AF23</f>
        <v>212455</v>
      </c>
      <c r="V45" s="189">
        <f>'[7]HARVESTING KHT'!$AH23</f>
        <v>0</v>
      </c>
      <c r="W45" s="189">
        <f>'[6]HARVESTING KHT'!$AK27</f>
        <v>0</v>
      </c>
      <c r="X45" s="189">
        <f>'[7]HARVESTING KHT'!$Z23</f>
        <v>2500</v>
      </c>
      <c r="Y45" s="189">
        <f>-'[7]HARVESTING KHT'!$AI23</f>
        <v>0</v>
      </c>
      <c r="Z45" s="189"/>
      <c r="AA45" s="189"/>
      <c r="AB45" s="189">
        <f>-'[7]HARVESTING KHT'!$BI23</f>
        <v>0</v>
      </c>
      <c r="AC45" s="189"/>
      <c r="AD45" s="189"/>
      <c r="AE45" s="183">
        <f t="shared" si="9"/>
        <v>5225323</v>
      </c>
      <c r="AF45" s="184">
        <f t="shared" si="12"/>
        <v>0</v>
      </c>
      <c r="AG45" s="152">
        <f t="shared" si="7"/>
        <v>0</v>
      </c>
      <c r="AH45" s="211"/>
      <c r="AI45" s="172">
        <f t="shared" si="10"/>
        <v>0</v>
      </c>
      <c r="AJ45" s="93"/>
      <c r="AK45" s="146">
        <f t="shared" si="8"/>
        <v>0</v>
      </c>
      <c r="AL45" s="213"/>
      <c r="AM45" s="218"/>
      <c r="AO45" s="199">
        <f>'[7]HARVESTING KHT'!$AL23</f>
        <v>5049047.9000000004</v>
      </c>
      <c r="AP45" s="200">
        <f t="shared" si="2"/>
        <v>176276</v>
      </c>
      <c r="AQ45" s="199">
        <f t="shared" si="3"/>
        <v>5225323.9000000004</v>
      </c>
      <c r="AR45" s="201">
        <f t="shared" si="4"/>
        <v>0.90000000037252903</v>
      </c>
    </row>
    <row r="46" spans="2:44" s="173" customFormat="1" ht="17.25" customHeight="1">
      <c r="B46" s="174">
        <v>37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1"/>
        <v>TER A</v>
      </c>
      <c r="K46" s="182">
        <f t="shared" si="11"/>
        <v>3639999.9</v>
      </c>
      <c r="L46" s="169">
        <f t="shared" si="6"/>
        <v>30575.999999999996</v>
      </c>
      <c r="M46" s="189">
        <f>'[7]HARVESTING KHT'!$AQ24</f>
        <v>145900</v>
      </c>
      <c r="N46" s="189">
        <f>'[7]HARVESTING KHT'!$U24</f>
        <v>65250</v>
      </c>
      <c r="O46" s="189"/>
      <c r="P46" s="189">
        <f>'[7]HARVESTING KHT'!$AD24</f>
        <v>0</v>
      </c>
      <c r="Q46" s="189">
        <f>'[7]HARVESTING KHT'!$AE24</f>
        <v>0</v>
      </c>
      <c r="R46" s="189">
        <f>'[7]HARVESTING KHT'!$AA24</f>
        <v>552653</v>
      </c>
      <c r="S46" s="189">
        <f>'[7]HARVESTING KHT'!$AB24</f>
        <v>182700</v>
      </c>
      <c r="T46" s="189">
        <f>'[7]HARVESTING KHT'!$AC24</f>
        <v>617050</v>
      </c>
      <c r="U46" s="189">
        <f>'[7]HARVESTING KHT'!$AF24</f>
        <v>355010</v>
      </c>
      <c r="V46" s="189">
        <f>'[7]HARVESTING KHT'!$AH24</f>
        <v>150000</v>
      </c>
      <c r="W46" s="189">
        <f>'[6]HARVESTING KHT'!$AK28</f>
        <v>0</v>
      </c>
      <c r="X46" s="189">
        <f>'[7]HARVESTING KHT'!$Z24</f>
        <v>7500</v>
      </c>
      <c r="Y46" s="189">
        <f>-'[7]HARVESTING KHT'!$AI24</f>
        <v>0</v>
      </c>
      <c r="Z46" s="189"/>
      <c r="AA46" s="189"/>
      <c r="AB46" s="189">
        <f>-'[7]HARVESTING KHT'!$BI24</f>
        <v>-121333.33</v>
      </c>
      <c r="AC46" s="189"/>
      <c r="AD46" s="189"/>
      <c r="AE46" s="183">
        <f t="shared" si="9"/>
        <v>5625305</v>
      </c>
      <c r="AF46" s="184">
        <f t="shared" si="12"/>
        <v>2.5000000000000001E-3</v>
      </c>
      <c r="AG46" s="152">
        <f t="shared" si="7"/>
        <v>14063</v>
      </c>
      <c r="AH46" s="211"/>
      <c r="AI46" s="172"/>
      <c r="AJ46" s="93"/>
      <c r="AK46" s="146">
        <f t="shared" si="8"/>
        <v>0</v>
      </c>
      <c r="AL46" s="213"/>
      <c r="AM46" s="218">
        <f>AG46-AH46</f>
        <v>14063</v>
      </c>
      <c r="AO46" s="199">
        <f>'[7]HARVESTING KHT'!$AL24</f>
        <v>5448829.5700000003</v>
      </c>
      <c r="AP46" s="200">
        <f t="shared" si="2"/>
        <v>176476</v>
      </c>
      <c r="AQ46" s="199">
        <f t="shared" si="3"/>
        <v>5625305.5700000003</v>
      </c>
      <c r="AR46" s="201">
        <f t="shared" si="4"/>
        <v>0.57000000029802322</v>
      </c>
    </row>
    <row r="47" spans="2:44" s="173" customFormat="1" ht="17.25" customHeight="1">
      <c r="B47" s="174">
        <v>38</v>
      </c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1"/>
        <v>TER B</v>
      </c>
      <c r="K47" s="182">
        <f t="shared" si="11"/>
        <v>3639999.9</v>
      </c>
      <c r="L47" s="169">
        <f t="shared" si="6"/>
        <v>30575.999999999996</v>
      </c>
      <c r="M47" s="189">
        <f>'[7]HARVESTING KHT'!$AQ25</f>
        <v>146200</v>
      </c>
      <c r="N47" s="189">
        <f>'[7]HARVESTING KHT'!$U25</f>
        <v>156600</v>
      </c>
      <c r="O47" s="189"/>
      <c r="P47" s="189">
        <f>'[7]HARVESTING KHT'!$AD25</f>
        <v>0</v>
      </c>
      <c r="Q47" s="189">
        <f>'[7]HARVESTING KHT'!$AE25</f>
        <v>0</v>
      </c>
      <c r="R47" s="189">
        <f>'[7]HARVESTING KHT'!$AA25</f>
        <v>29087</v>
      </c>
      <c r="S47" s="189">
        <f>'[7]HARVESTING KHT'!$AB25</f>
        <v>118650</v>
      </c>
      <c r="T47" s="189">
        <f>'[7]HARVESTING KHT'!$AC25</f>
        <v>590700</v>
      </c>
      <c r="U47" s="189">
        <f>'[7]HARVESTING KHT'!$AF25</f>
        <v>0</v>
      </c>
      <c r="V47" s="189">
        <f>'[7]HARVESTING KHT'!$AH25</f>
        <v>0</v>
      </c>
      <c r="W47" s="189">
        <f>'[6]HARVESTING KHT'!$AK29</f>
        <v>0</v>
      </c>
      <c r="X47" s="189">
        <f>'[7]HARVESTING KHT'!$Z25</f>
        <v>15000</v>
      </c>
      <c r="Y47" s="189">
        <f>-'[7]HARVESTING KHT'!$AI25</f>
        <v>-102329</v>
      </c>
      <c r="Z47" s="189"/>
      <c r="AA47" s="189"/>
      <c r="AB47" s="189">
        <f>-'[7]HARVESTING KHT'!$BI25</f>
        <v>-121333.33</v>
      </c>
      <c r="AC47" s="189"/>
      <c r="AD47" s="189"/>
      <c r="AE47" s="183">
        <f t="shared" si="9"/>
        <v>4503150</v>
      </c>
      <c r="AF47" s="184">
        <f t="shared" si="12"/>
        <v>0</v>
      </c>
      <c r="AG47" s="152">
        <f t="shared" si="7"/>
        <v>0</v>
      </c>
      <c r="AH47" s="211"/>
      <c r="AI47" s="172">
        <f t="shared" si="10"/>
        <v>0</v>
      </c>
      <c r="AJ47" s="93"/>
      <c r="AK47" s="146">
        <f t="shared" si="8"/>
        <v>0</v>
      </c>
      <c r="AL47" s="213"/>
      <c r="AM47" s="218"/>
      <c r="AO47" s="199">
        <f>'[7]HARVESTING KHT'!$AL25</f>
        <v>4326374.57</v>
      </c>
      <c r="AP47" s="200">
        <f t="shared" si="2"/>
        <v>176776</v>
      </c>
      <c r="AQ47" s="199">
        <f t="shared" si="3"/>
        <v>4503150.57</v>
      </c>
      <c r="AR47" s="201">
        <f t="shared" si="4"/>
        <v>0.57000000029802322</v>
      </c>
    </row>
    <row r="48" spans="2:44" s="173" customFormat="1" ht="17.25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1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9"/>
        <v>0</v>
      </c>
      <c r="AF48" s="184">
        <f t="shared" si="12"/>
        <v>0</v>
      </c>
      <c r="AG48" s="152">
        <f t="shared" si="7"/>
        <v>0</v>
      </c>
      <c r="AH48" s="211"/>
      <c r="AI48" s="172">
        <f t="shared" si="10"/>
        <v>0</v>
      </c>
      <c r="AJ48" s="93"/>
      <c r="AK48" s="146">
        <f t="shared" si="8"/>
        <v>0</v>
      </c>
      <c r="AL48" s="213"/>
      <c r="AM48" s="218"/>
      <c r="AO48" s="199"/>
      <c r="AP48" s="200">
        <f t="shared" si="2"/>
        <v>0</v>
      </c>
      <c r="AQ48" s="199">
        <f t="shared" si="3"/>
        <v>0</v>
      </c>
      <c r="AR48" s="201">
        <f t="shared" si="4"/>
        <v>0</v>
      </c>
    </row>
    <row r="49" spans="2:44" s="173" customFormat="1" ht="17.25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1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9"/>
        <v>0</v>
      </c>
      <c r="AF49" s="184">
        <f t="shared" si="12"/>
        <v>0</v>
      </c>
      <c r="AG49" s="152">
        <f t="shared" si="7"/>
        <v>0</v>
      </c>
      <c r="AH49" s="211"/>
      <c r="AI49" s="172">
        <f t="shared" si="10"/>
        <v>0</v>
      </c>
      <c r="AJ49" s="93"/>
      <c r="AK49" s="146">
        <f t="shared" si="8"/>
        <v>0</v>
      </c>
      <c r="AL49" s="213"/>
      <c r="AM49" s="218"/>
      <c r="AO49" s="199"/>
      <c r="AP49" s="200">
        <f t="shared" si="2"/>
        <v>0</v>
      </c>
      <c r="AQ49" s="199">
        <f t="shared" si="3"/>
        <v>0</v>
      </c>
      <c r="AR49" s="201">
        <f t="shared" si="4"/>
        <v>0</v>
      </c>
    </row>
    <row r="50" spans="2:44" s="173" customFormat="1" ht="17.25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1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9"/>
        <v>0</v>
      </c>
      <c r="AF50" s="184">
        <f t="shared" si="12"/>
        <v>0</v>
      </c>
      <c r="AG50" s="152">
        <f t="shared" si="7"/>
        <v>0</v>
      </c>
      <c r="AH50" s="211"/>
      <c r="AI50" s="172"/>
      <c r="AJ50" s="93"/>
      <c r="AK50" s="146">
        <f t="shared" si="8"/>
        <v>0</v>
      </c>
      <c r="AL50" s="213"/>
      <c r="AM50" s="218">
        <f>AG50-AH50</f>
        <v>0</v>
      </c>
      <c r="AO50" s="199"/>
      <c r="AP50" s="200">
        <f t="shared" si="2"/>
        <v>0</v>
      </c>
      <c r="AQ50" s="199">
        <f t="shared" si="3"/>
        <v>0</v>
      </c>
      <c r="AR50" s="201">
        <f t="shared" si="4"/>
        <v>0</v>
      </c>
    </row>
    <row r="51" spans="2:44" s="173" customFormat="1" ht="17.25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1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9"/>
        <v>0</v>
      </c>
      <c r="AF51" s="184">
        <f t="shared" si="12"/>
        <v>0</v>
      </c>
      <c r="AG51" s="152">
        <f t="shared" si="7"/>
        <v>0</v>
      </c>
      <c r="AH51" s="211"/>
      <c r="AI51" s="172">
        <f t="shared" si="10"/>
        <v>0</v>
      </c>
      <c r="AJ51" s="93"/>
      <c r="AK51" s="146">
        <f t="shared" si="8"/>
        <v>0</v>
      </c>
      <c r="AL51" s="213"/>
      <c r="AM51" s="218"/>
      <c r="AO51" s="199"/>
      <c r="AP51" s="200">
        <f t="shared" si="2"/>
        <v>0</v>
      </c>
      <c r="AQ51" s="199">
        <f t="shared" si="3"/>
        <v>0</v>
      </c>
      <c r="AR51" s="201">
        <f t="shared" si="4"/>
        <v>0</v>
      </c>
    </row>
    <row r="52" spans="2:44" s="173" customFormat="1" ht="17.25" customHeight="1">
      <c r="B52" s="174">
        <v>39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1"/>
        <v>TER B</v>
      </c>
      <c r="K52" s="182">
        <f t="shared" si="11"/>
        <v>3639999.9</v>
      </c>
      <c r="L52" s="169">
        <f t="shared" si="6"/>
        <v>30575.999999999996</v>
      </c>
      <c r="M52" s="189">
        <f>'[7]HARVESTING KHT'!$AQ26</f>
        <v>145800</v>
      </c>
      <c r="N52" s="189">
        <f>'[7]HARVESTING KHT'!$U26</f>
        <v>162000</v>
      </c>
      <c r="O52" s="189"/>
      <c r="P52" s="189">
        <f>'[7]HARVESTING KHT'!$AD26</f>
        <v>0</v>
      </c>
      <c r="Q52" s="189">
        <f>'[7]HARVESTING KHT'!$AE26</f>
        <v>0</v>
      </c>
      <c r="R52" s="189">
        <f>'[7]HARVESTING KHT'!$AA26</f>
        <v>56463</v>
      </c>
      <c r="S52" s="189">
        <f>'[7]HARVESTING KHT'!$AB26</f>
        <v>160650</v>
      </c>
      <c r="T52" s="189">
        <f>'[7]HARVESTING KHT'!$AC26</f>
        <v>458100</v>
      </c>
      <c r="U52" s="189">
        <f>'[7]HARVESTING KHT'!$AF26</f>
        <v>397319</v>
      </c>
      <c r="V52" s="189">
        <f>'[7]HARVESTING KHT'!$AH26</f>
        <v>0</v>
      </c>
      <c r="W52" s="189">
        <f>'[6]HARVESTING KHT'!$AK34</f>
        <v>0</v>
      </c>
      <c r="X52" s="189">
        <f>'[7]HARVESTING KHT'!$Z26</f>
        <v>5000</v>
      </c>
      <c r="Y52" s="189">
        <f>-'[7]HARVESTING KHT'!$AI26</f>
        <v>0</v>
      </c>
      <c r="Z52" s="189"/>
      <c r="AA52" s="189"/>
      <c r="AB52" s="189">
        <f>-'[7]HARVESTING KHT'!$BI26</f>
        <v>0</v>
      </c>
      <c r="AC52" s="189"/>
      <c r="AD52" s="189"/>
      <c r="AE52" s="183">
        <f t="shared" si="9"/>
        <v>5055907</v>
      </c>
      <c r="AF52" s="184">
        <f t="shared" si="12"/>
        <v>0</v>
      </c>
      <c r="AG52" s="152">
        <f t="shared" si="7"/>
        <v>0</v>
      </c>
      <c r="AH52" s="211"/>
      <c r="AI52" s="172">
        <f t="shared" si="10"/>
        <v>0</v>
      </c>
      <c r="AJ52" s="93"/>
      <c r="AK52" s="146">
        <f t="shared" si="8"/>
        <v>0</v>
      </c>
      <c r="AL52" s="213"/>
      <c r="AM52" s="218"/>
      <c r="AO52" s="199">
        <f>'[7]HARVESTING KHT'!$AL26</f>
        <v>4879531.9000000004</v>
      </c>
      <c r="AP52" s="200">
        <f t="shared" si="2"/>
        <v>176376</v>
      </c>
      <c r="AQ52" s="199">
        <f t="shared" si="3"/>
        <v>5055907.9000000004</v>
      </c>
      <c r="AR52" s="201">
        <f t="shared" si="4"/>
        <v>0.90000000037252903</v>
      </c>
    </row>
    <row r="53" spans="2:44" s="173" customFormat="1" ht="17.25" customHeight="1">
      <c r="B53" s="174">
        <v>40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1"/>
        <v>TER B</v>
      </c>
      <c r="K53" s="182">
        <f t="shared" si="11"/>
        <v>3639999.9</v>
      </c>
      <c r="L53" s="169">
        <f t="shared" si="6"/>
        <v>30575.999999999996</v>
      </c>
      <c r="M53" s="189">
        <f>'[7]HARVESTING KHT'!$AQ27</f>
        <v>145700</v>
      </c>
      <c r="N53" s="189">
        <f>'[7]HARVESTING KHT'!$U27</f>
        <v>151200</v>
      </c>
      <c r="O53" s="189"/>
      <c r="P53" s="189">
        <f>'[7]HARVESTING KHT'!$AD27</f>
        <v>0</v>
      </c>
      <c r="Q53" s="189">
        <f>'[7]HARVESTING KHT'!$AE27</f>
        <v>0</v>
      </c>
      <c r="R53" s="189">
        <f>'[7]HARVESTING KHT'!$AA27</f>
        <v>75284</v>
      </c>
      <c r="S53" s="189">
        <f>'[7]HARVESTING KHT'!$AB27</f>
        <v>115500</v>
      </c>
      <c r="T53" s="189">
        <f>'[7]HARVESTING KHT'!$AC27</f>
        <v>460600</v>
      </c>
      <c r="U53" s="189">
        <f>'[7]HARVESTING KHT'!$AF27</f>
        <v>189015</v>
      </c>
      <c r="V53" s="189">
        <f>'[7]HARVESTING KHT'!$AH27</f>
        <v>0</v>
      </c>
      <c r="W53" s="189">
        <f>'[6]HARVESTING KHT'!$AK35</f>
        <v>0</v>
      </c>
      <c r="X53" s="189">
        <f>'[7]HARVESTING KHT'!$Z27</f>
        <v>2500</v>
      </c>
      <c r="Y53" s="189">
        <f>-'[7]HARVESTING KHT'!$AI27</f>
        <v>0</v>
      </c>
      <c r="Z53" s="189"/>
      <c r="AA53" s="189"/>
      <c r="AB53" s="189">
        <f>-'[7]HARVESTING KHT'!$BI27</f>
        <v>-242666.66</v>
      </c>
      <c r="AC53" s="189"/>
      <c r="AD53" s="189"/>
      <c r="AE53" s="183">
        <f t="shared" si="9"/>
        <v>4567708</v>
      </c>
      <c r="AF53" s="184">
        <f t="shared" si="12"/>
        <v>0</v>
      </c>
      <c r="AG53" s="152">
        <f t="shared" si="7"/>
        <v>0</v>
      </c>
      <c r="AH53" s="211"/>
      <c r="AI53" s="172">
        <f t="shared" si="10"/>
        <v>0</v>
      </c>
      <c r="AJ53" s="93"/>
      <c r="AK53" s="146">
        <f t="shared" si="8"/>
        <v>0</v>
      </c>
      <c r="AL53" s="213"/>
      <c r="AM53" s="218"/>
      <c r="AO53" s="199">
        <f>'[7]HARVESTING KHT'!$AL27</f>
        <v>4391432.24</v>
      </c>
      <c r="AP53" s="200">
        <f t="shared" si="2"/>
        <v>176276</v>
      </c>
      <c r="AQ53" s="199">
        <f t="shared" si="3"/>
        <v>4567708.24</v>
      </c>
      <c r="AR53" s="201">
        <f t="shared" si="4"/>
        <v>0.24000000022351742</v>
      </c>
    </row>
    <row r="54" spans="2:44" s="173" customFormat="1" ht="17.25" customHeight="1">
      <c r="B54" s="174">
        <v>41</v>
      </c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1"/>
        <v>TER B</v>
      </c>
      <c r="K54" s="182">
        <f t="shared" si="11"/>
        <v>3639999.9</v>
      </c>
      <c r="L54" s="169">
        <f t="shared" si="6"/>
        <v>30575.999999999996</v>
      </c>
      <c r="M54" s="189">
        <f>'[7]HARVESTING KHT'!$AQ28</f>
        <v>145600</v>
      </c>
      <c r="N54" s="189">
        <f>'[7]HARVESTING KHT'!$U28</f>
        <v>156600</v>
      </c>
      <c r="O54" s="189"/>
      <c r="P54" s="189">
        <f>'[7]HARVESTING KHT'!$AD28</f>
        <v>0</v>
      </c>
      <c r="Q54" s="189">
        <f>'[7]HARVESTING KHT'!$AE28</f>
        <v>0</v>
      </c>
      <c r="R54" s="189">
        <f>'[7]HARVESTING KHT'!$AA28</f>
        <v>20532</v>
      </c>
      <c r="S54" s="189">
        <f>'[7]HARVESTING KHT'!$AB28</f>
        <v>163800</v>
      </c>
      <c r="T54" s="189">
        <f>'[7]HARVESTING KHT'!$AC28</f>
        <v>424600</v>
      </c>
      <c r="U54" s="189">
        <f>'[7]HARVESTING KHT'!$AF28</f>
        <v>0</v>
      </c>
      <c r="V54" s="189">
        <f>'[7]HARVESTING KHT'!$AH28</f>
        <v>0</v>
      </c>
      <c r="W54" s="189">
        <f>'[6]HARVESTING KHT'!$AK36</f>
        <v>0</v>
      </c>
      <c r="X54" s="189">
        <f>'[7]HARVESTING KHT'!$Z28</f>
        <v>0</v>
      </c>
      <c r="Y54" s="189">
        <f>-'[7]HARVESTING KHT'!$AI28</f>
        <v>0</v>
      </c>
      <c r="Z54" s="189"/>
      <c r="AA54" s="189"/>
      <c r="AB54" s="189">
        <f>-'[7]HARVESTING KHT'!$BI28</f>
        <v>-121333.33</v>
      </c>
      <c r="AC54" s="189"/>
      <c r="AD54" s="189"/>
      <c r="AE54" s="183">
        <f t="shared" si="9"/>
        <v>4460374</v>
      </c>
      <c r="AF54" s="184">
        <f t="shared" si="12"/>
        <v>0</v>
      </c>
      <c r="AG54" s="152">
        <f t="shared" si="7"/>
        <v>0</v>
      </c>
      <c r="AH54" s="211"/>
      <c r="AI54" s="172">
        <f t="shared" si="10"/>
        <v>0</v>
      </c>
      <c r="AJ54" s="93"/>
      <c r="AK54" s="146">
        <f t="shared" si="8"/>
        <v>0</v>
      </c>
      <c r="AL54" s="213"/>
      <c r="AM54" s="218"/>
      <c r="AO54" s="199">
        <f>'[7]HARVESTING KHT'!$AL28</f>
        <v>4284198.57</v>
      </c>
      <c r="AP54" s="200">
        <f t="shared" si="2"/>
        <v>176176</v>
      </c>
      <c r="AQ54" s="199">
        <f t="shared" si="3"/>
        <v>4460374.57</v>
      </c>
      <c r="AR54" s="201">
        <f t="shared" si="4"/>
        <v>0.57000000029802322</v>
      </c>
    </row>
    <row r="55" spans="2:44" s="173" customFormat="1" ht="17.25" customHeight="1">
      <c r="B55" s="174">
        <v>42</v>
      </c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1"/>
        <v>TER B</v>
      </c>
      <c r="K55" s="182">
        <f t="shared" si="11"/>
        <v>3639999.9</v>
      </c>
      <c r="L55" s="169">
        <f t="shared" si="6"/>
        <v>30575.999999999996</v>
      </c>
      <c r="M55" s="189">
        <f>'[7]HARVESTING KHT'!$AQ29</f>
        <v>145600</v>
      </c>
      <c r="N55" s="189">
        <f>'[7]HARVESTING KHT'!$U29</f>
        <v>104400</v>
      </c>
      <c r="O55" s="189"/>
      <c r="P55" s="189">
        <f>'[7]HARVESTING KHT'!$AD29</f>
        <v>0</v>
      </c>
      <c r="Q55" s="189">
        <f>'[7]HARVESTING KHT'!$AE29</f>
        <v>0</v>
      </c>
      <c r="R55" s="189">
        <f>'[7]HARVESTING KHT'!$AA29</f>
        <v>174522</v>
      </c>
      <c r="S55" s="189">
        <f>'[7]HARVESTING KHT'!$AB29</f>
        <v>141750</v>
      </c>
      <c r="T55" s="189">
        <f>'[7]HARVESTING KHT'!$AC29</f>
        <v>621500</v>
      </c>
      <c r="U55" s="189">
        <f>'[7]HARVESTING KHT'!$AF29</f>
        <v>437826</v>
      </c>
      <c r="V55" s="189">
        <f>'[7]HARVESTING KHT'!$AH29</f>
        <v>0</v>
      </c>
      <c r="W55" s="189">
        <f>'[6]HARVESTING KHT'!$AK37</f>
        <v>0</v>
      </c>
      <c r="X55" s="189">
        <f>'[7]HARVESTING KHT'!$Z29</f>
        <v>0</v>
      </c>
      <c r="Y55" s="189">
        <f>-'[7]HARVESTING KHT'!$AI29</f>
        <v>0</v>
      </c>
      <c r="Z55" s="189"/>
      <c r="AA55" s="189"/>
      <c r="AB55" s="189">
        <f>-'[7]HARVESTING KHT'!$BI29</f>
        <v>-121333.33</v>
      </c>
      <c r="AC55" s="189"/>
      <c r="AD55" s="189"/>
      <c r="AE55" s="183">
        <f t="shared" si="9"/>
        <v>5174840</v>
      </c>
      <c r="AF55" s="184">
        <f t="shared" si="12"/>
        <v>0</v>
      </c>
      <c r="AG55" s="152">
        <f t="shared" si="7"/>
        <v>0</v>
      </c>
      <c r="AH55" s="211"/>
      <c r="AI55" s="172"/>
      <c r="AJ55" s="93"/>
      <c r="AK55" s="146">
        <f t="shared" si="8"/>
        <v>0</v>
      </c>
      <c r="AL55" s="213"/>
      <c r="AM55" s="218">
        <f>AG55-AH55</f>
        <v>0</v>
      </c>
      <c r="AO55" s="199">
        <f>'[7]HARVESTING KHT'!$AL29</f>
        <v>4998664.57</v>
      </c>
      <c r="AP55" s="200">
        <f t="shared" si="2"/>
        <v>176176</v>
      </c>
      <c r="AQ55" s="199">
        <f t="shared" si="3"/>
        <v>5174840.57</v>
      </c>
      <c r="AR55" s="201">
        <f t="shared" si="4"/>
        <v>0.57000000029802322</v>
      </c>
    </row>
    <row r="56" spans="2:44" s="173" customFormat="1" ht="17.25" customHeight="1">
      <c r="B56" s="174">
        <v>43</v>
      </c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1"/>
        <v>TER B</v>
      </c>
      <c r="K56" s="182">
        <f t="shared" si="11"/>
        <v>3639999.9</v>
      </c>
      <c r="L56" s="169">
        <f t="shared" si="6"/>
        <v>30575.999999999996</v>
      </c>
      <c r="M56" s="189">
        <f>'[7]HARVESTING KHT'!$AQ30</f>
        <v>145600</v>
      </c>
      <c r="N56" s="189">
        <f>'[7]HARVESTING KHT'!$U30</f>
        <v>156600</v>
      </c>
      <c r="O56" s="189"/>
      <c r="P56" s="189">
        <f>'[7]HARVESTING KHT'!$AD30</f>
        <v>0</v>
      </c>
      <c r="Q56" s="189">
        <f>'[7]HARVESTING KHT'!$AE30</f>
        <v>0</v>
      </c>
      <c r="R56" s="189">
        <f>'[7]HARVESTING KHT'!$AA30</f>
        <v>135169</v>
      </c>
      <c r="S56" s="189">
        <f>'[7]HARVESTING KHT'!$AB30</f>
        <v>97650</v>
      </c>
      <c r="T56" s="189">
        <f>'[7]HARVESTING KHT'!$AC30</f>
        <v>454850</v>
      </c>
      <c r="U56" s="189">
        <f>'[7]HARVESTING KHT'!$AF30</f>
        <v>497792</v>
      </c>
      <c r="V56" s="189">
        <f>'[7]HARVESTING KHT'!$AH30</f>
        <v>0</v>
      </c>
      <c r="W56" s="189">
        <f>'[6]HARVESTING KHT'!$AK38</f>
        <v>0</v>
      </c>
      <c r="X56" s="189">
        <f>'[7]HARVESTING KHT'!$Z30</f>
        <v>0</v>
      </c>
      <c r="Y56" s="189">
        <f>-'[7]HARVESTING KHT'!$AI30</f>
        <v>0</v>
      </c>
      <c r="Z56" s="189"/>
      <c r="AA56" s="189"/>
      <c r="AB56" s="189">
        <f>-'[7]HARVESTING KHT'!$BI30</f>
        <v>-121333.33</v>
      </c>
      <c r="AC56" s="189"/>
      <c r="AD56" s="189"/>
      <c r="AE56" s="183">
        <f t="shared" si="9"/>
        <v>5036903</v>
      </c>
      <c r="AF56" s="184">
        <f t="shared" si="12"/>
        <v>0</v>
      </c>
      <c r="AG56" s="152">
        <f t="shared" si="7"/>
        <v>0</v>
      </c>
      <c r="AH56" s="211"/>
      <c r="AI56" s="172"/>
      <c r="AJ56" s="93"/>
      <c r="AK56" s="146">
        <f t="shared" si="8"/>
        <v>0</v>
      </c>
      <c r="AL56" s="213"/>
      <c r="AM56" s="218">
        <f>AG56-AH56</f>
        <v>0</v>
      </c>
      <c r="AO56" s="199">
        <f>'[7]HARVESTING KHT'!$AL30</f>
        <v>4860727.57</v>
      </c>
      <c r="AP56" s="200">
        <f t="shared" si="2"/>
        <v>176176</v>
      </c>
      <c r="AQ56" s="199">
        <f t="shared" si="3"/>
        <v>5036903.57</v>
      </c>
      <c r="AR56" s="201">
        <f t="shared" si="4"/>
        <v>0.57000000029802322</v>
      </c>
    </row>
    <row r="57" spans="2:44" s="173" customFormat="1" ht="17.25" customHeight="1">
      <c r="B57" s="174">
        <v>44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1"/>
        <v>TER B</v>
      </c>
      <c r="K57" s="182">
        <f t="shared" si="11"/>
        <v>3639999.9</v>
      </c>
      <c r="L57" s="169">
        <f t="shared" si="6"/>
        <v>30575.999999999996</v>
      </c>
      <c r="M57" s="189">
        <f>'[7]HARVESTING KHT'!$AQ31</f>
        <v>146000</v>
      </c>
      <c r="N57" s="189">
        <f>'[7]HARVESTING KHT'!$U31</f>
        <v>162000</v>
      </c>
      <c r="O57" s="189"/>
      <c r="P57" s="189">
        <f>'[7]HARVESTING KHT'!$AD31</f>
        <v>0</v>
      </c>
      <c r="Q57" s="189">
        <f>'[7]HARVESTING KHT'!$AE31</f>
        <v>0</v>
      </c>
      <c r="R57" s="189">
        <f>'[7]HARVESTING KHT'!$AA31</f>
        <v>205320</v>
      </c>
      <c r="S57" s="189">
        <f>'[7]HARVESTING KHT'!$AB31</f>
        <v>200550</v>
      </c>
      <c r="T57" s="189">
        <f>'[7]HARVESTING KHT'!$AC31</f>
        <v>621700</v>
      </c>
      <c r="U57" s="189">
        <f>'[7]HARVESTING KHT'!$AF31</f>
        <v>497145</v>
      </c>
      <c r="V57" s="189">
        <f>'[7]HARVESTING KHT'!$AH31</f>
        <v>0</v>
      </c>
      <c r="W57" s="189">
        <f>'[6]HARVESTING KHT'!$AK39</f>
        <v>0</v>
      </c>
      <c r="X57" s="189">
        <f>'[7]HARVESTING KHT'!$Z31</f>
        <v>10000</v>
      </c>
      <c r="Y57" s="189">
        <f>-'[7]HARVESTING KHT'!$AI31</f>
        <v>0</v>
      </c>
      <c r="Z57" s="189"/>
      <c r="AA57" s="189"/>
      <c r="AB57" s="189">
        <f>-'[7]HARVESTING KHT'!$BI31</f>
        <v>0</v>
      </c>
      <c r="AC57" s="189"/>
      <c r="AD57" s="189"/>
      <c r="AE57" s="183">
        <f t="shared" si="9"/>
        <v>5513290</v>
      </c>
      <c r="AF57" s="184">
        <f t="shared" si="12"/>
        <v>0</v>
      </c>
      <c r="AG57" s="152">
        <f t="shared" si="7"/>
        <v>0</v>
      </c>
      <c r="AH57" s="211"/>
      <c r="AI57" s="172">
        <f t="shared" si="10"/>
        <v>0</v>
      </c>
      <c r="AJ57" s="93"/>
      <c r="AK57" s="146">
        <f t="shared" si="8"/>
        <v>0</v>
      </c>
      <c r="AL57" s="213"/>
      <c r="AM57" s="218"/>
      <c r="AO57" s="199">
        <f>'[7]HARVESTING KHT'!$AL31</f>
        <v>5336714.9000000004</v>
      </c>
      <c r="AP57" s="200">
        <f t="shared" si="2"/>
        <v>176576</v>
      </c>
      <c r="AQ57" s="199">
        <f t="shared" si="3"/>
        <v>5513290.9000000004</v>
      </c>
      <c r="AR57" s="201">
        <f t="shared" si="4"/>
        <v>0.90000000037252903</v>
      </c>
    </row>
    <row r="58" spans="2:44" s="173" customFormat="1" ht="17.25" customHeight="1">
      <c r="B58" s="174">
        <v>45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1"/>
        <v>TER A</v>
      </c>
      <c r="K58" s="182">
        <f t="shared" si="11"/>
        <v>3639999.9</v>
      </c>
      <c r="L58" s="169">
        <f t="shared" si="6"/>
        <v>30575.999999999996</v>
      </c>
      <c r="M58" s="189">
        <f>'[7]HARVESTING KHT'!$AQ32</f>
        <v>145600</v>
      </c>
      <c r="N58" s="189">
        <f>'[7]HARVESTING KHT'!$U32</f>
        <v>108000</v>
      </c>
      <c r="O58" s="189"/>
      <c r="P58" s="189">
        <f>'[7]HARVESTING KHT'!$AD32</f>
        <v>0</v>
      </c>
      <c r="Q58" s="189">
        <f>'[7]HARVESTING KHT'!$AE32</f>
        <v>0</v>
      </c>
      <c r="R58" s="189">
        <f>'[7]HARVESTING KHT'!$AA32</f>
        <v>210453</v>
      </c>
      <c r="S58" s="189">
        <f>'[7]HARVESTING KHT'!$AB32</f>
        <v>198450</v>
      </c>
      <c r="T58" s="189">
        <f>'[7]HARVESTING KHT'!$AC32</f>
        <v>621700</v>
      </c>
      <c r="U58" s="189">
        <f>'[7]HARVESTING KHT'!$AF32</f>
        <v>586883</v>
      </c>
      <c r="V58" s="189">
        <f>'[7]HARVESTING KHT'!$AH32</f>
        <v>0</v>
      </c>
      <c r="W58" s="189">
        <f>'[6]HARVESTING KHT'!$AK40</f>
        <v>0</v>
      </c>
      <c r="X58" s="189">
        <f>'[7]HARVESTING KHT'!$Z32</f>
        <v>0</v>
      </c>
      <c r="Y58" s="189">
        <f>-'[7]HARVESTING KHT'!$AI32</f>
        <v>0</v>
      </c>
      <c r="Z58" s="189"/>
      <c r="AA58" s="189"/>
      <c r="AB58" s="189">
        <f>-'[7]HARVESTING KHT'!$BI32</f>
        <v>0</v>
      </c>
      <c r="AC58" s="189"/>
      <c r="AD58" s="189"/>
      <c r="AE58" s="183">
        <f t="shared" si="9"/>
        <v>5541661</v>
      </c>
      <c r="AF58" s="184">
        <f t="shared" si="12"/>
        <v>2.5000000000000001E-3</v>
      </c>
      <c r="AG58" s="152">
        <f t="shared" si="7"/>
        <v>13854</v>
      </c>
      <c r="AH58" s="211"/>
      <c r="AI58" s="172">
        <f t="shared" si="10"/>
        <v>13854</v>
      </c>
      <c r="AJ58" s="93"/>
      <c r="AK58" s="146">
        <f t="shared" si="8"/>
        <v>-13854</v>
      </c>
      <c r="AL58" s="213"/>
      <c r="AM58" s="218"/>
      <c r="AO58" s="199">
        <f>'[7]HARVESTING KHT'!$AL32</f>
        <v>5365485.9000000004</v>
      </c>
      <c r="AP58" s="200">
        <f t="shared" si="2"/>
        <v>176176</v>
      </c>
      <c r="AQ58" s="199">
        <f t="shared" si="3"/>
        <v>5541661.9000000004</v>
      </c>
      <c r="AR58" s="201">
        <f t="shared" si="4"/>
        <v>0.90000000037252903</v>
      </c>
    </row>
    <row r="59" spans="2:44" s="173" customFormat="1" ht="17.25" customHeight="1">
      <c r="B59" s="174">
        <v>46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1"/>
        <v>TER C</v>
      </c>
      <c r="K59" s="182">
        <f t="shared" si="11"/>
        <v>3639999.9</v>
      </c>
      <c r="L59" s="169">
        <f t="shared" si="6"/>
        <v>30575.999999999996</v>
      </c>
      <c r="M59" s="189">
        <f>'[7]HARVESTING KHT'!$AQ33</f>
        <v>145600</v>
      </c>
      <c r="N59" s="189">
        <f>'[7]HARVESTING KHT'!$U33</f>
        <v>162000</v>
      </c>
      <c r="O59" s="189"/>
      <c r="P59" s="189">
        <f>'[7]HARVESTING KHT'!$AD33</f>
        <v>0</v>
      </c>
      <c r="Q59" s="189">
        <f>'[7]HARVESTING KHT'!$AE33</f>
        <v>0</v>
      </c>
      <c r="R59" s="189">
        <f>'[7]HARVESTING KHT'!$AA33</f>
        <v>273760</v>
      </c>
      <c r="S59" s="189">
        <f>'[7]HARVESTING KHT'!$AB33</f>
        <v>127050</v>
      </c>
      <c r="T59" s="189">
        <f>'[7]HARVESTING KHT'!$AC33</f>
        <v>394350</v>
      </c>
      <c r="U59" s="189">
        <f>'[7]HARVESTING KHT'!$AF33</f>
        <v>415969</v>
      </c>
      <c r="V59" s="189">
        <f>'[7]HARVESTING KHT'!$AH33</f>
        <v>0</v>
      </c>
      <c r="W59" s="189">
        <f>'[6]HARVESTING KHT'!$AK41</f>
        <v>0</v>
      </c>
      <c r="X59" s="189">
        <f>'[7]HARVESTING KHT'!$Z33</f>
        <v>0</v>
      </c>
      <c r="Y59" s="189">
        <f>-'[7]HARVESTING KHT'!$AI33</f>
        <v>0</v>
      </c>
      <c r="Z59" s="189"/>
      <c r="AA59" s="189"/>
      <c r="AB59" s="189">
        <f>-'[7]HARVESTING KHT'!$BI33</f>
        <v>0</v>
      </c>
      <c r="AC59" s="189"/>
      <c r="AD59" s="189"/>
      <c r="AE59" s="183">
        <f t="shared" si="9"/>
        <v>5189304</v>
      </c>
      <c r="AF59" s="184">
        <f t="shared" si="12"/>
        <v>0</v>
      </c>
      <c r="AG59" s="152">
        <f>ROUNDDOWN(IF(H59=0,AE59*AF59*120%,AE59*AF59),0)</f>
        <v>0</v>
      </c>
      <c r="AH59" s="211"/>
      <c r="AI59" s="172">
        <f t="shared" si="10"/>
        <v>0</v>
      </c>
      <c r="AJ59" s="93"/>
      <c r="AK59" s="146">
        <f t="shared" si="8"/>
        <v>0</v>
      </c>
      <c r="AL59" s="213"/>
      <c r="AM59" s="218"/>
      <c r="AO59" s="199">
        <f>'[7]HARVESTING KHT'!$AL33</f>
        <v>5013128.9000000004</v>
      </c>
      <c r="AP59" s="200">
        <f t="shared" si="2"/>
        <v>176176</v>
      </c>
      <c r="AQ59" s="199">
        <f t="shared" si="3"/>
        <v>5189304.9000000004</v>
      </c>
      <c r="AR59" s="201">
        <f t="shared" si="4"/>
        <v>0.90000000037252903</v>
      </c>
    </row>
    <row r="60" spans="2:44" s="173" customFormat="1" ht="17.25" customHeight="1">
      <c r="B60" s="174">
        <v>47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1"/>
        <v>TER C</v>
      </c>
      <c r="K60" s="182">
        <f t="shared" si="11"/>
        <v>3639999.9</v>
      </c>
      <c r="L60" s="169">
        <f t="shared" si="6"/>
        <v>30575.999999999996</v>
      </c>
      <c r="M60" s="189">
        <f>'[7]HARVESTING KHT'!$AQ34</f>
        <v>145600</v>
      </c>
      <c r="N60" s="189">
        <f>'[7]HARVESTING KHT'!$U34</f>
        <v>162000</v>
      </c>
      <c r="O60" s="189"/>
      <c r="P60" s="189">
        <f>'[7]HARVESTING KHT'!$AD34</f>
        <v>63121.38</v>
      </c>
      <c r="Q60" s="189">
        <f>'[7]HARVESTING KHT'!$AE34</f>
        <v>103500</v>
      </c>
      <c r="R60" s="189">
        <f>'[7]HARVESTING KHT'!$AA34</f>
        <v>277182</v>
      </c>
      <c r="S60" s="189">
        <f>'[7]HARVESTING KHT'!$AB34</f>
        <v>190050</v>
      </c>
      <c r="T60" s="189">
        <f>'[7]HARVESTING KHT'!$AC34</f>
        <v>580800</v>
      </c>
      <c r="U60" s="189">
        <f>'[7]HARVESTING KHT'!$AF34</f>
        <v>390170</v>
      </c>
      <c r="V60" s="189">
        <f>'[7]HARVESTING KHT'!$AH34</f>
        <v>0</v>
      </c>
      <c r="W60" s="189">
        <f>'[6]HARVESTING KHT'!$AK42</f>
        <v>0</v>
      </c>
      <c r="X60" s="189">
        <f>'[7]HARVESTING KHT'!$Z34</f>
        <v>0</v>
      </c>
      <c r="Y60" s="189">
        <f>-'[7]HARVESTING KHT'!$AI34</f>
        <v>0</v>
      </c>
      <c r="Z60" s="189"/>
      <c r="AA60" s="189"/>
      <c r="AB60" s="189">
        <f>-'[7]HARVESTING KHT'!$BI34</f>
        <v>0</v>
      </c>
      <c r="AC60" s="189"/>
      <c r="AD60" s="189"/>
      <c r="AE60" s="183">
        <f t="shared" si="9"/>
        <v>5582999</v>
      </c>
      <c r="AF60" s="184">
        <f t="shared" si="12"/>
        <v>0</v>
      </c>
      <c r="AG60" s="152">
        <f>ROUNDDOWN(IF(H60=0,AE60*AF60*120%,AE60*AF60),0)</f>
        <v>0</v>
      </c>
      <c r="AH60" s="211"/>
      <c r="AI60" s="172"/>
      <c r="AJ60" s="93"/>
      <c r="AK60" s="146">
        <f t="shared" si="8"/>
        <v>0</v>
      </c>
      <c r="AL60" s="213"/>
      <c r="AM60" s="218">
        <f>AG60-AH60</f>
        <v>0</v>
      </c>
      <c r="AO60" s="199">
        <f>'[7]HARVESTING KHT'!$AL34</f>
        <v>5406823.2800000003</v>
      </c>
      <c r="AP60" s="200">
        <f t="shared" si="2"/>
        <v>176176</v>
      </c>
      <c r="AQ60" s="199">
        <f t="shared" si="3"/>
        <v>5582999.2800000003</v>
      </c>
      <c r="AR60" s="201">
        <f t="shared" si="4"/>
        <v>0.28000000026077032</v>
      </c>
    </row>
    <row r="61" spans="2:44" s="173" customFormat="1" ht="17.25" customHeight="1">
      <c r="B61" s="174">
        <v>48</v>
      </c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1"/>
        <v>TER B</v>
      </c>
      <c r="K61" s="182">
        <f t="shared" si="11"/>
        <v>3639999.9</v>
      </c>
      <c r="L61" s="169">
        <f t="shared" si="6"/>
        <v>30575.999999999996</v>
      </c>
      <c r="M61" s="189">
        <f>'[7]HARVESTING KHT'!$AQ35</f>
        <v>145900</v>
      </c>
      <c r="N61" s="189">
        <f>'[7]HARVESTING KHT'!$U35</f>
        <v>162000</v>
      </c>
      <c r="O61" s="189"/>
      <c r="P61" s="189">
        <f>'[7]HARVESTING KHT'!$AD35</f>
        <v>0</v>
      </c>
      <c r="Q61" s="189">
        <f>'[7]HARVESTING KHT'!$AE35</f>
        <v>0</v>
      </c>
      <c r="R61" s="189">
        <f>'[7]HARVESTING KHT'!$AA35</f>
        <v>54752</v>
      </c>
      <c r="S61" s="189">
        <f>'[7]HARVESTING KHT'!$AB35</f>
        <v>149100</v>
      </c>
      <c r="T61" s="189">
        <f>'[7]HARVESTING KHT'!$AC35</f>
        <v>448250</v>
      </c>
      <c r="U61" s="189">
        <f>'[7]HARVESTING KHT'!$AF35</f>
        <v>383119</v>
      </c>
      <c r="V61" s="189">
        <f>'[7]HARVESTING KHT'!$AH35</f>
        <v>0</v>
      </c>
      <c r="W61" s="189">
        <f>'[6]HARVESTING KHT'!$AK43</f>
        <v>0</v>
      </c>
      <c r="X61" s="189">
        <f>'[7]HARVESTING KHT'!$Z35</f>
        <v>7500</v>
      </c>
      <c r="Y61" s="189">
        <f>-'[7]HARVESTING KHT'!$AI35</f>
        <v>0</v>
      </c>
      <c r="Z61" s="189"/>
      <c r="AA61" s="189"/>
      <c r="AB61" s="189">
        <f>-'[7]HARVESTING KHT'!$BI35</f>
        <v>0</v>
      </c>
      <c r="AC61" s="189"/>
      <c r="AD61" s="189"/>
      <c r="AE61" s="183">
        <f t="shared" si="9"/>
        <v>5021196</v>
      </c>
      <c r="AF61" s="184">
        <f t="shared" si="12"/>
        <v>0</v>
      </c>
      <c r="AG61" s="152">
        <f t="shared" si="7"/>
        <v>0</v>
      </c>
      <c r="AH61" s="211"/>
      <c r="AI61" s="172">
        <f t="shared" si="10"/>
        <v>0</v>
      </c>
      <c r="AJ61" s="93"/>
      <c r="AK61" s="146">
        <f t="shared" si="8"/>
        <v>0</v>
      </c>
      <c r="AL61" s="213"/>
      <c r="AM61" s="218"/>
      <c r="AO61" s="199">
        <f>'[7]HARVESTING KHT'!$AL35</f>
        <v>4844720.9000000004</v>
      </c>
      <c r="AP61" s="200">
        <f t="shared" si="2"/>
        <v>176476</v>
      </c>
      <c r="AQ61" s="199">
        <f t="shared" si="3"/>
        <v>5021196.9000000004</v>
      </c>
      <c r="AR61" s="201">
        <f t="shared" si="4"/>
        <v>0.90000000037252903</v>
      </c>
    </row>
    <row r="62" spans="2:44" s="173" customFormat="1" ht="17.25" customHeight="1">
      <c r="B62" s="174">
        <v>49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1"/>
        <v>TER B</v>
      </c>
      <c r="K62" s="182">
        <f t="shared" si="11"/>
        <v>3639999.9</v>
      </c>
      <c r="L62" s="169">
        <f t="shared" si="6"/>
        <v>30575.999999999996</v>
      </c>
      <c r="M62" s="189">
        <f>'[7]HARVESTING KHT'!$AQ36</f>
        <v>145900</v>
      </c>
      <c r="N62" s="189">
        <f>'[7]HARVESTING KHT'!$U36</f>
        <v>162000</v>
      </c>
      <c r="O62" s="189"/>
      <c r="P62" s="189">
        <f>'[7]HARVESTING KHT'!$AD36</f>
        <v>0</v>
      </c>
      <c r="Q62" s="189">
        <f>'[7]HARVESTING KHT'!$AE36</f>
        <v>0</v>
      </c>
      <c r="R62" s="189">
        <f>'[7]HARVESTING KHT'!$AA36</f>
        <v>521855</v>
      </c>
      <c r="S62" s="189">
        <f>'[7]HARVESTING KHT'!$AB36</f>
        <v>226800</v>
      </c>
      <c r="T62" s="189">
        <f>'[7]HARVESTING KHT'!$AC36</f>
        <v>612150</v>
      </c>
      <c r="U62" s="189">
        <f>'[7]HARVESTING KHT'!$AF36</f>
        <v>500352</v>
      </c>
      <c r="V62" s="189">
        <f>'[7]HARVESTING KHT'!$AH36</f>
        <v>0</v>
      </c>
      <c r="W62" s="189">
        <f>'[6]HARVESTING KHT'!$AK44</f>
        <v>0</v>
      </c>
      <c r="X62" s="189">
        <f>'[7]HARVESTING KHT'!$Z36</f>
        <v>7500</v>
      </c>
      <c r="Y62" s="189">
        <f>-'[7]HARVESTING KHT'!$AI36</f>
        <v>0</v>
      </c>
      <c r="Z62" s="189"/>
      <c r="AA62" s="189"/>
      <c r="AB62" s="189">
        <f>-'[7]HARVESTING KHT'!$BI36</f>
        <v>0</v>
      </c>
      <c r="AC62" s="189"/>
      <c r="AD62" s="189"/>
      <c r="AE62" s="183">
        <f t="shared" si="9"/>
        <v>5847132</v>
      </c>
      <c r="AF62" s="184">
        <f t="shared" si="12"/>
        <v>0</v>
      </c>
      <c r="AG62" s="152">
        <f t="shared" si="7"/>
        <v>0</v>
      </c>
      <c r="AH62" s="211"/>
      <c r="AI62" s="172"/>
      <c r="AJ62" s="93"/>
      <c r="AK62" s="146">
        <f t="shared" si="8"/>
        <v>0</v>
      </c>
      <c r="AL62" s="213"/>
      <c r="AM62" s="218">
        <f>AG62-AH62</f>
        <v>0</v>
      </c>
      <c r="AO62" s="199">
        <f>'[7]HARVESTING KHT'!$AL36</f>
        <v>5670656.9000000004</v>
      </c>
      <c r="AP62" s="200">
        <f t="shared" si="2"/>
        <v>176476</v>
      </c>
      <c r="AQ62" s="199">
        <f t="shared" si="3"/>
        <v>5847132.9000000004</v>
      </c>
      <c r="AR62" s="201">
        <f t="shared" si="4"/>
        <v>0.90000000037252903</v>
      </c>
    </row>
    <row r="63" spans="2:44" s="173" customFormat="1" ht="17.25" customHeight="1">
      <c r="B63" s="174">
        <v>50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1"/>
        <v>TER B</v>
      </c>
      <c r="K63" s="182">
        <f t="shared" si="11"/>
        <v>3639999.9</v>
      </c>
      <c r="L63" s="169">
        <f t="shared" si="6"/>
        <v>30575.999999999996</v>
      </c>
      <c r="M63" s="189">
        <f>[7]TRANSPORT!$AH11</f>
        <v>146920</v>
      </c>
      <c r="N63" s="189">
        <f>[7]TRANSPORT!$S11</f>
        <v>126000</v>
      </c>
      <c r="O63" s="189">
        <f>[7]TRANSPORT!$V11</f>
        <v>51000</v>
      </c>
      <c r="P63" s="189">
        <f>[7]TRANSPORT!$Z11</f>
        <v>638814.94999999995</v>
      </c>
      <c r="Q63" s="189">
        <f>[7]TRANSPORT!$Y11</f>
        <v>548200</v>
      </c>
      <c r="R63" s="189"/>
      <c r="S63" s="189"/>
      <c r="T63" s="189"/>
      <c r="U63" s="189"/>
      <c r="V63" s="189"/>
      <c r="W63" s="189"/>
      <c r="X63" s="189">
        <f>[7]TRANSPORT!$X11</f>
        <v>33000</v>
      </c>
      <c r="Y63" s="189"/>
      <c r="Z63" s="189"/>
      <c r="AA63" s="189"/>
      <c r="AB63" s="189">
        <f>-[7]TRANSPORT!$AX11</f>
        <v>-242666.66</v>
      </c>
      <c r="AC63" s="189"/>
      <c r="AD63" s="189"/>
      <c r="AE63" s="183">
        <f t="shared" si="9"/>
        <v>4971844</v>
      </c>
      <c r="AF63" s="184">
        <f t="shared" si="12"/>
        <v>0</v>
      </c>
      <c r="AG63" s="152">
        <f t="shared" si="7"/>
        <v>0</v>
      </c>
      <c r="AH63" s="211"/>
      <c r="AI63" s="172">
        <f t="shared" si="10"/>
        <v>0</v>
      </c>
      <c r="AJ63" s="93"/>
      <c r="AK63" s="146">
        <f t="shared" si="8"/>
        <v>0</v>
      </c>
      <c r="AL63" s="213"/>
      <c r="AM63" s="218"/>
      <c r="AO63" s="199">
        <f>[7]TRANSPORT!$AC11</f>
        <v>4794348.1900000004</v>
      </c>
      <c r="AP63" s="200">
        <f t="shared" si="2"/>
        <v>177496</v>
      </c>
      <c r="AQ63" s="199">
        <f t="shared" si="3"/>
        <v>4971844.1900000004</v>
      </c>
      <c r="AR63" s="201">
        <f t="shared" si="4"/>
        <v>0.19000000040978193</v>
      </c>
    </row>
    <row r="64" spans="2:44" s="173" customFormat="1" ht="17.25" customHeight="1">
      <c r="B64" s="174">
        <v>51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1"/>
        <v>TER B</v>
      </c>
      <c r="K64" s="182">
        <f t="shared" si="11"/>
        <v>3639999.9</v>
      </c>
      <c r="L64" s="169">
        <f t="shared" si="6"/>
        <v>30575.999999999996</v>
      </c>
      <c r="M64" s="189">
        <f>[7]TRANSPORT!$AH12</f>
        <v>147480</v>
      </c>
      <c r="N64" s="189">
        <f>[7]TRANSPORT!$S12</f>
        <v>151200</v>
      </c>
      <c r="O64" s="189">
        <f>[7]TRANSPORT!$V12</f>
        <v>36000</v>
      </c>
      <c r="P64" s="189">
        <f>[7]TRANSPORT!$Z12</f>
        <v>820577.94</v>
      </c>
      <c r="Q64" s="189">
        <f>[7]TRANSPORT!$Y12</f>
        <v>670540</v>
      </c>
      <c r="R64" s="189"/>
      <c r="S64" s="189"/>
      <c r="T64" s="189"/>
      <c r="U64" s="189"/>
      <c r="V64" s="189"/>
      <c r="W64" s="189"/>
      <c r="X64" s="189">
        <f>[7]TRANSPORT!$X12</f>
        <v>47000</v>
      </c>
      <c r="Y64" s="189"/>
      <c r="Z64" s="189"/>
      <c r="AA64" s="189"/>
      <c r="AB64" s="189">
        <f>-[7]TRANSPORT!$AX12</f>
        <v>-242666.66</v>
      </c>
      <c r="AC64" s="189"/>
      <c r="AD64" s="189"/>
      <c r="AE64" s="183">
        <f t="shared" si="9"/>
        <v>5300707</v>
      </c>
      <c r="AF64" s="184">
        <f t="shared" si="12"/>
        <v>0</v>
      </c>
      <c r="AG64" s="152">
        <f t="shared" si="7"/>
        <v>0</v>
      </c>
      <c r="AH64" s="211"/>
      <c r="AI64" s="172"/>
      <c r="AJ64" s="93"/>
      <c r="AK64" s="146">
        <f t="shared" si="8"/>
        <v>0</v>
      </c>
      <c r="AL64" s="213"/>
      <c r="AM64" s="218">
        <f>AG64-AH64</f>
        <v>0</v>
      </c>
      <c r="AO64" s="199">
        <f>[7]TRANSPORT!$AC12</f>
        <v>5122651.18</v>
      </c>
      <c r="AP64" s="200">
        <f t="shared" si="2"/>
        <v>178056</v>
      </c>
      <c r="AQ64" s="199">
        <f t="shared" si="3"/>
        <v>5300707.18</v>
      </c>
      <c r="AR64" s="201">
        <f t="shared" si="4"/>
        <v>0.17999999970197678</v>
      </c>
    </row>
    <row r="65" spans="2:61" s="173" customFormat="1" ht="17.25" customHeight="1">
      <c r="B65" s="174">
        <v>52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1"/>
        <v>TER B</v>
      </c>
      <c r="K65" s="182">
        <f t="shared" si="11"/>
        <v>3639999.9</v>
      </c>
      <c r="L65" s="169">
        <f t="shared" si="6"/>
        <v>30575.999999999996</v>
      </c>
      <c r="M65" s="189">
        <f>[7]TRANSPORT!$AH13</f>
        <v>148040</v>
      </c>
      <c r="N65" s="189">
        <f>[7]TRANSPORT!$S13</f>
        <v>126000</v>
      </c>
      <c r="O65" s="189">
        <f>[7]TRANSPORT!$V13</f>
        <v>51000</v>
      </c>
      <c r="P65" s="189">
        <f>[7]TRANSPORT!$Z13</f>
        <v>578612.65</v>
      </c>
      <c r="Q65" s="189">
        <f>[7]TRANSPORT!$Y13</f>
        <v>382570</v>
      </c>
      <c r="R65" s="189"/>
      <c r="S65" s="189"/>
      <c r="T65" s="189"/>
      <c r="U65" s="189"/>
      <c r="V65" s="189"/>
      <c r="W65" s="189"/>
      <c r="X65" s="189">
        <f>[7]TRANSPORT!$X13</f>
        <v>61000</v>
      </c>
      <c r="Y65" s="189"/>
      <c r="Z65" s="189"/>
      <c r="AA65" s="189"/>
      <c r="AB65" s="189">
        <f>-[7]TRANSPORT!$AX13</f>
        <v>-242666.66</v>
      </c>
      <c r="AC65" s="189"/>
      <c r="AD65" s="189"/>
      <c r="AE65" s="183">
        <f t="shared" si="9"/>
        <v>4775131</v>
      </c>
      <c r="AF65" s="184">
        <f t="shared" si="12"/>
        <v>0</v>
      </c>
      <c r="AG65" s="152">
        <f t="shared" si="7"/>
        <v>0</v>
      </c>
      <c r="AH65" s="211"/>
      <c r="AI65" s="172">
        <f t="shared" si="10"/>
        <v>0</v>
      </c>
      <c r="AJ65" s="93"/>
      <c r="AK65" s="146">
        <f t="shared" si="8"/>
        <v>0</v>
      </c>
      <c r="AL65" s="213"/>
      <c r="AM65" s="218"/>
      <c r="AO65" s="199">
        <f>[7]TRANSPORT!$AC13</f>
        <v>4596515.8900000006</v>
      </c>
      <c r="AP65" s="200">
        <f t="shared" si="2"/>
        <v>178616</v>
      </c>
      <c r="AQ65" s="199">
        <f t="shared" si="3"/>
        <v>4775131.8900000006</v>
      </c>
      <c r="AR65" s="201">
        <f>AQ65-AE65</f>
        <v>0.89000000059604645</v>
      </c>
    </row>
    <row r="66" spans="2:61" s="173" customFormat="1" ht="17.25" customHeight="1" thickBot="1">
      <c r="B66" s="174">
        <v>53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1"/>
        <v>TER B</v>
      </c>
      <c r="K66" s="182">
        <f t="shared" si="11"/>
        <v>3639999.9</v>
      </c>
      <c r="L66" s="169">
        <f t="shared" si="6"/>
        <v>30575.999999999996</v>
      </c>
      <c r="M66" s="189">
        <f>[7]TRANSPORT!$AH14</f>
        <v>146680</v>
      </c>
      <c r="N66" s="189">
        <f>[7]TRANSPORT!$S14</f>
        <v>162000</v>
      </c>
      <c r="O66" s="189">
        <f>[7]TRANSPORT!$V14</f>
        <v>42000</v>
      </c>
      <c r="P66" s="189">
        <f>[7]TRANSPORT!$Z14</f>
        <v>946820.7</v>
      </c>
      <c r="Q66" s="189">
        <f>[7]TRANSPORT!$Y14</f>
        <v>619320</v>
      </c>
      <c r="R66" s="189"/>
      <c r="S66" s="189"/>
      <c r="T66" s="189"/>
      <c r="U66" s="189">
        <f>[7]TRANSPORT!$AB$14</f>
        <v>104038</v>
      </c>
      <c r="V66" s="189"/>
      <c r="W66" s="189"/>
      <c r="X66" s="189">
        <f>[7]TRANSPORT!$X14</f>
        <v>27000</v>
      </c>
      <c r="Y66" s="189"/>
      <c r="Z66" s="189"/>
      <c r="AA66" s="189"/>
      <c r="AB66" s="189">
        <f>-[7]TRANSPORT!$AX14</f>
        <v>0</v>
      </c>
      <c r="AC66" s="189"/>
      <c r="AD66" s="189"/>
      <c r="AE66" s="183">
        <f>ROUNDDOWN(SUM(K66:AD66),0)</f>
        <v>5718434</v>
      </c>
      <c r="AF66" s="184">
        <f t="shared" si="12"/>
        <v>0</v>
      </c>
      <c r="AG66" s="152">
        <f t="shared" si="7"/>
        <v>0</v>
      </c>
      <c r="AH66" s="211"/>
      <c r="AI66" s="172">
        <f t="shared" si="10"/>
        <v>0</v>
      </c>
      <c r="AJ66" s="93"/>
      <c r="AK66" s="146">
        <f t="shared" si="8"/>
        <v>0</v>
      </c>
      <c r="AL66" s="213"/>
      <c r="AM66" s="219"/>
      <c r="AO66" s="199">
        <f>[7]TRANSPORT!$AC14</f>
        <v>5541178.6000000006</v>
      </c>
      <c r="AP66" s="200">
        <f t="shared" si="2"/>
        <v>177256</v>
      </c>
      <c r="AQ66" s="199">
        <f>AO66+AP66</f>
        <v>5718434.6000000006</v>
      </c>
      <c r="AR66" s="201">
        <f>AQ66-AE66</f>
        <v>0.60000000055879354</v>
      </c>
    </row>
    <row r="67" spans="2:61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M67" si="13">SUM(K6:K66)</f>
        <v>193024994.70000017</v>
      </c>
      <c r="L67" s="196">
        <f t="shared" si="13"/>
        <v>1621409.9999999998</v>
      </c>
      <c r="M67" s="196">
        <f>SUM(M6:M66)</f>
        <v>7776220</v>
      </c>
      <c r="N67" s="196">
        <f t="shared" si="13"/>
        <v>5952150</v>
      </c>
      <c r="O67" s="196">
        <f t="shared" si="13"/>
        <v>369000</v>
      </c>
      <c r="P67" s="196">
        <f t="shared" si="13"/>
        <v>7846083.1200000001</v>
      </c>
      <c r="Q67" s="196">
        <f t="shared" si="13"/>
        <v>2524245</v>
      </c>
      <c r="R67" s="196">
        <f t="shared" si="13"/>
        <v>4507711</v>
      </c>
      <c r="S67" s="196">
        <f t="shared" si="13"/>
        <v>3627750</v>
      </c>
      <c r="T67" s="196">
        <f t="shared" si="13"/>
        <v>12811150</v>
      </c>
      <c r="U67" s="196">
        <f t="shared" si="13"/>
        <v>7790719</v>
      </c>
      <c r="V67" s="196">
        <f t="shared" si="13"/>
        <v>300000</v>
      </c>
      <c r="W67" s="196">
        <f t="shared" si="13"/>
        <v>0</v>
      </c>
      <c r="X67" s="196">
        <f t="shared" si="13"/>
        <v>1380500</v>
      </c>
      <c r="Y67" s="196">
        <f t="shared" si="13"/>
        <v>-473637</v>
      </c>
      <c r="Z67" s="196">
        <f t="shared" si="13"/>
        <v>0</v>
      </c>
      <c r="AA67" s="196">
        <f t="shared" si="13"/>
        <v>0</v>
      </c>
      <c r="AB67" s="196">
        <f t="shared" si="13"/>
        <v>-5828999.8400000017</v>
      </c>
      <c r="AC67" s="196">
        <f t="shared" si="13"/>
        <v>0</v>
      </c>
      <c r="AD67" s="196">
        <f t="shared" si="13"/>
        <v>0</v>
      </c>
      <c r="AE67" s="196">
        <f t="shared" si="13"/>
        <v>243229262</v>
      </c>
      <c r="AF67" s="196">
        <f t="shared" si="13"/>
        <v>5.0000000000000001E-3</v>
      </c>
      <c r="AG67" s="196">
        <f t="shared" si="13"/>
        <v>27917</v>
      </c>
      <c r="AH67" s="196">
        <f t="shared" si="13"/>
        <v>0</v>
      </c>
      <c r="AI67" s="196">
        <f t="shared" si="13"/>
        <v>13854</v>
      </c>
      <c r="AJ67" s="196">
        <f t="shared" si="13"/>
        <v>0</v>
      </c>
      <c r="AK67" s="196">
        <f t="shared" si="13"/>
        <v>-13854</v>
      </c>
      <c r="AL67" s="196">
        <f t="shared" si="13"/>
        <v>0</v>
      </c>
      <c r="AM67" s="196">
        <f t="shared" si="13"/>
        <v>14063</v>
      </c>
      <c r="AO67" s="202">
        <f>SUM(AO6:AO66)</f>
        <v>233831665.98000005</v>
      </c>
      <c r="AP67" s="202">
        <f>SUM(AP6:AP66)</f>
        <v>9397630</v>
      </c>
      <c r="AQ67" s="202">
        <f>SUM(AQ6:AQ66)</f>
        <v>243229295.98000005</v>
      </c>
      <c r="AR67" s="202">
        <f>SUM(AR6:AR66)</f>
        <v>33.980000008363277</v>
      </c>
    </row>
    <row r="68" spans="2:61" ht="15" customHeight="1">
      <c r="AJ68" s="143">
        <f>+'[5]PPH21-STAFF'!$T$215</f>
        <v>4628793.8715650011</v>
      </c>
      <c r="AQ68" s="217"/>
    </row>
    <row r="69" spans="2:61" ht="1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61" ht="1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61" ht="1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61" ht="1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61" s="33" customFormat="1" ht="15" hidden="1" customHeight="1">
      <c r="B73" s="27" t="s">
        <v>57</v>
      </c>
      <c r="C73" s="28"/>
      <c r="D73" s="225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90"/>
      <c r="AI73" s="28"/>
      <c r="AJ73" s="143"/>
      <c r="AK73" s="27"/>
      <c r="AL73" s="27"/>
      <c r="AM73" s="27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</row>
    <row r="74" spans="2:61" s="33" customFormat="1" ht="15" hidden="1" customHeight="1">
      <c r="B74" s="27" t="s">
        <v>50</v>
      </c>
      <c r="C74" s="28"/>
      <c r="D74" s="225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90"/>
      <c r="AI74" s="28"/>
      <c r="AJ74" s="143"/>
      <c r="AK74" s="27"/>
      <c r="AL74" s="27"/>
      <c r="AM74" s="27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</row>
    <row r="75" spans="2:61" s="33" customFormat="1" ht="15" hidden="1" customHeight="1">
      <c r="B75" s="27" t="s">
        <v>51</v>
      </c>
      <c r="C75" s="28"/>
      <c r="D75" s="225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90"/>
      <c r="AI75" s="28"/>
      <c r="AJ75" s="143"/>
      <c r="AK75" s="27"/>
      <c r="AL75" s="27"/>
      <c r="AM75" s="27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</row>
    <row r="76" spans="2:61" s="33" customFormat="1" ht="15" hidden="1" customHeight="1">
      <c r="B76" s="27" t="s">
        <v>52</v>
      </c>
      <c r="C76" s="28"/>
      <c r="D76" s="225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90"/>
      <c r="AI76" s="28"/>
      <c r="AJ76" s="143"/>
      <c r="AK76" s="27"/>
      <c r="AL76" s="27"/>
      <c r="AM76" s="27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</row>
    <row r="77" spans="2:61" s="33" customFormat="1" ht="15" hidden="1" customHeight="1">
      <c r="B77" s="27" t="s">
        <v>58</v>
      </c>
      <c r="C77" s="28"/>
      <c r="D77" s="225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90"/>
      <c r="AI77" s="28"/>
      <c r="AJ77" s="143"/>
      <c r="AK77" s="27"/>
      <c r="AL77" s="27"/>
      <c r="AM77" s="27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</row>
    <row r="78" spans="2:61" s="33" customFormat="1" ht="15" hidden="1" customHeight="1">
      <c r="B78" s="27" t="s">
        <v>59</v>
      </c>
      <c r="C78" s="28"/>
      <c r="D78" s="225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90"/>
      <c r="AI78" s="28"/>
      <c r="AJ78" s="143"/>
      <c r="AK78" s="27"/>
      <c r="AL78" s="27"/>
      <c r="AM78" s="27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</row>
    <row r="79" spans="2:61" s="33" customFormat="1" ht="15" hidden="1" customHeight="1">
      <c r="B79" s="27" t="s">
        <v>65</v>
      </c>
      <c r="C79" s="28"/>
      <c r="D79" s="225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90"/>
      <c r="AI79" s="28"/>
      <c r="AJ79" s="143"/>
      <c r="AK79" s="27"/>
      <c r="AL79" s="27"/>
      <c r="AM79" s="27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</row>
    <row r="80" spans="2:61" s="33" customFormat="1" ht="15" hidden="1" customHeight="1">
      <c r="B80" s="27"/>
      <c r="C80" s="28"/>
      <c r="D80" s="225"/>
      <c r="E80" s="30"/>
      <c r="F80" s="28"/>
      <c r="G80" s="31"/>
      <c r="H80" s="32"/>
      <c r="I80" s="32"/>
      <c r="J80" s="32"/>
      <c r="K80" s="28"/>
      <c r="L80" s="28"/>
      <c r="M80" s="62"/>
      <c r="N80" s="62"/>
      <c r="O80" s="62"/>
      <c r="P80" s="62"/>
      <c r="Q80" s="62"/>
      <c r="R80" s="62"/>
      <c r="S80" s="62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90"/>
      <c r="AG80" s="90"/>
      <c r="AH80" s="90"/>
      <c r="AI80" s="28"/>
      <c r="AJ80" s="143"/>
      <c r="AK80" s="27"/>
      <c r="AL80" s="27"/>
      <c r="AM80" s="27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</row>
    <row r="81" spans="2:61" s="33" customFormat="1" ht="15" hidden="1" customHeight="1">
      <c r="B81" s="27"/>
      <c r="C81" s="28"/>
      <c r="D81" s="225"/>
      <c r="E81" s="30"/>
      <c r="F81" s="28"/>
      <c r="G81" s="31"/>
      <c r="H81" s="32"/>
      <c r="I81" s="32"/>
      <c r="J81" s="32"/>
      <c r="K81" s="28"/>
      <c r="L81" s="28"/>
      <c r="M81" s="62"/>
      <c r="N81" s="62"/>
      <c r="O81" s="62"/>
      <c r="P81" s="62"/>
      <c r="Q81" s="62"/>
      <c r="R81" s="62"/>
      <c r="S81" s="62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90"/>
      <c r="AG81" s="90"/>
      <c r="AH81" s="90"/>
      <c r="AI81" s="28"/>
      <c r="AJ81" s="143"/>
      <c r="AK81" s="27"/>
      <c r="AL81" s="27"/>
      <c r="AM81" s="27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</row>
    <row r="82" spans="2:61" s="33" customFormat="1" ht="15" customHeight="1">
      <c r="B82" s="27"/>
      <c r="C82" s="28"/>
      <c r="D82" s="225"/>
      <c r="E82" s="30"/>
      <c r="F82" s="28"/>
      <c r="G82" s="31"/>
      <c r="H82" s="32"/>
      <c r="I82" s="32"/>
      <c r="J82" s="32"/>
      <c r="K82" s="225" t="s">
        <v>324</v>
      </c>
      <c r="L82" s="28"/>
      <c r="M82" s="62"/>
      <c r="N82" s="62"/>
      <c r="O82" s="62"/>
      <c r="P82" s="62"/>
      <c r="Q82" s="62"/>
      <c r="R82" s="62"/>
      <c r="S82" s="62"/>
      <c r="T82" s="28"/>
      <c r="U82" s="28"/>
      <c r="V82" s="28"/>
      <c r="W82" s="28"/>
      <c r="X82" s="28"/>
      <c r="Y82" s="28"/>
      <c r="Z82" s="28"/>
      <c r="AA82" s="28"/>
      <c r="AB82" s="457" t="s">
        <v>321</v>
      </c>
      <c r="AC82" s="457"/>
      <c r="AD82" s="457"/>
      <c r="AE82" s="457"/>
      <c r="AF82" s="90"/>
      <c r="AG82" s="90"/>
      <c r="AH82" s="90"/>
      <c r="AI82" s="28"/>
      <c r="AJ82" s="143"/>
      <c r="AK82" s="27"/>
      <c r="AL82" s="27"/>
      <c r="AM82" s="27"/>
      <c r="AN82" s="60"/>
      <c r="AO82" s="60"/>
      <c r="AP82" s="60"/>
      <c r="AQ82" s="216">
        <f>AC67+AQ67</f>
        <v>243229295.98000005</v>
      </c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</row>
    <row r="83" spans="2:61">
      <c r="AR83" s="216"/>
    </row>
    <row r="84" spans="2:61">
      <c r="AQ84" s="216">
        <f>AQ67-AR85</f>
        <v>243229262</v>
      </c>
      <c r="AR84" s="216"/>
    </row>
    <row r="85" spans="2:61" ht="15">
      <c r="K85" s="226" t="s">
        <v>325</v>
      </c>
      <c r="AB85" s="458" t="s">
        <v>322</v>
      </c>
      <c r="AC85" s="458"/>
      <c r="AD85" s="458"/>
      <c r="AE85" s="458"/>
      <c r="AR85" s="216">
        <f>AQ82-AE67</f>
        <v>33.980000048875809</v>
      </c>
    </row>
    <row r="86" spans="2:61">
      <c r="K86" s="225" t="s">
        <v>326</v>
      </c>
      <c r="AB86" s="457" t="s">
        <v>323</v>
      </c>
      <c r="AC86" s="457"/>
      <c r="AD86" s="457"/>
      <c r="AE86" s="457"/>
    </row>
  </sheetData>
  <mergeCells count="3">
    <mergeCell ref="AB82:AE82"/>
    <mergeCell ref="AB85:AE85"/>
    <mergeCell ref="AB86:AE86"/>
  </mergeCells>
  <conditionalFormatting sqref="AL6:AM66">
    <cfRule type="containsText" dxfId="2" priority="1" operator="containsText" text="KURANG POT">
      <formula>NOT(ISERROR(SEARCH("KURANG POT",AL6)))</formula>
    </cfRule>
  </conditionalFormatting>
  <dataValidations count="2">
    <dataValidation type="list" allowBlank="1" showInputMessage="1" showErrorMessage="1" sqref="I6:I66">
      <formula1>"TK/0,TK/1,TK/2,TK/3,K/0,K/1,K/2,K/3"</formula1>
    </dataValidation>
    <dataValidation type="list" allowBlank="1" showInputMessage="1" showErrorMessage="1" sqref="H6:H66">
      <formula1>"L,P"</formula1>
    </dataValidation>
  </dataValidations>
  <pageMargins left="0.11811023622047245" right="0.11811023622047245" top="0" bottom="0" header="0.31496062992125984" footer="0.31496062992125984"/>
  <pageSetup paperSize="9" scale="47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K86"/>
  <sheetViews>
    <sheetView zoomScaleNormal="100" zoomScaleSheetLayoutView="100" workbookViewId="0">
      <pane xSplit="3" topLeftCell="X1" activePane="topRight" state="frozen"/>
      <selection pane="topRight" activeCell="AI66" sqref="AI66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32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14" width="9.85546875" style="28" customWidth="1"/>
    <col min="15" max="15" width="8.7109375" style="28" customWidth="1"/>
    <col min="16" max="16" width="10.140625" style="28" customWidth="1"/>
    <col min="17" max="17" width="9.85546875" style="28" customWidth="1"/>
    <col min="18" max="18" width="10.140625" style="28" customWidth="1"/>
    <col min="19" max="19" width="10" style="28" customWidth="1"/>
    <col min="20" max="20" width="10.7109375" style="28" customWidth="1"/>
    <col min="21" max="21" width="9.85546875" style="28" customWidth="1"/>
    <col min="22" max="22" width="9.7109375" style="28" customWidth="1"/>
    <col min="23" max="23" width="9.7109375" style="28" hidden="1" customWidth="1"/>
    <col min="24" max="24" width="10.140625" style="28" customWidth="1"/>
    <col min="25" max="25" width="9" style="28" customWidth="1"/>
    <col min="26" max="27" width="12.7109375" style="28" hidden="1" customWidth="1"/>
    <col min="28" max="28" width="10.5703125" style="28" customWidth="1"/>
    <col min="29" max="29" width="11.7109375" style="28" hidden="1" customWidth="1"/>
    <col min="30" max="30" width="10.85546875" style="28" customWidth="1"/>
    <col min="31" max="31" width="12" style="28" customWidth="1" collapsed="1"/>
    <col min="32" max="32" width="7.7109375" style="90" customWidth="1"/>
    <col min="33" max="33" width="8.7109375" style="90" customWidth="1"/>
    <col min="34" max="34" width="7.7109375" style="90" customWidth="1"/>
    <col min="35" max="35" width="10.140625" style="90" customWidth="1"/>
    <col min="36" max="36" width="10.140625" style="90" hidden="1" customWidth="1"/>
    <col min="37" max="37" width="9" style="28" hidden="1" customWidth="1"/>
    <col min="38" max="38" width="11.5703125" style="143" hidden="1" customWidth="1"/>
    <col min="39" max="39" width="10.140625" style="27" hidden="1" customWidth="1"/>
    <col min="40" max="41" width="10.28515625" style="27" hidden="1" customWidth="1"/>
    <col min="42" max="42" width="9.28515625" style="60"/>
    <col min="43" max="43" width="11.140625" style="60" bestFit="1" customWidth="1"/>
    <col min="44" max="44" width="10" style="60" customWidth="1"/>
    <col min="45" max="45" width="12.28515625" style="60" bestFit="1" customWidth="1"/>
    <col min="46" max="46" width="11.5703125" style="60" customWidth="1"/>
    <col min="47" max="16384" width="9.28515625" style="60"/>
  </cols>
  <sheetData>
    <row r="1" spans="2:48">
      <c r="B1" s="27" t="s">
        <v>72</v>
      </c>
    </row>
    <row r="2" spans="2:48">
      <c r="B2" s="27" t="s">
        <v>336</v>
      </c>
    </row>
    <row r="3" spans="2:48">
      <c r="B3" s="27" t="s">
        <v>99</v>
      </c>
    </row>
    <row r="4" spans="2:48" s="27" customFormat="1" ht="13.5" thickBot="1">
      <c r="C4" s="87" t="s">
        <v>40</v>
      </c>
      <c r="D4" s="232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  <c r="AH4" s="90"/>
      <c r="AI4" s="90"/>
      <c r="AJ4" s="90"/>
      <c r="AK4" s="28"/>
      <c r="AL4" s="143"/>
    </row>
    <row r="5" spans="2:48" s="27" customFormat="1" ht="47.25" customHeight="1" thickBot="1">
      <c r="B5" s="229" t="s">
        <v>64</v>
      </c>
      <c r="C5" s="229" t="s">
        <v>25</v>
      </c>
      <c r="D5" s="230" t="s">
        <v>26</v>
      </c>
      <c r="E5" s="231" t="s">
        <v>27</v>
      </c>
      <c r="F5" s="229" t="s">
        <v>28</v>
      </c>
      <c r="G5" s="228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27" t="s">
        <v>68</v>
      </c>
      <c r="M5" s="227" t="s">
        <v>69</v>
      </c>
      <c r="N5" s="227" t="s">
        <v>80</v>
      </c>
      <c r="O5" s="227" t="s">
        <v>81</v>
      </c>
      <c r="P5" s="227" t="s">
        <v>84</v>
      </c>
      <c r="Q5" s="145" t="s">
        <v>319</v>
      </c>
      <c r="R5" s="227" t="s">
        <v>309</v>
      </c>
      <c r="S5" s="227" t="s">
        <v>310</v>
      </c>
      <c r="T5" s="227" t="s">
        <v>320</v>
      </c>
      <c r="U5" s="227" t="s">
        <v>315</v>
      </c>
      <c r="V5" s="227" t="s">
        <v>311</v>
      </c>
      <c r="W5" s="227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337</v>
      </c>
      <c r="AH5" s="197" t="s">
        <v>338</v>
      </c>
      <c r="AI5" s="145" t="s">
        <v>339</v>
      </c>
      <c r="AJ5" s="145" t="s">
        <v>331</v>
      </c>
      <c r="AK5" s="145" t="s">
        <v>330</v>
      </c>
      <c r="AL5" s="145" t="s">
        <v>70</v>
      </c>
      <c r="AM5" s="145" t="s">
        <v>71</v>
      </c>
      <c r="AN5" s="212" t="s">
        <v>73</v>
      </c>
      <c r="AO5" s="145" t="s">
        <v>334</v>
      </c>
      <c r="AQ5" s="27" t="s">
        <v>316</v>
      </c>
      <c r="AR5" s="27" t="s">
        <v>317</v>
      </c>
      <c r="AS5" s="27" t="s">
        <v>318</v>
      </c>
    </row>
    <row r="6" spans="2:48" s="173" customFormat="1" ht="18.75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30*122333.33</f>
        <v>3669999.9</v>
      </c>
      <c r="L6" s="168">
        <f>3670000*0.84%</f>
        <v>30827.999999999996</v>
      </c>
      <c r="M6" s="168">
        <f>[7]MAINTENANCE!$AK10</f>
        <v>148680</v>
      </c>
      <c r="N6" s="168">
        <f>[7]MAINTENANCE!$W10</f>
        <v>162000</v>
      </c>
      <c r="O6" s="168">
        <f>[7]MAINTENANCE!$Z10</f>
        <v>60000</v>
      </c>
      <c r="P6" s="168">
        <f>[7]MAINTENANCE!$AE10</f>
        <v>127283.24</v>
      </c>
      <c r="Q6" s="169">
        <f>[7]MAINTENANCE!$AC10</f>
        <v>0</v>
      </c>
      <c r="R6" s="168"/>
      <c r="S6" s="168"/>
      <c r="T6" s="168"/>
      <c r="U6" s="168"/>
      <c r="V6" s="168"/>
      <c r="W6" s="168"/>
      <c r="X6" s="168">
        <f>[7]MAINTENANCE!$AB10</f>
        <v>47000</v>
      </c>
      <c r="Y6" s="169"/>
      <c r="Z6" s="169"/>
      <c r="AA6" s="169"/>
      <c r="AB6" s="168">
        <f>-[7]MAINTENANCE!$BA10</f>
        <v>0</v>
      </c>
      <c r="AC6" s="168"/>
      <c r="AD6" s="168">
        <f>'[8] PRWTN'!$F9</f>
        <v>540000</v>
      </c>
      <c r="AE6" s="170">
        <f>ROUNDDOWN(SUM(K6:AD6),0)</f>
        <v>4785791</v>
      </c>
      <c r="AF6" s="171">
        <f t="shared" ref="AF6:AF37" si="0">IF(J6="TER A",VLOOKUP(AE6,Ter_A,4,TRUE),IF(J6="TER B",VLOOKUP(AE6,Ter_B,4,TRUE),VLOOKUP(AE6,Ter_C,4,TRUE)))</f>
        <v>0</v>
      </c>
      <c r="AG6" s="94">
        <f>ROUNDDOWN(IF(H6=0,AE6*AF6*120%,AE6*AF6),0)</f>
        <v>0</v>
      </c>
      <c r="AH6" s="234">
        <f>'APRIL''24'!AG6</f>
        <v>0</v>
      </c>
      <c r="AI6" s="152">
        <f>AG6-AH6</f>
        <v>0</v>
      </c>
      <c r="AJ6" s="211"/>
      <c r="AK6" s="172">
        <f>AI6-AJ6</f>
        <v>0</v>
      </c>
      <c r="AL6" s="93"/>
      <c r="AM6" s="146">
        <f>AL6-AK6</f>
        <v>0</v>
      </c>
      <c r="AN6" s="213"/>
      <c r="AO6" s="215"/>
      <c r="AQ6" s="199">
        <f>[7]MAINTENANCE!$AF10</f>
        <v>4066283.14</v>
      </c>
      <c r="AR6" s="200">
        <f t="shared" ref="AR6:AR37" si="1">L6+M6</f>
        <v>179508</v>
      </c>
      <c r="AS6" s="199">
        <f>AQ6+AR6</f>
        <v>4245791.1400000006</v>
      </c>
      <c r="AT6" s="201">
        <f t="shared" ref="AT6:AT37" si="2">AS6-AE6</f>
        <v>-539999.8599999994</v>
      </c>
    </row>
    <row r="7" spans="2:48" s="173" customFormat="1" ht="18.75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3">IF(ISBLANK(I7),"",IF(OR(I7="TK/0",I7="TK/1",I7="K/0"),"TER A",IF(I7="K/3","TER C","TER B")))</f>
        <v>TER A</v>
      </c>
      <c r="K7" s="182">
        <f>30*121333.33</f>
        <v>3639999.9</v>
      </c>
      <c r="L7" s="169">
        <f>3640000*0.84%</f>
        <v>30575.999999999996</v>
      </c>
      <c r="M7" s="189">
        <f>[7]MAINTENANCE!$AK11</f>
        <v>146680</v>
      </c>
      <c r="N7" s="189">
        <f>[7]MAINTENANCE!$W11</f>
        <v>67500</v>
      </c>
      <c r="O7" s="189"/>
      <c r="P7" s="189">
        <f>[7]MAINTENANCE!$AE11</f>
        <v>0</v>
      </c>
      <c r="Q7" s="169">
        <f>[7]MAINTENANCE!$AC11</f>
        <v>0</v>
      </c>
      <c r="R7" s="169"/>
      <c r="S7" s="169"/>
      <c r="T7" s="169"/>
      <c r="U7" s="169"/>
      <c r="V7" s="169"/>
      <c r="W7" s="169"/>
      <c r="X7" s="189">
        <f>[7]MAINTENANCE!$AB11</f>
        <v>27000</v>
      </c>
      <c r="Y7" s="169"/>
      <c r="Z7" s="169"/>
      <c r="AA7" s="169"/>
      <c r="AB7" s="189">
        <f>-[7]MAINTENANCE!$BA11</f>
        <v>0</v>
      </c>
      <c r="AC7" s="189"/>
      <c r="AD7" s="189">
        <f>'[8] PRWTN'!$F10</f>
        <v>490000</v>
      </c>
      <c r="AE7" s="183">
        <f>ROUNDDOWN(SUM(K7:AD7),0)</f>
        <v>4401755</v>
      </c>
      <c r="AF7" s="184">
        <f t="shared" si="0"/>
        <v>0</v>
      </c>
      <c r="AG7" s="95">
        <f t="shared" ref="AG7:AG66" si="4">ROUNDDOWN(IF(H7=0,AE7*AF7*120%,AE7*AF7),0)</f>
        <v>0</v>
      </c>
      <c r="AH7" s="234">
        <f>'APRIL''24'!AG7</f>
        <v>0</v>
      </c>
      <c r="AI7" s="152">
        <f t="shared" ref="AI7:AI66" si="5">AG7-AH7</f>
        <v>0</v>
      </c>
      <c r="AJ7" s="211"/>
      <c r="AK7" s="172">
        <f>AI7-AJ7</f>
        <v>0</v>
      </c>
      <c r="AL7" s="93"/>
      <c r="AM7" s="146">
        <f>AL7-AK7</f>
        <v>0</v>
      </c>
      <c r="AN7" s="213"/>
      <c r="AO7" s="214"/>
      <c r="AQ7" s="199">
        <f>[7]MAINTENANCE!$AF11</f>
        <v>3734499.9</v>
      </c>
      <c r="AR7" s="200">
        <f t="shared" si="1"/>
        <v>177256</v>
      </c>
      <c r="AS7" s="199">
        <f t="shared" ref="AS7:AS65" si="6">AQ7+AR7</f>
        <v>3911755.9</v>
      </c>
      <c r="AT7" s="201">
        <f t="shared" si="2"/>
        <v>-489999.10000000009</v>
      </c>
    </row>
    <row r="8" spans="2:48" s="173" customFormat="1" ht="18.75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3"/>
        <v>TER A</v>
      </c>
      <c r="K8" s="182">
        <f t="shared" ref="K8:K27" si="7">30*121333.33</f>
        <v>3639999.9</v>
      </c>
      <c r="L8" s="169">
        <f t="shared" ref="L8:L66" si="8">3640000*0.84%</f>
        <v>30575.999999999996</v>
      </c>
      <c r="M8" s="189">
        <f>[7]MAINTENANCE!$AK12</f>
        <v>146800</v>
      </c>
      <c r="N8" s="189">
        <f>[7]MAINTENANCE!$W12</f>
        <v>65250</v>
      </c>
      <c r="O8" s="189"/>
      <c r="P8" s="189">
        <f>[7]MAINTENANCE!$AE12</f>
        <v>0</v>
      </c>
      <c r="Q8" s="169">
        <f>[7]MAINTENANCE!$AC12</f>
        <v>0</v>
      </c>
      <c r="R8" s="169"/>
      <c r="S8" s="169"/>
      <c r="T8" s="169"/>
      <c r="U8" s="169"/>
      <c r="V8" s="169"/>
      <c r="W8" s="169"/>
      <c r="X8" s="189">
        <f>[7]MAINTENANCE!$AB12</f>
        <v>30000</v>
      </c>
      <c r="Y8" s="169"/>
      <c r="Z8" s="169"/>
      <c r="AA8" s="169"/>
      <c r="AB8" s="189">
        <f>-[7]MAINTENANCE!$BA12</f>
        <v>-121333.33</v>
      </c>
      <c r="AC8" s="189"/>
      <c r="AD8" s="189">
        <f>'[8] PRWTN'!$F11</f>
        <v>280000</v>
      </c>
      <c r="AE8" s="183">
        <f>ROUNDDOWN(SUM(K8:AD8),0)</f>
        <v>4071292</v>
      </c>
      <c r="AF8" s="184">
        <f t="shared" si="0"/>
        <v>0</v>
      </c>
      <c r="AG8" s="95">
        <f t="shared" si="4"/>
        <v>0</v>
      </c>
      <c r="AH8" s="234">
        <f>'APRIL''24'!AG8</f>
        <v>0</v>
      </c>
      <c r="AI8" s="152">
        <f t="shared" si="5"/>
        <v>0</v>
      </c>
      <c r="AJ8" s="211"/>
      <c r="AK8" s="172">
        <f>AI8-AJ8</f>
        <v>0</v>
      </c>
      <c r="AL8" s="93"/>
      <c r="AM8" s="146">
        <f t="shared" ref="AM8:AM66" si="9">AL8-AK8</f>
        <v>0</v>
      </c>
      <c r="AN8" s="213"/>
      <c r="AO8" s="214"/>
      <c r="AQ8" s="199">
        <f>[7]MAINTENANCE!$AF12</f>
        <v>3613916.5700000003</v>
      </c>
      <c r="AR8" s="200">
        <f t="shared" si="1"/>
        <v>177376</v>
      </c>
      <c r="AS8" s="199">
        <f>AQ8+AR8</f>
        <v>3791292.5700000003</v>
      </c>
      <c r="AT8" s="201">
        <f t="shared" si="2"/>
        <v>-279999.4299999997</v>
      </c>
      <c r="AV8" s="200">
        <f>AB8+AT8</f>
        <v>-401332.75999999972</v>
      </c>
    </row>
    <row r="9" spans="2:48" s="173" customFormat="1" ht="18.75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3"/>
        <v>TER A</v>
      </c>
      <c r="K9" s="182">
        <f t="shared" si="7"/>
        <v>3639999.9</v>
      </c>
      <c r="L9" s="169">
        <f t="shared" si="8"/>
        <v>30575.999999999996</v>
      </c>
      <c r="M9" s="189">
        <f>[7]MAINTENANCE!$AK13</f>
        <v>147480</v>
      </c>
      <c r="N9" s="189">
        <f>[7]MAINTENANCE!$W13</f>
        <v>65250</v>
      </c>
      <c r="O9" s="189"/>
      <c r="P9" s="189">
        <f>[7]MAINTENANCE!$AE13</f>
        <v>0</v>
      </c>
      <c r="Q9" s="169">
        <f>[7]MAINTENANCE!$AC13</f>
        <v>0</v>
      </c>
      <c r="R9" s="169"/>
      <c r="S9" s="169"/>
      <c r="T9" s="169"/>
      <c r="U9" s="169"/>
      <c r="V9" s="169"/>
      <c r="W9" s="169"/>
      <c r="X9" s="189">
        <f>[7]MAINTENANCE!$AB13</f>
        <v>47000</v>
      </c>
      <c r="Y9" s="169"/>
      <c r="Z9" s="169"/>
      <c r="AA9" s="169"/>
      <c r="AB9" s="189">
        <f>-[7]MAINTENANCE!$BA13</f>
        <v>-121333.33</v>
      </c>
      <c r="AC9" s="189"/>
      <c r="AD9" s="189">
        <f>'[8] PRWTN'!$F12</f>
        <v>280000</v>
      </c>
      <c r="AE9" s="183">
        <f t="shared" ref="AE9:AE65" si="10">ROUNDDOWN(SUM(K9:AD9),0)</f>
        <v>4088972</v>
      </c>
      <c r="AF9" s="184">
        <f t="shared" si="0"/>
        <v>0</v>
      </c>
      <c r="AG9" s="95">
        <f t="shared" si="4"/>
        <v>0</v>
      </c>
      <c r="AH9" s="234">
        <f>'APRIL''24'!AG9</f>
        <v>0</v>
      </c>
      <c r="AI9" s="152">
        <f t="shared" si="5"/>
        <v>0</v>
      </c>
      <c r="AJ9" s="211"/>
      <c r="AK9" s="172">
        <f t="shared" ref="AK9:AK66" si="11">AI9-AJ9</f>
        <v>0</v>
      </c>
      <c r="AL9" s="93"/>
      <c r="AM9" s="146">
        <f t="shared" si="9"/>
        <v>0</v>
      </c>
      <c r="AN9" s="213"/>
      <c r="AO9" s="214"/>
      <c r="AQ9" s="199">
        <f>[7]MAINTENANCE!$AF13</f>
        <v>3630916.5700000003</v>
      </c>
      <c r="AR9" s="200">
        <f t="shared" si="1"/>
        <v>178056</v>
      </c>
      <c r="AS9" s="199">
        <f t="shared" si="6"/>
        <v>3808972.5700000003</v>
      </c>
      <c r="AT9" s="201">
        <f t="shared" si="2"/>
        <v>-279999.4299999997</v>
      </c>
      <c r="AV9" s="200">
        <f>AB9+AT9</f>
        <v>-401332.75999999972</v>
      </c>
    </row>
    <row r="10" spans="2:48" s="173" customFormat="1" ht="18.75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3"/>
        <v>TER A</v>
      </c>
      <c r="K10" s="182">
        <f t="shared" si="7"/>
        <v>3639999.9</v>
      </c>
      <c r="L10" s="169">
        <f t="shared" si="8"/>
        <v>30575.999999999996</v>
      </c>
      <c r="M10" s="189">
        <f>[7]MAINTENANCE!$AK14</f>
        <v>146800</v>
      </c>
      <c r="N10" s="189">
        <f>[7]MAINTENANCE!$W14</f>
        <v>63000</v>
      </c>
      <c r="O10" s="189"/>
      <c r="P10" s="189">
        <f>[7]MAINTENANCE!$AE14</f>
        <v>0</v>
      </c>
      <c r="Q10" s="169">
        <f>[7]MAINTENANCE!$AC14</f>
        <v>0</v>
      </c>
      <c r="R10" s="169"/>
      <c r="S10" s="169"/>
      <c r="T10" s="169"/>
      <c r="U10" s="169"/>
      <c r="V10" s="169"/>
      <c r="W10" s="169"/>
      <c r="X10" s="189">
        <f>[7]MAINTENANCE!$AB14</f>
        <v>30000</v>
      </c>
      <c r="Y10" s="169"/>
      <c r="Z10" s="169"/>
      <c r="AA10" s="169"/>
      <c r="AB10" s="189">
        <f>-[7]MAINTENANCE!$BA14</f>
        <v>-242666.66</v>
      </c>
      <c r="AC10" s="189"/>
      <c r="AD10" s="189">
        <f>'[8] PRWTN'!$F13</f>
        <v>280000</v>
      </c>
      <c r="AE10" s="183">
        <f t="shared" si="10"/>
        <v>3947709</v>
      </c>
      <c r="AF10" s="184">
        <f t="shared" si="0"/>
        <v>0</v>
      </c>
      <c r="AG10" s="95">
        <f t="shared" si="4"/>
        <v>0</v>
      </c>
      <c r="AH10" s="234">
        <f>'APRIL''24'!AG10</f>
        <v>0</v>
      </c>
      <c r="AI10" s="152">
        <f t="shared" si="5"/>
        <v>0</v>
      </c>
      <c r="AJ10" s="211"/>
      <c r="AK10" s="172">
        <f t="shared" si="11"/>
        <v>0</v>
      </c>
      <c r="AL10" s="93"/>
      <c r="AM10" s="146">
        <f t="shared" si="9"/>
        <v>0</v>
      </c>
      <c r="AN10" s="213"/>
      <c r="AO10" s="214"/>
      <c r="AQ10" s="199">
        <f>[7]MAINTENANCE!$AF14</f>
        <v>3490333.24</v>
      </c>
      <c r="AR10" s="200">
        <f t="shared" si="1"/>
        <v>177376</v>
      </c>
      <c r="AS10" s="199">
        <f t="shared" si="6"/>
        <v>3667709.24</v>
      </c>
      <c r="AT10" s="201">
        <f t="shared" si="2"/>
        <v>-279999.75999999978</v>
      </c>
    </row>
    <row r="11" spans="2:48" s="173" customFormat="1" ht="18.75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3"/>
        <v>TER A</v>
      </c>
      <c r="K11" s="182">
        <f t="shared" si="7"/>
        <v>3639999.9</v>
      </c>
      <c r="L11" s="169">
        <f t="shared" si="8"/>
        <v>30575.999999999996</v>
      </c>
      <c r="M11" s="189">
        <f>[7]MAINTENANCE!$AK15</f>
        <v>147340</v>
      </c>
      <c r="N11" s="189">
        <f>[7]MAINTENANCE!$W15</f>
        <v>65250</v>
      </c>
      <c r="O11" s="189"/>
      <c r="P11" s="189">
        <f>[7]MAINTENANCE!$AE15</f>
        <v>0</v>
      </c>
      <c r="Q11" s="169">
        <f>[7]MAINTENANCE!$AC15</f>
        <v>0</v>
      </c>
      <c r="R11" s="169"/>
      <c r="S11" s="169"/>
      <c r="T11" s="169"/>
      <c r="U11" s="169"/>
      <c r="V11" s="169"/>
      <c r="W11" s="169"/>
      <c r="X11" s="189">
        <f>[7]MAINTENANCE!$AB15</f>
        <v>43500</v>
      </c>
      <c r="Y11" s="169"/>
      <c r="Z11" s="169"/>
      <c r="AA11" s="169"/>
      <c r="AB11" s="189">
        <f>-[7]MAINTENANCE!$BA15</f>
        <v>-121333.33</v>
      </c>
      <c r="AC11" s="189"/>
      <c r="AD11" s="189">
        <f>'[8] PRWTN'!$F14</f>
        <v>280000</v>
      </c>
      <c r="AE11" s="183">
        <f t="shared" si="10"/>
        <v>4085332</v>
      </c>
      <c r="AF11" s="184">
        <f t="shared" si="0"/>
        <v>0</v>
      </c>
      <c r="AG11" s="95">
        <f t="shared" si="4"/>
        <v>0</v>
      </c>
      <c r="AH11" s="234">
        <f>'APRIL''24'!AG11</f>
        <v>0</v>
      </c>
      <c r="AI11" s="152">
        <f t="shared" si="5"/>
        <v>0</v>
      </c>
      <c r="AJ11" s="211"/>
      <c r="AK11" s="172">
        <f t="shared" si="11"/>
        <v>0</v>
      </c>
      <c r="AL11" s="93"/>
      <c r="AM11" s="146">
        <f t="shared" si="9"/>
        <v>0</v>
      </c>
      <c r="AN11" s="213"/>
      <c r="AO11" s="214"/>
      <c r="AQ11" s="199">
        <f>[7]MAINTENANCE!$AF15</f>
        <v>3627416.57</v>
      </c>
      <c r="AR11" s="200">
        <f t="shared" si="1"/>
        <v>177916</v>
      </c>
      <c r="AS11" s="199">
        <f t="shared" si="6"/>
        <v>3805332.57</v>
      </c>
      <c r="AT11" s="201">
        <f t="shared" si="2"/>
        <v>-279999.43000000017</v>
      </c>
    </row>
    <row r="12" spans="2:48" s="173" customFormat="1" ht="18.75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3"/>
        <v>TER A</v>
      </c>
      <c r="K12" s="182">
        <f t="shared" si="7"/>
        <v>3639999.9</v>
      </c>
      <c r="L12" s="169">
        <f t="shared" si="8"/>
        <v>30575.999999999996</v>
      </c>
      <c r="M12" s="189">
        <f>[7]MAINTENANCE!$AK16</f>
        <v>147480</v>
      </c>
      <c r="N12" s="189">
        <f>[7]MAINTENANCE!$W16</f>
        <v>67500</v>
      </c>
      <c r="O12" s="189"/>
      <c r="P12" s="189">
        <f>[7]MAINTENANCE!$AE16</f>
        <v>0</v>
      </c>
      <c r="Q12" s="169">
        <f>[7]MAINTENANCE!$AC16</f>
        <v>0</v>
      </c>
      <c r="R12" s="169"/>
      <c r="S12" s="169"/>
      <c r="T12" s="169"/>
      <c r="U12" s="169"/>
      <c r="V12" s="169"/>
      <c r="W12" s="169"/>
      <c r="X12" s="189">
        <f>[7]MAINTENANCE!$AB16</f>
        <v>47000</v>
      </c>
      <c r="Y12" s="169"/>
      <c r="Z12" s="169"/>
      <c r="AA12" s="169"/>
      <c r="AB12" s="189">
        <f>-[7]MAINTENANCE!$BA16</f>
        <v>0</v>
      </c>
      <c r="AC12" s="189"/>
      <c r="AD12" s="189">
        <f>'[8] PRWTN'!$F15</f>
        <v>490000</v>
      </c>
      <c r="AE12" s="183">
        <f t="shared" si="10"/>
        <v>4422555</v>
      </c>
      <c r="AF12" s="184">
        <f t="shared" si="0"/>
        <v>0</v>
      </c>
      <c r="AG12" s="95">
        <f t="shared" si="4"/>
        <v>0</v>
      </c>
      <c r="AH12" s="234">
        <f>'APRIL''24'!AG12</f>
        <v>0</v>
      </c>
      <c r="AI12" s="152">
        <f t="shared" si="5"/>
        <v>0</v>
      </c>
      <c r="AJ12" s="211"/>
      <c r="AK12" s="172">
        <f t="shared" si="11"/>
        <v>0</v>
      </c>
      <c r="AL12" s="93"/>
      <c r="AM12" s="146">
        <f t="shared" si="9"/>
        <v>0</v>
      </c>
      <c r="AN12" s="213"/>
      <c r="AO12" s="214"/>
      <c r="AQ12" s="199">
        <f>[7]MAINTENANCE!$AF16</f>
        <v>3754499.9</v>
      </c>
      <c r="AR12" s="200">
        <f t="shared" si="1"/>
        <v>178056</v>
      </c>
      <c r="AS12" s="199">
        <f t="shared" si="6"/>
        <v>3932555.9</v>
      </c>
      <c r="AT12" s="201">
        <f t="shared" si="2"/>
        <v>-489999.10000000009</v>
      </c>
    </row>
    <row r="13" spans="2:48" s="173" customFormat="1" ht="18.75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3"/>
        <v>TER A</v>
      </c>
      <c r="K13" s="182">
        <f t="shared" si="7"/>
        <v>3639999.9</v>
      </c>
      <c r="L13" s="169">
        <f t="shared" si="8"/>
        <v>30575.999999999996</v>
      </c>
      <c r="M13" s="189">
        <f>[7]MAINTENANCE!$AK17</f>
        <v>147480</v>
      </c>
      <c r="N13" s="189">
        <f>[7]MAINTENANCE!$W17</f>
        <v>65250</v>
      </c>
      <c r="O13" s="189"/>
      <c r="P13" s="189">
        <f>[7]MAINTENANCE!$AE17</f>
        <v>0</v>
      </c>
      <c r="Q13" s="169">
        <f>[7]MAINTENANCE!$AC17</f>
        <v>0</v>
      </c>
      <c r="R13" s="169"/>
      <c r="S13" s="169"/>
      <c r="T13" s="169"/>
      <c r="U13" s="169"/>
      <c r="V13" s="169"/>
      <c r="W13" s="169"/>
      <c r="X13" s="189">
        <f>[7]MAINTENANCE!$AB17</f>
        <v>47000</v>
      </c>
      <c r="Y13" s="169"/>
      <c r="Z13" s="169"/>
      <c r="AA13" s="169"/>
      <c r="AB13" s="189">
        <f>-[7]MAINTENANCE!$BA17</f>
        <v>-121333.33</v>
      </c>
      <c r="AC13" s="189"/>
      <c r="AD13" s="189">
        <f>'[8] PRWTN'!$F16</f>
        <v>490000</v>
      </c>
      <c r="AE13" s="183">
        <f t="shared" si="10"/>
        <v>4298972</v>
      </c>
      <c r="AF13" s="184">
        <f t="shared" si="0"/>
        <v>0</v>
      </c>
      <c r="AG13" s="95">
        <f t="shared" si="4"/>
        <v>0</v>
      </c>
      <c r="AH13" s="234">
        <f>'APRIL''24'!AG13</f>
        <v>0</v>
      </c>
      <c r="AI13" s="152">
        <f t="shared" si="5"/>
        <v>0</v>
      </c>
      <c r="AJ13" s="211"/>
      <c r="AK13" s="172">
        <f t="shared" si="11"/>
        <v>0</v>
      </c>
      <c r="AL13" s="93"/>
      <c r="AM13" s="146">
        <f t="shared" si="9"/>
        <v>0</v>
      </c>
      <c r="AN13" s="213"/>
      <c r="AO13" s="214"/>
      <c r="AQ13" s="199">
        <f>[7]MAINTENANCE!$AF17</f>
        <v>3630916.57</v>
      </c>
      <c r="AR13" s="200">
        <f t="shared" si="1"/>
        <v>178056</v>
      </c>
      <c r="AS13" s="199">
        <f t="shared" si="6"/>
        <v>3808972.57</v>
      </c>
      <c r="AT13" s="201">
        <f t="shared" si="2"/>
        <v>-489999.43000000017</v>
      </c>
    </row>
    <row r="14" spans="2:48" s="173" customFormat="1" ht="18.75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3"/>
        <v>TER A</v>
      </c>
      <c r="K14" s="182">
        <f t="shared" si="7"/>
        <v>3639999.9</v>
      </c>
      <c r="L14" s="169">
        <f t="shared" si="8"/>
        <v>30575.999999999996</v>
      </c>
      <c r="M14" s="189">
        <f>[7]MAINTENANCE!$AK18</f>
        <v>147480</v>
      </c>
      <c r="N14" s="189">
        <f>[7]MAINTENANCE!$W18</f>
        <v>67500</v>
      </c>
      <c r="O14" s="189"/>
      <c r="P14" s="189">
        <f>[7]MAINTENANCE!$AE18</f>
        <v>0</v>
      </c>
      <c r="Q14" s="169">
        <f>[7]MAINTENANCE!$AC18</f>
        <v>0</v>
      </c>
      <c r="R14" s="169"/>
      <c r="S14" s="169"/>
      <c r="T14" s="169"/>
      <c r="U14" s="169"/>
      <c r="V14" s="169"/>
      <c r="W14" s="169"/>
      <c r="X14" s="189">
        <f>[7]MAINTENANCE!$AB18</f>
        <v>47000</v>
      </c>
      <c r="Y14" s="169"/>
      <c r="Z14" s="169"/>
      <c r="AA14" s="169"/>
      <c r="AB14" s="189">
        <f>-[7]MAINTENANCE!$BA18</f>
        <v>0</v>
      </c>
      <c r="AC14" s="189"/>
      <c r="AD14" s="189">
        <f>'[8] PRWTN'!$F17</f>
        <v>280000</v>
      </c>
      <c r="AE14" s="183">
        <f t="shared" si="10"/>
        <v>4212555</v>
      </c>
      <c r="AF14" s="184">
        <f t="shared" si="0"/>
        <v>0</v>
      </c>
      <c r="AG14" s="95">
        <f t="shared" si="4"/>
        <v>0</v>
      </c>
      <c r="AH14" s="234">
        <f>'APRIL''24'!AG14</f>
        <v>0</v>
      </c>
      <c r="AI14" s="152">
        <f t="shared" si="5"/>
        <v>0</v>
      </c>
      <c r="AJ14" s="211"/>
      <c r="AK14" s="172">
        <f t="shared" si="11"/>
        <v>0</v>
      </c>
      <c r="AL14" s="93"/>
      <c r="AM14" s="146">
        <f t="shared" si="9"/>
        <v>0</v>
      </c>
      <c r="AN14" s="213"/>
      <c r="AO14" s="214"/>
      <c r="AQ14" s="199">
        <f>[7]MAINTENANCE!$AF18</f>
        <v>3754499.9</v>
      </c>
      <c r="AR14" s="200">
        <f t="shared" si="1"/>
        <v>178056</v>
      </c>
      <c r="AS14" s="199">
        <f t="shared" si="6"/>
        <v>3932555.9</v>
      </c>
      <c r="AT14" s="201">
        <f t="shared" si="2"/>
        <v>-279999.10000000009</v>
      </c>
    </row>
    <row r="15" spans="2:48" s="173" customFormat="1" ht="18.75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3"/>
        <v>TER A</v>
      </c>
      <c r="K15" s="182">
        <f t="shared" si="7"/>
        <v>3639999.9</v>
      </c>
      <c r="L15" s="169">
        <f t="shared" si="8"/>
        <v>30575.999999999996</v>
      </c>
      <c r="M15" s="189">
        <f>[7]MAINTENANCE!$AK19</f>
        <v>147620</v>
      </c>
      <c r="N15" s="189">
        <f>[7]MAINTENANCE!$W19</f>
        <v>63000</v>
      </c>
      <c r="O15" s="189"/>
      <c r="P15" s="189">
        <f>[7]MAINTENANCE!$AE19</f>
        <v>0</v>
      </c>
      <c r="Q15" s="169">
        <f>[7]MAINTENANCE!$AC19</f>
        <v>0</v>
      </c>
      <c r="R15" s="169"/>
      <c r="S15" s="169"/>
      <c r="T15" s="169"/>
      <c r="U15" s="169"/>
      <c r="V15" s="169"/>
      <c r="W15" s="169"/>
      <c r="X15" s="189">
        <f>[7]MAINTENANCE!$AB19</f>
        <v>50500</v>
      </c>
      <c r="Y15" s="169"/>
      <c r="Z15" s="169"/>
      <c r="AA15" s="169"/>
      <c r="AB15" s="189">
        <f>-[7]MAINTENANCE!$BA19</f>
        <v>-242666.66</v>
      </c>
      <c r="AC15" s="189"/>
      <c r="AD15" s="189">
        <f>'[8] PRWTN'!$F18</f>
        <v>280000</v>
      </c>
      <c r="AE15" s="183">
        <f t="shared" si="10"/>
        <v>3969029</v>
      </c>
      <c r="AF15" s="184">
        <f t="shared" si="0"/>
        <v>0</v>
      </c>
      <c r="AG15" s="95">
        <f t="shared" si="4"/>
        <v>0</v>
      </c>
      <c r="AH15" s="234">
        <f>'APRIL''24'!AG15</f>
        <v>0</v>
      </c>
      <c r="AI15" s="152">
        <f t="shared" si="5"/>
        <v>0</v>
      </c>
      <c r="AJ15" s="211"/>
      <c r="AK15" s="172">
        <f t="shared" si="11"/>
        <v>0</v>
      </c>
      <c r="AL15" s="93"/>
      <c r="AM15" s="146">
        <f t="shared" si="9"/>
        <v>0</v>
      </c>
      <c r="AN15" s="213"/>
      <c r="AO15" s="214"/>
      <c r="AQ15" s="199">
        <f>[7]MAINTENANCE!$AF19</f>
        <v>3510833.24</v>
      </c>
      <c r="AR15" s="200">
        <f t="shared" si="1"/>
        <v>178196</v>
      </c>
      <c r="AS15" s="199">
        <f t="shared" si="6"/>
        <v>3689029.24</v>
      </c>
      <c r="AT15" s="201">
        <f t="shared" si="2"/>
        <v>-279999.75999999978</v>
      </c>
    </row>
    <row r="16" spans="2:48" s="173" customFormat="1" ht="18.75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3"/>
        <v>TER A</v>
      </c>
      <c r="K16" s="182">
        <f t="shared" si="7"/>
        <v>3639999.9</v>
      </c>
      <c r="L16" s="169">
        <f t="shared" si="8"/>
        <v>30575.999999999996</v>
      </c>
      <c r="M16" s="189">
        <f>[7]MAINTENANCE!$AK20</f>
        <v>147480</v>
      </c>
      <c r="N16" s="189">
        <f>[7]MAINTENANCE!$W20</f>
        <v>67500</v>
      </c>
      <c r="O16" s="189"/>
      <c r="P16" s="189">
        <f>[7]MAINTENANCE!$AE20</f>
        <v>0</v>
      </c>
      <c r="Q16" s="169">
        <f>[7]MAINTENANCE!$AC20</f>
        <v>0</v>
      </c>
      <c r="R16" s="169"/>
      <c r="S16" s="169"/>
      <c r="T16" s="169"/>
      <c r="U16" s="169"/>
      <c r="V16" s="169"/>
      <c r="W16" s="169"/>
      <c r="X16" s="189">
        <f>[7]MAINTENANCE!$AB20</f>
        <v>47000</v>
      </c>
      <c r="Y16" s="169"/>
      <c r="Z16" s="169"/>
      <c r="AA16" s="169"/>
      <c r="AB16" s="189">
        <f>-[7]MAINTENANCE!$BA20</f>
        <v>0</v>
      </c>
      <c r="AC16" s="189"/>
      <c r="AD16" s="189">
        <f>'[8] PRWTN'!$F19</f>
        <v>280000</v>
      </c>
      <c r="AE16" s="183">
        <f t="shared" si="10"/>
        <v>4212555</v>
      </c>
      <c r="AF16" s="184">
        <f t="shared" si="0"/>
        <v>0</v>
      </c>
      <c r="AG16" s="95">
        <f t="shared" si="4"/>
        <v>0</v>
      </c>
      <c r="AH16" s="234">
        <f>'APRIL''24'!AG16</f>
        <v>0</v>
      </c>
      <c r="AI16" s="152">
        <f t="shared" si="5"/>
        <v>0</v>
      </c>
      <c r="AJ16" s="211"/>
      <c r="AK16" s="172">
        <f t="shared" si="11"/>
        <v>0</v>
      </c>
      <c r="AL16" s="93"/>
      <c r="AM16" s="146">
        <f t="shared" si="9"/>
        <v>0</v>
      </c>
      <c r="AN16" s="213"/>
      <c r="AO16" s="214"/>
      <c r="AQ16" s="199">
        <f>[7]MAINTENANCE!$AF20</f>
        <v>3754499.9</v>
      </c>
      <c r="AR16" s="200">
        <f t="shared" si="1"/>
        <v>178056</v>
      </c>
      <c r="AS16" s="199">
        <f t="shared" si="6"/>
        <v>3932555.9</v>
      </c>
      <c r="AT16" s="201">
        <f t="shared" si="2"/>
        <v>-279999.10000000009</v>
      </c>
    </row>
    <row r="17" spans="2:46" s="173" customFormat="1" ht="18.75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3"/>
        <v>TER A</v>
      </c>
      <c r="K17" s="182">
        <f t="shared" si="7"/>
        <v>3639999.9</v>
      </c>
      <c r="L17" s="169">
        <f t="shared" si="8"/>
        <v>30575.999999999996</v>
      </c>
      <c r="M17" s="189">
        <f>[7]MAINTENANCE!$AK21</f>
        <v>147340</v>
      </c>
      <c r="N17" s="189">
        <f>[7]MAINTENANCE!$W21</f>
        <v>63000</v>
      </c>
      <c r="O17" s="189"/>
      <c r="P17" s="189">
        <f>[7]MAINTENANCE!$AE21</f>
        <v>0</v>
      </c>
      <c r="Q17" s="169">
        <f>[7]MAINTENANCE!$AC21</f>
        <v>0</v>
      </c>
      <c r="R17" s="169"/>
      <c r="S17" s="169"/>
      <c r="T17" s="169"/>
      <c r="U17" s="169"/>
      <c r="V17" s="169"/>
      <c r="W17" s="169"/>
      <c r="X17" s="189">
        <f>[7]MAINTENANCE!$AB21</f>
        <v>43500</v>
      </c>
      <c r="Y17" s="169"/>
      <c r="Z17" s="169"/>
      <c r="AA17" s="169"/>
      <c r="AB17" s="189">
        <f>-[7]MAINTENANCE!$BA21</f>
        <v>-242666.66</v>
      </c>
      <c r="AC17" s="189"/>
      <c r="AD17" s="189">
        <f>'[8] PRWTN'!$F20</f>
        <v>280000</v>
      </c>
      <c r="AE17" s="183">
        <f t="shared" si="10"/>
        <v>3961749</v>
      </c>
      <c r="AF17" s="184">
        <f t="shared" si="0"/>
        <v>0</v>
      </c>
      <c r="AG17" s="95">
        <f t="shared" si="4"/>
        <v>0</v>
      </c>
      <c r="AH17" s="234">
        <f>'APRIL''24'!AG17</f>
        <v>0</v>
      </c>
      <c r="AI17" s="152">
        <f t="shared" si="5"/>
        <v>0</v>
      </c>
      <c r="AJ17" s="211"/>
      <c r="AK17" s="172">
        <f t="shared" si="11"/>
        <v>0</v>
      </c>
      <c r="AL17" s="93"/>
      <c r="AM17" s="146">
        <f t="shared" si="9"/>
        <v>0</v>
      </c>
      <c r="AN17" s="213"/>
      <c r="AO17" s="214"/>
      <c r="AQ17" s="199">
        <f>[7]MAINTENANCE!$AF21</f>
        <v>3503833.2399999998</v>
      </c>
      <c r="AR17" s="200">
        <f t="shared" si="1"/>
        <v>177916</v>
      </c>
      <c r="AS17" s="199">
        <f t="shared" si="6"/>
        <v>3681749.2399999998</v>
      </c>
      <c r="AT17" s="201">
        <f t="shared" si="2"/>
        <v>-279999.76000000024</v>
      </c>
    </row>
    <row r="18" spans="2:46" s="173" customFormat="1" ht="18.75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3"/>
        <v>TER A</v>
      </c>
      <c r="K18" s="182">
        <f t="shared" si="7"/>
        <v>3639999.9</v>
      </c>
      <c r="L18" s="169">
        <f t="shared" si="8"/>
        <v>30575.999999999996</v>
      </c>
      <c r="M18" s="189">
        <f>[7]MAINTENANCE!$AK22</f>
        <v>147340</v>
      </c>
      <c r="N18" s="189">
        <f>[7]MAINTENANCE!$W22</f>
        <v>65250</v>
      </c>
      <c r="O18" s="189"/>
      <c r="P18" s="189">
        <f>[7]MAINTENANCE!$AE22</f>
        <v>0</v>
      </c>
      <c r="Q18" s="169">
        <f>[7]MAINTENANCE!$AC22</f>
        <v>0</v>
      </c>
      <c r="R18" s="169"/>
      <c r="S18" s="169">
        <f>[7]MAINTENANCE!$AD$22</f>
        <v>3150</v>
      </c>
      <c r="T18" s="169"/>
      <c r="U18" s="169"/>
      <c r="V18" s="169"/>
      <c r="W18" s="169"/>
      <c r="X18" s="189">
        <f>[7]MAINTENANCE!$AB22</f>
        <v>43500</v>
      </c>
      <c r="Y18" s="169"/>
      <c r="Z18" s="169"/>
      <c r="AA18" s="169"/>
      <c r="AB18" s="189">
        <f>-[7]MAINTENANCE!$BA22</f>
        <v>-121333.33</v>
      </c>
      <c r="AC18" s="189"/>
      <c r="AD18" s="189">
        <f>'[8] PRWTN'!$F21</f>
        <v>280000</v>
      </c>
      <c r="AE18" s="183">
        <f t="shared" si="10"/>
        <v>4088482</v>
      </c>
      <c r="AF18" s="184">
        <f t="shared" si="0"/>
        <v>0</v>
      </c>
      <c r="AG18" s="95">
        <f t="shared" si="4"/>
        <v>0</v>
      </c>
      <c r="AH18" s="234">
        <f>'APRIL''24'!AG18</f>
        <v>0</v>
      </c>
      <c r="AI18" s="152">
        <f t="shared" si="5"/>
        <v>0</v>
      </c>
      <c r="AJ18" s="211"/>
      <c r="AK18" s="172">
        <f t="shared" si="11"/>
        <v>0</v>
      </c>
      <c r="AL18" s="93"/>
      <c r="AM18" s="146">
        <f t="shared" si="9"/>
        <v>0</v>
      </c>
      <c r="AN18" s="213"/>
      <c r="AO18" s="214"/>
      <c r="AQ18" s="199">
        <f>[7]MAINTENANCE!$AF22</f>
        <v>3630566.57</v>
      </c>
      <c r="AR18" s="200">
        <f t="shared" si="1"/>
        <v>177916</v>
      </c>
      <c r="AS18" s="199">
        <f t="shared" si="6"/>
        <v>3808482.57</v>
      </c>
      <c r="AT18" s="201">
        <f t="shared" si="2"/>
        <v>-279999.43000000017</v>
      </c>
    </row>
    <row r="19" spans="2:46" s="173" customFormat="1" ht="18.75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3"/>
        <v>TER A</v>
      </c>
      <c r="K19" s="182">
        <f t="shared" si="7"/>
        <v>3639999.9</v>
      </c>
      <c r="L19" s="169">
        <f t="shared" si="8"/>
        <v>30575.999999999996</v>
      </c>
      <c r="M19" s="189">
        <f>[7]MAINTENANCE!$AK23</f>
        <v>146920</v>
      </c>
      <c r="N19" s="189">
        <f>[7]MAINTENANCE!$W23</f>
        <v>65250</v>
      </c>
      <c r="O19" s="189"/>
      <c r="P19" s="189">
        <f>[7]MAINTENANCE!$AE23</f>
        <v>0</v>
      </c>
      <c r="Q19" s="169">
        <f>[7]MAINTENANCE!$AC23</f>
        <v>0</v>
      </c>
      <c r="R19" s="169"/>
      <c r="S19" s="169"/>
      <c r="T19" s="169"/>
      <c r="U19" s="169"/>
      <c r="V19" s="169"/>
      <c r="W19" s="169"/>
      <c r="X19" s="189">
        <f>[7]MAINTENANCE!$AB23</f>
        <v>33000</v>
      </c>
      <c r="Y19" s="169"/>
      <c r="Z19" s="169"/>
      <c r="AA19" s="169"/>
      <c r="AB19" s="189">
        <f>-[7]MAINTENANCE!$BA23</f>
        <v>-121333.33</v>
      </c>
      <c r="AC19" s="189"/>
      <c r="AD19" s="189">
        <f>'[8] PRWTN'!$F22</f>
        <v>280000</v>
      </c>
      <c r="AE19" s="183">
        <f t="shared" si="10"/>
        <v>4074412</v>
      </c>
      <c r="AF19" s="184">
        <f t="shared" si="0"/>
        <v>0</v>
      </c>
      <c r="AG19" s="95">
        <f t="shared" si="4"/>
        <v>0</v>
      </c>
      <c r="AH19" s="234">
        <f>'APRIL''24'!AG19</f>
        <v>0</v>
      </c>
      <c r="AI19" s="152">
        <f t="shared" si="5"/>
        <v>0</v>
      </c>
      <c r="AJ19" s="211"/>
      <c r="AK19" s="172">
        <f t="shared" si="11"/>
        <v>0</v>
      </c>
      <c r="AL19" s="93"/>
      <c r="AM19" s="146">
        <f t="shared" si="9"/>
        <v>0</v>
      </c>
      <c r="AN19" s="213"/>
      <c r="AO19" s="214"/>
      <c r="AQ19" s="199">
        <f>[7]MAINTENANCE!$AF23</f>
        <v>3616916.5700000003</v>
      </c>
      <c r="AR19" s="200">
        <f t="shared" si="1"/>
        <v>177496</v>
      </c>
      <c r="AS19" s="199">
        <f t="shared" si="6"/>
        <v>3794412.5700000003</v>
      </c>
      <c r="AT19" s="201">
        <f t="shared" si="2"/>
        <v>-279999.4299999997</v>
      </c>
    </row>
    <row r="20" spans="2:46" s="173" customFormat="1" ht="18.75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3"/>
        <v>TER C</v>
      </c>
      <c r="K20" s="182">
        <f t="shared" si="7"/>
        <v>3639999.9</v>
      </c>
      <c r="L20" s="169">
        <f t="shared" si="8"/>
        <v>30575.999999999996</v>
      </c>
      <c r="M20" s="189">
        <f>[7]MAINTENANCE!$AK24</f>
        <v>147340</v>
      </c>
      <c r="N20" s="189">
        <f>[7]MAINTENANCE!$W24</f>
        <v>130500</v>
      </c>
      <c r="O20" s="189"/>
      <c r="P20" s="189">
        <f>[7]MAINTENANCE!$AE24</f>
        <v>0</v>
      </c>
      <c r="Q20" s="169">
        <f>[7]MAINTENANCE!$AC24</f>
        <v>0</v>
      </c>
      <c r="R20" s="169"/>
      <c r="S20" s="169"/>
      <c r="T20" s="169"/>
      <c r="U20" s="169"/>
      <c r="V20" s="169"/>
      <c r="W20" s="169"/>
      <c r="X20" s="189">
        <f>[7]MAINTENANCE!$AB24</f>
        <v>43500</v>
      </c>
      <c r="Y20" s="169"/>
      <c r="Z20" s="169"/>
      <c r="AA20" s="169"/>
      <c r="AB20" s="189">
        <f>-[7]MAINTENANCE!$BA24</f>
        <v>-121333.33</v>
      </c>
      <c r="AC20" s="189"/>
      <c r="AD20" s="189">
        <f>'[8] PRWTN'!$F23</f>
        <v>490000</v>
      </c>
      <c r="AE20" s="183">
        <f t="shared" si="10"/>
        <v>4360582</v>
      </c>
      <c r="AF20" s="184">
        <f t="shared" si="0"/>
        <v>0</v>
      </c>
      <c r="AG20" s="95">
        <f t="shared" si="4"/>
        <v>0</v>
      </c>
      <c r="AH20" s="234">
        <f>'APRIL''24'!AG20</f>
        <v>0</v>
      </c>
      <c r="AI20" s="152">
        <f t="shared" si="5"/>
        <v>0</v>
      </c>
      <c r="AJ20" s="211"/>
      <c r="AK20" s="172">
        <f t="shared" si="11"/>
        <v>0</v>
      </c>
      <c r="AL20" s="93"/>
      <c r="AM20" s="146">
        <f t="shared" si="9"/>
        <v>0</v>
      </c>
      <c r="AN20" s="213"/>
      <c r="AO20" s="214"/>
      <c r="AQ20" s="199">
        <f>[7]MAINTENANCE!$AF24</f>
        <v>3692666.57</v>
      </c>
      <c r="AR20" s="200">
        <f t="shared" si="1"/>
        <v>177916</v>
      </c>
      <c r="AS20" s="199">
        <f t="shared" si="6"/>
        <v>3870582.57</v>
      </c>
      <c r="AT20" s="201">
        <f t="shared" si="2"/>
        <v>-489999.43000000017</v>
      </c>
    </row>
    <row r="21" spans="2:46" s="173" customFormat="1" ht="18.75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3"/>
        <v>TER B</v>
      </c>
      <c r="K21" s="182">
        <f t="shared" si="7"/>
        <v>3639999.9</v>
      </c>
      <c r="L21" s="169">
        <f t="shared" si="8"/>
        <v>30575.999999999996</v>
      </c>
      <c r="M21" s="189">
        <f>[7]MAINTENANCE!$AK25</f>
        <v>146680</v>
      </c>
      <c r="N21" s="189">
        <f>[7]MAINTENANCE!$W25</f>
        <v>135000</v>
      </c>
      <c r="O21" s="189"/>
      <c r="P21" s="189">
        <f>[7]MAINTENANCE!$AE25</f>
        <v>441849.66</v>
      </c>
      <c r="Q21" s="169">
        <f>[7]MAINTENANCE!$AC25</f>
        <v>200115</v>
      </c>
      <c r="R21" s="169"/>
      <c r="S21" s="169">
        <f>[7]MAINTENANCE!$AD$25</f>
        <v>5250</v>
      </c>
      <c r="T21" s="169"/>
      <c r="U21" s="169"/>
      <c r="V21" s="169"/>
      <c r="W21" s="169"/>
      <c r="X21" s="189">
        <f>[7]MAINTENANCE!$AB25</f>
        <v>27000</v>
      </c>
      <c r="Y21" s="169"/>
      <c r="Z21" s="169"/>
      <c r="AA21" s="169"/>
      <c r="AB21" s="189">
        <f>-[7]MAINTENANCE!$BA25</f>
        <v>0</v>
      </c>
      <c r="AC21" s="189"/>
      <c r="AD21" s="189">
        <f>'[8] PRWTN'!$F24</f>
        <v>490000</v>
      </c>
      <c r="AE21" s="183">
        <f>ROUNDDOWN(SUM(K21:AD21),0)</f>
        <v>5116470</v>
      </c>
      <c r="AF21" s="184">
        <f t="shared" si="0"/>
        <v>0</v>
      </c>
      <c r="AG21" s="95">
        <f t="shared" si="4"/>
        <v>0</v>
      </c>
      <c r="AH21" s="234">
        <f>'APRIL''24'!AG21</f>
        <v>0</v>
      </c>
      <c r="AI21" s="152">
        <f t="shared" si="5"/>
        <v>0</v>
      </c>
      <c r="AJ21" s="211"/>
      <c r="AK21" s="172">
        <f t="shared" si="11"/>
        <v>0</v>
      </c>
      <c r="AL21" s="93"/>
      <c r="AM21" s="146">
        <f t="shared" si="9"/>
        <v>0</v>
      </c>
      <c r="AN21" s="213"/>
      <c r="AO21" s="214"/>
      <c r="AQ21" s="199">
        <f>[7]MAINTENANCE!$AF25</f>
        <v>4449214.5599999996</v>
      </c>
      <c r="AR21" s="200">
        <f t="shared" si="1"/>
        <v>177256</v>
      </c>
      <c r="AS21" s="199">
        <f>AQ21+AR21</f>
        <v>4626470.5599999996</v>
      </c>
      <c r="AT21" s="201">
        <f t="shared" si="2"/>
        <v>-489999.44000000041</v>
      </c>
    </row>
    <row r="22" spans="2:46" s="173" customFormat="1" ht="18.75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3"/>
        <v>TER A</v>
      </c>
      <c r="K22" s="182">
        <f t="shared" si="7"/>
        <v>3639999.9</v>
      </c>
      <c r="L22" s="169">
        <f t="shared" si="8"/>
        <v>30575.999999999996</v>
      </c>
      <c r="M22" s="189">
        <f>[7]MAINTENANCE!$AK26</f>
        <v>147480</v>
      </c>
      <c r="N22" s="189">
        <f>[7]MAINTENANCE!$W26</f>
        <v>67500</v>
      </c>
      <c r="O22" s="189"/>
      <c r="P22" s="189">
        <f>[7]MAINTENANCE!$AE26</f>
        <v>0</v>
      </c>
      <c r="Q22" s="169">
        <f>[7]MAINTENANCE!$AC26</f>
        <v>0</v>
      </c>
      <c r="R22" s="169"/>
      <c r="S22" s="169"/>
      <c r="T22" s="169"/>
      <c r="U22" s="169"/>
      <c r="V22" s="169"/>
      <c r="W22" s="169"/>
      <c r="X22" s="189">
        <f>[7]MAINTENANCE!$AB26</f>
        <v>47000</v>
      </c>
      <c r="Y22" s="169"/>
      <c r="Z22" s="169"/>
      <c r="AA22" s="169"/>
      <c r="AB22" s="189">
        <f>-[7]MAINTENANCE!$BA26</f>
        <v>0</v>
      </c>
      <c r="AC22" s="189"/>
      <c r="AD22" s="189">
        <f>'[8] PRWTN'!$F25</f>
        <v>490000</v>
      </c>
      <c r="AE22" s="183">
        <f t="shared" si="10"/>
        <v>4422555</v>
      </c>
      <c r="AF22" s="184">
        <f t="shared" si="0"/>
        <v>0</v>
      </c>
      <c r="AG22" s="95">
        <f t="shared" si="4"/>
        <v>0</v>
      </c>
      <c r="AH22" s="234">
        <f>'APRIL''24'!AG22</f>
        <v>0</v>
      </c>
      <c r="AI22" s="152">
        <f t="shared" si="5"/>
        <v>0</v>
      </c>
      <c r="AJ22" s="211"/>
      <c r="AK22" s="172">
        <f t="shared" si="11"/>
        <v>0</v>
      </c>
      <c r="AL22" s="93"/>
      <c r="AM22" s="146">
        <f t="shared" si="9"/>
        <v>0</v>
      </c>
      <c r="AN22" s="213"/>
      <c r="AO22" s="214"/>
      <c r="AQ22" s="199">
        <f>[7]MAINTENANCE!$AF26</f>
        <v>3754499.9</v>
      </c>
      <c r="AR22" s="200">
        <f t="shared" si="1"/>
        <v>178056</v>
      </c>
      <c r="AS22" s="199">
        <f t="shared" si="6"/>
        <v>3932555.9</v>
      </c>
      <c r="AT22" s="201">
        <f t="shared" si="2"/>
        <v>-489999.10000000009</v>
      </c>
    </row>
    <row r="23" spans="2:46" s="173" customFormat="1" ht="18.75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3"/>
        <v>TER A</v>
      </c>
      <c r="K23" s="182">
        <f t="shared" si="7"/>
        <v>3639999.9</v>
      </c>
      <c r="L23" s="169">
        <f t="shared" si="8"/>
        <v>30575.999999999996</v>
      </c>
      <c r="M23" s="189">
        <f>[7]MAINTENANCE!$AK27</f>
        <v>147340</v>
      </c>
      <c r="N23" s="189">
        <f>[7]MAINTENANCE!$W27</f>
        <v>65250</v>
      </c>
      <c r="O23" s="189"/>
      <c r="P23" s="189">
        <f>[7]MAINTENANCE!$AE27</f>
        <v>0</v>
      </c>
      <c r="Q23" s="169">
        <f>[7]MAINTENANCE!$AC27</f>
        <v>0</v>
      </c>
      <c r="R23" s="189"/>
      <c r="S23" s="189"/>
      <c r="T23" s="189"/>
      <c r="U23" s="189"/>
      <c r="V23" s="189"/>
      <c r="W23" s="189"/>
      <c r="X23" s="189">
        <f>[7]MAINTENANCE!$AB27</f>
        <v>43500</v>
      </c>
      <c r="Y23" s="189"/>
      <c r="Z23" s="189"/>
      <c r="AA23" s="189"/>
      <c r="AB23" s="189">
        <f>-[7]MAINTENANCE!$BA27</f>
        <v>-121333.33</v>
      </c>
      <c r="AC23" s="189"/>
      <c r="AD23" s="189">
        <f>'[8] PRWTN'!$F26</f>
        <v>280000</v>
      </c>
      <c r="AE23" s="183">
        <f t="shared" si="10"/>
        <v>4085332</v>
      </c>
      <c r="AF23" s="184">
        <f t="shared" si="0"/>
        <v>0</v>
      </c>
      <c r="AG23" s="95">
        <f t="shared" si="4"/>
        <v>0</v>
      </c>
      <c r="AH23" s="234">
        <f>'APRIL''24'!AG23</f>
        <v>0</v>
      </c>
      <c r="AI23" s="152">
        <f t="shared" si="5"/>
        <v>0</v>
      </c>
      <c r="AJ23" s="211"/>
      <c r="AK23" s="172">
        <f t="shared" si="11"/>
        <v>0</v>
      </c>
      <c r="AL23" s="93"/>
      <c r="AM23" s="146">
        <f t="shared" si="9"/>
        <v>0</v>
      </c>
      <c r="AN23" s="213"/>
      <c r="AO23" s="214"/>
      <c r="AQ23" s="199">
        <f>[7]MAINTENANCE!$AF27</f>
        <v>3627416.57</v>
      </c>
      <c r="AR23" s="200">
        <f t="shared" si="1"/>
        <v>177916</v>
      </c>
      <c r="AS23" s="199">
        <f t="shared" si="6"/>
        <v>3805332.57</v>
      </c>
      <c r="AT23" s="201">
        <f t="shared" si="2"/>
        <v>-279999.43000000017</v>
      </c>
    </row>
    <row r="24" spans="2:46" s="173" customFormat="1" ht="18.75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3"/>
        <v>TER A</v>
      </c>
      <c r="K24" s="182">
        <f t="shared" si="7"/>
        <v>3639999.9</v>
      </c>
      <c r="L24" s="169">
        <f t="shared" si="8"/>
        <v>30575.999999999996</v>
      </c>
      <c r="M24" s="189">
        <f>[7]MAINTENANCE!$AK28</f>
        <v>146800</v>
      </c>
      <c r="N24" s="189">
        <f>[7]MAINTENANCE!$W28</f>
        <v>67500</v>
      </c>
      <c r="O24" s="189">
        <f>[7]MAINTENANCE!$Z28</f>
        <v>38000</v>
      </c>
      <c r="P24" s="189">
        <f>[7]MAINTENANCE!$AE28</f>
        <v>1420231.05</v>
      </c>
      <c r="Q24" s="169">
        <f>[7]MAINTENANCE!$AC28</f>
        <v>0</v>
      </c>
      <c r="R24" s="189"/>
      <c r="S24" s="189"/>
      <c r="T24" s="189"/>
      <c r="U24" s="189"/>
      <c r="V24" s="189"/>
      <c r="W24" s="189"/>
      <c r="X24" s="189">
        <f>[7]MAINTENANCE!$AB28</f>
        <v>30000</v>
      </c>
      <c r="Y24" s="189"/>
      <c r="Z24" s="189"/>
      <c r="AA24" s="189"/>
      <c r="AB24" s="189">
        <f>-[7]MAINTENANCE!$BA28</f>
        <v>0</v>
      </c>
      <c r="AC24" s="189"/>
      <c r="AD24" s="189">
        <f>'[8] PRWTN'!$F27</f>
        <v>650000</v>
      </c>
      <c r="AE24" s="183">
        <f>ROUNDDOWN(SUM(K24:AD24),0)</f>
        <v>6023106</v>
      </c>
      <c r="AF24" s="184">
        <f t="shared" si="0"/>
        <v>7.4999999999999997E-3</v>
      </c>
      <c r="AG24" s="95">
        <f t="shared" si="4"/>
        <v>45173</v>
      </c>
      <c r="AH24" s="234">
        <f>'APRIL''24'!AG24</f>
        <v>0</v>
      </c>
      <c r="AI24" s="152">
        <f t="shared" si="5"/>
        <v>45173</v>
      </c>
      <c r="AJ24" s="211"/>
      <c r="AK24" s="172">
        <f t="shared" si="11"/>
        <v>45173</v>
      </c>
      <c r="AL24" s="93"/>
      <c r="AM24" s="146">
        <f t="shared" si="9"/>
        <v>-45173</v>
      </c>
      <c r="AN24" s="213"/>
      <c r="AO24" s="214"/>
      <c r="AQ24" s="199">
        <f>[7]MAINTENANCE!$AF28</f>
        <v>5195730.95</v>
      </c>
      <c r="AR24" s="200">
        <f t="shared" si="1"/>
        <v>177376</v>
      </c>
      <c r="AS24" s="199">
        <f t="shared" si="6"/>
        <v>5373106.9500000002</v>
      </c>
      <c r="AT24" s="201">
        <f t="shared" si="2"/>
        <v>-649999.04999999981</v>
      </c>
    </row>
    <row r="25" spans="2:46" s="173" customFormat="1" ht="18.75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3"/>
        <v>TER C</v>
      </c>
      <c r="K25" s="182">
        <f t="shared" si="7"/>
        <v>3639999.9</v>
      </c>
      <c r="L25" s="169">
        <f t="shared" si="8"/>
        <v>30575.999999999996</v>
      </c>
      <c r="M25" s="189">
        <f>[7]MAINTENANCE!$AK29</f>
        <v>147340</v>
      </c>
      <c r="N25" s="189">
        <f>[7]MAINTENANCE!$W29</f>
        <v>156600</v>
      </c>
      <c r="O25" s="189"/>
      <c r="P25" s="189">
        <f>[7]MAINTENANCE!$AE29</f>
        <v>0</v>
      </c>
      <c r="Q25" s="169">
        <f>[7]MAINTENANCE!$AC29</f>
        <v>0</v>
      </c>
      <c r="R25" s="189"/>
      <c r="S25" s="189"/>
      <c r="T25" s="189"/>
      <c r="U25" s="189"/>
      <c r="V25" s="189"/>
      <c r="W25" s="189"/>
      <c r="X25" s="189">
        <f>[7]MAINTENANCE!$AB29</f>
        <v>43500</v>
      </c>
      <c r="Y25" s="189"/>
      <c r="Z25" s="189"/>
      <c r="AA25" s="189"/>
      <c r="AB25" s="189">
        <f>-[7]MAINTENANCE!$BA29</f>
        <v>-121333.33</v>
      </c>
      <c r="AC25" s="189"/>
      <c r="AD25" s="189">
        <f>'[8] PRWTN'!$F28</f>
        <v>280000</v>
      </c>
      <c r="AE25" s="183">
        <f t="shared" si="10"/>
        <v>4176682</v>
      </c>
      <c r="AF25" s="184">
        <f t="shared" si="0"/>
        <v>0</v>
      </c>
      <c r="AG25" s="95">
        <f t="shared" si="4"/>
        <v>0</v>
      </c>
      <c r="AH25" s="234">
        <f>'APRIL''24'!AG25</f>
        <v>0</v>
      </c>
      <c r="AI25" s="152">
        <f t="shared" si="5"/>
        <v>0</v>
      </c>
      <c r="AJ25" s="211"/>
      <c r="AK25" s="172">
        <f t="shared" si="11"/>
        <v>0</v>
      </c>
      <c r="AL25" s="93"/>
      <c r="AM25" s="146">
        <f t="shared" si="9"/>
        <v>0</v>
      </c>
      <c r="AN25" s="213"/>
      <c r="AO25" s="214"/>
      <c r="AQ25" s="199">
        <f>[7]MAINTENANCE!$AF29</f>
        <v>3718766.57</v>
      </c>
      <c r="AR25" s="200">
        <f t="shared" si="1"/>
        <v>177916</v>
      </c>
      <c r="AS25" s="199">
        <f t="shared" si="6"/>
        <v>3896682.57</v>
      </c>
      <c r="AT25" s="201">
        <f t="shared" si="2"/>
        <v>-279999.43000000017</v>
      </c>
    </row>
    <row r="26" spans="2:46" s="173" customFormat="1" ht="18.75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3"/>
        <v>TER A</v>
      </c>
      <c r="K26" s="182">
        <f t="shared" si="7"/>
        <v>3639999.9</v>
      </c>
      <c r="L26" s="169">
        <f t="shared" si="8"/>
        <v>30575.999999999996</v>
      </c>
      <c r="M26" s="189">
        <f>[7]MAINTENANCE!$AK30</f>
        <v>148040</v>
      </c>
      <c r="N26" s="189">
        <f>[7]MAINTENANCE!$W30</f>
        <v>67500</v>
      </c>
      <c r="O26" s="189"/>
      <c r="P26" s="189">
        <f>[7]MAINTENANCE!$AE30</f>
        <v>0</v>
      </c>
      <c r="Q26" s="169">
        <f>[7]MAINTENANCE!$AC30</f>
        <v>0</v>
      </c>
      <c r="R26" s="189"/>
      <c r="S26" s="189"/>
      <c r="T26" s="189"/>
      <c r="U26" s="189"/>
      <c r="V26" s="189"/>
      <c r="W26" s="189"/>
      <c r="X26" s="189">
        <f>[7]MAINTENANCE!$AB30</f>
        <v>61000</v>
      </c>
      <c r="Y26" s="189"/>
      <c r="Z26" s="189"/>
      <c r="AA26" s="189"/>
      <c r="AB26" s="189">
        <f>-[7]MAINTENANCE!$BA30</f>
        <v>0</v>
      </c>
      <c r="AC26" s="189"/>
      <c r="AD26" s="189">
        <f>'[8] PRWTN'!$F29</f>
        <v>600000</v>
      </c>
      <c r="AE26" s="183">
        <f t="shared" si="10"/>
        <v>4547115</v>
      </c>
      <c r="AF26" s="184">
        <f t="shared" si="0"/>
        <v>0</v>
      </c>
      <c r="AG26" s="95">
        <f t="shared" si="4"/>
        <v>0</v>
      </c>
      <c r="AH26" s="234">
        <f>'APRIL''24'!AG26</f>
        <v>0</v>
      </c>
      <c r="AI26" s="152">
        <f t="shared" si="5"/>
        <v>0</v>
      </c>
      <c r="AJ26" s="211"/>
      <c r="AK26" s="172">
        <f t="shared" si="11"/>
        <v>0</v>
      </c>
      <c r="AL26" s="93"/>
      <c r="AM26" s="146">
        <f t="shared" si="9"/>
        <v>0</v>
      </c>
      <c r="AN26" s="213"/>
      <c r="AO26" s="214"/>
      <c r="AQ26" s="199">
        <f>[7]MAINTENANCE!$AF30</f>
        <v>3768499.9</v>
      </c>
      <c r="AR26" s="200">
        <f t="shared" si="1"/>
        <v>178616</v>
      </c>
      <c r="AS26" s="199">
        <f t="shared" si="6"/>
        <v>3947115.9</v>
      </c>
      <c r="AT26" s="201">
        <f t="shared" si="2"/>
        <v>-599999.10000000009</v>
      </c>
    </row>
    <row r="27" spans="2:46" s="173" customFormat="1" ht="18.75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3"/>
        <v>TER A</v>
      </c>
      <c r="K27" s="182">
        <f t="shared" si="7"/>
        <v>3639999.9</v>
      </c>
      <c r="L27" s="169">
        <f t="shared" si="8"/>
        <v>30575.999999999996</v>
      </c>
      <c r="M27" s="189">
        <f>[7]MAINTENANCE!$AK31</f>
        <v>147620</v>
      </c>
      <c r="N27" s="189">
        <f>[7]MAINTENANCE!$W31</f>
        <v>67500</v>
      </c>
      <c r="O27" s="189"/>
      <c r="P27" s="189">
        <f>[7]MAINTENANCE!$AE31</f>
        <v>0</v>
      </c>
      <c r="Q27" s="169">
        <f>[7]MAINTENANCE!$AC31</f>
        <v>0</v>
      </c>
      <c r="R27" s="189"/>
      <c r="S27" s="189"/>
      <c r="T27" s="189"/>
      <c r="U27" s="189"/>
      <c r="V27" s="189"/>
      <c r="W27" s="189"/>
      <c r="X27" s="189">
        <f>[7]MAINTENANCE!$AB31</f>
        <v>50500</v>
      </c>
      <c r="Y27" s="189"/>
      <c r="Z27" s="189"/>
      <c r="AA27" s="189"/>
      <c r="AB27" s="189">
        <f>-[7]MAINTENANCE!$BA31</f>
        <v>0</v>
      </c>
      <c r="AC27" s="189"/>
      <c r="AD27" s="189">
        <f>'[8] PRWTN'!$F30</f>
        <v>490000</v>
      </c>
      <c r="AE27" s="183">
        <f t="shared" si="10"/>
        <v>4426195</v>
      </c>
      <c r="AF27" s="184">
        <f t="shared" si="0"/>
        <v>0</v>
      </c>
      <c r="AG27" s="95">
        <f t="shared" si="4"/>
        <v>0</v>
      </c>
      <c r="AH27" s="234">
        <f>'APRIL''24'!AG27</f>
        <v>0</v>
      </c>
      <c r="AI27" s="152">
        <f t="shared" si="5"/>
        <v>0</v>
      </c>
      <c r="AJ27" s="211"/>
      <c r="AK27" s="172">
        <f t="shared" si="11"/>
        <v>0</v>
      </c>
      <c r="AL27" s="93"/>
      <c r="AM27" s="146">
        <f t="shared" si="9"/>
        <v>0</v>
      </c>
      <c r="AN27" s="213"/>
      <c r="AO27" s="214"/>
      <c r="AQ27" s="199">
        <f>[7]MAINTENANCE!$AF31</f>
        <v>3757999.9</v>
      </c>
      <c r="AR27" s="200">
        <f t="shared" si="1"/>
        <v>178196</v>
      </c>
      <c r="AS27" s="199">
        <f t="shared" si="6"/>
        <v>3936195.9</v>
      </c>
      <c r="AT27" s="201">
        <f t="shared" si="2"/>
        <v>-489999.10000000009</v>
      </c>
    </row>
    <row r="28" spans="2:46" s="173" customFormat="1" ht="18.75" customHeight="1">
      <c r="B28" s="174">
        <v>23</v>
      </c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3"/>
        <v>TER B</v>
      </c>
      <c r="K28" s="194">
        <f>30*123833.33</f>
        <v>3714999.9</v>
      </c>
      <c r="L28" s="169">
        <f>3715000*0.84%</f>
        <v>31205.999999999996</v>
      </c>
      <c r="M28" s="189">
        <f>'[7]HARVESTING KHT'!$AQ10</f>
        <v>150340</v>
      </c>
      <c r="N28" s="189">
        <f>'[7]HARVESTING KHT'!$U10</f>
        <v>151200</v>
      </c>
      <c r="O28" s="189">
        <f>'[7]HARVESTING KHT'!$X10</f>
        <v>57000</v>
      </c>
      <c r="P28" s="189">
        <f>'[7]HARVESTING KHT'!$AD10</f>
        <v>1556864.18</v>
      </c>
      <c r="Q28" s="189">
        <f>'[7]HARVESTING KHT'!$AE10</f>
        <v>0</v>
      </c>
      <c r="R28" s="189">
        <f>'[7]HARVESTING KHT'!$AA10</f>
        <v>0</v>
      </c>
      <c r="S28" s="189">
        <f>'[7]HARVESTING KHT'!$AB10</f>
        <v>0</v>
      </c>
      <c r="T28" s="189">
        <f>'[7]HARVESTING KHT'!$AC10</f>
        <v>0</v>
      </c>
      <c r="U28" s="189">
        <f>'[7]HARVESTING KHT'!$AF10</f>
        <v>240000</v>
      </c>
      <c r="V28" s="189">
        <f>'[7]HARVESTING KHT'!$AH10</f>
        <v>0</v>
      </c>
      <c r="W28" s="189">
        <f>'[6]HARVESTING KHT'!$AK10</f>
        <v>0</v>
      </c>
      <c r="X28" s="189">
        <f>'[7]HARVESTING KHT'!$Z10</f>
        <v>43500</v>
      </c>
      <c r="Y28" s="189">
        <f>-'[7]HARVESTING KHT'!$AI10</f>
        <v>0</v>
      </c>
      <c r="Z28" s="189"/>
      <c r="AA28" s="189"/>
      <c r="AB28" s="189">
        <f>-'[7]HARVESTING KHT'!$BI10</f>
        <v>-247666.66</v>
      </c>
      <c r="AC28" s="189"/>
      <c r="AD28" s="189">
        <f>[8]PANEN!$F10</f>
        <v>300000</v>
      </c>
      <c r="AE28" s="183">
        <f>ROUNDDOWN(SUM(K28:AD28),0)</f>
        <v>5997443</v>
      </c>
      <c r="AF28" s="184">
        <f t="shared" si="0"/>
        <v>0</v>
      </c>
      <c r="AG28" s="95">
        <f t="shared" si="4"/>
        <v>0</v>
      </c>
      <c r="AH28" s="234">
        <f>'APRIL''24'!AG28</f>
        <v>0</v>
      </c>
      <c r="AI28" s="152">
        <f t="shared" si="5"/>
        <v>0</v>
      </c>
      <c r="AJ28" s="211"/>
      <c r="AK28" s="172">
        <f t="shared" si="11"/>
        <v>0</v>
      </c>
      <c r="AL28" s="93"/>
      <c r="AM28" s="146">
        <f t="shared" si="9"/>
        <v>0</v>
      </c>
      <c r="AN28" s="213"/>
      <c r="AO28" s="214"/>
      <c r="AQ28" s="199">
        <f>'[7]HARVESTING KHT'!$AL10</f>
        <v>5515897.4199999999</v>
      </c>
      <c r="AR28" s="200">
        <f t="shared" si="1"/>
        <v>181546</v>
      </c>
      <c r="AS28" s="199">
        <f t="shared" si="6"/>
        <v>5697443.4199999999</v>
      </c>
      <c r="AT28" s="201">
        <f t="shared" si="2"/>
        <v>-299999.58000000007</v>
      </c>
    </row>
    <row r="29" spans="2:46" s="173" customFormat="1" ht="18.75" customHeight="1">
      <c r="B29" s="174">
        <v>24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3"/>
        <v>TER A</v>
      </c>
      <c r="K29" s="182">
        <f>30*121333.33</f>
        <v>3639999.9</v>
      </c>
      <c r="L29" s="169">
        <f t="shared" si="8"/>
        <v>30575.999999999996</v>
      </c>
      <c r="M29" s="189">
        <f>'[7]HARVESTING KHT'!$AQ11</f>
        <v>147620</v>
      </c>
      <c r="N29" s="189">
        <f>'[7]HARVESTING KHT'!$U11</f>
        <v>67500</v>
      </c>
      <c r="O29" s="189">
        <f>'[7]HARVESTING KHT'!$X11</f>
        <v>34000</v>
      </c>
      <c r="P29" s="189">
        <f>'[7]HARVESTING KHT'!$AD11</f>
        <v>1178265.76</v>
      </c>
      <c r="Q29" s="189">
        <f>'[7]HARVESTING KHT'!$AE11</f>
        <v>0</v>
      </c>
      <c r="R29" s="189">
        <f>'[7]HARVESTING KHT'!$AA11</f>
        <v>0</v>
      </c>
      <c r="S29" s="189">
        <f>'[7]HARVESTING KHT'!$AB11</f>
        <v>0</v>
      </c>
      <c r="T29" s="189">
        <f>'[7]HARVESTING KHT'!$AC11</f>
        <v>0</v>
      </c>
      <c r="U29" s="189">
        <f>'[7]HARVESTING KHT'!$AF11</f>
        <v>240000</v>
      </c>
      <c r="V29" s="189">
        <f>'[7]HARVESTING KHT'!$AH11</f>
        <v>0</v>
      </c>
      <c r="W29" s="189">
        <f>'[6]HARVESTING KHT'!$AK11</f>
        <v>0</v>
      </c>
      <c r="X29" s="189">
        <f>'[7]HARVESTING KHT'!$Z11</f>
        <v>50500</v>
      </c>
      <c r="Y29" s="189">
        <f>-'[7]HARVESTING KHT'!$AI11</f>
        <v>0</v>
      </c>
      <c r="Z29" s="189"/>
      <c r="AA29" s="189"/>
      <c r="AB29" s="189">
        <f>-'[7]HARVESTING KHT'!$BI11</f>
        <v>0</v>
      </c>
      <c r="AC29" s="189"/>
      <c r="AD29" s="189">
        <f>[8]PANEN!$F11</f>
        <v>540000</v>
      </c>
      <c r="AE29" s="183">
        <f t="shared" si="10"/>
        <v>5928461</v>
      </c>
      <c r="AF29" s="184">
        <f t="shared" si="0"/>
        <v>5.0000000000000001E-3</v>
      </c>
      <c r="AG29" s="95">
        <f t="shared" si="4"/>
        <v>29642</v>
      </c>
      <c r="AH29" s="234">
        <f>'APRIL''24'!AG29</f>
        <v>0</v>
      </c>
      <c r="AI29" s="152">
        <f t="shared" si="5"/>
        <v>29642</v>
      </c>
      <c r="AJ29" s="211"/>
      <c r="AK29" s="172">
        <f t="shared" si="11"/>
        <v>29642</v>
      </c>
      <c r="AL29" s="93"/>
      <c r="AM29" s="146">
        <f t="shared" si="9"/>
        <v>-29642</v>
      </c>
      <c r="AN29" s="213"/>
      <c r="AO29" s="214"/>
      <c r="AQ29" s="199">
        <f>'[7]HARVESTING KHT'!$AL11</f>
        <v>5210265.66</v>
      </c>
      <c r="AR29" s="200">
        <f t="shared" si="1"/>
        <v>178196</v>
      </c>
      <c r="AS29" s="199">
        <f t="shared" si="6"/>
        <v>5388461.6600000001</v>
      </c>
      <c r="AT29" s="201">
        <f t="shared" si="2"/>
        <v>-539999.33999999985</v>
      </c>
    </row>
    <row r="30" spans="2:46" s="173" customFormat="1" ht="18.75" customHeight="1">
      <c r="B30" s="174">
        <v>25</v>
      </c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3"/>
        <v>TER B</v>
      </c>
      <c r="K30" s="182">
        <f t="shared" ref="K30:K66" si="12">30*121333.33</f>
        <v>3639999.9</v>
      </c>
      <c r="L30" s="169">
        <f t="shared" si="8"/>
        <v>30575.999999999996</v>
      </c>
      <c r="M30" s="189">
        <f>'[7]HARVESTING KHT'!$AQ12</f>
        <v>146560</v>
      </c>
      <c r="N30" s="189">
        <f>'[7]HARVESTING KHT'!$U12</f>
        <v>99000</v>
      </c>
      <c r="O30" s="189"/>
      <c r="P30" s="189">
        <f>'[7]HARVESTING KHT'!$AD12</f>
        <v>0</v>
      </c>
      <c r="Q30" s="189">
        <f>'[7]HARVESTING KHT'!$AE12</f>
        <v>0</v>
      </c>
      <c r="R30" s="189">
        <f>'[7]HARVESTING KHT'!$AA12</f>
        <v>0</v>
      </c>
      <c r="S30" s="189">
        <f>'[7]HARVESTING KHT'!$AB12</f>
        <v>106050</v>
      </c>
      <c r="T30" s="189">
        <f>'[7]HARVESTING KHT'!$AC12</f>
        <v>410400</v>
      </c>
      <c r="U30" s="189">
        <f>'[7]HARVESTING KHT'!$AF12</f>
        <v>251121</v>
      </c>
      <c r="V30" s="189">
        <f>'[7]HARVESTING KHT'!$AH12</f>
        <v>0</v>
      </c>
      <c r="W30" s="189">
        <f>'[6]HARVESTING KHT'!$AK12</f>
        <v>0</v>
      </c>
      <c r="X30" s="189">
        <f>'[7]HARVESTING KHT'!$Z12</f>
        <v>24000</v>
      </c>
      <c r="Y30" s="189">
        <f>-'[7]HARVESTING KHT'!$AI12</f>
        <v>-77478</v>
      </c>
      <c r="Z30" s="189"/>
      <c r="AA30" s="189"/>
      <c r="AB30" s="189">
        <f>-'[7]HARVESTING KHT'!$BI12</f>
        <v>-970666.64</v>
      </c>
      <c r="AC30" s="189"/>
      <c r="AD30" s="189">
        <f>[8]PANEN!$F12</f>
        <v>300000</v>
      </c>
      <c r="AE30" s="183">
        <f t="shared" si="10"/>
        <v>3959562</v>
      </c>
      <c r="AF30" s="184">
        <f t="shared" si="0"/>
        <v>0</v>
      </c>
      <c r="AG30" s="95">
        <f t="shared" si="4"/>
        <v>0</v>
      </c>
      <c r="AH30" s="234">
        <f>'APRIL''24'!AG30</f>
        <v>0</v>
      </c>
      <c r="AI30" s="152">
        <f t="shared" si="5"/>
        <v>0</v>
      </c>
      <c r="AJ30" s="211"/>
      <c r="AK30" s="172">
        <f t="shared" si="11"/>
        <v>0</v>
      </c>
      <c r="AL30" s="93"/>
      <c r="AM30" s="146">
        <f t="shared" si="9"/>
        <v>0</v>
      </c>
      <c r="AN30" s="213"/>
      <c r="AO30" s="214"/>
      <c r="AQ30" s="199">
        <f>'[7]HARVESTING KHT'!$AL12</f>
        <v>3482426.2600000002</v>
      </c>
      <c r="AR30" s="200">
        <f t="shared" si="1"/>
        <v>177136</v>
      </c>
      <c r="AS30" s="199">
        <f t="shared" si="6"/>
        <v>3659562.2600000002</v>
      </c>
      <c r="AT30" s="201">
        <f t="shared" si="2"/>
        <v>-299999.73999999976</v>
      </c>
    </row>
    <row r="31" spans="2:46" s="173" customFormat="1" ht="18.75" customHeight="1">
      <c r="B31" s="174">
        <v>26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3"/>
        <v>TER B</v>
      </c>
      <c r="K31" s="182">
        <f t="shared" si="12"/>
        <v>3639999.9</v>
      </c>
      <c r="L31" s="169">
        <f t="shared" si="8"/>
        <v>30575.999999999996</v>
      </c>
      <c r="M31" s="189">
        <f>'[7]HARVESTING KHT'!$AQ13</f>
        <v>146560</v>
      </c>
      <c r="N31" s="189">
        <f>'[7]HARVESTING KHT'!$U13</f>
        <v>135000</v>
      </c>
      <c r="O31" s="189"/>
      <c r="P31" s="189">
        <f>'[7]HARVESTING KHT'!$AD13</f>
        <v>0</v>
      </c>
      <c r="Q31" s="189">
        <f>'[7]HARVESTING KHT'!$AE13</f>
        <v>0</v>
      </c>
      <c r="R31" s="189">
        <f>'[7]HARVESTING KHT'!$AA13</f>
        <v>23954</v>
      </c>
      <c r="S31" s="189">
        <f>'[7]HARVESTING KHT'!$AB13</f>
        <v>212100</v>
      </c>
      <c r="T31" s="189">
        <f>'[7]HARVESTING KHT'!$AC13</f>
        <v>786700</v>
      </c>
      <c r="U31" s="189">
        <f>'[7]HARVESTING KHT'!$AF13</f>
        <v>362417</v>
      </c>
      <c r="V31" s="189">
        <f>'[7]HARVESTING KHT'!$AH13</f>
        <v>0</v>
      </c>
      <c r="W31" s="189">
        <f>'[6]HARVESTING KHT'!$AK13</f>
        <v>0</v>
      </c>
      <c r="X31" s="189">
        <f>'[7]HARVESTING KHT'!$Z13</f>
        <v>24000</v>
      </c>
      <c r="Y31" s="189">
        <f>-'[7]HARVESTING KHT'!$AI13</f>
        <v>0</v>
      </c>
      <c r="Z31" s="189"/>
      <c r="AA31" s="189"/>
      <c r="AB31" s="189">
        <f>-'[7]HARVESTING KHT'!$BI13</f>
        <v>0</v>
      </c>
      <c r="AC31" s="189"/>
      <c r="AD31" s="189">
        <f>[8]PANEN!$F13</f>
        <v>650000</v>
      </c>
      <c r="AE31" s="183">
        <f t="shared" si="10"/>
        <v>6011306</v>
      </c>
      <c r="AF31" s="184">
        <f t="shared" si="0"/>
        <v>0</v>
      </c>
      <c r="AG31" s="95">
        <f t="shared" si="4"/>
        <v>0</v>
      </c>
      <c r="AH31" s="234">
        <f>'APRIL''24'!AG31</f>
        <v>0</v>
      </c>
      <c r="AI31" s="152">
        <f t="shared" si="5"/>
        <v>0</v>
      </c>
      <c r="AJ31" s="211"/>
      <c r="AK31" s="172">
        <f>AI31-AJ31</f>
        <v>0</v>
      </c>
      <c r="AL31" s="93"/>
      <c r="AM31" s="146">
        <f t="shared" si="9"/>
        <v>0</v>
      </c>
      <c r="AN31" s="213"/>
      <c r="AO31" s="214"/>
      <c r="AQ31" s="199">
        <f>'[7]HARVESTING KHT'!$AL13</f>
        <v>5184170.9000000004</v>
      </c>
      <c r="AR31" s="200">
        <f t="shared" si="1"/>
        <v>177136</v>
      </c>
      <c r="AS31" s="199">
        <f t="shared" si="6"/>
        <v>5361306.9000000004</v>
      </c>
      <c r="AT31" s="201">
        <f t="shared" si="2"/>
        <v>-649999.09999999963</v>
      </c>
    </row>
    <row r="32" spans="2:46" s="173" customFormat="1" ht="18.75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3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10"/>
        <v>0</v>
      </c>
      <c r="AF32" s="184">
        <f t="shared" si="0"/>
        <v>0</v>
      </c>
      <c r="AG32" s="95">
        <f t="shared" si="4"/>
        <v>0</v>
      </c>
      <c r="AH32" s="234">
        <f>'APRIL''24'!AG32</f>
        <v>0</v>
      </c>
      <c r="AI32" s="152">
        <f t="shared" si="5"/>
        <v>0</v>
      </c>
      <c r="AJ32" s="211"/>
      <c r="AK32" s="172">
        <f t="shared" si="11"/>
        <v>0</v>
      </c>
      <c r="AL32" s="93"/>
      <c r="AM32" s="146">
        <f t="shared" si="9"/>
        <v>0</v>
      </c>
      <c r="AN32" s="213"/>
      <c r="AO32" s="214"/>
      <c r="AQ32" s="199"/>
      <c r="AR32" s="200">
        <f t="shared" si="1"/>
        <v>0</v>
      </c>
      <c r="AS32" s="199">
        <f t="shared" si="6"/>
        <v>0</v>
      </c>
      <c r="AT32" s="201">
        <f t="shared" si="2"/>
        <v>0</v>
      </c>
    </row>
    <row r="33" spans="2:46" s="173" customFormat="1" ht="18.75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3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10"/>
        <v>0</v>
      </c>
      <c r="AF33" s="184">
        <f t="shared" si="0"/>
        <v>0</v>
      </c>
      <c r="AG33" s="95">
        <f t="shared" si="4"/>
        <v>0</v>
      </c>
      <c r="AH33" s="234">
        <f>'APRIL''24'!AG33</f>
        <v>0</v>
      </c>
      <c r="AI33" s="152">
        <f t="shared" si="5"/>
        <v>0</v>
      </c>
      <c r="AJ33" s="211"/>
      <c r="AK33" s="172"/>
      <c r="AL33" s="93"/>
      <c r="AM33" s="146">
        <f t="shared" si="9"/>
        <v>0</v>
      </c>
      <c r="AN33" s="213"/>
      <c r="AO33" s="218">
        <f>AI33-AJ33</f>
        <v>0</v>
      </c>
      <c r="AQ33" s="199"/>
      <c r="AR33" s="200">
        <f t="shared" si="1"/>
        <v>0</v>
      </c>
      <c r="AS33" s="199">
        <f t="shared" si="6"/>
        <v>0</v>
      </c>
      <c r="AT33" s="201">
        <f t="shared" si="2"/>
        <v>0</v>
      </c>
    </row>
    <row r="34" spans="2:46" s="173" customFormat="1" ht="18.75" customHeight="1">
      <c r="B34" s="174">
        <v>27</v>
      </c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3"/>
        <v>TER B</v>
      </c>
      <c r="K34" s="182">
        <f t="shared" si="12"/>
        <v>3639999.9</v>
      </c>
      <c r="L34" s="169">
        <f t="shared" si="8"/>
        <v>30575.999999999996</v>
      </c>
      <c r="M34" s="189">
        <f>'[7]HARVESTING KHT'!$AQ14</f>
        <v>146200</v>
      </c>
      <c r="N34" s="189">
        <f>'[7]HARVESTING KHT'!$U14</f>
        <v>126000</v>
      </c>
      <c r="O34" s="189"/>
      <c r="P34" s="189">
        <f>'[7]HARVESTING KHT'!$AD14</f>
        <v>0</v>
      </c>
      <c r="Q34" s="189">
        <f>'[7]HARVESTING KHT'!$AE14</f>
        <v>0</v>
      </c>
      <c r="R34" s="189">
        <f>'[7]HARVESTING KHT'!$AA14</f>
        <v>0</v>
      </c>
      <c r="S34" s="189">
        <f>'[7]HARVESTING KHT'!$AB14</f>
        <v>103950</v>
      </c>
      <c r="T34" s="189">
        <f>'[7]HARVESTING KHT'!$AC14</f>
        <v>299750</v>
      </c>
      <c r="U34" s="189">
        <f>'[7]HARVESTING KHT'!$AF14</f>
        <v>0</v>
      </c>
      <c r="V34" s="189">
        <f>'[7]HARVESTING KHT'!$AH14</f>
        <v>0</v>
      </c>
      <c r="W34" s="189">
        <f>'[6]HARVESTING KHT'!$AK16</f>
        <v>0</v>
      </c>
      <c r="X34" s="189">
        <f>'[7]HARVESTING KHT'!$Z14</f>
        <v>15000</v>
      </c>
      <c r="Y34" s="189">
        <f>-'[7]HARVESTING KHT'!$AI14</f>
        <v>-100867</v>
      </c>
      <c r="Z34" s="189"/>
      <c r="AA34" s="189"/>
      <c r="AB34" s="189">
        <f>-'[7]HARVESTING KHT'!$BI14</f>
        <v>-242666.66</v>
      </c>
      <c r="AC34" s="189"/>
      <c r="AD34" s="189">
        <f>[8]PANEN!$F14</f>
        <v>300000</v>
      </c>
      <c r="AE34" s="183">
        <f t="shared" si="10"/>
        <v>4317942</v>
      </c>
      <c r="AF34" s="184">
        <f t="shared" si="0"/>
        <v>0</v>
      </c>
      <c r="AG34" s="95">
        <f t="shared" si="4"/>
        <v>0</v>
      </c>
      <c r="AH34" s="234">
        <f>'APRIL''24'!AG34</f>
        <v>0</v>
      </c>
      <c r="AI34" s="152">
        <f t="shared" si="5"/>
        <v>0</v>
      </c>
      <c r="AJ34" s="211"/>
      <c r="AK34" s="172">
        <f t="shared" si="11"/>
        <v>0</v>
      </c>
      <c r="AL34" s="93"/>
      <c r="AM34" s="146">
        <f t="shared" si="9"/>
        <v>0</v>
      </c>
      <c r="AN34" s="213"/>
      <c r="AO34" s="218"/>
      <c r="AQ34" s="199">
        <f>'[7]HARVESTING KHT'!$AL14</f>
        <v>3841166.2399999998</v>
      </c>
      <c r="AR34" s="200">
        <f t="shared" si="1"/>
        <v>176776</v>
      </c>
      <c r="AS34" s="199">
        <f t="shared" si="6"/>
        <v>4017942.2399999998</v>
      </c>
      <c r="AT34" s="201">
        <f t="shared" si="2"/>
        <v>-299999.76000000024</v>
      </c>
    </row>
    <row r="35" spans="2:46" s="173" customFormat="1" ht="18.75" customHeight="1">
      <c r="B35" s="174">
        <v>28</v>
      </c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3"/>
        <v>TER A</v>
      </c>
      <c r="K35" s="182">
        <f t="shared" si="12"/>
        <v>3639999.9</v>
      </c>
      <c r="L35" s="169">
        <f t="shared" si="8"/>
        <v>30575.999999999996</v>
      </c>
      <c r="M35" s="189">
        <f>'[7]HARVESTING KHT'!$AQ15</f>
        <v>145900</v>
      </c>
      <c r="N35" s="189">
        <f>'[7]HARVESTING KHT'!$U15</f>
        <v>108000</v>
      </c>
      <c r="O35" s="189"/>
      <c r="P35" s="189">
        <f>'[7]HARVESTING KHT'!$AD15</f>
        <v>0</v>
      </c>
      <c r="Q35" s="189">
        <f>'[7]HARVESTING KHT'!$AE15</f>
        <v>0</v>
      </c>
      <c r="R35" s="189">
        <f>'[7]HARVESTING KHT'!$AA15</f>
        <v>4581</v>
      </c>
      <c r="S35" s="189">
        <f>'[7]HARVESTING KHT'!$AB15</f>
        <v>149100</v>
      </c>
      <c r="T35" s="189">
        <f>'[7]HARVESTING KHT'!$AC15</f>
        <v>448800</v>
      </c>
      <c r="U35" s="189">
        <f>'[7]HARVESTING KHT'!$AF15</f>
        <v>0</v>
      </c>
      <c r="V35" s="189">
        <f>'[7]HARVESTING KHT'!$AH15</f>
        <v>0</v>
      </c>
      <c r="W35" s="189">
        <f>'[6]HARVESTING KHT'!$AK17</f>
        <v>0</v>
      </c>
      <c r="X35" s="189">
        <f>'[7]HARVESTING KHT'!$Z15</f>
        <v>7500</v>
      </c>
      <c r="Y35" s="189">
        <f>-'[7]HARVESTING KHT'!$AI15</f>
        <v>0</v>
      </c>
      <c r="Z35" s="189"/>
      <c r="AA35" s="189"/>
      <c r="AB35" s="189">
        <f>-'[7]HARVESTING KHT'!$BI15</f>
        <v>0</v>
      </c>
      <c r="AC35" s="189"/>
      <c r="AD35" s="189">
        <f>[8]PANEN!$F15</f>
        <v>300000</v>
      </c>
      <c r="AE35" s="183">
        <f t="shared" si="10"/>
        <v>4834456</v>
      </c>
      <c r="AF35" s="184">
        <f t="shared" si="0"/>
        <v>0</v>
      </c>
      <c r="AG35" s="95">
        <f t="shared" si="4"/>
        <v>0</v>
      </c>
      <c r="AH35" s="234">
        <f>'APRIL''24'!AG35</f>
        <v>0</v>
      </c>
      <c r="AI35" s="152">
        <f t="shared" si="5"/>
        <v>0</v>
      </c>
      <c r="AJ35" s="211"/>
      <c r="AK35" s="172">
        <f t="shared" si="11"/>
        <v>0</v>
      </c>
      <c r="AL35" s="93"/>
      <c r="AM35" s="146">
        <f t="shared" si="9"/>
        <v>0</v>
      </c>
      <c r="AN35" s="213"/>
      <c r="AO35" s="218"/>
      <c r="AQ35" s="199">
        <f>'[7]HARVESTING KHT'!$AL15</f>
        <v>4357980.9000000004</v>
      </c>
      <c r="AR35" s="200">
        <f t="shared" si="1"/>
        <v>176476</v>
      </c>
      <c r="AS35" s="199">
        <f t="shared" si="6"/>
        <v>4534456.9000000004</v>
      </c>
      <c r="AT35" s="201">
        <f t="shared" si="2"/>
        <v>-299999.09999999963</v>
      </c>
    </row>
    <row r="36" spans="2:46" s="173" customFormat="1" ht="18.75" customHeight="1">
      <c r="B36" s="174">
        <v>29</v>
      </c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3"/>
        <v>TER B</v>
      </c>
      <c r="K36" s="182">
        <f t="shared" si="12"/>
        <v>3639999.9</v>
      </c>
      <c r="L36" s="169">
        <f t="shared" si="8"/>
        <v>30575.999999999996</v>
      </c>
      <c r="M36" s="189">
        <f>'[7]HARVESTING KHT'!$AQ16</f>
        <v>145800</v>
      </c>
      <c r="N36" s="189">
        <f>'[7]HARVESTING KHT'!$U16</f>
        <v>145800</v>
      </c>
      <c r="O36" s="189"/>
      <c r="P36" s="189">
        <f>'[7]HARVESTING KHT'!$AD16</f>
        <v>0</v>
      </c>
      <c r="Q36" s="189">
        <f>'[7]HARVESTING KHT'!$AE16</f>
        <v>0</v>
      </c>
      <c r="R36" s="189">
        <f>'[7]HARVESTING KHT'!$AA16</f>
        <v>114637</v>
      </c>
      <c r="S36" s="189">
        <f>'[7]HARVESTING KHT'!$AB16</f>
        <v>93450</v>
      </c>
      <c r="T36" s="189">
        <f>'[7]HARVESTING KHT'!$AC16</f>
        <v>443050</v>
      </c>
      <c r="U36" s="189">
        <f>'[7]HARVESTING KHT'!$AF16</f>
        <v>178450</v>
      </c>
      <c r="V36" s="189">
        <f>'[7]HARVESTING KHT'!$AH16</f>
        <v>0</v>
      </c>
      <c r="W36" s="189">
        <f>'[6]HARVESTING KHT'!$AK18</f>
        <v>0</v>
      </c>
      <c r="X36" s="189">
        <f>'[7]HARVESTING KHT'!$Z16</f>
        <v>5000</v>
      </c>
      <c r="Y36" s="189">
        <f>-'[7]HARVESTING KHT'!$AI16</f>
        <v>-92096</v>
      </c>
      <c r="Z36" s="189"/>
      <c r="AA36" s="189"/>
      <c r="AB36" s="189">
        <f>-'[7]HARVESTING KHT'!$BI16</f>
        <v>-363999.99</v>
      </c>
      <c r="AC36" s="189"/>
      <c r="AD36" s="189">
        <f>[8]PANEN!$F16</f>
        <v>300000</v>
      </c>
      <c r="AE36" s="183">
        <f t="shared" si="10"/>
        <v>4640666</v>
      </c>
      <c r="AF36" s="184">
        <f t="shared" si="0"/>
        <v>0</v>
      </c>
      <c r="AG36" s="95">
        <f t="shared" si="4"/>
        <v>0</v>
      </c>
      <c r="AH36" s="234">
        <f>'APRIL''24'!AG36</f>
        <v>0</v>
      </c>
      <c r="AI36" s="152">
        <f t="shared" si="5"/>
        <v>0</v>
      </c>
      <c r="AJ36" s="211"/>
      <c r="AK36" s="172"/>
      <c r="AL36" s="93"/>
      <c r="AM36" s="146">
        <f t="shared" si="9"/>
        <v>0</v>
      </c>
      <c r="AN36" s="213"/>
      <c r="AO36" s="218">
        <f>AI36-AJ36</f>
        <v>0</v>
      </c>
      <c r="AQ36" s="199">
        <f>'[7]HARVESTING KHT'!$AL16</f>
        <v>4164290.91</v>
      </c>
      <c r="AR36" s="200">
        <f t="shared" si="1"/>
        <v>176376</v>
      </c>
      <c r="AS36" s="199">
        <f t="shared" si="6"/>
        <v>4340666.91</v>
      </c>
      <c r="AT36" s="201">
        <f t="shared" si="2"/>
        <v>-299999.08999999985</v>
      </c>
    </row>
    <row r="37" spans="2:46" s="173" customFormat="1" ht="18.75" customHeight="1">
      <c r="B37" s="174">
        <v>30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3"/>
        <v>TER B</v>
      </c>
      <c r="K37" s="182">
        <f t="shared" si="12"/>
        <v>3639999.9</v>
      </c>
      <c r="L37" s="169">
        <f t="shared" si="8"/>
        <v>30575.999999999996</v>
      </c>
      <c r="M37" s="189">
        <f>'[7]HARVESTING KHT'!$AQ17</f>
        <v>145800</v>
      </c>
      <c r="N37" s="189">
        <f>'[7]HARVESTING KHT'!$U17</f>
        <v>135000</v>
      </c>
      <c r="O37" s="189"/>
      <c r="P37" s="189">
        <f>'[7]HARVESTING KHT'!$AD17</f>
        <v>0</v>
      </c>
      <c r="Q37" s="189">
        <f>'[7]HARVESTING KHT'!$AE17</f>
        <v>0</v>
      </c>
      <c r="R37" s="189">
        <f>'[7]HARVESTING KHT'!$AA17</f>
        <v>518947</v>
      </c>
      <c r="S37" s="189">
        <f>'[7]HARVESTING KHT'!$AB17</f>
        <v>139650</v>
      </c>
      <c r="T37" s="189">
        <f>'[7]HARVESTING KHT'!$AC17</f>
        <v>606200</v>
      </c>
      <c r="U37" s="189">
        <f>'[7]HARVESTING KHT'!$AF17</f>
        <v>647535</v>
      </c>
      <c r="V37" s="189">
        <f>'[7]HARVESTING KHT'!$AH17</f>
        <v>150000</v>
      </c>
      <c r="W37" s="189">
        <f>'[6]HARVESTING KHT'!$AK19</f>
        <v>0</v>
      </c>
      <c r="X37" s="189">
        <f>'[7]HARVESTING KHT'!$Z17</f>
        <v>5000</v>
      </c>
      <c r="Y37" s="189">
        <f>-'[7]HARVESTING KHT'!$AI17</f>
        <v>0</v>
      </c>
      <c r="Z37" s="189"/>
      <c r="AA37" s="189"/>
      <c r="AB37" s="189">
        <f>-'[7]HARVESTING KHT'!$BI17</f>
        <v>0</v>
      </c>
      <c r="AC37" s="189"/>
      <c r="AD37" s="189">
        <f>[8]PANEN!$F17</f>
        <v>540000</v>
      </c>
      <c r="AE37" s="183">
        <f t="shared" si="10"/>
        <v>6558707</v>
      </c>
      <c r="AF37" s="184">
        <f t="shared" si="0"/>
        <v>5.0000000000000001E-3</v>
      </c>
      <c r="AG37" s="95">
        <f t="shared" si="4"/>
        <v>32793</v>
      </c>
      <c r="AH37" s="234">
        <f>'APRIL''24'!AG37</f>
        <v>0</v>
      </c>
      <c r="AI37" s="152">
        <f t="shared" si="5"/>
        <v>32793</v>
      </c>
      <c r="AJ37" s="211"/>
      <c r="AK37" s="172">
        <f t="shared" si="11"/>
        <v>32793</v>
      </c>
      <c r="AL37" s="93"/>
      <c r="AM37" s="146">
        <f t="shared" si="9"/>
        <v>-32793</v>
      </c>
      <c r="AN37" s="213"/>
      <c r="AO37" s="218"/>
      <c r="AQ37" s="199">
        <f>'[7]HARVESTING KHT'!$AL17</f>
        <v>5842331.9000000004</v>
      </c>
      <c r="AR37" s="200">
        <f t="shared" si="1"/>
        <v>176376</v>
      </c>
      <c r="AS37" s="199">
        <f t="shared" si="6"/>
        <v>6018707.9000000004</v>
      </c>
      <c r="AT37" s="201">
        <f t="shared" si="2"/>
        <v>-539999.09999999963</v>
      </c>
    </row>
    <row r="38" spans="2:46" s="173" customFormat="1" ht="18.75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3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10"/>
        <v>0</v>
      </c>
      <c r="AF38" s="184">
        <f t="shared" ref="AF38:AF66" si="13">IF(J38="TER A",VLOOKUP(AE38,Ter_A,4,TRUE),IF(J38="TER B",VLOOKUP(AE38,Ter_B,4,TRUE),VLOOKUP(AE38,Ter_C,4,TRUE)))</f>
        <v>0</v>
      </c>
      <c r="AG38" s="95">
        <f t="shared" si="4"/>
        <v>0</v>
      </c>
      <c r="AH38" s="234">
        <f>'APRIL''24'!AG38</f>
        <v>0</v>
      </c>
      <c r="AI38" s="152">
        <f t="shared" si="5"/>
        <v>0</v>
      </c>
      <c r="AJ38" s="211"/>
      <c r="AK38" s="172">
        <f t="shared" si="11"/>
        <v>0</v>
      </c>
      <c r="AL38" s="93"/>
      <c r="AM38" s="146">
        <f t="shared" si="9"/>
        <v>0</v>
      </c>
      <c r="AN38" s="213"/>
      <c r="AO38" s="218"/>
      <c r="AQ38" s="199"/>
      <c r="AR38" s="200">
        <f t="shared" ref="AR38:AR66" si="14">L38+M38</f>
        <v>0</v>
      </c>
      <c r="AS38" s="199">
        <f t="shared" si="6"/>
        <v>0</v>
      </c>
      <c r="AT38" s="201">
        <f t="shared" ref="AT38:AT66" si="15">AS38-AE38</f>
        <v>0</v>
      </c>
    </row>
    <row r="39" spans="2:46" s="173" customFormat="1" ht="18.75" customHeight="1">
      <c r="B39" s="174">
        <v>31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3"/>
        <v>TER B</v>
      </c>
      <c r="K39" s="182">
        <f t="shared" si="12"/>
        <v>3639999.9</v>
      </c>
      <c r="L39" s="169">
        <f t="shared" si="8"/>
        <v>30575.999999999996</v>
      </c>
      <c r="M39" s="189">
        <f>'[7]HARVESTING KHT'!$AQ18</f>
        <v>145800</v>
      </c>
      <c r="N39" s="189">
        <f>'[7]HARVESTING KHT'!$U18</f>
        <v>135000</v>
      </c>
      <c r="O39" s="189"/>
      <c r="P39" s="189">
        <f>'[7]HARVESTING KHT'!$AD18</f>
        <v>0</v>
      </c>
      <c r="Q39" s="189">
        <f>'[7]HARVESTING KHT'!$AE18</f>
        <v>0</v>
      </c>
      <c r="R39" s="189">
        <f>'[7]HARVESTING KHT'!$AA18</f>
        <v>196581</v>
      </c>
      <c r="S39" s="189">
        <f>'[7]HARVESTING KHT'!$AB18</f>
        <v>163800</v>
      </c>
      <c r="T39" s="189">
        <f>'[7]HARVESTING KHT'!$AC18</f>
        <v>615100</v>
      </c>
      <c r="U39" s="189">
        <f>'[7]HARVESTING KHT'!$AF18</f>
        <v>488042</v>
      </c>
      <c r="V39" s="189">
        <f>'[7]HARVESTING KHT'!$AH18</f>
        <v>0</v>
      </c>
      <c r="W39" s="189">
        <f>'[6]HARVESTING KHT'!$AK21</f>
        <v>0</v>
      </c>
      <c r="X39" s="189">
        <f>'[7]HARVESTING KHT'!$Z18</f>
        <v>5000</v>
      </c>
      <c r="Y39" s="189">
        <f>-'[7]HARVESTING KHT'!$AI18</f>
        <v>0</v>
      </c>
      <c r="Z39" s="189"/>
      <c r="AA39" s="189"/>
      <c r="AB39" s="189">
        <f>-'[7]HARVESTING KHT'!$BI18</f>
        <v>0</v>
      </c>
      <c r="AC39" s="189"/>
      <c r="AD39" s="189">
        <f>[8]PANEN!$F18</f>
        <v>540000</v>
      </c>
      <c r="AE39" s="183">
        <f t="shared" si="10"/>
        <v>5959898</v>
      </c>
      <c r="AF39" s="184">
        <f t="shared" si="13"/>
        <v>0</v>
      </c>
      <c r="AG39" s="95">
        <f t="shared" si="4"/>
        <v>0</v>
      </c>
      <c r="AH39" s="234">
        <f>'APRIL''24'!AG39</f>
        <v>0</v>
      </c>
      <c r="AI39" s="152">
        <f t="shared" si="5"/>
        <v>0</v>
      </c>
      <c r="AJ39" s="211"/>
      <c r="AK39" s="172"/>
      <c r="AL39" s="93"/>
      <c r="AM39" s="146">
        <f t="shared" si="9"/>
        <v>0</v>
      </c>
      <c r="AN39" s="213"/>
      <c r="AO39" s="218">
        <f>AI39-AJ39</f>
        <v>0</v>
      </c>
      <c r="AQ39" s="199">
        <f>'[7]HARVESTING KHT'!$AL18</f>
        <v>5243522.9000000004</v>
      </c>
      <c r="AR39" s="200">
        <f t="shared" si="14"/>
        <v>176376</v>
      </c>
      <c r="AS39" s="199">
        <f t="shared" si="6"/>
        <v>5419898.9000000004</v>
      </c>
      <c r="AT39" s="201">
        <f t="shared" si="15"/>
        <v>-539999.09999999963</v>
      </c>
    </row>
    <row r="40" spans="2:46" s="173" customFormat="1" ht="18.75" customHeight="1">
      <c r="B40" s="174">
        <v>32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3"/>
        <v>TER A</v>
      </c>
      <c r="K40" s="182">
        <f t="shared" si="12"/>
        <v>3639999.9</v>
      </c>
      <c r="L40" s="169">
        <f t="shared" si="8"/>
        <v>30575.999999999996</v>
      </c>
      <c r="M40" s="189">
        <f>'[7]HARVESTING KHT'!$AQ19</f>
        <v>145700</v>
      </c>
      <c r="N40" s="189">
        <f>'[7]HARVESTING KHT'!$U19</f>
        <v>60750</v>
      </c>
      <c r="O40" s="189"/>
      <c r="P40" s="189">
        <f>'[7]HARVESTING KHT'!$AD19</f>
        <v>73641.61</v>
      </c>
      <c r="Q40" s="189">
        <f>'[7]HARVESTING KHT'!$AE19</f>
        <v>0</v>
      </c>
      <c r="R40" s="189">
        <f>'[7]HARVESTING KHT'!$AA19</f>
        <v>423776</v>
      </c>
      <c r="S40" s="189">
        <f>'[7]HARVESTING KHT'!$AB19</f>
        <v>107100</v>
      </c>
      <c r="T40" s="189">
        <f>'[7]HARVESTING KHT'!$AC19</f>
        <v>414900</v>
      </c>
      <c r="U40" s="189">
        <f>'[7]HARVESTING KHT'!$AF19</f>
        <v>216061</v>
      </c>
      <c r="V40" s="189">
        <f>'[7]HARVESTING KHT'!$AH19</f>
        <v>0</v>
      </c>
      <c r="W40" s="189">
        <f>'[6]HARVESTING KHT'!$AK22</f>
        <v>0</v>
      </c>
      <c r="X40" s="189">
        <f>'[7]HARVESTING KHT'!$Z19</f>
        <v>2500</v>
      </c>
      <c r="Y40" s="189">
        <f>-'[7]HARVESTING KHT'!$AI19</f>
        <v>0</v>
      </c>
      <c r="Z40" s="189"/>
      <c r="AA40" s="189"/>
      <c r="AB40" s="189">
        <f>-'[7]HARVESTING KHT'!$BI19</f>
        <v>-363999.99</v>
      </c>
      <c r="AC40" s="189"/>
      <c r="AD40" s="189">
        <f>[8]PANEN!$F19</f>
        <v>300000</v>
      </c>
      <c r="AE40" s="183">
        <f t="shared" si="10"/>
        <v>5051004</v>
      </c>
      <c r="AF40" s="184">
        <f t="shared" si="13"/>
        <v>0</v>
      </c>
      <c r="AG40" s="95">
        <f t="shared" si="4"/>
        <v>0</v>
      </c>
      <c r="AH40" s="234">
        <f>'APRIL''24'!AG40</f>
        <v>0</v>
      </c>
      <c r="AI40" s="152">
        <f t="shared" si="5"/>
        <v>0</v>
      </c>
      <c r="AJ40" s="211"/>
      <c r="AK40" s="172">
        <f t="shared" si="11"/>
        <v>0</v>
      </c>
      <c r="AL40" s="93"/>
      <c r="AM40" s="146">
        <f t="shared" si="9"/>
        <v>0</v>
      </c>
      <c r="AN40" s="213"/>
      <c r="AO40" s="218"/>
      <c r="AQ40" s="199">
        <f>'[7]HARVESTING KHT'!$AL19</f>
        <v>4574728.5200000005</v>
      </c>
      <c r="AR40" s="200">
        <f t="shared" si="14"/>
        <v>176276</v>
      </c>
      <c r="AS40" s="199">
        <f t="shared" si="6"/>
        <v>4751004.5200000005</v>
      </c>
      <c r="AT40" s="201">
        <f t="shared" si="15"/>
        <v>-299999.47999999952</v>
      </c>
    </row>
    <row r="41" spans="2:46" s="173" customFormat="1" ht="18.75" customHeight="1">
      <c r="B41" s="174">
        <v>33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3"/>
        <v>TER B</v>
      </c>
      <c r="K41" s="182">
        <f t="shared" si="12"/>
        <v>3639999.9</v>
      </c>
      <c r="L41" s="169">
        <f t="shared" si="8"/>
        <v>30575.999999999996</v>
      </c>
      <c r="M41" s="189">
        <f>'[7]HARVESTING KHT'!$AQ20</f>
        <v>146320</v>
      </c>
      <c r="N41" s="189">
        <f>'[7]HARVESTING KHT'!$U20</f>
        <v>151200</v>
      </c>
      <c r="O41" s="189"/>
      <c r="P41" s="189">
        <f>'[7]HARVESTING KHT'!$AD20</f>
        <v>0</v>
      </c>
      <c r="Q41" s="189">
        <f>'[7]HARVESTING KHT'!$AE20</f>
        <v>0</v>
      </c>
      <c r="R41" s="189">
        <f>'[7]HARVESTING KHT'!$AA20</f>
        <v>0</v>
      </c>
      <c r="S41" s="189">
        <f>'[7]HARVESTING KHT'!$AB20</f>
        <v>101850</v>
      </c>
      <c r="T41" s="189">
        <f>'[7]HARVESTING KHT'!$AC20</f>
        <v>273900</v>
      </c>
      <c r="U41" s="189">
        <f>'[7]HARVESTING KHT'!$AF20</f>
        <v>0</v>
      </c>
      <c r="V41" s="189">
        <f>'[7]HARVESTING KHT'!$AH20</f>
        <v>0</v>
      </c>
      <c r="W41" s="189">
        <f>'[6]HARVESTING KHT'!$AK23</f>
        <v>0</v>
      </c>
      <c r="X41" s="189">
        <f>'[7]HARVESTING KHT'!$Z20</f>
        <v>18000</v>
      </c>
      <c r="Y41" s="189">
        <f>-'[7]HARVESTING KHT'!$AI20</f>
        <v>-100867</v>
      </c>
      <c r="Z41" s="189"/>
      <c r="AA41" s="189"/>
      <c r="AB41" s="189">
        <f>-'[7]HARVESTING KHT'!$BI20</f>
        <v>-242666.66</v>
      </c>
      <c r="AC41" s="189"/>
      <c r="AD41" s="189">
        <f>[8]PANEN!$F20</f>
        <v>300000</v>
      </c>
      <c r="AE41" s="183">
        <f t="shared" si="10"/>
        <v>4318312</v>
      </c>
      <c r="AF41" s="184">
        <f t="shared" si="13"/>
        <v>0</v>
      </c>
      <c r="AG41" s="95">
        <f t="shared" si="4"/>
        <v>0</v>
      </c>
      <c r="AH41" s="234">
        <f>'APRIL''24'!AG41</f>
        <v>0</v>
      </c>
      <c r="AI41" s="152">
        <f t="shared" si="5"/>
        <v>0</v>
      </c>
      <c r="AJ41" s="211"/>
      <c r="AK41" s="172">
        <f t="shared" si="11"/>
        <v>0</v>
      </c>
      <c r="AL41" s="93"/>
      <c r="AM41" s="146">
        <f t="shared" si="9"/>
        <v>0</v>
      </c>
      <c r="AN41" s="213"/>
      <c r="AO41" s="218"/>
      <c r="AQ41" s="199">
        <f>'[7]HARVESTING KHT'!$AL20</f>
        <v>3841416.2399999998</v>
      </c>
      <c r="AR41" s="200">
        <f t="shared" si="14"/>
        <v>176896</v>
      </c>
      <c r="AS41" s="199">
        <f t="shared" si="6"/>
        <v>4018312.2399999998</v>
      </c>
      <c r="AT41" s="201">
        <f t="shared" si="15"/>
        <v>-299999.76000000024</v>
      </c>
    </row>
    <row r="42" spans="2:46" s="173" customFormat="1" ht="18.75" customHeight="1">
      <c r="B42" s="174">
        <v>34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3"/>
        <v>TER B</v>
      </c>
      <c r="K42" s="182">
        <f t="shared" si="12"/>
        <v>3639999.9</v>
      </c>
      <c r="L42" s="169">
        <f t="shared" si="8"/>
        <v>30575.999999999996</v>
      </c>
      <c r="M42" s="189">
        <f>'[7]HARVESTING KHT'!$AQ21</f>
        <v>146440</v>
      </c>
      <c r="N42" s="189">
        <f>'[7]HARVESTING KHT'!$U21</f>
        <v>135000</v>
      </c>
      <c r="O42" s="189"/>
      <c r="P42" s="189">
        <f>'[7]HARVESTING KHT'!$AD21</f>
        <v>0</v>
      </c>
      <c r="Q42" s="189">
        <f>'[7]HARVESTING KHT'!$AE21</f>
        <v>0</v>
      </c>
      <c r="R42" s="189">
        <f>'[7]HARVESTING KHT'!$AA21</f>
        <v>0</v>
      </c>
      <c r="S42" s="189">
        <f>'[7]HARVESTING KHT'!$AB21</f>
        <v>96600</v>
      </c>
      <c r="T42" s="189">
        <f>'[7]HARVESTING KHT'!$AC21</f>
        <v>480850</v>
      </c>
      <c r="U42" s="189">
        <f>'[7]HARVESTING KHT'!$AF21</f>
        <v>0</v>
      </c>
      <c r="V42" s="189">
        <f>'[7]HARVESTING KHT'!$AH21</f>
        <v>0</v>
      </c>
      <c r="W42" s="189">
        <f>'[6]HARVESTING KHT'!$AK24</f>
        <v>0</v>
      </c>
      <c r="X42" s="189">
        <f>'[7]HARVESTING KHT'!$Z21</f>
        <v>21000</v>
      </c>
      <c r="Y42" s="189">
        <f>-'[7]HARVESTING KHT'!$AI21</f>
        <v>0</v>
      </c>
      <c r="Z42" s="189"/>
      <c r="AA42" s="189"/>
      <c r="AB42" s="189">
        <f>-'[7]HARVESTING KHT'!$BI21</f>
        <v>0</v>
      </c>
      <c r="AC42" s="189"/>
      <c r="AD42" s="189">
        <f>[8]PANEN!$F21</f>
        <v>540000</v>
      </c>
      <c r="AE42" s="183">
        <f t="shared" si="10"/>
        <v>5090465</v>
      </c>
      <c r="AF42" s="184">
        <f t="shared" si="13"/>
        <v>0</v>
      </c>
      <c r="AG42" s="95">
        <f t="shared" si="4"/>
        <v>0</v>
      </c>
      <c r="AH42" s="234">
        <f>'APRIL''24'!AG42</f>
        <v>0</v>
      </c>
      <c r="AI42" s="152">
        <f t="shared" si="5"/>
        <v>0</v>
      </c>
      <c r="AJ42" s="211"/>
      <c r="AK42" s="172">
        <f t="shared" si="11"/>
        <v>0</v>
      </c>
      <c r="AL42" s="93"/>
      <c r="AM42" s="146">
        <f t="shared" si="9"/>
        <v>0</v>
      </c>
      <c r="AN42" s="213"/>
      <c r="AO42" s="218"/>
      <c r="AQ42" s="199">
        <f>'[7]HARVESTING KHT'!$AL21</f>
        <v>4373449.9000000004</v>
      </c>
      <c r="AR42" s="200">
        <f t="shared" si="14"/>
        <v>177016</v>
      </c>
      <c r="AS42" s="199">
        <f t="shared" si="6"/>
        <v>4550465.9000000004</v>
      </c>
      <c r="AT42" s="201">
        <f t="shared" si="15"/>
        <v>-539999.09999999963</v>
      </c>
    </row>
    <row r="43" spans="2:46" s="173" customFormat="1" ht="18.75" customHeight="1">
      <c r="B43" s="174">
        <v>35</v>
      </c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3"/>
        <v>TER B</v>
      </c>
      <c r="K43" s="182">
        <f t="shared" si="12"/>
        <v>3639999.9</v>
      </c>
      <c r="L43" s="169">
        <f t="shared" si="8"/>
        <v>30575.999999999996</v>
      </c>
      <c r="M43" s="189">
        <f>'[7]HARVESTING KHT'!$AQ22</f>
        <v>145800</v>
      </c>
      <c r="N43" s="189">
        <f>'[7]HARVESTING KHT'!$U22</f>
        <v>135000</v>
      </c>
      <c r="O43" s="189"/>
      <c r="P43" s="189">
        <f>'[7]HARVESTING KHT'!$AD22</f>
        <v>0</v>
      </c>
      <c r="Q43" s="189">
        <f>'[7]HARVESTING KHT'!$AE22</f>
        <v>0</v>
      </c>
      <c r="R43" s="189">
        <f>'[7]HARVESTING KHT'!$AA22</f>
        <v>444860</v>
      </c>
      <c r="S43" s="189">
        <f>'[7]HARVESTING KHT'!$AB22</f>
        <v>105000</v>
      </c>
      <c r="T43" s="189">
        <f>'[7]HARVESTING KHT'!$AC22</f>
        <v>454400</v>
      </c>
      <c r="U43" s="189">
        <f>'[7]HARVESTING KHT'!$AF22</f>
        <v>200000</v>
      </c>
      <c r="V43" s="189">
        <f>'[7]HARVESTING KHT'!$AH22</f>
        <v>0</v>
      </c>
      <c r="W43" s="189">
        <f>'[6]HARVESTING KHT'!$AK25</f>
        <v>0</v>
      </c>
      <c r="X43" s="189">
        <f>'[7]HARVESTING KHT'!$Z22</f>
        <v>5000</v>
      </c>
      <c r="Y43" s="189">
        <f>-'[7]HARVESTING KHT'!$AI22</f>
        <v>0</v>
      </c>
      <c r="Z43" s="189"/>
      <c r="AA43" s="189"/>
      <c r="AB43" s="189">
        <f>-'[7]HARVESTING KHT'!$BI22</f>
        <v>0</v>
      </c>
      <c r="AC43" s="189"/>
      <c r="AD43" s="189">
        <f>[8]PANEN!$F22</f>
        <v>300000</v>
      </c>
      <c r="AE43" s="183">
        <f t="shared" si="10"/>
        <v>5460635</v>
      </c>
      <c r="AF43" s="184">
        <f t="shared" si="13"/>
        <v>0</v>
      </c>
      <c r="AG43" s="95">
        <f t="shared" si="4"/>
        <v>0</v>
      </c>
      <c r="AH43" s="234">
        <f>'APRIL''24'!AG43</f>
        <v>0</v>
      </c>
      <c r="AI43" s="152">
        <f t="shared" si="5"/>
        <v>0</v>
      </c>
      <c r="AJ43" s="211"/>
      <c r="AK43" s="172">
        <f t="shared" si="11"/>
        <v>0</v>
      </c>
      <c r="AL43" s="93"/>
      <c r="AM43" s="146">
        <f t="shared" si="9"/>
        <v>0</v>
      </c>
      <c r="AN43" s="213"/>
      <c r="AO43" s="218"/>
      <c r="AQ43" s="199">
        <f>'[7]HARVESTING KHT'!$AL22</f>
        <v>4984259.9000000004</v>
      </c>
      <c r="AR43" s="200">
        <f t="shared" si="14"/>
        <v>176376</v>
      </c>
      <c r="AS43" s="199">
        <f t="shared" si="6"/>
        <v>5160635.9000000004</v>
      </c>
      <c r="AT43" s="201">
        <f t="shared" si="15"/>
        <v>-299999.09999999963</v>
      </c>
    </row>
    <row r="44" spans="2:46" s="173" customFormat="1" ht="18.75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3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10"/>
        <v>0</v>
      </c>
      <c r="AF44" s="184">
        <f t="shared" si="13"/>
        <v>0</v>
      </c>
      <c r="AG44" s="95">
        <f t="shared" si="4"/>
        <v>0</v>
      </c>
      <c r="AH44" s="234">
        <f>'APRIL''24'!AG44</f>
        <v>0</v>
      </c>
      <c r="AI44" s="152">
        <f t="shared" si="5"/>
        <v>0</v>
      </c>
      <c r="AJ44" s="211"/>
      <c r="AK44" s="172">
        <f t="shared" si="11"/>
        <v>0</v>
      </c>
      <c r="AL44" s="93"/>
      <c r="AM44" s="146">
        <f t="shared" si="9"/>
        <v>0</v>
      </c>
      <c r="AN44" s="213"/>
      <c r="AO44" s="218"/>
      <c r="AQ44" s="199"/>
      <c r="AR44" s="200">
        <f t="shared" si="14"/>
        <v>0</v>
      </c>
      <c r="AS44" s="199">
        <f t="shared" si="6"/>
        <v>0</v>
      </c>
      <c r="AT44" s="201">
        <f t="shared" si="15"/>
        <v>0</v>
      </c>
    </row>
    <row r="45" spans="2:46" s="173" customFormat="1" ht="18.75" customHeight="1">
      <c r="B45" s="174">
        <v>36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3"/>
        <v>TER B</v>
      </c>
      <c r="K45" s="182">
        <f t="shared" si="12"/>
        <v>3639999.9</v>
      </c>
      <c r="L45" s="169">
        <f t="shared" si="8"/>
        <v>30575.999999999996</v>
      </c>
      <c r="M45" s="189">
        <f>'[7]HARVESTING KHT'!$AQ23</f>
        <v>145700</v>
      </c>
      <c r="N45" s="189">
        <f>'[7]HARVESTING KHT'!$U23</f>
        <v>162000</v>
      </c>
      <c r="O45" s="189"/>
      <c r="P45" s="189">
        <f>'[7]HARVESTING KHT'!$AD23</f>
        <v>0</v>
      </c>
      <c r="Q45" s="189">
        <f>'[7]HARVESTING KHT'!$AE23</f>
        <v>0</v>
      </c>
      <c r="R45" s="189">
        <f>'[7]HARVESTING KHT'!$AA23</f>
        <v>193343</v>
      </c>
      <c r="S45" s="189">
        <f>'[7]HARVESTING KHT'!$AB23</f>
        <v>168000</v>
      </c>
      <c r="T45" s="189">
        <f>'[7]HARVESTING KHT'!$AC23</f>
        <v>670750</v>
      </c>
      <c r="U45" s="189">
        <f>'[7]HARVESTING KHT'!$AF23</f>
        <v>212455</v>
      </c>
      <c r="V45" s="189">
        <f>'[7]HARVESTING KHT'!$AH23</f>
        <v>0</v>
      </c>
      <c r="W45" s="189">
        <f>'[6]HARVESTING KHT'!$AK27</f>
        <v>0</v>
      </c>
      <c r="X45" s="189">
        <f>'[7]HARVESTING KHT'!$Z23</f>
        <v>2500</v>
      </c>
      <c r="Y45" s="189">
        <f>-'[7]HARVESTING KHT'!$AI23</f>
        <v>0</v>
      </c>
      <c r="Z45" s="189"/>
      <c r="AA45" s="189"/>
      <c r="AB45" s="189">
        <f>-'[7]HARVESTING KHT'!$BI23</f>
        <v>0</v>
      </c>
      <c r="AC45" s="189"/>
      <c r="AD45" s="189">
        <f>[8]PANEN!$F23</f>
        <v>300000</v>
      </c>
      <c r="AE45" s="183">
        <f t="shared" si="10"/>
        <v>5525323</v>
      </c>
      <c r="AF45" s="184">
        <f t="shared" si="13"/>
        <v>0</v>
      </c>
      <c r="AG45" s="95">
        <f t="shared" si="4"/>
        <v>0</v>
      </c>
      <c r="AH45" s="234">
        <f>'APRIL''24'!AG45</f>
        <v>0</v>
      </c>
      <c r="AI45" s="152">
        <f t="shared" si="5"/>
        <v>0</v>
      </c>
      <c r="AJ45" s="211"/>
      <c r="AK45" s="172">
        <f t="shared" si="11"/>
        <v>0</v>
      </c>
      <c r="AL45" s="93"/>
      <c r="AM45" s="146">
        <f t="shared" si="9"/>
        <v>0</v>
      </c>
      <c r="AN45" s="213"/>
      <c r="AO45" s="218"/>
      <c r="AQ45" s="199">
        <f>'[7]HARVESTING KHT'!$AL23</f>
        <v>5049047.9000000004</v>
      </c>
      <c r="AR45" s="200">
        <f t="shared" si="14"/>
        <v>176276</v>
      </c>
      <c r="AS45" s="199">
        <f t="shared" si="6"/>
        <v>5225323.9000000004</v>
      </c>
      <c r="AT45" s="201">
        <f t="shared" si="15"/>
        <v>-299999.09999999963</v>
      </c>
    </row>
    <row r="46" spans="2:46" s="173" customFormat="1" ht="18.75" customHeight="1">
      <c r="B46" s="174">
        <v>37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3"/>
        <v>TER A</v>
      </c>
      <c r="K46" s="182">
        <f t="shared" si="12"/>
        <v>3639999.9</v>
      </c>
      <c r="L46" s="169">
        <f t="shared" si="8"/>
        <v>30575.999999999996</v>
      </c>
      <c r="M46" s="189">
        <f>'[7]HARVESTING KHT'!$AQ24</f>
        <v>145900</v>
      </c>
      <c r="N46" s="189">
        <f>'[7]HARVESTING KHT'!$U24</f>
        <v>65250</v>
      </c>
      <c r="O46" s="189"/>
      <c r="P46" s="189">
        <f>'[7]HARVESTING KHT'!$AD24</f>
        <v>0</v>
      </c>
      <c r="Q46" s="189">
        <f>'[7]HARVESTING KHT'!$AE24</f>
        <v>0</v>
      </c>
      <c r="R46" s="189">
        <f>'[7]HARVESTING KHT'!$AA24</f>
        <v>552653</v>
      </c>
      <c r="S46" s="189">
        <f>'[7]HARVESTING KHT'!$AB24</f>
        <v>182700</v>
      </c>
      <c r="T46" s="189">
        <f>'[7]HARVESTING KHT'!$AC24</f>
        <v>617050</v>
      </c>
      <c r="U46" s="189">
        <f>'[7]HARVESTING KHT'!$AF24</f>
        <v>355010</v>
      </c>
      <c r="V46" s="189">
        <f>'[7]HARVESTING KHT'!$AH24</f>
        <v>150000</v>
      </c>
      <c r="W46" s="189">
        <f>'[6]HARVESTING KHT'!$AK28</f>
        <v>0</v>
      </c>
      <c r="X46" s="189">
        <f>'[7]HARVESTING KHT'!$Z24</f>
        <v>7500</v>
      </c>
      <c r="Y46" s="189">
        <f>-'[7]HARVESTING KHT'!$AI24</f>
        <v>0</v>
      </c>
      <c r="Z46" s="189"/>
      <c r="AA46" s="189"/>
      <c r="AB46" s="189">
        <f>-'[7]HARVESTING KHT'!$BI24</f>
        <v>-121333.33</v>
      </c>
      <c r="AC46" s="189"/>
      <c r="AD46" s="189">
        <f>[8]PANEN!$F24</f>
        <v>300000</v>
      </c>
      <c r="AE46" s="183">
        <f t="shared" si="10"/>
        <v>5925305</v>
      </c>
      <c r="AF46" s="184">
        <f t="shared" si="13"/>
        <v>5.0000000000000001E-3</v>
      </c>
      <c r="AG46" s="95">
        <f t="shared" si="4"/>
        <v>29626</v>
      </c>
      <c r="AH46" s="234">
        <f>'APRIL''24'!AG46</f>
        <v>14063</v>
      </c>
      <c r="AI46" s="152">
        <f t="shared" si="5"/>
        <v>15563</v>
      </c>
      <c r="AJ46" s="211"/>
      <c r="AK46" s="172"/>
      <c r="AL46" s="93"/>
      <c r="AM46" s="146">
        <f t="shared" si="9"/>
        <v>0</v>
      </c>
      <c r="AN46" s="213"/>
      <c r="AO46" s="218">
        <f>AI46-AJ46</f>
        <v>15563</v>
      </c>
      <c r="AQ46" s="199">
        <f>'[7]HARVESTING KHT'!$AL24</f>
        <v>5448829.5700000003</v>
      </c>
      <c r="AR46" s="200">
        <f t="shared" si="14"/>
        <v>176476</v>
      </c>
      <c r="AS46" s="199">
        <f t="shared" si="6"/>
        <v>5625305.5700000003</v>
      </c>
      <c r="AT46" s="201">
        <f t="shared" si="15"/>
        <v>-299999.4299999997</v>
      </c>
    </row>
    <row r="47" spans="2:46" s="173" customFormat="1" ht="18.75" customHeight="1">
      <c r="B47" s="174">
        <v>38</v>
      </c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3"/>
        <v>TER B</v>
      </c>
      <c r="K47" s="182">
        <f t="shared" si="12"/>
        <v>3639999.9</v>
      </c>
      <c r="L47" s="169">
        <f t="shared" si="8"/>
        <v>30575.999999999996</v>
      </c>
      <c r="M47" s="189">
        <f>'[7]HARVESTING KHT'!$AQ25</f>
        <v>146200</v>
      </c>
      <c r="N47" s="189">
        <f>'[7]HARVESTING KHT'!$U25</f>
        <v>156600</v>
      </c>
      <c r="O47" s="189"/>
      <c r="P47" s="189">
        <f>'[7]HARVESTING KHT'!$AD25</f>
        <v>0</v>
      </c>
      <c r="Q47" s="189">
        <f>'[7]HARVESTING KHT'!$AE25</f>
        <v>0</v>
      </c>
      <c r="R47" s="189">
        <f>'[7]HARVESTING KHT'!$AA25</f>
        <v>29087</v>
      </c>
      <c r="S47" s="189">
        <f>'[7]HARVESTING KHT'!$AB25</f>
        <v>118650</v>
      </c>
      <c r="T47" s="189">
        <f>'[7]HARVESTING KHT'!$AC25</f>
        <v>590700</v>
      </c>
      <c r="U47" s="189">
        <f>'[7]HARVESTING KHT'!$AF25</f>
        <v>0</v>
      </c>
      <c r="V47" s="189">
        <f>'[7]HARVESTING KHT'!$AH25</f>
        <v>0</v>
      </c>
      <c r="W47" s="189">
        <f>'[6]HARVESTING KHT'!$AK29</f>
        <v>0</v>
      </c>
      <c r="X47" s="189">
        <f>'[7]HARVESTING KHT'!$Z25</f>
        <v>15000</v>
      </c>
      <c r="Y47" s="189">
        <f>-'[7]HARVESTING KHT'!$AI25</f>
        <v>-102329</v>
      </c>
      <c r="Z47" s="189"/>
      <c r="AA47" s="189"/>
      <c r="AB47" s="189">
        <f>-'[7]HARVESTING KHT'!$BI25</f>
        <v>-121333.33</v>
      </c>
      <c r="AC47" s="189"/>
      <c r="AD47" s="189">
        <f>[8]PANEN!$F25</f>
        <v>300000</v>
      </c>
      <c r="AE47" s="183">
        <f t="shared" si="10"/>
        <v>4803150</v>
      </c>
      <c r="AF47" s="184">
        <f t="shared" si="13"/>
        <v>0</v>
      </c>
      <c r="AG47" s="95">
        <f t="shared" si="4"/>
        <v>0</v>
      </c>
      <c r="AH47" s="234">
        <f>'APRIL''24'!AG47</f>
        <v>0</v>
      </c>
      <c r="AI47" s="152">
        <f t="shared" si="5"/>
        <v>0</v>
      </c>
      <c r="AJ47" s="211"/>
      <c r="AK47" s="172">
        <f t="shared" si="11"/>
        <v>0</v>
      </c>
      <c r="AL47" s="93"/>
      <c r="AM47" s="146">
        <f t="shared" si="9"/>
        <v>0</v>
      </c>
      <c r="AN47" s="213"/>
      <c r="AO47" s="218"/>
      <c r="AQ47" s="199">
        <f>'[7]HARVESTING KHT'!$AL25</f>
        <v>4326374.57</v>
      </c>
      <c r="AR47" s="200">
        <f t="shared" si="14"/>
        <v>176776</v>
      </c>
      <c r="AS47" s="199">
        <f t="shared" si="6"/>
        <v>4503150.57</v>
      </c>
      <c r="AT47" s="201">
        <f t="shared" si="15"/>
        <v>-299999.4299999997</v>
      </c>
    </row>
    <row r="48" spans="2:46" s="173" customFormat="1" ht="18.75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3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10"/>
        <v>0</v>
      </c>
      <c r="AF48" s="184">
        <f t="shared" si="13"/>
        <v>0</v>
      </c>
      <c r="AG48" s="95">
        <f t="shared" si="4"/>
        <v>0</v>
      </c>
      <c r="AH48" s="234">
        <f>'APRIL''24'!AG48</f>
        <v>0</v>
      </c>
      <c r="AI48" s="152">
        <f t="shared" si="5"/>
        <v>0</v>
      </c>
      <c r="AJ48" s="211"/>
      <c r="AK48" s="172">
        <f t="shared" si="11"/>
        <v>0</v>
      </c>
      <c r="AL48" s="93"/>
      <c r="AM48" s="146">
        <f t="shared" si="9"/>
        <v>0</v>
      </c>
      <c r="AN48" s="213"/>
      <c r="AO48" s="218"/>
      <c r="AQ48" s="199"/>
      <c r="AR48" s="200">
        <f t="shared" si="14"/>
        <v>0</v>
      </c>
      <c r="AS48" s="199">
        <f t="shared" si="6"/>
        <v>0</v>
      </c>
      <c r="AT48" s="201">
        <f t="shared" si="15"/>
        <v>0</v>
      </c>
    </row>
    <row r="49" spans="2:46" s="173" customFormat="1" ht="18.75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3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10"/>
        <v>0</v>
      </c>
      <c r="AF49" s="184">
        <f t="shared" si="13"/>
        <v>0</v>
      </c>
      <c r="AG49" s="95">
        <f t="shared" si="4"/>
        <v>0</v>
      </c>
      <c r="AH49" s="234">
        <f>'APRIL''24'!AG49</f>
        <v>0</v>
      </c>
      <c r="AI49" s="152">
        <f t="shared" si="5"/>
        <v>0</v>
      </c>
      <c r="AJ49" s="211"/>
      <c r="AK49" s="172">
        <f t="shared" si="11"/>
        <v>0</v>
      </c>
      <c r="AL49" s="93"/>
      <c r="AM49" s="146">
        <f t="shared" si="9"/>
        <v>0</v>
      </c>
      <c r="AN49" s="213"/>
      <c r="AO49" s="218"/>
      <c r="AQ49" s="199"/>
      <c r="AR49" s="200">
        <f t="shared" si="14"/>
        <v>0</v>
      </c>
      <c r="AS49" s="199">
        <f t="shared" si="6"/>
        <v>0</v>
      </c>
      <c r="AT49" s="201">
        <f t="shared" si="15"/>
        <v>0</v>
      </c>
    </row>
    <row r="50" spans="2:46" s="173" customFormat="1" ht="18.75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3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10"/>
        <v>0</v>
      </c>
      <c r="AF50" s="184">
        <f t="shared" si="13"/>
        <v>0</v>
      </c>
      <c r="AG50" s="95">
        <f t="shared" si="4"/>
        <v>0</v>
      </c>
      <c r="AH50" s="234">
        <f>'APRIL''24'!AG50</f>
        <v>0</v>
      </c>
      <c r="AI50" s="152">
        <f t="shared" si="5"/>
        <v>0</v>
      </c>
      <c r="AJ50" s="211"/>
      <c r="AK50" s="172"/>
      <c r="AL50" s="93"/>
      <c r="AM50" s="146">
        <f t="shared" si="9"/>
        <v>0</v>
      </c>
      <c r="AN50" s="213"/>
      <c r="AO50" s="218">
        <f>AI50-AJ50</f>
        <v>0</v>
      </c>
      <c r="AQ50" s="199"/>
      <c r="AR50" s="200">
        <f t="shared" si="14"/>
        <v>0</v>
      </c>
      <c r="AS50" s="199">
        <f t="shared" si="6"/>
        <v>0</v>
      </c>
      <c r="AT50" s="201">
        <f t="shared" si="15"/>
        <v>0</v>
      </c>
    </row>
    <row r="51" spans="2:46" s="173" customFormat="1" ht="18.75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3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10"/>
        <v>0</v>
      </c>
      <c r="AF51" s="184">
        <f t="shared" si="13"/>
        <v>0</v>
      </c>
      <c r="AG51" s="95">
        <f t="shared" si="4"/>
        <v>0</v>
      </c>
      <c r="AH51" s="234">
        <f>'APRIL''24'!AG51</f>
        <v>0</v>
      </c>
      <c r="AI51" s="152">
        <f t="shared" si="5"/>
        <v>0</v>
      </c>
      <c r="AJ51" s="211"/>
      <c r="AK51" s="172">
        <f t="shared" si="11"/>
        <v>0</v>
      </c>
      <c r="AL51" s="93"/>
      <c r="AM51" s="146">
        <f t="shared" si="9"/>
        <v>0</v>
      </c>
      <c r="AN51" s="213"/>
      <c r="AO51" s="218"/>
      <c r="AQ51" s="199"/>
      <c r="AR51" s="200">
        <f t="shared" si="14"/>
        <v>0</v>
      </c>
      <c r="AS51" s="199">
        <f t="shared" si="6"/>
        <v>0</v>
      </c>
      <c r="AT51" s="201">
        <f t="shared" si="15"/>
        <v>0</v>
      </c>
    </row>
    <row r="52" spans="2:46" s="173" customFormat="1" ht="18.75" customHeight="1">
      <c r="B52" s="174">
        <v>39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3"/>
        <v>TER B</v>
      </c>
      <c r="K52" s="182">
        <f t="shared" si="12"/>
        <v>3639999.9</v>
      </c>
      <c r="L52" s="169">
        <f t="shared" si="8"/>
        <v>30575.999999999996</v>
      </c>
      <c r="M52" s="189">
        <f>'[7]HARVESTING KHT'!$AQ26</f>
        <v>145800</v>
      </c>
      <c r="N52" s="189">
        <f>'[7]HARVESTING KHT'!$U26</f>
        <v>162000</v>
      </c>
      <c r="O52" s="189"/>
      <c r="P52" s="189">
        <f>'[7]HARVESTING KHT'!$AD26</f>
        <v>0</v>
      </c>
      <c r="Q52" s="189">
        <f>'[7]HARVESTING KHT'!$AE26</f>
        <v>0</v>
      </c>
      <c r="R52" s="189">
        <f>'[7]HARVESTING KHT'!$AA26</f>
        <v>56463</v>
      </c>
      <c r="S52" s="189">
        <f>'[7]HARVESTING KHT'!$AB26</f>
        <v>160650</v>
      </c>
      <c r="T52" s="189">
        <f>'[7]HARVESTING KHT'!$AC26</f>
        <v>458100</v>
      </c>
      <c r="U52" s="189">
        <f>'[7]HARVESTING KHT'!$AF26</f>
        <v>397319</v>
      </c>
      <c r="V52" s="189">
        <f>'[7]HARVESTING KHT'!$AH26</f>
        <v>0</v>
      </c>
      <c r="W52" s="189">
        <f>'[6]HARVESTING KHT'!$AK34</f>
        <v>0</v>
      </c>
      <c r="X52" s="189">
        <f>'[7]HARVESTING KHT'!$Z26</f>
        <v>5000</v>
      </c>
      <c r="Y52" s="189">
        <f>-'[7]HARVESTING KHT'!$AI26</f>
        <v>0</v>
      </c>
      <c r="Z52" s="189"/>
      <c r="AA52" s="189"/>
      <c r="AB52" s="189">
        <f>-'[7]HARVESTING KHT'!$BI26</f>
        <v>0</v>
      </c>
      <c r="AC52" s="189"/>
      <c r="AD52" s="189">
        <f>[8]PANEN!$F26</f>
        <v>300000</v>
      </c>
      <c r="AE52" s="183">
        <f t="shared" si="10"/>
        <v>5355907</v>
      </c>
      <c r="AF52" s="184">
        <f t="shared" si="13"/>
        <v>0</v>
      </c>
      <c r="AG52" s="95">
        <f t="shared" si="4"/>
        <v>0</v>
      </c>
      <c r="AH52" s="234">
        <f>'APRIL''24'!AG52</f>
        <v>0</v>
      </c>
      <c r="AI52" s="152">
        <f t="shared" si="5"/>
        <v>0</v>
      </c>
      <c r="AJ52" s="211"/>
      <c r="AK52" s="172">
        <f t="shared" si="11"/>
        <v>0</v>
      </c>
      <c r="AL52" s="93"/>
      <c r="AM52" s="146">
        <f t="shared" si="9"/>
        <v>0</v>
      </c>
      <c r="AN52" s="213"/>
      <c r="AO52" s="218"/>
      <c r="AQ52" s="199">
        <f>'[7]HARVESTING KHT'!$AL26</f>
        <v>4879531.9000000004</v>
      </c>
      <c r="AR52" s="200">
        <f t="shared" si="14"/>
        <v>176376</v>
      </c>
      <c r="AS52" s="199">
        <f t="shared" si="6"/>
        <v>5055907.9000000004</v>
      </c>
      <c r="AT52" s="201">
        <f t="shared" si="15"/>
        <v>-299999.09999999963</v>
      </c>
    </row>
    <row r="53" spans="2:46" s="173" customFormat="1" ht="18.75" customHeight="1">
      <c r="B53" s="174">
        <v>40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3"/>
        <v>TER B</v>
      </c>
      <c r="K53" s="182">
        <f t="shared" si="12"/>
        <v>3639999.9</v>
      </c>
      <c r="L53" s="169">
        <f t="shared" si="8"/>
        <v>30575.999999999996</v>
      </c>
      <c r="M53" s="189">
        <f>'[7]HARVESTING KHT'!$AQ27</f>
        <v>145700</v>
      </c>
      <c r="N53" s="189">
        <f>'[7]HARVESTING KHT'!$U27</f>
        <v>151200</v>
      </c>
      <c r="O53" s="189"/>
      <c r="P53" s="189">
        <f>'[7]HARVESTING KHT'!$AD27</f>
        <v>0</v>
      </c>
      <c r="Q53" s="189">
        <f>'[7]HARVESTING KHT'!$AE27</f>
        <v>0</v>
      </c>
      <c r="R53" s="189">
        <f>'[7]HARVESTING KHT'!$AA27</f>
        <v>75284</v>
      </c>
      <c r="S53" s="189">
        <f>'[7]HARVESTING KHT'!$AB27</f>
        <v>115500</v>
      </c>
      <c r="T53" s="189">
        <f>'[7]HARVESTING KHT'!$AC27</f>
        <v>460600</v>
      </c>
      <c r="U53" s="189">
        <f>'[7]HARVESTING KHT'!$AF27</f>
        <v>189015</v>
      </c>
      <c r="V53" s="189">
        <f>'[7]HARVESTING KHT'!$AH27</f>
        <v>0</v>
      </c>
      <c r="W53" s="189">
        <f>'[6]HARVESTING KHT'!$AK35</f>
        <v>0</v>
      </c>
      <c r="X53" s="189">
        <f>'[7]HARVESTING KHT'!$Z27</f>
        <v>2500</v>
      </c>
      <c r="Y53" s="189">
        <f>-'[7]HARVESTING KHT'!$AI27</f>
        <v>0</v>
      </c>
      <c r="Z53" s="189"/>
      <c r="AA53" s="189"/>
      <c r="AB53" s="189">
        <f>-'[7]HARVESTING KHT'!$BI27</f>
        <v>-242666.66</v>
      </c>
      <c r="AC53" s="189"/>
      <c r="AD53" s="189">
        <f>[8]PANEN!$F27</f>
        <v>650000</v>
      </c>
      <c r="AE53" s="183">
        <f t="shared" si="10"/>
        <v>5217708</v>
      </c>
      <c r="AF53" s="184">
        <f t="shared" si="13"/>
        <v>0</v>
      </c>
      <c r="AG53" s="95">
        <f t="shared" si="4"/>
        <v>0</v>
      </c>
      <c r="AH53" s="234">
        <f>'APRIL''24'!AG53</f>
        <v>0</v>
      </c>
      <c r="AI53" s="152">
        <f t="shared" si="5"/>
        <v>0</v>
      </c>
      <c r="AJ53" s="211"/>
      <c r="AK53" s="172">
        <f t="shared" si="11"/>
        <v>0</v>
      </c>
      <c r="AL53" s="93"/>
      <c r="AM53" s="146">
        <f t="shared" si="9"/>
        <v>0</v>
      </c>
      <c r="AN53" s="213"/>
      <c r="AO53" s="218"/>
      <c r="AQ53" s="199">
        <f>'[7]HARVESTING KHT'!$AL27</f>
        <v>4391432.24</v>
      </c>
      <c r="AR53" s="200">
        <f t="shared" si="14"/>
        <v>176276</v>
      </c>
      <c r="AS53" s="199">
        <f t="shared" si="6"/>
        <v>4567708.24</v>
      </c>
      <c r="AT53" s="201">
        <f t="shared" si="15"/>
        <v>-649999.75999999978</v>
      </c>
    </row>
    <row r="54" spans="2:46" s="173" customFormat="1" ht="18.75" customHeight="1">
      <c r="B54" s="174">
        <v>41</v>
      </c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3"/>
        <v>TER B</v>
      </c>
      <c r="K54" s="182">
        <f t="shared" si="12"/>
        <v>3639999.9</v>
      </c>
      <c r="L54" s="169">
        <f t="shared" si="8"/>
        <v>30575.999999999996</v>
      </c>
      <c r="M54" s="189">
        <f>'[7]HARVESTING KHT'!$AQ28</f>
        <v>145600</v>
      </c>
      <c r="N54" s="189">
        <f>'[7]HARVESTING KHT'!$U28</f>
        <v>156600</v>
      </c>
      <c r="O54" s="189"/>
      <c r="P54" s="189">
        <f>'[7]HARVESTING KHT'!$AD28</f>
        <v>0</v>
      </c>
      <c r="Q54" s="189">
        <f>'[7]HARVESTING KHT'!$AE28</f>
        <v>0</v>
      </c>
      <c r="R54" s="189">
        <f>'[7]HARVESTING KHT'!$AA28</f>
        <v>20532</v>
      </c>
      <c r="S54" s="189">
        <f>'[7]HARVESTING KHT'!$AB28</f>
        <v>163800</v>
      </c>
      <c r="T54" s="189">
        <f>'[7]HARVESTING KHT'!$AC28</f>
        <v>424600</v>
      </c>
      <c r="U54" s="189">
        <f>'[7]HARVESTING KHT'!$AF28</f>
        <v>0</v>
      </c>
      <c r="V54" s="189">
        <f>'[7]HARVESTING KHT'!$AH28</f>
        <v>0</v>
      </c>
      <c r="W54" s="189">
        <f>'[6]HARVESTING KHT'!$AK36</f>
        <v>0</v>
      </c>
      <c r="X54" s="189">
        <f>'[7]HARVESTING KHT'!$Z28</f>
        <v>0</v>
      </c>
      <c r="Y54" s="189">
        <f>-'[7]HARVESTING KHT'!$AI28</f>
        <v>0</v>
      </c>
      <c r="Z54" s="189"/>
      <c r="AA54" s="189"/>
      <c r="AB54" s="189">
        <f>-'[7]HARVESTING KHT'!$BI28</f>
        <v>-121333.33</v>
      </c>
      <c r="AC54" s="189"/>
      <c r="AD54" s="189">
        <f>[8]PANEN!$F28</f>
        <v>270000</v>
      </c>
      <c r="AE54" s="183">
        <f t="shared" si="10"/>
        <v>4730374</v>
      </c>
      <c r="AF54" s="184">
        <f t="shared" si="13"/>
        <v>0</v>
      </c>
      <c r="AG54" s="95">
        <f t="shared" si="4"/>
        <v>0</v>
      </c>
      <c r="AH54" s="234">
        <f>'APRIL''24'!AG54</f>
        <v>0</v>
      </c>
      <c r="AI54" s="152">
        <f t="shared" si="5"/>
        <v>0</v>
      </c>
      <c r="AJ54" s="211"/>
      <c r="AK54" s="172">
        <f t="shared" si="11"/>
        <v>0</v>
      </c>
      <c r="AL54" s="93"/>
      <c r="AM54" s="146">
        <f t="shared" si="9"/>
        <v>0</v>
      </c>
      <c r="AN54" s="213"/>
      <c r="AO54" s="218"/>
      <c r="AQ54" s="199">
        <f>'[7]HARVESTING KHT'!$AL28</f>
        <v>4284198.57</v>
      </c>
      <c r="AR54" s="200">
        <f t="shared" si="14"/>
        <v>176176</v>
      </c>
      <c r="AS54" s="199">
        <f t="shared" si="6"/>
        <v>4460374.57</v>
      </c>
      <c r="AT54" s="201">
        <f t="shared" si="15"/>
        <v>-269999.4299999997</v>
      </c>
    </row>
    <row r="55" spans="2:46" s="173" customFormat="1" ht="18.75" customHeight="1">
      <c r="B55" s="174">
        <v>42</v>
      </c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3"/>
        <v>TER B</v>
      </c>
      <c r="K55" s="182">
        <f t="shared" si="12"/>
        <v>3639999.9</v>
      </c>
      <c r="L55" s="169">
        <f t="shared" si="8"/>
        <v>30575.999999999996</v>
      </c>
      <c r="M55" s="189">
        <f>'[7]HARVESTING KHT'!$AQ29</f>
        <v>145600</v>
      </c>
      <c r="N55" s="189">
        <f>'[7]HARVESTING KHT'!$U29</f>
        <v>104400</v>
      </c>
      <c r="O55" s="189"/>
      <c r="P55" s="189">
        <f>'[7]HARVESTING KHT'!$AD29</f>
        <v>0</v>
      </c>
      <c r="Q55" s="189">
        <f>'[7]HARVESTING KHT'!$AE29</f>
        <v>0</v>
      </c>
      <c r="R55" s="189">
        <f>'[7]HARVESTING KHT'!$AA29</f>
        <v>174522</v>
      </c>
      <c r="S55" s="189">
        <f>'[7]HARVESTING KHT'!$AB29</f>
        <v>141750</v>
      </c>
      <c r="T55" s="189">
        <f>'[7]HARVESTING KHT'!$AC29</f>
        <v>621500</v>
      </c>
      <c r="U55" s="189">
        <f>'[7]HARVESTING KHT'!$AF29</f>
        <v>437826</v>
      </c>
      <c r="V55" s="189">
        <f>'[7]HARVESTING KHT'!$AH29</f>
        <v>0</v>
      </c>
      <c r="W55" s="189">
        <f>'[6]HARVESTING KHT'!$AK37</f>
        <v>0</v>
      </c>
      <c r="X55" s="189">
        <f>'[7]HARVESTING KHT'!$Z29</f>
        <v>0</v>
      </c>
      <c r="Y55" s="189">
        <f>-'[7]HARVESTING KHT'!$AI29</f>
        <v>0</v>
      </c>
      <c r="Z55" s="189"/>
      <c r="AA55" s="189"/>
      <c r="AB55" s="189">
        <f>-'[7]HARVESTING KHT'!$BI29</f>
        <v>-121333.33</v>
      </c>
      <c r="AC55" s="189"/>
      <c r="AD55" s="189">
        <f>[8]PANEN!$F29</f>
        <v>225000</v>
      </c>
      <c r="AE55" s="183">
        <f t="shared" si="10"/>
        <v>5399840</v>
      </c>
      <c r="AF55" s="184">
        <f t="shared" si="13"/>
        <v>0</v>
      </c>
      <c r="AG55" s="95">
        <f t="shared" si="4"/>
        <v>0</v>
      </c>
      <c r="AH55" s="234">
        <f>'APRIL''24'!AG55</f>
        <v>0</v>
      </c>
      <c r="AI55" s="152">
        <f t="shared" si="5"/>
        <v>0</v>
      </c>
      <c r="AJ55" s="211"/>
      <c r="AK55" s="172"/>
      <c r="AL55" s="93"/>
      <c r="AM55" s="146">
        <f t="shared" si="9"/>
        <v>0</v>
      </c>
      <c r="AN55" s="213"/>
      <c r="AO55" s="218">
        <f>AI55-AJ55</f>
        <v>0</v>
      </c>
      <c r="AQ55" s="199">
        <f>'[7]HARVESTING KHT'!$AL29</f>
        <v>4998664.57</v>
      </c>
      <c r="AR55" s="200">
        <f t="shared" si="14"/>
        <v>176176</v>
      </c>
      <c r="AS55" s="199">
        <f t="shared" si="6"/>
        <v>5174840.57</v>
      </c>
      <c r="AT55" s="201">
        <f t="shared" si="15"/>
        <v>-224999.4299999997</v>
      </c>
    </row>
    <row r="56" spans="2:46" s="173" customFormat="1" ht="18.75" customHeight="1">
      <c r="B56" s="174">
        <v>43</v>
      </c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3"/>
        <v>TER B</v>
      </c>
      <c r="K56" s="182">
        <f t="shared" si="12"/>
        <v>3639999.9</v>
      </c>
      <c r="L56" s="169">
        <f t="shared" si="8"/>
        <v>30575.999999999996</v>
      </c>
      <c r="M56" s="189">
        <f>'[7]HARVESTING KHT'!$AQ30</f>
        <v>145600</v>
      </c>
      <c r="N56" s="189">
        <f>'[7]HARVESTING KHT'!$U30</f>
        <v>156600</v>
      </c>
      <c r="O56" s="189"/>
      <c r="P56" s="189">
        <f>'[7]HARVESTING KHT'!$AD30</f>
        <v>0</v>
      </c>
      <c r="Q56" s="189">
        <f>'[7]HARVESTING KHT'!$AE30</f>
        <v>0</v>
      </c>
      <c r="R56" s="189">
        <f>'[7]HARVESTING KHT'!$AA30</f>
        <v>135169</v>
      </c>
      <c r="S56" s="189">
        <f>'[7]HARVESTING KHT'!$AB30</f>
        <v>97650</v>
      </c>
      <c r="T56" s="189">
        <f>'[7]HARVESTING KHT'!$AC30</f>
        <v>454850</v>
      </c>
      <c r="U56" s="189">
        <f>'[7]HARVESTING KHT'!$AF30</f>
        <v>497792</v>
      </c>
      <c r="V56" s="189">
        <f>'[7]HARVESTING KHT'!$AH30</f>
        <v>0</v>
      </c>
      <c r="W56" s="189">
        <f>'[6]HARVESTING KHT'!$AK38</f>
        <v>0</v>
      </c>
      <c r="X56" s="189">
        <f>'[7]HARVESTING KHT'!$Z30</f>
        <v>0</v>
      </c>
      <c r="Y56" s="189">
        <f>-'[7]HARVESTING KHT'!$AI30</f>
        <v>0</v>
      </c>
      <c r="Z56" s="189"/>
      <c r="AA56" s="189"/>
      <c r="AB56" s="189">
        <f>-'[7]HARVESTING KHT'!$BI30</f>
        <v>-121333.33</v>
      </c>
      <c r="AC56" s="189"/>
      <c r="AD56" s="189">
        <f>[8]PANEN!$F30</f>
        <v>225000</v>
      </c>
      <c r="AE56" s="183">
        <f t="shared" si="10"/>
        <v>5261903</v>
      </c>
      <c r="AF56" s="184">
        <f t="shared" si="13"/>
        <v>0</v>
      </c>
      <c r="AG56" s="95">
        <f t="shared" si="4"/>
        <v>0</v>
      </c>
      <c r="AH56" s="234">
        <f>'APRIL''24'!AG56</f>
        <v>0</v>
      </c>
      <c r="AI56" s="152">
        <f t="shared" si="5"/>
        <v>0</v>
      </c>
      <c r="AJ56" s="211"/>
      <c r="AK56" s="172"/>
      <c r="AL56" s="93"/>
      <c r="AM56" s="146">
        <f t="shared" si="9"/>
        <v>0</v>
      </c>
      <c r="AN56" s="213"/>
      <c r="AO56" s="218">
        <f>AI56-AJ56</f>
        <v>0</v>
      </c>
      <c r="AQ56" s="199">
        <f>'[7]HARVESTING KHT'!$AL30</f>
        <v>4860727.57</v>
      </c>
      <c r="AR56" s="200">
        <f t="shared" si="14"/>
        <v>176176</v>
      </c>
      <c r="AS56" s="199">
        <f t="shared" si="6"/>
        <v>5036903.57</v>
      </c>
      <c r="AT56" s="201">
        <f t="shared" si="15"/>
        <v>-224999.4299999997</v>
      </c>
    </row>
    <row r="57" spans="2:46" s="173" customFormat="1" ht="18.75" customHeight="1">
      <c r="B57" s="174">
        <v>44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3"/>
        <v>TER B</v>
      </c>
      <c r="K57" s="182">
        <f t="shared" si="12"/>
        <v>3639999.9</v>
      </c>
      <c r="L57" s="169">
        <f t="shared" si="8"/>
        <v>30575.999999999996</v>
      </c>
      <c r="M57" s="189">
        <f>'[7]HARVESTING KHT'!$AQ31</f>
        <v>146000</v>
      </c>
      <c r="N57" s="189">
        <f>'[7]HARVESTING KHT'!$U31</f>
        <v>162000</v>
      </c>
      <c r="O57" s="189"/>
      <c r="P57" s="189">
        <f>'[7]HARVESTING KHT'!$AD31</f>
        <v>0</v>
      </c>
      <c r="Q57" s="189">
        <f>'[7]HARVESTING KHT'!$AE31</f>
        <v>0</v>
      </c>
      <c r="R57" s="189">
        <f>'[7]HARVESTING KHT'!$AA31</f>
        <v>205320</v>
      </c>
      <c r="S57" s="189">
        <f>'[7]HARVESTING KHT'!$AB31</f>
        <v>200550</v>
      </c>
      <c r="T57" s="189">
        <f>'[7]HARVESTING KHT'!$AC31</f>
        <v>621700</v>
      </c>
      <c r="U57" s="189">
        <f>'[7]HARVESTING KHT'!$AF31</f>
        <v>497145</v>
      </c>
      <c r="V57" s="189">
        <f>'[7]HARVESTING KHT'!$AH31</f>
        <v>0</v>
      </c>
      <c r="W57" s="189">
        <f>'[6]HARVESTING KHT'!$AK39</f>
        <v>0</v>
      </c>
      <c r="X57" s="189">
        <f>'[7]HARVESTING KHT'!$Z31</f>
        <v>10000</v>
      </c>
      <c r="Y57" s="189">
        <f>-'[7]HARVESTING KHT'!$AI31</f>
        <v>0</v>
      </c>
      <c r="Z57" s="189"/>
      <c r="AA57" s="189"/>
      <c r="AB57" s="189">
        <f>-'[7]HARVESTING KHT'!$BI31</f>
        <v>0</v>
      </c>
      <c r="AC57" s="189"/>
      <c r="AD57" s="189">
        <f>[8]PANEN!$F31</f>
        <v>540000</v>
      </c>
      <c r="AE57" s="183">
        <f t="shared" si="10"/>
        <v>6053290</v>
      </c>
      <c r="AF57" s="184">
        <f t="shared" si="13"/>
        <v>0</v>
      </c>
      <c r="AG57" s="95">
        <f t="shared" si="4"/>
        <v>0</v>
      </c>
      <c r="AH57" s="234">
        <f>'APRIL''24'!AG57</f>
        <v>0</v>
      </c>
      <c r="AI57" s="152">
        <f t="shared" si="5"/>
        <v>0</v>
      </c>
      <c r="AJ57" s="211"/>
      <c r="AK57" s="172">
        <f t="shared" si="11"/>
        <v>0</v>
      </c>
      <c r="AL57" s="93"/>
      <c r="AM57" s="146">
        <f t="shared" si="9"/>
        <v>0</v>
      </c>
      <c r="AN57" s="213"/>
      <c r="AO57" s="218"/>
      <c r="AQ57" s="199">
        <f>'[7]HARVESTING KHT'!$AL31</f>
        <v>5336714.9000000004</v>
      </c>
      <c r="AR57" s="200">
        <f t="shared" si="14"/>
        <v>176576</v>
      </c>
      <c r="AS57" s="199">
        <f t="shared" si="6"/>
        <v>5513290.9000000004</v>
      </c>
      <c r="AT57" s="201">
        <f t="shared" si="15"/>
        <v>-539999.09999999963</v>
      </c>
    </row>
    <row r="58" spans="2:46" s="173" customFormat="1" ht="18.75" customHeight="1">
      <c r="B58" s="174">
        <v>45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3"/>
        <v>TER A</v>
      </c>
      <c r="K58" s="182">
        <f t="shared" si="12"/>
        <v>3639999.9</v>
      </c>
      <c r="L58" s="169">
        <f t="shared" si="8"/>
        <v>30575.999999999996</v>
      </c>
      <c r="M58" s="189">
        <f>'[7]HARVESTING KHT'!$AQ32</f>
        <v>145600</v>
      </c>
      <c r="N58" s="189">
        <f>'[7]HARVESTING KHT'!$U32</f>
        <v>108000</v>
      </c>
      <c r="O58" s="189"/>
      <c r="P58" s="189">
        <f>'[7]HARVESTING KHT'!$AD32</f>
        <v>0</v>
      </c>
      <c r="Q58" s="189">
        <f>'[7]HARVESTING KHT'!$AE32</f>
        <v>0</v>
      </c>
      <c r="R58" s="189">
        <f>'[7]HARVESTING KHT'!$AA32</f>
        <v>210453</v>
      </c>
      <c r="S58" s="189">
        <f>'[7]HARVESTING KHT'!$AB32</f>
        <v>198450</v>
      </c>
      <c r="T58" s="189">
        <f>'[7]HARVESTING KHT'!$AC32</f>
        <v>621700</v>
      </c>
      <c r="U58" s="189">
        <f>'[7]HARVESTING KHT'!$AF32</f>
        <v>586883</v>
      </c>
      <c r="V58" s="189">
        <f>'[7]HARVESTING KHT'!$AH32</f>
        <v>0</v>
      </c>
      <c r="W58" s="189">
        <f>'[6]HARVESTING KHT'!$AK40</f>
        <v>0</v>
      </c>
      <c r="X58" s="189">
        <f>'[7]HARVESTING KHT'!$Z32</f>
        <v>0</v>
      </c>
      <c r="Y58" s="189">
        <f>-'[7]HARVESTING KHT'!$AI32</f>
        <v>0</v>
      </c>
      <c r="Z58" s="189"/>
      <c r="AA58" s="189"/>
      <c r="AB58" s="189">
        <f>-'[7]HARVESTING KHT'!$BI32</f>
        <v>0</v>
      </c>
      <c r="AC58" s="189"/>
      <c r="AD58" s="189">
        <f>[8]PANEN!$F32</f>
        <v>315000</v>
      </c>
      <c r="AE58" s="183">
        <f t="shared" si="10"/>
        <v>5856661</v>
      </c>
      <c r="AF58" s="184">
        <f t="shared" si="13"/>
        <v>5.0000000000000001E-3</v>
      </c>
      <c r="AG58" s="95">
        <f t="shared" si="4"/>
        <v>29283</v>
      </c>
      <c r="AH58" s="234">
        <f>'APRIL''24'!AG58</f>
        <v>13854</v>
      </c>
      <c r="AI58" s="152">
        <f t="shared" si="5"/>
        <v>15429</v>
      </c>
      <c r="AJ58" s="211"/>
      <c r="AK58" s="172">
        <f t="shared" si="11"/>
        <v>15429</v>
      </c>
      <c r="AL58" s="93"/>
      <c r="AM58" s="146">
        <f t="shared" si="9"/>
        <v>-15429</v>
      </c>
      <c r="AN58" s="213"/>
      <c r="AO58" s="218"/>
      <c r="AQ58" s="199">
        <f>'[7]HARVESTING KHT'!$AL32</f>
        <v>5365485.9000000004</v>
      </c>
      <c r="AR58" s="200">
        <f t="shared" si="14"/>
        <v>176176</v>
      </c>
      <c r="AS58" s="199">
        <f t="shared" si="6"/>
        <v>5541661.9000000004</v>
      </c>
      <c r="AT58" s="201">
        <f t="shared" si="15"/>
        <v>-314999.09999999963</v>
      </c>
    </row>
    <row r="59" spans="2:46" s="173" customFormat="1" ht="18.75" customHeight="1">
      <c r="B59" s="174">
        <v>46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3"/>
        <v>TER C</v>
      </c>
      <c r="K59" s="182">
        <f t="shared" si="12"/>
        <v>3639999.9</v>
      </c>
      <c r="L59" s="169">
        <f t="shared" si="8"/>
        <v>30575.999999999996</v>
      </c>
      <c r="M59" s="189">
        <f>'[7]HARVESTING KHT'!$AQ33</f>
        <v>145600</v>
      </c>
      <c r="N59" s="189">
        <f>'[7]HARVESTING KHT'!$U33</f>
        <v>162000</v>
      </c>
      <c r="O59" s="189"/>
      <c r="P59" s="189">
        <f>'[7]HARVESTING KHT'!$AD33</f>
        <v>0</v>
      </c>
      <c r="Q59" s="189">
        <f>'[7]HARVESTING KHT'!$AE33</f>
        <v>0</v>
      </c>
      <c r="R59" s="189">
        <f>'[7]HARVESTING KHT'!$AA33</f>
        <v>273760</v>
      </c>
      <c r="S59" s="189">
        <f>'[7]HARVESTING KHT'!$AB33</f>
        <v>127050</v>
      </c>
      <c r="T59" s="189">
        <f>'[7]HARVESTING KHT'!$AC33</f>
        <v>394350</v>
      </c>
      <c r="U59" s="189">
        <f>'[7]HARVESTING KHT'!$AF33</f>
        <v>415969</v>
      </c>
      <c r="V59" s="189">
        <f>'[7]HARVESTING KHT'!$AH33</f>
        <v>0</v>
      </c>
      <c r="W59" s="189">
        <f>'[6]HARVESTING KHT'!$AK41</f>
        <v>0</v>
      </c>
      <c r="X59" s="189">
        <f>'[7]HARVESTING KHT'!$Z33</f>
        <v>0</v>
      </c>
      <c r="Y59" s="189">
        <f>-'[7]HARVESTING KHT'!$AI33</f>
        <v>0</v>
      </c>
      <c r="Z59" s="189"/>
      <c r="AA59" s="189"/>
      <c r="AB59" s="189">
        <f>-'[7]HARVESTING KHT'!$BI33</f>
        <v>0</v>
      </c>
      <c r="AC59" s="189"/>
      <c r="AD59" s="189"/>
      <c r="AE59" s="183">
        <f t="shared" si="10"/>
        <v>5189304</v>
      </c>
      <c r="AF59" s="184">
        <f t="shared" si="13"/>
        <v>0</v>
      </c>
      <c r="AG59" s="95">
        <f t="shared" si="4"/>
        <v>0</v>
      </c>
      <c r="AH59" s="234">
        <f>'APRIL''24'!AG59</f>
        <v>0</v>
      </c>
      <c r="AI59" s="152">
        <f t="shared" si="5"/>
        <v>0</v>
      </c>
      <c r="AJ59" s="211"/>
      <c r="AK59" s="172">
        <f t="shared" si="11"/>
        <v>0</v>
      </c>
      <c r="AL59" s="93"/>
      <c r="AM59" s="146">
        <f t="shared" si="9"/>
        <v>0</v>
      </c>
      <c r="AN59" s="213"/>
      <c r="AO59" s="218"/>
      <c r="AQ59" s="199">
        <f>'[7]HARVESTING KHT'!$AL33</f>
        <v>5013128.9000000004</v>
      </c>
      <c r="AR59" s="200">
        <f t="shared" si="14"/>
        <v>176176</v>
      </c>
      <c r="AS59" s="199">
        <f t="shared" si="6"/>
        <v>5189304.9000000004</v>
      </c>
      <c r="AT59" s="201">
        <f t="shared" si="15"/>
        <v>0.90000000037252903</v>
      </c>
    </row>
    <row r="60" spans="2:46" s="173" customFormat="1" ht="18.75" customHeight="1">
      <c r="B60" s="174">
        <v>47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3"/>
        <v>TER C</v>
      </c>
      <c r="K60" s="182">
        <f t="shared" si="12"/>
        <v>3639999.9</v>
      </c>
      <c r="L60" s="169">
        <f t="shared" si="8"/>
        <v>30575.999999999996</v>
      </c>
      <c r="M60" s="189">
        <f>'[7]HARVESTING KHT'!$AQ34</f>
        <v>145600</v>
      </c>
      <c r="N60" s="189">
        <f>'[7]HARVESTING KHT'!$U34</f>
        <v>162000</v>
      </c>
      <c r="O60" s="189"/>
      <c r="P60" s="189">
        <f>'[7]HARVESTING KHT'!$AD34</f>
        <v>63121.38</v>
      </c>
      <c r="Q60" s="189">
        <f>'[7]HARVESTING KHT'!$AE34</f>
        <v>103500</v>
      </c>
      <c r="R60" s="189">
        <f>'[7]HARVESTING KHT'!$AA34</f>
        <v>277182</v>
      </c>
      <c r="S60" s="189">
        <f>'[7]HARVESTING KHT'!$AB34</f>
        <v>190050</v>
      </c>
      <c r="T60" s="189">
        <f>'[7]HARVESTING KHT'!$AC34</f>
        <v>580800</v>
      </c>
      <c r="U60" s="189">
        <f>'[7]HARVESTING KHT'!$AF34</f>
        <v>390170</v>
      </c>
      <c r="V60" s="189">
        <f>'[7]HARVESTING KHT'!$AH34</f>
        <v>0</v>
      </c>
      <c r="W60" s="189">
        <f>'[6]HARVESTING KHT'!$AK42</f>
        <v>0</v>
      </c>
      <c r="X60" s="189">
        <f>'[7]HARVESTING KHT'!$Z34</f>
        <v>0</v>
      </c>
      <c r="Y60" s="189">
        <f>-'[7]HARVESTING KHT'!$AI34</f>
        <v>0</v>
      </c>
      <c r="Z60" s="189"/>
      <c r="AA60" s="189"/>
      <c r="AB60" s="189">
        <f>-'[7]HARVESTING KHT'!$BI34</f>
        <v>0</v>
      </c>
      <c r="AC60" s="189"/>
      <c r="AD60" s="189"/>
      <c r="AE60" s="183">
        <f t="shared" si="10"/>
        <v>5582999</v>
      </c>
      <c r="AF60" s="184">
        <f t="shared" si="13"/>
        <v>0</v>
      </c>
      <c r="AG60" s="95">
        <f t="shared" si="4"/>
        <v>0</v>
      </c>
      <c r="AH60" s="234">
        <f>'APRIL''24'!AG60</f>
        <v>0</v>
      </c>
      <c r="AI60" s="152">
        <f t="shared" si="5"/>
        <v>0</v>
      </c>
      <c r="AJ60" s="211"/>
      <c r="AK60" s="172"/>
      <c r="AL60" s="93"/>
      <c r="AM60" s="146">
        <f t="shared" si="9"/>
        <v>0</v>
      </c>
      <c r="AN60" s="213"/>
      <c r="AO60" s="218">
        <f>AI60-AJ60</f>
        <v>0</v>
      </c>
      <c r="AQ60" s="199">
        <f>'[7]HARVESTING KHT'!$AL34</f>
        <v>5406823.2800000003</v>
      </c>
      <c r="AR60" s="200">
        <f t="shared" si="14"/>
        <v>176176</v>
      </c>
      <c r="AS60" s="199">
        <f t="shared" si="6"/>
        <v>5582999.2800000003</v>
      </c>
      <c r="AT60" s="201">
        <f t="shared" si="15"/>
        <v>0.28000000026077032</v>
      </c>
    </row>
    <row r="61" spans="2:46" s="173" customFormat="1" ht="18.75" customHeight="1">
      <c r="B61" s="174">
        <v>48</v>
      </c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3"/>
        <v>TER B</v>
      </c>
      <c r="K61" s="182">
        <f t="shared" si="12"/>
        <v>3639999.9</v>
      </c>
      <c r="L61" s="169">
        <f t="shared" si="8"/>
        <v>30575.999999999996</v>
      </c>
      <c r="M61" s="189">
        <f>'[7]HARVESTING KHT'!$AQ35</f>
        <v>145900</v>
      </c>
      <c r="N61" s="189">
        <f>'[7]HARVESTING KHT'!$U35</f>
        <v>162000</v>
      </c>
      <c r="O61" s="189"/>
      <c r="P61" s="189">
        <f>'[7]HARVESTING KHT'!$AD35</f>
        <v>0</v>
      </c>
      <c r="Q61" s="189">
        <f>'[7]HARVESTING KHT'!$AE35</f>
        <v>0</v>
      </c>
      <c r="R61" s="189">
        <f>'[7]HARVESTING KHT'!$AA35</f>
        <v>54752</v>
      </c>
      <c r="S61" s="189">
        <f>'[7]HARVESTING KHT'!$AB35</f>
        <v>149100</v>
      </c>
      <c r="T61" s="189">
        <f>'[7]HARVESTING KHT'!$AC35</f>
        <v>448250</v>
      </c>
      <c r="U61" s="189">
        <f>'[7]HARVESTING KHT'!$AF35</f>
        <v>383119</v>
      </c>
      <c r="V61" s="189">
        <f>'[7]HARVESTING KHT'!$AH35</f>
        <v>0</v>
      </c>
      <c r="W61" s="189">
        <f>'[6]HARVESTING KHT'!$AK43</f>
        <v>0</v>
      </c>
      <c r="X61" s="189">
        <f>'[7]HARVESTING KHT'!$Z35</f>
        <v>7500</v>
      </c>
      <c r="Y61" s="189">
        <f>-'[7]HARVESTING KHT'!$AI35</f>
        <v>0</v>
      </c>
      <c r="Z61" s="189"/>
      <c r="AA61" s="189"/>
      <c r="AB61" s="189">
        <f>-'[7]HARVESTING KHT'!$BI35</f>
        <v>0</v>
      </c>
      <c r="AC61" s="189"/>
      <c r="AD61" s="189">
        <f>[8]PANEN!$F33</f>
        <v>300000</v>
      </c>
      <c r="AE61" s="183">
        <f t="shared" si="10"/>
        <v>5321196</v>
      </c>
      <c r="AF61" s="184">
        <f t="shared" si="13"/>
        <v>0</v>
      </c>
      <c r="AG61" s="95">
        <f t="shared" si="4"/>
        <v>0</v>
      </c>
      <c r="AH61" s="234">
        <f>'APRIL''24'!AG61</f>
        <v>0</v>
      </c>
      <c r="AI61" s="152">
        <f t="shared" si="5"/>
        <v>0</v>
      </c>
      <c r="AJ61" s="211"/>
      <c r="AK61" s="172">
        <f t="shared" si="11"/>
        <v>0</v>
      </c>
      <c r="AL61" s="93"/>
      <c r="AM61" s="146">
        <f t="shared" si="9"/>
        <v>0</v>
      </c>
      <c r="AN61" s="213"/>
      <c r="AO61" s="218"/>
      <c r="AQ61" s="199">
        <f>'[7]HARVESTING KHT'!$AL35</f>
        <v>4844720.9000000004</v>
      </c>
      <c r="AR61" s="200">
        <f t="shared" si="14"/>
        <v>176476</v>
      </c>
      <c r="AS61" s="199">
        <f t="shared" si="6"/>
        <v>5021196.9000000004</v>
      </c>
      <c r="AT61" s="201">
        <f t="shared" si="15"/>
        <v>-299999.09999999963</v>
      </c>
    </row>
    <row r="62" spans="2:46" s="173" customFormat="1" ht="18.75" customHeight="1">
      <c r="B62" s="174">
        <v>49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3"/>
        <v>TER B</v>
      </c>
      <c r="K62" s="182">
        <f t="shared" si="12"/>
        <v>3639999.9</v>
      </c>
      <c r="L62" s="169">
        <f t="shared" si="8"/>
        <v>30575.999999999996</v>
      </c>
      <c r="M62" s="189">
        <f>'[7]HARVESTING KHT'!$AQ36</f>
        <v>145900</v>
      </c>
      <c r="N62" s="189">
        <f>'[7]HARVESTING KHT'!$U36</f>
        <v>162000</v>
      </c>
      <c r="O62" s="189"/>
      <c r="P62" s="189">
        <f>'[7]HARVESTING KHT'!$AD36</f>
        <v>0</v>
      </c>
      <c r="Q62" s="189">
        <f>'[7]HARVESTING KHT'!$AE36</f>
        <v>0</v>
      </c>
      <c r="R62" s="189">
        <f>'[7]HARVESTING KHT'!$AA36</f>
        <v>521855</v>
      </c>
      <c r="S62" s="189">
        <f>'[7]HARVESTING KHT'!$AB36</f>
        <v>226800</v>
      </c>
      <c r="T62" s="189">
        <f>'[7]HARVESTING KHT'!$AC36</f>
        <v>612150</v>
      </c>
      <c r="U62" s="189">
        <f>'[7]HARVESTING KHT'!$AF36</f>
        <v>500352</v>
      </c>
      <c r="V62" s="189">
        <f>'[7]HARVESTING KHT'!$AH36</f>
        <v>0</v>
      </c>
      <c r="W62" s="189">
        <f>'[6]HARVESTING KHT'!$AK44</f>
        <v>0</v>
      </c>
      <c r="X62" s="189">
        <f>'[7]HARVESTING KHT'!$Z36</f>
        <v>7500</v>
      </c>
      <c r="Y62" s="189">
        <f>-'[7]HARVESTING KHT'!$AI36</f>
        <v>0</v>
      </c>
      <c r="Z62" s="189"/>
      <c r="AA62" s="189"/>
      <c r="AB62" s="189">
        <f>-'[7]HARVESTING KHT'!$BI36</f>
        <v>0</v>
      </c>
      <c r="AC62" s="189"/>
      <c r="AD62" s="189">
        <f>[8]PANEN!$F34</f>
        <v>300000</v>
      </c>
      <c r="AE62" s="183">
        <f t="shared" si="10"/>
        <v>6147132</v>
      </c>
      <c r="AF62" s="184">
        <f t="shared" si="13"/>
        <v>0</v>
      </c>
      <c r="AG62" s="95">
        <f t="shared" si="4"/>
        <v>0</v>
      </c>
      <c r="AH62" s="234">
        <f>'APRIL''24'!AG62</f>
        <v>0</v>
      </c>
      <c r="AI62" s="152">
        <f t="shared" si="5"/>
        <v>0</v>
      </c>
      <c r="AJ62" s="211"/>
      <c r="AK62" s="172"/>
      <c r="AL62" s="93"/>
      <c r="AM62" s="146">
        <f t="shared" si="9"/>
        <v>0</v>
      </c>
      <c r="AN62" s="213"/>
      <c r="AO62" s="218">
        <f>AI62-AJ62</f>
        <v>0</v>
      </c>
      <c r="AQ62" s="199">
        <f>'[7]HARVESTING KHT'!$AL36</f>
        <v>5670656.9000000004</v>
      </c>
      <c r="AR62" s="200">
        <f t="shared" si="14"/>
        <v>176476</v>
      </c>
      <c r="AS62" s="199">
        <f t="shared" si="6"/>
        <v>5847132.9000000004</v>
      </c>
      <c r="AT62" s="201">
        <f t="shared" si="15"/>
        <v>-299999.09999999963</v>
      </c>
    </row>
    <row r="63" spans="2:46" s="173" customFormat="1" ht="18.75" customHeight="1">
      <c r="B63" s="174">
        <v>50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3"/>
        <v>TER B</v>
      </c>
      <c r="K63" s="182">
        <f t="shared" si="12"/>
        <v>3639999.9</v>
      </c>
      <c r="L63" s="169">
        <f t="shared" si="8"/>
        <v>30575.999999999996</v>
      </c>
      <c r="M63" s="189">
        <f>[7]TRANSPORT!$AH11</f>
        <v>146920</v>
      </c>
      <c r="N63" s="189">
        <f>[7]TRANSPORT!$S11</f>
        <v>126000</v>
      </c>
      <c r="O63" s="189">
        <f>[7]TRANSPORT!$V11</f>
        <v>51000</v>
      </c>
      <c r="P63" s="189">
        <f>[7]TRANSPORT!$Z11</f>
        <v>638814.94999999995</v>
      </c>
      <c r="Q63" s="189">
        <f>[7]TRANSPORT!$Y11</f>
        <v>548200</v>
      </c>
      <c r="R63" s="189"/>
      <c r="S63" s="189"/>
      <c r="T63" s="189"/>
      <c r="U63" s="189"/>
      <c r="V63" s="189"/>
      <c r="W63" s="189"/>
      <c r="X63" s="189">
        <f>[7]TRANSPORT!$X11</f>
        <v>33000</v>
      </c>
      <c r="Y63" s="189"/>
      <c r="Z63" s="189"/>
      <c r="AA63" s="189"/>
      <c r="AB63" s="189">
        <f>-[7]TRANSPORT!$AX11</f>
        <v>-242666.66</v>
      </c>
      <c r="AC63" s="189"/>
      <c r="AD63" s="189">
        <f>[8]OPERATOR!$F10</f>
        <v>300000</v>
      </c>
      <c r="AE63" s="183">
        <f t="shared" si="10"/>
        <v>5271844</v>
      </c>
      <c r="AF63" s="184">
        <f t="shared" si="13"/>
        <v>0</v>
      </c>
      <c r="AG63" s="95">
        <f t="shared" si="4"/>
        <v>0</v>
      </c>
      <c r="AH63" s="234">
        <f>'APRIL''24'!AG63</f>
        <v>0</v>
      </c>
      <c r="AI63" s="152">
        <f t="shared" si="5"/>
        <v>0</v>
      </c>
      <c r="AJ63" s="211"/>
      <c r="AK63" s="172">
        <f t="shared" si="11"/>
        <v>0</v>
      </c>
      <c r="AL63" s="93"/>
      <c r="AM63" s="146">
        <f t="shared" si="9"/>
        <v>0</v>
      </c>
      <c r="AN63" s="213"/>
      <c r="AO63" s="218"/>
      <c r="AQ63" s="199">
        <f>[7]TRANSPORT!$AC11</f>
        <v>4794348.1900000004</v>
      </c>
      <c r="AR63" s="200">
        <f t="shared" si="14"/>
        <v>177496</v>
      </c>
      <c r="AS63" s="199">
        <f t="shared" si="6"/>
        <v>4971844.1900000004</v>
      </c>
      <c r="AT63" s="201">
        <f t="shared" si="15"/>
        <v>-299999.80999999959</v>
      </c>
    </row>
    <row r="64" spans="2:46" s="173" customFormat="1" ht="18.75" customHeight="1">
      <c r="B64" s="174">
        <v>51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3"/>
        <v>TER B</v>
      </c>
      <c r="K64" s="182">
        <f t="shared" si="12"/>
        <v>3639999.9</v>
      </c>
      <c r="L64" s="169">
        <f t="shared" si="8"/>
        <v>30575.999999999996</v>
      </c>
      <c r="M64" s="189">
        <f>[7]TRANSPORT!$AH12</f>
        <v>147480</v>
      </c>
      <c r="N64" s="189">
        <f>[7]TRANSPORT!$S12</f>
        <v>151200</v>
      </c>
      <c r="O64" s="189">
        <f>[7]TRANSPORT!$V12</f>
        <v>36000</v>
      </c>
      <c r="P64" s="189">
        <f>[7]TRANSPORT!$Z12</f>
        <v>820577.94</v>
      </c>
      <c r="Q64" s="189">
        <f>[7]TRANSPORT!$Y12</f>
        <v>670540</v>
      </c>
      <c r="R64" s="189"/>
      <c r="S64" s="189"/>
      <c r="T64" s="189"/>
      <c r="U64" s="189"/>
      <c r="V64" s="189"/>
      <c r="W64" s="189"/>
      <c r="X64" s="189">
        <f>[7]TRANSPORT!$X12</f>
        <v>47000</v>
      </c>
      <c r="Y64" s="189"/>
      <c r="Z64" s="189"/>
      <c r="AA64" s="189"/>
      <c r="AB64" s="189">
        <f>-[7]TRANSPORT!$AX12</f>
        <v>-242666.66</v>
      </c>
      <c r="AC64" s="189"/>
      <c r="AD64" s="189">
        <f>[8]OPERATOR!$F11</f>
        <v>300000</v>
      </c>
      <c r="AE64" s="183">
        <f t="shared" si="10"/>
        <v>5600707</v>
      </c>
      <c r="AF64" s="184">
        <f t="shared" si="13"/>
        <v>0</v>
      </c>
      <c r="AG64" s="95">
        <f t="shared" si="4"/>
        <v>0</v>
      </c>
      <c r="AH64" s="234">
        <f>'APRIL''24'!AG64</f>
        <v>0</v>
      </c>
      <c r="AI64" s="152">
        <f t="shared" si="5"/>
        <v>0</v>
      </c>
      <c r="AJ64" s="211"/>
      <c r="AK64" s="172"/>
      <c r="AL64" s="93"/>
      <c r="AM64" s="146">
        <f t="shared" si="9"/>
        <v>0</v>
      </c>
      <c r="AN64" s="213"/>
      <c r="AO64" s="218">
        <f>AI64-AJ64</f>
        <v>0</v>
      </c>
      <c r="AQ64" s="199">
        <f>[7]TRANSPORT!$AC12</f>
        <v>5122651.18</v>
      </c>
      <c r="AR64" s="200">
        <f t="shared" si="14"/>
        <v>178056</v>
      </c>
      <c r="AS64" s="199">
        <f t="shared" si="6"/>
        <v>5300707.18</v>
      </c>
      <c r="AT64" s="201">
        <f t="shared" si="15"/>
        <v>-299999.8200000003</v>
      </c>
    </row>
    <row r="65" spans="2:63" s="173" customFormat="1" ht="18.75" customHeight="1">
      <c r="B65" s="174">
        <v>52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3"/>
        <v>TER B</v>
      </c>
      <c r="K65" s="182">
        <f t="shared" si="12"/>
        <v>3639999.9</v>
      </c>
      <c r="L65" s="169">
        <f t="shared" si="8"/>
        <v>30575.999999999996</v>
      </c>
      <c r="M65" s="189">
        <f>[7]TRANSPORT!$AH13</f>
        <v>148040</v>
      </c>
      <c r="N65" s="189">
        <f>[7]TRANSPORT!$S13</f>
        <v>126000</v>
      </c>
      <c r="O65" s="189">
        <f>[7]TRANSPORT!$V13</f>
        <v>51000</v>
      </c>
      <c r="P65" s="189">
        <f>[7]TRANSPORT!$Z13</f>
        <v>578612.65</v>
      </c>
      <c r="Q65" s="189">
        <f>[7]TRANSPORT!$Y13</f>
        <v>382570</v>
      </c>
      <c r="R65" s="189"/>
      <c r="S65" s="189"/>
      <c r="T65" s="189"/>
      <c r="U65" s="189"/>
      <c r="V65" s="189"/>
      <c r="W65" s="189"/>
      <c r="X65" s="189">
        <f>[7]TRANSPORT!$X13</f>
        <v>61000</v>
      </c>
      <c r="Y65" s="189"/>
      <c r="Z65" s="189"/>
      <c r="AA65" s="189"/>
      <c r="AB65" s="189">
        <f>-[7]TRANSPORT!$AX13</f>
        <v>-242666.66</v>
      </c>
      <c r="AC65" s="189"/>
      <c r="AD65" s="189">
        <f>[8]OPERATOR!$F12</f>
        <v>300000</v>
      </c>
      <c r="AE65" s="183">
        <f t="shared" si="10"/>
        <v>5075131</v>
      </c>
      <c r="AF65" s="184">
        <f t="shared" si="13"/>
        <v>0</v>
      </c>
      <c r="AG65" s="95">
        <f t="shared" si="4"/>
        <v>0</v>
      </c>
      <c r="AH65" s="234">
        <f>'APRIL''24'!AG65</f>
        <v>0</v>
      </c>
      <c r="AI65" s="152">
        <f t="shared" si="5"/>
        <v>0</v>
      </c>
      <c r="AJ65" s="211"/>
      <c r="AK65" s="172">
        <f t="shared" si="11"/>
        <v>0</v>
      </c>
      <c r="AL65" s="93"/>
      <c r="AM65" s="146">
        <f t="shared" si="9"/>
        <v>0</v>
      </c>
      <c r="AN65" s="213"/>
      <c r="AO65" s="218"/>
      <c r="AQ65" s="199">
        <f>[7]TRANSPORT!$AC13</f>
        <v>4596515.8900000006</v>
      </c>
      <c r="AR65" s="200">
        <f t="shared" si="14"/>
        <v>178616</v>
      </c>
      <c r="AS65" s="199">
        <f t="shared" si="6"/>
        <v>4775131.8900000006</v>
      </c>
      <c r="AT65" s="201">
        <f t="shared" si="15"/>
        <v>-299999.1099999994</v>
      </c>
    </row>
    <row r="66" spans="2:63" s="173" customFormat="1" ht="18.75" customHeight="1" thickBot="1">
      <c r="B66" s="174">
        <v>53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3"/>
        <v>TER B</v>
      </c>
      <c r="K66" s="182">
        <f t="shared" si="12"/>
        <v>3639999.9</v>
      </c>
      <c r="L66" s="169">
        <f t="shared" si="8"/>
        <v>30575.999999999996</v>
      </c>
      <c r="M66" s="189">
        <f>[7]TRANSPORT!$AH14</f>
        <v>146680</v>
      </c>
      <c r="N66" s="189">
        <f>[7]TRANSPORT!$S14</f>
        <v>162000</v>
      </c>
      <c r="O66" s="189">
        <f>[7]TRANSPORT!$V14</f>
        <v>42000</v>
      </c>
      <c r="P66" s="189">
        <f>[7]TRANSPORT!$Z14</f>
        <v>946820.7</v>
      </c>
      <c r="Q66" s="189">
        <f>[7]TRANSPORT!$Y14</f>
        <v>619320</v>
      </c>
      <c r="R66" s="189"/>
      <c r="S66" s="189"/>
      <c r="T66" s="189"/>
      <c r="U66" s="189">
        <f>[7]TRANSPORT!$AB$14</f>
        <v>104038</v>
      </c>
      <c r="V66" s="189"/>
      <c r="W66" s="189"/>
      <c r="X66" s="189">
        <f>[7]TRANSPORT!$X14</f>
        <v>27000</v>
      </c>
      <c r="Y66" s="189"/>
      <c r="Z66" s="189"/>
      <c r="AA66" s="189"/>
      <c r="AB66" s="189">
        <f>-[7]TRANSPORT!$AX14</f>
        <v>0</v>
      </c>
      <c r="AC66" s="189"/>
      <c r="AD66" s="189">
        <f>[8]OPERATOR!$F13</f>
        <v>540000</v>
      </c>
      <c r="AE66" s="183">
        <f>ROUNDDOWN(SUM(K66:AD66),0)</f>
        <v>6258434</v>
      </c>
      <c r="AF66" s="184">
        <f t="shared" si="13"/>
        <v>2.5000000000000001E-3</v>
      </c>
      <c r="AG66" s="97">
        <f t="shared" si="4"/>
        <v>15646</v>
      </c>
      <c r="AH66" s="234">
        <f>'APRIL''24'!AG66</f>
        <v>0</v>
      </c>
      <c r="AI66" s="152">
        <f t="shared" si="5"/>
        <v>15646</v>
      </c>
      <c r="AJ66" s="211"/>
      <c r="AK66" s="172">
        <f t="shared" si="11"/>
        <v>15646</v>
      </c>
      <c r="AL66" s="93"/>
      <c r="AM66" s="146">
        <f t="shared" si="9"/>
        <v>-15646</v>
      </c>
      <c r="AN66" s="213"/>
      <c r="AO66" s="219"/>
      <c r="AQ66" s="199">
        <f>[7]TRANSPORT!$AC14</f>
        <v>5541178.6000000006</v>
      </c>
      <c r="AR66" s="200">
        <f t="shared" si="14"/>
        <v>177256</v>
      </c>
      <c r="AS66" s="199">
        <f>AQ66+AR66</f>
        <v>5718434.6000000006</v>
      </c>
      <c r="AT66" s="201">
        <f t="shared" si="15"/>
        <v>-539999.39999999944</v>
      </c>
    </row>
    <row r="67" spans="2:63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O67" si="16">SUM(K6:K66)</f>
        <v>193024994.70000017</v>
      </c>
      <c r="L67" s="196">
        <f t="shared" si="16"/>
        <v>1621409.9999999998</v>
      </c>
      <c r="M67" s="196">
        <f>SUM(M6:M66)</f>
        <v>7776220</v>
      </c>
      <c r="N67" s="196">
        <f t="shared" si="16"/>
        <v>5952150</v>
      </c>
      <c r="O67" s="196">
        <f t="shared" si="16"/>
        <v>369000</v>
      </c>
      <c r="P67" s="196">
        <f t="shared" si="16"/>
        <v>7846083.1200000001</v>
      </c>
      <c r="Q67" s="196">
        <f t="shared" si="16"/>
        <v>2524245</v>
      </c>
      <c r="R67" s="196">
        <f t="shared" si="16"/>
        <v>4507711</v>
      </c>
      <c r="S67" s="196">
        <f t="shared" si="16"/>
        <v>3627750</v>
      </c>
      <c r="T67" s="196">
        <f t="shared" si="16"/>
        <v>12811150</v>
      </c>
      <c r="U67" s="196">
        <f t="shared" si="16"/>
        <v>7790719</v>
      </c>
      <c r="V67" s="196">
        <f t="shared" si="16"/>
        <v>300000</v>
      </c>
      <c r="W67" s="196">
        <f t="shared" si="16"/>
        <v>0</v>
      </c>
      <c r="X67" s="196">
        <f t="shared" si="16"/>
        <v>1380500</v>
      </c>
      <c r="Y67" s="196">
        <f t="shared" si="16"/>
        <v>-473637</v>
      </c>
      <c r="Z67" s="196">
        <f t="shared" si="16"/>
        <v>0</v>
      </c>
      <c r="AA67" s="196">
        <f t="shared" si="16"/>
        <v>0</v>
      </c>
      <c r="AB67" s="196">
        <f t="shared" si="16"/>
        <v>-5828999.8400000017</v>
      </c>
      <c r="AC67" s="196">
        <f t="shared" si="16"/>
        <v>0</v>
      </c>
      <c r="AD67" s="196">
        <f t="shared" si="16"/>
        <v>19255000</v>
      </c>
      <c r="AE67" s="196">
        <f t="shared" si="16"/>
        <v>262484262</v>
      </c>
      <c r="AF67" s="196">
        <f t="shared" si="16"/>
        <v>3.0000000000000002E-2</v>
      </c>
      <c r="AG67" s="196">
        <f t="shared" si="16"/>
        <v>182163</v>
      </c>
      <c r="AH67" s="196">
        <f t="shared" si="16"/>
        <v>27917</v>
      </c>
      <c r="AI67" s="196">
        <f t="shared" si="16"/>
        <v>154246</v>
      </c>
      <c r="AJ67" s="196">
        <f t="shared" si="16"/>
        <v>0</v>
      </c>
      <c r="AK67" s="196">
        <f t="shared" si="16"/>
        <v>138683</v>
      </c>
      <c r="AL67" s="196">
        <f t="shared" si="16"/>
        <v>0</v>
      </c>
      <c r="AM67" s="196">
        <f t="shared" si="16"/>
        <v>-138683</v>
      </c>
      <c r="AN67" s="196">
        <f t="shared" si="16"/>
        <v>0</v>
      </c>
      <c r="AO67" s="196">
        <f t="shared" si="16"/>
        <v>15563</v>
      </c>
      <c r="AQ67" s="202">
        <f>SUM(AQ6:AQ66)</f>
        <v>233831665.98000005</v>
      </c>
      <c r="AR67" s="202">
        <f>SUM(AR6:AR66)</f>
        <v>9397630</v>
      </c>
      <c r="AS67" s="202">
        <f>SUM(AS6:AS66)</f>
        <v>243229295.98000005</v>
      </c>
      <c r="AT67" s="202">
        <f>SUM(AT6:AT66)</f>
        <v>-19254966.019999992</v>
      </c>
    </row>
    <row r="68" spans="2:63" ht="15" customHeight="1">
      <c r="AL68" s="143">
        <f>+'[5]PPH21-STAFF'!$T$215</f>
        <v>4628793.8715650011</v>
      </c>
      <c r="AS68" s="217"/>
    </row>
    <row r="69" spans="2:63" ht="1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63" ht="1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63" ht="1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63" ht="1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63" s="33" customFormat="1" ht="15" hidden="1" customHeight="1">
      <c r="B73" s="27" t="s">
        <v>57</v>
      </c>
      <c r="C73" s="28"/>
      <c r="D73" s="232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90"/>
      <c r="AI73" s="90"/>
      <c r="AJ73" s="90"/>
      <c r="AK73" s="28"/>
      <c r="AL73" s="143"/>
      <c r="AM73" s="27"/>
      <c r="AN73" s="27"/>
      <c r="AO73" s="27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</row>
    <row r="74" spans="2:63" s="33" customFormat="1" ht="15" hidden="1" customHeight="1">
      <c r="B74" s="27" t="s">
        <v>50</v>
      </c>
      <c r="C74" s="28"/>
      <c r="D74" s="232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90"/>
      <c r="AI74" s="90"/>
      <c r="AJ74" s="90"/>
      <c r="AK74" s="28"/>
      <c r="AL74" s="143"/>
      <c r="AM74" s="27"/>
      <c r="AN74" s="27"/>
      <c r="AO74" s="27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</row>
    <row r="75" spans="2:63" s="33" customFormat="1" ht="15" hidden="1" customHeight="1">
      <c r="B75" s="27" t="s">
        <v>51</v>
      </c>
      <c r="C75" s="28"/>
      <c r="D75" s="232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90"/>
      <c r="AI75" s="90"/>
      <c r="AJ75" s="90"/>
      <c r="AK75" s="28"/>
      <c r="AL75" s="143"/>
      <c r="AM75" s="27"/>
      <c r="AN75" s="27"/>
      <c r="AO75" s="27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</row>
    <row r="76" spans="2:63" s="33" customFormat="1" ht="15" hidden="1" customHeight="1">
      <c r="B76" s="27" t="s">
        <v>52</v>
      </c>
      <c r="C76" s="28"/>
      <c r="D76" s="232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90"/>
      <c r="AI76" s="90"/>
      <c r="AJ76" s="90"/>
      <c r="AK76" s="28"/>
      <c r="AL76" s="143"/>
      <c r="AM76" s="27"/>
      <c r="AN76" s="27"/>
      <c r="AO76" s="27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</row>
    <row r="77" spans="2:63" s="33" customFormat="1" ht="15" hidden="1" customHeight="1">
      <c r="B77" s="27" t="s">
        <v>58</v>
      </c>
      <c r="C77" s="28"/>
      <c r="D77" s="232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90"/>
      <c r="AI77" s="90"/>
      <c r="AJ77" s="90"/>
      <c r="AK77" s="28"/>
      <c r="AL77" s="143"/>
      <c r="AM77" s="27"/>
      <c r="AN77" s="27"/>
      <c r="AO77" s="27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</row>
    <row r="78" spans="2:63" s="33" customFormat="1" ht="15" hidden="1" customHeight="1">
      <c r="B78" s="27" t="s">
        <v>59</v>
      </c>
      <c r="C78" s="28"/>
      <c r="D78" s="232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90"/>
      <c r="AI78" s="90"/>
      <c r="AJ78" s="90"/>
      <c r="AK78" s="28"/>
      <c r="AL78" s="143"/>
      <c r="AM78" s="27"/>
      <c r="AN78" s="27"/>
      <c r="AO78" s="27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</row>
    <row r="79" spans="2:63" s="33" customFormat="1" ht="15" hidden="1" customHeight="1">
      <c r="B79" s="27" t="s">
        <v>65</v>
      </c>
      <c r="C79" s="28"/>
      <c r="D79" s="232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90"/>
      <c r="AI79" s="90"/>
      <c r="AJ79" s="90"/>
      <c r="AK79" s="28"/>
      <c r="AL79" s="143"/>
      <c r="AM79" s="27"/>
      <c r="AN79" s="27"/>
      <c r="AO79" s="27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</row>
    <row r="80" spans="2:63" s="33" customFormat="1" ht="15" hidden="1" customHeight="1">
      <c r="B80" s="27"/>
      <c r="C80" s="28"/>
      <c r="D80" s="232"/>
      <c r="E80" s="30"/>
      <c r="F80" s="28"/>
      <c r="G80" s="31"/>
      <c r="H80" s="32"/>
      <c r="I80" s="32"/>
      <c r="J80" s="32"/>
      <c r="K80" s="28"/>
      <c r="L80" s="28"/>
      <c r="M80" s="62"/>
      <c r="N80" s="62"/>
      <c r="O80" s="62"/>
      <c r="P80" s="62"/>
      <c r="Q80" s="62"/>
      <c r="R80" s="62"/>
      <c r="S80" s="62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90"/>
      <c r="AG80" s="90"/>
      <c r="AH80" s="90"/>
      <c r="AI80" s="90"/>
      <c r="AJ80" s="90"/>
      <c r="AK80" s="28"/>
      <c r="AL80" s="143"/>
      <c r="AM80" s="27"/>
      <c r="AN80" s="27"/>
      <c r="AO80" s="27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</row>
    <row r="81" spans="2:63" s="33" customFormat="1" ht="15" hidden="1" customHeight="1">
      <c r="B81" s="27"/>
      <c r="C81" s="28"/>
      <c r="D81" s="232"/>
      <c r="E81" s="30"/>
      <c r="F81" s="28"/>
      <c r="G81" s="31"/>
      <c r="H81" s="32"/>
      <c r="I81" s="32"/>
      <c r="J81" s="32"/>
      <c r="K81" s="28"/>
      <c r="L81" s="28"/>
      <c r="M81" s="62"/>
      <c r="N81" s="62"/>
      <c r="O81" s="62"/>
      <c r="P81" s="62"/>
      <c r="Q81" s="62"/>
      <c r="R81" s="62"/>
      <c r="S81" s="62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90"/>
      <c r="AG81" s="90"/>
      <c r="AH81" s="90"/>
      <c r="AI81" s="90"/>
      <c r="AJ81" s="90"/>
      <c r="AK81" s="28"/>
      <c r="AL81" s="143"/>
      <c r="AM81" s="27"/>
      <c r="AN81" s="27"/>
      <c r="AO81" s="27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</row>
    <row r="82" spans="2:63" s="33" customFormat="1" ht="11.25" customHeight="1">
      <c r="B82" s="27"/>
      <c r="C82" s="28"/>
      <c r="D82" s="232"/>
      <c r="E82" s="30"/>
      <c r="F82" s="28"/>
      <c r="G82" s="31"/>
      <c r="H82" s="32"/>
      <c r="I82" s="32"/>
      <c r="J82" s="32"/>
      <c r="K82" s="232" t="s">
        <v>324</v>
      </c>
      <c r="L82" s="28"/>
      <c r="M82" s="62"/>
      <c r="N82" s="62"/>
      <c r="O82" s="62"/>
      <c r="P82" s="62"/>
      <c r="Q82" s="62"/>
      <c r="R82" s="62"/>
      <c r="S82" s="62"/>
      <c r="T82" s="28"/>
      <c r="U82" s="28"/>
      <c r="V82" s="28"/>
      <c r="W82" s="28"/>
      <c r="X82" s="28"/>
      <c r="Y82" s="28"/>
      <c r="Z82" s="28"/>
      <c r="AA82" s="28"/>
      <c r="AB82" s="457" t="s">
        <v>321</v>
      </c>
      <c r="AC82" s="457"/>
      <c r="AD82" s="457"/>
      <c r="AE82" s="457"/>
      <c r="AF82" s="90"/>
      <c r="AG82" s="90"/>
      <c r="AH82" s="90"/>
      <c r="AI82" s="90"/>
      <c r="AJ82" s="90"/>
      <c r="AK82" s="28"/>
      <c r="AL82" s="143"/>
      <c r="AM82" s="27"/>
      <c r="AN82" s="27"/>
      <c r="AO82" s="27"/>
      <c r="AP82" s="60"/>
      <c r="AQ82" s="60"/>
      <c r="AR82" s="60"/>
      <c r="AS82" s="216">
        <f>AC67+AS67</f>
        <v>243229295.98000005</v>
      </c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</row>
    <row r="83" spans="2:63" ht="11.25" customHeight="1">
      <c r="AT83" s="216"/>
    </row>
    <row r="84" spans="2:63" ht="11.25" customHeight="1">
      <c r="AS84" s="216">
        <f>AS67-AT85</f>
        <v>262484262</v>
      </c>
      <c r="AT84" s="216"/>
    </row>
    <row r="85" spans="2:63" ht="11.25" customHeight="1">
      <c r="K85" s="233" t="s">
        <v>325</v>
      </c>
      <c r="AB85" s="458" t="s">
        <v>322</v>
      </c>
      <c r="AC85" s="458"/>
      <c r="AD85" s="458"/>
      <c r="AE85" s="458"/>
      <c r="AT85" s="216">
        <f>AS82-AE67</f>
        <v>-19254966.019999951</v>
      </c>
    </row>
    <row r="86" spans="2:63">
      <c r="K86" s="232" t="s">
        <v>326</v>
      </c>
      <c r="AB86" s="457" t="s">
        <v>323</v>
      </c>
      <c r="AC86" s="457"/>
      <c r="AD86" s="457"/>
      <c r="AE86" s="457"/>
    </row>
  </sheetData>
  <mergeCells count="3">
    <mergeCell ref="AB82:AE82"/>
    <mergeCell ref="AB85:AE85"/>
    <mergeCell ref="AB86:AE86"/>
  </mergeCells>
  <conditionalFormatting sqref="AN6:AO66">
    <cfRule type="containsText" dxfId="1" priority="1" operator="containsText" text="KURANG POT">
      <formula>NOT(ISERROR(SEARCH("KURANG POT",AN6)))</formula>
    </cfRule>
  </conditionalFormatting>
  <dataValidations disablePrompts="1" count="2">
    <dataValidation type="list" allowBlank="1" showInputMessage="1" showErrorMessage="1" sqref="H6:H66">
      <formula1>"L,P"</formula1>
    </dataValidation>
    <dataValidation type="list" allowBlank="1" showInputMessage="1" showErrorMessage="1" sqref="I6:I66">
      <formula1>"TK/0,TK/1,TK/2,TK/3,K/0,K/1,K/2,K/3"</formula1>
    </dataValidation>
  </dataValidations>
  <pageMargins left="0.11811023622047245" right="0.11811023622047245" top="0" bottom="0.39370078740157483" header="0.31496062992125984" footer="0.31496062992125984"/>
  <pageSetup paperSize="9" scale="43" orientation="landscape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84"/>
  <sheetViews>
    <sheetView zoomScaleNormal="100" zoomScaleSheetLayoutView="100" workbookViewId="0">
      <pane xSplit="3" topLeftCell="S1" activePane="topRight" state="frozen"/>
      <selection pane="topRight" activeCell="AE17" sqref="AE17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40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14" width="9.85546875" style="28" customWidth="1"/>
    <col min="15" max="15" width="8.7109375" style="28" customWidth="1"/>
    <col min="16" max="16" width="10.140625" style="28" customWidth="1"/>
    <col min="17" max="17" width="9.85546875" style="28" customWidth="1"/>
    <col min="18" max="18" width="10.140625" style="28" customWidth="1"/>
    <col min="19" max="19" width="10" style="28" customWidth="1"/>
    <col min="20" max="20" width="10.7109375" style="28" customWidth="1"/>
    <col min="21" max="21" width="9.85546875" style="28" customWidth="1"/>
    <col min="22" max="22" width="9.7109375" style="28" customWidth="1"/>
    <col min="23" max="23" width="9.7109375" style="28" hidden="1" customWidth="1"/>
    <col min="24" max="24" width="10.140625" style="28" customWidth="1"/>
    <col min="25" max="25" width="9" style="28" customWidth="1"/>
    <col min="26" max="27" width="12.7109375" style="28" hidden="1" customWidth="1"/>
    <col min="28" max="28" width="10.5703125" style="28" customWidth="1"/>
    <col min="29" max="29" width="11.7109375" style="28" hidden="1" customWidth="1"/>
    <col min="30" max="30" width="10.85546875" style="28" customWidth="1"/>
    <col min="31" max="31" width="12" style="28" customWidth="1" collapsed="1"/>
    <col min="32" max="32" width="7.7109375" style="90" customWidth="1"/>
    <col min="33" max="33" width="10.57031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.5703125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340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40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37" t="s">
        <v>64</v>
      </c>
      <c r="C5" s="237" t="s">
        <v>25</v>
      </c>
      <c r="D5" s="238" t="s">
        <v>26</v>
      </c>
      <c r="E5" s="239" t="s">
        <v>27</v>
      </c>
      <c r="F5" s="237" t="s">
        <v>28</v>
      </c>
      <c r="G5" s="236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35" t="s">
        <v>68</v>
      </c>
      <c r="M5" s="235" t="s">
        <v>69</v>
      </c>
      <c r="N5" s="235" t="s">
        <v>80</v>
      </c>
      <c r="O5" s="235" t="s">
        <v>81</v>
      </c>
      <c r="P5" s="235" t="s">
        <v>84</v>
      </c>
      <c r="Q5" s="145" t="s">
        <v>319</v>
      </c>
      <c r="R5" s="235" t="s">
        <v>309</v>
      </c>
      <c r="S5" s="235" t="s">
        <v>310</v>
      </c>
      <c r="T5" s="235" t="s">
        <v>320</v>
      </c>
      <c r="U5" s="235" t="s">
        <v>315</v>
      </c>
      <c r="V5" s="235" t="s">
        <v>311</v>
      </c>
      <c r="W5" s="235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18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31*122333.33</f>
        <v>3792333.23</v>
      </c>
      <c r="L6" s="168">
        <f>3670000*0.84%</f>
        <v>30827.999999999996</v>
      </c>
      <c r="M6" s="168">
        <f>[9]MAINTENANCE!$AK10</f>
        <v>148680</v>
      </c>
      <c r="N6" s="168">
        <f>[9]MAINTENANCE!$W10</f>
        <v>167400</v>
      </c>
      <c r="O6" s="168">
        <f>[9]MAINTENANCE!$Z10</f>
        <v>72000</v>
      </c>
      <c r="P6" s="168">
        <f>[9]MAINTENANCE!$AE10</f>
        <v>286387.28999999998</v>
      </c>
      <c r="Q6" s="169"/>
      <c r="R6" s="168"/>
      <c r="S6" s="168"/>
      <c r="T6" s="168"/>
      <c r="U6" s="168"/>
      <c r="V6" s="168"/>
      <c r="W6" s="168"/>
      <c r="X6" s="168">
        <f>[9]MAINTENANCE!$AB10</f>
        <v>47000</v>
      </c>
      <c r="Y6" s="169"/>
      <c r="Z6" s="169"/>
      <c r="AA6" s="169"/>
      <c r="AB6" s="168">
        <f>-[9]MAINTENANCE!$BA10</f>
        <v>0</v>
      </c>
      <c r="AC6" s="168"/>
      <c r="AD6" s="168">
        <f>'[8] PRWTN'!$F9</f>
        <v>540000</v>
      </c>
      <c r="AE6" s="170">
        <f>ROUNDDOWN(SUM(K6:AD6),0)</f>
        <v>5084628</v>
      </c>
      <c r="AF6" s="171">
        <f t="shared" ref="AF6:AF37" si="0">IF(J6="TER A",VLOOKUP(AE6,Ter_A,4,TRUE),IF(J6="TER B",VLOOKUP(AE6,Ter_B,4,TRUE),VLOOKUP(AE6,Ter_C,4,TRUE)))</f>
        <v>0</v>
      </c>
      <c r="AG6" s="94">
        <f>ROUNDDOWN(IF(K6=0,AE6*AF6*120%,AE6*AF6),0)</f>
        <v>0</v>
      </c>
      <c r="AI6" s="199">
        <f>[9]MAINTENANCE!$AF10</f>
        <v>4365120.5199999996</v>
      </c>
      <c r="AJ6" s="200">
        <f t="shared" ref="AJ6:AJ37" si="1">L6+M6</f>
        <v>179508</v>
      </c>
      <c r="AK6" s="199">
        <f>AI6+AJ6+AD6</f>
        <v>5084628.5199999996</v>
      </c>
      <c r="AL6" s="201">
        <f t="shared" ref="AL6:AL37" si="2">AK6-AE6</f>
        <v>0.51999999955296516</v>
      </c>
    </row>
    <row r="7" spans="2:40" s="173" customFormat="1" ht="18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3">IF(ISBLANK(I7),"",IF(OR(I7="TK/0",I7="TK/1",I7="K/0"),"TER A",IF(I7="K/3","TER C","TER B")))</f>
        <v>TER A</v>
      </c>
      <c r="K7" s="182">
        <f>31*121333.33</f>
        <v>3761333.23</v>
      </c>
      <c r="L7" s="169">
        <f>3640000*0.84%</f>
        <v>30575.999999999996</v>
      </c>
      <c r="M7" s="189">
        <f>[9]MAINTENANCE!$AK11</f>
        <v>146680</v>
      </c>
      <c r="N7" s="189">
        <f>[9]MAINTENANCE!$W11</f>
        <v>69750</v>
      </c>
      <c r="O7" s="189"/>
      <c r="P7" s="189"/>
      <c r="Q7" s="169"/>
      <c r="R7" s="169"/>
      <c r="S7" s="169"/>
      <c r="T7" s="169"/>
      <c r="U7" s="169"/>
      <c r="V7" s="169"/>
      <c r="W7" s="169"/>
      <c r="X7" s="189">
        <f>[9]MAINTENANCE!$AB11</f>
        <v>27000</v>
      </c>
      <c r="Y7" s="169"/>
      <c r="Z7" s="169"/>
      <c r="AA7" s="169"/>
      <c r="AB7" s="189">
        <f>-[9]MAINTENANCE!$BA11</f>
        <v>0</v>
      </c>
      <c r="AC7" s="189"/>
      <c r="AD7" s="189">
        <f>'[8] PRWTN'!$F10</f>
        <v>490000</v>
      </c>
      <c r="AE7" s="183">
        <f>ROUNDDOWN(SUM(K7:AD7),0)</f>
        <v>4525339</v>
      </c>
      <c r="AF7" s="184">
        <f t="shared" si="0"/>
        <v>0</v>
      </c>
      <c r="AG7" s="95">
        <f t="shared" ref="AG7:AG66" si="4">ROUNDDOWN(IF(K7=0,AE7*AF7*120%,AE7*AF7),0)</f>
        <v>0</v>
      </c>
      <c r="AI7" s="199">
        <f>[9]MAINTENANCE!$AF11</f>
        <v>3858083.2300000004</v>
      </c>
      <c r="AJ7" s="200">
        <f t="shared" si="1"/>
        <v>177256</v>
      </c>
      <c r="AK7" s="199">
        <f t="shared" ref="AK7:AK66" si="5">AI7+AJ7+AD7</f>
        <v>4525339.2300000004</v>
      </c>
      <c r="AL7" s="201">
        <f t="shared" si="2"/>
        <v>0.23000000044703484</v>
      </c>
    </row>
    <row r="8" spans="2:40" s="173" customFormat="1" ht="18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3"/>
        <v>TER A</v>
      </c>
      <c r="K8" s="182">
        <f t="shared" ref="K8:K27" si="6">31*121333.33</f>
        <v>3761333.23</v>
      </c>
      <c r="L8" s="169">
        <f t="shared" ref="L8:L66" si="7">3640000*0.84%</f>
        <v>30575.999999999996</v>
      </c>
      <c r="M8" s="189">
        <f>[9]MAINTENANCE!$AK12</f>
        <v>146800</v>
      </c>
      <c r="N8" s="189">
        <f>[9]MAINTENANCE!$W12</f>
        <v>69750</v>
      </c>
      <c r="O8" s="189"/>
      <c r="P8" s="189"/>
      <c r="Q8" s="169"/>
      <c r="R8" s="169"/>
      <c r="S8" s="169"/>
      <c r="T8" s="169"/>
      <c r="U8" s="169"/>
      <c r="V8" s="169"/>
      <c r="W8" s="169"/>
      <c r="X8" s="189">
        <f>[9]MAINTENANCE!$AB12</f>
        <v>30000</v>
      </c>
      <c r="Y8" s="169"/>
      <c r="Z8" s="169"/>
      <c r="AA8" s="169"/>
      <c r="AB8" s="189">
        <f>-[9]MAINTENANCE!$BA12</f>
        <v>0</v>
      </c>
      <c r="AC8" s="189"/>
      <c r="AD8" s="189">
        <f>'[8] PRWTN'!$F11</f>
        <v>280000</v>
      </c>
      <c r="AE8" s="183">
        <f>ROUNDDOWN(SUM(K8:AD8),0)</f>
        <v>4318459</v>
      </c>
      <c r="AF8" s="184">
        <f t="shared" si="0"/>
        <v>0</v>
      </c>
      <c r="AG8" s="95">
        <f t="shared" si="4"/>
        <v>0</v>
      </c>
      <c r="AI8" s="199">
        <f>[9]MAINTENANCE!$AF12</f>
        <v>3861083.2300000004</v>
      </c>
      <c r="AJ8" s="200">
        <f t="shared" si="1"/>
        <v>177376</v>
      </c>
      <c r="AK8" s="199">
        <f t="shared" si="5"/>
        <v>4318459.2300000004</v>
      </c>
      <c r="AL8" s="201">
        <f t="shared" si="2"/>
        <v>0.23000000044703484</v>
      </c>
      <c r="AN8" s="200">
        <f>AB8+AL8</f>
        <v>0.23000000044703484</v>
      </c>
    </row>
    <row r="9" spans="2:40" s="173" customFormat="1" ht="18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3"/>
        <v>TER A</v>
      </c>
      <c r="K9" s="182">
        <f t="shared" si="6"/>
        <v>3761333.23</v>
      </c>
      <c r="L9" s="169">
        <f t="shared" si="7"/>
        <v>30575.999999999996</v>
      </c>
      <c r="M9" s="189">
        <f>[9]MAINTENANCE!$AK13</f>
        <v>147480</v>
      </c>
      <c r="N9" s="189">
        <f>[9]MAINTENANCE!$W13</f>
        <v>65250</v>
      </c>
      <c r="O9" s="189"/>
      <c r="P9" s="189"/>
      <c r="Q9" s="169"/>
      <c r="R9" s="169"/>
      <c r="S9" s="169"/>
      <c r="T9" s="169"/>
      <c r="U9" s="169"/>
      <c r="V9" s="169"/>
      <c r="W9" s="169"/>
      <c r="X9" s="189">
        <f>[9]MAINTENANCE!$AB13</f>
        <v>47000</v>
      </c>
      <c r="Y9" s="169"/>
      <c r="Z9" s="169"/>
      <c r="AA9" s="169"/>
      <c r="AB9" s="189">
        <f>-[9]MAINTENANCE!$BA13</f>
        <v>-242666.66</v>
      </c>
      <c r="AC9" s="189"/>
      <c r="AD9" s="189">
        <f>'[8] PRWTN'!$F12</f>
        <v>280000</v>
      </c>
      <c r="AE9" s="183">
        <f t="shared" ref="AE9:AE65" si="8">ROUNDDOWN(SUM(K9:AD9),0)</f>
        <v>4088972</v>
      </c>
      <c r="AF9" s="184">
        <f t="shared" si="0"/>
        <v>0</v>
      </c>
      <c r="AG9" s="95">
        <f t="shared" si="4"/>
        <v>0</v>
      </c>
      <c r="AI9" s="199">
        <f>[9]MAINTENANCE!$AF13</f>
        <v>3630916.5700000003</v>
      </c>
      <c r="AJ9" s="200">
        <f t="shared" si="1"/>
        <v>178056</v>
      </c>
      <c r="AK9" s="199">
        <f t="shared" si="5"/>
        <v>4088972.5700000003</v>
      </c>
      <c r="AL9" s="201">
        <f t="shared" si="2"/>
        <v>0.57000000029802322</v>
      </c>
      <c r="AN9" s="200">
        <f>AB9+AL9</f>
        <v>-242666.08999999971</v>
      </c>
    </row>
    <row r="10" spans="2:40" s="173" customFormat="1" ht="18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3"/>
        <v>TER A</v>
      </c>
      <c r="K10" s="182">
        <f t="shared" si="6"/>
        <v>3761333.23</v>
      </c>
      <c r="L10" s="169">
        <f t="shared" si="7"/>
        <v>30575.999999999996</v>
      </c>
      <c r="M10" s="189">
        <f>[9]MAINTENANCE!$AK14</f>
        <v>146800</v>
      </c>
      <c r="N10" s="189">
        <f>[9]MAINTENANCE!$W14</f>
        <v>67500</v>
      </c>
      <c r="O10" s="189"/>
      <c r="P10" s="189"/>
      <c r="Q10" s="169"/>
      <c r="R10" s="169"/>
      <c r="S10" s="169"/>
      <c r="T10" s="169"/>
      <c r="U10" s="169"/>
      <c r="V10" s="169"/>
      <c r="W10" s="169"/>
      <c r="X10" s="189">
        <f>[9]MAINTENANCE!$AB14</f>
        <v>30000</v>
      </c>
      <c r="Y10" s="169"/>
      <c r="Z10" s="169"/>
      <c r="AA10" s="169"/>
      <c r="AB10" s="189">
        <f>-[9]MAINTENANCE!$BA14</f>
        <v>-121333.33</v>
      </c>
      <c r="AC10" s="189"/>
      <c r="AD10" s="189">
        <f>'[8] PRWTN'!$F13</f>
        <v>280000</v>
      </c>
      <c r="AE10" s="183">
        <f t="shared" si="8"/>
        <v>4194875</v>
      </c>
      <c r="AF10" s="184">
        <f t="shared" si="0"/>
        <v>0</v>
      </c>
      <c r="AG10" s="95">
        <f t="shared" si="4"/>
        <v>0</v>
      </c>
      <c r="AI10" s="199">
        <f>[9]MAINTENANCE!$AF14</f>
        <v>3737499.9000000004</v>
      </c>
      <c r="AJ10" s="200">
        <f t="shared" si="1"/>
        <v>177376</v>
      </c>
      <c r="AK10" s="199">
        <f t="shared" si="5"/>
        <v>4194875.9000000004</v>
      </c>
      <c r="AL10" s="201">
        <f t="shared" si="2"/>
        <v>0.90000000037252903</v>
      </c>
    </row>
    <row r="11" spans="2:40" s="173" customFormat="1" ht="18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3"/>
        <v>TER A</v>
      </c>
      <c r="K11" s="182">
        <f t="shared" si="6"/>
        <v>3761333.23</v>
      </c>
      <c r="L11" s="169">
        <f t="shared" si="7"/>
        <v>30575.999999999996</v>
      </c>
      <c r="M11" s="189">
        <f>[9]MAINTENANCE!$AK15</f>
        <v>147340</v>
      </c>
      <c r="N11" s="189">
        <f>[9]MAINTENANCE!$W15</f>
        <v>69750</v>
      </c>
      <c r="O11" s="189"/>
      <c r="P11" s="189"/>
      <c r="Q11" s="169"/>
      <c r="R11" s="169"/>
      <c r="S11" s="169"/>
      <c r="T11" s="169"/>
      <c r="U11" s="169"/>
      <c r="V11" s="169"/>
      <c r="W11" s="169"/>
      <c r="X11" s="189">
        <f>[9]MAINTENANCE!$AB15</f>
        <v>43500</v>
      </c>
      <c r="Y11" s="169"/>
      <c r="Z11" s="169"/>
      <c r="AA11" s="169"/>
      <c r="AB11" s="189">
        <f>-[9]MAINTENANCE!$BA15</f>
        <v>0</v>
      </c>
      <c r="AC11" s="189"/>
      <c r="AD11" s="189">
        <f>'[8] PRWTN'!$F14</f>
        <v>280000</v>
      </c>
      <c r="AE11" s="183">
        <f t="shared" si="8"/>
        <v>4332499</v>
      </c>
      <c r="AF11" s="184">
        <f t="shared" si="0"/>
        <v>0</v>
      </c>
      <c r="AG11" s="95">
        <f t="shared" si="4"/>
        <v>0</v>
      </c>
      <c r="AI11" s="199">
        <f>[9]MAINTENANCE!$AF15</f>
        <v>3874583.2300000004</v>
      </c>
      <c r="AJ11" s="200">
        <f t="shared" si="1"/>
        <v>177916</v>
      </c>
      <c r="AK11" s="199">
        <f t="shared" si="5"/>
        <v>4332499.2300000004</v>
      </c>
      <c r="AL11" s="201">
        <f t="shared" si="2"/>
        <v>0.23000000044703484</v>
      </c>
    </row>
    <row r="12" spans="2:40" s="173" customFormat="1" ht="18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3"/>
        <v>TER A</v>
      </c>
      <c r="K12" s="182">
        <f t="shared" si="6"/>
        <v>3761333.23</v>
      </c>
      <c r="L12" s="169">
        <f t="shared" si="7"/>
        <v>30575.999999999996</v>
      </c>
      <c r="M12" s="189">
        <f>[9]MAINTENANCE!$AK16</f>
        <v>147480</v>
      </c>
      <c r="N12" s="189">
        <f>[9]MAINTENANCE!$W16</f>
        <v>69750</v>
      </c>
      <c r="O12" s="189"/>
      <c r="P12" s="189"/>
      <c r="Q12" s="169"/>
      <c r="R12" s="169"/>
      <c r="S12" s="169"/>
      <c r="T12" s="169"/>
      <c r="U12" s="169"/>
      <c r="V12" s="169"/>
      <c r="W12" s="169"/>
      <c r="X12" s="189">
        <f>[9]MAINTENANCE!$AB16</f>
        <v>47000</v>
      </c>
      <c r="Y12" s="169"/>
      <c r="Z12" s="169"/>
      <c r="AA12" s="169"/>
      <c r="AB12" s="189">
        <f>-[9]MAINTENANCE!$BA16</f>
        <v>0</v>
      </c>
      <c r="AC12" s="189"/>
      <c r="AD12" s="189">
        <f>'[8] PRWTN'!$F15</f>
        <v>490000</v>
      </c>
      <c r="AE12" s="183">
        <f t="shared" si="8"/>
        <v>4546139</v>
      </c>
      <c r="AF12" s="184">
        <f t="shared" si="0"/>
        <v>0</v>
      </c>
      <c r="AG12" s="95">
        <f t="shared" si="4"/>
        <v>0</v>
      </c>
      <c r="AI12" s="199">
        <f>[9]MAINTENANCE!$AF16</f>
        <v>3878083.2300000004</v>
      </c>
      <c r="AJ12" s="200">
        <f t="shared" si="1"/>
        <v>178056</v>
      </c>
      <c r="AK12" s="199">
        <f t="shared" si="5"/>
        <v>4546139.2300000004</v>
      </c>
      <c r="AL12" s="201">
        <f t="shared" si="2"/>
        <v>0.23000000044703484</v>
      </c>
    </row>
    <row r="13" spans="2:40" s="173" customFormat="1" ht="18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3"/>
        <v>TER A</v>
      </c>
      <c r="K13" s="182">
        <f t="shared" si="6"/>
        <v>3761333.23</v>
      </c>
      <c r="L13" s="169">
        <f t="shared" si="7"/>
        <v>30575.999999999996</v>
      </c>
      <c r="M13" s="189">
        <f>[9]MAINTENANCE!$AK17</f>
        <v>147480</v>
      </c>
      <c r="N13" s="189">
        <f>[9]MAINTENANCE!$W17</f>
        <v>69750</v>
      </c>
      <c r="O13" s="189"/>
      <c r="P13" s="189"/>
      <c r="Q13" s="169"/>
      <c r="R13" s="169"/>
      <c r="S13" s="169"/>
      <c r="T13" s="169"/>
      <c r="U13" s="169"/>
      <c r="V13" s="169"/>
      <c r="W13" s="169"/>
      <c r="X13" s="189">
        <f>[9]MAINTENANCE!$AB17</f>
        <v>47000</v>
      </c>
      <c r="Y13" s="169"/>
      <c r="Z13" s="169"/>
      <c r="AA13" s="169"/>
      <c r="AB13" s="189">
        <f>-[9]MAINTENANCE!$BA17</f>
        <v>0</v>
      </c>
      <c r="AC13" s="189"/>
      <c r="AD13" s="189">
        <f>'[8] PRWTN'!$F16</f>
        <v>490000</v>
      </c>
      <c r="AE13" s="183">
        <f t="shared" si="8"/>
        <v>4546139</v>
      </c>
      <c r="AF13" s="184">
        <f t="shared" si="0"/>
        <v>0</v>
      </c>
      <c r="AG13" s="95">
        <f t="shared" si="4"/>
        <v>0</v>
      </c>
      <c r="AI13" s="199">
        <f>[9]MAINTENANCE!$AF17</f>
        <v>3878083.2300000004</v>
      </c>
      <c r="AJ13" s="200">
        <f t="shared" si="1"/>
        <v>178056</v>
      </c>
      <c r="AK13" s="199">
        <f t="shared" si="5"/>
        <v>4546139.2300000004</v>
      </c>
      <c r="AL13" s="201">
        <f t="shared" si="2"/>
        <v>0.23000000044703484</v>
      </c>
    </row>
    <row r="14" spans="2:40" s="173" customFormat="1" ht="18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3"/>
        <v>TER A</v>
      </c>
      <c r="K14" s="182">
        <f t="shared" si="6"/>
        <v>3761333.23</v>
      </c>
      <c r="L14" s="169">
        <f t="shared" si="7"/>
        <v>30575.999999999996</v>
      </c>
      <c r="M14" s="189">
        <f>[9]MAINTENANCE!$AK18</f>
        <v>147480</v>
      </c>
      <c r="N14" s="189">
        <f>[9]MAINTENANCE!$W18</f>
        <v>69750</v>
      </c>
      <c r="O14" s="189"/>
      <c r="P14" s="189"/>
      <c r="Q14" s="169"/>
      <c r="R14" s="169"/>
      <c r="S14" s="169"/>
      <c r="T14" s="169"/>
      <c r="U14" s="169"/>
      <c r="V14" s="169"/>
      <c r="W14" s="169"/>
      <c r="X14" s="189">
        <f>[9]MAINTENANCE!$AB18</f>
        <v>47000</v>
      </c>
      <c r="Y14" s="169"/>
      <c r="Z14" s="169"/>
      <c r="AA14" s="169"/>
      <c r="AB14" s="189">
        <f>-[9]MAINTENANCE!$BA18</f>
        <v>0</v>
      </c>
      <c r="AC14" s="189"/>
      <c r="AD14" s="189">
        <f>'[8] PRWTN'!$F17</f>
        <v>280000</v>
      </c>
      <c r="AE14" s="183">
        <f t="shared" si="8"/>
        <v>4336139</v>
      </c>
      <c r="AF14" s="184">
        <f t="shared" si="0"/>
        <v>0</v>
      </c>
      <c r="AG14" s="95">
        <f t="shared" si="4"/>
        <v>0</v>
      </c>
      <c r="AI14" s="199">
        <f>[9]MAINTENANCE!$AF18</f>
        <v>3878083.2300000004</v>
      </c>
      <c r="AJ14" s="200">
        <f t="shared" si="1"/>
        <v>178056</v>
      </c>
      <c r="AK14" s="199">
        <f t="shared" si="5"/>
        <v>4336139.2300000004</v>
      </c>
      <c r="AL14" s="201">
        <f t="shared" si="2"/>
        <v>0.23000000044703484</v>
      </c>
    </row>
    <row r="15" spans="2:40" s="173" customFormat="1" ht="18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3"/>
        <v>TER A</v>
      </c>
      <c r="K15" s="182">
        <f t="shared" si="6"/>
        <v>3761333.23</v>
      </c>
      <c r="L15" s="169">
        <f t="shared" si="7"/>
        <v>30575.999999999996</v>
      </c>
      <c r="M15" s="189">
        <f>[9]MAINTENANCE!$AK19</f>
        <v>147620</v>
      </c>
      <c r="N15" s="189">
        <f>[9]MAINTENANCE!$W19</f>
        <v>65250</v>
      </c>
      <c r="O15" s="189"/>
      <c r="P15" s="189"/>
      <c r="Q15" s="169"/>
      <c r="R15" s="169"/>
      <c r="S15" s="169"/>
      <c r="T15" s="169"/>
      <c r="U15" s="169"/>
      <c r="V15" s="169"/>
      <c r="W15" s="169"/>
      <c r="X15" s="189">
        <f>[9]MAINTENANCE!$AB19</f>
        <v>50500</v>
      </c>
      <c r="Y15" s="169"/>
      <c r="Z15" s="169"/>
      <c r="AA15" s="169"/>
      <c r="AB15" s="189">
        <f>-[9]MAINTENANCE!$BA19</f>
        <v>-242666.66</v>
      </c>
      <c r="AC15" s="189"/>
      <c r="AD15" s="189">
        <f>'[8] PRWTN'!$F18</f>
        <v>280000</v>
      </c>
      <c r="AE15" s="183">
        <f t="shared" si="8"/>
        <v>4092612</v>
      </c>
      <c r="AF15" s="184">
        <f t="shared" si="0"/>
        <v>0</v>
      </c>
      <c r="AG15" s="95">
        <f t="shared" si="4"/>
        <v>0</v>
      </c>
      <c r="AI15" s="199">
        <f>[9]MAINTENANCE!$AF19</f>
        <v>3634416.5699999994</v>
      </c>
      <c r="AJ15" s="200">
        <f t="shared" si="1"/>
        <v>178196</v>
      </c>
      <c r="AK15" s="199">
        <f t="shared" si="5"/>
        <v>4092612.5699999994</v>
      </c>
      <c r="AL15" s="201">
        <f t="shared" si="2"/>
        <v>0.56999999936670065</v>
      </c>
    </row>
    <row r="16" spans="2:40" s="173" customFormat="1" ht="18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3"/>
        <v>TER A</v>
      </c>
      <c r="K16" s="182">
        <f t="shared" si="6"/>
        <v>3761333.23</v>
      </c>
      <c r="L16" s="169">
        <f t="shared" si="7"/>
        <v>30575.999999999996</v>
      </c>
      <c r="M16" s="189">
        <f>[9]MAINTENANCE!$AK20</f>
        <v>147480</v>
      </c>
      <c r="N16" s="189">
        <f>[9]MAINTENANCE!$W20</f>
        <v>69750</v>
      </c>
      <c r="O16" s="189"/>
      <c r="P16" s="189"/>
      <c r="Q16" s="169"/>
      <c r="R16" s="169"/>
      <c r="S16" s="169"/>
      <c r="T16" s="169"/>
      <c r="U16" s="169"/>
      <c r="V16" s="169"/>
      <c r="W16" s="169"/>
      <c r="X16" s="189">
        <f>[9]MAINTENANCE!$AB20</f>
        <v>47000</v>
      </c>
      <c r="Y16" s="169"/>
      <c r="Z16" s="169"/>
      <c r="AA16" s="169"/>
      <c r="AB16" s="189">
        <f>-[9]MAINTENANCE!$BA20</f>
        <v>0</v>
      </c>
      <c r="AC16" s="189"/>
      <c r="AD16" s="189">
        <f>'[8] PRWTN'!$F19</f>
        <v>280000</v>
      </c>
      <c r="AE16" s="183">
        <f>ROUNDDOWN(SUM(K16:AD16),0)</f>
        <v>4336139</v>
      </c>
      <c r="AF16" s="184">
        <f t="shared" si="0"/>
        <v>0</v>
      </c>
      <c r="AG16" s="95">
        <f t="shared" si="4"/>
        <v>0</v>
      </c>
      <c r="AI16" s="199">
        <f>[9]MAINTENANCE!$AF20</f>
        <v>3878083.2300000004</v>
      </c>
      <c r="AJ16" s="200">
        <f t="shared" si="1"/>
        <v>178056</v>
      </c>
      <c r="AK16" s="199">
        <f t="shared" si="5"/>
        <v>4336139.2300000004</v>
      </c>
      <c r="AL16" s="201">
        <f t="shared" si="2"/>
        <v>0.23000000044703484</v>
      </c>
    </row>
    <row r="17" spans="2:38" s="173" customFormat="1" ht="18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3"/>
        <v>TER A</v>
      </c>
      <c r="K17" s="182">
        <f t="shared" si="6"/>
        <v>3761333.23</v>
      </c>
      <c r="L17" s="169">
        <f t="shared" si="7"/>
        <v>30575.999999999996</v>
      </c>
      <c r="M17" s="189">
        <f>[9]MAINTENANCE!$AK21</f>
        <v>147340</v>
      </c>
      <c r="N17" s="189">
        <f>[9]MAINTENANCE!$W21</f>
        <v>65250</v>
      </c>
      <c r="O17" s="189"/>
      <c r="P17" s="189"/>
      <c r="Q17" s="169"/>
      <c r="R17" s="169"/>
      <c r="S17" s="169"/>
      <c r="T17" s="169"/>
      <c r="U17" s="169"/>
      <c r="V17" s="169"/>
      <c r="W17" s="169"/>
      <c r="X17" s="189">
        <f>[9]MAINTENANCE!$AB21</f>
        <v>43500</v>
      </c>
      <c r="Y17" s="169"/>
      <c r="Z17" s="169"/>
      <c r="AA17" s="169"/>
      <c r="AB17" s="189">
        <f>-[9]MAINTENANCE!$BA21</f>
        <v>-242666.66</v>
      </c>
      <c r="AC17" s="189"/>
      <c r="AD17" s="189">
        <f>'[8] PRWTN'!$F20</f>
        <v>280000</v>
      </c>
      <c r="AE17" s="183">
        <f t="shared" si="8"/>
        <v>4085332</v>
      </c>
      <c r="AF17" s="184">
        <f t="shared" si="0"/>
        <v>0</v>
      </c>
      <c r="AG17" s="95">
        <f t="shared" si="4"/>
        <v>0</v>
      </c>
      <c r="AI17" s="199">
        <f>[9]MAINTENANCE!$AF21</f>
        <v>3627416.5700000003</v>
      </c>
      <c r="AJ17" s="200">
        <f t="shared" si="1"/>
        <v>177916</v>
      </c>
      <c r="AK17" s="199">
        <f t="shared" si="5"/>
        <v>4085332.5700000003</v>
      </c>
      <c r="AL17" s="201">
        <f t="shared" si="2"/>
        <v>0.57000000029802322</v>
      </c>
    </row>
    <row r="18" spans="2:38" s="173" customFormat="1" ht="18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3"/>
        <v>TER A</v>
      </c>
      <c r="K18" s="182">
        <f t="shared" si="6"/>
        <v>3761333.23</v>
      </c>
      <c r="L18" s="169">
        <f t="shared" si="7"/>
        <v>30575.999999999996</v>
      </c>
      <c r="M18" s="189">
        <f>[9]MAINTENANCE!$AK22</f>
        <v>147340</v>
      </c>
      <c r="N18" s="189">
        <f>[9]MAINTENANCE!$W22</f>
        <v>69750</v>
      </c>
      <c r="O18" s="189"/>
      <c r="P18" s="189"/>
      <c r="Q18" s="169"/>
      <c r="R18" s="169"/>
      <c r="S18" s="169">
        <f>[9]MAINTENANCE!$AD22</f>
        <v>1050</v>
      </c>
      <c r="T18" s="169"/>
      <c r="U18" s="169"/>
      <c r="V18" s="169"/>
      <c r="W18" s="169"/>
      <c r="X18" s="189">
        <f>[9]MAINTENANCE!$AB22</f>
        <v>43500</v>
      </c>
      <c r="Y18" s="169"/>
      <c r="Z18" s="169"/>
      <c r="AA18" s="169"/>
      <c r="AB18" s="189">
        <f>-[9]MAINTENANCE!$BA22</f>
        <v>0</v>
      </c>
      <c r="AC18" s="189"/>
      <c r="AD18" s="189">
        <f>'[8] PRWTN'!$F21</f>
        <v>280000</v>
      </c>
      <c r="AE18" s="183">
        <f t="shared" si="8"/>
        <v>4333549</v>
      </c>
      <c r="AF18" s="184">
        <f t="shared" si="0"/>
        <v>0</v>
      </c>
      <c r="AG18" s="95">
        <f t="shared" si="4"/>
        <v>0</v>
      </c>
      <c r="AI18" s="199">
        <f>[9]MAINTENANCE!$AF22</f>
        <v>3875633.2300000004</v>
      </c>
      <c r="AJ18" s="200">
        <f t="shared" si="1"/>
        <v>177916</v>
      </c>
      <c r="AK18" s="199">
        <f t="shared" si="5"/>
        <v>4333549.2300000004</v>
      </c>
      <c r="AL18" s="201">
        <f t="shared" si="2"/>
        <v>0.23000000044703484</v>
      </c>
    </row>
    <row r="19" spans="2:38" s="173" customFormat="1" ht="18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3"/>
        <v>TER A</v>
      </c>
      <c r="K19" s="182">
        <f t="shared" si="6"/>
        <v>3761333.23</v>
      </c>
      <c r="L19" s="169">
        <f t="shared" si="7"/>
        <v>30575.999999999996</v>
      </c>
      <c r="M19" s="189">
        <f>[9]MAINTENANCE!$AK23</f>
        <v>146920</v>
      </c>
      <c r="N19" s="189">
        <f>[9]MAINTENANCE!$W23</f>
        <v>69750</v>
      </c>
      <c r="O19" s="189"/>
      <c r="P19" s="189"/>
      <c r="Q19" s="169"/>
      <c r="R19" s="169"/>
      <c r="S19" s="169"/>
      <c r="T19" s="169"/>
      <c r="U19" s="169"/>
      <c r="V19" s="169"/>
      <c r="W19" s="169"/>
      <c r="X19" s="189">
        <f>[9]MAINTENANCE!$AB23</f>
        <v>33000</v>
      </c>
      <c r="Y19" s="169"/>
      <c r="Z19" s="169"/>
      <c r="AA19" s="169"/>
      <c r="AB19" s="189">
        <f>-[9]MAINTENANCE!$BA23</f>
        <v>0</v>
      </c>
      <c r="AC19" s="189"/>
      <c r="AD19" s="189">
        <f>'[8] PRWTN'!$F22</f>
        <v>280000</v>
      </c>
      <c r="AE19" s="183">
        <f t="shared" si="8"/>
        <v>4321579</v>
      </c>
      <c r="AF19" s="184">
        <f t="shared" si="0"/>
        <v>0</v>
      </c>
      <c r="AG19" s="95">
        <f t="shared" si="4"/>
        <v>0</v>
      </c>
      <c r="AI19" s="199">
        <f>[9]MAINTENANCE!$AF23</f>
        <v>3864083.2300000004</v>
      </c>
      <c r="AJ19" s="200">
        <f t="shared" si="1"/>
        <v>177496</v>
      </c>
      <c r="AK19" s="199">
        <f t="shared" si="5"/>
        <v>4321579.2300000004</v>
      </c>
      <c r="AL19" s="201">
        <f t="shared" si="2"/>
        <v>0.23000000044703484</v>
      </c>
    </row>
    <row r="20" spans="2:38" s="173" customFormat="1" ht="18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3"/>
        <v>TER C</v>
      </c>
      <c r="K20" s="182">
        <f t="shared" si="6"/>
        <v>3761333.23</v>
      </c>
      <c r="L20" s="169">
        <f t="shared" si="7"/>
        <v>30575.999999999996</v>
      </c>
      <c r="M20" s="189">
        <f>[9]MAINTENANCE!$AK24</f>
        <v>147340</v>
      </c>
      <c r="N20" s="189">
        <f>[9]MAINTENANCE!$W24</f>
        <v>139500</v>
      </c>
      <c r="O20" s="189"/>
      <c r="P20" s="189"/>
      <c r="Q20" s="169"/>
      <c r="R20" s="169"/>
      <c r="S20" s="169"/>
      <c r="T20" s="169"/>
      <c r="U20" s="169"/>
      <c r="V20" s="169"/>
      <c r="W20" s="169"/>
      <c r="X20" s="189">
        <f>[9]MAINTENANCE!$AB24</f>
        <v>43500</v>
      </c>
      <c r="Y20" s="169"/>
      <c r="Z20" s="169"/>
      <c r="AA20" s="169"/>
      <c r="AB20" s="189">
        <f>-[9]MAINTENANCE!$BA24</f>
        <v>0</v>
      </c>
      <c r="AC20" s="189"/>
      <c r="AD20" s="189">
        <f>'[8] PRWTN'!$F23</f>
        <v>490000</v>
      </c>
      <c r="AE20" s="183">
        <f t="shared" si="8"/>
        <v>4612249</v>
      </c>
      <c r="AF20" s="184">
        <f t="shared" si="0"/>
        <v>0</v>
      </c>
      <c r="AG20" s="95">
        <f t="shared" si="4"/>
        <v>0</v>
      </c>
      <c r="AI20" s="199">
        <f>[9]MAINTENANCE!$AF24</f>
        <v>3944333.2300000004</v>
      </c>
      <c r="AJ20" s="200">
        <f t="shared" si="1"/>
        <v>177916</v>
      </c>
      <c r="AK20" s="199">
        <f t="shared" si="5"/>
        <v>4612249.2300000004</v>
      </c>
      <c r="AL20" s="201">
        <f t="shared" si="2"/>
        <v>0.23000000044703484</v>
      </c>
    </row>
    <row r="21" spans="2:38" s="173" customFormat="1" ht="18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3"/>
        <v>TER B</v>
      </c>
      <c r="K21" s="182">
        <f t="shared" si="6"/>
        <v>3761333.23</v>
      </c>
      <c r="L21" s="169">
        <f t="shared" si="7"/>
        <v>30575.999999999996</v>
      </c>
      <c r="M21" s="189">
        <f>[9]MAINTENANCE!$AK25</f>
        <v>146680</v>
      </c>
      <c r="N21" s="189">
        <f>[9]MAINTENANCE!$W25</f>
        <v>139500</v>
      </c>
      <c r="O21" s="189"/>
      <c r="P21" s="189">
        <f>[9]MAINTENANCE!$AE25</f>
        <v>241965.29</v>
      </c>
      <c r="Q21" s="169">
        <f>[9]MAINTENANCE!$AC25</f>
        <v>106310</v>
      </c>
      <c r="R21" s="169"/>
      <c r="S21" s="169">
        <f>[9]MAINTENANCE!$AD25</f>
        <v>4200</v>
      </c>
      <c r="T21" s="169"/>
      <c r="U21" s="169"/>
      <c r="V21" s="169"/>
      <c r="W21" s="169"/>
      <c r="X21" s="189">
        <f>[9]MAINTENANCE!$AB25</f>
        <v>27000</v>
      </c>
      <c r="Y21" s="169"/>
      <c r="Z21" s="169"/>
      <c r="AA21" s="169"/>
      <c r="AB21" s="189">
        <f>-[9]MAINTENANCE!$BA25</f>
        <v>0</v>
      </c>
      <c r="AC21" s="189"/>
      <c r="AD21" s="189">
        <f>'[8] PRWTN'!$F24</f>
        <v>490000</v>
      </c>
      <c r="AE21" s="183">
        <f>ROUNDDOWN(SUM(K21:AD21),0)</f>
        <v>4947564</v>
      </c>
      <c r="AF21" s="184">
        <f t="shared" si="0"/>
        <v>0</v>
      </c>
      <c r="AG21" s="95">
        <f t="shared" si="4"/>
        <v>0</v>
      </c>
      <c r="AI21" s="199">
        <f>[9]MAINTENANCE!$AF25</f>
        <v>4280308.5199999996</v>
      </c>
      <c r="AJ21" s="200">
        <f t="shared" si="1"/>
        <v>177256</v>
      </c>
      <c r="AK21" s="199">
        <f t="shared" si="5"/>
        <v>4947564.5199999996</v>
      </c>
      <c r="AL21" s="201">
        <f t="shared" si="2"/>
        <v>0.51999999955296516</v>
      </c>
    </row>
    <row r="22" spans="2:38" s="173" customFormat="1" ht="18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3"/>
        <v>TER A</v>
      </c>
      <c r="K22" s="182">
        <f t="shared" si="6"/>
        <v>3761333.23</v>
      </c>
      <c r="L22" s="169">
        <f t="shared" si="7"/>
        <v>30575.999999999996</v>
      </c>
      <c r="M22" s="189">
        <f>[9]MAINTENANCE!$AK26</f>
        <v>147480</v>
      </c>
      <c r="N22" s="189">
        <f>[9]MAINTENANCE!$W26</f>
        <v>69750</v>
      </c>
      <c r="O22" s="189"/>
      <c r="P22" s="189">
        <f>[9]MAINTENANCE!$AE26</f>
        <v>473410.35</v>
      </c>
      <c r="Q22" s="169"/>
      <c r="R22" s="169"/>
      <c r="S22" s="169"/>
      <c r="T22" s="169"/>
      <c r="U22" s="169"/>
      <c r="V22" s="169"/>
      <c r="W22" s="169"/>
      <c r="X22" s="189">
        <f>[9]MAINTENANCE!$AB26</f>
        <v>47000</v>
      </c>
      <c r="Y22" s="169"/>
      <c r="Z22" s="169"/>
      <c r="AA22" s="169"/>
      <c r="AB22" s="189">
        <f>-[9]MAINTENANCE!$BA26</f>
        <v>0</v>
      </c>
      <c r="AC22" s="189"/>
      <c r="AD22" s="189">
        <f>'[8] PRWTN'!$F25</f>
        <v>490000</v>
      </c>
      <c r="AE22" s="183">
        <f t="shared" si="8"/>
        <v>5019549</v>
      </c>
      <c r="AF22" s="184">
        <f t="shared" si="0"/>
        <v>0</v>
      </c>
      <c r="AG22" s="95">
        <f t="shared" si="4"/>
        <v>0</v>
      </c>
      <c r="AI22" s="199">
        <f>[9]MAINTENANCE!$AF26</f>
        <v>4351493.5799999991</v>
      </c>
      <c r="AJ22" s="200">
        <f t="shared" si="1"/>
        <v>178056</v>
      </c>
      <c r="AK22" s="199">
        <f t="shared" si="5"/>
        <v>5019549.5799999991</v>
      </c>
      <c r="AL22" s="201">
        <f t="shared" si="2"/>
        <v>0.57999999914318323</v>
      </c>
    </row>
    <row r="23" spans="2:38" s="173" customFormat="1" ht="18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3"/>
        <v>TER A</v>
      </c>
      <c r="K23" s="182">
        <f t="shared" si="6"/>
        <v>3761333.23</v>
      </c>
      <c r="L23" s="169">
        <f t="shared" si="7"/>
        <v>30575.999999999996</v>
      </c>
      <c r="M23" s="189">
        <f>[9]MAINTENANCE!$AK27</f>
        <v>147340</v>
      </c>
      <c r="N23" s="189">
        <f>[9]MAINTENANCE!$W27</f>
        <v>69750</v>
      </c>
      <c r="O23" s="189"/>
      <c r="P23" s="189"/>
      <c r="Q23" s="169"/>
      <c r="R23" s="189"/>
      <c r="S23" s="189"/>
      <c r="T23" s="189"/>
      <c r="U23" s="189"/>
      <c r="V23" s="189"/>
      <c r="W23" s="189"/>
      <c r="X23" s="189">
        <f>[9]MAINTENANCE!$AB27</f>
        <v>43500</v>
      </c>
      <c r="Y23" s="189"/>
      <c r="Z23" s="189"/>
      <c r="AA23" s="189"/>
      <c r="AB23" s="189">
        <f>-[9]MAINTENANCE!$BA27</f>
        <v>0</v>
      </c>
      <c r="AC23" s="189"/>
      <c r="AD23" s="189">
        <f>'[8] PRWTN'!$F26</f>
        <v>280000</v>
      </c>
      <c r="AE23" s="183">
        <f t="shared" si="8"/>
        <v>4332499</v>
      </c>
      <c r="AF23" s="184">
        <f t="shared" si="0"/>
        <v>0</v>
      </c>
      <c r="AG23" s="95">
        <f t="shared" si="4"/>
        <v>0</v>
      </c>
      <c r="AI23" s="199">
        <f>[9]MAINTENANCE!$AF27</f>
        <v>3874583.2299999995</v>
      </c>
      <c r="AJ23" s="200">
        <f t="shared" si="1"/>
        <v>177916</v>
      </c>
      <c r="AK23" s="199">
        <f t="shared" si="5"/>
        <v>4332499.2299999995</v>
      </c>
      <c r="AL23" s="201">
        <f t="shared" si="2"/>
        <v>0.22999999951571226</v>
      </c>
    </row>
    <row r="24" spans="2:38" s="173" customFormat="1" ht="18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3"/>
        <v>TER A</v>
      </c>
      <c r="K24" s="182">
        <f t="shared" si="6"/>
        <v>3761333.23</v>
      </c>
      <c r="L24" s="169">
        <f t="shared" si="7"/>
        <v>30575.999999999996</v>
      </c>
      <c r="M24" s="189">
        <f>[9]MAINTENANCE!$AK28</f>
        <v>146800</v>
      </c>
      <c r="N24" s="189">
        <f>[9]MAINTENANCE!$W28</f>
        <v>69750</v>
      </c>
      <c r="O24" s="189">
        <f>[9]MAINTENANCE!$Z28</f>
        <v>44000</v>
      </c>
      <c r="P24" s="189">
        <f>[9]MAINTENANCE!$AE28</f>
        <v>1556994.04</v>
      </c>
      <c r="Q24" s="169"/>
      <c r="R24" s="189"/>
      <c r="S24" s="189"/>
      <c r="T24" s="189"/>
      <c r="U24" s="189"/>
      <c r="V24" s="189"/>
      <c r="W24" s="189"/>
      <c r="X24" s="189">
        <f>[9]MAINTENANCE!$AB28</f>
        <v>30000</v>
      </c>
      <c r="Y24" s="189"/>
      <c r="Z24" s="189"/>
      <c r="AA24" s="189"/>
      <c r="AB24" s="189">
        <f>-[9]MAINTENANCE!$BA28</f>
        <v>0</v>
      </c>
      <c r="AC24" s="189"/>
      <c r="AD24" s="189">
        <f>'[8] PRWTN'!$F27</f>
        <v>650000</v>
      </c>
      <c r="AE24" s="183">
        <f>ROUNDDOWN(SUM(K24:AD24),0)</f>
        <v>6289453</v>
      </c>
      <c r="AF24" s="184">
        <f t="shared" si="0"/>
        <v>7.4999999999999997E-3</v>
      </c>
      <c r="AG24" s="95">
        <f t="shared" si="4"/>
        <v>47170</v>
      </c>
      <c r="AI24" s="199">
        <f>[9]MAINTENANCE!$AF28</f>
        <v>5462077.2700000005</v>
      </c>
      <c r="AJ24" s="200">
        <f t="shared" si="1"/>
        <v>177376</v>
      </c>
      <c r="AK24" s="199">
        <f t="shared" si="5"/>
        <v>6289453.2700000005</v>
      </c>
      <c r="AL24" s="201">
        <f t="shared" si="2"/>
        <v>0.27000000048428774</v>
      </c>
    </row>
    <row r="25" spans="2:38" s="173" customFormat="1" ht="18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3"/>
        <v>TER C</v>
      </c>
      <c r="K25" s="182">
        <f t="shared" si="6"/>
        <v>3761333.23</v>
      </c>
      <c r="L25" s="169">
        <f t="shared" si="7"/>
        <v>30575.999999999996</v>
      </c>
      <c r="M25" s="189">
        <f>[9]MAINTENANCE!$AK29</f>
        <v>147340</v>
      </c>
      <c r="N25" s="189">
        <f>[9]MAINTENANCE!$W29</f>
        <v>167400</v>
      </c>
      <c r="O25" s="189"/>
      <c r="P25" s="189"/>
      <c r="Q25" s="169"/>
      <c r="R25" s="189"/>
      <c r="S25" s="189"/>
      <c r="T25" s="189"/>
      <c r="U25" s="189"/>
      <c r="V25" s="189"/>
      <c r="W25" s="189"/>
      <c r="X25" s="189">
        <f>[9]MAINTENANCE!$AB29</f>
        <v>43500</v>
      </c>
      <c r="Y25" s="189"/>
      <c r="Z25" s="189"/>
      <c r="AA25" s="189"/>
      <c r="AB25" s="189">
        <f>-[9]MAINTENANCE!$BA29</f>
        <v>0</v>
      </c>
      <c r="AC25" s="189"/>
      <c r="AD25" s="189">
        <f>'[8] PRWTN'!$F28</f>
        <v>280000</v>
      </c>
      <c r="AE25" s="183">
        <f t="shared" si="8"/>
        <v>4430149</v>
      </c>
      <c r="AF25" s="184">
        <f t="shared" si="0"/>
        <v>0</v>
      </c>
      <c r="AG25" s="95">
        <f t="shared" si="4"/>
        <v>0</v>
      </c>
      <c r="AI25" s="199">
        <f>[9]MAINTENANCE!$AF29</f>
        <v>3972233.2300000004</v>
      </c>
      <c r="AJ25" s="200">
        <f t="shared" si="1"/>
        <v>177916</v>
      </c>
      <c r="AK25" s="199">
        <f t="shared" si="5"/>
        <v>4430149.2300000004</v>
      </c>
      <c r="AL25" s="201">
        <f t="shared" si="2"/>
        <v>0.23000000044703484</v>
      </c>
    </row>
    <row r="26" spans="2:38" s="173" customFormat="1" ht="18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3"/>
        <v>TER A</v>
      </c>
      <c r="K26" s="182">
        <f t="shared" si="6"/>
        <v>3761333.23</v>
      </c>
      <c r="L26" s="169">
        <f t="shared" si="7"/>
        <v>30575.999999999996</v>
      </c>
      <c r="M26" s="189">
        <f>[9]MAINTENANCE!$AK30</f>
        <v>148040</v>
      </c>
      <c r="N26" s="189">
        <f>[9]MAINTENANCE!$W30</f>
        <v>69750</v>
      </c>
      <c r="O26" s="189"/>
      <c r="P26" s="189"/>
      <c r="Q26" s="169"/>
      <c r="R26" s="189"/>
      <c r="S26" s="189"/>
      <c r="T26" s="189"/>
      <c r="U26" s="189"/>
      <c r="V26" s="189"/>
      <c r="W26" s="189"/>
      <c r="X26" s="189">
        <f>[9]MAINTENANCE!$AB30</f>
        <v>61000</v>
      </c>
      <c r="Y26" s="189"/>
      <c r="Z26" s="189"/>
      <c r="AA26" s="189"/>
      <c r="AB26" s="189">
        <f>-[9]MAINTENANCE!$BA30</f>
        <v>0</v>
      </c>
      <c r="AC26" s="189"/>
      <c r="AD26" s="189">
        <f>'[8] PRWTN'!$F29</f>
        <v>600000</v>
      </c>
      <c r="AE26" s="183">
        <f t="shared" si="8"/>
        <v>4670699</v>
      </c>
      <c r="AF26" s="184">
        <f t="shared" si="0"/>
        <v>0</v>
      </c>
      <c r="AG26" s="95">
        <f t="shared" si="4"/>
        <v>0</v>
      </c>
      <c r="AI26" s="199">
        <f>[9]MAINTENANCE!$AF30</f>
        <v>3892083.2299999995</v>
      </c>
      <c r="AJ26" s="200">
        <f t="shared" si="1"/>
        <v>178616</v>
      </c>
      <c r="AK26" s="199">
        <f t="shared" si="5"/>
        <v>4670699.2299999995</v>
      </c>
      <c r="AL26" s="201">
        <f t="shared" si="2"/>
        <v>0.22999999951571226</v>
      </c>
    </row>
    <row r="27" spans="2:38" s="173" customFormat="1" ht="18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3"/>
        <v>TER A</v>
      </c>
      <c r="K27" s="182">
        <f t="shared" si="6"/>
        <v>3761333.23</v>
      </c>
      <c r="L27" s="169">
        <f t="shared" si="7"/>
        <v>30575.999999999996</v>
      </c>
      <c r="M27" s="189">
        <f>[9]MAINTENANCE!$AK31</f>
        <v>147620</v>
      </c>
      <c r="N27" s="189">
        <f>[9]MAINTENANCE!$W31</f>
        <v>69750</v>
      </c>
      <c r="O27" s="189"/>
      <c r="P27" s="189"/>
      <c r="Q27" s="169"/>
      <c r="R27" s="189"/>
      <c r="S27" s="189"/>
      <c r="T27" s="189"/>
      <c r="U27" s="189"/>
      <c r="V27" s="189"/>
      <c r="W27" s="189"/>
      <c r="X27" s="189">
        <f>[9]MAINTENANCE!$AB31</f>
        <v>50500</v>
      </c>
      <c r="Y27" s="189"/>
      <c r="Z27" s="189"/>
      <c r="AA27" s="189"/>
      <c r="AB27" s="189">
        <f>-[9]MAINTENANCE!$BA31</f>
        <v>0</v>
      </c>
      <c r="AC27" s="189"/>
      <c r="AD27" s="189">
        <f>'[8] PRWTN'!$F30</f>
        <v>490000</v>
      </c>
      <c r="AE27" s="183">
        <f t="shared" si="8"/>
        <v>4549779</v>
      </c>
      <c r="AF27" s="184">
        <f t="shared" si="0"/>
        <v>0</v>
      </c>
      <c r="AG27" s="95">
        <f t="shared" si="4"/>
        <v>0</v>
      </c>
      <c r="AI27" s="199">
        <f>[9]MAINTENANCE!$AF31</f>
        <v>3881583.2300000004</v>
      </c>
      <c r="AJ27" s="200">
        <f t="shared" si="1"/>
        <v>178196</v>
      </c>
      <c r="AK27" s="199">
        <f t="shared" si="5"/>
        <v>4549779.2300000004</v>
      </c>
      <c r="AL27" s="201">
        <f t="shared" si="2"/>
        <v>0.23000000044703484</v>
      </c>
    </row>
    <row r="28" spans="2:38" s="173" customFormat="1" ht="18" customHeight="1">
      <c r="B28" s="174">
        <v>23</v>
      </c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3"/>
        <v>TER B</v>
      </c>
      <c r="K28" s="194">
        <f>31*123833.33</f>
        <v>3838833.23</v>
      </c>
      <c r="L28" s="169">
        <f>3715000*0.84%</f>
        <v>31205.999999999996</v>
      </c>
      <c r="M28" s="189">
        <f>'[9]HARVESTING KHT'!$AQ10</f>
        <v>150340</v>
      </c>
      <c r="N28" s="189">
        <f>'[9]HARVESTING KHT'!$U10</f>
        <v>167400</v>
      </c>
      <c r="O28" s="189">
        <f>'[9]HARVESTING KHT'!$X10</f>
        <v>69000</v>
      </c>
      <c r="P28" s="189">
        <f>'[9]HARVESTING KHT'!$AD10</f>
        <v>1642760.12</v>
      </c>
      <c r="Q28" s="189"/>
      <c r="R28" s="189"/>
      <c r="S28" s="189"/>
      <c r="T28" s="189"/>
      <c r="U28" s="189">
        <f>'[9]HARVESTING KHT'!$AF10</f>
        <v>0</v>
      </c>
      <c r="V28" s="189">
        <f>'[9]HARVESTING KHT'!$AH10</f>
        <v>0</v>
      </c>
      <c r="W28" s="189">
        <f>'[6]HARVESTING KHT'!$AK10</f>
        <v>0</v>
      </c>
      <c r="X28" s="189">
        <f>'[9]HARVESTING KHT'!$Z10</f>
        <v>43500</v>
      </c>
      <c r="Y28" s="189">
        <f>-'[9]HARVESTING KHT'!$AI10</f>
        <v>0</v>
      </c>
      <c r="Z28" s="189"/>
      <c r="AA28" s="189"/>
      <c r="AB28" s="189">
        <f>-'[9]HARVESTING KHT'!$BI10</f>
        <v>0</v>
      </c>
      <c r="AC28" s="189"/>
      <c r="AD28" s="189">
        <f>[8]PANEN!$F10</f>
        <v>300000</v>
      </c>
      <c r="AE28" s="183">
        <f>ROUNDDOWN(SUM(K28:AD28),0)</f>
        <v>6243039</v>
      </c>
      <c r="AF28" s="184">
        <f t="shared" si="0"/>
        <v>2.5000000000000001E-3</v>
      </c>
      <c r="AG28" s="95">
        <f t="shared" si="4"/>
        <v>15607</v>
      </c>
      <c r="AI28" s="199">
        <f>'[9]HARVESTING KHT'!$AL10</f>
        <v>5761493.3499999996</v>
      </c>
      <c r="AJ28" s="200">
        <f t="shared" si="1"/>
        <v>181546</v>
      </c>
      <c r="AK28" s="199">
        <f>AI28+AJ28+AD28</f>
        <v>6243039.3499999996</v>
      </c>
      <c r="AL28" s="201">
        <f t="shared" si="2"/>
        <v>0.34999999962747097</v>
      </c>
    </row>
    <row r="29" spans="2:38" s="173" customFormat="1" ht="18" customHeight="1">
      <c r="B29" s="174">
        <v>24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3"/>
        <v>TER A</v>
      </c>
      <c r="K29" s="182">
        <f>31*121333.33</f>
        <v>3761333.23</v>
      </c>
      <c r="L29" s="169">
        <f t="shared" si="7"/>
        <v>30575.999999999996</v>
      </c>
      <c r="M29" s="189">
        <f>'[9]HARVESTING KHT'!$AQ11</f>
        <v>147620</v>
      </c>
      <c r="N29" s="189">
        <f>'[9]HARVESTING KHT'!$U11</f>
        <v>69750</v>
      </c>
      <c r="O29" s="189">
        <f>'[9]HARVESTING KHT'!$X11</f>
        <v>42000</v>
      </c>
      <c r="P29" s="189">
        <f>'[9]HARVESTING KHT'!$AD11</f>
        <v>1430751.28</v>
      </c>
      <c r="Q29" s="189"/>
      <c r="R29" s="189"/>
      <c r="S29" s="189"/>
      <c r="T29" s="189"/>
      <c r="U29" s="189">
        <f>'[9]HARVESTING KHT'!$AF11</f>
        <v>0</v>
      </c>
      <c r="V29" s="189">
        <f>'[9]HARVESTING KHT'!$AH11</f>
        <v>0</v>
      </c>
      <c r="W29" s="189">
        <f>'[6]HARVESTING KHT'!$AK11</f>
        <v>0</v>
      </c>
      <c r="X29" s="189">
        <f>'[9]HARVESTING KHT'!$Z11</f>
        <v>50500</v>
      </c>
      <c r="Y29" s="189">
        <f>-'[9]HARVESTING KHT'!$AI11</f>
        <v>0</v>
      </c>
      <c r="Z29" s="189"/>
      <c r="AA29" s="189"/>
      <c r="AB29" s="189">
        <f>-'[9]HARVESTING KHT'!$BI11</f>
        <v>0</v>
      </c>
      <c r="AC29" s="189"/>
      <c r="AD29" s="189">
        <f>[8]PANEN!$F11</f>
        <v>540000</v>
      </c>
      <c r="AE29" s="183">
        <f t="shared" si="8"/>
        <v>6072530</v>
      </c>
      <c r="AF29" s="184">
        <f t="shared" si="0"/>
        <v>7.4999999999999997E-3</v>
      </c>
      <c r="AG29" s="95">
        <f t="shared" si="4"/>
        <v>45543</v>
      </c>
      <c r="AI29" s="199">
        <f>'[9]HARVESTING KHT'!$AL11</f>
        <v>5354334.5100000007</v>
      </c>
      <c r="AJ29" s="200">
        <f t="shared" si="1"/>
        <v>178196</v>
      </c>
      <c r="AK29" s="199">
        <f>AI29+AJ29+AD29</f>
        <v>6072530.5100000007</v>
      </c>
      <c r="AL29" s="201">
        <f t="shared" si="2"/>
        <v>0.51000000070780516</v>
      </c>
    </row>
    <row r="30" spans="2:38" s="173" customFormat="1" ht="18" customHeight="1">
      <c r="B30" s="174">
        <v>25</v>
      </c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3"/>
        <v>TER B</v>
      </c>
      <c r="K30" s="182">
        <f>31*121333.33</f>
        <v>3761333.23</v>
      </c>
      <c r="L30" s="169">
        <f t="shared" si="7"/>
        <v>30575.999999999996</v>
      </c>
      <c r="M30" s="189">
        <f>'[9]HARVESTING KHT'!$AQ12</f>
        <v>146560</v>
      </c>
      <c r="N30" s="189">
        <f>'[9]HARVESTING KHT'!$U12</f>
        <v>117000</v>
      </c>
      <c r="O30" s="189"/>
      <c r="P30" s="189"/>
      <c r="Q30" s="189"/>
      <c r="R30" s="189">
        <f>'[9]HARVESTING KHT'!$AA12</f>
        <v>136880</v>
      </c>
      <c r="S30" s="189">
        <f>'[9]HARVESTING KHT'!$AB12</f>
        <v>168000</v>
      </c>
      <c r="T30" s="189">
        <f>'[9]HARVESTING KHT'!$AC12</f>
        <v>0</v>
      </c>
      <c r="U30" s="189">
        <f>'[9]HARVESTING KHT'!$AF12</f>
        <v>0</v>
      </c>
      <c r="V30" s="189">
        <f>'[9]HARVESTING KHT'!$AH12</f>
        <v>0</v>
      </c>
      <c r="W30" s="189">
        <f>'[6]HARVESTING KHT'!$AK12</f>
        <v>0</v>
      </c>
      <c r="X30" s="189">
        <f>'[9]HARVESTING KHT'!$Z12</f>
        <v>24000</v>
      </c>
      <c r="Y30" s="189">
        <f>-'[9]HARVESTING KHT'!$AI12</f>
        <v>-81863</v>
      </c>
      <c r="Z30" s="189"/>
      <c r="AA30" s="189"/>
      <c r="AB30" s="189">
        <f>-'[9]HARVESTING KHT'!$BI12</f>
        <v>-606666.65</v>
      </c>
      <c r="AC30" s="189"/>
      <c r="AD30" s="189">
        <f>[8]PANEN!$F12</f>
        <v>300000</v>
      </c>
      <c r="AE30" s="183">
        <f t="shared" si="8"/>
        <v>3995819</v>
      </c>
      <c r="AF30" s="184">
        <f t="shared" si="0"/>
        <v>0</v>
      </c>
      <c r="AG30" s="95">
        <f t="shared" si="4"/>
        <v>0</v>
      </c>
      <c r="AI30" s="199">
        <f>'[9]HARVESTING KHT'!$AL12</f>
        <v>3518683.58</v>
      </c>
      <c r="AJ30" s="200">
        <f t="shared" si="1"/>
        <v>177136</v>
      </c>
      <c r="AK30" s="199">
        <f t="shared" si="5"/>
        <v>3995819.58</v>
      </c>
      <c r="AL30" s="201">
        <f t="shared" si="2"/>
        <v>0.58000000007450581</v>
      </c>
    </row>
    <row r="31" spans="2:38" s="173" customFormat="1" ht="18" customHeight="1">
      <c r="B31" s="174">
        <v>26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3"/>
        <v>TER B</v>
      </c>
      <c r="K31" s="182">
        <f>31*121333.33</f>
        <v>3761333.23</v>
      </c>
      <c r="L31" s="169">
        <f t="shared" si="7"/>
        <v>30575.999999999996</v>
      </c>
      <c r="M31" s="189">
        <f>'[9]HARVESTING KHT'!$AQ13</f>
        <v>146560</v>
      </c>
      <c r="N31" s="189">
        <f>'[9]HARVESTING KHT'!$U13</f>
        <v>139500</v>
      </c>
      <c r="O31" s="189"/>
      <c r="P31" s="189"/>
      <c r="Q31" s="189"/>
      <c r="R31" s="189">
        <f>'[9]HARVESTING KHT'!$AA13</f>
        <v>114637</v>
      </c>
      <c r="S31" s="189">
        <f>'[9]HARVESTING KHT'!$AB13</f>
        <v>278250</v>
      </c>
      <c r="T31" s="189">
        <f>'[9]HARVESTING KHT'!$AC13</f>
        <v>0</v>
      </c>
      <c r="U31" s="189">
        <f>'[9]HARVESTING KHT'!$AF13</f>
        <v>0</v>
      </c>
      <c r="V31" s="189">
        <f>'[9]HARVESTING KHT'!$AH13</f>
        <v>0</v>
      </c>
      <c r="W31" s="189">
        <f>'[6]HARVESTING KHT'!$AK13</f>
        <v>0</v>
      </c>
      <c r="X31" s="189">
        <f>'[9]HARVESTING KHT'!$Z13</f>
        <v>24000</v>
      </c>
      <c r="Y31" s="189">
        <f>-'[9]HARVESTING KHT'!$AI13</f>
        <v>0</v>
      </c>
      <c r="Z31" s="189"/>
      <c r="AA31" s="189"/>
      <c r="AB31" s="189">
        <f>-'[9]HARVESTING KHT'!$BI13</f>
        <v>0</v>
      </c>
      <c r="AC31" s="189"/>
      <c r="AD31" s="189">
        <f>[8]PANEN!$F13</f>
        <v>650000</v>
      </c>
      <c r="AE31" s="183">
        <f t="shared" si="8"/>
        <v>5144856</v>
      </c>
      <c r="AF31" s="184">
        <f t="shared" si="0"/>
        <v>0</v>
      </c>
      <c r="AG31" s="95">
        <f t="shared" si="4"/>
        <v>0</v>
      </c>
      <c r="AI31" s="199">
        <f>'[9]HARVESTING KHT'!$AL13</f>
        <v>4317720.2299999995</v>
      </c>
      <c r="AJ31" s="200">
        <f t="shared" si="1"/>
        <v>177136</v>
      </c>
      <c r="AK31" s="199">
        <f t="shared" si="5"/>
        <v>5144856.2299999995</v>
      </c>
      <c r="AL31" s="201">
        <f t="shared" si="2"/>
        <v>0.22999999951571226</v>
      </c>
    </row>
    <row r="32" spans="2:38" s="173" customFormat="1" ht="18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3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0"/>
        <v>0</v>
      </c>
      <c r="AG32" s="95">
        <f t="shared" si="4"/>
        <v>0</v>
      </c>
      <c r="AI32" s="199"/>
      <c r="AJ32" s="200">
        <f t="shared" si="1"/>
        <v>0</v>
      </c>
      <c r="AK32" s="199">
        <f t="shared" si="5"/>
        <v>0</v>
      </c>
      <c r="AL32" s="201">
        <f t="shared" si="2"/>
        <v>0</v>
      </c>
    </row>
    <row r="33" spans="2:38" s="173" customFormat="1" ht="18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3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0"/>
        <v>0</v>
      </c>
      <c r="AG33" s="95">
        <f t="shared" si="4"/>
        <v>0</v>
      </c>
      <c r="AI33" s="199"/>
      <c r="AJ33" s="200">
        <f t="shared" si="1"/>
        <v>0</v>
      </c>
      <c r="AK33" s="199">
        <f t="shared" si="5"/>
        <v>0</v>
      </c>
      <c r="AL33" s="201">
        <f t="shared" si="2"/>
        <v>0</v>
      </c>
    </row>
    <row r="34" spans="2:38" s="173" customFormat="1" ht="18" customHeight="1">
      <c r="B34" s="174">
        <v>27</v>
      </c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3"/>
        <v>TER B</v>
      </c>
      <c r="K34" s="182">
        <f>31*121333.33</f>
        <v>3761333.23</v>
      </c>
      <c r="L34" s="169">
        <f t="shared" si="7"/>
        <v>30575.999999999996</v>
      </c>
      <c r="M34" s="189">
        <f>'[9]HARVESTING KHT'!$AQ14</f>
        <v>146200</v>
      </c>
      <c r="N34" s="189">
        <f>'[9]HARVESTING KHT'!$U14</f>
        <v>135000</v>
      </c>
      <c r="O34" s="189"/>
      <c r="P34" s="189"/>
      <c r="Q34" s="189"/>
      <c r="R34" s="189">
        <f>'[9]HARVESTING KHT'!$AA14</f>
        <v>29087</v>
      </c>
      <c r="S34" s="189">
        <f>'[9]HARVESTING KHT'!$AB14</f>
        <v>108150</v>
      </c>
      <c r="T34" s="189">
        <f>'[9]HARVESTING KHT'!$AC14</f>
        <v>0</v>
      </c>
      <c r="U34" s="189">
        <f>'[9]HARVESTING KHT'!$AF14</f>
        <v>0</v>
      </c>
      <c r="V34" s="189">
        <f>'[9]HARVESTING KHT'!$AH14</f>
        <v>0</v>
      </c>
      <c r="W34" s="189">
        <f>'[6]HARVESTING KHT'!$AK16</f>
        <v>0</v>
      </c>
      <c r="X34" s="189">
        <f>'[9]HARVESTING KHT'!$Z14</f>
        <v>15000</v>
      </c>
      <c r="Y34" s="189">
        <f>-'[9]HARVESTING KHT'!$AI14</f>
        <v>0</v>
      </c>
      <c r="Z34" s="189"/>
      <c r="AA34" s="189"/>
      <c r="AB34" s="189">
        <f>-'[9]HARVESTING KHT'!$BI14</f>
        <v>-121333.33</v>
      </c>
      <c r="AC34" s="189"/>
      <c r="AD34" s="189">
        <f>[8]PANEN!$F14</f>
        <v>300000</v>
      </c>
      <c r="AE34" s="183">
        <f t="shared" si="8"/>
        <v>4404012</v>
      </c>
      <c r="AF34" s="184">
        <f t="shared" si="0"/>
        <v>0</v>
      </c>
      <c r="AG34" s="95">
        <f t="shared" si="4"/>
        <v>0</v>
      </c>
      <c r="AI34" s="199">
        <f>'[9]HARVESTING KHT'!$AL14</f>
        <v>3927236.9000000004</v>
      </c>
      <c r="AJ34" s="200">
        <f t="shared" si="1"/>
        <v>176776</v>
      </c>
      <c r="AK34" s="199">
        <f t="shared" si="5"/>
        <v>4404012.9000000004</v>
      </c>
      <c r="AL34" s="201">
        <f t="shared" si="2"/>
        <v>0.90000000037252903</v>
      </c>
    </row>
    <row r="35" spans="2:38" s="173" customFormat="1" ht="18" customHeight="1">
      <c r="B35" s="174">
        <v>28</v>
      </c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3"/>
        <v>TER A</v>
      </c>
      <c r="K35" s="182">
        <f>31*121333.33</f>
        <v>3761333.23</v>
      </c>
      <c r="L35" s="169">
        <f t="shared" si="7"/>
        <v>30575.999999999996</v>
      </c>
      <c r="M35" s="189">
        <f>'[9]HARVESTING KHT'!$AQ15</f>
        <v>145900</v>
      </c>
      <c r="N35" s="189">
        <f>'[9]HARVESTING KHT'!$U15</f>
        <v>111600</v>
      </c>
      <c r="O35" s="189"/>
      <c r="P35" s="189"/>
      <c r="Q35" s="189"/>
      <c r="R35" s="189">
        <f>'[9]HARVESTING KHT'!$AA15</f>
        <v>0</v>
      </c>
      <c r="S35" s="189">
        <f>'[9]HARVESTING KHT'!$AB15</f>
        <v>163800</v>
      </c>
      <c r="T35" s="189">
        <f>'[9]HARVESTING KHT'!$AC15</f>
        <v>0</v>
      </c>
      <c r="U35" s="189">
        <f>'[9]HARVESTING KHT'!$AF15</f>
        <v>0</v>
      </c>
      <c r="V35" s="189">
        <f>'[9]HARVESTING KHT'!$AH15</f>
        <v>0</v>
      </c>
      <c r="W35" s="189">
        <f>'[6]HARVESTING KHT'!$AK17</f>
        <v>0</v>
      </c>
      <c r="X35" s="189">
        <f>'[9]HARVESTING KHT'!$Z15</f>
        <v>7500</v>
      </c>
      <c r="Y35" s="189">
        <f>-'[9]HARVESTING KHT'!$AI15</f>
        <v>0</v>
      </c>
      <c r="Z35" s="189"/>
      <c r="AA35" s="189"/>
      <c r="AB35" s="189">
        <f>-'[9]HARVESTING KHT'!$BI15</f>
        <v>0</v>
      </c>
      <c r="AC35" s="189"/>
      <c r="AD35" s="189">
        <f>[8]PANEN!$F15</f>
        <v>300000</v>
      </c>
      <c r="AE35" s="183">
        <f t="shared" si="8"/>
        <v>4520709</v>
      </c>
      <c r="AF35" s="184">
        <f t="shared" si="0"/>
        <v>0</v>
      </c>
      <c r="AG35" s="95">
        <f t="shared" si="4"/>
        <v>0</v>
      </c>
      <c r="AI35" s="199">
        <f>'[9]HARVESTING KHT'!$AL15</f>
        <v>4044233.2299999995</v>
      </c>
      <c r="AJ35" s="200">
        <f t="shared" si="1"/>
        <v>176476</v>
      </c>
      <c r="AK35" s="199">
        <f t="shared" si="5"/>
        <v>4520709.2299999995</v>
      </c>
      <c r="AL35" s="201">
        <f t="shared" si="2"/>
        <v>0.22999999951571226</v>
      </c>
    </row>
    <row r="36" spans="2:38" s="173" customFormat="1" ht="18" customHeight="1">
      <c r="B36" s="174">
        <v>29</v>
      </c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3"/>
        <v>TER B</v>
      </c>
      <c r="K36" s="182">
        <f>31*121333.33</f>
        <v>3761333.23</v>
      </c>
      <c r="L36" s="169">
        <f t="shared" si="7"/>
        <v>30575.999999999996</v>
      </c>
      <c r="M36" s="189">
        <f>'[9]HARVESTING KHT'!$AQ16</f>
        <v>145800</v>
      </c>
      <c r="N36" s="189">
        <f>'[9]HARVESTING KHT'!$U16</f>
        <v>151200</v>
      </c>
      <c r="O36" s="189"/>
      <c r="P36" s="189"/>
      <c r="Q36" s="189"/>
      <c r="R36" s="189">
        <f>'[9]HARVESTING KHT'!$AA16</f>
        <v>17110</v>
      </c>
      <c r="S36" s="189">
        <f>'[9]HARVESTING KHT'!$AB16</f>
        <v>164850</v>
      </c>
      <c r="T36" s="189">
        <f>'[9]HARVESTING KHT'!$AC16</f>
        <v>0</v>
      </c>
      <c r="U36" s="189">
        <f>'[9]HARVESTING KHT'!$AF16</f>
        <v>0</v>
      </c>
      <c r="V36" s="189">
        <f>'[9]HARVESTING KHT'!$AH16</f>
        <v>0</v>
      </c>
      <c r="W36" s="189">
        <f>'[6]HARVESTING KHT'!$AK18</f>
        <v>0</v>
      </c>
      <c r="X36" s="189">
        <f>'[9]HARVESTING KHT'!$Z16</f>
        <v>5000</v>
      </c>
      <c r="Y36" s="189">
        <f>-'[9]HARVESTING KHT'!$AI16</f>
        <v>-61398</v>
      </c>
      <c r="Z36" s="189"/>
      <c r="AA36" s="189"/>
      <c r="AB36" s="189">
        <f>-'[9]HARVESTING KHT'!$BI16</f>
        <v>-363999.99</v>
      </c>
      <c r="AC36" s="189"/>
      <c r="AD36" s="189">
        <f>[8]PANEN!$F16</f>
        <v>300000</v>
      </c>
      <c r="AE36" s="183">
        <f t="shared" si="8"/>
        <v>4150471</v>
      </c>
      <c r="AF36" s="184">
        <f t="shared" si="0"/>
        <v>0</v>
      </c>
      <c r="AG36" s="95">
        <f t="shared" si="4"/>
        <v>0</v>
      </c>
      <c r="AI36" s="199">
        <f>'[9]HARVESTING KHT'!$AL16</f>
        <v>3674095.24</v>
      </c>
      <c r="AJ36" s="200">
        <f t="shared" si="1"/>
        <v>176376</v>
      </c>
      <c r="AK36" s="199">
        <f t="shared" si="5"/>
        <v>4150471.24</v>
      </c>
      <c r="AL36" s="201">
        <f t="shared" si="2"/>
        <v>0.24000000022351742</v>
      </c>
    </row>
    <row r="37" spans="2:38" s="173" customFormat="1" ht="18" customHeight="1">
      <c r="B37" s="174">
        <v>30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3"/>
        <v>TER B</v>
      </c>
      <c r="K37" s="182">
        <f>31*121333.33</f>
        <v>3761333.23</v>
      </c>
      <c r="L37" s="169">
        <f t="shared" si="7"/>
        <v>30575.999999999996</v>
      </c>
      <c r="M37" s="189">
        <f>'[9]HARVESTING KHT'!$AQ17</f>
        <v>145800</v>
      </c>
      <c r="N37" s="189">
        <f>'[9]HARVESTING KHT'!$U17</f>
        <v>139500</v>
      </c>
      <c r="O37" s="189"/>
      <c r="P37" s="189"/>
      <c r="Q37" s="189"/>
      <c r="R37" s="189">
        <f>'[9]HARVESTING KHT'!$AA17</f>
        <v>899580</v>
      </c>
      <c r="S37" s="189">
        <f>'[9]HARVESTING KHT'!$AB17</f>
        <v>242550</v>
      </c>
      <c r="T37" s="189">
        <f>'[9]HARVESTING KHT'!$AC17</f>
        <v>0</v>
      </c>
      <c r="U37" s="189">
        <f>'[9]HARVESTING KHT'!$AF17</f>
        <v>0</v>
      </c>
      <c r="V37" s="189">
        <f>'[9]HARVESTING KHT'!$AH17</f>
        <v>300000</v>
      </c>
      <c r="W37" s="189">
        <f>'[6]HARVESTING KHT'!$AK19</f>
        <v>0</v>
      </c>
      <c r="X37" s="189">
        <f>'[9]HARVESTING KHT'!$Z17</f>
        <v>5000</v>
      </c>
      <c r="Y37" s="189">
        <f>-'[9]HARVESTING KHT'!$AI17</f>
        <v>0</v>
      </c>
      <c r="Z37" s="189"/>
      <c r="AA37" s="189"/>
      <c r="AB37" s="189">
        <f>-'[9]HARVESTING KHT'!$BI17</f>
        <v>0</v>
      </c>
      <c r="AC37" s="189"/>
      <c r="AD37" s="189">
        <f>[8]PANEN!$F17</f>
        <v>540000</v>
      </c>
      <c r="AE37" s="183">
        <f t="shared" si="8"/>
        <v>6064339</v>
      </c>
      <c r="AF37" s="184">
        <f t="shared" si="0"/>
        <v>0</v>
      </c>
      <c r="AG37" s="95">
        <f t="shared" si="4"/>
        <v>0</v>
      </c>
      <c r="AI37" s="199">
        <f>'[9]HARVESTING KHT'!$AL17</f>
        <v>5347963.2299999995</v>
      </c>
      <c r="AJ37" s="200">
        <f t="shared" si="1"/>
        <v>176376</v>
      </c>
      <c r="AK37" s="199">
        <f t="shared" si="5"/>
        <v>6064339.2299999995</v>
      </c>
      <c r="AL37" s="201">
        <f t="shared" si="2"/>
        <v>0.22999999951571226</v>
      </c>
    </row>
    <row r="38" spans="2:38" s="173" customFormat="1" ht="18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3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66" si="9">IF(J38="TER A",VLOOKUP(AE38,Ter_A,4,TRUE),IF(J38="TER B",VLOOKUP(AE38,Ter_B,4,TRUE),VLOOKUP(AE38,Ter_C,4,TRUE)))</f>
        <v>0</v>
      </c>
      <c r="AG38" s="95">
        <f t="shared" si="4"/>
        <v>0</v>
      </c>
      <c r="AI38" s="199"/>
      <c r="AJ38" s="200">
        <f t="shared" ref="AJ38:AJ66" si="10">L38+M38</f>
        <v>0</v>
      </c>
      <c r="AK38" s="199">
        <f t="shared" si="5"/>
        <v>0</v>
      </c>
      <c r="AL38" s="201">
        <f t="shared" ref="AL38:AL66" si="11">AK38-AE38</f>
        <v>0</v>
      </c>
    </row>
    <row r="39" spans="2:38" s="173" customFormat="1" ht="18" customHeight="1">
      <c r="B39" s="174">
        <v>31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3"/>
        <v>TER B</v>
      </c>
      <c r="K39" s="182">
        <f>31*121333.33</f>
        <v>3761333.23</v>
      </c>
      <c r="L39" s="169">
        <f t="shared" si="7"/>
        <v>30575.999999999996</v>
      </c>
      <c r="M39" s="189">
        <f>'[9]HARVESTING KHT'!$AQ18</f>
        <v>145800</v>
      </c>
      <c r="N39" s="189">
        <f>'[9]HARVESTING KHT'!$U18</f>
        <v>135000</v>
      </c>
      <c r="O39" s="189"/>
      <c r="P39" s="189"/>
      <c r="Q39" s="189"/>
      <c r="R39" s="189">
        <f>'[9]HARVESTING KHT'!$AA18</f>
        <v>289159</v>
      </c>
      <c r="S39" s="189">
        <f>'[9]HARVESTING KHT'!$AB18</f>
        <v>131250</v>
      </c>
      <c r="T39" s="189">
        <f>'[9]HARVESTING KHT'!$AC18</f>
        <v>0</v>
      </c>
      <c r="U39" s="189">
        <f>'[9]HARVESTING KHT'!$AF18</f>
        <v>0</v>
      </c>
      <c r="V39" s="189">
        <f>'[9]HARVESTING KHT'!$AH18</f>
        <v>0</v>
      </c>
      <c r="W39" s="189">
        <f>'[6]HARVESTING KHT'!$AK21</f>
        <v>0</v>
      </c>
      <c r="X39" s="189">
        <f>'[9]HARVESTING KHT'!$Z18</f>
        <v>5000</v>
      </c>
      <c r="Y39" s="189">
        <f>-'[9]HARVESTING KHT'!$AI18</f>
        <v>0</v>
      </c>
      <c r="Z39" s="189"/>
      <c r="AA39" s="189"/>
      <c r="AB39" s="189">
        <f>-'[9]HARVESTING KHT'!$BI18</f>
        <v>-121333.33</v>
      </c>
      <c r="AC39" s="189"/>
      <c r="AD39" s="189">
        <f>[8]PANEN!$F18</f>
        <v>540000</v>
      </c>
      <c r="AE39" s="183">
        <f t="shared" si="8"/>
        <v>4916784</v>
      </c>
      <c r="AF39" s="184">
        <f t="shared" si="9"/>
        <v>0</v>
      </c>
      <c r="AG39" s="95">
        <f t="shared" si="4"/>
        <v>0</v>
      </c>
      <c r="AI39" s="199">
        <f>'[9]HARVESTING KHT'!$AL18</f>
        <v>4200408.8999999994</v>
      </c>
      <c r="AJ39" s="200">
        <f t="shared" si="10"/>
        <v>176376</v>
      </c>
      <c r="AK39" s="199">
        <f t="shared" si="5"/>
        <v>4916784.8999999994</v>
      </c>
      <c r="AL39" s="201">
        <f t="shared" si="11"/>
        <v>0.89999999944120646</v>
      </c>
    </row>
    <row r="40" spans="2:38" s="173" customFormat="1" ht="18" customHeight="1">
      <c r="B40" s="174">
        <v>32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3"/>
        <v>TER A</v>
      </c>
      <c r="K40" s="182">
        <f>31*121333.33</f>
        <v>3761333.23</v>
      </c>
      <c r="L40" s="169">
        <f t="shared" si="7"/>
        <v>30575.999999999996</v>
      </c>
      <c r="M40" s="189">
        <f>'[9]HARVESTING KHT'!$AQ19</f>
        <v>145700</v>
      </c>
      <c r="N40" s="189">
        <f>'[9]HARVESTING KHT'!$U19</f>
        <v>67500</v>
      </c>
      <c r="O40" s="189"/>
      <c r="P40" s="189"/>
      <c r="Q40" s="189"/>
      <c r="R40" s="189">
        <f>'[9]HARVESTING KHT'!$AA19</f>
        <v>53041</v>
      </c>
      <c r="S40" s="189">
        <f>'[9]HARVESTING KHT'!$AB19</f>
        <v>175350</v>
      </c>
      <c r="T40" s="189">
        <f>'[9]HARVESTING KHT'!$AC19</f>
        <v>0</v>
      </c>
      <c r="U40" s="189">
        <f>'[9]HARVESTING KHT'!$AF19</f>
        <v>0</v>
      </c>
      <c r="V40" s="189">
        <f>'[9]HARVESTING KHT'!$AH19</f>
        <v>0</v>
      </c>
      <c r="W40" s="189">
        <f>'[6]HARVESTING KHT'!$AK22</f>
        <v>0</v>
      </c>
      <c r="X40" s="189">
        <f>'[9]HARVESTING KHT'!$Z19</f>
        <v>2500</v>
      </c>
      <c r="Y40" s="189">
        <f>-'[9]HARVESTING KHT'!$AI19</f>
        <v>0</v>
      </c>
      <c r="Z40" s="189"/>
      <c r="AA40" s="189"/>
      <c r="AB40" s="189">
        <f>-'[9]HARVESTING KHT'!$BI19</f>
        <v>-121333.33</v>
      </c>
      <c r="AC40" s="189"/>
      <c r="AD40" s="189">
        <f>[8]PANEN!$F19</f>
        <v>300000</v>
      </c>
      <c r="AE40" s="183">
        <f t="shared" si="8"/>
        <v>4414666</v>
      </c>
      <c r="AF40" s="184">
        <f t="shared" si="9"/>
        <v>0</v>
      </c>
      <c r="AG40" s="95">
        <f t="shared" si="4"/>
        <v>0</v>
      </c>
      <c r="AI40" s="199">
        <f>'[9]HARVESTING KHT'!$AL19</f>
        <v>3938390.8999999994</v>
      </c>
      <c r="AJ40" s="200">
        <f t="shared" si="10"/>
        <v>176276</v>
      </c>
      <c r="AK40" s="199">
        <f t="shared" si="5"/>
        <v>4414666.8999999994</v>
      </c>
      <c r="AL40" s="201">
        <f t="shared" si="11"/>
        <v>0.89999999944120646</v>
      </c>
    </row>
    <row r="41" spans="2:38" s="173" customFormat="1" ht="18" customHeight="1">
      <c r="B41" s="174">
        <v>33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3"/>
        <v>TER B</v>
      </c>
      <c r="K41" s="182">
        <f>31*121333.33</f>
        <v>3761333.23</v>
      </c>
      <c r="L41" s="169">
        <f t="shared" si="7"/>
        <v>30575.999999999996</v>
      </c>
      <c r="M41" s="189">
        <f>'[9]HARVESTING KHT'!$AQ20</f>
        <v>146320</v>
      </c>
      <c r="N41" s="189">
        <f>'[9]HARVESTING KHT'!$U20</f>
        <v>156600</v>
      </c>
      <c r="O41" s="189"/>
      <c r="P41" s="189"/>
      <c r="Q41" s="189"/>
      <c r="R41" s="189">
        <f>'[9]HARVESTING KHT'!$AA20</f>
        <v>49619</v>
      </c>
      <c r="S41" s="189">
        <f>'[9]HARVESTING KHT'!$AB20</f>
        <v>86100</v>
      </c>
      <c r="T41" s="189">
        <f>'[9]HARVESTING KHT'!$AC20</f>
        <v>0</v>
      </c>
      <c r="U41" s="189">
        <f>'[9]HARVESTING KHT'!$AF20</f>
        <v>0</v>
      </c>
      <c r="V41" s="189">
        <f>'[9]HARVESTING KHT'!$AH20</f>
        <v>0</v>
      </c>
      <c r="W41" s="189">
        <f>'[6]HARVESTING KHT'!$AK23</f>
        <v>0</v>
      </c>
      <c r="X41" s="189">
        <f>'[9]HARVESTING KHT'!$Z20</f>
        <v>18000</v>
      </c>
      <c r="Y41" s="189">
        <f>-'[9]HARVESTING KHT'!$AI20</f>
        <v>0</v>
      </c>
      <c r="Z41" s="189"/>
      <c r="AA41" s="189"/>
      <c r="AB41" s="189">
        <f>-'[9]HARVESTING KHT'!$BI20</f>
        <v>-242666.66</v>
      </c>
      <c r="AC41" s="189"/>
      <c r="AD41" s="189">
        <f>[8]PANEN!$F20</f>
        <v>300000</v>
      </c>
      <c r="AE41" s="183">
        <f t="shared" si="8"/>
        <v>4305881</v>
      </c>
      <c r="AF41" s="184">
        <f t="shared" si="9"/>
        <v>0</v>
      </c>
      <c r="AG41" s="95">
        <f t="shared" si="4"/>
        <v>0</v>
      </c>
      <c r="AI41" s="199">
        <f>'[9]HARVESTING KHT'!$AL20</f>
        <v>3828985.5700000003</v>
      </c>
      <c r="AJ41" s="200">
        <f t="shared" si="10"/>
        <v>176896</v>
      </c>
      <c r="AK41" s="199">
        <f t="shared" si="5"/>
        <v>4305881.57</v>
      </c>
      <c r="AL41" s="201">
        <f t="shared" si="11"/>
        <v>0.57000000029802322</v>
      </c>
    </row>
    <row r="42" spans="2:38" s="173" customFormat="1" ht="18" customHeight="1">
      <c r="B42" s="174">
        <v>34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3"/>
        <v>TER B</v>
      </c>
      <c r="K42" s="182">
        <f>31*121333.33</f>
        <v>3761333.23</v>
      </c>
      <c r="L42" s="169">
        <f t="shared" si="7"/>
        <v>30575.999999999996</v>
      </c>
      <c r="M42" s="189">
        <f>'[9]HARVESTING KHT'!$AQ21</f>
        <v>146440</v>
      </c>
      <c r="N42" s="189">
        <f>'[9]HARVESTING KHT'!$U21</f>
        <v>139500</v>
      </c>
      <c r="O42" s="189"/>
      <c r="P42" s="189"/>
      <c r="Q42" s="189"/>
      <c r="R42" s="189">
        <f>'[9]HARVESTING KHT'!$AA21</f>
        <v>11977</v>
      </c>
      <c r="S42" s="189">
        <f>'[9]HARVESTING KHT'!$AB21</f>
        <v>134400</v>
      </c>
      <c r="T42" s="189">
        <f>'[9]HARVESTING KHT'!$AC21</f>
        <v>0</v>
      </c>
      <c r="U42" s="189">
        <f>'[9]HARVESTING KHT'!$AF21</f>
        <v>0</v>
      </c>
      <c r="V42" s="189">
        <f>'[9]HARVESTING KHT'!$AH21</f>
        <v>0</v>
      </c>
      <c r="W42" s="189">
        <f>'[6]HARVESTING KHT'!$AK24</f>
        <v>0</v>
      </c>
      <c r="X42" s="189">
        <f>'[9]HARVESTING KHT'!$Z21</f>
        <v>21000</v>
      </c>
      <c r="Y42" s="189">
        <f>-'[9]HARVESTING KHT'!$AI21</f>
        <v>0</v>
      </c>
      <c r="Z42" s="189"/>
      <c r="AA42" s="189"/>
      <c r="AB42" s="189">
        <f>-'[9]HARVESTING KHT'!$BI21</f>
        <v>0</v>
      </c>
      <c r="AC42" s="189"/>
      <c r="AD42" s="189">
        <f>[8]PANEN!$F21</f>
        <v>540000</v>
      </c>
      <c r="AE42" s="183">
        <f t="shared" si="8"/>
        <v>4785226</v>
      </c>
      <c r="AF42" s="184">
        <f t="shared" si="9"/>
        <v>0</v>
      </c>
      <c r="AG42" s="95">
        <f t="shared" si="4"/>
        <v>0</v>
      </c>
      <c r="AI42" s="199">
        <f>'[9]HARVESTING KHT'!$AL21</f>
        <v>4068210.2299999995</v>
      </c>
      <c r="AJ42" s="200">
        <f t="shared" si="10"/>
        <v>177016</v>
      </c>
      <c r="AK42" s="199">
        <f t="shared" si="5"/>
        <v>4785226.2299999995</v>
      </c>
      <c r="AL42" s="201">
        <f t="shared" si="11"/>
        <v>0.22999999951571226</v>
      </c>
    </row>
    <row r="43" spans="2:38" s="173" customFormat="1" ht="18" customHeight="1">
      <c r="B43" s="174">
        <v>35</v>
      </c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3"/>
        <v>TER B</v>
      </c>
      <c r="K43" s="182">
        <f>31*121333.33</f>
        <v>3761333.23</v>
      </c>
      <c r="L43" s="169">
        <f t="shared" si="7"/>
        <v>30575.999999999996</v>
      </c>
      <c r="M43" s="189">
        <f>'[9]HARVESTING KHT'!$AQ22</f>
        <v>145800</v>
      </c>
      <c r="N43" s="189">
        <f>'[9]HARVESTING KHT'!$U22</f>
        <v>139500</v>
      </c>
      <c r="O43" s="189"/>
      <c r="P43" s="189"/>
      <c r="Q43" s="189"/>
      <c r="R43" s="189">
        <f>'[9]HARVESTING KHT'!$AA22</f>
        <v>417484</v>
      </c>
      <c r="S43" s="189">
        <f>'[9]HARVESTING KHT'!$AB22</f>
        <v>130200</v>
      </c>
      <c r="T43" s="189">
        <f>'[9]HARVESTING KHT'!$AC22</f>
        <v>0</v>
      </c>
      <c r="U43" s="189">
        <f>'[9]HARVESTING KHT'!$AF22</f>
        <v>0</v>
      </c>
      <c r="V43" s="189">
        <f>'[9]HARVESTING KHT'!$AH22</f>
        <v>0</v>
      </c>
      <c r="W43" s="189">
        <f>'[6]HARVESTING KHT'!$AK25</f>
        <v>0</v>
      </c>
      <c r="X43" s="189">
        <f>'[9]HARVESTING KHT'!$Z22</f>
        <v>5000</v>
      </c>
      <c r="Y43" s="189">
        <f>-'[9]HARVESTING KHT'!$AI22</f>
        <v>0</v>
      </c>
      <c r="Z43" s="189"/>
      <c r="AA43" s="189"/>
      <c r="AB43" s="189">
        <f>-'[9]HARVESTING KHT'!$BI22</f>
        <v>0</v>
      </c>
      <c r="AC43" s="189"/>
      <c r="AD43" s="189">
        <f>[8]PANEN!$F22</f>
        <v>300000</v>
      </c>
      <c r="AE43" s="183">
        <f t="shared" si="8"/>
        <v>4929893</v>
      </c>
      <c r="AF43" s="184">
        <f t="shared" si="9"/>
        <v>0</v>
      </c>
      <c r="AG43" s="95">
        <f t="shared" si="4"/>
        <v>0</v>
      </c>
      <c r="AI43" s="199">
        <f>'[9]HARVESTING KHT'!$AL22</f>
        <v>4453517.2299999995</v>
      </c>
      <c r="AJ43" s="200">
        <f t="shared" si="10"/>
        <v>176376</v>
      </c>
      <c r="AK43" s="199">
        <f t="shared" si="5"/>
        <v>4929893.2299999995</v>
      </c>
      <c r="AL43" s="201">
        <f t="shared" si="11"/>
        <v>0.22999999951571226</v>
      </c>
    </row>
    <row r="44" spans="2:38" s="173" customFormat="1" ht="18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3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9"/>
        <v>0</v>
      </c>
      <c r="AG44" s="95">
        <f t="shared" si="4"/>
        <v>0</v>
      </c>
      <c r="AI44" s="199"/>
      <c r="AJ44" s="200">
        <f t="shared" si="10"/>
        <v>0</v>
      </c>
      <c r="AK44" s="199">
        <f t="shared" si="5"/>
        <v>0</v>
      </c>
      <c r="AL44" s="201">
        <f t="shared" si="11"/>
        <v>0</v>
      </c>
    </row>
    <row r="45" spans="2:38" s="173" customFormat="1" ht="18" customHeight="1">
      <c r="B45" s="174">
        <v>36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3"/>
        <v>TER B</v>
      </c>
      <c r="K45" s="182">
        <f>31*121333.33</f>
        <v>3761333.23</v>
      </c>
      <c r="L45" s="169">
        <f t="shared" si="7"/>
        <v>30575.999999999996</v>
      </c>
      <c r="M45" s="189">
        <f>'[9]HARVESTING KHT'!$AQ23</f>
        <v>145700</v>
      </c>
      <c r="N45" s="189">
        <f>'[9]HARVESTING KHT'!$U23</f>
        <v>167400</v>
      </c>
      <c r="O45" s="189"/>
      <c r="P45" s="189"/>
      <c r="Q45" s="189"/>
      <c r="R45" s="189">
        <f>'[9]HARVESTING KHT'!$AA23</f>
        <v>95816</v>
      </c>
      <c r="S45" s="189">
        <f>'[9]HARVESTING KHT'!$AB23</f>
        <v>253050</v>
      </c>
      <c r="T45" s="189">
        <f>'[9]HARVESTING KHT'!$AC23</f>
        <v>0</v>
      </c>
      <c r="U45" s="189">
        <f>'[9]HARVESTING KHT'!$AF23</f>
        <v>0</v>
      </c>
      <c r="V45" s="189">
        <f>'[9]HARVESTING KHT'!$AH23</f>
        <v>0</v>
      </c>
      <c r="W45" s="189">
        <f>'[6]HARVESTING KHT'!$AK27</f>
        <v>0</v>
      </c>
      <c r="X45" s="189">
        <f>'[9]HARVESTING KHT'!$Z23</f>
        <v>2500</v>
      </c>
      <c r="Y45" s="189">
        <f>-'[9]HARVESTING KHT'!$AI23</f>
        <v>0</v>
      </c>
      <c r="Z45" s="189"/>
      <c r="AA45" s="189"/>
      <c r="AB45" s="189">
        <f>-'[9]HARVESTING KHT'!$BI23</f>
        <v>0</v>
      </c>
      <c r="AC45" s="189"/>
      <c r="AD45" s="189">
        <f>[8]PANEN!$F23</f>
        <v>300000</v>
      </c>
      <c r="AE45" s="183">
        <f t="shared" si="8"/>
        <v>4756375</v>
      </c>
      <c r="AF45" s="184">
        <f t="shared" si="9"/>
        <v>0</v>
      </c>
      <c r="AG45" s="95">
        <f t="shared" si="4"/>
        <v>0</v>
      </c>
      <c r="AI45" s="199">
        <f>'[9]HARVESTING KHT'!$AL23</f>
        <v>4280099.2299999995</v>
      </c>
      <c r="AJ45" s="200">
        <f t="shared" si="10"/>
        <v>176276</v>
      </c>
      <c r="AK45" s="199">
        <f t="shared" si="5"/>
        <v>4756375.2299999995</v>
      </c>
      <c r="AL45" s="201">
        <f t="shared" si="11"/>
        <v>0.22999999951571226</v>
      </c>
    </row>
    <row r="46" spans="2:38" s="173" customFormat="1" ht="18" customHeight="1">
      <c r="B46" s="174">
        <v>37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3"/>
        <v>TER A</v>
      </c>
      <c r="K46" s="182">
        <f>31*121333.33</f>
        <v>3761333.23</v>
      </c>
      <c r="L46" s="169">
        <f t="shared" si="7"/>
        <v>30575.999999999996</v>
      </c>
      <c r="M46" s="189">
        <f>'[9]HARVESTING KHT'!$AQ24</f>
        <v>145900</v>
      </c>
      <c r="N46" s="189">
        <f>'[9]HARVESTING KHT'!$U24</f>
        <v>67500</v>
      </c>
      <c r="O46" s="189"/>
      <c r="P46" s="189"/>
      <c r="Q46" s="189"/>
      <c r="R46" s="189">
        <f>'[9]HARVESTING KHT'!$AA24</f>
        <v>1267851</v>
      </c>
      <c r="S46" s="189">
        <f>'[9]HARVESTING KHT'!$AB24</f>
        <v>149100</v>
      </c>
      <c r="T46" s="189">
        <f>'[9]HARVESTING KHT'!$AC24</f>
        <v>0</v>
      </c>
      <c r="U46" s="189">
        <f>'[9]HARVESTING KHT'!$AF24</f>
        <v>0</v>
      </c>
      <c r="V46" s="189">
        <f>'[9]HARVESTING KHT'!$AH24</f>
        <v>300000</v>
      </c>
      <c r="W46" s="189">
        <f>'[6]HARVESTING KHT'!$AK28</f>
        <v>0</v>
      </c>
      <c r="X46" s="189">
        <f>'[9]HARVESTING KHT'!$Z24</f>
        <v>7500</v>
      </c>
      <c r="Y46" s="189">
        <f>-'[9]HARVESTING KHT'!$AI24</f>
        <v>0</v>
      </c>
      <c r="Z46" s="189"/>
      <c r="AA46" s="189"/>
      <c r="AB46" s="189">
        <f>-'[9]HARVESTING KHT'!$BI24</f>
        <v>-121333.33</v>
      </c>
      <c r="AC46" s="189"/>
      <c r="AD46" s="189">
        <f>[8]PANEN!$F24</f>
        <v>300000</v>
      </c>
      <c r="AE46" s="183">
        <f t="shared" si="8"/>
        <v>5908426</v>
      </c>
      <c r="AF46" s="184">
        <f t="shared" si="9"/>
        <v>5.0000000000000001E-3</v>
      </c>
      <c r="AG46" s="95">
        <f t="shared" si="4"/>
        <v>29542</v>
      </c>
      <c r="AI46" s="199">
        <f>'[9]HARVESTING KHT'!$AL24</f>
        <v>5431950.8999999994</v>
      </c>
      <c r="AJ46" s="200">
        <f t="shared" si="10"/>
        <v>176476</v>
      </c>
      <c r="AK46" s="199">
        <f t="shared" si="5"/>
        <v>5908426.8999999994</v>
      </c>
      <c r="AL46" s="201">
        <f t="shared" si="11"/>
        <v>0.89999999944120646</v>
      </c>
    </row>
    <row r="47" spans="2:38" s="173" customFormat="1" ht="18" customHeight="1">
      <c r="B47" s="174">
        <v>38</v>
      </c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3"/>
        <v>TER B</v>
      </c>
      <c r="K47" s="182">
        <f>31*121333.33</f>
        <v>3761333.23</v>
      </c>
      <c r="L47" s="169">
        <f t="shared" si="7"/>
        <v>30575.999999999996</v>
      </c>
      <c r="M47" s="189">
        <f>'[9]HARVESTING KHT'!$AQ25</f>
        <v>146200</v>
      </c>
      <c r="N47" s="189">
        <f>'[9]HARVESTING KHT'!$U25</f>
        <v>162000</v>
      </c>
      <c r="O47" s="189"/>
      <c r="P47" s="189"/>
      <c r="Q47" s="189"/>
      <c r="R47" s="189">
        <f>'[9]HARVESTING KHT'!$AA25</f>
        <v>34220</v>
      </c>
      <c r="S47" s="189">
        <f>'[9]HARVESTING KHT'!$AB25</f>
        <v>91350</v>
      </c>
      <c r="T47" s="189">
        <f>'[9]HARVESTING KHT'!$AC25</f>
        <v>0</v>
      </c>
      <c r="U47" s="189">
        <f>'[9]HARVESTING KHT'!$AF25</f>
        <v>0</v>
      </c>
      <c r="V47" s="189">
        <f>'[9]HARVESTING KHT'!$AH25</f>
        <v>0</v>
      </c>
      <c r="W47" s="189">
        <f>'[6]HARVESTING KHT'!$AK29</f>
        <v>0</v>
      </c>
      <c r="X47" s="189">
        <f>'[9]HARVESTING KHT'!$Z25</f>
        <v>15000</v>
      </c>
      <c r="Y47" s="189">
        <f>-'[9]HARVESTING KHT'!$AI25</f>
        <v>0</v>
      </c>
      <c r="Z47" s="189"/>
      <c r="AA47" s="189"/>
      <c r="AB47" s="189">
        <f>-'[9]HARVESTING KHT'!$BI25</f>
        <v>-121333.33</v>
      </c>
      <c r="AC47" s="189"/>
      <c r="AD47" s="189">
        <f>[8]PANEN!$F25</f>
        <v>300000</v>
      </c>
      <c r="AE47" s="183">
        <f t="shared" si="8"/>
        <v>4419345</v>
      </c>
      <c r="AF47" s="184">
        <f t="shared" si="9"/>
        <v>0</v>
      </c>
      <c r="AG47" s="95">
        <f t="shared" si="4"/>
        <v>0</v>
      </c>
      <c r="AI47" s="199">
        <f>'[9]HARVESTING KHT'!$AL25</f>
        <v>3942569.9000000004</v>
      </c>
      <c r="AJ47" s="200">
        <f t="shared" si="10"/>
        <v>176776</v>
      </c>
      <c r="AK47" s="199">
        <f t="shared" si="5"/>
        <v>4419345.9000000004</v>
      </c>
      <c r="AL47" s="201">
        <f t="shared" si="11"/>
        <v>0.90000000037252903</v>
      </c>
    </row>
    <row r="48" spans="2:38" s="173" customFormat="1" ht="18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3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9"/>
        <v>0</v>
      </c>
      <c r="AG48" s="95">
        <f t="shared" si="4"/>
        <v>0</v>
      </c>
      <c r="AI48" s="199"/>
      <c r="AJ48" s="200">
        <f t="shared" si="10"/>
        <v>0</v>
      </c>
      <c r="AK48" s="199">
        <f t="shared" si="5"/>
        <v>0</v>
      </c>
      <c r="AL48" s="201">
        <f t="shared" si="11"/>
        <v>0</v>
      </c>
    </row>
    <row r="49" spans="2:38" s="173" customFormat="1" ht="18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3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9"/>
        <v>0</v>
      </c>
      <c r="AG49" s="95">
        <f t="shared" si="4"/>
        <v>0</v>
      </c>
      <c r="AI49" s="199"/>
      <c r="AJ49" s="200">
        <f t="shared" si="10"/>
        <v>0</v>
      </c>
      <c r="AK49" s="199">
        <f t="shared" si="5"/>
        <v>0</v>
      </c>
      <c r="AL49" s="201">
        <f t="shared" si="11"/>
        <v>0</v>
      </c>
    </row>
    <row r="50" spans="2:38" s="173" customFormat="1" ht="18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3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9"/>
        <v>0</v>
      </c>
      <c r="AG50" s="95">
        <f t="shared" si="4"/>
        <v>0</v>
      </c>
      <c r="AI50" s="199"/>
      <c r="AJ50" s="200">
        <f t="shared" si="10"/>
        <v>0</v>
      </c>
      <c r="AK50" s="199">
        <f t="shared" si="5"/>
        <v>0</v>
      </c>
      <c r="AL50" s="201">
        <f t="shared" si="11"/>
        <v>0</v>
      </c>
    </row>
    <row r="51" spans="2:38" s="173" customFormat="1" ht="18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3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9"/>
        <v>0</v>
      </c>
      <c r="AG51" s="95">
        <f t="shared" si="4"/>
        <v>0</v>
      </c>
      <c r="AI51" s="199"/>
      <c r="AJ51" s="200">
        <f t="shared" si="10"/>
        <v>0</v>
      </c>
      <c r="AK51" s="199">
        <f t="shared" si="5"/>
        <v>0</v>
      </c>
      <c r="AL51" s="201">
        <f t="shared" si="11"/>
        <v>0</v>
      </c>
    </row>
    <row r="52" spans="2:38" s="173" customFormat="1" ht="18" customHeight="1">
      <c r="B52" s="174">
        <v>39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3"/>
        <v>TER B</v>
      </c>
      <c r="K52" s="182">
        <f>31*121333.33</f>
        <v>3761333.23</v>
      </c>
      <c r="L52" s="169">
        <f t="shared" si="7"/>
        <v>30575.999999999996</v>
      </c>
      <c r="M52" s="189">
        <f>'[9]HARVESTING KHT'!$AQ26</f>
        <v>145800</v>
      </c>
      <c r="N52" s="189">
        <f>'[9]HARVESTING KHT'!$U26</f>
        <v>162000</v>
      </c>
      <c r="O52" s="189"/>
      <c r="P52" s="189"/>
      <c r="Q52" s="189"/>
      <c r="R52" s="189">
        <f>'[9]HARVESTING KHT'!$AA26</f>
        <v>359310</v>
      </c>
      <c r="S52" s="189">
        <f>'[9]HARVESTING KHT'!$AB26</f>
        <v>207900</v>
      </c>
      <c r="T52" s="189">
        <f>'[9]HARVESTING KHT'!$AC26</f>
        <v>0</v>
      </c>
      <c r="U52" s="189">
        <f>'[9]HARVESTING KHT'!$AF26</f>
        <v>0</v>
      </c>
      <c r="V52" s="189">
        <f>'[9]HARVESTING KHT'!$AH26</f>
        <v>0</v>
      </c>
      <c r="W52" s="189">
        <f>'[6]HARVESTING KHT'!$AK34</f>
        <v>0</v>
      </c>
      <c r="X52" s="189">
        <f>'[9]HARVESTING KHT'!$Z26</f>
        <v>5000</v>
      </c>
      <c r="Y52" s="189">
        <f>-'[9]HARVESTING KHT'!$AI26</f>
        <v>0</v>
      </c>
      <c r="Z52" s="189"/>
      <c r="AA52" s="189"/>
      <c r="AB52" s="189">
        <f>-'[9]HARVESTING KHT'!$BI26</f>
        <v>-121333.33</v>
      </c>
      <c r="AC52" s="189"/>
      <c r="AD52" s="189">
        <f>[8]PANEN!$F26</f>
        <v>300000</v>
      </c>
      <c r="AE52" s="183">
        <f t="shared" si="8"/>
        <v>4850585</v>
      </c>
      <c r="AF52" s="184">
        <f t="shared" si="9"/>
        <v>0</v>
      </c>
      <c r="AG52" s="95">
        <f t="shared" si="4"/>
        <v>0</v>
      </c>
      <c r="AI52" s="199">
        <f>'[9]HARVESTING KHT'!$AL26</f>
        <v>4374209.8999999994</v>
      </c>
      <c r="AJ52" s="200">
        <f t="shared" si="10"/>
        <v>176376</v>
      </c>
      <c r="AK52" s="199">
        <f t="shared" si="5"/>
        <v>4850585.8999999994</v>
      </c>
      <c r="AL52" s="201">
        <f t="shared" si="11"/>
        <v>0.89999999944120646</v>
      </c>
    </row>
    <row r="53" spans="2:38" s="173" customFormat="1" ht="18" customHeight="1">
      <c r="B53" s="174">
        <v>40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3"/>
        <v>TER B</v>
      </c>
      <c r="K53" s="182">
        <f>31*121333.33</f>
        <v>3761333.23</v>
      </c>
      <c r="L53" s="169">
        <f t="shared" si="7"/>
        <v>30575.999999999996</v>
      </c>
      <c r="M53" s="189">
        <f>'[9]HARVESTING KHT'!$AQ27</f>
        <v>145700</v>
      </c>
      <c r="N53" s="189">
        <f>'[9]HARVESTING KHT'!$U27</f>
        <v>86400</v>
      </c>
      <c r="O53" s="189"/>
      <c r="P53" s="189"/>
      <c r="Q53" s="189"/>
      <c r="R53" s="189">
        <f>'[9]HARVESTING KHT'!$AA27</f>
        <v>275471</v>
      </c>
      <c r="S53" s="189">
        <f>'[9]HARVESTING KHT'!$AB27</f>
        <v>96600</v>
      </c>
      <c r="T53" s="189">
        <f>'[9]HARVESTING KHT'!$AC27</f>
        <v>0</v>
      </c>
      <c r="U53" s="189">
        <f>'[9]HARVESTING KHT'!$AF27</f>
        <v>0</v>
      </c>
      <c r="V53" s="189">
        <f>'[9]HARVESTING KHT'!$AH27</f>
        <v>0</v>
      </c>
      <c r="W53" s="189">
        <f>'[6]HARVESTING KHT'!$AK35</f>
        <v>0</v>
      </c>
      <c r="X53" s="189">
        <f>'[9]HARVESTING KHT'!$Z27</f>
        <v>2500</v>
      </c>
      <c r="Y53" s="189">
        <f>-'[9]HARVESTING KHT'!$AI27</f>
        <v>0</v>
      </c>
      <c r="Z53" s="189"/>
      <c r="AA53" s="189"/>
      <c r="AB53" s="189">
        <f>-'[9]HARVESTING KHT'!$BI27</f>
        <v>-1819999.95</v>
      </c>
      <c r="AC53" s="189"/>
      <c r="AD53" s="189">
        <f>[8]PANEN!$F27</f>
        <v>650000</v>
      </c>
      <c r="AE53" s="183">
        <f t="shared" si="8"/>
        <v>3228580</v>
      </c>
      <c r="AF53" s="184">
        <f t="shared" si="9"/>
        <v>0</v>
      </c>
      <c r="AG53" s="95">
        <f t="shared" si="4"/>
        <v>0</v>
      </c>
      <c r="AI53" s="199">
        <f>'[9]HARVESTING KHT'!$AL27</f>
        <v>2402304.2800000003</v>
      </c>
      <c r="AJ53" s="200">
        <f t="shared" si="10"/>
        <v>176276</v>
      </c>
      <c r="AK53" s="199">
        <f t="shared" si="5"/>
        <v>3228580.2800000003</v>
      </c>
      <c r="AL53" s="201">
        <f t="shared" si="11"/>
        <v>0.28000000026077032</v>
      </c>
    </row>
    <row r="54" spans="2:38" s="173" customFormat="1" ht="18" customHeight="1">
      <c r="B54" s="174">
        <v>41</v>
      </c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3"/>
        <v>TER B</v>
      </c>
      <c r="K54" s="182">
        <f>31*121333.33</f>
        <v>3761333.23</v>
      </c>
      <c r="L54" s="169">
        <f t="shared" si="7"/>
        <v>30575.999999999996</v>
      </c>
      <c r="M54" s="189">
        <f>'[9]HARVESTING KHT'!$AQ28</f>
        <v>145600</v>
      </c>
      <c r="N54" s="189">
        <f>'[9]HARVESTING KHT'!$U28</f>
        <v>167400</v>
      </c>
      <c r="O54" s="189"/>
      <c r="P54" s="189"/>
      <c r="Q54" s="189"/>
      <c r="R54" s="189">
        <f>'[9]HARVESTING KHT'!$AA28</f>
        <v>0</v>
      </c>
      <c r="S54" s="189">
        <f>'[9]HARVESTING KHT'!$AB28</f>
        <v>217350</v>
      </c>
      <c r="T54" s="189">
        <f>'[9]HARVESTING KHT'!$AC28</f>
        <v>0</v>
      </c>
      <c r="U54" s="189">
        <f>'[9]HARVESTING KHT'!$AF28</f>
        <v>0</v>
      </c>
      <c r="V54" s="189">
        <f>'[9]HARVESTING KHT'!$AH28</f>
        <v>0</v>
      </c>
      <c r="W54" s="189">
        <f>'[6]HARVESTING KHT'!$AK36</f>
        <v>0</v>
      </c>
      <c r="X54" s="189">
        <f>'[9]HARVESTING KHT'!$Z28</f>
        <v>0</v>
      </c>
      <c r="Y54" s="189">
        <f>-'[9]HARVESTING KHT'!$AI28</f>
        <v>0</v>
      </c>
      <c r="Z54" s="189"/>
      <c r="AA54" s="189"/>
      <c r="AB54" s="189">
        <f>-'[9]HARVESTING KHT'!$BI28</f>
        <v>0</v>
      </c>
      <c r="AC54" s="189"/>
      <c r="AD54" s="189">
        <f>[8]PANEN!$F28</f>
        <v>270000</v>
      </c>
      <c r="AE54" s="183">
        <f t="shared" si="8"/>
        <v>4592259</v>
      </c>
      <c r="AF54" s="184">
        <f t="shared" si="9"/>
        <v>0</v>
      </c>
      <c r="AG54" s="95">
        <f t="shared" si="4"/>
        <v>0</v>
      </c>
      <c r="AI54" s="199">
        <f>'[9]HARVESTING KHT'!$AL28</f>
        <v>4146083.2299999995</v>
      </c>
      <c r="AJ54" s="200">
        <f t="shared" si="10"/>
        <v>176176</v>
      </c>
      <c r="AK54" s="199">
        <f t="shared" si="5"/>
        <v>4592259.2299999995</v>
      </c>
      <c r="AL54" s="201">
        <f t="shared" si="11"/>
        <v>0.22999999951571226</v>
      </c>
    </row>
    <row r="55" spans="2:38" s="173" customFormat="1" ht="18" customHeight="1">
      <c r="B55" s="174">
        <v>42</v>
      </c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3"/>
        <v>TER B</v>
      </c>
      <c r="K55" s="182">
        <f>31*121333.33</f>
        <v>3761333.23</v>
      </c>
      <c r="L55" s="169">
        <f t="shared" si="7"/>
        <v>30575.999999999996</v>
      </c>
      <c r="M55" s="189">
        <f>'[9]HARVESTING KHT'!$AQ29</f>
        <v>145600</v>
      </c>
      <c r="N55" s="189">
        <f>'[9]HARVESTING KHT'!$U29</f>
        <v>111600</v>
      </c>
      <c r="O55" s="189"/>
      <c r="P55" s="189"/>
      <c r="Q55" s="189"/>
      <c r="R55" s="189">
        <f>'[9]HARVESTING KHT'!$AA29</f>
        <v>88972</v>
      </c>
      <c r="S55" s="189">
        <f>'[9]HARVESTING KHT'!$AB29</f>
        <v>216300</v>
      </c>
      <c r="T55" s="189">
        <f>'[9]HARVESTING KHT'!$AC29</f>
        <v>0</v>
      </c>
      <c r="U55" s="189">
        <f>'[9]HARVESTING KHT'!$AF29</f>
        <v>0</v>
      </c>
      <c r="V55" s="189">
        <f>'[9]HARVESTING KHT'!$AH29</f>
        <v>0</v>
      </c>
      <c r="W55" s="189">
        <f>'[6]HARVESTING KHT'!$AK37</f>
        <v>0</v>
      </c>
      <c r="X55" s="189">
        <f>'[9]HARVESTING KHT'!$Z29</f>
        <v>0</v>
      </c>
      <c r="Y55" s="189">
        <f>-'[9]HARVESTING KHT'!$AI29</f>
        <v>0</v>
      </c>
      <c r="Z55" s="189"/>
      <c r="AA55" s="189"/>
      <c r="AB55" s="189">
        <f>-'[9]HARVESTING KHT'!$BI29</f>
        <v>0</v>
      </c>
      <c r="AC55" s="189"/>
      <c r="AD55" s="189">
        <f>[8]PANEN!$F29</f>
        <v>225000</v>
      </c>
      <c r="AE55" s="183">
        <f t="shared" si="8"/>
        <v>4579381</v>
      </c>
      <c r="AF55" s="184">
        <f t="shared" si="9"/>
        <v>0</v>
      </c>
      <c r="AG55" s="95">
        <f t="shared" si="4"/>
        <v>0</v>
      </c>
      <c r="AI55" s="199">
        <f>'[9]HARVESTING KHT'!$AL29</f>
        <v>4178205.2299999995</v>
      </c>
      <c r="AJ55" s="200">
        <f t="shared" si="10"/>
        <v>176176</v>
      </c>
      <c r="AK55" s="199">
        <f t="shared" si="5"/>
        <v>4579381.2299999995</v>
      </c>
      <c r="AL55" s="201">
        <f t="shared" si="11"/>
        <v>0.22999999951571226</v>
      </c>
    </row>
    <row r="56" spans="2:38" s="173" customFormat="1" ht="18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3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9"/>
        <v>0</v>
      </c>
      <c r="AG56" s="95">
        <f t="shared" si="4"/>
        <v>0</v>
      </c>
      <c r="AI56" s="199"/>
      <c r="AJ56" s="200">
        <f t="shared" si="10"/>
        <v>0</v>
      </c>
      <c r="AK56" s="199">
        <f t="shared" si="5"/>
        <v>0</v>
      </c>
      <c r="AL56" s="201">
        <f t="shared" si="11"/>
        <v>0</v>
      </c>
    </row>
    <row r="57" spans="2:38" s="173" customFormat="1" ht="18" customHeight="1">
      <c r="B57" s="174">
        <v>44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3"/>
        <v>TER B</v>
      </c>
      <c r="K57" s="182">
        <f>31*121333.33</f>
        <v>3761333.23</v>
      </c>
      <c r="L57" s="169">
        <f t="shared" si="7"/>
        <v>30575.999999999996</v>
      </c>
      <c r="M57" s="189">
        <f>'[9]HARVESTING KHT'!$AQ30</f>
        <v>146000</v>
      </c>
      <c r="N57" s="189">
        <f>'[9]HARVESTING KHT'!$U30</f>
        <v>167400</v>
      </c>
      <c r="O57" s="189"/>
      <c r="P57" s="189"/>
      <c r="Q57" s="189"/>
      <c r="R57" s="189">
        <f>'[9]HARVESTING KHT'!$AA30</f>
        <v>763106</v>
      </c>
      <c r="S57" s="189">
        <f>'[9]HARVESTING KHT'!$AB30</f>
        <v>302400</v>
      </c>
      <c r="T57" s="189">
        <f>'[9]HARVESTING KHT'!$AC30</f>
        <v>0</v>
      </c>
      <c r="U57" s="189">
        <f>'[9]HARVESTING KHT'!$AF30</f>
        <v>0</v>
      </c>
      <c r="V57" s="189">
        <f>'[9]HARVESTING KHT'!$AH30</f>
        <v>150000</v>
      </c>
      <c r="W57" s="189">
        <f>'[6]HARVESTING KHT'!$AK39</f>
        <v>0</v>
      </c>
      <c r="X57" s="189">
        <f>'[9]HARVESTING KHT'!$Z30</f>
        <v>10000</v>
      </c>
      <c r="Y57" s="189">
        <f>-'[9]HARVESTING KHT'!$AI30</f>
        <v>0</v>
      </c>
      <c r="Z57" s="189"/>
      <c r="AA57" s="189"/>
      <c r="AB57" s="189">
        <f>-'[9]HARVESTING KHT'!$BI30</f>
        <v>0</v>
      </c>
      <c r="AC57" s="189"/>
      <c r="AD57" s="189">
        <f>[8]PANEN!$F31</f>
        <v>540000</v>
      </c>
      <c r="AE57" s="183">
        <f t="shared" si="8"/>
        <v>5870815</v>
      </c>
      <c r="AF57" s="184">
        <f t="shared" si="9"/>
        <v>0</v>
      </c>
      <c r="AG57" s="95">
        <f t="shared" si="4"/>
        <v>0</v>
      </c>
      <c r="AI57" s="199">
        <f>'[9]HARVESTING KHT'!$AL30</f>
        <v>5154239.2299999995</v>
      </c>
      <c r="AJ57" s="200">
        <f t="shared" si="10"/>
        <v>176576</v>
      </c>
      <c r="AK57" s="199">
        <f t="shared" si="5"/>
        <v>5870815.2299999995</v>
      </c>
      <c r="AL57" s="201">
        <f t="shared" si="11"/>
        <v>0.22999999951571226</v>
      </c>
    </row>
    <row r="58" spans="2:38" s="173" customFormat="1" ht="18" customHeight="1">
      <c r="B58" s="174">
        <v>45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3"/>
        <v>TER A</v>
      </c>
      <c r="K58" s="182">
        <f t="shared" ref="K58:K66" si="12">31*121333.33</f>
        <v>3761333.23</v>
      </c>
      <c r="L58" s="169">
        <f t="shared" si="7"/>
        <v>30575.999999999996</v>
      </c>
      <c r="M58" s="189">
        <f>'[9]HARVESTING KHT'!$AQ31</f>
        <v>145700</v>
      </c>
      <c r="N58" s="189">
        <f>'[9]HARVESTING KHT'!$U31</f>
        <v>111600</v>
      </c>
      <c r="O58" s="189"/>
      <c r="P58" s="189"/>
      <c r="Q58" s="189"/>
      <c r="R58" s="189">
        <f>'[9]HARVESTING KHT'!$AA31</f>
        <v>419195</v>
      </c>
      <c r="S58" s="189">
        <f>'[9]HARVESTING KHT'!$AB31</f>
        <v>300300</v>
      </c>
      <c r="T58" s="189">
        <f>'[9]HARVESTING KHT'!$AC31</f>
        <v>0</v>
      </c>
      <c r="U58" s="189">
        <f>'[9]HARVESTING KHT'!$AF31</f>
        <v>0</v>
      </c>
      <c r="V58" s="189">
        <f>'[9]HARVESTING KHT'!$AH31</f>
        <v>0</v>
      </c>
      <c r="W58" s="189">
        <f>'[6]HARVESTING KHT'!$AK40</f>
        <v>0</v>
      </c>
      <c r="X58" s="189">
        <f>'[9]HARVESTING KHT'!$Z31</f>
        <v>2500</v>
      </c>
      <c r="Y58" s="189">
        <f>-'[9]HARVESTING KHT'!$AI31</f>
        <v>0</v>
      </c>
      <c r="Z58" s="189"/>
      <c r="AA58" s="189"/>
      <c r="AB58" s="189">
        <f>-'[9]HARVESTING KHT'!$BI31</f>
        <v>0</v>
      </c>
      <c r="AC58" s="189"/>
      <c r="AD58" s="189">
        <f>[8]PANEN!$F32</f>
        <v>315000</v>
      </c>
      <c r="AE58" s="183">
        <f t="shared" si="8"/>
        <v>5086204</v>
      </c>
      <c r="AF58" s="184">
        <f t="shared" si="9"/>
        <v>0</v>
      </c>
      <c r="AG58" s="95">
        <f t="shared" si="4"/>
        <v>0</v>
      </c>
      <c r="AI58" s="199">
        <f>'[9]HARVESTING KHT'!$AL31</f>
        <v>4594928.2299999995</v>
      </c>
      <c r="AJ58" s="200">
        <f t="shared" si="10"/>
        <v>176276</v>
      </c>
      <c r="AK58" s="199">
        <f t="shared" si="5"/>
        <v>5086204.2299999995</v>
      </c>
      <c r="AL58" s="201">
        <f t="shared" si="11"/>
        <v>0.22999999951571226</v>
      </c>
    </row>
    <row r="59" spans="2:38" s="173" customFormat="1" ht="18" customHeight="1">
      <c r="B59" s="174">
        <v>46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3"/>
        <v>TER C</v>
      </c>
      <c r="K59" s="182">
        <f t="shared" si="12"/>
        <v>3761333.23</v>
      </c>
      <c r="L59" s="169">
        <f t="shared" si="7"/>
        <v>30575.999999999996</v>
      </c>
      <c r="M59" s="189">
        <f>'[9]HARVESTING KHT'!$AQ32</f>
        <v>145600</v>
      </c>
      <c r="N59" s="189">
        <f>'[9]HARVESTING KHT'!$U32</f>
        <v>167400</v>
      </c>
      <c r="O59" s="189"/>
      <c r="P59" s="189"/>
      <c r="Q59" s="189"/>
      <c r="R59" s="189">
        <f>'[9]HARVESTING KHT'!$AA32</f>
        <v>272049</v>
      </c>
      <c r="S59" s="189">
        <f>'[9]HARVESTING KHT'!$AB32</f>
        <v>144900</v>
      </c>
      <c r="T59" s="189">
        <f>'[9]HARVESTING KHT'!$AC32</f>
        <v>0</v>
      </c>
      <c r="U59" s="189">
        <f>'[9]HARVESTING KHT'!$AF32</f>
        <v>0</v>
      </c>
      <c r="V59" s="189">
        <f>'[9]HARVESTING KHT'!$AH32</f>
        <v>0</v>
      </c>
      <c r="W59" s="189">
        <f>'[6]HARVESTING KHT'!$AK41</f>
        <v>0</v>
      </c>
      <c r="X59" s="189">
        <f>'[9]HARVESTING KHT'!$Z32</f>
        <v>0</v>
      </c>
      <c r="Y59" s="189">
        <f>-'[9]HARVESTING KHT'!$AI32</f>
        <v>0</v>
      </c>
      <c r="Z59" s="189"/>
      <c r="AA59" s="189"/>
      <c r="AB59" s="189">
        <f>-'[9]HARVESTING KHT'!$BI32</f>
        <v>0</v>
      </c>
      <c r="AC59" s="189"/>
      <c r="AD59" s="189"/>
      <c r="AE59" s="183">
        <f t="shared" si="8"/>
        <v>4521858</v>
      </c>
      <c r="AF59" s="184">
        <f t="shared" si="9"/>
        <v>0</v>
      </c>
      <c r="AG59" s="95">
        <f t="shared" si="4"/>
        <v>0</v>
      </c>
      <c r="AI59" s="199">
        <f>'[9]HARVESTING KHT'!$AL32</f>
        <v>4345682.2299999995</v>
      </c>
      <c r="AJ59" s="200">
        <f t="shared" si="10"/>
        <v>176176</v>
      </c>
      <c r="AK59" s="199">
        <f t="shared" si="5"/>
        <v>4521858.2299999995</v>
      </c>
      <c r="AL59" s="201">
        <f t="shared" si="11"/>
        <v>0.22999999951571226</v>
      </c>
    </row>
    <row r="60" spans="2:38" s="173" customFormat="1" ht="18" customHeight="1">
      <c r="B60" s="174">
        <v>47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3"/>
        <v>TER C</v>
      </c>
      <c r="K60" s="182">
        <f t="shared" si="12"/>
        <v>3761333.23</v>
      </c>
      <c r="L60" s="169">
        <f t="shared" si="7"/>
        <v>30575.999999999996</v>
      </c>
      <c r="M60" s="189">
        <f>'[9]HARVESTING KHT'!$AQ33</f>
        <v>145600</v>
      </c>
      <c r="N60" s="189">
        <f>'[9]HARVESTING KHT'!$U33</f>
        <v>167400</v>
      </c>
      <c r="O60" s="189"/>
      <c r="P60" s="189">
        <f>'[9]HARVESTING KHT'!$AD$33</f>
        <v>73641.61</v>
      </c>
      <c r="Q60" s="189"/>
      <c r="R60" s="189">
        <f>'[9]HARVESTING KHT'!$AA33</f>
        <v>547520</v>
      </c>
      <c r="S60" s="189">
        <f>'[9]HARVESTING KHT'!$AB33</f>
        <v>198450</v>
      </c>
      <c r="T60" s="189">
        <f>'[9]HARVESTING KHT'!$AC33</f>
        <v>0</v>
      </c>
      <c r="U60" s="189">
        <f>'[9]HARVESTING KHT'!$AF33</f>
        <v>0</v>
      </c>
      <c r="V60" s="189">
        <f>'[9]HARVESTING KHT'!$AH33</f>
        <v>0</v>
      </c>
      <c r="W60" s="189">
        <f>'[6]HARVESTING KHT'!$AK42</f>
        <v>0</v>
      </c>
      <c r="X60" s="189">
        <f>'[9]HARVESTING KHT'!$Z33</f>
        <v>0</v>
      </c>
      <c r="Y60" s="189">
        <f>-'[9]HARVESTING KHT'!$AI33</f>
        <v>0</v>
      </c>
      <c r="Z60" s="189"/>
      <c r="AA60" s="189"/>
      <c r="AB60" s="189">
        <f>-'[9]HARVESTING KHT'!$BI33</f>
        <v>0</v>
      </c>
      <c r="AC60" s="189"/>
      <c r="AD60" s="189"/>
      <c r="AE60" s="183">
        <f t="shared" si="8"/>
        <v>4924520</v>
      </c>
      <c r="AF60" s="184">
        <f t="shared" si="9"/>
        <v>0</v>
      </c>
      <c r="AG60" s="95">
        <f t="shared" si="4"/>
        <v>0</v>
      </c>
      <c r="AI60" s="199">
        <f>'[9]HARVESTING KHT'!$AL33</f>
        <v>4748344.84</v>
      </c>
      <c r="AJ60" s="200">
        <f t="shared" si="10"/>
        <v>176176</v>
      </c>
      <c r="AK60" s="199">
        <f t="shared" si="5"/>
        <v>4924520.84</v>
      </c>
      <c r="AL60" s="201">
        <f t="shared" si="11"/>
        <v>0.83999999985098839</v>
      </c>
    </row>
    <row r="61" spans="2:38" s="173" customFormat="1" ht="18" customHeight="1">
      <c r="B61" s="174">
        <v>48</v>
      </c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3"/>
        <v>TER B</v>
      </c>
      <c r="K61" s="182">
        <f>25*121333.33</f>
        <v>3033333.25</v>
      </c>
      <c r="L61" s="169">
        <f t="shared" si="7"/>
        <v>30575.999999999996</v>
      </c>
      <c r="M61" s="189">
        <f>'[9]HARVESTING KHT'!$AQ34</f>
        <v>145900</v>
      </c>
      <c r="N61" s="189">
        <f>'[9]HARVESTING KHT'!$U34</f>
        <v>113400</v>
      </c>
      <c r="O61" s="189"/>
      <c r="P61" s="189"/>
      <c r="Q61" s="189"/>
      <c r="R61" s="189">
        <f>'[9]HARVESTING KHT'!$AA34</f>
        <v>0</v>
      </c>
      <c r="S61" s="189">
        <f>'[9]HARVESTING KHT'!$AB34</f>
        <v>96600</v>
      </c>
      <c r="T61" s="189">
        <f>'[9]HARVESTING KHT'!$AC34</f>
        <v>0</v>
      </c>
      <c r="U61" s="189">
        <f>'[9]HARVESTING KHT'!$AF34</f>
        <v>0</v>
      </c>
      <c r="V61" s="189">
        <f>'[9]HARVESTING KHT'!$AH34</f>
        <v>0</v>
      </c>
      <c r="W61" s="189">
        <f>'[6]HARVESTING KHT'!$AK43</f>
        <v>0</v>
      </c>
      <c r="X61" s="189">
        <f>'[9]HARVESTING KHT'!$Z34</f>
        <v>7500</v>
      </c>
      <c r="Y61" s="189">
        <f>-'[9]HARVESTING KHT'!$AI34</f>
        <v>0</v>
      </c>
      <c r="Z61" s="189"/>
      <c r="AA61" s="189"/>
      <c r="AB61" s="189">
        <f>-'[9]HARVESTING KHT'!$BI34</f>
        <v>-485333.32</v>
      </c>
      <c r="AC61" s="189"/>
      <c r="AD61" s="189">
        <f>[8]PANEN!$F33</f>
        <v>300000</v>
      </c>
      <c r="AE61" s="183">
        <f t="shared" si="8"/>
        <v>3241975</v>
      </c>
      <c r="AF61" s="184">
        <f t="shared" si="9"/>
        <v>0</v>
      </c>
      <c r="AG61" s="95">
        <f t="shared" si="4"/>
        <v>0</v>
      </c>
      <c r="AI61" s="199">
        <f>'[9]HARVESTING KHT'!$AL34</f>
        <v>2765499.9299999997</v>
      </c>
      <c r="AJ61" s="200">
        <f t="shared" si="10"/>
        <v>176476</v>
      </c>
      <c r="AK61" s="199">
        <f t="shared" si="5"/>
        <v>3241975.9299999997</v>
      </c>
      <c r="AL61" s="201">
        <f t="shared" si="11"/>
        <v>0.92999999970197678</v>
      </c>
    </row>
    <row r="62" spans="2:38" s="173" customFormat="1" ht="18" customHeight="1">
      <c r="B62" s="174">
        <v>49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3"/>
        <v>TER B</v>
      </c>
      <c r="K62" s="182">
        <f t="shared" si="12"/>
        <v>3761333.23</v>
      </c>
      <c r="L62" s="169">
        <f t="shared" si="7"/>
        <v>30575.999999999996</v>
      </c>
      <c r="M62" s="189">
        <f>'[9]HARVESTING KHT'!$AQ35</f>
        <v>145900</v>
      </c>
      <c r="N62" s="189">
        <f>'[9]HARVESTING KHT'!$U35</f>
        <v>167400</v>
      </c>
      <c r="O62" s="189"/>
      <c r="P62" s="189"/>
      <c r="Q62" s="189"/>
      <c r="R62" s="189">
        <f>'[9]HARVESTING KHT'!$AA35</f>
        <v>1502258</v>
      </c>
      <c r="S62" s="189">
        <f>'[9]HARVESTING KHT'!$AB35</f>
        <v>214200</v>
      </c>
      <c r="T62" s="189">
        <f>'[9]HARVESTING KHT'!$AC35</f>
        <v>0</v>
      </c>
      <c r="U62" s="189">
        <f>'[9]HARVESTING KHT'!$AF35</f>
        <v>0</v>
      </c>
      <c r="V62" s="189">
        <f>'[9]HARVESTING KHT'!$AH35</f>
        <v>300000</v>
      </c>
      <c r="W62" s="189">
        <f>'[6]HARVESTING KHT'!$AK44</f>
        <v>0</v>
      </c>
      <c r="X62" s="189">
        <f>'[9]HARVESTING KHT'!$Z35</f>
        <v>7500</v>
      </c>
      <c r="Y62" s="189">
        <f>-'[9]HARVESTING KHT'!$AI35</f>
        <v>0</v>
      </c>
      <c r="Z62" s="189"/>
      <c r="AA62" s="189"/>
      <c r="AB62" s="189">
        <f>-'[9]HARVESTING KHT'!$BI35</f>
        <v>0</v>
      </c>
      <c r="AC62" s="189"/>
      <c r="AD62" s="189">
        <f>[8]PANEN!$F34</f>
        <v>300000</v>
      </c>
      <c r="AE62" s="183">
        <f t="shared" si="8"/>
        <v>6429167</v>
      </c>
      <c r="AF62" s="184">
        <f t="shared" si="9"/>
        <v>2.5000000000000001E-3</v>
      </c>
      <c r="AG62" s="95">
        <f t="shared" si="4"/>
        <v>16072</v>
      </c>
      <c r="AI62" s="199">
        <f>'[9]HARVESTING KHT'!$AL35</f>
        <v>5952691.2299999995</v>
      </c>
      <c r="AJ62" s="200">
        <f t="shared" si="10"/>
        <v>176476</v>
      </c>
      <c r="AK62" s="199">
        <f t="shared" si="5"/>
        <v>6429167.2299999995</v>
      </c>
      <c r="AL62" s="201">
        <f t="shared" si="11"/>
        <v>0.22999999951571226</v>
      </c>
    </row>
    <row r="63" spans="2:38" s="173" customFormat="1" ht="18" customHeight="1">
      <c r="B63" s="174">
        <v>50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3"/>
        <v>TER B</v>
      </c>
      <c r="K63" s="182">
        <f t="shared" si="12"/>
        <v>3761333.23</v>
      </c>
      <c r="L63" s="169">
        <f t="shared" si="7"/>
        <v>30575.999999999996</v>
      </c>
      <c r="M63" s="189">
        <f>[9]TRANSPORT!$AH11</f>
        <v>146920</v>
      </c>
      <c r="N63" s="189">
        <f>[9]TRANSPORT!$S11</f>
        <v>135000</v>
      </c>
      <c r="O63" s="189">
        <f>[9]TRANSPORT!$V11</f>
        <v>66000</v>
      </c>
      <c r="P63" s="189">
        <f>[9]TRANSPORT!$Z11</f>
        <v>925780.24</v>
      </c>
      <c r="Q63" s="189">
        <f>[9]TRANSPORT!$Y11</f>
        <v>674095</v>
      </c>
      <c r="R63" s="189"/>
      <c r="S63" s="189"/>
      <c r="T63" s="189"/>
      <c r="U63" s="189"/>
      <c r="V63" s="189"/>
      <c r="W63" s="189"/>
      <c r="X63" s="189">
        <f>[9]TRANSPORT!$X11</f>
        <v>33000</v>
      </c>
      <c r="Y63" s="189"/>
      <c r="Z63" s="189"/>
      <c r="AA63" s="189"/>
      <c r="AB63" s="189">
        <f>-[9]TRANSPORT!$AX11</f>
        <v>-121333.33</v>
      </c>
      <c r="AC63" s="189"/>
      <c r="AD63" s="189">
        <f>[8]OPERATOR!$F10</f>
        <v>300000</v>
      </c>
      <c r="AE63" s="183">
        <f t="shared" si="8"/>
        <v>5951371</v>
      </c>
      <c r="AF63" s="184">
        <f t="shared" si="9"/>
        <v>0</v>
      </c>
      <c r="AG63" s="95">
        <f t="shared" si="4"/>
        <v>0</v>
      </c>
      <c r="AI63" s="199">
        <f>[9]TRANSPORT!$AC11</f>
        <v>5473875.1400000006</v>
      </c>
      <c r="AJ63" s="200">
        <f t="shared" si="10"/>
        <v>177496</v>
      </c>
      <c r="AK63" s="199">
        <f t="shared" si="5"/>
        <v>5951371.1400000006</v>
      </c>
      <c r="AL63" s="201">
        <f t="shared" si="11"/>
        <v>0.14000000059604645</v>
      </c>
    </row>
    <row r="64" spans="2:38" s="173" customFormat="1" ht="18" customHeight="1">
      <c r="B64" s="174">
        <v>51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3"/>
        <v>TER B</v>
      </c>
      <c r="K64" s="182">
        <f t="shared" si="12"/>
        <v>3761333.23</v>
      </c>
      <c r="L64" s="169">
        <f t="shared" si="7"/>
        <v>30575.999999999996</v>
      </c>
      <c r="M64" s="189">
        <f>[9]TRANSPORT!$AH12</f>
        <v>147480</v>
      </c>
      <c r="N64" s="189">
        <f>[9]TRANSPORT!$S12</f>
        <v>156600</v>
      </c>
      <c r="O64" s="189">
        <f>[9]TRANSPORT!$V12</f>
        <v>42000</v>
      </c>
      <c r="P64" s="189">
        <f>[9]TRANSPORT!$Z12</f>
        <v>894219.55</v>
      </c>
      <c r="Q64" s="189">
        <f>[9]TRANSPORT!$Y12</f>
        <v>676080</v>
      </c>
      <c r="R64" s="189"/>
      <c r="S64" s="189"/>
      <c r="T64" s="189"/>
      <c r="U64" s="189"/>
      <c r="V64" s="189"/>
      <c r="W64" s="189"/>
      <c r="X64" s="189">
        <f>[9]TRANSPORT!$X12</f>
        <v>47000</v>
      </c>
      <c r="Y64" s="189"/>
      <c r="Z64" s="189"/>
      <c r="AA64" s="189"/>
      <c r="AB64" s="189">
        <f>-[9]TRANSPORT!$AX12</f>
        <v>-242666.66</v>
      </c>
      <c r="AC64" s="189"/>
      <c r="AD64" s="189">
        <f>[8]OPERATOR!$F11</f>
        <v>300000</v>
      </c>
      <c r="AE64" s="183">
        <f t="shared" si="8"/>
        <v>5812622</v>
      </c>
      <c r="AF64" s="184">
        <f t="shared" si="9"/>
        <v>0</v>
      </c>
      <c r="AG64" s="95">
        <f t="shared" si="4"/>
        <v>0</v>
      </c>
      <c r="AI64" s="199">
        <f>[9]TRANSPORT!$AC12</f>
        <v>5334566.12</v>
      </c>
      <c r="AJ64" s="200">
        <f t="shared" si="10"/>
        <v>178056</v>
      </c>
      <c r="AK64" s="199">
        <f t="shared" si="5"/>
        <v>5812622.1200000001</v>
      </c>
      <c r="AL64" s="201">
        <f t="shared" si="11"/>
        <v>0.12000000011175871</v>
      </c>
    </row>
    <row r="65" spans="2:55" s="173" customFormat="1" ht="18" customHeight="1">
      <c r="B65" s="174">
        <v>52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3"/>
        <v>TER B</v>
      </c>
      <c r="K65" s="182">
        <f t="shared" si="12"/>
        <v>3761333.23</v>
      </c>
      <c r="L65" s="169">
        <f t="shared" si="7"/>
        <v>30575.999999999996</v>
      </c>
      <c r="M65" s="189">
        <f>[9]TRANSPORT!$AH13</f>
        <v>148040</v>
      </c>
      <c r="N65" s="189">
        <f>[9]TRANSPORT!$S13</f>
        <v>130500</v>
      </c>
      <c r="O65" s="189">
        <f>[9]TRANSPORT!$V13</f>
        <v>63000</v>
      </c>
      <c r="P65" s="189">
        <f>[9]TRANSPORT!$Z13</f>
        <v>883699.32</v>
      </c>
      <c r="Q65" s="189">
        <f>[9]TRANSPORT!$Y13</f>
        <v>441155</v>
      </c>
      <c r="R65" s="189"/>
      <c r="S65" s="189"/>
      <c r="T65" s="189"/>
      <c r="U65" s="189"/>
      <c r="V65" s="189"/>
      <c r="W65" s="189"/>
      <c r="X65" s="189">
        <f>[9]TRANSPORT!$X13</f>
        <v>61000</v>
      </c>
      <c r="Y65" s="189"/>
      <c r="Z65" s="189"/>
      <c r="AA65" s="189"/>
      <c r="AB65" s="189">
        <f>-[9]TRANSPORT!$AX13</f>
        <v>-242666.66</v>
      </c>
      <c r="AC65" s="189"/>
      <c r="AD65" s="189">
        <f>[8]OPERATOR!$F12</f>
        <v>300000</v>
      </c>
      <c r="AE65" s="183">
        <f t="shared" si="8"/>
        <v>5576636</v>
      </c>
      <c r="AF65" s="184">
        <f t="shared" si="9"/>
        <v>0</v>
      </c>
      <c r="AG65" s="95">
        <f t="shared" si="4"/>
        <v>0</v>
      </c>
      <c r="AI65" s="199">
        <f>[9]TRANSPORT!$AC13</f>
        <v>5098020.8900000006</v>
      </c>
      <c r="AJ65" s="200">
        <f t="shared" si="10"/>
        <v>178616</v>
      </c>
      <c r="AK65" s="199">
        <f t="shared" si="5"/>
        <v>5576636.8900000006</v>
      </c>
      <c r="AL65" s="201">
        <f t="shared" si="11"/>
        <v>0.89000000059604645</v>
      </c>
    </row>
    <row r="66" spans="2:55" s="173" customFormat="1" ht="18" customHeight="1" thickBot="1">
      <c r="B66" s="174">
        <v>53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3"/>
        <v>TER B</v>
      </c>
      <c r="K66" s="182">
        <f t="shared" si="12"/>
        <v>3761333.23</v>
      </c>
      <c r="L66" s="169">
        <f t="shared" si="7"/>
        <v>30575.999999999996</v>
      </c>
      <c r="M66" s="189">
        <f>[9]TRANSPORT!$AH14</f>
        <v>146680</v>
      </c>
      <c r="N66" s="189">
        <f>[9]TRANSPORT!$S14</f>
        <v>167400</v>
      </c>
      <c r="O66" s="189">
        <f>[9]TRANSPORT!$V14</f>
        <v>46000</v>
      </c>
      <c r="P66" s="189">
        <f>[9]TRANSPORT!$Z14</f>
        <v>1104624.1499999999</v>
      </c>
      <c r="Q66" s="189">
        <f>[9]TRANSPORT!$Y14</f>
        <v>573570</v>
      </c>
      <c r="R66" s="189"/>
      <c r="S66" s="189"/>
      <c r="T66" s="189"/>
      <c r="U66" s="189"/>
      <c r="V66" s="189"/>
      <c r="W66" s="189"/>
      <c r="X66" s="189">
        <f>[9]TRANSPORT!$X14</f>
        <v>27000</v>
      </c>
      <c r="Y66" s="189"/>
      <c r="Z66" s="189"/>
      <c r="AA66" s="189"/>
      <c r="AB66" s="189">
        <f>-[9]TRANSPORT!$AX14</f>
        <v>0</v>
      </c>
      <c r="AC66" s="189"/>
      <c r="AD66" s="189">
        <f>[8]OPERATOR!$F13</f>
        <v>540000</v>
      </c>
      <c r="AE66" s="183">
        <f>ROUNDDOWN(SUM(K66:AD66),0)</f>
        <v>6397183</v>
      </c>
      <c r="AF66" s="184">
        <f t="shared" si="9"/>
        <v>2.5000000000000001E-3</v>
      </c>
      <c r="AG66" s="97">
        <f t="shared" si="4"/>
        <v>15992</v>
      </c>
      <c r="AI66" s="199">
        <f>[9]TRANSPORT!$AC14</f>
        <v>5679927.379999999</v>
      </c>
      <c r="AJ66" s="200">
        <f t="shared" si="10"/>
        <v>177256</v>
      </c>
      <c r="AK66" s="199">
        <f t="shared" si="5"/>
        <v>6397183.379999999</v>
      </c>
      <c r="AL66" s="201">
        <f t="shared" si="11"/>
        <v>0.37999999895691872</v>
      </c>
    </row>
    <row r="67" spans="2:55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G67" si="13">SUM(K6:K66)</f>
        <v>194969827.97999987</v>
      </c>
      <c r="L67" s="196">
        <f t="shared" si="13"/>
        <v>1590833.9999999998</v>
      </c>
      <c r="M67" s="196">
        <f>SUM(M6:M66)</f>
        <v>7630720</v>
      </c>
      <c r="N67" s="196">
        <f t="shared" si="13"/>
        <v>5931000</v>
      </c>
      <c r="O67" s="196">
        <f t="shared" si="13"/>
        <v>444000</v>
      </c>
      <c r="P67" s="196">
        <f t="shared" si="13"/>
        <v>9514233.2400000002</v>
      </c>
      <c r="Q67" s="196">
        <f t="shared" si="13"/>
        <v>2471210</v>
      </c>
      <c r="R67" s="196">
        <f t="shared" si="13"/>
        <v>7644342</v>
      </c>
      <c r="S67" s="196">
        <f t="shared" si="13"/>
        <v>4276650</v>
      </c>
      <c r="T67" s="196">
        <f t="shared" si="13"/>
        <v>0</v>
      </c>
      <c r="U67" s="196">
        <f t="shared" si="13"/>
        <v>0</v>
      </c>
      <c r="V67" s="196">
        <f t="shared" si="13"/>
        <v>1050000</v>
      </c>
      <c r="W67" s="196">
        <f t="shared" si="13"/>
        <v>0</v>
      </c>
      <c r="X67" s="196">
        <f t="shared" si="13"/>
        <v>1383000</v>
      </c>
      <c r="Y67" s="196">
        <f t="shared" si="13"/>
        <v>-143261</v>
      </c>
      <c r="Z67" s="196">
        <f t="shared" si="13"/>
        <v>0</v>
      </c>
      <c r="AA67" s="196">
        <f t="shared" si="13"/>
        <v>0</v>
      </c>
      <c r="AB67" s="196">
        <f t="shared" si="13"/>
        <v>-5702666.5100000007</v>
      </c>
      <c r="AC67" s="196">
        <f t="shared" si="13"/>
        <v>0</v>
      </c>
      <c r="AD67" s="196">
        <f t="shared" si="13"/>
        <v>19030000</v>
      </c>
      <c r="AE67" s="196">
        <f t="shared" si="13"/>
        <v>250089868</v>
      </c>
      <c r="AF67" s="196">
        <f t="shared" si="13"/>
        <v>2.75E-2</v>
      </c>
      <c r="AG67" s="196">
        <f t="shared" si="13"/>
        <v>169926</v>
      </c>
      <c r="AI67" s="202">
        <f>SUM(AI6:AI66)</f>
        <v>221838335.70999998</v>
      </c>
      <c r="AJ67" s="202">
        <f>SUM(AJ6:AJ66)</f>
        <v>9221554</v>
      </c>
      <c r="AK67" s="202">
        <f>SUM(AK6:AK66)</f>
        <v>250089889.70999992</v>
      </c>
      <c r="AL67" s="202">
        <f>SUM(AL6:AL66)</f>
        <v>21.709999997168779</v>
      </c>
    </row>
    <row r="68" spans="2:55" ht="9.75" customHeight="1">
      <c r="AK68" s="217"/>
    </row>
    <row r="69" spans="2:55" ht="13.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55" ht="13.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55" ht="13.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55" ht="13.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55" s="33" customFormat="1" ht="13.5" hidden="1" customHeight="1">
      <c r="B73" s="27" t="s">
        <v>57</v>
      </c>
      <c r="C73" s="28"/>
      <c r="D73" s="240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2:55" s="33" customFormat="1" ht="13.5" hidden="1" customHeight="1">
      <c r="B74" s="27" t="s">
        <v>50</v>
      </c>
      <c r="C74" s="28"/>
      <c r="D74" s="240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2:55" s="33" customFormat="1" ht="13.5" hidden="1" customHeight="1">
      <c r="B75" s="27" t="s">
        <v>51</v>
      </c>
      <c r="C75" s="28"/>
      <c r="D75" s="240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2:55" s="33" customFormat="1" ht="13.5" hidden="1" customHeight="1">
      <c r="B76" s="27" t="s">
        <v>52</v>
      </c>
      <c r="C76" s="28"/>
      <c r="D76" s="240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2:55" s="33" customFormat="1" ht="13.5" hidden="1" customHeight="1">
      <c r="B77" s="27" t="s">
        <v>58</v>
      </c>
      <c r="C77" s="28"/>
      <c r="D77" s="240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2:55" s="33" customFormat="1" ht="13.5" hidden="1" customHeight="1">
      <c r="B78" s="27" t="s">
        <v>59</v>
      </c>
      <c r="C78" s="28"/>
      <c r="D78" s="240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2:55" s="33" customFormat="1" ht="13.5" hidden="1" customHeight="1">
      <c r="B79" s="27" t="s">
        <v>65</v>
      </c>
      <c r="C79" s="28"/>
      <c r="D79" s="240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2:55" s="33" customFormat="1" ht="11.25" customHeight="1">
      <c r="B80" s="27"/>
      <c r="C80" s="28"/>
      <c r="D80" s="240"/>
      <c r="E80" s="30"/>
      <c r="F80" s="28"/>
      <c r="G80" s="31"/>
      <c r="H80" s="32"/>
      <c r="I80" s="32"/>
      <c r="J80" s="32"/>
      <c r="K80" s="240" t="s">
        <v>324</v>
      </c>
      <c r="L80" s="28"/>
      <c r="M80" s="62"/>
      <c r="N80" s="62"/>
      <c r="O80" s="62"/>
      <c r="P80" s="62"/>
      <c r="Q80" s="62"/>
      <c r="R80" s="62"/>
      <c r="S80" s="62"/>
      <c r="T80" s="28"/>
      <c r="U80" s="28"/>
      <c r="V80" s="28"/>
      <c r="W80" s="28"/>
      <c r="X80" s="28"/>
      <c r="Y80" s="28"/>
      <c r="Z80" s="28"/>
      <c r="AA80" s="28"/>
      <c r="AB80" s="457" t="s">
        <v>321</v>
      </c>
      <c r="AC80" s="457"/>
      <c r="AD80" s="457"/>
      <c r="AE80" s="457"/>
      <c r="AF80" s="90"/>
      <c r="AG80" s="90"/>
      <c r="AH80" s="60"/>
      <c r="AI80" s="60"/>
      <c r="AJ80" s="60"/>
      <c r="AK80" s="216">
        <f>AC67+AK67</f>
        <v>250089889.70999992</v>
      </c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1:38" ht="11.25" customHeight="1">
      <c r="AL81" s="216"/>
    </row>
    <row r="82" spans="11:38" ht="11.25" customHeight="1">
      <c r="AK82" s="216">
        <f>AK67-AL83</f>
        <v>250089868</v>
      </c>
      <c r="AL82" s="216"/>
    </row>
    <row r="83" spans="11:38" ht="11.25" customHeight="1">
      <c r="K83" s="241" t="s">
        <v>325</v>
      </c>
      <c r="AB83" s="458" t="s">
        <v>322</v>
      </c>
      <c r="AC83" s="458"/>
      <c r="AD83" s="458"/>
      <c r="AE83" s="458"/>
      <c r="AL83" s="216">
        <f>AK80-AE67</f>
        <v>21.709999918937683</v>
      </c>
    </row>
    <row r="84" spans="11:38">
      <c r="K84" s="240" t="s">
        <v>326</v>
      </c>
      <c r="AB84" s="457" t="s">
        <v>323</v>
      </c>
      <c r="AC84" s="457"/>
      <c r="AD84" s="457"/>
      <c r="AE84" s="457"/>
    </row>
  </sheetData>
  <mergeCells count="3">
    <mergeCell ref="AB80:AE80"/>
    <mergeCell ref="AB83:AE83"/>
    <mergeCell ref="AB84:AE84"/>
  </mergeCells>
  <dataValidations count="2">
    <dataValidation type="list" allowBlank="1" showInputMessage="1" showErrorMessage="1" sqref="I6:I66">
      <formula1>"TK/0,TK/1,TK/2,TK/3,K/0,K/1,K/2,K/3"</formula1>
    </dataValidation>
    <dataValidation type="list" allowBlank="1" showInputMessage="1" showErrorMessage="1" sqref="H6:H66">
      <formula1>"L,P"</formula1>
    </dataValidation>
  </dataValidations>
  <pageMargins left="0.11811023622047245" right="0.11811023622047245" top="0" bottom="0.39370078740157483" header="0.31496062992125984" footer="0.31496062992125984"/>
  <pageSetup paperSize="9" scale="4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C84"/>
  <sheetViews>
    <sheetView topLeftCell="A10" zoomScaleNormal="100" zoomScaleSheetLayoutView="100" workbookViewId="0">
      <pane xSplit="3" topLeftCell="Y1" activePane="topRight" state="frozen"/>
      <selection pane="topRight" activeCell="AG30" sqref="AG30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54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14" width="9.85546875" style="28" customWidth="1"/>
    <col min="15" max="15" width="8.7109375" style="28" customWidth="1"/>
    <col min="16" max="16" width="10.140625" style="28" customWidth="1"/>
    <col min="17" max="17" width="9.85546875" style="28" customWidth="1"/>
    <col min="18" max="18" width="11.140625" style="28" customWidth="1"/>
    <col min="19" max="19" width="10" style="28" customWidth="1"/>
    <col min="20" max="20" width="10.7109375" style="28" customWidth="1"/>
    <col min="21" max="21" width="9.85546875" style="28" customWidth="1"/>
    <col min="22" max="22" width="9.7109375" style="28" customWidth="1"/>
    <col min="23" max="23" width="9.7109375" style="28" hidden="1" customWidth="1"/>
    <col min="24" max="24" width="10.140625" style="28" customWidth="1"/>
    <col min="25" max="25" width="9" style="28" customWidth="1"/>
    <col min="26" max="27" width="12.7109375" style="28" hidden="1" customWidth="1"/>
    <col min="28" max="28" width="10.5703125" style="28" customWidth="1"/>
    <col min="29" max="29" width="11.7109375" style="28" hidden="1" customWidth="1"/>
    <col min="30" max="30" width="10.85546875" style="28" hidden="1" customWidth="1"/>
    <col min="31" max="31" width="12" style="28" customWidth="1" collapsed="1"/>
    <col min="32" max="32" width="7.7109375" style="90" customWidth="1"/>
    <col min="33" max="33" width="10.57031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.5703125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345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54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50" t="s">
        <v>64</v>
      </c>
      <c r="C5" s="250" t="s">
        <v>25</v>
      </c>
      <c r="D5" s="251" t="s">
        <v>26</v>
      </c>
      <c r="E5" s="252" t="s">
        <v>27</v>
      </c>
      <c r="F5" s="250" t="s">
        <v>28</v>
      </c>
      <c r="G5" s="249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53" t="s">
        <v>68</v>
      </c>
      <c r="M5" s="253" t="s">
        <v>69</v>
      </c>
      <c r="N5" s="253" t="s">
        <v>80</v>
      </c>
      <c r="O5" s="253" t="s">
        <v>81</v>
      </c>
      <c r="P5" s="253" t="s">
        <v>84</v>
      </c>
      <c r="Q5" s="145" t="s">
        <v>319</v>
      </c>
      <c r="R5" s="253" t="s">
        <v>309</v>
      </c>
      <c r="S5" s="253" t="s">
        <v>310</v>
      </c>
      <c r="T5" s="253" t="s">
        <v>320</v>
      </c>
      <c r="U5" s="253" t="s">
        <v>315</v>
      </c>
      <c r="V5" s="253" t="s">
        <v>311</v>
      </c>
      <c r="W5" s="253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18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30*122333.33</f>
        <v>3669999.9</v>
      </c>
      <c r="L6" s="168">
        <f>3670000*0.84%</f>
        <v>30827.999999999996</v>
      </c>
      <c r="M6" s="168">
        <f>[10]MAINTENANCE!$AK10</f>
        <v>148680</v>
      </c>
      <c r="N6" s="168">
        <f>[10]MAINTENANCE!$W10</f>
        <v>162000</v>
      </c>
      <c r="O6" s="168">
        <f>[10]MAINTENANCE!$Z10</f>
        <v>66000</v>
      </c>
      <c r="P6" s="168">
        <f>[10]MAINTENANCE!$AE10</f>
        <v>137890.18</v>
      </c>
      <c r="Q6" s="169"/>
      <c r="R6" s="168"/>
      <c r="S6" s="168"/>
      <c r="T6" s="168"/>
      <c r="U6" s="168"/>
      <c r="V6" s="168"/>
      <c r="W6" s="168"/>
      <c r="X6" s="168">
        <f>[10]MAINTENANCE!$AB10</f>
        <v>47000</v>
      </c>
      <c r="Y6" s="169"/>
      <c r="Z6" s="169"/>
      <c r="AA6" s="169"/>
      <c r="AB6" s="168">
        <f>-[10]MAINTENANCE!$BA10</f>
        <v>0</v>
      </c>
      <c r="AC6" s="168"/>
      <c r="AD6" s="168"/>
      <c r="AE6" s="170">
        <f>ROUNDDOWN(SUM(K6:AD6),0)</f>
        <v>4262398</v>
      </c>
      <c r="AF6" s="171">
        <f t="shared" ref="AF6:AF37" si="0">IF(J6="TER A",VLOOKUP(AE6,Ter_A,4,TRUE),IF(J6="TER B",VLOOKUP(AE6,Ter_B,4,TRUE),VLOOKUP(AE6,Ter_C,4,TRUE)))</f>
        <v>0</v>
      </c>
      <c r="AG6" s="94">
        <f>ROUNDDOWN(IF(K6=0,AE6*AF6*120%,AE6*AF6),0)</f>
        <v>0</v>
      </c>
      <c r="AI6" s="199">
        <f>[10]MAINTENANCE!$AF10</f>
        <v>4082890.0800000005</v>
      </c>
      <c r="AJ6" s="200">
        <f t="shared" ref="AJ6:AJ66" si="1">L6+M6</f>
        <v>179508</v>
      </c>
      <c r="AK6" s="199">
        <f>AI6+AJ6+AD6</f>
        <v>4262398.08</v>
      </c>
      <c r="AL6" s="201">
        <f t="shared" ref="AL6:AL66" si="2">AK6-AE6</f>
        <v>8.0000000074505806E-2</v>
      </c>
    </row>
    <row r="7" spans="2:40" s="173" customFormat="1" ht="18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3">IF(ISBLANK(I7),"",IF(OR(I7="TK/0",I7="TK/1",I7="K/0"),"TER A",IF(I7="K/3","TER C","TER B")))</f>
        <v>TER A</v>
      </c>
      <c r="K7" s="182">
        <f>30*121333.33</f>
        <v>3639999.9</v>
      </c>
      <c r="L7" s="169">
        <f>3640000*0.84%</f>
        <v>30575.999999999996</v>
      </c>
      <c r="M7" s="189">
        <f>[10]MAINTENANCE!$AK11</f>
        <v>146680</v>
      </c>
      <c r="N7" s="189">
        <f>[10]MAINTENANCE!$W11</f>
        <v>67500</v>
      </c>
      <c r="O7" s="189"/>
      <c r="P7" s="189"/>
      <c r="Q7" s="169"/>
      <c r="R7" s="169"/>
      <c r="S7" s="169"/>
      <c r="T7" s="169"/>
      <c r="U7" s="169"/>
      <c r="V7" s="169"/>
      <c r="W7" s="169"/>
      <c r="X7" s="189">
        <f>[10]MAINTENANCE!$AB11</f>
        <v>27000</v>
      </c>
      <c r="Y7" s="169"/>
      <c r="Z7" s="169"/>
      <c r="AA7" s="169"/>
      <c r="AB7" s="189">
        <f>-[10]MAINTENANCE!$BA11</f>
        <v>0</v>
      </c>
      <c r="AC7" s="189"/>
      <c r="AD7" s="189"/>
      <c r="AE7" s="183">
        <f>ROUNDDOWN(SUM(K7:AD7),0)</f>
        <v>3911755</v>
      </c>
      <c r="AF7" s="184">
        <f t="shared" si="0"/>
        <v>0</v>
      </c>
      <c r="AG7" s="95">
        <f t="shared" ref="AG7:AG66" si="4">ROUNDDOWN(IF(K7=0,AE7*AF7*120%,AE7*AF7),0)</f>
        <v>0</v>
      </c>
      <c r="AI7" s="199">
        <f>[10]MAINTENANCE!$AF11</f>
        <v>3734499.9000000004</v>
      </c>
      <c r="AJ7" s="200">
        <f t="shared" si="1"/>
        <v>177256</v>
      </c>
      <c r="AK7" s="199">
        <f t="shared" ref="AK7:AK66" si="5">AI7+AJ7+AD7</f>
        <v>3911755.9000000004</v>
      </c>
      <c r="AL7" s="201">
        <f t="shared" si="2"/>
        <v>0.90000000037252903</v>
      </c>
    </row>
    <row r="8" spans="2:40" s="173" customFormat="1" ht="18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3"/>
        <v>TER A</v>
      </c>
      <c r="K8" s="182">
        <f t="shared" ref="K8:K27" si="6">30*121333.33</f>
        <v>3639999.9</v>
      </c>
      <c r="L8" s="169">
        <f t="shared" ref="L8:L66" si="7">3640000*0.84%</f>
        <v>30575.999999999996</v>
      </c>
      <c r="M8" s="189">
        <f>[10]MAINTENANCE!$AK12</f>
        <v>146800</v>
      </c>
      <c r="N8" s="189">
        <f>[10]MAINTENANCE!$W12</f>
        <v>65250</v>
      </c>
      <c r="O8" s="189"/>
      <c r="P8" s="189"/>
      <c r="Q8" s="169"/>
      <c r="R8" s="169"/>
      <c r="S8" s="169"/>
      <c r="T8" s="169"/>
      <c r="U8" s="169"/>
      <c r="V8" s="169"/>
      <c r="W8" s="169"/>
      <c r="X8" s="189">
        <f>[10]MAINTENANCE!$AB12</f>
        <v>30000</v>
      </c>
      <c r="Y8" s="169"/>
      <c r="Z8" s="169"/>
      <c r="AA8" s="169"/>
      <c r="AB8" s="189">
        <f>-[10]MAINTENANCE!$BA12</f>
        <v>-121333.33</v>
      </c>
      <c r="AC8" s="189"/>
      <c r="AD8" s="189"/>
      <c r="AE8" s="183">
        <f>ROUNDDOWN(SUM(K8:AD8),0)</f>
        <v>3791292</v>
      </c>
      <c r="AF8" s="184">
        <f t="shared" si="0"/>
        <v>0</v>
      </c>
      <c r="AG8" s="95">
        <f t="shared" si="4"/>
        <v>0</v>
      </c>
      <c r="AI8" s="199">
        <f>[10]MAINTENANCE!$AF12</f>
        <v>3613916.5700000003</v>
      </c>
      <c r="AJ8" s="200">
        <f t="shared" si="1"/>
        <v>177376</v>
      </c>
      <c r="AK8" s="199">
        <f t="shared" si="5"/>
        <v>3791292.5700000003</v>
      </c>
      <c r="AL8" s="201">
        <f t="shared" si="2"/>
        <v>0.57000000029802322</v>
      </c>
      <c r="AN8" s="200">
        <f>AB8+AL8</f>
        <v>-121332.7599999997</v>
      </c>
    </row>
    <row r="9" spans="2:40" s="173" customFormat="1" ht="18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3"/>
        <v>TER A</v>
      </c>
      <c r="K9" s="182">
        <f t="shared" si="6"/>
        <v>3639999.9</v>
      </c>
      <c r="L9" s="169">
        <f t="shared" si="7"/>
        <v>30575.999999999996</v>
      </c>
      <c r="M9" s="189">
        <f>[10]MAINTENANCE!$AK13</f>
        <v>147480</v>
      </c>
      <c r="N9" s="189">
        <f>[10]MAINTENANCE!$W13</f>
        <v>63000</v>
      </c>
      <c r="O9" s="189"/>
      <c r="P9" s="189"/>
      <c r="Q9" s="169"/>
      <c r="R9" s="169"/>
      <c r="S9" s="169"/>
      <c r="T9" s="169"/>
      <c r="U9" s="169"/>
      <c r="V9" s="169"/>
      <c r="W9" s="169"/>
      <c r="X9" s="189">
        <f>[10]MAINTENANCE!$AB13</f>
        <v>47000</v>
      </c>
      <c r="Y9" s="169"/>
      <c r="Z9" s="169"/>
      <c r="AA9" s="169"/>
      <c r="AB9" s="189">
        <f>-[10]MAINTENANCE!$BA13</f>
        <v>-242666.66</v>
      </c>
      <c r="AC9" s="189"/>
      <c r="AD9" s="189"/>
      <c r="AE9" s="183">
        <f t="shared" ref="AE9:AE65" si="8">ROUNDDOWN(SUM(K9:AD9),0)</f>
        <v>3685389</v>
      </c>
      <c r="AF9" s="184">
        <f t="shared" si="0"/>
        <v>0</v>
      </c>
      <c r="AG9" s="95">
        <f t="shared" si="4"/>
        <v>0</v>
      </c>
      <c r="AI9" s="199">
        <f>[10]MAINTENANCE!$AF13</f>
        <v>3507333.24</v>
      </c>
      <c r="AJ9" s="200">
        <f t="shared" si="1"/>
        <v>178056</v>
      </c>
      <c r="AK9" s="199">
        <f t="shared" si="5"/>
        <v>3685389.24</v>
      </c>
      <c r="AL9" s="201">
        <f t="shared" si="2"/>
        <v>0.24000000022351742</v>
      </c>
      <c r="AN9" s="200">
        <f>AB9+AL9</f>
        <v>-242666.41999999978</v>
      </c>
    </row>
    <row r="10" spans="2:40" s="173" customFormat="1" ht="18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3"/>
        <v>TER A</v>
      </c>
      <c r="K10" s="182">
        <f t="shared" si="6"/>
        <v>3639999.9</v>
      </c>
      <c r="L10" s="169">
        <f t="shared" si="7"/>
        <v>30575.999999999996</v>
      </c>
      <c r="M10" s="189">
        <f>[10]MAINTENANCE!$AK14</f>
        <v>146800</v>
      </c>
      <c r="N10" s="189">
        <f>[10]MAINTENANCE!$W14</f>
        <v>67500</v>
      </c>
      <c r="O10" s="189"/>
      <c r="P10" s="189"/>
      <c r="Q10" s="169"/>
      <c r="R10" s="169"/>
      <c r="S10" s="169"/>
      <c r="T10" s="169"/>
      <c r="U10" s="169"/>
      <c r="V10" s="169"/>
      <c r="W10" s="169"/>
      <c r="X10" s="189">
        <f>[10]MAINTENANCE!$AB14</f>
        <v>30000</v>
      </c>
      <c r="Y10" s="169"/>
      <c r="Z10" s="169"/>
      <c r="AA10" s="169"/>
      <c r="AB10" s="189">
        <f>-[10]MAINTENANCE!$BA14</f>
        <v>0</v>
      </c>
      <c r="AC10" s="189"/>
      <c r="AD10" s="189"/>
      <c r="AE10" s="183">
        <f t="shared" si="8"/>
        <v>3914875</v>
      </c>
      <c r="AF10" s="184">
        <f t="shared" si="0"/>
        <v>0</v>
      </c>
      <c r="AG10" s="95">
        <f t="shared" si="4"/>
        <v>0</v>
      </c>
      <c r="AI10" s="199">
        <f>[10]MAINTENANCE!$AF14</f>
        <v>3737499.9000000004</v>
      </c>
      <c r="AJ10" s="200">
        <f t="shared" si="1"/>
        <v>177376</v>
      </c>
      <c r="AK10" s="199">
        <f t="shared" si="5"/>
        <v>3914875.9000000004</v>
      </c>
      <c r="AL10" s="201">
        <f t="shared" si="2"/>
        <v>0.90000000037252903</v>
      </c>
    </row>
    <row r="11" spans="2:40" s="173" customFormat="1" ht="18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3"/>
        <v>TER A</v>
      </c>
      <c r="K11" s="182">
        <f t="shared" si="6"/>
        <v>3639999.9</v>
      </c>
      <c r="L11" s="169">
        <f t="shared" si="7"/>
        <v>30575.999999999996</v>
      </c>
      <c r="M11" s="189">
        <f>[10]MAINTENANCE!$AK15</f>
        <v>147340</v>
      </c>
      <c r="N11" s="189">
        <f>[10]MAINTENANCE!$W15</f>
        <v>65250</v>
      </c>
      <c r="O11" s="189"/>
      <c r="P11" s="189"/>
      <c r="Q11" s="169"/>
      <c r="R11" s="169"/>
      <c r="S11" s="169"/>
      <c r="T11" s="169"/>
      <c r="U11" s="169"/>
      <c r="V11" s="169"/>
      <c r="W11" s="169"/>
      <c r="X11" s="189">
        <f>[10]MAINTENANCE!$AB15</f>
        <v>43500</v>
      </c>
      <c r="Y11" s="169"/>
      <c r="Z11" s="169"/>
      <c r="AA11" s="169"/>
      <c r="AB11" s="189">
        <f>-[10]MAINTENANCE!$BA15</f>
        <v>-121333.33</v>
      </c>
      <c r="AC11" s="189"/>
      <c r="AD11" s="189"/>
      <c r="AE11" s="183">
        <f t="shared" si="8"/>
        <v>3805332</v>
      </c>
      <c r="AF11" s="184">
        <f t="shared" si="0"/>
        <v>0</v>
      </c>
      <c r="AG11" s="95">
        <f t="shared" si="4"/>
        <v>0</v>
      </c>
      <c r="AI11" s="199">
        <f>[10]MAINTENANCE!$AF15</f>
        <v>3627416.5700000003</v>
      </c>
      <c r="AJ11" s="200">
        <f t="shared" si="1"/>
        <v>177916</v>
      </c>
      <c r="AK11" s="199">
        <f t="shared" si="5"/>
        <v>3805332.5700000003</v>
      </c>
      <c r="AL11" s="201">
        <f t="shared" si="2"/>
        <v>0.57000000029802322</v>
      </c>
    </row>
    <row r="12" spans="2:40" s="173" customFormat="1" ht="18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3"/>
        <v>TER A</v>
      </c>
      <c r="K12" s="182">
        <f t="shared" si="6"/>
        <v>3639999.9</v>
      </c>
      <c r="L12" s="169">
        <f t="shared" si="7"/>
        <v>30575.999999999996</v>
      </c>
      <c r="M12" s="189">
        <f>[10]MAINTENANCE!$AK16</f>
        <v>147480</v>
      </c>
      <c r="N12" s="189">
        <f>[10]MAINTENANCE!$W16</f>
        <v>67500</v>
      </c>
      <c r="O12" s="189"/>
      <c r="P12" s="189"/>
      <c r="Q12" s="169"/>
      <c r="R12" s="169"/>
      <c r="S12" s="169"/>
      <c r="T12" s="169"/>
      <c r="U12" s="169"/>
      <c r="V12" s="169"/>
      <c r="W12" s="169"/>
      <c r="X12" s="189">
        <f>[10]MAINTENANCE!$AB16</f>
        <v>47000</v>
      </c>
      <c r="Y12" s="169"/>
      <c r="Z12" s="169"/>
      <c r="AA12" s="169"/>
      <c r="AB12" s="189">
        <f>-[10]MAINTENANCE!$BA16</f>
        <v>0</v>
      </c>
      <c r="AC12" s="189"/>
      <c r="AD12" s="189"/>
      <c r="AE12" s="183">
        <f t="shared" si="8"/>
        <v>3932555</v>
      </c>
      <c r="AF12" s="184">
        <f t="shared" si="0"/>
        <v>0</v>
      </c>
      <c r="AG12" s="95">
        <f t="shared" si="4"/>
        <v>0</v>
      </c>
      <c r="AI12" s="199">
        <f>[10]MAINTENANCE!$AF16</f>
        <v>3754499.9000000004</v>
      </c>
      <c r="AJ12" s="200">
        <f t="shared" si="1"/>
        <v>178056</v>
      </c>
      <c r="AK12" s="199">
        <f t="shared" si="5"/>
        <v>3932555.9000000004</v>
      </c>
      <c r="AL12" s="201">
        <f t="shared" si="2"/>
        <v>0.90000000037252903</v>
      </c>
    </row>
    <row r="13" spans="2:40" s="173" customFormat="1" ht="18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3"/>
        <v>TER A</v>
      </c>
      <c r="K13" s="182">
        <f t="shared" si="6"/>
        <v>3639999.9</v>
      </c>
      <c r="L13" s="169">
        <f t="shared" si="7"/>
        <v>30575.999999999996</v>
      </c>
      <c r="M13" s="189">
        <f>[10]MAINTENANCE!$AK17</f>
        <v>147480</v>
      </c>
      <c r="N13" s="189">
        <f>[10]MAINTENANCE!$W17</f>
        <v>67500</v>
      </c>
      <c r="O13" s="189"/>
      <c r="P13" s="189"/>
      <c r="Q13" s="169"/>
      <c r="R13" s="169"/>
      <c r="S13" s="169"/>
      <c r="T13" s="169"/>
      <c r="U13" s="169"/>
      <c r="V13" s="169"/>
      <c r="W13" s="169"/>
      <c r="X13" s="189">
        <f>[10]MAINTENANCE!$AB17</f>
        <v>47000</v>
      </c>
      <c r="Y13" s="169"/>
      <c r="Z13" s="169"/>
      <c r="AA13" s="169"/>
      <c r="AB13" s="189">
        <f>-[10]MAINTENANCE!$BA17</f>
        <v>0</v>
      </c>
      <c r="AC13" s="189"/>
      <c r="AD13" s="189"/>
      <c r="AE13" s="183">
        <f t="shared" si="8"/>
        <v>3932555</v>
      </c>
      <c r="AF13" s="184">
        <f t="shared" si="0"/>
        <v>0</v>
      </c>
      <c r="AG13" s="95">
        <f t="shared" si="4"/>
        <v>0</v>
      </c>
      <c r="AI13" s="199">
        <f>[10]MAINTENANCE!$AF17</f>
        <v>3754499.9</v>
      </c>
      <c r="AJ13" s="200">
        <f t="shared" si="1"/>
        <v>178056</v>
      </c>
      <c r="AK13" s="199">
        <f t="shared" si="5"/>
        <v>3932555.9</v>
      </c>
      <c r="AL13" s="201">
        <f t="shared" si="2"/>
        <v>0.89999999990686774</v>
      </c>
    </row>
    <row r="14" spans="2:40" s="173" customFormat="1" ht="18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3"/>
        <v>TER A</v>
      </c>
      <c r="K14" s="182">
        <f t="shared" si="6"/>
        <v>3639999.9</v>
      </c>
      <c r="L14" s="169">
        <f t="shared" si="7"/>
        <v>30575.999999999996</v>
      </c>
      <c r="M14" s="189">
        <f>[10]MAINTENANCE!$AK18</f>
        <v>147480</v>
      </c>
      <c r="N14" s="189">
        <f>[10]MAINTENANCE!$W18</f>
        <v>67500</v>
      </c>
      <c r="O14" s="189"/>
      <c r="P14" s="189"/>
      <c r="Q14" s="169"/>
      <c r="R14" s="169"/>
      <c r="S14" s="169"/>
      <c r="T14" s="169"/>
      <c r="U14" s="169"/>
      <c r="V14" s="169"/>
      <c r="W14" s="169"/>
      <c r="X14" s="189">
        <f>[10]MAINTENANCE!$AB18</f>
        <v>47000</v>
      </c>
      <c r="Y14" s="169"/>
      <c r="Z14" s="169"/>
      <c r="AA14" s="169"/>
      <c r="AB14" s="189">
        <f>-[10]MAINTENANCE!$BA18</f>
        <v>0</v>
      </c>
      <c r="AC14" s="189"/>
      <c r="AD14" s="189"/>
      <c r="AE14" s="183">
        <f t="shared" si="8"/>
        <v>3932555</v>
      </c>
      <c r="AF14" s="184">
        <f t="shared" si="0"/>
        <v>0</v>
      </c>
      <c r="AG14" s="95">
        <f t="shared" si="4"/>
        <v>0</v>
      </c>
      <c r="AI14" s="199">
        <f>[10]MAINTENANCE!$AF18</f>
        <v>3754499.9000000004</v>
      </c>
      <c r="AJ14" s="200">
        <f t="shared" si="1"/>
        <v>178056</v>
      </c>
      <c r="AK14" s="199">
        <f t="shared" si="5"/>
        <v>3932555.9000000004</v>
      </c>
      <c r="AL14" s="201">
        <f t="shared" si="2"/>
        <v>0.90000000037252903</v>
      </c>
    </row>
    <row r="15" spans="2:40" s="173" customFormat="1" ht="18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3"/>
        <v>TER A</v>
      </c>
      <c r="K15" s="182">
        <f t="shared" si="6"/>
        <v>3639999.9</v>
      </c>
      <c r="L15" s="169">
        <f t="shared" si="7"/>
        <v>30575.999999999996</v>
      </c>
      <c r="M15" s="189">
        <f>[10]MAINTENANCE!$AK19</f>
        <v>147620</v>
      </c>
      <c r="N15" s="189">
        <f>[10]MAINTENANCE!$W19</f>
        <v>63000</v>
      </c>
      <c r="O15" s="189"/>
      <c r="P15" s="189"/>
      <c r="Q15" s="169"/>
      <c r="R15" s="169"/>
      <c r="S15" s="169"/>
      <c r="T15" s="169"/>
      <c r="U15" s="169"/>
      <c r="V15" s="169"/>
      <c r="W15" s="169"/>
      <c r="X15" s="189">
        <f>[10]MAINTENANCE!$AB19</f>
        <v>50500</v>
      </c>
      <c r="Y15" s="169"/>
      <c r="Z15" s="169"/>
      <c r="AA15" s="169"/>
      <c r="AB15" s="189">
        <f>-[10]MAINTENANCE!$BA19</f>
        <v>-242666.66</v>
      </c>
      <c r="AC15" s="189"/>
      <c r="AD15" s="189"/>
      <c r="AE15" s="183">
        <f t="shared" si="8"/>
        <v>3689029</v>
      </c>
      <c r="AF15" s="184">
        <f t="shared" si="0"/>
        <v>0</v>
      </c>
      <c r="AG15" s="95">
        <f t="shared" si="4"/>
        <v>0</v>
      </c>
      <c r="AI15" s="199">
        <f>[10]MAINTENANCE!$AF19</f>
        <v>3510833.2399999998</v>
      </c>
      <c r="AJ15" s="200">
        <f t="shared" si="1"/>
        <v>178196</v>
      </c>
      <c r="AK15" s="199">
        <f t="shared" si="5"/>
        <v>3689029.2399999998</v>
      </c>
      <c r="AL15" s="201">
        <f t="shared" si="2"/>
        <v>0.23999999975785613</v>
      </c>
    </row>
    <row r="16" spans="2:40" s="173" customFormat="1" ht="18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3"/>
        <v>TER A</v>
      </c>
      <c r="K16" s="182">
        <f t="shared" si="6"/>
        <v>3639999.9</v>
      </c>
      <c r="L16" s="169">
        <f t="shared" si="7"/>
        <v>30575.999999999996</v>
      </c>
      <c r="M16" s="189">
        <f>[10]MAINTENANCE!$AK20</f>
        <v>147480</v>
      </c>
      <c r="N16" s="189">
        <f>[10]MAINTENANCE!$W20</f>
        <v>65250</v>
      </c>
      <c r="O16" s="189"/>
      <c r="P16" s="189"/>
      <c r="Q16" s="169"/>
      <c r="R16" s="169"/>
      <c r="S16" s="169"/>
      <c r="T16" s="169"/>
      <c r="U16" s="169"/>
      <c r="V16" s="169"/>
      <c r="W16" s="169"/>
      <c r="X16" s="189">
        <f>[10]MAINTENANCE!$AB20</f>
        <v>47000</v>
      </c>
      <c r="Y16" s="169"/>
      <c r="Z16" s="169"/>
      <c r="AA16" s="169"/>
      <c r="AB16" s="189">
        <f>-[10]MAINTENANCE!$BA20</f>
        <v>-121333.33</v>
      </c>
      <c r="AC16" s="189"/>
      <c r="AD16" s="189"/>
      <c r="AE16" s="183">
        <f t="shared" si="8"/>
        <v>3808972</v>
      </c>
      <c r="AF16" s="184">
        <f t="shared" si="0"/>
        <v>0</v>
      </c>
      <c r="AG16" s="95">
        <f t="shared" si="4"/>
        <v>0</v>
      </c>
      <c r="AI16" s="199">
        <f>[10]MAINTENANCE!$AF20</f>
        <v>3630916.57</v>
      </c>
      <c r="AJ16" s="200">
        <f t="shared" si="1"/>
        <v>178056</v>
      </c>
      <c r="AK16" s="199">
        <f t="shared" si="5"/>
        <v>3808972.57</v>
      </c>
      <c r="AL16" s="201">
        <f t="shared" si="2"/>
        <v>0.56999999983236194</v>
      </c>
    </row>
    <row r="17" spans="2:38" s="173" customFormat="1" ht="18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3"/>
        <v>TER A</v>
      </c>
      <c r="K17" s="182">
        <f t="shared" si="6"/>
        <v>3639999.9</v>
      </c>
      <c r="L17" s="169">
        <f t="shared" si="7"/>
        <v>30575.999999999996</v>
      </c>
      <c r="M17" s="189">
        <f>[10]MAINTENANCE!$AK21</f>
        <v>147340</v>
      </c>
      <c r="N17" s="189">
        <f>[10]MAINTENANCE!$W21</f>
        <v>63000</v>
      </c>
      <c r="O17" s="189"/>
      <c r="P17" s="189"/>
      <c r="Q17" s="169"/>
      <c r="R17" s="169"/>
      <c r="S17" s="169"/>
      <c r="T17" s="169"/>
      <c r="U17" s="169"/>
      <c r="V17" s="169"/>
      <c r="W17" s="169"/>
      <c r="X17" s="189">
        <f>[10]MAINTENANCE!$AB21</f>
        <v>43500</v>
      </c>
      <c r="Y17" s="169"/>
      <c r="Z17" s="169"/>
      <c r="AA17" s="169"/>
      <c r="AB17" s="189">
        <f>-[10]MAINTENANCE!$BA21</f>
        <v>-242666.66</v>
      </c>
      <c r="AC17" s="189"/>
      <c r="AD17" s="189"/>
      <c r="AE17" s="183">
        <f t="shared" si="8"/>
        <v>3681749</v>
      </c>
      <c r="AF17" s="184">
        <f t="shared" si="0"/>
        <v>0</v>
      </c>
      <c r="AG17" s="95">
        <f t="shared" si="4"/>
        <v>0</v>
      </c>
      <c r="AI17" s="199">
        <f>[10]MAINTENANCE!$AF21</f>
        <v>3503833.24</v>
      </c>
      <c r="AJ17" s="200">
        <f t="shared" si="1"/>
        <v>177916</v>
      </c>
      <c r="AK17" s="199">
        <f t="shared" si="5"/>
        <v>3681749.24</v>
      </c>
      <c r="AL17" s="201">
        <f t="shared" si="2"/>
        <v>0.24000000022351742</v>
      </c>
    </row>
    <row r="18" spans="2:38" s="173" customFormat="1" ht="18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3"/>
        <v>TER A</v>
      </c>
      <c r="K18" s="182">
        <f t="shared" si="6"/>
        <v>3639999.9</v>
      </c>
      <c r="L18" s="169">
        <f t="shared" si="7"/>
        <v>30575.999999999996</v>
      </c>
      <c r="M18" s="189">
        <f>[10]MAINTENANCE!$AK22</f>
        <v>147340</v>
      </c>
      <c r="N18" s="189">
        <f>[10]MAINTENANCE!$W22</f>
        <v>67500</v>
      </c>
      <c r="O18" s="189"/>
      <c r="P18" s="189"/>
      <c r="Q18" s="169"/>
      <c r="R18" s="169"/>
      <c r="S18" s="169"/>
      <c r="T18" s="169"/>
      <c r="U18" s="169"/>
      <c r="V18" s="169"/>
      <c r="W18" s="169"/>
      <c r="X18" s="189">
        <f>[10]MAINTENANCE!$AB22</f>
        <v>43500</v>
      </c>
      <c r="Y18" s="169"/>
      <c r="Z18" s="169"/>
      <c r="AA18" s="169"/>
      <c r="AB18" s="189">
        <f>-[10]MAINTENANCE!$BA22</f>
        <v>0</v>
      </c>
      <c r="AC18" s="189"/>
      <c r="AD18" s="189"/>
      <c r="AE18" s="183">
        <f t="shared" si="8"/>
        <v>3928915</v>
      </c>
      <c r="AF18" s="184">
        <f t="shared" si="0"/>
        <v>0</v>
      </c>
      <c r="AG18" s="95">
        <f t="shared" si="4"/>
        <v>0</v>
      </c>
      <c r="AI18" s="199">
        <f>[10]MAINTENANCE!$AF22</f>
        <v>3750999.9000000004</v>
      </c>
      <c r="AJ18" s="200">
        <f t="shared" si="1"/>
        <v>177916</v>
      </c>
      <c r="AK18" s="199">
        <f t="shared" si="5"/>
        <v>3928915.9000000004</v>
      </c>
      <c r="AL18" s="201">
        <f t="shared" si="2"/>
        <v>0.90000000037252903</v>
      </c>
    </row>
    <row r="19" spans="2:38" s="173" customFormat="1" ht="18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3"/>
        <v>TER A</v>
      </c>
      <c r="K19" s="182">
        <f t="shared" si="6"/>
        <v>3639999.9</v>
      </c>
      <c r="L19" s="169">
        <f t="shared" si="7"/>
        <v>30575.999999999996</v>
      </c>
      <c r="M19" s="189">
        <f>[10]MAINTENANCE!$AK23</f>
        <v>146920</v>
      </c>
      <c r="N19" s="189">
        <f>[10]MAINTENANCE!$W23</f>
        <v>67500</v>
      </c>
      <c r="O19" s="189"/>
      <c r="P19" s="189"/>
      <c r="Q19" s="169"/>
      <c r="R19" s="169"/>
      <c r="S19" s="169"/>
      <c r="T19" s="169"/>
      <c r="U19" s="169"/>
      <c r="V19" s="169"/>
      <c r="W19" s="169"/>
      <c r="X19" s="189">
        <f>[10]MAINTENANCE!$AB23</f>
        <v>33000</v>
      </c>
      <c r="Y19" s="169"/>
      <c r="Z19" s="169"/>
      <c r="AA19" s="169"/>
      <c r="AB19" s="189">
        <f>-[10]MAINTENANCE!$BA23</f>
        <v>0</v>
      </c>
      <c r="AC19" s="189"/>
      <c r="AD19" s="189"/>
      <c r="AE19" s="183">
        <f t="shared" si="8"/>
        <v>3917995</v>
      </c>
      <c r="AF19" s="184">
        <f t="shared" si="0"/>
        <v>0</v>
      </c>
      <c r="AG19" s="95">
        <f t="shared" si="4"/>
        <v>0</v>
      </c>
      <c r="AI19" s="199">
        <f>[10]MAINTENANCE!$AF23</f>
        <v>3740499.9000000004</v>
      </c>
      <c r="AJ19" s="200">
        <f t="shared" si="1"/>
        <v>177496</v>
      </c>
      <c r="AK19" s="199">
        <f t="shared" si="5"/>
        <v>3917995.9000000004</v>
      </c>
      <c r="AL19" s="201">
        <f t="shared" si="2"/>
        <v>0.90000000037252903</v>
      </c>
    </row>
    <row r="20" spans="2:38" s="173" customFormat="1" ht="18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3"/>
        <v>TER C</v>
      </c>
      <c r="K20" s="182">
        <f t="shared" si="6"/>
        <v>3639999.9</v>
      </c>
      <c r="L20" s="169">
        <f t="shared" si="7"/>
        <v>30575.999999999996</v>
      </c>
      <c r="M20" s="189">
        <f>[10]MAINTENANCE!$AK24</f>
        <v>147340</v>
      </c>
      <c r="N20" s="189">
        <f>[10]MAINTENANCE!$W24</f>
        <v>130500</v>
      </c>
      <c r="O20" s="189"/>
      <c r="P20" s="189"/>
      <c r="Q20" s="169"/>
      <c r="R20" s="169"/>
      <c r="S20" s="169"/>
      <c r="T20" s="169"/>
      <c r="U20" s="169"/>
      <c r="V20" s="169"/>
      <c r="W20" s="169"/>
      <c r="X20" s="189">
        <f>[10]MAINTENANCE!$AB24</f>
        <v>43500</v>
      </c>
      <c r="Y20" s="169"/>
      <c r="Z20" s="169"/>
      <c r="AA20" s="169"/>
      <c r="AB20" s="189">
        <f>-[10]MAINTENANCE!$BA24</f>
        <v>-121333.33</v>
      </c>
      <c r="AC20" s="189"/>
      <c r="AD20" s="189"/>
      <c r="AE20" s="183">
        <f t="shared" si="8"/>
        <v>3870582</v>
      </c>
      <c r="AF20" s="184">
        <f t="shared" si="0"/>
        <v>0</v>
      </c>
      <c r="AG20" s="95">
        <f t="shared" si="4"/>
        <v>0</v>
      </c>
      <c r="AI20" s="199">
        <f>[10]MAINTENANCE!$AF24</f>
        <v>3692666.5700000003</v>
      </c>
      <c r="AJ20" s="200">
        <f t="shared" si="1"/>
        <v>177916</v>
      </c>
      <c r="AK20" s="199">
        <f t="shared" si="5"/>
        <v>3870582.5700000003</v>
      </c>
      <c r="AL20" s="201">
        <f t="shared" si="2"/>
        <v>0.57000000029802322</v>
      </c>
    </row>
    <row r="21" spans="2:38" s="173" customFormat="1" ht="18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3"/>
        <v>TER B</v>
      </c>
      <c r="K21" s="182">
        <f t="shared" si="6"/>
        <v>3639999.9</v>
      </c>
      <c r="L21" s="169">
        <f t="shared" si="7"/>
        <v>30575.999999999996</v>
      </c>
      <c r="M21" s="189">
        <f>[10]MAINTENANCE!$AK25</f>
        <v>146680</v>
      </c>
      <c r="N21" s="189">
        <f>[10]MAINTENANCE!$W25</f>
        <v>135000</v>
      </c>
      <c r="O21" s="189"/>
      <c r="P21" s="189">
        <f>[10]MAINTENANCE!$AE25</f>
        <v>263005.75</v>
      </c>
      <c r="Q21" s="169">
        <f>[10]MAINTENANCE!$AC25</f>
        <v>0</v>
      </c>
      <c r="R21" s="169"/>
      <c r="S21" s="169">
        <f>[10]MAINTENANCE!$AD$25</f>
        <v>2100</v>
      </c>
      <c r="T21" s="169"/>
      <c r="U21" s="169"/>
      <c r="V21" s="169"/>
      <c r="W21" s="169"/>
      <c r="X21" s="189">
        <f>[10]MAINTENANCE!$AB25</f>
        <v>27000</v>
      </c>
      <c r="Y21" s="169"/>
      <c r="Z21" s="169"/>
      <c r="AA21" s="169"/>
      <c r="AB21" s="189">
        <f>-[10]MAINTENANCE!$BA25</f>
        <v>0</v>
      </c>
      <c r="AC21" s="189"/>
      <c r="AD21" s="189"/>
      <c r="AE21" s="183">
        <f>ROUNDDOWN(SUM(K21:AD21),0)</f>
        <v>4244361</v>
      </c>
      <c r="AF21" s="184">
        <f t="shared" si="0"/>
        <v>0</v>
      </c>
      <c r="AG21" s="95">
        <f t="shared" si="4"/>
        <v>0</v>
      </c>
      <c r="AI21" s="199">
        <f>[10]MAINTENANCE!$AF25</f>
        <v>4067105.6500000004</v>
      </c>
      <c r="AJ21" s="200">
        <f t="shared" si="1"/>
        <v>177256</v>
      </c>
      <c r="AK21" s="199">
        <f t="shared" si="5"/>
        <v>4244361.6500000004</v>
      </c>
      <c r="AL21" s="201">
        <f t="shared" si="2"/>
        <v>0.65000000037252903</v>
      </c>
    </row>
    <row r="22" spans="2:38" s="173" customFormat="1" ht="18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3"/>
        <v>TER A</v>
      </c>
      <c r="K22" s="182">
        <f t="shared" si="6"/>
        <v>3639999.9</v>
      </c>
      <c r="L22" s="169">
        <f t="shared" si="7"/>
        <v>30575.999999999996</v>
      </c>
      <c r="M22" s="189">
        <f>[10]MAINTENANCE!$AK26</f>
        <v>147480</v>
      </c>
      <c r="N22" s="189">
        <f>[10]MAINTENANCE!$W26</f>
        <v>67500</v>
      </c>
      <c r="O22" s="189"/>
      <c r="P22" s="189">
        <f>[10]MAINTENANCE!$AE26</f>
        <v>252485.52</v>
      </c>
      <c r="Q22" s="169"/>
      <c r="R22" s="169"/>
      <c r="S22" s="169"/>
      <c r="T22" s="169"/>
      <c r="U22" s="169"/>
      <c r="V22" s="169"/>
      <c r="W22" s="169"/>
      <c r="X22" s="189">
        <f>[10]MAINTENANCE!$AB26</f>
        <v>47000</v>
      </c>
      <c r="Y22" s="169"/>
      <c r="Z22" s="169"/>
      <c r="AA22" s="169"/>
      <c r="AB22" s="189">
        <f>-[10]MAINTENANCE!$BA26</f>
        <v>0</v>
      </c>
      <c r="AC22" s="189"/>
      <c r="AD22" s="189"/>
      <c r="AE22" s="183">
        <f t="shared" si="8"/>
        <v>4185041</v>
      </c>
      <c r="AF22" s="184">
        <f t="shared" si="0"/>
        <v>0</v>
      </c>
      <c r="AG22" s="95">
        <f t="shared" si="4"/>
        <v>0</v>
      </c>
      <c r="AI22" s="199">
        <f>[10]MAINTENANCE!$AF26</f>
        <v>4006985.42</v>
      </c>
      <c r="AJ22" s="200">
        <f t="shared" si="1"/>
        <v>178056</v>
      </c>
      <c r="AK22" s="199">
        <f t="shared" si="5"/>
        <v>4185041.42</v>
      </c>
      <c r="AL22" s="201">
        <f t="shared" si="2"/>
        <v>0.41999999992549419</v>
      </c>
    </row>
    <row r="23" spans="2:38" s="173" customFormat="1" ht="18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3"/>
        <v>TER A</v>
      </c>
      <c r="K23" s="182">
        <f t="shared" si="6"/>
        <v>3639999.9</v>
      </c>
      <c r="L23" s="169">
        <f t="shared" si="7"/>
        <v>30575.999999999996</v>
      </c>
      <c r="M23" s="189">
        <f>[10]MAINTENANCE!$AK27</f>
        <v>147340</v>
      </c>
      <c r="N23" s="189">
        <f>[10]MAINTENANCE!$W27</f>
        <v>63000</v>
      </c>
      <c r="O23" s="189"/>
      <c r="P23" s="189"/>
      <c r="Q23" s="169"/>
      <c r="R23" s="189"/>
      <c r="S23" s="189"/>
      <c r="T23" s="189"/>
      <c r="U23" s="189"/>
      <c r="V23" s="189"/>
      <c r="W23" s="189"/>
      <c r="X23" s="189">
        <f>[10]MAINTENANCE!$AB27</f>
        <v>43500</v>
      </c>
      <c r="Y23" s="189"/>
      <c r="Z23" s="189"/>
      <c r="AA23" s="189"/>
      <c r="AB23" s="189">
        <f>-[10]MAINTENANCE!$BA27</f>
        <v>-242666.66</v>
      </c>
      <c r="AC23" s="189"/>
      <c r="AD23" s="189"/>
      <c r="AE23" s="183">
        <f t="shared" si="8"/>
        <v>3681749</v>
      </c>
      <c r="AF23" s="184">
        <f t="shared" si="0"/>
        <v>0</v>
      </c>
      <c r="AG23" s="95">
        <f t="shared" si="4"/>
        <v>0</v>
      </c>
      <c r="AI23" s="199">
        <f>[10]MAINTENANCE!$AF27</f>
        <v>3503833.24</v>
      </c>
      <c r="AJ23" s="200">
        <f t="shared" si="1"/>
        <v>177916</v>
      </c>
      <c r="AK23" s="199">
        <f t="shared" si="5"/>
        <v>3681749.24</v>
      </c>
      <c r="AL23" s="201">
        <f t="shared" si="2"/>
        <v>0.24000000022351742</v>
      </c>
    </row>
    <row r="24" spans="2:38" s="173" customFormat="1" ht="18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3"/>
        <v>TER A</v>
      </c>
      <c r="K24" s="182">
        <f t="shared" si="6"/>
        <v>3639999.9</v>
      </c>
      <c r="L24" s="169">
        <f t="shared" si="7"/>
        <v>30575.999999999996</v>
      </c>
      <c r="M24" s="189">
        <f>[10]MAINTENANCE!$AK28</f>
        <v>146800</v>
      </c>
      <c r="N24" s="189">
        <f>[10]MAINTENANCE!$W28</f>
        <v>67500</v>
      </c>
      <c r="O24" s="189">
        <f>[10]MAINTENANCE!$Z28</f>
        <v>38000</v>
      </c>
      <c r="P24" s="189">
        <f>[10]MAINTENANCE!$AE28</f>
        <v>1599074.96</v>
      </c>
      <c r="Q24" s="169"/>
      <c r="R24" s="189"/>
      <c r="S24" s="189"/>
      <c r="T24" s="189"/>
      <c r="U24" s="189"/>
      <c r="V24" s="189"/>
      <c r="W24" s="189"/>
      <c r="X24" s="189">
        <f>[10]MAINTENANCE!$AB28</f>
        <v>30000</v>
      </c>
      <c r="Y24" s="189"/>
      <c r="Z24" s="189"/>
      <c r="AA24" s="189"/>
      <c r="AB24" s="189">
        <f>-[10]MAINTENANCE!$BA28</f>
        <v>0</v>
      </c>
      <c r="AC24" s="189"/>
      <c r="AD24" s="189"/>
      <c r="AE24" s="183">
        <f>ROUNDDOWN(SUM(K24:AD24),0)</f>
        <v>5551950</v>
      </c>
      <c r="AF24" s="184">
        <f t="shared" si="0"/>
        <v>2.5000000000000001E-3</v>
      </c>
      <c r="AG24" s="95">
        <f>ROUNDDOWN(IF(K24=0,AE24*AF24*120%,AE24*AF24),0)</f>
        <v>13879</v>
      </c>
      <c r="AI24" s="199">
        <f>[10]MAINTENANCE!$AF28</f>
        <v>5374574.8600000003</v>
      </c>
      <c r="AJ24" s="200">
        <f t="shared" si="1"/>
        <v>177376</v>
      </c>
      <c r="AK24" s="199">
        <f t="shared" si="5"/>
        <v>5551950.8600000003</v>
      </c>
      <c r="AL24" s="201">
        <f t="shared" si="2"/>
        <v>0.86000000033527613</v>
      </c>
    </row>
    <row r="25" spans="2:38" s="173" customFormat="1" ht="18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3"/>
        <v>TER C</v>
      </c>
      <c r="K25" s="182">
        <f t="shared" si="6"/>
        <v>3639999.9</v>
      </c>
      <c r="L25" s="169">
        <f t="shared" si="7"/>
        <v>30575.999999999996</v>
      </c>
      <c r="M25" s="189">
        <f>[10]MAINTENANCE!$AK29</f>
        <v>147340</v>
      </c>
      <c r="N25" s="189">
        <f>[10]MAINTENANCE!$W29</f>
        <v>156600</v>
      </c>
      <c r="O25" s="189"/>
      <c r="P25" s="189"/>
      <c r="Q25" s="169"/>
      <c r="R25" s="189"/>
      <c r="S25" s="189">
        <f>[10]MAINTENANCE!$AD29</f>
        <v>4200</v>
      </c>
      <c r="T25" s="189"/>
      <c r="U25" s="189"/>
      <c r="V25" s="189"/>
      <c r="W25" s="189"/>
      <c r="X25" s="189">
        <f>[10]MAINTENANCE!$AB29</f>
        <v>43500</v>
      </c>
      <c r="Y25" s="189"/>
      <c r="Z25" s="189"/>
      <c r="AA25" s="189"/>
      <c r="AB25" s="189">
        <f>-[10]MAINTENANCE!$BA29</f>
        <v>-121333.33</v>
      </c>
      <c r="AC25" s="189"/>
      <c r="AD25" s="189"/>
      <c r="AE25" s="183">
        <f t="shared" si="8"/>
        <v>3900882</v>
      </c>
      <c r="AF25" s="184">
        <f t="shared" si="0"/>
        <v>0</v>
      </c>
      <c r="AG25" s="95">
        <f t="shared" si="4"/>
        <v>0</v>
      </c>
      <c r="AI25" s="199">
        <f>[10]MAINTENANCE!$AF29</f>
        <v>3722966.5700000003</v>
      </c>
      <c r="AJ25" s="200">
        <f t="shared" si="1"/>
        <v>177916</v>
      </c>
      <c r="AK25" s="199">
        <f t="shared" si="5"/>
        <v>3900882.5700000003</v>
      </c>
      <c r="AL25" s="201">
        <f t="shared" si="2"/>
        <v>0.57000000029802322</v>
      </c>
    </row>
    <row r="26" spans="2:38" s="173" customFormat="1" ht="18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3"/>
        <v>TER A</v>
      </c>
      <c r="K26" s="182">
        <f t="shared" si="6"/>
        <v>3639999.9</v>
      </c>
      <c r="L26" s="169">
        <f t="shared" si="7"/>
        <v>30575.999999999996</v>
      </c>
      <c r="M26" s="189">
        <f>[10]MAINTENANCE!$AK30</f>
        <v>148040</v>
      </c>
      <c r="N26" s="189">
        <f>[10]MAINTENANCE!$W30</f>
        <v>67500</v>
      </c>
      <c r="O26" s="189"/>
      <c r="P26" s="189"/>
      <c r="Q26" s="169"/>
      <c r="R26" s="189"/>
      <c r="S26" s="189"/>
      <c r="T26" s="189"/>
      <c r="U26" s="189"/>
      <c r="V26" s="189"/>
      <c r="W26" s="189"/>
      <c r="X26" s="189">
        <f>[10]MAINTENANCE!$AB30</f>
        <v>61000</v>
      </c>
      <c r="Y26" s="189"/>
      <c r="Z26" s="189"/>
      <c r="AA26" s="189"/>
      <c r="AB26" s="189">
        <f>-[10]MAINTENANCE!$BA30</f>
        <v>0</v>
      </c>
      <c r="AC26" s="189"/>
      <c r="AD26" s="189"/>
      <c r="AE26" s="183">
        <f t="shared" si="8"/>
        <v>3947115</v>
      </c>
      <c r="AF26" s="184">
        <f t="shared" si="0"/>
        <v>0</v>
      </c>
      <c r="AG26" s="95">
        <f t="shared" si="4"/>
        <v>0</v>
      </c>
      <c r="AI26" s="199">
        <f>[10]MAINTENANCE!$AF30</f>
        <v>3768499.9000000004</v>
      </c>
      <c r="AJ26" s="200">
        <f t="shared" si="1"/>
        <v>178616</v>
      </c>
      <c r="AK26" s="199">
        <f t="shared" si="5"/>
        <v>3947115.9000000004</v>
      </c>
      <c r="AL26" s="201">
        <f t="shared" si="2"/>
        <v>0.90000000037252903</v>
      </c>
    </row>
    <row r="27" spans="2:38" s="173" customFormat="1" ht="18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3"/>
        <v>TER A</v>
      </c>
      <c r="K27" s="182">
        <f t="shared" si="6"/>
        <v>3639999.9</v>
      </c>
      <c r="L27" s="169">
        <f t="shared" si="7"/>
        <v>30575.999999999996</v>
      </c>
      <c r="M27" s="189">
        <f>[10]MAINTENANCE!$AK31</f>
        <v>147620</v>
      </c>
      <c r="N27" s="189">
        <f>[10]MAINTENANCE!$W31</f>
        <v>67500</v>
      </c>
      <c r="O27" s="189"/>
      <c r="P27" s="189"/>
      <c r="Q27" s="169"/>
      <c r="R27" s="189"/>
      <c r="S27" s="189"/>
      <c r="T27" s="189"/>
      <c r="U27" s="189"/>
      <c r="V27" s="189"/>
      <c r="W27" s="189"/>
      <c r="X27" s="189">
        <f>[10]MAINTENANCE!$AB31</f>
        <v>50500</v>
      </c>
      <c r="Y27" s="189"/>
      <c r="Z27" s="189"/>
      <c r="AA27" s="189"/>
      <c r="AB27" s="189">
        <f>-[10]MAINTENANCE!$BA31</f>
        <v>0</v>
      </c>
      <c r="AC27" s="189"/>
      <c r="AD27" s="189"/>
      <c r="AE27" s="183">
        <f t="shared" si="8"/>
        <v>3936195</v>
      </c>
      <c r="AF27" s="184">
        <f t="shared" si="0"/>
        <v>0</v>
      </c>
      <c r="AG27" s="95">
        <f t="shared" si="4"/>
        <v>0</v>
      </c>
      <c r="AI27" s="199">
        <f>[10]MAINTENANCE!$AF31</f>
        <v>3757999.9000000004</v>
      </c>
      <c r="AJ27" s="200">
        <f t="shared" si="1"/>
        <v>178196</v>
      </c>
      <c r="AK27" s="199">
        <f t="shared" si="5"/>
        <v>3936195.9000000004</v>
      </c>
      <c r="AL27" s="201">
        <f t="shared" si="2"/>
        <v>0.90000000037252903</v>
      </c>
    </row>
    <row r="28" spans="2:38" s="173" customFormat="1" ht="18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3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>
        <f>'[11]HARVESTING KHT'!$AK10</f>
        <v>0</v>
      </c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0"/>
        <v>0</v>
      </c>
      <c r="AG28" s="95">
        <f t="shared" si="4"/>
        <v>0</v>
      </c>
      <c r="AI28" s="199"/>
      <c r="AJ28" s="200">
        <f t="shared" si="1"/>
        <v>0</v>
      </c>
      <c r="AK28" s="199">
        <f>AI28+AJ28+AD28</f>
        <v>0</v>
      </c>
      <c r="AL28" s="201">
        <f t="shared" si="2"/>
        <v>0</v>
      </c>
    </row>
    <row r="29" spans="2:38" s="173" customFormat="1" ht="18" customHeight="1">
      <c r="B29" s="174">
        <v>23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3"/>
        <v>TER A</v>
      </c>
      <c r="K29" s="182">
        <f>30*121333.33</f>
        <v>3639999.9</v>
      </c>
      <c r="L29" s="169">
        <f t="shared" si="7"/>
        <v>30575.999999999996</v>
      </c>
      <c r="M29" s="189">
        <f>'[10]HARVESTING KHT'!$AQ10</f>
        <v>147620</v>
      </c>
      <c r="N29" s="189">
        <f>'[10]HARVESTING KHT'!$U10</f>
        <v>67500</v>
      </c>
      <c r="O29" s="189">
        <f>'[10]HARVESTING KHT'!$X10</f>
        <v>38000</v>
      </c>
      <c r="P29" s="189">
        <f>'[10]HARVESTING KHT'!$AD10</f>
        <v>292774.49</v>
      </c>
      <c r="Q29" s="189"/>
      <c r="R29" s="189"/>
      <c r="S29" s="189"/>
      <c r="T29" s="189"/>
      <c r="U29" s="189"/>
      <c r="V29" s="189"/>
      <c r="W29" s="189">
        <f>'[11]HARVESTING KHT'!$AK11</f>
        <v>0</v>
      </c>
      <c r="X29" s="189">
        <f>'[10]HARVESTING KHT'!$Z10</f>
        <v>50500</v>
      </c>
      <c r="Y29" s="189"/>
      <c r="Z29" s="189"/>
      <c r="AA29" s="189"/>
      <c r="AB29" s="189">
        <f>-'[10]HARVESTING KHT'!$BI10</f>
        <v>0</v>
      </c>
      <c r="AC29" s="189"/>
      <c r="AD29" s="189"/>
      <c r="AE29" s="183">
        <f t="shared" si="8"/>
        <v>4266970</v>
      </c>
      <c r="AF29" s="184">
        <f t="shared" si="0"/>
        <v>0</v>
      </c>
      <c r="AG29" s="95">
        <f t="shared" si="4"/>
        <v>0</v>
      </c>
      <c r="AI29" s="199">
        <f>'[10]HARVESTING KHT'!$AL10</f>
        <v>4088774.3900000006</v>
      </c>
      <c r="AJ29" s="200">
        <f t="shared" si="1"/>
        <v>178196</v>
      </c>
      <c r="AK29" s="199">
        <f>AI29+AJ29+AD29</f>
        <v>4266970.3900000006</v>
      </c>
      <c r="AL29" s="201">
        <f t="shared" si="2"/>
        <v>0.39000000059604645</v>
      </c>
    </row>
    <row r="30" spans="2:38" s="173" customFormat="1" ht="18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3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>'[11]HARVESTING KHT'!$AK12</f>
        <v>0</v>
      </c>
      <c r="X30" s="189"/>
      <c r="Y30" s="189"/>
      <c r="Z30" s="189"/>
      <c r="AA30" s="189"/>
      <c r="AB30" s="189"/>
      <c r="AC30" s="189"/>
      <c r="AD30" s="189"/>
      <c r="AE30" s="183">
        <f t="shared" si="8"/>
        <v>0</v>
      </c>
      <c r="AF30" s="184">
        <f t="shared" si="0"/>
        <v>0</v>
      </c>
      <c r="AG30" s="95">
        <f t="shared" si="4"/>
        <v>0</v>
      </c>
      <c r="AI30" s="199"/>
      <c r="AJ30" s="200">
        <f t="shared" si="1"/>
        <v>0</v>
      </c>
      <c r="AK30" s="199">
        <f t="shared" si="5"/>
        <v>0</v>
      </c>
      <c r="AL30" s="201">
        <f t="shared" si="2"/>
        <v>0</v>
      </c>
    </row>
    <row r="31" spans="2:38" s="173" customFormat="1" ht="18" customHeight="1">
      <c r="B31" s="174">
        <v>24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3"/>
        <v>TER B</v>
      </c>
      <c r="K31" s="182">
        <f>30*121333.33</f>
        <v>3639999.9</v>
      </c>
      <c r="L31" s="169">
        <f t="shared" si="7"/>
        <v>30575.999999999996</v>
      </c>
      <c r="M31" s="189">
        <f>'[10]HARVESTING KHT'!$AQ11</f>
        <v>146560</v>
      </c>
      <c r="N31" s="189">
        <f>'[10]HARVESTING KHT'!$U11</f>
        <v>135000</v>
      </c>
      <c r="O31" s="189"/>
      <c r="P31" s="189"/>
      <c r="Q31" s="189"/>
      <c r="R31" s="189">
        <f>'[10]HARVESTING KHT'!$AA11</f>
        <v>910252</v>
      </c>
      <c r="S31" s="189">
        <f>'[10]HARVESTING KHT'!$AB11</f>
        <v>159600</v>
      </c>
      <c r="T31" s="189"/>
      <c r="U31" s="189"/>
      <c r="V31" s="189">
        <f>'[10]HARVESTING KHT'!$AH11</f>
        <v>0</v>
      </c>
      <c r="W31" s="189">
        <f>'[11]HARVESTING KHT'!$AK13</f>
        <v>0</v>
      </c>
      <c r="X31" s="189">
        <f>'[10]HARVESTING KHT'!$Z11</f>
        <v>24000</v>
      </c>
      <c r="Y31" s="189">
        <f>-'[10]HARVESTING KHT'!$AI11</f>
        <v>0</v>
      </c>
      <c r="Z31" s="189"/>
      <c r="AA31" s="189"/>
      <c r="AB31" s="189">
        <f>-'[10]HARVESTING KHT'!$BI11</f>
        <v>0</v>
      </c>
      <c r="AC31" s="189"/>
      <c r="AD31" s="189"/>
      <c r="AE31" s="183">
        <f t="shared" si="8"/>
        <v>5045987</v>
      </c>
      <c r="AF31" s="184">
        <f t="shared" si="0"/>
        <v>0</v>
      </c>
      <c r="AG31" s="95">
        <f t="shared" si="4"/>
        <v>0</v>
      </c>
      <c r="AI31" s="199">
        <f>'[10]HARVESTING KHT'!$AL$11</f>
        <v>4868851.9000000004</v>
      </c>
      <c r="AJ31" s="200">
        <f t="shared" si="1"/>
        <v>177136</v>
      </c>
      <c r="AK31" s="199">
        <f t="shared" si="5"/>
        <v>5045987.9000000004</v>
      </c>
      <c r="AL31" s="201">
        <f t="shared" si="2"/>
        <v>0.90000000037252903</v>
      </c>
    </row>
    <row r="32" spans="2:38" s="173" customFormat="1" ht="18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3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0"/>
        <v>0</v>
      </c>
      <c r="AG32" s="95">
        <f t="shared" si="4"/>
        <v>0</v>
      </c>
      <c r="AI32" s="199"/>
      <c r="AJ32" s="200">
        <f t="shared" si="1"/>
        <v>0</v>
      </c>
      <c r="AK32" s="199">
        <f t="shared" si="5"/>
        <v>0</v>
      </c>
      <c r="AL32" s="201">
        <f t="shared" si="2"/>
        <v>0</v>
      </c>
    </row>
    <row r="33" spans="2:38" s="173" customFormat="1" ht="18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3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0"/>
        <v>0</v>
      </c>
      <c r="AG33" s="95">
        <f t="shared" si="4"/>
        <v>0</v>
      </c>
      <c r="AI33" s="199"/>
      <c r="AJ33" s="200">
        <f t="shared" si="1"/>
        <v>0</v>
      </c>
      <c r="AK33" s="199">
        <f t="shared" si="5"/>
        <v>0</v>
      </c>
      <c r="AL33" s="201">
        <f t="shared" si="2"/>
        <v>0</v>
      </c>
    </row>
    <row r="34" spans="2:38" s="173" customFormat="1" ht="18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3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>
        <f>'[11]HARVESTING KHT'!$AK16</f>
        <v>0</v>
      </c>
      <c r="X34" s="189"/>
      <c r="Y34" s="189"/>
      <c r="Z34" s="189"/>
      <c r="AA34" s="189"/>
      <c r="AB34" s="189"/>
      <c r="AC34" s="189"/>
      <c r="AD34" s="189"/>
      <c r="AE34" s="183">
        <f t="shared" si="8"/>
        <v>0</v>
      </c>
      <c r="AF34" s="184">
        <f t="shared" si="0"/>
        <v>0</v>
      </c>
      <c r="AG34" s="95">
        <f t="shared" si="4"/>
        <v>0</v>
      </c>
      <c r="AI34" s="199"/>
      <c r="AJ34" s="200">
        <f t="shared" si="1"/>
        <v>0</v>
      </c>
      <c r="AK34" s="199">
        <f t="shared" si="5"/>
        <v>0</v>
      </c>
      <c r="AL34" s="201">
        <f t="shared" si="2"/>
        <v>0</v>
      </c>
    </row>
    <row r="35" spans="2:38" s="173" customFormat="1" ht="18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3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>
        <f>'[11]HARVESTING KHT'!$AK17</f>
        <v>0</v>
      </c>
      <c r="X35" s="189"/>
      <c r="Y35" s="189"/>
      <c r="Z35" s="189"/>
      <c r="AA35" s="189"/>
      <c r="AB35" s="189"/>
      <c r="AC35" s="189"/>
      <c r="AD35" s="189"/>
      <c r="AE35" s="183">
        <f t="shared" si="8"/>
        <v>0</v>
      </c>
      <c r="AF35" s="184">
        <f t="shared" si="0"/>
        <v>0</v>
      </c>
      <c r="AG35" s="95">
        <f t="shared" si="4"/>
        <v>0</v>
      </c>
      <c r="AI35" s="199"/>
      <c r="AJ35" s="200">
        <f t="shared" si="1"/>
        <v>0</v>
      </c>
      <c r="AK35" s="199">
        <f t="shared" si="5"/>
        <v>0</v>
      </c>
      <c r="AL35" s="201">
        <f t="shared" si="2"/>
        <v>0</v>
      </c>
    </row>
    <row r="36" spans="2:38" s="173" customFormat="1" ht="18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3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>
        <f>'[11]HARVESTING KHT'!$AK18</f>
        <v>0</v>
      </c>
      <c r="X36" s="189"/>
      <c r="Y36" s="189"/>
      <c r="Z36" s="189"/>
      <c r="AA36" s="189"/>
      <c r="AB36" s="189"/>
      <c r="AC36" s="189"/>
      <c r="AD36" s="189"/>
      <c r="AE36" s="183">
        <f t="shared" si="8"/>
        <v>0</v>
      </c>
      <c r="AF36" s="184">
        <f t="shared" si="0"/>
        <v>0</v>
      </c>
      <c r="AG36" s="95">
        <f t="shared" si="4"/>
        <v>0</v>
      </c>
      <c r="AI36" s="199"/>
      <c r="AJ36" s="200">
        <f t="shared" si="1"/>
        <v>0</v>
      </c>
      <c r="AK36" s="199">
        <f t="shared" si="5"/>
        <v>0</v>
      </c>
      <c r="AL36" s="201">
        <f t="shared" si="2"/>
        <v>0</v>
      </c>
    </row>
    <row r="37" spans="2:38" s="173" customFormat="1" ht="18" customHeight="1">
      <c r="B37" s="174">
        <v>25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3"/>
        <v>TER B</v>
      </c>
      <c r="K37" s="182">
        <f>30*121333.33</f>
        <v>3639999.9</v>
      </c>
      <c r="L37" s="169">
        <f t="shared" si="7"/>
        <v>30575.999999999996</v>
      </c>
      <c r="M37" s="189">
        <f>'[10]HARVESTING KHT'!$AQ12</f>
        <v>145800</v>
      </c>
      <c r="N37" s="189">
        <f>'[10]HARVESTING KHT'!$U12</f>
        <v>135000</v>
      </c>
      <c r="O37" s="189"/>
      <c r="P37" s="189"/>
      <c r="Q37" s="189"/>
      <c r="R37" s="189">
        <f>'[10]HARVESTING KHT'!$AA12</f>
        <v>708354</v>
      </c>
      <c r="S37" s="189">
        <f>'[10]HARVESTING KHT'!$AB12</f>
        <v>153300</v>
      </c>
      <c r="T37" s="189"/>
      <c r="U37" s="189"/>
      <c r="V37" s="189">
        <f>'[10]HARVESTING KHT'!$AH12</f>
        <v>0</v>
      </c>
      <c r="W37" s="189">
        <f>'[11]HARVESTING KHT'!$AK19</f>
        <v>0</v>
      </c>
      <c r="X37" s="189">
        <f>'[10]HARVESTING KHT'!$Z12</f>
        <v>5000</v>
      </c>
      <c r="Y37" s="189">
        <f>-'[10]HARVESTING KHT'!$AI12</f>
        <v>0</v>
      </c>
      <c r="Z37" s="189"/>
      <c r="AA37" s="189"/>
      <c r="AB37" s="189">
        <f>-'[10]HARVESTING KHT'!$BI12</f>
        <v>0</v>
      </c>
      <c r="AC37" s="189"/>
      <c r="AD37" s="189"/>
      <c r="AE37" s="183">
        <f t="shared" si="8"/>
        <v>4818029</v>
      </c>
      <c r="AF37" s="184">
        <f t="shared" si="0"/>
        <v>0</v>
      </c>
      <c r="AG37" s="95">
        <f t="shared" si="4"/>
        <v>0</v>
      </c>
      <c r="AI37" s="199">
        <f>'[10]HARVESTING KHT'!$AL$12</f>
        <v>4641653.9000000004</v>
      </c>
      <c r="AJ37" s="200">
        <f t="shared" si="1"/>
        <v>176376</v>
      </c>
      <c r="AK37" s="199">
        <f t="shared" si="5"/>
        <v>4818029.9000000004</v>
      </c>
      <c r="AL37" s="201">
        <f t="shared" si="2"/>
        <v>0.90000000037252903</v>
      </c>
    </row>
    <row r="38" spans="2:38" s="173" customFormat="1" ht="18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3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66" si="9">IF(J38="TER A",VLOOKUP(AE38,Ter_A,4,TRUE),IF(J38="TER B",VLOOKUP(AE38,Ter_B,4,TRUE),VLOOKUP(AE38,Ter_C,4,TRUE)))</f>
        <v>0</v>
      </c>
      <c r="AG38" s="95">
        <f t="shared" si="4"/>
        <v>0</v>
      </c>
      <c r="AI38" s="199"/>
      <c r="AJ38" s="200">
        <f t="shared" si="1"/>
        <v>0</v>
      </c>
      <c r="AK38" s="199">
        <f t="shared" si="5"/>
        <v>0</v>
      </c>
      <c r="AL38" s="201">
        <f t="shared" si="2"/>
        <v>0</v>
      </c>
    </row>
    <row r="39" spans="2:38" s="173" customFormat="1" ht="18" customHeight="1">
      <c r="B39" s="174">
        <v>26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3"/>
        <v>TER B</v>
      </c>
      <c r="K39" s="182">
        <f>30*121333.33</f>
        <v>3639999.9</v>
      </c>
      <c r="L39" s="169">
        <f t="shared" si="7"/>
        <v>30575.999999999996</v>
      </c>
      <c r="M39" s="189">
        <f>'[10]HARVESTING KHT'!$AQ13</f>
        <v>145800</v>
      </c>
      <c r="N39" s="189">
        <f>'[10]HARVESTING KHT'!$U13</f>
        <v>135000</v>
      </c>
      <c r="O39" s="189"/>
      <c r="P39" s="189"/>
      <c r="Q39" s="189"/>
      <c r="R39" s="189">
        <f>'[10]HARVESTING KHT'!$AA13</f>
        <v>325090</v>
      </c>
      <c r="S39" s="189">
        <f>'[10]HARVESTING KHT'!$AB13</f>
        <v>117600</v>
      </c>
      <c r="T39" s="189"/>
      <c r="U39" s="189"/>
      <c r="V39" s="189">
        <f>'[10]HARVESTING KHT'!$AH13</f>
        <v>0</v>
      </c>
      <c r="W39" s="189">
        <f>'[11]HARVESTING KHT'!$AK21</f>
        <v>0</v>
      </c>
      <c r="X39" s="189">
        <f>'[10]HARVESTING KHT'!$Z13</f>
        <v>5000</v>
      </c>
      <c r="Y39" s="189">
        <f>-'[10]HARVESTING KHT'!$AI13</f>
        <v>0</v>
      </c>
      <c r="Z39" s="189"/>
      <c r="AA39" s="189"/>
      <c r="AB39" s="189">
        <f>-'[10]HARVESTING KHT'!$BI13</f>
        <v>0</v>
      </c>
      <c r="AC39" s="189"/>
      <c r="AD39" s="189"/>
      <c r="AE39" s="183">
        <f t="shared" si="8"/>
        <v>4399065</v>
      </c>
      <c r="AF39" s="184">
        <f t="shared" si="9"/>
        <v>0</v>
      </c>
      <c r="AG39" s="95">
        <f t="shared" si="4"/>
        <v>0</v>
      </c>
      <c r="AI39" s="199">
        <f>'[10]HARVESTING KHT'!$AL13</f>
        <v>4222689.9000000004</v>
      </c>
      <c r="AJ39" s="200">
        <f t="shared" si="1"/>
        <v>176376</v>
      </c>
      <c r="AK39" s="199">
        <f t="shared" si="5"/>
        <v>4399065.9000000004</v>
      </c>
      <c r="AL39" s="201">
        <f t="shared" si="2"/>
        <v>0.90000000037252903</v>
      </c>
    </row>
    <row r="40" spans="2:38" s="173" customFormat="1" ht="18" customHeight="1">
      <c r="B40" s="174">
        <v>27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3"/>
        <v>TER A</v>
      </c>
      <c r="K40" s="182">
        <f>30*121333.33</f>
        <v>3639999.9</v>
      </c>
      <c r="L40" s="169">
        <f t="shared" si="7"/>
        <v>30575.999999999996</v>
      </c>
      <c r="M40" s="189">
        <f>'[10]HARVESTING KHT'!$AQ14</f>
        <v>145800</v>
      </c>
      <c r="N40" s="189">
        <f>'[10]HARVESTING KHT'!$U14</f>
        <v>65250</v>
      </c>
      <c r="O40" s="189"/>
      <c r="P40" s="189"/>
      <c r="Q40" s="189"/>
      <c r="R40" s="189">
        <f>'[10]HARVESTING KHT'!$AA14</f>
        <v>114637</v>
      </c>
      <c r="S40" s="189">
        <f>'[10]HARVESTING KHT'!$AB14</f>
        <v>122850</v>
      </c>
      <c r="T40" s="189"/>
      <c r="U40" s="189"/>
      <c r="V40" s="189">
        <f>'[10]HARVESTING KHT'!$AH14</f>
        <v>0</v>
      </c>
      <c r="W40" s="189">
        <f>'[11]HARVESTING KHT'!$AK22</f>
        <v>0</v>
      </c>
      <c r="X40" s="189">
        <f>'[10]HARVESTING KHT'!$Z14</f>
        <v>5000</v>
      </c>
      <c r="Y40" s="189">
        <f>-'[10]HARVESTING KHT'!$AI14</f>
        <v>0</v>
      </c>
      <c r="Z40" s="189"/>
      <c r="AA40" s="189"/>
      <c r="AB40" s="189">
        <f>-'[10]HARVESTING KHT'!$BI14</f>
        <v>-121333.33</v>
      </c>
      <c r="AC40" s="189"/>
      <c r="AD40" s="189"/>
      <c r="AE40" s="183">
        <f t="shared" si="8"/>
        <v>4002779</v>
      </c>
      <c r="AF40" s="184">
        <f t="shared" si="9"/>
        <v>0</v>
      </c>
      <c r="AG40" s="95">
        <f t="shared" si="4"/>
        <v>0</v>
      </c>
      <c r="AI40" s="199">
        <f>'[10]HARVESTING KHT'!$AL14</f>
        <v>3826403.5700000003</v>
      </c>
      <c r="AJ40" s="200">
        <f t="shared" si="1"/>
        <v>176376</v>
      </c>
      <c r="AK40" s="199">
        <f t="shared" si="5"/>
        <v>4002779.5700000003</v>
      </c>
      <c r="AL40" s="201">
        <f t="shared" si="2"/>
        <v>0.57000000029802322</v>
      </c>
    </row>
    <row r="41" spans="2:38" s="173" customFormat="1" ht="18" customHeight="1">
      <c r="B41" s="174">
        <v>28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3"/>
        <v>TER B</v>
      </c>
      <c r="K41" s="182">
        <f>30*121333.33</f>
        <v>3639999.9</v>
      </c>
      <c r="L41" s="169">
        <f t="shared" si="7"/>
        <v>30575.999999999996</v>
      </c>
      <c r="M41" s="189">
        <f>'[10]HARVESTING KHT'!$AQ15</f>
        <v>146320</v>
      </c>
      <c r="N41" s="189">
        <f>'[10]HARVESTING KHT'!$U15</f>
        <v>162000</v>
      </c>
      <c r="O41" s="189"/>
      <c r="P41" s="189"/>
      <c r="Q41" s="189"/>
      <c r="R41" s="189">
        <f>'[10]HARVESTING KHT'!$AA15</f>
        <v>95816</v>
      </c>
      <c r="S41" s="189">
        <f>'[10]HARVESTING KHT'!$AB15</f>
        <v>105000</v>
      </c>
      <c r="T41" s="189"/>
      <c r="U41" s="189"/>
      <c r="V41" s="189">
        <f>'[10]HARVESTING KHT'!$AH15</f>
        <v>0</v>
      </c>
      <c r="W41" s="189">
        <f>'[11]HARVESTING KHT'!$AK23</f>
        <v>0</v>
      </c>
      <c r="X41" s="189">
        <f>'[10]HARVESTING KHT'!$Z15</f>
        <v>18000</v>
      </c>
      <c r="Y41" s="189">
        <f>-'[10]HARVESTING KHT'!$AI15</f>
        <v>-76016</v>
      </c>
      <c r="Z41" s="189"/>
      <c r="AA41" s="189"/>
      <c r="AB41" s="189">
        <f>-'[10]HARVESTING KHT'!$BI15</f>
        <v>0</v>
      </c>
      <c r="AC41" s="189"/>
      <c r="AD41" s="189"/>
      <c r="AE41" s="183">
        <f t="shared" si="8"/>
        <v>4121695</v>
      </c>
      <c r="AF41" s="184">
        <f t="shared" si="9"/>
        <v>0</v>
      </c>
      <c r="AG41" s="95">
        <f t="shared" si="4"/>
        <v>0</v>
      </c>
      <c r="AI41" s="199">
        <f>'[10]HARVESTING KHT'!$AL15</f>
        <v>3944799.9000000004</v>
      </c>
      <c r="AJ41" s="200">
        <f t="shared" si="1"/>
        <v>176896</v>
      </c>
      <c r="AK41" s="199">
        <f t="shared" si="5"/>
        <v>4121695.9000000004</v>
      </c>
      <c r="AL41" s="201">
        <f t="shared" si="2"/>
        <v>0.90000000037252903</v>
      </c>
    </row>
    <row r="42" spans="2:38" s="173" customFormat="1" ht="18" customHeight="1">
      <c r="B42" s="174">
        <v>29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3"/>
        <v>TER B</v>
      </c>
      <c r="K42" s="182">
        <f>30*121333.33</f>
        <v>3639999.9</v>
      </c>
      <c r="L42" s="169">
        <f t="shared" si="7"/>
        <v>30575.999999999996</v>
      </c>
      <c r="M42" s="189">
        <f>'[10]HARVESTING KHT'!$AQ16</f>
        <v>146440</v>
      </c>
      <c r="N42" s="189">
        <f>'[10]HARVESTING KHT'!$U16</f>
        <v>135000</v>
      </c>
      <c r="O42" s="189"/>
      <c r="P42" s="189"/>
      <c r="Q42" s="189"/>
      <c r="R42" s="189">
        <f>'[10]HARVESTING KHT'!$AA16</f>
        <v>94105</v>
      </c>
      <c r="S42" s="189">
        <f>'[10]HARVESTING KHT'!$AB16</f>
        <v>98700</v>
      </c>
      <c r="T42" s="189"/>
      <c r="U42" s="189"/>
      <c r="V42" s="189">
        <f>'[10]HARVESTING KHT'!$AH16</f>
        <v>0</v>
      </c>
      <c r="W42" s="189">
        <f>'[11]HARVESTING KHT'!$AK24</f>
        <v>0</v>
      </c>
      <c r="X42" s="189">
        <f>'[10]HARVESTING KHT'!$Z16</f>
        <v>21000</v>
      </c>
      <c r="Y42" s="189">
        <f>-'[10]HARVESTING KHT'!$AI16</f>
        <v>0</v>
      </c>
      <c r="Z42" s="189"/>
      <c r="AA42" s="189"/>
      <c r="AB42" s="189">
        <f>-'[10]HARVESTING KHT'!$BI16</f>
        <v>0</v>
      </c>
      <c r="AC42" s="189"/>
      <c r="AD42" s="189"/>
      <c r="AE42" s="183">
        <f t="shared" si="8"/>
        <v>4165820</v>
      </c>
      <c r="AF42" s="184">
        <f t="shared" si="9"/>
        <v>0</v>
      </c>
      <c r="AG42" s="95">
        <f t="shared" si="4"/>
        <v>0</v>
      </c>
      <c r="AI42" s="199">
        <f>'[10]HARVESTING KHT'!$AL16</f>
        <v>3988804.9000000004</v>
      </c>
      <c r="AJ42" s="200">
        <f t="shared" si="1"/>
        <v>177016</v>
      </c>
      <c r="AK42" s="199">
        <f t="shared" si="5"/>
        <v>4165820.9000000004</v>
      </c>
      <c r="AL42" s="201">
        <f t="shared" si="2"/>
        <v>0.90000000037252903</v>
      </c>
    </row>
    <row r="43" spans="2:38" s="173" customFormat="1" ht="18" customHeight="1">
      <c r="B43" s="174">
        <v>30</v>
      </c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3"/>
        <v>TER B</v>
      </c>
      <c r="K43" s="182">
        <f>9*121333.33</f>
        <v>1091999.97</v>
      </c>
      <c r="L43" s="169">
        <f t="shared" si="7"/>
        <v>30575.999999999996</v>
      </c>
      <c r="M43" s="189">
        <f>'[10]HARVESTING KHT'!$AQ17</f>
        <v>145800</v>
      </c>
      <c r="N43" s="189">
        <f>'[10]HARVESTING KHT'!$U17</f>
        <v>40500</v>
      </c>
      <c r="O43" s="189"/>
      <c r="P43" s="189"/>
      <c r="Q43" s="189"/>
      <c r="R43" s="189">
        <f>'[10]HARVESTING KHT'!$AA17</f>
        <v>0</v>
      </c>
      <c r="S43" s="189">
        <f>'[10]HARVESTING KHT'!$AB17</f>
        <v>19950</v>
      </c>
      <c r="T43" s="189"/>
      <c r="U43" s="189"/>
      <c r="V43" s="189">
        <f>'[10]HARVESTING KHT'!$AH17</f>
        <v>0</v>
      </c>
      <c r="W43" s="189">
        <f>'[11]HARVESTING KHT'!$AK25</f>
        <v>0</v>
      </c>
      <c r="X43" s="189">
        <f>'[10]HARVESTING KHT'!$Z17</f>
        <v>5000</v>
      </c>
      <c r="Y43" s="189">
        <f>-'[10]HARVESTING KHT'!$AI17</f>
        <v>0</v>
      </c>
      <c r="Z43" s="189"/>
      <c r="AA43" s="189"/>
      <c r="AB43" s="189">
        <f>-'[10]HARVESTING KHT'!$BI17</f>
        <v>0</v>
      </c>
      <c r="AC43" s="189"/>
      <c r="AD43" s="189"/>
      <c r="AE43" s="183">
        <f t="shared" si="8"/>
        <v>1333825</v>
      </c>
      <c r="AF43" s="184">
        <f t="shared" si="9"/>
        <v>0</v>
      </c>
      <c r="AG43" s="95">
        <f t="shared" si="4"/>
        <v>0</v>
      </c>
      <c r="AI43" s="199">
        <f>'[10]HARVESTING KHT'!$AL17</f>
        <v>1157449.97</v>
      </c>
      <c r="AJ43" s="200">
        <f t="shared" si="1"/>
        <v>176376</v>
      </c>
      <c r="AK43" s="199">
        <f t="shared" si="5"/>
        <v>1333825.97</v>
      </c>
      <c r="AL43" s="201">
        <f t="shared" si="2"/>
        <v>0.96999999997206032</v>
      </c>
    </row>
    <row r="44" spans="2:38" s="173" customFormat="1" ht="18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3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9"/>
        <v>0</v>
      </c>
      <c r="AG44" s="95">
        <f t="shared" si="4"/>
        <v>0</v>
      </c>
      <c r="AI44" s="199"/>
      <c r="AJ44" s="200">
        <f t="shared" si="1"/>
        <v>0</v>
      </c>
      <c r="AK44" s="199">
        <f t="shared" si="5"/>
        <v>0</v>
      </c>
      <c r="AL44" s="201">
        <f t="shared" si="2"/>
        <v>0</v>
      </c>
    </row>
    <row r="45" spans="2:38" s="173" customFormat="1" ht="18" customHeight="1">
      <c r="B45" s="174">
        <v>31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3"/>
        <v>TER B</v>
      </c>
      <c r="K45" s="182">
        <f>30*121333.33</f>
        <v>3639999.9</v>
      </c>
      <c r="L45" s="169">
        <f t="shared" si="7"/>
        <v>30575.999999999996</v>
      </c>
      <c r="M45" s="189">
        <f>'[10]HARVESTING KHT'!$AQ18</f>
        <v>145700</v>
      </c>
      <c r="N45" s="189">
        <f>'[10]HARVESTING KHT'!$U18</f>
        <v>162000</v>
      </c>
      <c r="O45" s="189"/>
      <c r="P45" s="189"/>
      <c r="Q45" s="189"/>
      <c r="R45" s="189">
        <f>'[10]HARVESTING KHT'!$AA18</f>
        <v>983825</v>
      </c>
      <c r="S45" s="189">
        <f>'[10]HARVESTING KHT'!$AB18</f>
        <v>130200</v>
      </c>
      <c r="T45" s="189"/>
      <c r="U45" s="189"/>
      <c r="V45" s="189">
        <f>'[10]HARVESTING KHT'!$AH18</f>
        <v>150000</v>
      </c>
      <c r="W45" s="189">
        <f>'[11]HARVESTING KHT'!$AK27</f>
        <v>0</v>
      </c>
      <c r="X45" s="189">
        <f>'[10]HARVESTING KHT'!$Z18</f>
        <v>2500</v>
      </c>
      <c r="Y45" s="189">
        <f>-'[10]HARVESTING KHT'!$AI18</f>
        <v>0</v>
      </c>
      <c r="Z45" s="189"/>
      <c r="AA45" s="189"/>
      <c r="AB45" s="189">
        <f>-'[10]HARVESTING KHT'!$BI18</f>
        <v>0</v>
      </c>
      <c r="AC45" s="189"/>
      <c r="AD45" s="189"/>
      <c r="AE45" s="183">
        <f t="shared" si="8"/>
        <v>5244800</v>
      </c>
      <c r="AF45" s="184">
        <f t="shared" si="9"/>
        <v>0</v>
      </c>
      <c r="AG45" s="95">
        <f t="shared" si="4"/>
        <v>0</v>
      </c>
      <c r="AI45" s="199">
        <f>'[10]HARVESTING KHT'!$AL18</f>
        <v>5068524.9000000004</v>
      </c>
      <c r="AJ45" s="200">
        <f t="shared" si="1"/>
        <v>176276</v>
      </c>
      <c r="AK45" s="199">
        <f t="shared" si="5"/>
        <v>5244800.9000000004</v>
      </c>
      <c r="AL45" s="201">
        <f t="shared" si="2"/>
        <v>0.90000000037252903</v>
      </c>
    </row>
    <row r="46" spans="2:38" s="173" customFormat="1" ht="18" customHeight="1">
      <c r="B46" s="174">
        <v>32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3"/>
        <v>TER A</v>
      </c>
      <c r="K46" s="182">
        <f>30*121333.33</f>
        <v>3639999.9</v>
      </c>
      <c r="L46" s="169">
        <f t="shared" si="7"/>
        <v>30575.999999999996</v>
      </c>
      <c r="M46" s="189">
        <f>'[10]HARVESTING KHT'!$AQ19</f>
        <v>145900</v>
      </c>
      <c r="N46" s="189">
        <f>'[10]HARVESTING KHT'!$U19</f>
        <v>67500</v>
      </c>
      <c r="O46" s="189"/>
      <c r="P46" s="189">
        <f>'[10]HARVESTING KHT'!$AD$19</f>
        <v>73641.61</v>
      </c>
      <c r="Q46" s="189"/>
      <c r="R46" s="189">
        <f>'[10]HARVESTING KHT'!$AA19</f>
        <v>1669936</v>
      </c>
      <c r="S46" s="189">
        <f>'[10]HARVESTING KHT'!$AB19</f>
        <v>128100</v>
      </c>
      <c r="T46" s="189"/>
      <c r="U46" s="189"/>
      <c r="V46" s="189">
        <f>'[10]HARVESTING KHT'!$AH19</f>
        <v>300000</v>
      </c>
      <c r="W46" s="189">
        <f>'[11]HARVESTING KHT'!$AK28</f>
        <v>0</v>
      </c>
      <c r="X46" s="189">
        <f>'[10]HARVESTING KHT'!$Z19</f>
        <v>7500</v>
      </c>
      <c r="Y46" s="189">
        <f>-'[10]HARVESTING KHT'!$AI19</f>
        <v>0</v>
      </c>
      <c r="Z46" s="189"/>
      <c r="AA46" s="189"/>
      <c r="AB46" s="189">
        <f>-'[10]HARVESTING KHT'!$BI19</f>
        <v>0</v>
      </c>
      <c r="AC46" s="189"/>
      <c r="AD46" s="189"/>
      <c r="AE46" s="183">
        <f t="shared" si="8"/>
        <v>6063153</v>
      </c>
      <c r="AF46" s="184">
        <f t="shared" si="9"/>
        <v>7.4999999999999997E-3</v>
      </c>
      <c r="AG46" s="95">
        <f t="shared" si="4"/>
        <v>45473</v>
      </c>
      <c r="AI46" s="199">
        <f>'[10]HARVESTING KHT'!$AL19</f>
        <v>5886677.5100000007</v>
      </c>
      <c r="AJ46" s="200">
        <f t="shared" si="1"/>
        <v>176476</v>
      </c>
      <c r="AK46" s="199">
        <f t="shared" si="5"/>
        <v>6063153.5100000007</v>
      </c>
      <c r="AL46" s="201">
        <f t="shared" si="2"/>
        <v>0.51000000070780516</v>
      </c>
    </row>
    <row r="47" spans="2:38" s="173" customFormat="1" ht="18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3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>
        <f>'[11]HARVESTING KHT'!$AK29</f>
        <v>0</v>
      </c>
      <c r="X47" s="189"/>
      <c r="Y47" s="189"/>
      <c r="Z47" s="189"/>
      <c r="AA47" s="189"/>
      <c r="AB47" s="189"/>
      <c r="AC47" s="189"/>
      <c r="AD47" s="189"/>
      <c r="AE47" s="183">
        <f t="shared" si="8"/>
        <v>0</v>
      </c>
      <c r="AF47" s="184">
        <f t="shared" si="9"/>
        <v>0</v>
      </c>
      <c r="AG47" s="95">
        <f t="shared" si="4"/>
        <v>0</v>
      </c>
      <c r="AI47" s="199"/>
      <c r="AJ47" s="200">
        <f t="shared" si="1"/>
        <v>0</v>
      </c>
      <c r="AK47" s="199">
        <f t="shared" si="5"/>
        <v>0</v>
      </c>
      <c r="AL47" s="201">
        <f t="shared" si="2"/>
        <v>0</v>
      </c>
    </row>
    <row r="48" spans="2:38" s="173" customFormat="1" ht="18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3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9"/>
        <v>0</v>
      </c>
      <c r="AG48" s="95">
        <f t="shared" si="4"/>
        <v>0</v>
      </c>
      <c r="AI48" s="199"/>
      <c r="AJ48" s="200">
        <f t="shared" si="1"/>
        <v>0</v>
      </c>
      <c r="AK48" s="199">
        <f t="shared" si="5"/>
        <v>0</v>
      </c>
      <c r="AL48" s="201">
        <f t="shared" si="2"/>
        <v>0</v>
      </c>
    </row>
    <row r="49" spans="2:38" s="173" customFormat="1" ht="18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3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9"/>
        <v>0</v>
      </c>
      <c r="AG49" s="95">
        <f t="shared" si="4"/>
        <v>0</v>
      </c>
      <c r="AI49" s="199"/>
      <c r="AJ49" s="200">
        <f t="shared" si="1"/>
        <v>0</v>
      </c>
      <c r="AK49" s="199">
        <f t="shared" si="5"/>
        <v>0</v>
      </c>
      <c r="AL49" s="201">
        <f t="shared" si="2"/>
        <v>0</v>
      </c>
    </row>
    <row r="50" spans="2:38" s="173" customFormat="1" ht="18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3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9"/>
        <v>0</v>
      </c>
      <c r="AG50" s="95">
        <f t="shared" si="4"/>
        <v>0</v>
      </c>
      <c r="AI50" s="199"/>
      <c r="AJ50" s="200">
        <f t="shared" si="1"/>
        <v>0</v>
      </c>
      <c r="AK50" s="199">
        <f t="shared" si="5"/>
        <v>0</v>
      </c>
      <c r="AL50" s="201">
        <f t="shared" si="2"/>
        <v>0</v>
      </c>
    </row>
    <row r="51" spans="2:38" s="173" customFormat="1" ht="18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3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9"/>
        <v>0</v>
      </c>
      <c r="AG51" s="95">
        <f t="shared" si="4"/>
        <v>0</v>
      </c>
      <c r="AI51" s="199"/>
      <c r="AJ51" s="200">
        <f t="shared" si="1"/>
        <v>0</v>
      </c>
      <c r="AK51" s="199">
        <f t="shared" si="5"/>
        <v>0</v>
      </c>
      <c r="AL51" s="201">
        <f t="shared" si="2"/>
        <v>0</v>
      </c>
    </row>
    <row r="52" spans="2:38" s="173" customFormat="1" ht="18" customHeight="1">
      <c r="B52" s="174">
        <v>33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3"/>
        <v>TER B</v>
      </c>
      <c r="K52" s="182">
        <f>30*121333.33</f>
        <v>3639999.9</v>
      </c>
      <c r="L52" s="169">
        <f t="shared" si="7"/>
        <v>30575.999999999996</v>
      </c>
      <c r="M52" s="189">
        <f>'[10]HARVESTING KHT'!$AQ20</f>
        <v>145800</v>
      </c>
      <c r="N52" s="189">
        <f>'[10]HARVESTING KHT'!$U20</f>
        <v>162000</v>
      </c>
      <c r="O52" s="189"/>
      <c r="P52" s="189"/>
      <c r="Q52" s="189"/>
      <c r="R52" s="189">
        <f>'[10]HARVESTING KHT'!$AA20</f>
        <v>80417</v>
      </c>
      <c r="S52" s="189">
        <f>'[10]HARVESTING KHT'!$AB20</f>
        <v>135450</v>
      </c>
      <c r="T52" s="189"/>
      <c r="U52" s="189"/>
      <c r="V52" s="189">
        <f>'[10]HARVESTING KHT'!$AH20</f>
        <v>0</v>
      </c>
      <c r="W52" s="189">
        <f>'[11]HARVESTING KHT'!$AK34</f>
        <v>0</v>
      </c>
      <c r="X52" s="189">
        <f>'[10]HARVESTING KHT'!$Z20</f>
        <v>5000</v>
      </c>
      <c r="Y52" s="189">
        <f>-'[10]HARVESTING KHT'!$AI20</f>
        <v>0</v>
      </c>
      <c r="Z52" s="189"/>
      <c r="AA52" s="189"/>
      <c r="AB52" s="189">
        <f>-'[10]HARVESTING KHT'!$BI20</f>
        <v>0</v>
      </c>
      <c r="AC52" s="189"/>
      <c r="AD52" s="189"/>
      <c r="AE52" s="183">
        <f t="shared" si="8"/>
        <v>4199242</v>
      </c>
      <c r="AF52" s="184">
        <f t="shared" si="9"/>
        <v>0</v>
      </c>
      <c r="AG52" s="95">
        <f t="shared" si="4"/>
        <v>0</v>
      </c>
      <c r="AI52" s="199">
        <f>'[10]HARVESTING KHT'!$AL20</f>
        <v>4022866.9</v>
      </c>
      <c r="AJ52" s="200">
        <f t="shared" si="1"/>
        <v>176376</v>
      </c>
      <c r="AK52" s="199">
        <f t="shared" si="5"/>
        <v>4199242.9000000004</v>
      </c>
      <c r="AL52" s="201">
        <f t="shared" si="2"/>
        <v>0.90000000037252903</v>
      </c>
    </row>
    <row r="53" spans="2:38" s="173" customFormat="1" ht="18" customHeight="1">
      <c r="B53" s="174">
        <v>34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3"/>
        <v>TER B</v>
      </c>
      <c r="K53" s="182">
        <f>30*121333.33</f>
        <v>3639999.9</v>
      </c>
      <c r="L53" s="169">
        <f t="shared" si="7"/>
        <v>30575.999999999996</v>
      </c>
      <c r="M53" s="189">
        <f>'[10]HARVESTING KHT'!$AQ21</f>
        <v>145700</v>
      </c>
      <c r="N53" s="189">
        <f>'[10]HARVESTING KHT'!$U21</f>
        <v>162000</v>
      </c>
      <c r="O53" s="189"/>
      <c r="P53" s="189"/>
      <c r="Q53" s="189"/>
      <c r="R53" s="189">
        <f>'[10]HARVESTING KHT'!$AA21</f>
        <v>83839</v>
      </c>
      <c r="S53" s="189">
        <f>'[10]HARVESTING KHT'!$AB21</f>
        <v>140700</v>
      </c>
      <c r="T53" s="189"/>
      <c r="U53" s="189"/>
      <c r="V53" s="189">
        <f>'[10]HARVESTING KHT'!$AH21</f>
        <v>0</v>
      </c>
      <c r="W53" s="189">
        <f>'[11]HARVESTING KHT'!$AK35</f>
        <v>0</v>
      </c>
      <c r="X53" s="189">
        <f>'[10]HARVESTING KHT'!$Z21</f>
        <v>2500</v>
      </c>
      <c r="Y53" s="189">
        <f>-'[10]HARVESTING KHT'!$AI21</f>
        <v>0</v>
      </c>
      <c r="Z53" s="189"/>
      <c r="AA53" s="189"/>
      <c r="AB53" s="189">
        <f>-'[10]HARVESTING KHT'!$BI21</f>
        <v>0</v>
      </c>
      <c r="AC53" s="189"/>
      <c r="AD53" s="189"/>
      <c r="AE53" s="183">
        <f t="shared" si="8"/>
        <v>4205314</v>
      </c>
      <c r="AF53" s="184">
        <f t="shared" si="9"/>
        <v>0</v>
      </c>
      <c r="AG53" s="95">
        <f t="shared" si="4"/>
        <v>0</v>
      </c>
      <c r="AI53" s="199">
        <f>'[10]HARVESTING KHT'!$AL21</f>
        <v>4029038.9</v>
      </c>
      <c r="AJ53" s="200">
        <f t="shared" si="1"/>
        <v>176276</v>
      </c>
      <c r="AK53" s="199">
        <f t="shared" si="5"/>
        <v>4205314.9000000004</v>
      </c>
      <c r="AL53" s="201">
        <f t="shared" si="2"/>
        <v>0.90000000037252903</v>
      </c>
    </row>
    <row r="54" spans="2:38" s="173" customFormat="1" ht="18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3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>
        <f>'[11]HARVESTING KHT'!$AK36</f>
        <v>0</v>
      </c>
      <c r="X54" s="189"/>
      <c r="Y54" s="189"/>
      <c r="Z54" s="189"/>
      <c r="AA54" s="189"/>
      <c r="AB54" s="189"/>
      <c r="AC54" s="189"/>
      <c r="AD54" s="189"/>
      <c r="AE54" s="183">
        <f t="shared" si="8"/>
        <v>0</v>
      </c>
      <c r="AF54" s="184">
        <f t="shared" si="9"/>
        <v>0</v>
      </c>
      <c r="AG54" s="95">
        <f t="shared" si="4"/>
        <v>0</v>
      </c>
      <c r="AI54" s="199"/>
      <c r="AJ54" s="200">
        <f t="shared" si="1"/>
        <v>0</v>
      </c>
      <c r="AK54" s="199">
        <f t="shared" si="5"/>
        <v>0</v>
      </c>
      <c r="AL54" s="201">
        <f t="shared" si="2"/>
        <v>0</v>
      </c>
    </row>
    <row r="55" spans="2:38" s="173" customFormat="1" ht="18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3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>
        <f>'[11]HARVESTING KHT'!$AK37</f>
        <v>0</v>
      </c>
      <c r="X55" s="189"/>
      <c r="Y55" s="189"/>
      <c r="Z55" s="189"/>
      <c r="AA55" s="189"/>
      <c r="AB55" s="189"/>
      <c r="AC55" s="189"/>
      <c r="AD55" s="189"/>
      <c r="AE55" s="183">
        <f t="shared" si="8"/>
        <v>0</v>
      </c>
      <c r="AF55" s="184">
        <f t="shared" si="9"/>
        <v>0</v>
      </c>
      <c r="AG55" s="95">
        <f t="shared" si="4"/>
        <v>0</v>
      </c>
      <c r="AI55" s="199"/>
      <c r="AJ55" s="200">
        <f t="shared" si="1"/>
        <v>0</v>
      </c>
      <c r="AK55" s="199">
        <f t="shared" si="5"/>
        <v>0</v>
      </c>
      <c r="AL55" s="201">
        <f t="shared" si="2"/>
        <v>0</v>
      </c>
    </row>
    <row r="56" spans="2:38" s="173" customFormat="1" ht="18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3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9"/>
        <v>0</v>
      </c>
      <c r="AG56" s="95">
        <f t="shared" si="4"/>
        <v>0</v>
      </c>
      <c r="AI56" s="199"/>
      <c r="AJ56" s="200">
        <f t="shared" si="1"/>
        <v>0</v>
      </c>
      <c r="AK56" s="199">
        <f t="shared" si="5"/>
        <v>0</v>
      </c>
      <c r="AL56" s="201">
        <f t="shared" si="2"/>
        <v>0</v>
      </c>
    </row>
    <row r="57" spans="2:38" s="173" customFormat="1" ht="18" customHeight="1">
      <c r="B57" s="174">
        <v>35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3"/>
        <v>TER B</v>
      </c>
      <c r="K57" s="182">
        <f>30*121333.33</f>
        <v>3639999.9</v>
      </c>
      <c r="L57" s="169">
        <f t="shared" si="7"/>
        <v>30575.999999999996</v>
      </c>
      <c r="M57" s="189">
        <f>'[10]HARVESTING KHT'!$AQ22</f>
        <v>146000</v>
      </c>
      <c r="N57" s="189">
        <f>'[10]HARVESTING KHT'!$U22</f>
        <v>162000</v>
      </c>
      <c r="O57" s="189"/>
      <c r="P57" s="189"/>
      <c r="Q57" s="189"/>
      <c r="R57" s="189">
        <f>'[10]HARVESTING KHT'!$AA22</f>
        <v>1019756</v>
      </c>
      <c r="S57" s="189">
        <f>'[10]HARVESTING KHT'!$AB22</f>
        <v>144900</v>
      </c>
      <c r="T57" s="189"/>
      <c r="U57" s="189"/>
      <c r="V57" s="189">
        <f>'[10]HARVESTING KHT'!$AH22</f>
        <v>150000</v>
      </c>
      <c r="W57" s="189">
        <f>'[11]HARVESTING KHT'!$AK39</f>
        <v>0</v>
      </c>
      <c r="X57" s="189">
        <f>'[10]HARVESTING KHT'!$Z22</f>
        <v>10000</v>
      </c>
      <c r="Y57" s="189">
        <f>-'[10]HARVESTING KHT'!$AI22</f>
        <v>0</v>
      </c>
      <c r="Z57" s="189"/>
      <c r="AA57" s="189"/>
      <c r="AB57" s="189">
        <f>-'[10]HARVESTING KHT'!$BI22</f>
        <v>0</v>
      </c>
      <c r="AC57" s="189"/>
      <c r="AD57" s="189"/>
      <c r="AE57" s="183">
        <f t="shared" si="8"/>
        <v>5303231</v>
      </c>
      <c r="AF57" s="184">
        <f t="shared" si="9"/>
        <v>0</v>
      </c>
      <c r="AG57" s="95">
        <f t="shared" si="4"/>
        <v>0</v>
      </c>
      <c r="AI57" s="199">
        <f>'[10]HARVESTING KHT'!$AL22</f>
        <v>5126655.9000000004</v>
      </c>
      <c r="AJ57" s="200">
        <f t="shared" si="1"/>
        <v>176576</v>
      </c>
      <c r="AK57" s="199">
        <f t="shared" si="5"/>
        <v>5303231.9000000004</v>
      </c>
      <c r="AL57" s="201">
        <f t="shared" si="2"/>
        <v>0.90000000037252903</v>
      </c>
    </row>
    <row r="58" spans="2:38" s="173" customFormat="1" ht="18" customHeight="1">
      <c r="B58" s="174">
        <v>36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3"/>
        <v>TER A</v>
      </c>
      <c r="K58" s="182">
        <f>30*121333.33</f>
        <v>3639999.9</v>
      </c>
      <c r="L58" s="169">
        <f t="shared" si="7"/>
        <v>30575.999999999996</v>
      </c>
      <c r="M58" s="189">
        <f>'[10]HARVESTING KHT'!$AQ23</f>
        <v>145700</v>
      </c>
      <c r="N58" s="189">
        <f>'[10]HARVESTING KHT'!$U23</f>
        <v>108000</v>
      </c>
      <c r="O58" s="189"/>
      <c r="P58" s="189"/>
      <c r="Q58" s="189"/>
      <c r="R58" s="189">
        <f>'[10]HARVESTING KHT'!$AA23</f>
        <v>1036866</v>
      </c>
      <c r="S58" s="189">
        <f>'[10]HARVESTING KHT'!$AB23</f>
        <v>151200</v>
      </c>
      <c r="T58" s="189"/>
      <c r="U58" s="189"/>
      <c r="V58" s="189">
        <f>'[10]HARVESTING KHT'!$AH23</f>
        <v>150000</v>
      </c>
      <c r="W58" s="189">
        <f>'[11]HARVESTING KHT'!$AK40</f>
        <v>0</v>
      </c>
      <c r="X58" s="189">
        <f>'[10]HARVESTING KHT'!$Z23</f>
        <v>2500</v>
      </c>
      <c r="Y58" s="189">
        <f>-'[10]HARVESTING KHT'!$AI23</f>
        <v>0</v>
      </c>
      <c r="Z58" s="189"/>
      <c r="AA58" s="189"/>
      <c r="AB58" s="189">
        <f>-'[10]HARVESTING KHT'!$BI23</f>
        <v>0</v>
      </c>
      <c r="AC58" s="189"/>
      <c r="AD58" s="189"/>
      <c r="AE58" s="183">
        <f t="shared" si="8"/>
        <v>5264841</v>
      </c>
      <c r="AF58" s="184">
        <f t="shared" si="9"/>
        <v>0</v>
      </c>
      <c r="AG58" s="95">
        <f t="shared" si="4"/>
        <v>0</v>
      </c>
      <c r="AI58" s="199">
        <f>'[10]HARVESTING KHT'!$AL23</f>
        <v>5088565.9000000004</v>
      </c>
      <c r="AJ58" s="200">
        <f t="shared" si="1"/>
        <v>176276</v>
      </c>
      <c r="AK58" s="199">
        <f t="shared" si="5"/>
        <v>5264841.9000000004</v>
      </c>
      <c r="AL58" s="201">
        <f t="shared" si="2"/>
        <v>0.90000000037252903</v>
      </c>
    </row>
    <row r="59" spans="2:38" s="173" customFormat="1" ht="18" customHeight="1">
      <c r="B59" s="174">
        <v>37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3"/>
        <v>TER C</v>
      </c>
      <c r="K59" s="182">
        <f>30*121333.33</f>
        <v>3639999.9</v>
      </c>
      <c r="L59" s="169">
        <f t="shared" si="7"/>
        <v>30575.999999999996</v>
      </c>
      <c r="M59" s="189">
        <f>'[10]HARVESTING KHT'!$AQ24</f>
        <v>145600</v>
      </c>
      <c r="N59" s="189">
        <f>'[10]HARVESTING KHT'!$U24</f>
        <v>162000</v>
      </c>
      <c r="O59" s="189"/>
      <c r="P59" s="189"/>
      <c r="Q59" s="189"/>
      <c r="R59" s="189">
        <f>'[10]HARVESTING KHT'!$AA24</f>
        <v>692955</v>
      </c>
      <c r="S59" s="189">
        <f>'[10]HARVESTING KHT'!$AB24</f>
        <v>102900</v>
      </c>
      <c r="T59" s="189"/>
      <c r="U59" s="189"/>
      <c r="V59" s="189">
        <f>'[10]HARVESTING KHT'!$AH24</f>
        <v>0</v>
      </c>
      <c r="W59" s="189">
        <f>'[11]HARVESTING KHT'!$AK41</f>
        <v>0</v>
      </c>
      <c r="X59" s="189">
        <f>'[10]HARVESTING KHT'!$Z24</f>
        <v>0</v>
      </c>
      <c r="Y59" s="189">
        <f>-'[10]HARVESTING KHT'!$AI24</f>
        <v>0</v>
      </c>
      <c r="Z59" s="189"/>
      <c r="AA59" s="189"/>
      <c r="AB59" s="189">
        <f>-'[10]HARVESTING KHT'!$BI24</f>
        <v>0</v>
      </c>
      <c r="AC59" s="189"/>
      <c r="AD59" s="189"/>
      <c r="AE59" s="183">
        <f t="shared" si="8"/>
        <v>4774030</v>
      </c>
      <c r="AF59" s="184">
        <f t="shared" si="9"/>
        <v>0</v>
      </c>
      <c r="AG59" s="95">
        <f t="shared" si="4"/>
        <v>0</v>
      </c>
      <c r="AI59" s="199">
        <f>'[10]HARVESTING KHT'!$AL24</f>
        <v>4597854.9000000004</v>
      </c>
      <c r="AJ59" s="200">
        <f t="shared" si="1"/>
        <v>176176</v>
      </c>
      <c r="AK59" s="199">
        <f t="shared" si="5"/>
        <v>4774030.9000000004</v>
      </c>
      <c r="AL59" s="201">
        <f t="shared" si="2"/>
        <v>0.90000000037252903</v>
      </c>
    </row>
    <row r="60" spans="2:38" s="173" customFormat="1" ht="18" customHeight="1">
      <c r="B60" s="174">
        <v>38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3"/>
        <v>TER C</v>
      </c>
      <c r="K60" s="182">
        <f>30*121333.33</f>
        <v>3639999.9</v>
      </c>
      <c r="L60" s="169">
        <f t="shared" si="7"/>
        <v>30575.999999999996</v>
      </c>
      <c r="M60" s="189">
        <f>'[10]HARVESTING KHT'!$AQ25</f>
        <v>145600</v>
      </c>
      <c r="N60" s="189">
        <f>'[10]HARVESTING KHT'!$U25</f>
        <v>162000</v>
      </c>
      <c r="O60" s="189"/>
      <c r="P60" s="189">
        <f>'[10]HARVESTING KHT'!$AD25</f>
        <v>63121.38</v>
      </c>
      <c r="Q60" s="189"/>
      <c r="R60" s="189">
        <f>'[10]HARVESTING KHT'!$AA25</f>
        <v>692955</v>
      </c>
      <c r="S60" s="189">
        <f>'[10]HARVESTING KHT'!$AB25</f>
        <v>148050</v>
      </c>
      <c r="T60" s="189"/>
      <c r="U60" s="189"/>
      <c r="V60" s="189">
        <f>'[10]HARVESTING KHT'!$AH25</f>
        <v>0</v>
      </c>
      <c r="W60" s="189">
        <f>'[11]HARVESTING KHT'!$AK42</f>
        <v>0</v>
      </c>
      <c r="X60" s="189">
        <f>'[10]HARVESTING KHT'!$Z25</f>
        <v>0</v>
      </c>
      <c r="Y60" s="189">
        <f>-'[10]HARVESTING KHT'!$AI25</f>
        <v>0</v>
      </c>
      <c r="Z60" s="189"/>
      <c r="AA60" s="189"/>
      <c r="AB60" s="189">
        <f>-'[10]HARVESTING KHT'!$BI25</f>
        <v>0</v>
      </c>
      <c r="AC60" s="189"/>
      <c r="AD60" s="189"/>
      <c r="AE60" s="183">
        <f t="shared" si="8"/>
        <v>4882302</v>
      </c>
      <c r="AF60" s="184">
        <f t="shared" si="9"/>
        <v>0</v>
      </c>
      <c r="AG60" s="95">
        <f t="shared" si="4"/>
        <v>0</v>
      </c>
      <c r="AI60" s="199">
        <f>'[10]HARVESTING KHT'!$AL25</f>
        <v>4706126.28</v>
      </c>
      <c r="AJ60" s="200">
        <f t="shared" si="1"/>
        <v>176176</v>
      </c>
      <c r="AK60" s="199">
        <f t="shared" si="5"/>
        <v>4882302.28</v>
      </c>
      <c r="AL60" s="201">
        <f t="shared" si="2"/>
        <v>0.28000000026077032</v>
      </c>
    </row>
    <row r="61" spans="2:38" s="173" customFormat="1" ht="18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3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>
        <f>'[11]HARVESTING KHT'!$AK43</f>
        <v>0</v>
      </c>
      <c r="X61" s="189"/>
      <c r="Y61" s="189"/>
      <c r="Z61" s="189"/>
      <c r="AA61" s="189"/>
      <c r="AB61" s="189"/>
      <c r="AC61" s="189"/>
      <c r="AD61" s="189"/>
      <c r="AE61" s="183">
        <f t="shared" si="8"/>
        <v>0</v>
      </c>
      <c r="AF61" s="184">
        <f t="shared" si="9"/>
        <v>0</v>
      </c>
      <c r="AG61" s="95">
        <f t="shared" si="4"/>
        <v>0</v>
      </c>
      <c r="AI61" s="199"/>
      <c r="AJ61" s="200">
        <f t="shared" si="1"/>
        <v>0</v>
      </c>
      <c r="AK61" s="199">
        <f t="shared" si="5"/>
        <v>0</v>
      </c>
      <c r="AL61" s="201">
        <f t="shared" si="2"/>
        <v>0</v>
      </c>
    </row>
    <row r="62" spans="2:38" s="173" customFormat="1" ht="18" customHeight="1">
      <c r="B62" s="174">
        <v>39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3"/>
        <v>TER B</v>
      </c>
      <c r="K62" s="182">
        <f>30*121333.33</f>
        <v>3639999.9</v>
      </c>
      <c r="L62" s="169">
        <f t="shared" si="7"/>
        <v>30575.999999999996</v>
      </c>
      <c r="M62" s="189">
        <f>'[10]HARVESTING KHT'!$AQ26</f>
        <v>145900</v>
      </c>
      <c r="N62" s="189">
        <f>'[10]HARVESTING KHT'!$U26</f>
        <v>162000</v>
      </c>
      <c r="O62" s="189"/>
      <c r="P62" s="189"/>
      <c r="Q62" s="189"/>
      <c r="R62" s="189">
        <f>'[10]HARVESTING KHT'!$AA26</f>
        <v>2241410</v>
      </c>
      <c r="S62" s="189">
        <f>'[10]HARVESTING KHT'!$AB26</f>
        <v>138600</v>
      </c>
      <c r="T62" s="189"/>
      <c r="U62" s="189"/>
      <c r="V62" s="189">
        <f>'[10]HARVESTING KHT'!$AH26</f>
        <v>300000</v>
      </c>
      <c r="W62" s="189">
        <f>'[11]HARVESTING KHT'!$AK44</f>
        <v>0</v>
      </c>
      <c r="X62" s="189">
        <f>'[10]HARVESTING KHT'!$Z26</f>
        <v>7500</v>
      </c>
      <c r="Y62" s="189">
        <f>-'[10]HARVESTING KHT'!$AI26</f>
        <v>0</v>
      </c>
      <c r="Z62" s="189"/>
      <c r="AA62" s="189"/>
      <c r="AB62" s="189">
        <f>-'[10]HARVESTING KHT'!$BI26</f>
        <v>0</v>
      </c>
      <c r="AC62" s="189"/>
      <c r="AD62" s="189"/>
      <c r="AE62" s="183">
        <f t="shared" si="8"/>
        <v>6665985</v>
      </c>
      <c r="AF62" s="184">
        <f t="shared" si="9"/>
        <v>5.0000000000000001E-3</v>
      </c>
      <c r="AG62" s="95">
        <f t="shared" si="4"/>
        <v>33329</v>
      </c>
      <c r="AI62" s="199">
        <f>'[10]HARVESTING KHT'!$AL$26</f>
        <v>6489509.9000000004</v>
      </c>
      <c r="AJ62" s="200">
        <f t="shared" si="1"/>
        <v>176476</v>
      </c>
      <c r="AK62" s="199">
        <f t="shared" si="5"/>
        <v>6665985.9000000004</v>
      </c>
      <c r="AL62" s="201">
        <f t="shared" si="2"/>
        <v>0.90000000037252903</v>
      </c>
    </row>
    <row r="63" spans="2:38" s="173" customFormat="1" ht="18" customHeight="1">
      <c r="B63" s="174">
        <v>40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3"/>
        <v>TER B</v>
      </c>
      <c r="K63" s="182">
        <f>30*121333.33</f>
        <v>3639999.9</v>
      </c>
      <c r="L63" s="169">
        <f t="shared" si="7"/>
        <v>30575.999999999996</v>
      </c>
      <c r="M63" s="189">
        <f>[10]TRANSPORT!$AH11</f>
        <v>146920</v>
      </c>
      <c r="N63" s="189">
        <f>[10]TRANSPORT!$S11</f>
        <v>130500</v>
      </c>
      <c r="O63" s="189">
        <f>[10]TRANSPORT!$V11</f>
        <v>60000</v>
      </c>
      <c r="P63" s="189">
        <f>[10]TRANSPORT!$Z11</f>
        <v>1283120</v>
      </c>
      <c r="Q63" s="189">
        <f>[10]TRANSPORT!$Y11</f>
        <v>957780.24</v>
      </c>
      <c r="R63" s="189"/>
      <c r="S63" s="189"/>
      <c r="T63" s="189"/>
      <c r="U63" s="189"/>
      <c r="V63" s="189"/>
      <c r="W63" s="189"/>
      <c r="X63" s="189">
        <f>[10]TRANSPORT!$X11</f>
        <v>33000</v>
      </c>
      <c r="Y63" s="189"/>
      <c r="Z63" s="189"/>
      <c r="AA63" s="189"/>
      <c r="AB63" s="189">
        <f>-[10]TRANSPORT!$AX11</f>
        <v>-121333.33</v>
      </c>
      <c r="AC63" s="189"/>
      <c r="AD63" s="189"/>
      <c r="AE63" s="183">
        <f t="shared" si="8"/>
        <v>6160562</v>
      </c>
      <c r="AF63" s="184">
        <f t="shared" si="9"/>
        <v>0</v>
      </c>
      <c r="AG63" s="95">
        <f t="shared" si="4"/>
        <v>0</v>
      </c>
      <c r="AI63" s="199">
        <f>[10]TRANSPORT!$AC11</f>
        <v>5983066.8100000005</v>
      </c>
      <c r="AJ63" s="200">
        <f t="shared" si="1"/>
        <v>177496</v>
      </c>
      <c r="AK63" s="199">
        <f t="shared" si="5"/>
        <v>6160562.8100000005</v>
      </c>
      <c r="AL63" s="201">
        <f t="shared" si="2"/>
        <v>0.81000000052154064</v>
      </c>
    </row>
    <row r="64" spans="2:38" s="173" customFormat="1" ht="18" customHeight="1">
      <c r="B64" s="174">
        <v>41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3"/>
        <v>TER B</v>
      </c>
      <c r="K64" s="182">
        <f>30*121333.33</f>
        <v>3639999.9</v>
      </c>
      <c r="L64" s="169">
        <f t="shared" si="7"/>
        <v>30575.999999999996</v>
      </c>
      <c r="M64" s="189">
        <f>[10]TRANSPORT!$AH12</f>
        <v>147480</v>
      </c>
      <c r="N64" s="189">
        <f>[10]TRANSPORT!$S12</f>
        <v>156600</v>
      </c>
      <c r="O64" s="189">
        <f>[10]TRANSPORT!$V12</f>
        <v>42000</v>
      </c>
      <c r="P64" s="189">
        <f>[10]TRANSPORT!$Z12</f>
        <v>1127495</v>
      </c>
      <c r="Q64" s="189">
        <f>[10]TRANSPORT!$Y12</f>
        <v>957780.24</v>
      </c>
      <c r="R64" s="189"/>
      <c r="S64" s="189"/>
      <c r="T64" s="189"/>
      <c r="U64" s="189"/>
      <c r="V64" s="189"/>
      <c r="W64" s="189"/>
      <c r="X64" s="189">
        <f>[10]TRANSPORT!$X12</f>
        <v>47000</v>
      </c>
      <c r="Y64" s="189"/>
      <c r="Z64" s="189"/>
      <c r="AA64" s="189"/>
      <c r="AB64" s="189">
        <f>-[10]TRANSPORT!$AX12</f>
        <v>-121333.33</v>
      </c>
      <c r="AC64" s="189"/>
      <c r="AD64" s="189"/>
      <c r="AE64" s="183">
        <f t="shared" si="8"/>
        <v>6027597</v>
      </c>
      <c r="AF64" s="184">
        <f t="shared" si="9"/>
        <v>0</v>
      </c>
      <c r="AG64" s="95">
        <f t="shared" si="4"/>
        <v>0</v>
      </c>
      <c r="AI64" s="199">
        <f>[10]TRANSPORT!$AC12</f>
        <v>5849541.8100000005</v>
      </c>
      <c r="AJ64" s="200">
        <f t="shared" si="1"/>
        <v>178056</v>
      </c>
      <c r="AK64" s="199">
        <f t="shared" si="5"/>
        <v>6027597.8100000005</v>
      </c>
      <c r="AL64" s="201">
        <f t="shared" si="2"/>
        <v>0.81000000052154064</v>
      </c>
    </row>
    <row r="65" spans="2:55" s="173" customFormat="1" ht="18" customHeight="1">
      <c r="B65" s="174">
        <v>42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3"/>
        <v>TER B</v>
      </c>
      <c r="K65" s="182">
        <f>30*121333.33</f>
        <v>3639999.9</v>
      </c>
      <c r="L65" s="169">
        <f t="shared" si="7"/>
        <v>30575.999999999996</v>
      </c>
      <c r="M65" s="189">
        <f>[10]TRANSPORT!$AH13</f>
        <v>148040</v>
      </c>
      <c r="N65" s="189">
        <f>[10]TRANSPORT!$S13</f>
        <v>130500</v>
      </c>
      <c r="O65" s="189">
        <f>[10]TRANSPORT!$V13</f>
        <v>63000</v>
      </c>
      <c r="P65" s="189">
        <f>[10]TRANSPORT!$Z13</f>
        <v>638000</v>
      </c>
      <c r="Q65" s="189">
        <f>[10]TRANSPORT!$Y13</f>
        <v>957780.24</v>
      </c>
      <c r="R65" s="189"/>
      <c r="S65" s="189"/>
      <c r="T65" s="189"/>
      <c r="U65" s="189"/>
      <c r="V65" s="189"/>
      <c r="W65" s="189"/>
      <c r="X65" s="189">
        <f>[10]TRANSPORT!$X13</f>
        <v>61000</v>
      </c>
      <c r="Y65" s="189"/>
      <c r="Z65" s="189"/>
      <c r="AA65" s="189"/>
      <c r="AB65" s="189">
        <f>-[10]TRANSPORT!$AX13</f>
        <v>-121333.33</v>
      </c>
      <c r="AC65" s="189"/>
      <c r="AD65" s="189"/>
      <c r="AE65" s="183">
        <f t="shared" si="8"/>
        <v>5547562</v>
      </c>
      <c r="AF65" s="184">
        <f t="shared" si="9"/>
        <v>0</v>
      </c>
      <c r="AG65" s="95">
        <f t="shared" si="4"/>
        <v>0</v>
      </c>
      <c r="AI65" s="199">
        <f>[10]TRANSPORT!$AC13</f>
        <v>5368946.8100000005</v>
      </c>
      <c r="AJ65" s="200">
        <f t="shared" si="1"/>
        <v>178616</v>
      </c>
      <c r="AK65" s="199">
        <f t="shared" si="5"/>
        <v>5547562.8100000005</v>
      </c>
      <c r="AL65" s="201">
        <f t="shared" si="2"/>
        <v>0.81000000052154064</v>
      </c>
    </row>
    <row r="66" spans="2:55" s="173" customFormat="1" ht="18" customHeight="1" thickBot="1">
      <c r="B66" s="174">
        <v>43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3"/>
        <v>TER B</v>
      </c>
      <c r="K66" s="182">
        <f>30*121333.33</f>
        <v>3639999.9</v>
      </c>
      <c r="L66" s="169">
        <f t="shared" si="7"/>
        <v>30575.999999999996</v>
      </c>
      <c r="M66" s="189">
        <f>[10]TRANSPORT!$AH14</f>
        <v>146680</v>
      </c>
      <c r="N66" s="189">
        <f>[10]TRANSPORT!$S14</f>
        <v>162000</v>
      </c>
      <c r="O66" s="189">
        <f>[10]TRANSPORT!$V14</f>
        <v>44000</v>
      </c>
      <c r="P66" s="189">
        <f>[10]TRANSPORT!$Z14</f>
        <v>823955</v>
      </c>
      <c r="Q66" s="189">
        <f>[10]TRANSPORT!$Y14</f>
        <v>988901.62</v>
      </c>
      <c r="R66" s="189"/>
      <c r="S66" s="189"/>
      <c r="T66" s="189"/>
      <c r="U66" s="189"/>
      <c r="V66" s="189"/>
      <c r="W66" s="189"/>
      <c r="X66" s="189">
        <f>[10]TRANSPORT!$X14</f>
        <v>27000</v>
      </c>
      <c r="Y66" s="189"/>
      <c r="Z66" s="189"/>
      <c r="AA66" s="189"/>
      <c r="AB66" s="189">
        <f>-[10]TRANSPORT!$AX14</f>
        <v>0</v>
      </c>
      <c r="AC66" s="189"/>
      <c r="AD66" s="189"/>
      <c r="AE66" s="183">
        <f>ROUNDDOWN(SUM(K66:AD66),0)</f>
        <v>5863112</v>
      </c>
      <c r="AF66" s="184">
        <f t="shared" si="9"/>
        <v>0</v>
      </c>
      <c r="AG66" s="97">
        <f t="shared" si="4"/>
        <v>0</v>
      </c>
      <c r="AI66" s="199">
        <f>[10]TRANSPORT!$AC14</f>
        <v>5685856.5200000005</v>
      </c>
      <c r="AJ66" s="200">
        <f t="shared" si="1"/>
        <v>177256</v>
      </c>
      <c r="AK66" s="199">
        <f t="shared" si="5"/>
        <v>5863112.5200000005</v>
      </c>
      <c r="AL66" s="201">
        <f t="shared" si="2"/>
        <v>0.52000000048428774</v>
      </c>
    </row>
    <row r="67" spans="2:55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G67" si="10">SUM(K6:K66)</f>
        <v>154001995.7700001</v>
      </c>
      <c r="L67" s="196">
        <f t="shared" si="10"/>
        <v>1315019.9999999998</v>
      </c>
      <c r="M67" s="196">
        <f>SUM(M6:M66)</f>
        <v>6312720</v>
      </c>
      <c r="N67" s="196">
        <f t="shared" si="10"/>
        <v>4538700</v>
      </c>
      <c r="O67" s="196">
        <f t="shared" si="10"/>
        <v>351000</v>
      </c>
      <c r="P67" s="196">
        <f t="shared" si="10"/>
        <v>6554563.8900000006</v>
      </c>
      <c r="Q67" s="196">
        <f t="shared" si="10"/>
        <v>3862242.34</v>
      </c>
      <c r="R67" s="196">
        <f t="shared" si="10"/>
        <v>10750213</v>
      </c>
      <c r="S67" s="196">
        <f t="shared" si="10"/>
        <v>2003400</v>
      </c>
      <c r="T67" s="196">
        <f t="shared" si="10"/>
        <v>0</v>
      </c>
      <c r="U67" s="196">
        <f t="shared" si="10"/>
        <v>0</v>
      </c>
      <c r="V67" s="196">
        <f t="shared" si="10"/>
        <v>1050000</v>
      </c>
      <c r="W67" s="196">
        <f t="shared" si="10"/>
        <v>0</v>
      </c>
      <c r="X67" s="196">
        <f t="shared" si="10"/>
        <v>1268000</v>
      </c>
      <c r="Y67" s="196">
        <f t="shared" si="10"/>
        <v>-76016</v>
      </c>
      <c r="Z67" s="196">
        <f t="shared" si="10"/>
        <v>0</v>
      </c>
      <c r="AA67" s="196">
        <f t="shared" si="10"/>
        <v>0</v>
      </c>
      <c r="AB67" s="196">
        <f t="shared" si="10"/>
        <v>-2062666.6100000003</v>
      </c>
      <c r="AC67" s="196">
        <f t="shared" si="10"/>
        <v>0</v>
      </c>
      <c r="AD67" s="196">
        <f t="shared" si="10"/>
        <v>0</v>
      </c>
      <c r="AE67" s="196">
        <f t="shared" si="10"/>
        <v>189869142</v>
      </c>
      <c r="AF67" s="196">
        <f t="shared" si="10"/>
        <v>1.4999999999999999E-2</v>
      </c>
      <c r="AG67" s="196">
        <f t="shared" si="10"/>
        <v>92681</v>
      </c>
      <c r="AI67" s="202">
        <f>SUM(AI6:AI66)</f>
        <v>182241432.3900001</v>
      </c>
      <c r="AJ67" s="202">
        <f>SUM(AJ6:AJ66)</f>
        <v>7627740</v>
      </c>
      <c r="AK67" s="202">
        <f>SUM(AK6:AK66)</f>
        <v>189869172.3900001</v>
      </c>
      <c r="AL67" s="202">
        <f>SUM(AL6:AL66)</f>
        <v>30.390000013401732</v>
      </c>
    </row>
    <row r="68" spans="2:55" ht="9.75" customHeight="1">
      <c r="AK68" s="217"/>
    </row>
    <row r="69" spans="2:55" ht="13.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55" ht="13.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55" ht="13.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55" ht="13.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55" s="33" customFormat="1" ht="13.5" hidden="1" customHeight="1">
      <c r="B73" s="27" t="s">
        <v>57</v>
      </c>
      <c r="C73" s="28"/>
      <c r="D73" s="254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2:55" s="33" customFormat="1" ht="13.5" hidden="1" customHeight="1">
      <c r="B74" s="27" t="s">
        <v>50</v>
      </c>
      <c r="C74" s="28"/>
      <c r="D74" s="254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2:55" s="33" customFormat="1" ht="13.5" hidden="1" customHeight="1">
      <c r="B75" s="27" t="s">
        <v>51</v>
      </c>
      <c r="C75" s="28"/>
      <c r="D75" s="254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2:55" s="33" customFormat="1" ht="13.5" hidden="1" customHeight="1">
      <c r="B76" s="27" t="s">
        <v>52</v>
      </c>
      <c r="C76" s="28"/>
      <c r="D76" s="254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2:55" s="33" customFormat="1" ht="13.5" hidden="1" customHeight="1">
      <c r="B77" s="27" t="s">
        <v>58</v>
      </c>
      <c r="C77" s="28"/>
      <c r="D77" s="254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2:55" s="33" customFormat="1" ht="13.5" hidden="1" customHeight="1">
      <c r="B78" s="27" t="s">
        <v>59</v>
      </c>
      <c r="C78" s="28"/>
      <c r="D78" s="254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2:55" s="33" customFormat="1" ht="13.5" hidden="1" customHeight="1">
      <c r="B79" s="27" t="s">
        <v>65</v>
      </c>
      <c r="C79" s="28"/>
      <c r="D79" s="254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2:55" s="33" customFormat="1" ht="11.25" customHeight="1">
      <c r="B80" s="27"/>
      <c r="C80" s="28"/>
      <c r="D80" s="254"/>
      <c r="E80" s="30"/>
      <c r="F80" s="28"/>
      <c r="G80" s="31"/>
      <c r="H80" s="32"/>
      <c r="I80" s="32"/>
      <c r="J80" s="32"/>
      <c r="K80" s="254" t="s">
        <v>324</v>
      </c>
      <c r="L80" s="28"/>
      <c r="M80" s="62"/>
      <c r="N80" s="62"/>
      <c r="O80" s="62"/>
      <c r="P80" s="62"/>
      <c r="Q80" s="62"/>
      <c r="R80" s="62"/>
      <c r="S80" s="62"/>
      <c r="T80" s="457" t="s">
        <v>341</v>
      </c>
      <c r="U80" s="457"/>
      <c r="V80" s="28"/>
      <c r="W80" s="28"/>
      <c r="X80" s="28"/>
      <c r="Y80" s="28"/>
      <c r="Z80" s="28"/>
      <c r="AA80" s="28"/>
      <c r="AB80" s="457" t="s">
        <v>321</v>
      </c>
      <c r="AC80" s="457"/>
      <c r="AD80" s="457"/>
      <c r="AE80" s="457"/>
      <c r="AF80" s="90"/>
      <c r="AG80" s="90"/>
      <c r="AH80" s="60"/>
      <c r="AI80" s="60"/>
      <c r="AJ80" s="60"/>
      <c r="AK80" s="216">
        <f>AC67+AK67</f>
        <v>189869172.3900001</v>
      </c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1:38" ht="11.25" customHeight="1">
      <c r="AL81" s="216"/>
    </row>
    <row r="82" spans="11:38" ht="11.25" customHeight="1">
      <c r="AK82" s="216">
        <f>AK67-AL83</f>
        <v>189869142</v>
      </c>
      <c r="AL82" s="216"/>
    </row>
    <row r="83" spans="11:38" ht="11.25" customHeight="1">
      <c r="K83" s="255" t="s">
        <v>325</v>
      </c>
      <c r="T83" s="458" t="s">
        <v>342</v>
      </c>
      <c r="U83" s="458"/>
      <c r="AB83" s="458" t="s">
        <v>322</v>
      </c>
      <c r="AC83" s="458"/>
      <c r="AD83" s="458"/>
      <c r="AE83" s="458"/>
      <c r="AL83" s="216">
        <f>AK80-AE67</f>
        <v>30.390000104904175</v>
      </c>
    </row>
    <row r="84" spans="11:38">
      <c r="K84" s="254" t="s">
        <v>326</v>
      </c>
      <c r="T84" s="457" t="s">
        <v>343</v>
      </c>
      <c r="U84" s="457"/>
      <c r="AB84" s="457" t="s">
        <v>323</v>
      </c>
      <c r="AC84" s="457"/>
      <c r="AD84" s="457"/>
      <c r="AE84" s="457"/>
    </row>
  </sheetData>
  <mergeCells count="6">
    <mergeCell ref="T80:U80"/>
    <mergeCell ref="AB80:AE80"/>
    <mergeCell ref="T83:U83"/>
    <mergeCell ref="AB83:AE83"/>
    <mergeCell ref="T84:U84"/>
    <mergeCell ref="AB84:AE84"/>
  </mergeCells>
  <dataValidations count="2">
    <dataValidation type="list" allowBlank="1" showInputMessage="1" showErrorMessage="1" sqref="I6:I66">
      <formula1>"TK/0,TK/1,TK/2,TK/3,K/0,K/1,K/2,K/3"</formula1>
    </dataValidation>
    <dataValidation type="list" allowBlank="1" showInputMessage="1" showErrorMessage="1" sqref="H6:H66">
      <formula1>"L,P"</formula1>
    </dataValidation>
  </dataValidations>
  <pageMargins left="0" right="0.59055118110236227" top="0" bottom="0.39370078740157483" header="0.31496062992125984" footer="0.31496062992125984"/>
  <pageSetup paperSize="9" scale="45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84"/>
  <sheetViews>
    <sheetView topLeftCell="A51" zoomScaleNormal="100" zoomScaleSheetLayoutView="100" workbookViewId="0">
      <pane xSplit="3" topLeftCell="V1" activePane="topRight" state="frozen"/>
      <selection pane="topRight" activeCell="M6" sqref="M6:M66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47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20" width="11.42578125" style="28" customWidth="1"/>
    <col min="21" max="21" width="9.85546875" style="28" hidden="1" customWidth="1"/>
    <col min="22" max="22" width="11" style="28" customWidth="1"/>
    <col min="23" max="23" width="9.7109375" style="28" hidden="1" customWidth="1"/>
    <col min="24" max="24" width="11.5703125" style="28" customWidth="1"/>
    <col min="25" max="25" width="9" style="28" hidden="1" customWidth="1"/>
    <col min="26" max="27" width="12.7109375" style="28" hidden="1" customWidth="1"/>
    <col min="28" max="28" width="11.85546875" style="28" customWidth="1"/>
    <col min="29" max="29" width="11.7109375" style="28" hidden="1" customWidth="1"/>
    <col min="30" max="30" width="10.85546875" style="28" hidden="1" customWidth="1"/>
    <col min="31" max="31" width="13.7109375" style="28" customWidth="1" collapsed="1"/>
    <col min="32" max="32" width="9.140625" style="90" customWidth="1"/>
    <col min="33" max="33" width="10.1406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344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47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44" t="s">
        <v>64</v>
      </c>
      <c r="C5" s="244" t="s">
        <v>25</v>
      </c>
      <c r="D5" s="245" t="s">
        <v>26</v>
      </c>
      <c r="E5" s="246" t="s">
        <v>27</v>
      </c>
      <c r="F5" s="244" t="s">
        <v>28</v>
      </c>
      <c r="G5" s="243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42" t="s">
        <v>68</v>
      </c>
      <c r="M5" s="242" t="s">
        <v>69</v>
      </c>
      <c r="N5" s="242" t="s">
        <v>80</v>
      </c>
      <c r="O5" s="242" t="s">
        <v>81</v>
      </c>
      <c r="P5" s="242" t="s">
        <v>84</v>
      </c>
      <c r="Q5" s="145" t="s">
        <v>319</v>
      </c>
      <c r="R5" s="242" t="s">
        <v>309</v>
      </c>
      <c r="S5" s="242" t="s">
        <v>310</v>
      </c>
      <c r="T5" s="242" t="s">
        <v>320</v>
      </c>
      <c r="U5" s="242" t="s">
        <v>315</v>
      </c>
      <c r="V5" s="242" t="s">
        <v>311</v>
      </c>
      <c r="W5" s="242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18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31*122333.33</f>
        <v>3792333.23</v>
      </c>
      <c r="L6" s="168">
        <f>3670000*0.84%</f>
        <v>30827.999999999996</v>
      </c>
      <c r="M6" s="168">
        <f>[12]MAINTENANCE!$AK10</f>
        <v>148680</v>
      </c>
      <c r="N6" s="168">
        <f>[12]MAINTENANCE!$W10</f>
        <v>167400</v>
      </c>
      <c r="O6" s="168">
        <f>[12]MAINTENANCE!$Z$10</f>
        <v>81000</v>
      </c>
      <c r="P6" s="168">
        <f>[12]MAINTENANCE!$AE$10</f>
        <v>763699.45</v>
      </c>
      <c r="Q6" s="169"/>
      <c r="R6" s="168"/>
      <c r="S6" s="168"/>
      <c r="T6" s="168"/>
      <c r="U6" s="168"/>
      <c r="V6" s="168"/>
      <c r="W6" s="168"/>
      <c r="X6" s="168">
        <f>[12]MAINTENANCE!$AB10</f>
        <v>47000</v>
      </c>
      <c r="Y6" s="169"/>
      <c r="Z6" s="169"/>
      <c r="AA6" s="169"/>
      <c r="AB6" s="168">
        <f>-[12]MAINTENANCE!$BA10</f>
        <v>0</v>
      </c>
      <c r="AC6" s="168"/>
      <c r="AD6" s="168"/>
      <c r="AE6" s="170">
        <f>ROUNDDOWN(SUM(K6:AD6),0)</f>
        <v>5030940</v>
      </c>
      <c r="AF6" s="171">
        <f>IF(J6="TER A",VLOOKUP(AE6,Ter_A,4,TRUE),IF(J6="TER B",VLOOKUP(AE6,Ter_B,4,TRUE),VLOOKUP(AE6,Ter_C,4,TRUE)))</f>
        <v>0</v>
      </c>
      <c r="AG6" s="94">
        <f>ROUNDDOWN(IF(E6=0,AE6*AF6*120%,AE6*AF6),0)</f>
        <v>0</v>
      </c>
      <c r="AI6" s="199">
        <f>[12]MAINTENANCE!$AF10</f>
        <v>4851432.68</v>
      </c>
      <c r="AJ6" s="200">
        <f t="shared" ref="AJ6:AJ66" si="0">L6+M6</f>
        <v>179508</v>
      </c>
      <c r="AK6" s="199">
        <f>AI6+AJ6+AD6</f>
        <v>5030940.68</v>
      </c>
      <c r="AL6" s="201">
        <f t="shared" ref="AL6:AL66" si="1">AK6-AE6</f>
        <v>0.67999999970197678</v>
      </c>
    </row>
    <row r="7" spans="2:40" s="173" customFormat="1" ht="18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2">IF(ISBLANK(I7),"",IF(OR(I7="TK/0",I7="TK/1",I7="K/0"),"TER A",IF(I7="K/3","TER C","TER B")))</f>
        <v>TER A</v>
      </c>
      <c r="K7" s="182">
        <f>31*121333.33</f>
        <v>3761333.23</v>
      </c>
      <c r="L7" s="169">
        <f>3640000*0.84%</f>
        <v>30575.999999999996</v>
      </c>
      <c r="M7" s="189">
        <f>[12]MAINTENANCE!$AK11</f>
        <v>146680</v>
      </c>
      <c r="N7" s="189">
        <f>[12]MAINTENANCE!$W11</f>
        <v>69750</v>
      </c>
      <c r="O7" s="189"/>
      <c r="P7" s="189"/>
      <c r="Q7" s="169"/>
      <c r="R7" s="169"/>
      <c r="S7" s="169"/>
      <c r="T7" s="169"/>
      <c r="U7" s="169"/>
      <c r="V7" s="169"/>
      <c r="W7" s="169"/>
      <c r="X7" s="189">
        <f>[12]MAINTENANCE!$AB11</f>
        <v>27000</v>
      </c>
      <c r="Y7" s="169"/>
      <c r="Z7" s="169"/>
      <c r="AA7" s="169"/>
      <c r="AB7" s="189">
        <f>-[12]MAINTENANCE!$BA11</f>
        <v>0</v>
      </c>
      <c r="AC7" s="189"/>
      <c r="AD7" s="189"/>
      <c r="AE7" s="183">
        <f>ROUNDDOWN(SUM(K7:AD7),0)</f>
        <v>4035339</v>
      </c>
      <c r="AF7" s="184">
        <f t="shared" ref="AF7:AF37" si="3">IF(J7="TER A",VLOOKUP(AE7,Ter_A,4,TRUE),IF(J7="TER B",VLOOKUP(AE7,Ter_B,4,TRUE),VLOOKUP(AE7,Ter_C,4,TRUE)))</f>
        <v>0</v>
      </c>
      <c r="AG7" s="95">
        <f>ROUNDDOWN(IF(E7=0,AE7*AF7*120%,AE7*AF7),0)</f>
        <v>0</v>
      </c>
      <c r="AI7" s="199">
        <f>[12]MAINTENANCE!$AF11</f>
        <v>3858083.23</v>
      </c>
      <c r="AJ7" s="200">
        <f t="shared" si="0"/>
        <v>177256</v>
      </c>
      <c r="AK7" s="199">
        <f t="shared" ref="AK7:AK66" si="4">AI7+AJ7+AD7</f>
        <v>4035339.23</v>
      </c>
      <c r="AL7" s="201">
        <f t="shared" si="1"/>
        <v>0.22999999998137355</v>
      </c>
    </row>
    <row r="8" spans="2:40" s="173" customFormat="1" ht="18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27" si="5">31*121333.33</f>
        <v>3761333.23</v>
      </c>
      <c r="L8" s="169">
        <f t="shared" ref="L8:L66" si="6">3640000*0.84%</f>
        <v>30575.999999999996</v>
      </c>
      <c r="M8" s="189">
        <f>[12]MAINTENANCE!$AK12</f>
        <v>146800</v>
      </c>
      <c r="N8" s="189">
        <f>[12]MAINTENANCE!$W12</f>
        <v>69750</v>
      </c>
      <c r="O8" s="189"/>
      <c r="P8" s="189"/>
      <c r="Q8" s="169"/>
      <c r="R8" s="169"/>
      <c r="S8" s="169"/>
      <c r="T8" s="169"/>
      <c r="U8" s="169"/>
      <c r="V8" s="169"/>
      <c r="W8" s="169"/>
      <c r="X8" s="189">
        <f>[12]MAINTENANCE!$AB12</f>
        <v>30000</v>
      </c>
      <c r="Y8" s="169"/>
      <c r="Z8" s="169"/>
      <c r="AA8" s="169"/>
      <c r="AB8" s="189">
        <f>-[12]MAINTENANCE!$BA12</f>
        <v>0</v>
      </c>
      <c r="AC8" s="189"/>
      <c r="AD8" s="189"/>
      <c r="AE8" s="183">
        <f>ROUNDDOWN(SUM(K8:AD8),0)</f>
        <v>4038459</v>
      </c>
      <c r="AF8" s="184">
        <f t="shared" si="3"/>
        <v>0</v>
      </c>
      <c r="AG8" s="95">
        <f t="shared" ref="AG8:AG66" si="7">ROUNDDOWN(IF(E8=0,AE8*AF8*120%,AE8*AF8),0)</f>
        <v>0</v>
      </c>
      <c r="AI8" s="199">
        <f>[12]MAINTENANCE!$AF12</f>
        <v>3861083.23</v>
      </c>
      <c r="AJ8" s="200">
        <f t="shared" si="0"/>
        <v>177376</v>
      </c>
      <c r="AK8" s="199">
        <f t="shared" si="4"/>
        <v>4038459.23</v>
      </c>
      <c r="AL8" s="201">
        <f t="shared" si="1"/>
        <v>0.22999999998137355</v>
      </c>
      <c r="AN8" s="200">
        <f>AB8+AL8</f>
        <v>0.22999999998137355</v>
      </c>
    </row>
    <row r="9" spans="2:40" s="173" customFormat="1" ht="18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5"/>
        <v>3761333.23</v>
      </c>
      <c r="L9" s="169">
        <f t="shared" si="6"/>
        <v>30575.999999999996</v>
      </c>
      <c r="M9" s="189">
        <f>[12]MAINTENANCE!$AK13</f>
        <v>147480</v>
      </c>
      <c r="N9" s="189">
        <f>[12]MAINTENANCE!$W13</f>
        <v>65250</v>
      </c>
      <c r="O9" s="189"/>
      <c r="P9" s="189"/>
      <c r="Q9" s="169"/>
      <c r="R9" s="169"/>
      <c r="S9" s="169"/>
      <c r="T9" s="169"/>
      <c r="U9" s="169"/>
      <c r="V9" s="169"/>
      <c r="W9" s="169"/>
      <c r="X9" s="189">
        <f>[12]MAINTENANCE!$AB13</f>
        <v>47000</v>
      </c>
      <c r="Y9" s="169"/>
      <c r="Z9" s="169"/>
      <c r="AA9" s="169"/>
      <c r="AB9" s="189">
        <f>-[12]MAINTENANCE!$BA13</f>
        <v>-242666.66</v>
      </c>
      <c r="AC9" s="189"/>
      <c r="AD9" s="189"/>
      <c r="AE9" s="183">
        <f t="shared" ref="AE9:AE65" si="8">ROUNDDOWN(SUM(K9:AD9),0)</f>
        <v>3808972</v>
      </c>
      <c r="AF9" s="184">
        <f t="shared" si="3"/>
        <v>0</v>
      </c>
      <c r="AG9" s="95">
        <f t="shared" si="7"/>
        <v>0</v>
      </c>
      <c r="AI9" s="199">
        <f>[12]MAINTENANCE!$AF13</f>
        <v>3630916.5700000003</v>
      </c>
      <c r="AJ9" s="200">
        <f t="shared" si="0"/>
        <v>178056</v>
      </c>
      <c r="AK9" s="199">
        <f t="shared" si="4"/>
        <v>3808972.5700000003</v>
      </c>
      <c r="AL9" s="201">
        <f t="shared" si="1"/>
        <v>0.57000000029802322</v>
      </c>
      <c r="AN9" s="200">
        <f>AB9+AL9</f>
        <v>-242666.08999999971</v>
      </c>
    </row>
    <row r="10" spans="2:40" s="173" customFormat="1" ht="18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5"/>
        <v>3761333.23</v>
      </c>
      <c r="L10" s="169">
        <f t="shared" si="6"/>
        <v>30575.999999999996</v>
      </c>
      <c r="M10" s="189">
        <f>[12]MAINTENANCE!$AK14</f>
        <v>146800</v>
      </c>
      <c r="N10" s="189">
        <f>[12]MAINTENANCE!$W14</f>
        <v>65250</v>
      </c>
      <c r="O10" s="189"/>
      <c r="P10" s="189"/>
      <c r="Q10" s="169"/>
      <c r="R10" s="169"/>
      <c r="S10" s="169"/>
      <c r="T10" s="169"/>
      <c r="U10" s="169"/>
      <c r="V10" s="169"/>
      <c r="W10" s="169"/>
      <c r="X10" s="189">
        <f>[12]MAINTENANCE!$AB14</f>
        <v>30000</v>
      </c>
      <c r="Y10" s="169"/>
      <c r="Z10" s="169"/>
      <c r="AA10" s="169"/>
      <c r="AB10" s="189">
        <f>-[12]MAINTENANCE!$BA14</f>
        <v>-242666.66</v>
      </c>
      <c r="AC10" s="189"/>
      <c r="AD10" s="189"/>
      <c r="AE10" s="183">
        <f t="shared" si="8"/>
        <v>3791292</v>
      </c>
      <c r="AF10" s="184">
        <f t="shared" si="3"/>
        <v>0</v>
      </c>
      <c r="AG10" s="95">
        <f t="shared" si="7"/>
        <v>0</v>
      </c>
      <c r="AI10" s="199">
        <f>[12]MAINTENANCE!$AF14</f>
        <v>3613916.57</v>
      </c>
      <c r="AJ10" s="200">
        <f t="shared" si="0"/>
        <v>177376</v>
      </c>
      <c r="AK10" s="199">
        <f t="shared" si="4"/>
        <v>3791292.57</v>
      </c>
      <c r="AL10" s="201">
        <f t="shared" si="1"/>
        <v>0.56999999983236194</v>
      </c>
    </row>
    <row r="11" spans="2:40" s="173" customFormat="1" ht="18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5"/>
        <v>3761333.23</v>
      </c>
      <c r="L11" s="169">
        <f t="shared" si="6"/>
        <v>30575.999999999996</v>
      </c>
      <c r="M11" s="189">
        <f>[12]MAINTENANCE!$AK15</f>
        <v>147340</v>
      </c>
      <c r="N11" s="189">
        <f>[12]MAINTENANCE!$W15</f>
        <v>67500</v>
      </c>
      <c r="O11" s="189"/>
      <c r="P11" s="189"/>
      <c r="Q11" s="169"/>
      <c r="R11" s="169"/>
      <c r="S11" s="169"/>
      <c r="T11" s="169"/>
      <c r="U11" s="169"/>
      <c r="V11" s="169"/>
      <c r="W11" s="169"/>
      <c r="X11" s="189">
        <f>[12]MAINTENANCE!$AB15</f>
        <v>43500</v>
      </c>
      <c r="Y11" s="169"/>
      <c r="Z11" s="169"/>
      <c r="AA11" s="169"/>
      <c r="AB11" s="189">
        <f>-[12]MAINTENANCE!$BA15</f>
        <v>-121333.33</v>
      </c>
      <c r="AC11" s="189"/>
      <c r="AD11" s="189"/>
      <c r="AE11" s="183">
        <f t="shared" si="8"/>
        <v>3928915</v>
      </c>
      <c r="AF11" s="184">
        <f t="shared" si="3"/>
        <v>0</v>
      </c>
      <c r="AG11" s="95">
        <f t="shared" si="7"/>
        <v>0</v>
      </c>
      <c r="AI11" s="199">
        <f>[12]MAINTENANCE!$AF15</f>
        <v>3750999.9</v>
      </c>
      <c r="AJ11" s="200">
        <f t="shared" si="0"/>
        <v>177916</v>
      </c>
      <c r="AK11" s="199">
        <f t="shared" si="4"/>
        <v>3928915.9</v>
      </c>
      <c r="AL11" s="201">
        <f t="shared" si="1"/>
        <v>0.89999999990686774</v>
      </c>
    </row>
    <row r="12" spans="2:40" s="173" customFormat="1" ht="18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5"/>
        <v>3761333.23</v>
      </c>
      <c r="L12" s="169">
        <f t="shared" si="6"/>
        <v>30575.999999999996</v>
      </c>
      <c r="M12" s="189">
        <f>[12]MAINTENANCE!$AK16</f>
        <v>147620</v>
      </c>
      <c r="N12" s="189">
        <f>[12]MAINTENANCE!$W16</f>
        <v>69750</v>
      </c>
      <c r="O12" s="189"/>
      <c r="P12" s="189"/>
      <c r="Q12" s="169"/>
      <c r="R12" s="169"/>
      <c r="S12" s="169"/>
      <c r="T12" s="169"/>
      <c r="U12" s="169"/>
      <c r="V12" s="169"/>
      <c r="W12" s="169"/>
      <c r="X12" s="189">
        <f>[12]MAINTENANCE!$AB16</f>
        <v>50500</v>
      </c>
      <c r="Y12" s="169"/>
      <c r="Z12" s="169"/>
      <c r="AA12" s="169"/>
      <c r="AB12" s="189">
        <f>-[12]MAINTENANCE!$BA16</f>
        <v>0</v>
      </c>
      <c r="AC12" s="189"/>
      <c r="AD12" s="189"/>
      <c r="AE12" s="183">
        <f t="shared" si="8"/>
        <v>4059779</v>
      </c>
      <c r="AF12" s="184">
        <f t="shared" si="3"/>
        <v>0</v>
      </c>
      <c r="AG12" s="95">
        <f t="shared" si="7"/>
        <v>0</v>
      </c>
      <c r="AI12" s="199">
        <f>[12]MAINTENANCE!$AF16</f>
        <v>3881583.2300000004</v>
      </c>
      <c r="AJ12" s="200">
        <f t="shared" si="0"/>
        <v>178196</v>
      </c>
      <c r="AK12" s="199">
        <f t="shared" si="4"/>
        <v>4059779.2300000004</v>
      </c>
      <c r="AL12" s="201">
        <f t="shared" si="1"/>
        <v>0.23000000044703484</v>
      </c>
    </row>
    <row r="13" spans="2:40" s="173" customFormat="1" ht="18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5"/>
        <v>3761333.23</v>
      </c>
      <c r="L13" s="169">
        <f t="shared" si="6"/>
        <v>30575.999999999996</v>
      </c>
      <c r="M13" s="189">
        <f>[12]MAINTENANCE!$AK17</f>
        <v>147480</v>
      </c>
      <c r="N13" s="189">
        <f>[12]MAINTENANCE!$W17</f>
        <v>67500</v>
      </c>
      <c r="O13" s="189"/>
      <c r="P13" s="189"/>
      <c r="Q13" s="169"/>
      <c r="R13" s="169"/>
      <c r="S13" s="169"/>
      <c r="T13" s="169"/>
      <c r="U13" s="169"/>
      <c r="V13" s="169"/>
      <c r="W13" s="169"/>
      <c r="X13" s="189">
        <f>[12]MAINTENANCE!$AB17</f>
        <v>47000</v>
      </c>
      <c r="Y13" s="169"/>
      <c r="Z13" s="169"/>
      <c r="AA13" s="169"/>
      <c r="AB13" s="189">
        <f>-[12]MAINTENANCE!$BA17</f>
        <v>-121333.33</v>
      </c>
      <c r="AC13" s="189"/>
      <c r="AD13" s="189"/>
      <c r="AE13" s="183">
        <f t="shared" si="8"/>
        <v>3932555</v>
      </c>
      <c r="AF13" s="184">
        <f t="shared" si="3"/>
        <v>0</v>
      </c>
      <c r="AG13" s="95">
        <f t="shared" si="7"/>
        <v>0</v>
      </c>
      <c r="AI13" s="199">
        <f>[12]MAINTENANCE!$AF17</f>
        <v>3754499.9</v>
      </c>
      <c r="AJ13" s="200">
        <f t="shared" si="0"/>
        <v>178056</v>
      </c>
      <c r="AK13" s="199">
        <f t="shared" si="4"/>
        <v>3932555.9</v>
      </c>
      <c r="AL13" s="201">
        <f t="shared" si="1"/>
        <v>0.89999999990686774</v>
      </c>
    </row>
    <row r="14" spans="2:40" s="173" customFormat="1" ht="18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5"/>
        <v>3761333.23</v>
      </c>
      <c r="L14" s="169">
        <f t="shared" si="6"/>
        <v>30575.999999999996</v>
      </c>
      <c r="M14" s="189">
        <f>[12]MAINTENANCE!$AK18</f>
        <v>147480</v>
      </c>
      <c r="N14" s="189">
        <f>[12]MAINTENANCE!$W18</f>
        <v>65250</v>
      </c>
      <c r="O14" s="189"/>
      <c r="P14" s="189"/>
      <c r="Q14" s="169"/>
      <c r="R14" s="169"/>
      <c r="S14" s="169"/>
      <c r="T14" s="169"/>
      <c r="U14" s="169"/>
      <c r="V14" s="169"/>
      <c r="W14" s="169"/>
      <c r="X14" s="189">
        <f>[12]MAINTENANCE!$AB18</f>
        <v>47000</v>
      </c>
      <c r="Y14" s="169"/>
      <c r="Z14" s="169"/>
      <c r="AA14" s="169"/>
      <c r="AB14" s="189">
        <f>-[12]MAINTENANCE!$BA18</f>
        <v>-242666.66</v>
      </c>
      <c r="AC14" s="189"/>
      <c r="AD14" s="189"/>
      <c r="AE14" s="183">
        <f t="shared" si="8"/>
        <v>3808972</v>
      </c>
      <c r="AF14" s="184">
        <f t="shared" si="3"/>
        <v>0</v>
      </c>
      <c r="AG14" s="95">
        <f t="shared" si="7"/>
        <v>0</v>
      </c>
      <c r="AI14" s="199">
        <f>[12]MAINTENANCE!$AF18</f>
        <v>3630916.5700000003</v>
      </c>
      <c r="AJ14" s="200">
        <f t="shared" si="0"/>
        <v>178056</v>
      </c>
      <c r="AK14" s="199">
        <f t="shared" si="4"/>
        <v>3808972.5700000003</v>
      </c>
      <c r="AL14" s="201">
        <f t="shared" si="1"/>
        <v>0.57000000029802322</v>
      </c>
    </row>
    <row r="15" spans="2:40" s="173" customFormat="1" ht="18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5"/>
        <v>3761333.23</v>
      </c>
      <c r="L15" s="169">
        <f t="shared" si="6"/>
        <v>30575.999999999996</v>
      </c>
      <c r="M15" s="189">
        <f>[12]MAINTENANCE!$AK19</f>
        <v>147620</v>
      </c>
      <c r="N15" s="189">
        <f>[12]MAINTENANCE!$W19</f>
        <v>65250</v>
      </c>
      <c r="O15" s="189"/>
      <c r="P15" s="189"/>
      <c r="Q15" s="169"/>
      <c r="R15" s="169"/>
      <c r="S15" s="169"/>
      <c r="T15" s="169"/>
      <c r="U15" s="169"/>
      <c r="V15" s="169"/>
      <c r="W15" s="169"/>
      <c r="X15" s="189">
        <f>[12]MAINTENANCE!$AB19</f>
        <v>50500</v>
      </c>
      <c r="Y15" s="169"/>
      <c r="Z15" s="169"/>
      <c r="AA15" s="169"/>
      <c r="AB15" s="189">
        <f>-[12]MAINTENANCE!$BA19</f>
        <v>-242666.66</v>
      </c>
      <c r="AC15" s="189"/>
      <c r="AD15" s="189"/>
      <c r="AE15" s="183">
        <f t="shared" si="8"/>
        <v>3812612</v>
      </c>
      <c r="AF15" s="184">
        <f t="shared" si="3"/>
        <v>0</v>
      </c>
      <c r="AG15" s="95">
        <f t="shared" si="7"/>
        <v>0</v>
      </c>
      <c r="AI15" s="199">
        <f>[12]MAINTENANCE!$AF19</f>
        <v>3634416.5700000003</v>
      </c>
      <c r="AJ15" s="200">
        <f t="shared" si="0"/>
        <v>178196</v>
      </c>
      <c r="AK15" s="199">
        <f t="shared" si="4"/>
        <v>3812612.5700000003</v>
      </c>
      <c r="AL15" s="201">
        <f t="shared" si="1"/>
        <v>0.57000000029802322</v>
      </c>
    </row>
    <row r="16" spans="2:40" s="173" customFormat="1" ht="18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5"/>
        <v>3761333.23</v>
      </c>
      <c r="L16" s="169">
        <f t="shared" si="6"/>
        <v>30575.999999999996</v>
      </c>
      <c r="M16" s="189">
        <f>[12]MAINTENANCE!$AK20</f>
        <v>147480</v>
      </c>
      <c r="N16" s="189">
        <f>[12]MAINTENANCE!$W20</f>
        <v>67500</v>
      </c>
      <c r="O16" s="189"/>
      <c r="P16" s="189"/>
      <c r="Q16" s="169"/>
      <c r="R16" s="169"/>
      <c r="S16" s="169"/>
      <c r="T16" s="169"/>
      <c r="U16" s="169"/>
      <c r="V16" s="169"/>
      <c r="W16" s="169"/>
      <c r="X16" s="189">
        <f>[12]MAINTENANCE!$AB20</f>
        <v>47000</v>
      </c>
      <c r="Y16" s="169"/>
      <c r="Z16" s="169"/>
      <c r="AA16" s="169"/>
      <c r="AB16" s="189">
        <f>-[12]MAINTENANCE!$BA20</f>
        <v>-121333.33</v>
      </c>
      <c r="AC16" s="189"/>
      <c r="AD16" s="189"/>
      <c r="AE16" s="183">
        <f t="shared" si="8"/>
        <v>3932555</v>
      </c>
      <c r="AF16" s="184">
        <f t="shared" si="3"/>
        <v>0</v>
      </c>
      <c r="AG16" s="95">
        <f t="shared" si="7"/>
        <v>0</v>
      </c>
      <c r="AI16" s="199">
        <f>[12]MAINTENANCE!$AF20</f>
        <v>3754499.9</v>
      </c>
      <c r="AJ16" s="200">
        <f t="shared" si="0"/>
        <v>178056</v>
      </c>
      <c r="AK16" s="199">
        <f t="shared" si="4"/>
        <v>3932555.9</v>
      </c>
      <c r="AL16" s="201">
        <f t="shared" si="1"/>
        <v>0.89999999990686774</v>
      </c>
    </row>
    <row r="17" spans="2:38" s="173" customFormat="1" ht="18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5"/>
        <v>3761333.23</v>
      </c>
      <c r="L17" s="169">
        <f t="shared" si="6"/>
        <v>30575.999999999996</v>
      </c>
      <c r="M17" s="189">
        <f>[12]MAINTENANCE!$AK21</f>
        <v>147480</v>
      </c>
      <c r="N17" s="189">
        <f>[12]MAINTENANCE!$W21</f>
        <v>65250</v>
      </c>
      <c r="O17" s="189"/>
      <c r="P17" s="189"/>
      <c r="Q17" s="169"/>
      <c r="R17" s="169"/>
      <c r="S17" s="169"/>
      <c r="T17" s="169"/>
      <c r="U17" s="169"/>
      <c r="V17" s="169"/>
      <c r="W17" s="169"/>
      <c r="X17" s="189">
        <f>[12]MAINTENANCE!$AB21</f>
        <v>47000</v>
      </c>
      <c r="Y17" s="169"/>
      <c r="Z17" s="169"/>
      <c r="AA17" s="169"/>
      <c r="AB17" s="189">
        <f>-[12]MAINTENANCE!$BA21</f>
        <v>-242666.66</v>
      </c>
      <c r="AC17" s="189"/>
      <c r="AD17" s="189"/>
      <c r="AE17" s="183">
        <f t="shared" si="8"/>
        <v>3808972</v>
      </c>
      <c r="AF17" s="184">
        <f t="shared" si="3"/>
        <v>0</v>
      </c>
      <c r="AG17" s="95">
        <f t="shared" si="7"/>
        <v>0</v>
      </c>
      <c r="AI17" s="199">
        <f>[12]MAINTENANCE!$AF21</f>
        <v>3630916.57</v>
      </c>
      <c r="AJ17" s="200">
        <f t="shared" si="0"/>
        <v>178056</v>
      </c>
      <c r="AK17" s="199">
        <f t="shared" si="4"/>
        <v>3808972.57</v>
      </c>
      <c r="AL17" s="201">
        <f t="shared" si="1"/>
        <v>0.56999999983236194</v>
      </c>
    </row>
    <row r="18" spans="2:38" s="173" customFormat="1" ht="18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5"/>
        <v>3761333.23</v>
      </c>
      <c r="L18" s="169">
        <f t="shared" si="6"/>
        <v>30575.999999999996</v>
      </c>
      <c r="M18" s="189">
        <f>[12]MAINTENANCE!$AK22</f>
        <v>147340</v>
      </c>
      <c r="N18" s="189">
        <f>[12]MAINTENANCE!$W22</f>
        <v>69750</v>
      </c>
      <c r="O18" s="189"/>
      <c r="P18" s="189"/>
      <c r="Q18" s="169"/>
      <c r="R18" s="169"/>
      <c r="S18" s="169"/>
      <c r="T18" s="169"/>
      <c r="U18" s="169"/>
      <c r="V18" s="169"/>
      <c r="W18" s="169"/>
      <c r="X18" s="189">
        <f>[12]MAINTENANCE!$AB22</f>
        <v>43500</v>
      </c>
      <c r="Y18" s="169"/>
      <c r="Z18" s="169"/>
      <c r="AA18" s="169"/>
      <c r="AB18" s="189">
        <f>-[12]MAINTENANCE!$BA22</f>
        <v>0</v>
      </c>
      <c r="AC18" s="189"/>
      <c r="AD18" s="189"/>
      <c r="AE18" s="183">
        <f t="shared" si="8"/>
        <v>4052499</v>
      </c>
      <c r="AF18" s="184">
        <f t="shared" si="3"/>
        <v>0</v>
      </c>
      <c r="AG18" s="95">
        <f t="shared" si="7"/>
        <v>0</v>
      </c>
      <c r="AI18" s="199">
        <f>[12]MAINTENANCE!$AF22</f>
        <v>3874583.23</v>
      </c>
      <c r="AJ18" s="200">
        <f t="shared" si="0"/>
        <v>177916</v>
      </c>
      <c r="AK18" s="199">
        <f t="shared" si="4"/>
        <v>4052499.23</v>
      </c>
      <c r="AL18" s="201">
        <f t="shared" si="1"/>
        <v>0.22999999998137355</v>
      </c>
    </row>
    <row r="19" spans="2:38" s="173" customFormat="1" ht="18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5"/>
        <v>3761333.23</v>
      </c>
      <c r="L19" s="169">
        <f t="shared" si="6"/>
        <v>30575.999999999996</v>
      </c>
      <c r="M19" s="189">
        <f>[12]MAINTENANCE!$AK23</f>
        <v>146920</v>
      </c>
      <c r="N19" s="189">
        <f>[12]MAINTENANCE!$W23</f>
        <v>67500</v>
      </c>
      <c r="O19" s="189"/>
      <c r="P19" s="189"/>
      <c r="Q19" s="169"/>
      <c r="R19" s="169"/>
      <c r="S19" s="169"/>
      <c r="T19" s="169"/>
      <c r="U19" s="169"/>
      <c r="V19" s="169"/>
      <c r="W19" s="169"/>
      <c r="X19" s="189">
        <f>[12]MAINTENANCE!$AB23</f>
        <v>33000</v>
      </c>
      <c r="Y19" s="169"/>
      <c r="Z19" s="169"/>
      <c r="AA19" s="169"/>
      <c r="AB19" s="189">
        <f>-[12]MAINTENANCE!$BA23</f>
        <v>-121333.33</v>
      </c>
      <c r="AC19" s="189"/>
      <c r="AD19" s="189"/>
      <c r="AE19" s="183">
        <f t="shared" si="8"/>
        <v>3917995</v>
      </c>
      <c r="AF19" s="184">
        <f t="shared" si="3"/>
        <v>0</v>
      </c>
      <c r="AG19" s="95">
        <f t="shared" si="7"/>
        <v>0</v>
      </c>
      <c r="AI19" s="199">
        <f>[12]MAINTENANCE!$AF23</f>
        <v>3740499.9000000004</v>
      </c>
      <c r="AJ19" s="200">
        <f t="shared" si="0"/>
        <v>177496</v>
      </c>
      <c r="AK19" s="199">
        <f t="shared" si="4"/>
        <v>3917995.9000000004</v>
      </c>
      <c r="AL19" s="201">
        <f t="shared" si="1"/>
        <v>0.90000000037252903</v>
      </c>
    </row>
    <row r="20" spans="2:38" s="173" customFormat="1" ht="18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>
        <f t="shared" si="5"/>
        <v>3761333.23</v>
      </c>
      <c r="L20" s="169">
        <f t="shared" si="6"/>
        <v>30575.999999999996</v>
      </c>
      <c r="M20" s="189">
        <f>[12]MAINTENANCE!$AK24</f>
        <v>147340</v>
      </c>
      <c r="N20" s="189">
        <f>[12]MAINTENANCE!$W24</f>
        <v>139500</v>
      </c>
      <c r="O20" s="189"/>
      <c r="P20" s="189">
        <f>[12]MAINTENANCE!$AE24</f>
        <v>31560.69</v>
      </c>
      <c r="Q20" s="169"/>
      <c r="R20" s="169"/>
      <c r="S20" s="169"/>
      <c r="T20" s="169"/>
      <c r="U20" s="169"/>
      <c r="V20" s="169"/>
      <c r="W20" s="169"/>
      <c r="X20" s="189">
        <f>[12]MAINTENANCE!$AB24</f>
        <v>43500</v>
      </c>
      <c r="Y20" s="169"/>
      <c r="Z20" s="169"/>
      <c r="AA20" s="169"/>
      <c r="AB20" s="189">
        <f>-[12]MAINTENANCE!$BA24</f>
        <v>0</v>
      </c>
      <c r="AC20" s="189"/>
      <c r="AD20" s="189"/>
      <c r="AE20" s="183">
        <f t="shared" si="8"/>
        <v>4153809</v>
      </c>
      <c r="AF20" s="184">
        <f t="shared" si="3"/>
        <v>0</v>
      </c>
      <c r="AG20" s="95">
        <f t="shared" si="7"/>
        <v>0</v>
      </c>
      <c r="AI20" s="199">
        <f>[12]MAINTENANCE!$AF24</f>
        <v>3975893.92</v>
      </c>
      <c r="AJ20" s="200">
        <f t="shared" si="0"/>
        <v>177916</v>
      </c>
      <c r="AK20" s="199">
        <f t="shared" si="4"/>
        <v>4153809.92</v>
      </c>
      <c r="AL20" s="201">
        <f t="shared" si="1"/>
        <v>0.91999999992549419</v>
      </c>
    </row>
    <row r="21" spans="2:38" s="173" customFormat="1" ht="18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 t="shared" si="5"/>
        <v>3761333.23</v>
      </c>
      <c r="L21" s="169">
        <f t="shared" si="6"/>
        <v>30575.999999999996</v>
      </c>
      <c r="M21" s="189">
        <f>[12]MAINTENANCE!$AK25</f>
        <v>146680</v>
      </c>
      <c r="N21" s="189">
        <f>[12]MAINTENANCE!$W25</f>
        <v>139500</v>
      </c>
      <c r="O21" s="189"/>
      <c r="P21" s="189">
        <f>[12]MAINTENANCE!$AE25</f>
        <v>231445.06</v>
      </c>
      <c r="Q21" s="169"/>
      <c r="R21" s="169"/>
      <c r="S21" s="169">
        <f>[12]MAINTENANCE!$AD$25</f>
        <v>8400</v>
      </c>
      <c r="T21" s="169"/>
      <c r="U21" s="169"/>
      <c r="V21" s="169"/>
      <c r="W21" s="169"/>
      <c r="X21" s="189">
        <f>[12]MAINTENANCE!$AB25</f>
        <v>27000</v>
      </c>
      <c r="Y21" s="169"/>
      <c r="Z21" s="169"/>
      <c r="AA21" s="169"/>
      <c r="AB21" s="189">
        <f>-[12]MAINTENANCE!$BA25</f>
        <v>0</v>
      </c>
      <c r="AC21" s="189"/>
      <c r="AD21" s="189"/>
      <c r="AE21" s="183">
        <f>ROUNDDOWN(SUM(K21:AD21),0)</f>
        <v>4344934</v>
      </c>
      <c r="AF21" s="184">
        <f t="shared" si="3"/>
        <v>0</v>
      </c>
      <c r="AG21" s="95">
        <f t="shared" si="7"/>
        <v>0</v>
      </c>
      <c r="AI21" s="199">
        <f>[12]MAINTENANCE!$AF25</f>
        <v>4167678.29</v>
      </c>
      <c r="AJ21" s="200">
        <f t="shared" si="0"/>
        <v>177256</v>
      </c>
      <c r="AK21" s="199">
        <f t="shared" si="4"/>
        <v>4344934.29</v>
      </c>
      <c r="AL21" s="201">
        <f t="shared" si="1"/>
        <v>0.2900000000372529</v>
      </c>
    </row>
    <row r="22" spans="2:38" s="173" customFormat="1" ht="18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si="5"/>
        <v>3761333.23</v>
      </c>
      <c r="L22" s="169">
        <f t="shared" si="6"/>
        <v>30575.999999999996</v>
      </c>
      <c r="M22" s="189">
        <f>[12]MAINTENANCE!$AK26</f>
        <v>147480</v>
      </c>
      <c r="N22" s="189">
        <f>[12]MAINTENANCE!$W26</f>
        <v>69750</v>
      </c>
      <c r="O22" s="189"/>
      <c r="P22" s="189">
        <f>[12]MAINTENANCE!$AE26</f>
        <v>294566.44</v>
      </c>
      <c r="Q22" s="169"/>
      <c r="R22" s="169"/>
      <c r="S22" s="169"/>
      <c r="T22" s="169"/>
      <c r="U22" s="169"/>
      <c r="V22" s="169"/>
      <c r="W22" s="169"/>
      <c r="X22" s="189">
        <f>[12]MAINTENANCE!$AB26</f>
        <v>47000</v>
      </c>
      <c r="Y22" s="169"/>
      <c r="Z22" s="169"/>
      <c r="AA22" s="169"/>
      <c r="AB22" s="189">
        <f>-[12]MAINTENANCE!$BA26</f>
        <v>0</v>
      </c>
      <c r="AC22" s="189"/>
      <c r="AD22" s="189"/>
      <c r="AE22" s="183">
        <f t="shared" si="8"/>
        <v>4350705</v>
      </c>
      <c r="AF22" s="184">
        <f t="shared" si="3"/>
        <v>0</v>
      </c>
      <c r="AG22" s="95">
        <f t="shared" si="7"/>
        <v>0</v>
      </c>
      <c r="AI22" s="199">
        <f>[12]MAINTENANCE!$AF26</f>
        <v>4172649.67</v>
      </c>
      <c r="AJ22" s="200">
        <f t="shared" si="0"/>
        <v>178056</v>
      </c>
      <c r="AK22" s="199">
        <f t="shared" si="4"/>
        <v>4350705.67</v>
      </c>
      <c r="AL22" s="201">
        <f t="shared" si="1"/>
        <v>0.66999999992549419</v>
      </c>
    </row>
    <row r="23" spans="2:38" s="173" customFormat="1" ht="18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5"/>
        <v>3761333.23</v>
      </c>
      <c r="L23" s="169">
        <f t="shared" si="6"/>
        <v>30575.999999999996</v>
      </c>
      <c r="M23" s="189">
        <f>[12]MAINTENANCE!$AK27</f>
        <v>147340</v>
      </c>
      <c r="N23" s="189">
        <f>[12]MAINTENANCE!$W27</f>
        <v>65250</v>
      </c>
      <c r="O23" s="189"/>
      <c r="P23" s="189">
        <f>[12]MAINTENANCE!$AE27</f>
        <v>0</v>
      </c>
      <c r="Q23" s="169"/>
      <c r="R23" s="189"/>
      <c r="S23" s="189"/>
      <c r="T23" s="189"/>
      <c r="U23" s="189"/>
      <c r="V23" s="189"/>
      <c r="W23" s="189"/>
      <c r="X23" s="189">
        <f>[12]MAINTENANCE!$AB27</f>
        <v>43500</v>
      </c>
      <c r="Y23" s="189"/>
      <c r="Z23" s="189"/>
      <c r="AA23" s="189"/>
      <c r="AB23" s="189">
        <f>-[12]MAINTENANCE!$BA27</f>
        <v>-242666.66</v>
      </c>
      <c r="AC23" s="189"/>
      <c r="AD23" s="189"/>
      <c r="AE23" s="183">
        <f t="shared" si="8"/>
        <v>3805332</v>
      </c>
      <c r="AF23" s="184">
        <f t="shared" si="3"/>
        <v>0</v>
      </c>
      <c r="AG23" s="95">
        <f t="shared" si="7"/>
        <v>0</v>
      </c>
      <c r="AI23" s="199">
        <f>[12]MAINTENANCE!$AF27</f>
        <v>3627416.5700000003</v>
      </c>
      <c r="AJ23" s="200">
        <f t="shared" si="0"/>
        <v>177916</v>
      </c>
      <c r="AK23" s="199">
        <f t="shared" si="4"/>
        <v>3805332.5700000003</v>
      </c>
      <c r="AL23" s="201">
        <f t="shared" si="1"/>
        <v>0.57000000029802322</v>
      </c>
    </row>
    <row r="24" spans="2:38" s="173" customFormat="1" ht="18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5"/>
        <v>3761333.23</v>
      </c>
      <c r="L24" s="169">
        <f t="shared" si="6"/>
        <v>30575.999999999996</v>
      </c>
      <c r="M24" s="189">
        <f>[12]MAINTENANCE!$AK28</f>
        <v>146800</v>
      </c>
      <c r="N24" s="189">
        <f>[12]MAINTENANCE!$W28</f>
        <v>69750</v>
      </c>
      <c r="O24" s="189">
        <f>[12]MAINTENANCE!$Z$28</f>
        <v>50000</v>
      </c>
      <c r="P24" s="189">
        <f>[12]MAINTENANCE!$AE28</f>
        <v>1504392.89</v>
      </c>
      <c r="Q24" s="169"/>
      <c r="R24" s="189"/>
      <c r="S24" s="189"/>
      <c r="T24" s="189"/>
      <c r="U24" s="189"/>
      <c r="V24" s="189"/>
      <c r="W24" s="189"/>
      <c r="X24" s="189">
        <f>[12]MAINTENANCE!$AB28</f>
        <v>30000</v>
      </c>
      <c r="Y24" s="189"/>
      <c r="Z24" s="189"/>
      <c r="AA24" s="189"/>
      <c r="AB24" s="189">
        <f>-[12]MAINTENANCE!$BA28</f>
        <v>0</v>
      </c>
      <c r="AC24" s="189"/>
      <c r="AD24" s="189"/>
      <c r="AE24" s="183">
        <f>ROUNDDOWN(SUM(K24:AD24),0)</f>
        <v>5592852</v>
      </c>
      <c r="AF24" s="184">
        <f t="shared" si="3"/>
        <v>2.5000000000000001E-3</v>
      </c>
      <c r="AG24" s="95">
        <f t="shared" si="7"/>
        <v>13982</v>
      </c>
      <c r="AI24" s="199">
        <f>[12]MAINTENANCE!$AF28</f>
        <v>5415476.1200000001</v>
      </c>
      <c r="AJ24" s="200">
        <f t="shared" si="0"/>
        <v>177376</v>
      </c>
      <c r="AK24" s="199">
        <f t="shared" si="4"/>
        <v>5592852.1200000001</v>
      </c>
      <c r="AL24" s="201">
        <f t="shared" si="1"/>
        <v>0.12000000011175871</v>
      </c>
    </row>
    <row r="25" spans="2:38" s="173" customFormat="1" ht="18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5"/>
        <v>3761333.23</v>
      </c>
      <c r="L25" s="169">
        <f t="shared" si="6"/>
        <v>30575.999999999996</v>
      </c>
      <c r="M25" s="189">
        <f>[12]MAINTENANCE!$AK29</f>
        <v>147340</v>
      </c>
      <c r="N25" s="189">
        <f>[12]MAINTENANCE!$W29</f>
        <v>162000</v>
      </c>
      <c r="O25" s="189"/>
      <c r="P25" s="189">
        <f>[12]MAINTENANCE!$AE29</f>
        <v>126242.76</v>
      </c>
      <c r="Q25" s="169"/>
      <c r="R25" s="189"/>
      <c r="S25" s="189"/>
      <c r="T25" s="189"/>
      <c r="U25" s="189"/>
      <c r="V25" s="189"/>
      <c r="W25" s="189"/>
      <c r="X25" s="189">
        <f>[12]MAINTENANCE!$AB29</f>
        <v>43500</v>
      </c>
      <c r="Y25" s="189"/>
      <c r="Z25" s="189"/>
      <c r="AA25" s="189"/>
      <c r="AB25" s="189">
        <f>-[12]MAINTENANCE!$BA29</f>
        <v>-121333.33</v>
      </c>
      <c r="AC25" s="189"/>
      <c r="AD25" s="189"/>
      <c r="AE25" s="183">
        <f t="shared" si="8"/>
        <v>4149658</v>
      </c>
      <c r="AF25" s="184">
        <f t="shared" si="3"/>
        <v>0</v>
      </c>
      <c r="AG25" s="95">
        <f t="shared" si="7"/>
        <v>0</v>
      </c>
      <c r="AI25" s="199">
        <f>[12]MAINTENANCE!$AF29</f>
        <v>3971742.6599999997</v>
      </c>
      <c r="AJ25" s="200">
        <f t="shared" si="0"/>
        <v>177916</v>
      </c>
      <c r="AK25" s="199">
        <f t="shared" si="4"/>
        <v>4149658.6599999997</v>
      </c>
      <c r="AL25" s="201">
        <f t="shared" si="1"/>
        <v>0.65999999968335032</v>
      </c>
    </row>
    <row r="26" spans="2:38" s="173" customFormat="1" ht="18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5"/>
        <v>3761333.23</v>
      </c>
      <c r="L26" s="169">
        <f t="shared" si="6"/>
        <v>30575.999999999996</v>
      </c>
      <c r="M26" s="189">
        <f>[12]MAINTENANCE!$AK30</f>
        <v>148040</v>
      </c>
      <c r="N26" s="189">
        <f>[12]MAINTENANCE!$W30</f>
        <v>69750</v>
      </c>
      <c r="O26" s="189"/>
      <c r="P26" s="189">
        <f>[12]MAINTENANCE!$AE30</f>
        <v>0</v>
      </c>
      <c r="Q26" s="169"/>
      <c r="R26" s="189"/>
      <c r="S26" s="189"/>
      <c r="T26" s="189"/>
      <c r="U26" s="189"/>
      <c r="V26" s="189"/>
      <c r="W26" s="189"/>
      <c r="X26" s="189">
        <f>[12]MAINTENANCE!$AB30</f>
        <v>61000</v>
      </c>
      <c r="Y26" s="189"/>
      <c r="Z26" s="189"/>
      <c r="AA26" s="189"/>
      <c r="AB26" s="189">
        <f>-[12]MAINTENANCE!$BA30</f>
        <v>0</v>
      </c>
      <c r="AC26" s="189"/>
      <c r="AD26" s="189"/>
      <c r="AE26" s="183">
        <f t="shared" si="8"/>
        <v>4070699</v>
      </c>
      <c r="AF26" s="184">
        <f t="shared" si="3"/>
        <v>0</v>
      </c>
      <c r="AG26" s="95">
        <f t="shared" si="7"/>
        <v>0</v>
      </c>
      <c r="AI26" s="199">
        <f>[12]MAINTENANCE!$AF30</f>
        <v>3892083.23</v>
      </c>
      <c r="AJ26" s="200">
        <f t="shared" si="0"/>
        <v>178616</v>
      </c>
      <c r="AK26" s="199">
        <f t="shared" si="4"/>
        <v>4070699.23</v>
      </c>
      <c r="AL26" s="201">
        <f t="shared" si="1"/>
        <v>0.22999999998137355</v>
      </c>
    </row>
    <row r="27" spans="2:38" s="173" customFormat="1" ht="18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5"/>
        <v>3761333.23</v>
      </c>
      <c r="L27" s="169">
        <f t="shared" si="6"/>
        <v>30575.999999999996</v>
      </c>
      <c r="M27" s="189">
        <f>[12]MAINTENANCE!$AK31</f>
        <v>147620</v>
      </c>
      <c r="N27" s="189">
        <f>[12]MAINTENANCE!$W31</f>
        <v>69750</v>
      </c>
      <c r="O27" s="189"/>
      <c r="P27" s="189"/>
      <c r="Q27" s="169"/>
      <c r="R27" s="189"/>
      <c r="S27" s="189"/>
      <c r="T27" s="189"/>
      <c r="U27" s="189"/>
      <c r="V27" s="189"/>
      <c r="W27" s="189"/>
      <c r="X27" s="189">
        <f>[12]MAINTENANCE!$AB31</f>
        <v>50500</v>
      </c>
      <c r="Y27" s="189"/>
      <c r="Z27" s="189"/>
      <c r="AA27" s="189"/>
      <c r="AB27" s="189">
        <f>-[12]MAINTENANCE!$BA31</f>
        <v>0</v>
      </c>
      <c r="AC27" s="189"/>
      <c r="AD27" s="189"/>
      <c r="AE27" s="183">
        <f t="shared" si="8"/>
        <v>4059779</v>
      </c>
      <c r="AF27" s="184">
        <f t="shared" si="3"/>
        <v>0</v>
      </c>
      <c r="AG27" s="95">
        <f t="shared" si="7"/>
        <v>0</v>
      </c>
      <c r="AI27" s="199">
        <f>[12]MAINTENANCE!$AF31</f>
        <v>3881583.23</v>
      </c>
      <c r="AJ27" s="200">
        <f t="shared" si="0"/>
        <v>178196</v>
      </c>
      <c r="AK27" s="199">
        <f t="shared" si="4"/>
        <v>4059779.23</v>
      </c>
      <c r="AL27" s="201">
        <f t="shared" si="1"/>
        <v>0.22999999998137355</v>
      </c>
    </row>
    <row r="28" spans="2:38" s="173" customFormat="1" ht="18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>
        <f>'[6]HARVESTING KHT'!$AK10</f>
        <v>0</v>
      </c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3"/>
        <v>0</v>
      </c>
      <c r="AG28" s="95">
        <f t="shared" si="7"/>
        <v>0</v>
      </c>
      <c r="AI28" s="199"/>
      <c r="AJ28" s="200">
        <f t="shared" si="0"/>
        <v>0</v>
      </c>
      <c r="AK28" s="199">
        <f>AI28+AJ28+AD28</f>
        <v>0</v>
      </c>
      <c r="AL28" s="201">
        <f t="shared" si="1"/>
        <v>0</v>
      </c>
    </row>
    <row r="29" spans="2:38" s="173" customFormat="1" ht="18" customHeight="1">
      <c r="B29" s="174">
        <v>23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31*121333.33</f>
        <v>3761333.23</v>
      </c>
      <c r="L29" s="169">
        <f t="shared" si="6"/>
        <v>30575.999999999996</v>
      </c>
      <c r="M29" s="189">
        <f>'[12]HARVESTING KHT'!$AQ10</f>
        <v>147620</v>
      </c>
      <c r="N29" s="189">
        <f>'[12]HARVESTING KHT'!$U10</f>
        <v>69750</v>
      </c>
      <c r="O29" s="189">
        <f>'[12]HARVESTING KHT'!$X$10</f>
        <v>48000</v>
      </c>
      <c r="P29" s="189">
        <f>'[12]HARVESTING KHT'!$AD10</f>
        <v>904739.78</v>
      </c>
      <c r="Q29" s="189"/>
      <c r="R29" s="189"/>
      <c r="S29" s="189"/>
      <c r="T29" s="189"/>
      <c r="U29" s="189"/>
      <c r="V29" s="189"/>
      <c r="W29" s="189">
        <f>'[6]HARVESTING KHT'!$AK11</f>
        <v>0</v>
      </c>
      <c r="X29" s="189">
        <f>'[12]HARVESTING KHT'!$Z10</f>
        <v>50500</v>
      </c>
      <c r="Y29" s="189"/>
      <c r="Z29" s="189"/>
      <c r="AA29" s="189"/>
      <c r="AB29" s="189">
        <f>-'[12]HARVESTING KHT'!$BI10</f>
        <v>0</v>
      </c>
      <c r="AC29" s="189"/>
      <c r="AD29" s="189"/>
      <c r="AE29" s="183">
        <f t="shared" si="8"/>
        <v>5012519</v>
      </c>
      <c r="AF29" s="184">
        <f t="shared" si="3"/>
        <v>0</v>
      </c>
      <c r="AG29" s="95">
        <f t="shared" si="7"/>
        <v>0</v>
      </c>
      <c r="AI29" s="199">
        <f>'[12]HARVESTING KHT'!$AL10</f>
        <v>4834323.01</v>
      </c>
      <c r="AJ29" s="200">
        <f t="shared" si="0"/>
        <v>178196</v>
      </c>
      <c r="AK29" s="199">
        <f>AI29+AJ29+AD29</f>
        <v>5012519.01</v>
      </c>
      <c r="AL29" s="201">
        <f t="shared" si="1"/>
        <v>9.9999997764825821E-3</v>
      </c>
    </row>
    <row r="30" spans="2:38" s="173" customFormat="1" ht="18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>'[6]HARVESTING KHT'!$AK12</f>
        <v>0</v>
      </c>
      <c r="X30" s="189"/>
      <c r="Y30" s="189"/>
      <c r="Z30" s="189"/>
      <c r="AA30" s="189"/>
      <c r="AB30" s="189"/>
      <c r="AC30" s="189"/>
      <c r="AD30" s="189"/>
      <c r="AE30" s="183">
        <f t="shared" si="8"/>
        <v>0</v>
      </c>
      <c r="AF30" s="184">
        <f t="shared" si="3"/>
        <v>0</v>
      </c>
      <c r="AG30" s="95">
        <f t="shared" si="7"/>
        <v>0</v>
      </c>
      <c r="AI30" s="199"/>
      <c r="AJ30" s="200">
        <f t="shared" si="0"/>
        <v>0</v>
      </c>
      <c r="AK30" s="199">
        <f t="shared" si="4"/>
        <v>0</v>
      </c>
      <c r="AL30" s="201">
        <f t="shared" si="1"/>
        <v>0</v>
      </c>
    </row>
    <row r="31" spans="2:38" s="173" customFormat="1" ht="18" customHeight="1">
      <c r="B31" s="174">
        <v>24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>31*121333.33</f>
        <v>3761333.23</v>
      </c>
      <c r="L31" s="169">
        <f t="shared" si="6"/>
        <v>30575.999999999996</v>
      </c>
      <c r="M31" s="189">
        <f>'[12]HARVESTING KHT'!$AQ11</f>
        <v>146560</v>
      </c>
      <c r="N31" s="189">
        <f>'[12]HARVESTING KHT'!$U11</f>
        <v>139500</v>
      </c>
      <c r="O31" s="189"/>
      <c r="P31" s="189"/>
      <c r="Q31" s="189"/>
      <c r="R31" s="189">
        <f>'[12]HARVESTING KHT'!$AA11</f>
        <v>28180</v>
      </c>
      <c r="S31" s="189">
        <f>'[12]HARVESTING KHT'!$AB11</f>
        <v>162750</v>
      </c>
      <c r="T31" s="189">
        <f>'[12]HARVESTING KHT'!$AC11</f>
        <v>150500</v>
      </c>
      <c r="U31" s="189"/>
      <c r="V31" s="189">
        <f>'[12]HARVESTING KHT'!$AH11</f>
        <v>150000</v>
      </c>
      <c r="W31" s="189">
        <f>'[6]HARVESTING KHT'!$AK13</f>
        <v>0</v>
      </c>
      <c r="X31" s="189">
        <f>'[12]HARVESTING KHT'!$Z11</f>
        <v>24000</v>
      </c>
      <c r="Y31" s="189"/>
      <c r="Z31" s="189"/>
      <c r="AA31" s="189"/>
      <c r="AB31" s="189">
        <f>-'[12]HARVESTING KHT'!$BI11</f>
        <v>0</v>
      </c>
      <c r="AC31" s="189"/>
      <c r="AD31" s="189"/>
      <c r="AE31" s="183">
        <f t="shared" si="8"/>
        <v>4593399</v>
      </c>
      <c r="AF31" s="184">
        <f t="shared" si="3"/>
        <v>0</v>
      </c>
      <c r="AG31" s="95">
        <f t="shared" si="7"/>
        <v>0</v>
      </c>
      <c r="AI31" s="199">
        <f>'[12]HARVESTING KHT'!$AL11</f>
        <v>4416263.2300000004</v>
      </c>
      <c r="AJ31" s="200">
        <f t="shared" si="0"/>
        <v>177136</v>
      </c>
      <c r="AK31" s="199">
        <f t="shared" si="4"/>
        <v>4593399.2300000004</v>
      </c>
      <c r="AL31" s="201">
        <f t="shared" si="1"/>
        <v>0.23000000044703484</v>
      </c>
    </row>
    <row r="32" spans="2:38" s="173" customFormat="1" ht="18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3"/>
        <v>0</v>
      </c>
      <c r="AG32" s="95">
        <f t="shared" si="7"/>
        <v>0</v>
      </c>
      <c r="AI32" s="199"/>
      <c r="AJ32" s="200">
        <f t="shared" si="0"/>
        <v>0</v>
      </c>
      <c r="AK32" s="199">
        <f t="shared" si="4"/>
        <v>0</v>
      </c>
      <c r="AL32" s="201">
        <f t="shared" si="1"/>
        <v>0</v>
      </c>
    </row>
    <row r="33" spans="2:38" s="173" customFormat="1" ht="18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3"/>
        <v>0</v>
      </c>
      <c r="AG33" s="95">
        <f t="shared" si="7"/>
        <v>0</v>
      </c>
      <c r="AI33" s="199"/>
      <c r="AJ33" s="200">
        <f t="shared" si="0"/>
        <v>0</v>
      </c>
      <c r="AK33" s="199">
        <f t="shared" si="4"/>
        <v>0</v>
      </c>
      <c r="AL33" s="201">
        <f t="shared" si="1"/>
        <v>0</v>
      </c>
    </row>
    <row r="34" spans="2:38" s="173" customFormat="1" ht="18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>
        <f>'[6]HARVESTING KHT'!$AK16</f>
        <v>0</v>
      </c>
      <c r="X34" s="189"/>
      <c r="Y34" s="189"/>
      <c r="Z34" s="189"/>
      <c r="AA34" s="189"/>
      <c r="AB34" s="189"/>
      <c r="AC34" s="189"/>
      <c r="AD34" s="189"/>
      <c r="AE34" s="183">
        <f t="shared" si="8"/>
        <v>0</v>
      </c>
      <c r="AF34" s="184">
        <f t="shared" si="3"/>
        <v>0</v>
      </c>
      <c r="AG34" s="95">
        <f t="shared" si="7"/>
        <v>0</v>
      </c>
      <c r="AI34" s="199"/>
      <c r="AJ34" s="200">
        <f t="shared" si="0"/>
        <v>0</v>
      </c>
      <c r="AK34" s="199">
        <f t="shared" si="4"/>
        <v>0</v>
      </c>
      <c r="AL34" s="201">
        <f t="shared" si="1"/>
        <v>0</v>
      </c>
    </row>
    <row r="35" spans="2:38" s="173" customFormat="1" ht="18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>
        <f>'[6]HARVESTING KHT'!$AK17</f>
        <v>0</v>
      </c>
      <c r="X35" s="189"/>
      <c r="Y35" s="189"/>
      <c r="Z35" s="189"/>
      <c r="AA35" s="189"/>
      <c r="AB35" s="189"/>
      <c r="AC35" s="189"/>
      <c r="AD35" s="189"/>
      <c r="AE35" s="183">
        <f t="shared" si="8"/>
        <v>0</v>
      </c>
      <c r="AF35" s="184">
        <f t="shared" si="3"/>
        <v>0</v>
      </c>
      <c r="AG35" s="95">
        <f t="shared" si="7"/>
        <v>0</v>
      </c>
      <c r="AI35" s="199"/>
      <c r="AJ35" s="200">
        <f t="shared" si="0"/>
        <v>0</v>
      </c>
      <c r="AK35" s="199">
        <f t="shared" si="4"/>
        <v>0</v>
      </c>
      <c r="AL35" s="201">
        <f t="shared" si="1"/>
        <v>0</v>
      </c>
    </row>
    <row r="36" spans="2:38" s="173" customFormat="1" ht="18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>
        <f>'[6]HARVESTING KHT'!$AK18</f>
        <v>0</v>
      </c>
      <c r="X36" s="189"/>
      <c r="Y36" s="189"/>
      <c r="Z36" s="189"/>
      <c r="AA36" s="189"/>
      <c r="AB36" s="189"/>
      <c r="AC36" s="189"/>
      <c r="AD36" s="189"/>
      <c r="AE36" s="183">
        <f t="shared" si="8"/>
        <v>0</v>
      </c>
      <c r="AF36" s="184">
        <f t="shared" si="3"/>
        <v>0</v>
      </c>
      <c r="AG36" s="95">
        <f t="shared" si="7"/>
        <v>0</v>
      </c>
      <c r="AI36" s="199"/>
      <c r="AJ36" s="200">
        <f t="shared" si="0"/>
        <v>0</v>
      </c>
      <c r="AK36" s="199">
        <f t="shared" si="4"/>
        <v>0</v>
      </c>
      <c r="AL36" s="201">
        <f t="shared" si="1"/>
        <v>0</v>
      </c>
    </row>
    <row r="37" spans="2:38" s="173" customFormat="1" ht="18" customHeight="1">
      <c r="B37" s="174">
        <v>25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>31*121333.33</f>
        <v>3761333.23</v>
      </c>
      <c r="L37" s="169">
        <f t="shared" si="6"/>
        <v>30575.999999999996</v>
      </c>
      <c r="M37" s="189">
        <f>'[12]HARVESTING KHT'!$AQ12</f>
        <v>145800</v>
      </c>
      <c r="N37" s="189">
        <f>'[12]HARVESTING KHT'!$U12</f>
        <v>139500</v>
      </c>
      <c r="O37" s="189"/>
      <c r="P37" s="189"/>
      <c r="Q37" s="189"/>
      <c r="R37" s="189">
        <f>'[12]HARVESTING KHT'!$AA12</f>
        <v>277573</v>
      </c>
      <c r="S37" s="189">
        <f>'[12]HARVESTING KHT'!$AB12</f>
        <v>191100</v>
      </c>
      <c r="T37" s="189">
        <f>'[12]HARVESTING KHT'!$AC12</f>
        <v>222000</v>
      </c>
      <c r="U37" s="189"/>
      <c r="V37" s="189">
        <f>'[12]HARVESTING KHT'!$AH12</f>
        <v>150000</v>
      </c>
      <c r="W37" s="189">
        <f>'[6]HARVESTING KHT'!$AK19</f>
        <v>0</v>
      </c>
      <c r="X37" s="189">
        <f>'[12]HARVESTING KHT'!$Z12</f>
        <v>5000</v>
      </c>
      <c r="Y37" s="189"/>
      <c r="Z37" s="189"/>
      <c r="AA37" s="189"/>
      <c r="AB37" s="189">
        <f>-'[12]HARVESTING KHT'!$BI12</f>
        <v>0</v>
      </c>
      <c r="AC37" s="189"/>
      <c r="AD37" s="189"/>
      <c r="AE37" s="183">
        <f t="shared" si="8"/>
        <v>4922882</v>
      </c>
      <c r="AF37" s="184">
        <f t="shared" si="3"/>
        <v>0</v>
      </c>
      <c r="AG37" s="95">
        <f t="shared" si="7"/>
        <v>0</v>
      </c>
      <c r="AI37" s="199">
        <f>'[12]HARVESTING KHT'!$AL12</f>
        <v>4746506.2300000004</v>
      </c>
      <c r="AJ37" s="200">
        <f t="shared" si="0"/>
        <v>176376</v>
      </c>
      <c r="AK37" s="199">
        <f t="shared" si="4"/>
        <v>4922882.2300000004</v>
      </c>
      <c r="AL37" s="201">
        <f t="shared" si="1"/>
        <v>0.23000000044703484</v>
      </c>
    </row>
    <row r="38" spans="2:38" s="173" customFormat="1" ht="18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66" si="9">IF(J38="TER A",VLOOKUP(AE38,Ter_A,4,TRUE),IF(J38="TER B",VLOOKUP(AE38,Ter_B,4,TRUE),VLOOKUP(AE38,Ter_C,4,TRUE)))</f>
        <v>0</v>
      </c>
      <c r="AG38" s="95">
        <f t="shared" si="7"/>
        <v>0</v>
      </c>
      <c r="AI38" s="199"/>
      <c r="AJ38" s="200">
        <f t="shared" si="0"/>
        <v>0</v>
      </c>
      <c r="AK38" s="199">
        <f t="shared" si="4"/>
        <v>0</v>
      </c>
      <c r="AL38" s="201">
        <f t="shared" si="1"/>
        <v>0</v>
      </c>
    </row>
    <row r="39" spans="2:38" s="173" customFormat="1" ht="18" customHeight="1">
      <c r="B39" s="174">
        <v>26</v>
      </c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>
        <f>7*121333.33</f>
        <v>849333.31</v>
      </c>
      <c r="L39" s="169">
        <f t="shared" si="6"/>
        <v>30575.999999999996</v>
      </c>
      <c r="M39" s="189">
        <f>'[12]HARVESTING KHT'!$AQ13</f>
        <v>145800</v>
      </c>
      <c r="N39" s="189">
        <f>'[12]HARVESTING KHT'!$U13</f>
        <v>31500</v>
      </c>
      <c r="O39" s="189"/>
      <c r="P39" s="189"/>
      <c r="Q39" s="189"/>
      <c r="R39" s="189">
        <f>'[12]HARVESTING KHT'!$AA13</f>
        <v>0</v>
      </c>
      <c r="S39" s="189">
        <f>'[12]HARVESTING KHT'!$AB13</f>
        <v>11550</v>
      </c>
      <c r="T39" s="189">
        <f>'[12]HARVESTING KHT'!$AC13</f>
        <v>0</v>
      </c>
      <c r="U39" s="189"/>
      <c r="V39" s="189">
        <f>'[12]HARVESTING KHT'!$AH13</f>
        <v>0</v>
      </c>
      <c r="W39" s="189">
        <f>'[6]HARVESTING KHT'!$AK21</f>
        <v>0</v>
      </c>
      <c r="X39" s="189">
        <f>'[12]HARVESTING KHT'!$Z13</f>
        <v>5000</v>
      </c>
      <c r="Y39" s="189"/>
      <c r="Z39" s="189"/>
      <c r="AA39" s="189"/>
      <c r="AB39" s="189">
        <f>-'[12]HARVESTING KHT'!$BI13</f>
        <v>0</v>
      </c>
      <c r="AC39" s="189"/>
      <c r="AD39" s="189"/>
      <c r="AE39" s="183">
        <f t="shared" si="8"/>
        <v>1073759</v>
      </c>
      <c r="AF39" s="184">
        <f t="shared" si="9"/>
        <v>0</v>
      </c>
      <c r="AG39" s="95">
        <f t="shared" si="7"/>
        <v>0</v>
      </c>
      <c r="AI39" s="199">
        <f>'[12]HARVESTING KHT'!$AL13</f>
        <v>897383.30999999994</v>
      </c>
      <c r="AJ39" s="200">
        <f t="shared" si="0"/>
        <v>176376</v>
      </c>
      <c r="AK39" s="199">
        <f t="shared" si="4"/>
        <v>1073759.31</v>
      </c>
      <c r="AL39" s="201">
        <f t="shared" si="1"/>
        <v>0.31000000005587935</v>
      </c>
    </row>
    <row r="40" spans="2:38" s="173" customFormat="1" ht="18" customHeight="1">
      <c r="B40" s="174">
        <v>27</v>
      </c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>
        <f>7*121333.33</f>
        <v>849333.31</v>
      </c>
      <c r="L40" s="169">
        <f t="shared" si="6"/>
        <v>30575.999999999996</v>
      </c>
      <c r="M40" s="189">
        <f>'[12]HARVESTING KHT'!$AQ14</f>
        <v>145800</v>
      </c>
      <c r="N40" s="189">
        <f>'[12]HARVESTING KHT'!$U14</f>
        <v>15750</v>
      </c>
      <c r="O40" s="189"/>
      <c r="P40" s="189"/>
      <c r="Q40" s="189"/>
      <c r="R40" s="189">
        <f>'[12]HARVESTING KHT'!$AA14</f>
        <v>0</v>
      </c>
      <c r="S40" s="189">
        <f>'[12]HARVESTING KHT'!$AB14</f>
        <v>14700</v>
      </c>
      <c r="T40" s="189">
        <f>'[12]HARVESTING KHT'!$AC14</f>
        <v>0</v>
      </c>
      <c r="U40" s="189"/>
      <c r="V40" s="189">
        <f>'[12]HARVESTING KHT'!$AH14</f>
        <v>0</v>
      </c>
      <c r="W40" s="189">
        <f>'[6]HARVESTING KHT'!$AK22</f>
        <v>0</v>
      </c>
      <c r="X40" s="189">
        <f>'[12]HARVESTING KHT'!$Z14</f>
        <v>5000</v>
      </c>
      <c r="Y40" s="189"/>
      <c r="Z40" s="189"/>
      <c r="AA40" s="189"/>
      <c r="AB40" s="189">
        <f>-'[12]HARVESTING KHT'!$BI14</f>
        <v>0</v>
      </c>
      <c r="AC40" s="189"/>
      <c r="AD40" s="189"/>
      <c r="AE40" s="183">
        <f t="shared" si="8"/>
        <v>1061159</v>
      </c>
      <c r="AF40" s="184">
        <f t="shared" si="9"/>
        <v>0</v>
      </c>
      <c r="AG40" s="95">
        <f t="shared" si="7"/>
        <v>0</v>
      </c>
      <c r="AI40" s="199">
        <f>'[12]HARVESTING KHT'!$AL14</f>
        <v>884783.30999999994</v>
      </c>
      <c r="AJ40" s="200">
        <f t="shared" si="0"/>
        <v>176376</v>
      </c>
      <c r="AK40" s="199">
        <f t="shared" si="4"/>
        <v>1061159.31</v>
      </c>
      <c r="AL40" s="201">
        <f t="shared" si="1"/>
        <v>0.31000000005587935</v>
      </c>
    </row>
    <row r="41" spans="2:38" s="173" customFormat="1" ht="18" customHeight="1">
      <c r="B41" s="174">
        <v>28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>31*121333.33</f>
        <v>3761333.23</v>
      </c>
      <c r="L41" s="169">
        <f t="shared" si="6"/>
        <v>30575.999999999996</v>
      </c>
      <c r="M41" s="189">
        <f>'[12]HARVESTING KHT'!$AQ15</f>
        <v>146320</v>
      </c>
      <c r="N41" s="189">
        <f>'[12]HARVESTING KHT'!$U15</f>
        <v>156600</v>
      </c>
      <c r="O41" s="189"/>
      <c r="P41" s="189"/>
      <c r="Q41" s="189"/>
      <c r="R41" s="189">
        <f>'[12]HARVESTING KHT'!$AA15</f>
        <v>12681</v>
      </c>
      <c r="S41" s="189">
        <f>'[12]HARVESTING KHT'!$AB15</f>
        <v>98700</v>
      </c>
      <c r="T41" s="189">
        <f>'[12]HARVESTING KHT'!$AC15</f>
        <v>146500</v>
      </c>
      <c r="U41" s="189"/>
      <c r="V41" s="189">
        <f>'[12]HARVESTING KHT'!$AH15</f>
        <v>0</v>
      </c>
      <c r="W41" s="189">
        <f>'[6]HARVESTING KHT'!$AK23</f>
        <v>0</v>
      </c>
      <c r="X41" s="189">
        <f>'[12]HARVESTING KHT'!$Z15</f>
        <v>18000</v>
      </c>
      <c r="Y41" s="189"/>
      <c r="Z41" s="189"/>
      <c r="AA41" s="189"/>
      <c r="AB41" s="189">
        <f>-'[12]HARVESTING KHT'!$BI15</f>
        <v>-242666.66</v>
      </c>
      <c r="AC41" s="189"/>
      <c r="AD41" s="189"/>
      <c r="AE41" s="183">
        <f t="shared" si="8"/>
        <v>4128043</v>
      </c>
      <c r="AF41" s="184">
        <f t="shared" si="9"/>
        <v>0</v>
      </c>
      <c r="AG41" s="95">
        <f t="shared" si="7"/>
        <v>0</v>
      </c>
      <c r="AI41" s="199">
        <f>'[12]HARVESTING KHT'!$AL15</f>
        <v>3951147.57</v>
      </c>
      <c r="AJ41" s="200">
        <f t="shared" si="0"/>
        <v>176896</v>
      </c>
      <c r="AK41" s="199">
        <f t="shared" si="4"/>
        <v>4128043.57</v>
      </c>
      <c r="AL41" s="201">
        <f t="shared" si="1"/>
        <v>0.56999999983236194</v>
      </c>
    </row>
    <row r="42" spans="2:38" s="173" customFormat="1" ht="18" customHeight="1">
      <c r="B42" s="174">
        <v>29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>31*121333.33</f>
        <v>3761333.23</v>
      </c>
      <c r="L42" s="169">
        <f t="shared" si="6"/>
        <v>30575.999999999996</v>
      </c>
      <c r="M42" s="189">
        <f>'[12]HARVESTING KHT'!$AQ16</f>
        <v>146440</v>
      </c>
      <c r="N42" s="189">
        <f>'[12]HARVESTING KHT'!$U16</f>
        <v>135000</v>
      </c>
      <c r="O42" s="189"/>
      <c r="P42" s="189"/>
      <c r="Q42" s="189"/>
      <c r="R42" s="189">
        <f>'[12]HARVESTING KHT'!$AA16</f>
        <v>0</v>
      </c>
      <c r="S42" s="189">
        <f>'[12]HARVESTING KHT'!$AB16</f>
        <v>74550</v>
      </c>
      <c r="T42" s="189">
        <f>'[12]HARVESTING KHT'!$AC16</f>
        <v>148500</v>
      </c>
      <c r="U42" s="189"/>
      <c r="V42" s="189">
        <f>'[12]HARVESTING KHT'!$AH16</f>
        <v>0</v>
      </c>
      <c r="W42" s="189">
        <f>'[6]HARVESTING KHT'!$AK24</f>
        <v>0</v>
      </c>
      <c r="X42" s="189">
        <f>'[12]HARVESTING KHT'!$Z16</f>
        <v>21000</v>
      </c>
      <c r="Y42" s="189"/>
      <c r="Z42" s="189"/>
      <c r="AA42" s="189"/>
      <c r="AB42" s="189">
        <f>-'[12]HARVESTING KHT'!$BI16</f>
        <v>-121333.33</v>
      </c>
      <c r="AC42" s="189"/>
      <c r="AD42" s="189"/>
      <c r="AE42" s="183">
        <f t="shared" si="8"/>
        <v>4196065</v>
      </c>
      <c r="AF42" s="184">
        <f t="shared" si="9"/>
        <v>0</v>
      </c>
      <c r="AG42" s="95">
        <f t="shared" si="7"/>
        <v>0</v>
      </c>
      <c r="AI42" s="199">
        <f>'[12]HARVESTING KHT'!$AL16</f>
        <v>4019049.9</v>
      </c>
      <c r="AJ42" s="200">
        <f t="shared" si="0"/>
        <v>177016</v>
      </c>
      <c r="AK42" s="199">
        <f t="shared" si="4"/>
        <v>4196065.9000000004</v>
      </c>
      <c r="AL42" s="201">
        <f t="shared" si="1"/>
        <v>0.90000000037252903</v>
      </c>
    </row>
    <row r="43" spans="2:38" s="173" customFormat="1" ht="18" customHeight="1">
      <c r="B43" s="174"/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/>
      <c r="L43" s="16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3">
        <f t="shared" si="8"/>
        <v>0</v>
      </c>
      <c r="AF43" s="184">
        <f t="shared" si="9"/>
        <v>0</v>
      </c>
      <c r="AG43" s="95">
        <f t="shared" si="7"/>
        <v>0</v>
      </c>
      <c r="AI43" s="199"/>
      <c r="AJ43" s="200">
        <f t="shared" si="0"/>
        <v>0</v>
      </c>
      <c r="AK43" s="199">
        <f t="shared" si="4"/>
        <v>0</v>
      </c>
      <c r="AL43" s="201">
        <f t="shared" si="1"/>
        <v>0</v>
      </c>
    </row>
    <row r="44" spans="2:38" s="173" customFormat="1" ht="18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9"/>
        <v>0</v>
      </c>
      <c r="AG44" s="95">
        <f t="shared" si="7"/>
        <v>0</v>
      </c>
      <c r="AI44" s="199"/>
      <c r="AJ44" s="200">
        <f t="shared" si="0"/>
        <v>0</v>
      </c>
      <c r="AK44" s="199">
        <f t="shared" si="4"/>
        <v>0</v>
      </c>
      <c r="AL44" s="201">
        <f t="shared" si="1"/>
        <v>0</v>
      </c>
    </row>
    <row r="45" spans="2:38" s="173" customFormat="1" ht="18" customHeight="1">
      <c r="B45" s="174">
        <v>31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>31*121333.33</f>
        <v>3761333.23</v>
      </c>
      <c r="L45" s="169">
        <f t="shared" si="6"/>
        <v>30575.999999999996</v>
      </c>
      <c r="M45" s="189">
        <f>'[12]HARVESTING KHT'!$AQ17</f>
        <v>145700</v>
      </c>
      <c r="N45" s="189">
        <f>'[12]HARVESTING KHT'!$U17</f>
        <v>167400</v>
      </c>
      <c r="O45" s="189"/>
      <c r="P45" s="189"/>
      <c r="Q45" s="189"/>
      <c r="R45" s="189">
        <f>'[12]HARVESTING KHT'!$AA17</f>
        <v>369158</v>
      </c>
      <c r="S45" s="189">
        <f>'[12]HARVESTING KHT'!$AB17</f>
        <v>165900</v>
      </c>
      <c r="T45" s="189">
        <f>'[12]HARVESTING KHT'!$AC17</f>
        <v>148000</v>
      </c>
      <c r="U45" s="189"/>
      <c r="V45" s="189">
        <f>'[12]HARVESTING KHT'!$AH17</f>
        <v>300000</v>
      </c>
      <c r="W45" s="189">
        <f>'[6]HARVESTING KHT'!$AK27</f>
        <v>0</v>
      </c>
      <c r="X45" s="189">
        <f>'[12]HARVESTING KHT'!$Z17</f>
        <v>2500</v>
      </c>
      <c r="Y45" s="189"/>
      <c r="Z45" s="189"/>
      <c r="AA45" s="189"/>
      <c r="AB45" s="189">
        <f>-'[12]HARVESTING KHT'!$BI17</f>
        <v>0</v>
      </c>
      <c r="AC45" s="189"/>
      <c r="AD45" s="189"/>
      <c r="AE45" s="183">
        <f t="shared" si="8"/>
        <v>5090567</v>
      </c>
      <c r="AF45" s="184">
        <f t="shared" si="9"/>
        <v>0</v>
      </c>
      <c r="AG45" s="95">
        <f t="shared" si="7"/>
        <v>0</v>
      </c>
      <c r="AI45" s="199">
        <f>'[12]HARVESTING KHT'!$AL17</f>
        <v>4914291.2300000004</v>
      </c>
      <c r="AJ45" s="200">
        <f t="shared" si="0"/>
        <v>176276</v>
      </c>
      <c r="AK45" s="199">
        <f t="shared" si="4"/>
        <v>5090567.2300000004</v>
      </c>
      <c r="AL45" s="201">
        <f>AK45-AE45</f>
        <v>0.23000000044703484</v>
      </c>
    </row>
    <row r="46" spans="2:38" s="173" customFormat="1" ht="18" customHeight="1">
      <c r="B46" s="174">
        <v>32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>31*121333.33</f>
        <v>3761333.23</v>
      </c>
      <c r="L46" s="169">
        <f t="shared" si="6"/>
        <v>30575.999999999996</v>
      </c>
      <c r="M46" s="189">
        <f>'[12]HARVESTING KHT'!$AQ18</f>
        <v>145900</v>
      </c>
      <c r="N46" s="189">
        <f>'[12]HARVESTING KHT'!$U18</f>
        <v>69750</v>
      </c>
      <c r="O46" s="189"/>
      <c r="P46" s="189"/>
      <c r="Q46" s="189"/>
      <c r="R46" s="189">
        <f>'[12]HARVESTING KHT'!$AA18</f>
        <v>515694</v>
      </c>
      <c r="S46" s="189">
        <f>'[12]HARVESTING KHT'!$AB18</f>
        <v>182700</v>
      </c>
      <c r="T46" s="189">
        <f>'[12]HARVESTING KHT'!$AC18</f>
        <v>222000</v>
      </c>
      <c r="U46" s="189"/>
      <c r="V46" s="189">
        <f>'[12]HARVESTING KHT'!$AH18</f>
        <v>300000</v>
      </c>
      <c r="W46" s="189">
        <f>'[6]HARVESTING KHT'!$AK28</f>
        <v>0</v>
      </c>
      <c r="X46" s="189">
        <f>'[12]HARVESTING KHT'!$Z18</f>
        <v>7500</v>
      </c>
      <c r="Y46" s="189"/>
      <c r="Z46" s="189"/>
      <c r="AA46" s="189"/>
      <c r="AB46" s="189">
        <f>-'[12]HARVESTING KHT'!$BI18</f>
        <v>0</v>
      </c>
      <c r="AC46" s="189"/>
      <c r="AD46" s="189"/>
      <c r="AE46" s="183">
        <f t="shared" si="8"/>
        <v>5235453</v>
      </c>
      <c r="AF46" s="184">
        <f t="shared" si="9"/>
        <v>0</v>
      </c>
      <c r="AG46" s="95">
        <f t="shared" si="7"/>
        <v>0</v>
      </c>
      <c r="AI46" s="199">
        <f>'[12]HARVESTING KHT'!$AL18</f>
        <v>5058977.2300000004</v>
      </c>
      <c r="AJ46" s="200">
        <f t="shared" si="0"/>
        <v>176476</v>
      </c>
      <c r="AK46" s="199">
        <f t="shared" si="4"/>
        <v>5235453.2300000004</v>
      </c>
      <c r="AL46" s="201">
        <f>AK46-AE46</f>
        <v>0.23000000044703484</v>
      </c>
    </row>
    <row r="47" spans="2:38" s="173" customFormat="1" ht="18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>
        <f>'[6]HARVESTING KHT'!$AK29</f>
        <v>0</v>
      </c>
      <c r="X47" s="189"/>
      <c r="Y47" s="189"/>
      <c r="Z47" s="189"/>
      <c r="AA47" s="189"/>
      <c r="AB47" s="189"/>
      <c r="AC47" s="189"/>
      <c r="AD47" s="189"/>
      <c r="AE47" s="183">
        <f t="shared" si="8"/>
        <v>0</v>
      </c>
      <c r="AF47" s="184">
        <f t="shared" si="9"/>
        <v>0</v>
      </c>
      <c r="AG47" s="95">
        <f t="shared" si="7"/>
        <v>0</v>
      </c>
      <c r="AI47" s="199"/>
      <c r="AJ47" s="200">
        <f t="shared" si="0"/>
        <v>0</v>
      </c>
      <c r="AK47" s="199">
        <f t="shared" si="4"/>
        <v>0</v>
      </c>
      <c r="AL47" s="201">
        <f t="shared" si="1"/>
        <v>0</v>
      </c>
    </row>
    <row r="48" spans="2:38" s="173" customFormat="1" ht="18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9"/>
        <v>0</v>
      </c>
      <c r="AG48" s="95">
        <f t="shared" si="7"/>
        <v>0</v>
      </c>
      <c r="AI48" s="199"/>
      <c r="AJ48" s="200">
        <f t="shared" si="0"/>
        <v>0</v>
      </c>
      <c r="AK48" s="199">
        <f t="shared" si="4"/>
        <v>0</v>
      </c>
      <c r="AL48" s="201">
        <f t="shared" si="1"/>
        <v>0</v>
      </c>
    </row>
    <row r="49" spans="2:38" s="173" customFormat="1" ht="18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9"/>
        <v>0</v>
      </c>
      <c r="AG49" s="95">
        <f t="shared" si="7"/>
        <v>0</v>
      </c>
      <c r="AI49" s="199"/>
      <c r="AJ49" s="200">
        <f t="shared" si="0"/>
        <v>0</v>
      </c>
      <c r="AK49" s="199">
        <f t="shared" si="4"/>
        <v>0</v>
      </c>
      <c r="AL49" s="201">
        <f t="shared" si="1"/>
        <v>0</v>
      </c>
    </row>
    <row r="50" spans="2:38" s="173" customFormat="1" ht="18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9"/>
        <v>0</v>
      </c>
      <c r="AG50" s="95">
        <f t="shared" si="7"/>
        <v>0</v>
      </c>
      <c r="AI50" s="199"/>
      <c r="AJ50" s="200">
        <f t="shared" si="0"/>
        <v>0</v>
      </c>
      <c r="AK50" s="199">
        <f t="shared" si="4"/>
        <v>0</v>
      </c>
      <c r="AL50" s="201">
        <f t="shared" si="1"/>
        <v>0</v>
      </c>
    </row>
    <row r="51" spans="2:38" s="173" customFormat="1" ht="18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9"/>
        <v>0</v>
      </c>
      <c r="AG51" s="95">
        <f t="shared" si="7"/>
        <v>0</v>
      </c>
      <c r="AI51" s="199"/>
      <c r="AJ51" s="200">
        <f t="shared" si="0"/>
        <v>0</v>
      </c>
      <c r="AK51" s="199">
        <f t="shared" si="4"/>
        <v>0</v>
      </c>
      <c r="AL51" s="201">
        <f t="shared" si="1"/>
        <v>0</v>
      </c>
    </row>
    <row r="52" spans="2:38" s="173" customFormat="1" ht="18" customHeight="1">
      <c r="B52" s="174">
        <v>33</v>
      </c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>
        <f>7*121333.33</f>
        <v>849333.31</v>
      </c>
      <c r="L52" s="169">
        <f t="shared" si="6"/>
        <v>30575.999999999996</v>
      </c>
      <c r="M52" s="189">
        <f>'[12]HARVESTING KHT'!$AQ19</f>
        <v>145800</v>
      </c>
      <c r="N52" s="189">
        <f>'[12]HARVESTING KHT'!$U19</f>
        <v>32400</v>
      </c>
      <c r="O52" s="189"/>
      <c r="P52" s="189"/>
      <c r="Q52" s="189"/>
      <c r="R52" s="189">
        <f>'[12]HARVESTING KHT'!$AA19</f>
        <v>0</v>
      </c>
      <c r="S52" s="189">
        <f>'[12]HARVESTING KHT'!$AB19</f>
        <v>11550</v>
      </c>
      <c r="T52" s="189">
        <f>'[12]HARVESTING KHT'!$AC19</f>
        <v>0</v>
      </c>
      <c r="U52" s="189"/>
      <c r="V52" s="189">
        <f>'[12]HARVESTING KHT'!$AH19</f>
        <v>0</v>
      </c>
      <c r="W52" s="189">
        <f>'[6]HARVESTING KHT'!$AK34</f>
        <v>0</v>
      </c>
      <c r="X52" s="189">
        <f>'[12]HARVESTING KHT'!$Z19</f>
        <v>5000</v>
      </c>
      <c r="Y52" s="189"/>
      <c r="Z52" s="189"/>
      <c r="AA52" s="189"/>
      <c r="AB52" s="189">
        <f>-'[12]HARVESTING KHT'!$BI19</f>
        <v>-121333.33</v>
      </c>
      <c r="AC52" s="189"/>
      <c r="AD52" s="189"/>
      <c r="AE52" s="183">
        <f t="shared" si="8"/>
        <v>953325</v>
      </c>
      <c r="AF52" s="184">
        <f t="shared" si="9"/>
        <v>0</v>
      </c>
      <c r="AG52" s="95">
        <f t="shared" si="7"/>
        <v>0</v>
      </c>
      <c r="AI52" s="199">
        <f>'[12]HARVESTING KHT'!$AL19</f>
        <v>776949.98</v>
      </c>
      <c r="AJ52" s="200">
        <f t="shared" si="0"/>
        <v>176376</v>
      </c>
      <c r="AK52" s="199">
        <f t="shared" si="4"/>
        <v>953325.98</v>
      </c>
      <c r="AL52" s="201">
        <f t="shared" si="1"/>
        <v>0.97999999998137355</v>
      </c>
    </row>
    <row r="53" spans="2:38" s="173" customFormat="1" ht="18" customHeight="1">
      <c r="B53" s="174">
        <v>34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>31*121333.33</f>
        <v>3761333.23</v>
      </c>
      <c r="L53" s="169">
        <f t="shared" si="6"/>
        <v>30575.999999999996</v>
      </c>
      <c r="M53" s="189">
        <f>'[12]HARVESTING KHT'!$AQ20</f>
        <v>145700</v>
      </c>
      <c r="N53" s="189">
        <f>'[12]HARVESTING KHT'!$U20</f>
        <v>167400</v>
      </c>
      <c r="O53" s="189"/>
      <c r="P53" s="189"/>
      <c r="Q53" s="189"/>
      <c r="R53" s="189">
        <f>'[12]HARVESTING KHT'!$AA20</f>
        <v>14090</v>
      </c>
      <c r="S53" s="189">
        <f>'[12]HARVESTING KHT'!$AB20</f>
        <v>127050</v>
      </c>
      <c r="T53" s="189">
        <f>'[12]HARVESTING KHT'!$AC20</f>
        <v>149000</v>
      </c>
      <c r="U53" s="189"/>
      <c r="V53" s="189">
        <f>'[12]HARVESTING KHT'!$AH20</f>
        <v>0</v>
      </c>
      <c r="W53" s="189">
        <f>'[6]HARVESTING KHT'!$AK35</f>
        <v>0</v>
      </c>
      <c r="X53" s="189">
        <f>'[12]HARVESTING KHT'!$Z20</f>
        <v>2500</v>
      </c>
      <c r="Y53" s="189"/>
      <c r="Z53" s="189"/>
      <c r="AA53" s="189"/>
      <c r="AB53" s="189">
        <f>-'[12]HARVESTING KHT'!$BI20</f>
        <v>0</v>
      </c>
      <c r="AC53" s="189"/>
      <c r="AD53" s="189"/>
      <c r="AE53" s="183">
        <f t="shared" si="8"/>
        <v>4397649</v>
      </c>
      <c r="AF53" s="184">
        <f t="shared" si="9"/>
        <v>0</v>
      </c>
      <c r="AG53" s="95">
        <f t="shared" si="7"/>
        <v>0</v>
      </c>
      <c r="AI53" s="199">
        <f>'[12]HARVESTING KHT'!$AL20</f>
        <v>4221373.2300000004</v>
      </c>
      <c r="AJ53" s="200">
        <f t="shared" si="0"/>
        <v>176276</v>
      </c>
      <c r="AK53" s="199">
        <f t="shared" si="4"/>
        <v>4397649.2300000004</v>
      </c>
      <c r="AL53" s="201">
        <f t="shared" si="1"/>
        <v>0.23000000044703484</v>
      </c>
    </row>
    <row r="54" spans="2:38" s="173" customFormat="1" ht="18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>
        <f>'[6]HARVESTING KHT'!$AK36</f>
        <v>0</v>
      </c>
      <c r="X54" s="189"/>
      <c r="Y54" s="189"/>
      <c r="Z54" s="189"/>
      <c r="AA54" s="189"/>
      <c r="AB54" s="189"/>
      <c r="AC54" s="189"/>
      <c r="AD54" s="189"/>
      <c r="AE54" s="183">
        <f t="shared" si="8"/>
        <v>0</v>
      </c>
      <c r="AF54" s="184">
        <f t="shared" si="9"/>
        <v>0</v>
      </c>
      <c r="AG54" s="95">
        <f t="shared" si="7"/>
        <v>0</v>
      </c>
      <c r="AI54" s="199"/>
      <c r="AJ54" s="200">
        <f t="shared" si="0"/>
        <v>0</v>
      </c>
      <c r="AK54" s="199">
        <f t="shared" si="4"/>
        <v>0</v>
      </c>
      <c r="AL54" s="201">
        <f t="shared" si="1"/>
        <v>0</v>
      </c>
    </row>
    <row r="55" spans="2:38" s="173" customFormat="1" ht="18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>
        <f>'[6]HARVESTING KHT'!$AK37</f>
        <v>0</v>
      </c>
      <c r="X55" s="189"/>
      <c r="Y55" s="189"/>
      <c r="Z55" s="189"/>
      <c r="AA55" s="189"/>
      <c r="AB55" s="189"/>
      <c r="AC55" s="189"/>
      <c r="AD55" s="189"/>
      <c r="AE55" s="183">
        <f t="shared" si="8"/>
        <v>0</v>
      </c>
      <c r="AF55" s="184">
        <f t="shared" si="9"/>
        <v>0</v>
      </c>
      <c r="AG55" s="95">
        <f t="shared" si="7"/>
        <v>0</v>
      </c>
      <c r="AI55" s="199"/>
      <c r="AJ55" s="200">
        <f t="shared" si="0"/>
        <v>0</v>
      </c>
      <c r="AK55" s="199">
        <f t="shared" si="4"/>
        <v>0</v>
      </c>
      <c r="AL55" s="201">
        <f t="shared" si="1"/>
        <v>0</v>
      </c>
    </row>
    <row r="56" spans="2:38" s="173" customFormat="1" ht="18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9"/>
        <v>0</v>
      </c>
      <c r="AG56" s="95">
        <f t="shared" si="7"/>
        <v>0</v>
      </c>
      <c r="AI56" s="199"/>
      <c r="AJ56" s="200">
        <f t="shared" si="0"/>
        <v>0</v>
      </c>
      <c r="AK56" s="199">
        <f t="shared" si="4"/>
        <v>0</v>
      </c>
      <c r="AL56" s="201">
        <f t="shared" si="1"/>
        <v>0</v>
      </c>
    </row>
    <row r="57" spans="2:38" s="173" customFormat="1" ht="18" customHeight="1">
      <c r="B57" s="174">
        <v>35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>31*121333.33</f>
        <v>3761333.23</v>
      </c>
      <c r="L57" s="169">
        <f t="shared" si="6"/>
        <v>30575.999999999996</v>
      </c>
      <c r="M57" s="189">
        <f>'[12]HARVESTING KHT'!$AQ21</f>
        <v>146100</v>
      </c>
      <c r="N57" s="189">
        <f>'[12]HARVESTING KHT'!$U21</f>
        <v>167400</v>
      </c>
      <c r="O57" s="189"/>
      <c r="P57" s="189"/>
      <c r="Q57" s="189"/>
      <c r="R57" s="189">
        <f>'[12]HARVESTING KHT'!$AA21</f>
        <v>0</v>
      </c>
      <c r="S57" s="189">
        <f>'[12]HARVESTING KHT'!$AB21</f>
        <v>136500</v>
      </c>
      <c r="T57" s="189">
        <f>'[12]HARVESTING KHT'!$AC21</f>
        <v>224000</v>
      </c>
      <c r="U57" s="189"/>
      <c r="V57" s="189">
        <f>'[12]HARVESTING KHT'!$AH21</f>
        <v>0</v>
      </c>
      <c r="W57" s="189">
        <f>'[6]HARVESTING KHT'!$AK39</f>
        <v>0</v>
      </c>
      <c r="X57" s="189">
        <f>'[12]HARVESTING KHT'!$Z21</f>
        <v>12500</v>
      </c>
      <c r="Y57" s="189"/>
      <c r="Z57" s="189"/>
      <c r="AA57" s="189"/>
      <c r="AB57" s="189">
        <f>-'[12]HARVESTING KHT'!$BI21</f>
        <v>0</v>
      </c>
      <c r="AC57" s="189"/>
      <c r="AD57" s="189"/>
      <c r="AE57" s="183">
        <f t="shared" si="8"/>
        <v>4478409</v>
      </c>
      <c r="AF57" s="184">
        <f t="shared" si="9"/>
        <v>0</v>
      </c>
      <c r="AG57" s="95">
        <f t="shared" si="7"/>
        <v>0</v>
      </c>
      <c r="AI57" s="199">
        <f>'[12]HARVESTING KHT'!$AL21</f>
        <v>4301733.2300000004</v>
      </c>
      <c r="AJ57" s="200">
        <f t="shared" si="0"/>
        <v>176676</v>
      </c>
      <c r="AK57" s="199">
        <f t="shared" si="4"/>
        <v>4478409.2300000004</v>
      </c>
      <c r="AL57" s="201">
        <f t="shared" si="1"/>
        <v>0.23000000044703484</v>
      </c>
    </row>
    <row r="58" spans="2:38" s="173" customFormat="1" ht="18" customHeight="1">
      <c r="B58" s="174">
        <v>36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>31*121333.33</f>
        <v>3761333.23</v>
      </c>
      <c r="L58" s="169">
        <f t="shared" si="6"/>
        <v>30575.999999999996</v>
      </c>
      <c r="M58" s="189">
        <f>'[12]HARVESTING KHT'!$AQ22</f>
        <v>145700</v>
      </c>
      <c r="N58" s="189">
        <f>'[12]HARVESTING KHT'!$U22</f>
        <v>111600</v>
      </c>
      <c r="O58" s="189"/>
      <c r="P58" s="189"/>
      <c r="Q58" s="189"/>
      <c r="R58" s="189">
        <f>'[12]HARVESTING KHT'!$AA22</f>
        <v>0</v>
      </c>
      <c r="S58" s="189">
        <f>'[12]HARVESTING KHT'!$AB22</f>
        <v>136500</v>
      </c>
      <c r="T58" s="189">
        <f>'[12]HARVESTING KHT'!$AC22</f>
        <v>227000</v>
      </c>
      <c r="U58" s="189"/>
      <c r="V58" s="189">
        <f>'[12]HARVESTING KHT'!$AH22</f>
        <v>0</v>
      </c>
      <c r="W58" s="189">
        <f>'[6]HARVESTING KHT'!$AK40</f>
        <v>0</v>
      </c>
      <c r="X58" s="189">
        <f>'[12]HARVESTING KHT'!$Z22</f>
        <v>2500</v>
      </c>
      <c r="Y58" s="189"/>
      <c r="Z58" s="189"/>
      <c r="AA58" s="189"/>
      <c r="AB58" s="189">
        <f>-'[12]HARVESTING KHT'!$BI22</f>
        <v>0</v>
      </c>
      <c r="AC58" s="189"/>
      <c r="AD58" s="189"/>
      <c r="AE58" s="183">
        <f t="shared" si="8"/>
        <v>4415209</v>
      </c>
      <c r="AF58" s="184">
        <f t="shared" si="9"/>
        <v>0</v>
      </c>
      <c r="AG58" s="95">
        <f t="shared" si="7"/>
        <v>0</v>
      </c>
      <c r="AI58" s="199">
        <f>'[12]HARVESTING KHT'!$AL22</f>
        <v>4238933.2300000004</v>
      </c>
      <c r="AJ58" s="200">
        <f t="shared" si="0"/>
        <v>176276</v>
      </c>
      <c r="AK58" s="199">
        <f t="shared" si="4"/>
        <v>4415209.2300000004</v>
      </c>
      <c r="AL58" s="201">
        <f t="shared" si="1"/>
        <v>0.23000000044703484</v>
      </c>
    </row>
    <row r="59" spans="2:38" s="173" customFormat="1" ht="18" customHeight="1">
      <c r="B59" s="174">
        <v>37</v>
      </c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>
        <f>7*121333.33</f>
        <v>849333.31</v>
      </c>
      <c r="L59" s="169">
        <f t="shared" si="6"/>
        <v>30575.999999999996</v>
      </c>
      <c r="M59" s="189">
        <f>'[12]HARVESTING KHT'!$AQ23</f>
        <v>145600</v>
      </c>
      <c r="N59" s="189">
        <f>'[12]HARVESTING KHT'!$U23</f>
        <v>37800</v>
      </c>
      <c r="O59" s="189"/>
      <c r="P59" s="189"/>
      <c r="Q59" s="189"/>
      <c r="R59" s="189">
        <f>'[12]HARVESTING KHT'!$AA23</f>
        <v>0</v>
      </c>
      <c r="S59" s="189">
        <f>'[12]HARVESTING KHT'!$AB23</f>
        <v>16800</v>
      </c>
      <c r="T59" s="189">
        <f>'[12]HARVESTING KHT'!$AC23</f>
        <v>0</v>
      </c>
      <c r="U59" s="189"/>
      <c r="V59" s="189">
        <f>'[12]HARVESTING KHT'!$AH23</f>
        <v>0</v>
      </c>
      <c r="W59" s="189">
        <f>'[6]HARVESTING KHT'!$AK41</f>
        <v>0</v>
      </c>
      <c r="X59" s="189">
        <f>'[12]HARVESTING KHT'!$Z23</f>
        <v>0</v>
      </c>
      <c r="Y59" s="189"/>
      <c r="Z59" s="189"/>
      <c r="AA59" s="189"/>
      <c r="AB59" s="189">
        <f>-'[12]HARVESTING KHT'!$BI23</f>
        <v>0</v>
      </c>
      <c r="AC59" s="189"/>
      <c r="AD59" s="189"/>
      <c r="AE59" s="183">
        <f t="shared" si="8"/>
        <v>1080109</v>
      </c>
      <c r="AF59" s="184">
        <f t="shared" si="9"/>
        <v>0</v>
      </c>
      <c r="AG59" s="95">
        <f t="shared" si="7"/>
        <v>0</v>
      </c>
      <c r="AI59" s="199">
        <f>'[12]HARVESTING KHT'!$AL23</f>
        <v>903933.30999999994</v>
      </c>
      <c r="AJ59" s="200">
        <f t="shared" si="0"/>
        <v>176176</v>
      </c>
      <c r="AK59" s="199">
        <f t="shared" si="4"/>
        <v>1080109.31</v>
      </c>
      <c r="AL59" s="201">
        <f t="shared" si="1"/>
        <v>0.31000000005587935</v>
      </c>
    </row>
    <row r="60" spans="2:38" s="173" customFormat="1" ht="18" customHeight="1">
      <c r="B60" s="174">
        <v>38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>31*121333.33</f>
        <v>3761333.23</v>
      </c>
      <c r="L60" s="169">
        <f t="shared" si="6"/>
        <v>30575.999999999996</v>
      </c>
      <c r="M60" s="189">
        <f>'[12]HARVESTING KHT'!$AQ24</f>
        <v>145600</v>
      </c>
      <c r="N60" s="189">
        <f>'[12]HARVESTING KHT'!$U24</f>
        <v>167400</v>
      </c>
      <c r="O60" s="189"/>
      <c r="P60" s="189">
        <f>'[12]HARVESTING KHT'!$AD24</f>
        <v>241965.29</v>
      </c>
      <c r="Q60" s="189"/>
      <c r="R60" s="189">
        <f>'[12]HARVESTING KHT'!$AA24</f>
        <v>222622</v>
      </c>
      <c r="S60" s="189">
        <f>'[12]HARVESTING KHT'!$AB24</f>
        <v>119700</v>
      </c>
      <c r="T60" s="189">
        <f>'[12]HARVESTING KHT'!$AC24</f>
        <v>145500</v>
      </c>
      <c r="U60" s="189"/>
      <c r="V60" s="189">
        <f>'[12]HARVESTING KHT'!$AH24</f>
        <v>150000</v>
      </c>
      <c r="W60" s="189">
        <f>'[6]HARVESTING KHT'!$AK42</f>
        <v>0</v>
      </c>
      <c r="X60" s="189">
        <f>'[12]HARVESTING KHT'!$Z24</f>
        <v>0</v>
      </c>
      <c r="Y60" s="189"/>
      <c r="Z60" s="189"/>
      <c r="AA60" s="189"/>
      <c r="AB60" s="189">
        <f>-'[12]HARVESTING KHT'!$BI24</f>
        <v>0</v>
      </c>
      <c r="AC60" s="189"/>
      <c r="AD60" s="189"/>
      <c r="AE60" s="183">
        <f t="shared" si="8"/>
        <v>4984696</v>
      </c>
      <c r="AF60" s="184">
        <f t="shared" si="9"/>
        <v>0</v>
      </c>
      <c r="AG60" s="95">
        <f t="shared" si="7"/>
        <v>0</v>
      </c>
      <c r="AI60" s="199">
        <f>'[12]HARVESTING KHT'!$AL24</f>
        <v>4808520.5200000005</v>
      </c>
      <c r="AJ60" s="200">
        <f t="shared" si="0"/>
        <v>176176</v>
      </c>
      <c r="AK60" s="199">
        <f t="shared" si="4"/>
        <v>4984696.5200000005</v>
      </c>
      <c r="AL60" s="201">
        <f t="shared" si="1"/>
        <v>0.52000000048428774</v>
      </c>
    </row>
    <row r="61" spans="2:38" s="173" customFormat="1" ht="18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>
        <f>'[6]HARVESTING KHT'!$AK43</f>
        <v>0</v>
      </c>
      <c r="X61" s="189"/>
      <c r="Y61" s="189"/>
      <c r="Z61" s="189"/>
      <c r="AA61" s="189"/>
      <c r="AB61" s="189"/>
      <c r="AC61" s="189"/>
      <c r="AD61" s="189"/>
      <c r="AE61" s="183">
        <f t="shared" si="8"/>
        <v>0</v>
      </c>
      <c r="AF61" s="184">
        <f t="shared" si="9"/>
        <v>0</v>
      </c>
      <c r="AG61" s="95">
        <f t="shared" si="7"/>
        <v>0</v>
      </c>
      <c r="AI61" s="199"/>
      <c r="AJ61" s="200">
        <f t="shared" si="0"/>
        <v>0</v>
      </c>
      <c r="AK61" s="199">
        <f t="shared" si="4"/>
        <v>0</v>
      </c>
      <c r="AL61" s="201">
        <f t="shared" si="1"/>
        <v>0</v>
      </c>
    </row>
    <row r="62" spans="2:38" s="173" customFormat="1" ht="18" customHeight="1">
      <c r="B62" s="174">
        <v>39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>31*121333.33</f>
        <v>3761333.23</v>
      </c>
      <c r="L62" s="169">
        <f t="shared" si="6"/>
        <v>30575.999999999996</v>
      </c>
      <c r="M62" s="189">
        <f>'[12]HARVESTING KHT'!$AQ25</f>
        <v>145900</v>
      </c>
      <c r="N62" s="189">
        <f>'[12]HARVESTING KHT'!$U25</f>
        <v>167400</v>
      </c>
      <c r="O62" s="189"/>
      <c r="P62" s="189"/>
      <c r="Q62" s="189"/>
      <c r="R62" s="189">
        <f>'[12]HARVESTING KHT'!$AA25</f>
        <v>356477</v>
      </c>
      <c r="S62" s="189">
        <f>'[12]HARVESTING KHT'!$AB25</f>
        <v>181650</v>
      </c>
      <c r="T62" s="189">
        <f>'[12]HARVESTING KHT'!$AC25</f>
        <v>147500</v>
      </c>
      <c r="U62" s="189"/>
      <c r="V62" s="189">
        <f>'[12]HARVESTING KHT'!$AH25</f>
        <v>150000</v>
      </c>
      <c r="W62" s="189">
        <f>'[6]HARVESTING KHT'!$AK44</f>
        <v>0</v>
      </c>
      <c r="X62" s="189">
        <f>'[12]HARVESTING KHT'!$Z25</f>
        <v>7500</v>
      </c>
      <c r="Y62" s="189"/>
      <c r="Z62" s="189"/>
      <c r="AA62" s="189"/>
      <c r="AB62" s="189">
        <f>-'[12]HARVESTING KHT'!$BI25</f>
        <v>0</v>
      </c>
      <c r="AC62" s="189"/>
      <c r="AD62" s="189"/>
      <c r="AE62" s="183">
        <f t="shared" si="8"/>
        <v>4948336</v>
      </c>
      <c r="AF62" s="184">
        <f t="shared" si="9"/>
        <v>0</v>
      </c>
      <c r="AG62" s="95">
        <f t="shared" si="7"/>
        <v>0</v>
      </c>
      <c r="AI62" s="199">
        <f>'[12]HARVESTING KHT'!$AL25</f>
        <v>4771860.2300000004</v>
      </c>
      <c r="AJ62" s="200">
        <f t="shared" si="0"/>
        <v>176476</v>
      </c>
      <c r="AK62" s="199">
        <f t="shared" si="4"/>
        <v>4948336.2300000004</v>
      </c>
      <c r="AL62" s="201">
        <f t="shared" si="1"/>
        <v>0.23000000044703484</v>
      </c>
    </row>
    <row r="63" spans="2:38" s="173" customFormat="1" ht="18" customHeight="1">
      <c r="B63" s="174">
        <v>40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>31*121333.33</f>
        <v>3761333.23</v>
      </c>
      <c r="L63" s="169">
        <f t="shared" si="6"/>
        <v>30575.999999999996</v>
      </c>
      <c r="M63" s="189">
        <f>[12]TRANSPORT!$AH11</f>
        <v>146920</v>
      </c>
      <c r="N63" s="189">
        <f>[12]TRANSPORT!$S11</f>
        <v>139500</v>
      </c>
      <c r="O63" s="189">
        <f>[12]TRANSPORT!$V11</f>
        <v>78000</v>
      </c>
      <c r="P63" s="189">
        <f>[12]TRANSPORT!$Y11</f>
        <v>1094103.92</v>
      </c>
      <c r="Q63" s="189">
        <f>[12]TRANSPORT!$Z11</f>
        <v>790195</v>
      </c>
      <c r="R63" s="189"/>
      <c r="S63" s="189"/>
      <c r="T63" s="189"/>
      <c r="U63" s="189"/>
      <c r="V63" s="189"/>
      <c r="W63" s="189"/>
      <c r="X63" s="189">
        <f>[12]TRANSPORT!$X11</f>
        <v>33000</v>
      </c>
      <c r="Y63" s="189"/>
      <c r="Z63" s="189"/>
      <c r="AA63" s="189"/>
      <c r="AB63" s="189">
        <f>-[12]TRANSPORT!$AX11</f>
        <v>0</v>
      </c>
      <c r="AC63" s="189"/>
      <c r="AD63" s="189"/>
      <c r="AE63" s="183">
        <f t="shared" si="8"/>
        <v>6073628</v>
      </c>
      <c r="AF63" s="184">
        <f t="shared" si="9"/>
        <v>0</v>
      </c>
      <c r="AG63" s="95">
        <f t="shared" si="7"/>
        <v>0</v>
      </c>
      <c r="AI63" s="199">
        <f>[12]TRANSPORT!$AC11</f>
        <v>5896132.1500000004</v>
      </c>
      <c r="AJ63" s="200">
        <f t="shared" si="0"/>
        <v>177496</v>
      </c>
      <c r="AK63" s="199">
        <f t="shared" si="4"/>
        <v>6073628.1500000004</v>
      </c>
      <c r="AL63" s="201">
        <f t="shared" si="1"/>
        <v>0.15000000037252903</v>
      </c>
    </row>
    <row r="64" spans="2:38" s="173" customFormat="1" ht="18" customHeight="1">
      <c r="B64" s="174">
        <v>41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>31*121333.33</f>
        <v>3761333.23</v>
      </c>
      <c r="L64" s="169">
        <f t="shared" si="6"/>
        <v>30575.999999999996</v>
      </c>
      <c r="M64" s="189">
        <f>[12]TRANSPORT!$AH12</f>
        <v>147480</v>
      </c>
      <c r="N64" s="189">
        <f>[12]TRANSPORT!$S12</f>
        <v>167400</v>
      </c>
      <c r="O64" s="189">
        <f>[12]TRANSPORT!$V12</f>
        <v>52000</v>
      </c>
      <c r="P64" s="189">
        <f>[12]TRANSPORT!$Y12</f>
        <v>988901.62</v>
      </c>
      <c r="Q64" s="189">
        <f>[12]TRANSPORT!$Z12</f>
        <v>776590</v>
      </c>
      <c r="R64" s="189"/>
      <c r="S64" s="189"/>
      <c r="T64" s="189"/>
      <c r="U64" s="189"/>
      <c r="V64" s="189"/>
      <c r="W64" s="189"/>
      <c r="X64" s="189">
        <f>[12]TRANSPORT!$X12</f>
        <v>47000</v>
      </c>
      <c r="Y64" s="189"/>
      <c r="Z64" s="189"/>
      <c r="AA64" s="189"/>
      <c r="AB64" s="189">
        <f>-[12]TRANSPORT!$AX12</f>
        <v>0</v>
      </c>
      <c r="AC64" s="189"/>
      <c r="AD64" s="189"/>
      <c r="AE64" s="183">
        <f t="shared" si="8"/>
        <v>5971280</v>
      </c>
      <c r="AF64" s="184">
        <f t="shared" si="9"/>
        <v>0</v>
      </c>
      <c r="AG64" s="95">
        <f t="shared" si="7"/>
        <v>0</v>
      </c>
      <c r="AI64" s="199">
        <f>[12]TRANSPORT!$AC12</f>
        <v>5793224.8499999996</v>
      </c>
      <c r="AJ64" s="200">
        <f t="shared" si="0"/>
        <v>178056</v>
      </c>
      <c r="AK64" s="199">
        <f t="shared" si="4"/>
        <v>5971280.8499999996</v>
      </c>
      <c r="AL64" s="201">
        <f t="shared" si="1"/>
        <v>0.84999999962747097</v>
      </c>
    </row>
    <row r="65" spans="2:55" s="173" customFormat="1" ht="18" customHeight="1">
      <c r="B65" s="174">
        <v>42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>31*121333.33</f>
        <v>3761333.23</v>
      </c>
      <c r="L65" s="169">
        <f t="shared" si="6"/>
        <v>30575.999999999996</v>
      </c>
      <c r="M65" s="189">
        <f>[12]TRANSPORT!$AH13</f>
        <v>148040</v>
      </c>
      <c r="N65" s="189">
        <f>[12]TRANSPORT!$S13</f>
        <v>130500</v>
      </c>
      <c r="O65" s="189">
        <f>[12]TRANSPORT!$V13</f>
        <v>75000</v>
      </c>
      <c r="P65" s="189">
        <f>[12]TRANSPORT!$Y13</f>
        <v>1230866.9099999999</v>
      </c>
      <c r="Q65" s="189">
        <f>[12]TRANSPORT!$Z13</f>
        <v>319385</v>
      </c>
      <c r="R65" s="189"/>
      <c r="S65" s="189"/>
      <c r="T65" s="189"/>
      <c r="U65" s="189"/>
      <c r="V65" s="189"/>
      <c r="W65" s="189"/>
      <c r="X65" s="189">
        <f>[12]TRANSPORT!$X13</f>
        <v>61000</v>
      </c>
      <c r="Y65" s="189"/>
      <c r="Z65" s="189"/>
      <c r="AA65" s="189"/>
      <c r="AB65" s="189">
        <f>-[12]TRANSPORT!$AX13</f>
        <v>-242666.66</v>
      </c>
      <c r="AC65" s="189"/>
      <c r="AD65" s="189"/>
      <c r="AE65" s="183">
        <f t="shared" si="8"/>
        <v>5514034</v>
      </c>
      <c r="AF65" s="184">
        <f t="shared" si="9"/>
        <v>0</v>
      </c>
      <c r="AG65" s="95">
        <f t="shared" si="7"/>
        <v>0</v>
      </c>
      <c r="AI65" s="199">
        <f>[12]TRANSPORT!$AC13</f>
        <v>5335418.4799999995</v>
      </c>
      <c r="AJ65" s="200">
        <f t="shared" si="0"/>
        <v>178616</v>
      </c>
      <c r="AK65" s="199">
        <f t="shared" si="4"/>
        <v>5514034.4799999995</v>
      </c>
      <c r="AL65" s="201">
        <f t="shared" si="1"/>
        <v>0.47999999951571226</v>
      </c>
    </row>
    <row r="66" spans="2:55" s="173" customFormat="1" ht="18" customHeight="1" thickBot="1">
      <c r="B66" s="174">
        <v>43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>31*121333.33</f>
        <v>3761333.23</v>
      </c>
      <c r="L66" s="169">
        <f t="shared" si="6"/>
        <v>30575.999999999996</v>
      </c>
      <c r="M66" s="189">
        <f>[12]TRANSPORT!$AH14</f>
        <v>146680</v>
      </c>
      <c r="N66" s="189">
        <f>[12]TRANSPORT!$S14</f>
        <v>167400</v>
      </c>
      <c r="O66" s="189">
        <f>[12]TRANSPORT!$V14</f>
        <v>54000</v>
      </c>
      <c r="P66" s="189">
        <f>[12]TRANSPORT!$Y14</f>
        <v>1367629.9</v>
      </c>
      <c r="Q66" s="189">
        <f>[12]TRANSPORT!$Z14</f>
        <v>336000</v>
      </c>
      <c r="R66" s="189"/>
      <c r="S66" s="189"/>
      <c r="T66" s="189"/>
      <c r="U66" s="189"/>
      <c r="V66" s="189"/>
      <c r="W66" s="189"/>
      <c r="X66" s="189">
        <f>[12]TRANSPORT!$X14</f>
        <v>27000</v>
      </c>
      <c r="Y66" s="189"/>
      <c r="Z66" s="189"/>
      <c r="AA66" s="189"/>
      <c r="AB66" s="189">
        <f>-[12]TRANSPORT!$AX14</f>
        <v>0</v>
      </c>
      <c r="AC66" s="189"/>
      <c r="AD66" s="189"/>
      <c r="AE66" s="183">
        <f>ROUNDDOWN(SUM(K66:AD66),0)</f>
        <v>5890619</v>
      </c>
      <c r="AF66" s="184">
        <f t="shared" si="9"/>
        <v>0</v>
      </c>
      <c r="AG66" s="95">
        <f t="shared" si="7"/>
        <v>0</v>
      </c>
      <c r="AI66" s="199">
        <f>[12]TRANSPORT!$AC14</f>
        <v>5713363.1299999999</v>
      </c>
      <c r="AJ66" s="200">
        <f t="shared" si="0"/>
        <v>177256</v>
      </c>
      <c r="AK66" s="199">
        <f t="shared" si="4"/>
        <v>5890619.1299999999</v>
      </c>
      <c r="AL66" s="201">
        <f t="shared" si="1"/>
        <v>0.12999999988824129</v>
      </c>
    </row>
    <row r="67" spans="2:55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G67" si="10">SUM(K6:K66)</f>
        <v>146358995.98000002</v>
      </c>
      <c r="L67" s="196">
        <f t="shared" si="10"/>
        <v>1284443.9999999998</v>
      </c>
      <c r="M67" s="196">
        <f>SUM(M6:M66)</f>
        <v>6167300</v>
      </c>
      <c r="N67" s="196">
        <f t="shared" si="10"/>
        <v>4208850</v>
      </c>
      <c r="O67" s="196">
        <f t="shared" si="10"/>
        <v>438000</v>
      </c>
      <c r="P67" s="196">
        <f t="shared" si="10"/>
        <v>8780114.709999999</v>
      </c>
      <c r="Q67" s="196">
        <f t="shared" si="10"/>
        <v>2222170</v>
      </c>
      <c r="R67" s="196">
        <f t="shared" si="10"/>
        <v>1796475</v>
      </c>
      <c r="S67" s="196">
        <f t="shared" si="10"/>
        <v>1640100</v>
      </c>
      <c r="T67" s="196">
        <f t="shared" si="10"/>
        <v>1930500</v>
      </c>
      <c r="U67" s="196">
        <f t="shared" si="10"/>
        <v>0</v>
      </c>
      <c r="V67" s="196">
        <f t="shared" si="10"/>
        <v>1200000</v>
      </c>
      <c r="W67" s="196">
        <f t="shared" si="10"/>
        <v>0</v>
      </c>
      <c r="X67" s="196">
        <f t="shared" si="10"/>
        <v>1272500</v>
      </c>
      <c r="Y67" s="196">
        <f t="shared" si="10"/>
        <v>0</v>
      </c>
      <c r="Z67" s="196">
        <f t="shared" si="10"/>
        <v>0</v>
      </c>
      <c r="AA67" s="196">
        <f t="shared" si="10"/>
        <v>0</v>
      </c>
      <c r="AB67" s="196">
        <f t="shared" si="10"/>
        <v>-2790666.5900000003</v>
      </c>
      <c r="AC67" s="196">
        <f t="shared" si="10"/>
        <v>0</v>
      </c>
      <c r="AD67" s="196">
        <f t="shared" si="10"/>
        <v>0</v>
      </c>
      <c r="AE67" s="196">
        <f t="shared" si="10"/>
        <v>174508764</v>
      </c>
      <c r="AF67" s="196">
        <f t="shared" si="10"/>
        <v>2.5000000000000001E-3</v>
      </c>
      <c r="AG67" s="196">
        <f t="shared" si="10"/>
        <v>13982</v>
      </c>
      <c r="AI67" s="202">
        <f>SUM(AI6:AI66)</f>
        <v>167057039.10000002</v>
      </c>
      <c r="AJ67" s="202">
        <f>SUM(AJ6:AJ66)</f>
        <v>7451744</v>
      </c>
      <c r="AK67" s="202">
        <f>SUM(AK6:AK66)</f>
        <v>174508783.10000002</v>
      </c>
      <c r="AL67" s="202">
        <f>SUM(AL6:AL66)</f>
        <v>19.100000004284084</v>
      </c>
    </row>
    <row r="68" spans="2:55" ht="9.75" customHeight="1">
      <c r="AK68" s="217"/>
    </row>
    <row r="69" spans="2:55" ht="13.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55" ht="13.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55" ht="13.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55" ht="13.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55" s="33" customFormat="1" ht="13.5" hidden="1" customHeight="1">
      <c r="B73" s="27" t="s">
        <v>57</v>
      </c>
      <c r="C73" s="28"/>
      <c r="D73" s="247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2:55" s="33" customFormat="1" ht="13.5" hidden="1" customHeight="1">
      <c r="B74" s="27" t="s">
        <v>50</v>
      </c>
      <c r="C74" s="28"/>
      <c r="D74" s="247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2:55" s="33" customFormat="1" ht="13.5" hidden="1" customHeight="1">
      <c r="B75" s="27" t="s">
        <v>51</v>
      </c>
      <c r="C75" s="28"/>
      <c r="D75" s="247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2:55" s="33" customFormat="1" ht="13.5" hidden="1" customHeight="1">
      <c r="B76" s="27" t="s">
        <v>52</v>
      </c>
      <c r="C76" s="28"/>
      <c r="D76" s="247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2:55" s="33" customFormat="1" ht="13.5" hidden="1" customHeight="1">
      <c r="B77" s="27" t="s">
        <v>58</v>
      </c>
      <c r="C77" s="28"/>
      <c r="D77" s="247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2:55" s="33" customFormat="1" ht="13.5" hidden="1" customHeight="1">
      <c r="B78" s="27" t="s">
        <v>59</v>
      </c>
      <c r="C78" s="28"/>
      <c r="D78" s="247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2:55" s="33" customFormat="1" ht="13.5" hidden="1" customHeight="1">
      <c r="B79" s="27" t="s">
        <v>65</v>
      </c>
      <c r="C79" s="28"/>
      <c r="D79" s="247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2:55" s="33" customFormat="1" ht="11.25" customHeight="1">
      <c r="B80" s="27"/>
      <c r="C80" s="28"/>
      <c r="D80" s="247"/>
      <c r="E80" s="30"/>
      <c r="F80" s="28"/>
      <c r="G80" s="31"/>
      <c r="H80" s="32"/>
      <c r="I80" s="32"/>
      <c r="J80" s="32"/>
      <c r="K80" s="247" t="s">
        <v>324</v>
      </c>
      <c r="L80" s="28"/>
      <c r="M80" s="62"/>
      <c r="N80" s="62"/>
      <c r="O80" s="62"/>
      <c r="P80" s="62"/>
      <c r="Q80" s="62"/>
      <c r="R80" s="62"/>
      <c r="S80" s="62"/>
      <c r="T80" s="28" t="s">
        <v>341</v>
      </c>
      <c r="U80" s="28"/>
      <c r="V80" s="28"/>
      <c r="W80" s="28"/>
      <c r="X80" s="28"/>
      <c r="Y80" s="28"/>
      <c r="Z80" s="28"/>
      <c r="AA80" s="28"/>
      <c r="AB80" s="457" t="s">
        <v>321</v>
      </c>
      <c r="AC80" s="457"/>
      <c r="AD80" s="457"/>
      <c r="AE80" s="457"/>
      <c r="AF80" s="90"/>
      <c r="AG80" s="90"/>
      <c r="AH80" s="60"/>
      <c r="AI80" s="60"/>
      <c r="AJ80" s="60"/>
      <c r="AK80" s="216">
        <f>AC67+AK67</f>
        <v>174508783.10000002</v>
      </c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1:38" ht="11.25" customHeight="1">
      <c r="AL81" s="216"/>
    </row>
    <row r="82" spans="11:38" ht="11.25" customHeight="1">
      <c r="AK82" s="216">
        <f>AK67-AL83</f>
        <v>174508764</v>
      </c>
      <c r="AL82" s="216"/>
    </row>
    <row r="83" spans="11:38" ht="11.25" customHeight="1">
      <c r="K83" s="248" t="s">
        <v>325</v>
      </c>
      <c r="T83" s="256" t="s">
        <v>342</v>
      </c>
      <c r="U83" s="256"/>
      <c r="AB83" s="458" t="s">
        <v>322</v>
      </c>
      <c r="AC83" s="458"/>
      <c r="AD83" s="458"/>
      <c r="AE83" s="458"/>
      <c r="AL83" s="216">
        <f>AK80-AE67</f>
        <v>19.100000023841858</v>
      </c>
    </row>
    <row r="84" spans="11:38">
      <c r="K84" s="247" t="s">
        <v>326</v>
      </c>
      <c r="T84" s="28" t="s">
        <v>343</v>
      </c>
      <c r="AB84" s="457" t="s">
        <v>323</v>
      </c>
      <c r="AC84" s="457"/>
      <c r="AD84" s="457"/>
      <c r="AE84" s="457"/>
    </row>
  </sheetData>
  <mergeCells count="3">
    <mergeCell ref="AB80:AE80"/>
    <mergeCell ref="AB83:AE83"/>
    <mergeCell ref="AB84:AE84"/>
  </mergeCells>
  <dataValidations count="2">
    <dataValidation type="list" allowBlank="1" showInputMessage="1" showErrorMessage="1" sqref="H6:H66">
      <formula1>"L,P"</formula1>
    </dataValidation>
    <dataValidation type="list" allowBlank="1" showInputMessage="1" showErrorMessage="1" sqref="I6:I66">
      <formula1>"TK/0,TK/1,TK/2,TK/3,K/0,K/1,K/2,K/3"</formula1>
    </dataValidation>
  </dataValidations>
  <pageMargins left="0" right="0.59055118110236227" top="0" bottom="0.39370078740157483" header="0.31496062992125984" footer="0.31496062992125984"/>
  <pageSetup paperSize="9" scale="4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84"/>
  <sheetViews>
    <sheetView topLeftCell="A16" zoomScaleNormal="100" zoomScaleSheetLayoutView="100" workbookViewId="0">
      <pane xSplit="3" topLeftCell="M1" activePane="topRight" state="frozen"/>
      <selection pane="topRight" activeCell="R27" sqref="R27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62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20" width="11.42578125" style="28" customWidth="1"/>
    <col min="21" max="21" width="9.85546875" style="28" hidden="1" customWidth="1"/>
    <col min="22" max="22" width="11" style="28" customWidth="1"/>
    <col min="23" max="23" width="9.7109375" style="28" hidden="1" customWidth="1"/>
    <col min="24" max="24" width="11.5703125" style="28" customWidth="1"/>
    <col min="25" max="25" width="9" style="28" hidden="1" customWidth="1"/>
    <col min="26" max="27" width="12.7109375" style="28" hidden="1" customWidth="1"/>
    <col min="28" max="28" width="11.85546875" style="28" customWidth="1"/>
    <col min="29" max="29" width="11.7109375" style="28" hidden="1" customWidth="1"/>
    <col min="30" max="30" width="10.85546875" style="28" hidden="1" customWidth="1"/>
    <col min="31" max="31" width="13.7109375" style="28" customWidth="1" collapsed="1"/>
    <col min="32" max="32" width="9.140625" style="90" customWidth="1"/>
    <col min="33" max="33" width="10.1406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346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62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59" t="s">
        <v>64</v>
      </c>
      <c r="C5" s="259" t="s">
        <v>25</v>
      </c>
      <c r="D5" s="260" t="s">
        <v>26</v>
      </c>
      <c r="E5" s="261" t="s">
        <v>27</v>
      </c>
      <c r="F5" s="259" t="s">
        <v>28</v>
      </c>
      <c r="G5" s="258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57" t="s">
        <v>68</v>
      </c>
      <c r="M5" s="257" t="s">
        <v>69</v>
      </c>
      <c r="N5" s="257" t="s">
        <v>80</v>
      </c>
      <c r="O5" s="257" t="s">
        <v>81</v>
      </c>
      <c r="P5" s="257" t="s">
        <v>84</v>
      </c>
      <c r="Q5" s="145" t="s">
        <v>319</v>
      </c>
      <c r="R5" s="257" t="s">
        <v>309</v>
      </c>
      <c r="S5" s="257" t="s">
        <v>310</v>
      </c>
      <c r="T5" s="257" t="s">
        <v>320</v>
      </c>
      <c r="U5" s="257" t="s">
        <v>315</v>
      </c>
      <c r="V5" s="257" t="s">
        <v>311</v>
      </c>
      <c r="W5" s="257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18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31*122333.33</f>
        <v>3792333.23</v>
      </c>
      <c r="L6" s="168">
        <f>3670000*0.84%</f>
        <v>30827.999999999996</v>
      </c>
      <c r="M6" s="168">
        <f>[13]MAINTENANCE!$AK10</f>
        <v>148680</v>
      </c>
      <c r="N6" s="168">
        <f>[13]MAINTENANCE!$W10</f>
        <v>167400</v>
      </c>
      <c r="O6" s="168">
        <f>[13]MAINTENANCE!$Z10</f>
        <v>78000</v>
      </c>
      <c r="P6" s="168">
        <f>[13]MAINTENANCE!$AE10</f>
        <v>954624.31</v>
      </c>
      <c r="Q6" s="169"/>
      <c r="R6" s="168"/>
      <c r="S6" s="168"/>
      <c r="T6" s="168"/>
      <c r="U6" s="168"/>
      <c r="V6" s="168"/>
      <c r="W6" s="168"/>
      <c r="X6" s="168">
        <f>[13]MAINTENANCE!$AB10</f>
        <v>47000</v>
      </c>
      <c r="Y6" s="169"/>
      <c r="Z6" s="169"/>
      <c r="AA6" s="169"/>
      <c r="AB6" s="168">
        <f>-[13]MAINTENANCE!$BA10</f>
        <v>0</v>
      </c>
      <c r="AC6" s="168"/>
      <c r="AD6" s="168"/>
      <c r="AE6" s="170">
        <f>ROUNDDOWN(SUM(K6:AD6),0)</f>
        <v>5218865</v>
      </c>
      <c r="AF6" s="171">
        <f>IF(J6="TER A",VLOOKUP(AE6,Ter_A,4,TRUE),IF(J6="TER B",VLOOKUP(AE6,Ter_B,4,TRUE),VLOOKUP(AE6,Ter_C,4,TRUE)))</f>
        <v>0</v>
      </c>
      <c r="AG6" s="94">
        <f>ROUNDDOWN(IF(E6=0,AE6*AF6*120%,AE6*AF6),0)</f>
        <v>0</v>
      </c>
      <c r="AI6" s="199">
        <f>[13]MAINTENANCE!$AF10</f>
        <v>5039357.54</v>
      </c>
      <c r="AJ6" s="200">
        <f t="shared" ref="AJ6:AJ66" si="0">L6+M6</f>
        <v>179508</v>
      </c>
      <c r="AK6" s="199">
        <f>AI6+AJ6+AD6</f>
        <v>5218865.54</v>
      </c>
      <c r="AL6" s="201">
        <f t="shared" ref="AL6:AL66" si="1">AK6-AE6</f>
        <v>0.5400000000372529</v>
      </c>
    </row>
    <row r="7" spans="2:40" s="173" customFormat="1" ht="18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66" si="2">IF(ISBLANK(I7),"",IF(OR(I7="TK/0",I7="TK/1",I7="K/0"),"TER A",IF(I7="K/3","TER C","TER B")))</f>
        <v>TER A</v>
      </c>
      <c r="K7" s="182">
        <f>31*121333.33</f>
        <v>3761333.23</v>
      </c>
      <c r="L7" s="169">
        <f>3640000*0.84%</f>
        <v>30575.999999999996</v>
      </c>
      <c r="M7" s="189">
        <f>[13]MAINTENANCE!$AK11</f>
        <v>146800</v>
      </c>
      <c r="N7" s="189">
        <f>[13]MAINTENANCE!$W11</f>
        <v>69750</v>
      </c>
      <c r="O7" s="189"/>
      <c r="P7" s="189"/>
      <c r="Q7" s="169"/>
      <c r="R7" s="169"/>
      <c r="S7" s="169"/>
      <c r="T7" s="169"/>
      <c r="U7" s="169"/>
      <c r="V7" s="169"/>
      <c r="W7" s="169"/>
      <c r="X7" s="189">
        <f>[13]MAINTENANCE!$AB11</f>
        <v>30000</v>
      </c>
      <c r="Y7" s="169"/>
      <c r="Z7" s="169"/>
      <c r="AA7" s="169"/>
      <c r="AB7" s="189">
        <f>-[13]MAINTENANCE!$BA11</f>
        <v>0</v>
      </c>
      <c r="AC7" s="189"/>
      <c r="AD7" s="189"/>
      <c r="AE7" s="183">
        <f>ROUNDDOWN(SUM(K7:AD7),0)</f>
        <v>4038459</v>
      </c>
      <c r="AF7" s="184">
        <f t="shared" ref="AF7:AF37" si="3">IF(J7="TER A",VLOOKUP(AE7,Ter_A,4,TRUE),IF(J7="TER B",VLOOKUP(AE7,Ter_B,4,TRUE),VLOOKUP(AE7,Ter_C,4,TRUE)))</f>
        <v>0</v>
      </c>
      <c r="AG7" s="95">
        <f>ROUNDDOWN(IF(E7=0,AE7*AF7*120%,AE7*AF7),0)</f>
        <v>0</v>
      </c>
      <c r="AI7" s="199">
        <f>[13]MAINTENANCE!$AF11</f>
        <v>3861083.23</v>
      </c>
      <c r="AJ7" s="200">
        <f t="shared" si="0"/>
        <v>177376</v>
      </c>
      <c r="AK7" s="199">
        <f t="shared" ref="AK7:AK66" si="4">AI7+AJ7+AD7</f>
        <v>4038459.23</v>
      </c>
      <c r="AL7" s="201">
        <f t="shared" si="1"/>
        <v>0.22999999998137355</v>
      </c>
    </row>
    <row r="8" spans="2:40" s="173" customFormat="1" ht="18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27" si="5">31*121333.33</f>
        <v>3761333.23</v>
      </c>
      <c r="L8" s="169">
        <f t="shared" ref="L8:L66" si="6">3640000*0.84%</f>
        <v>30575.999999999996</v>
      </c>
      <c r="M8" s="189">
        <f>[13]MAINTENANCE!$AK12</f>
        <v>146920</v>
      </c>
      <c r="N8" s="189">
        <f>[13]MAINTENANCE!$W12</f>
        <v>67500</v>
      </c>
      <c r="O8" s="189"/>
      <c r="P8" s="189"/>
      <c r="Q8" s="169"/>
      <c r="R8" s="169"/>
      <c r="S8" s="169"/>
      <c r="T8" s="169"/>
      <c r="U8" s="169"/>
      <c r="V8" s="169"/>
      <c r="W8" s="169"/>
      <c r="X8" s="189">
        <f>[13]MAINTENANCE!$AB12</f>
        <v>33000</v>
      </c>
      <c r="Y8" s="169"/>
      <c r="Z8" s="169"/>
      <c r="AA8" s="169"/>
      <c r="AB8" s="189">
        <f>-[13]MAINTENANCE!$BA12</f>
        <v>-121333.33</v>
      </c>
      <c r="AC8" s="189"/>
      <c r="AD8" s="189"/>
      <c r="AE8" s="183">
        <f>ROUNDDOWN(SUM(K8:AD8),0)</f>
        <v>3917995</v>
      </c>
      <c r="AF8" s="184">
        <f t="shared" si="3"/>
        <v>0</v>
      </c>
      <c r="AG8" s="95">
        <f t="shared" ref="AG8:AG66" si="7">ROUNDDOWN(IF(E8=0,AE8*AF8*120%,AE8*AF8),0)</f>
        <v>0</v>
      </c>
      <c r="AI8" s="199">
        <f>[13]MAINTENANCE!$AF12</f>
        <v>3740499.9000000004</v>
      </c>
      <c r="AJ8" s="200">
        <f t="shared" si="0"/>
        <v>177496</v>
      </c>
      <c r="AK8" s="199">
        <f t="shared" si="4"/>
        <v>3917995.9000000004</v>
      </c>
      <c r="AL8" s="201">
        <f t="shared" si="1"/>
        <v>0.90000000037252903</v>
      </c>
      <c r="AN8" s="200">
        <f>AB8+AL8</f>
        <v>-121332.42999999963</v>
      </c>
    </row>
    <row r="9" spans="2:40" s="173" customFormat="1" ht="18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5"/>
        <v>3761333.23</v>
      </c>
      <c r="L9" s="169">
        <f t="shared" si="6"/>
        <v>30575.999999999996</v>
      </c>
      <c r="M9" s="189">
        <f>[13]MAINTENANCE!$AK13</f>
        <v>147480</v>
      </c>
      <c r="N9" s="189">
        <f>[13]MAINTENANCE!$W13</f>
        <v>67500</v>
      </c>
      <c r="O9" s="189"/>
      <c r="P9" s="189"/>
      <c r="Q9" s="169"/>
      <c r="R9" s="169"/>
      <c r="S9" s="169"/>
      <c r="T9" s="169"/>
      <c r="U9" s="169"/>
      <c r="V9" s="169"/>
      <c r="W9" s="169"/>
      <c r="X9" s="189">
        <f>[13]MAINTENANCE!$AB13</f>
        <v>47000</v>
      </c>
      <c r="Y9" s="169"/>
      <c r="Z9" s="169"/>
      <c r="AA9" s="169"/>
      <c r="AB9" s="189">
        <f>-[13]MAINTENANCE!$BA13</f>
        <v>-121333.33</v>
      </c>
      <c r="AC9" s="189"/>
      <c r="AD9" s="189"/>
      <c r="AE9" s="183">
        <f t="shared" ref="AE9:AE65" si="8">ROUNDDOWN(SUM(K9:AD9),0)</f>
        <v>3932555</v>
      </c>
      <c r="AF9" s="184">
        <f t="shared" si="3"/>
        <v>0</v>
      </c>
      <c r="AG9" s="95">
        <f t="shared" si="7"/>
        <v>0</v>
      </c>
      <c r="AI9" s="199">
        <f>[13]MAINTENANCE!$AF13</f>
        <v>3754499.9000000004</v>
      </c>
      <c r="AJ9" s="200">
        <f t="shared" si="0"/>
        <v>178056</v>
      </c>
      <c r="AK9" s="199">
        <f t="shared" si="4"/>
        <v>3932555.9000000004</v>
      </c>
      <c r="AL9" s="201">
        <f t="shared" si="1"/>
        <v>0.90000000037252903</v>
      </c>
      <c r="AN9" s="200">
        <f>AB9+AL9</f>
        <v>-121332.42999999963</v>
      </c>
    </row>
    <row r="10" spans="2:40" s="173" customFormat="1" ht="18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5"/>
        <v>3761333.23</v>
      </c>
      <c r="L10" s="169">
        <f t="shared" si="6"/>
        <v>30575.999999999996</v>
      </c>
      <c r="M10" s="189">
        <f>[13]MAINTENANCE!$AK14</f>
        <v>146920</v>
      </c>
      <c r="N10" s="189">
        <f>[13]MAINTENANCE!$W14</f>
        <v>67500</v>
      </c>
      <c r="O10" s="189"/>
      <c r="P10" s="189"/>
      <c r="Q10" s="169"/>
      <c r="R10" s="169"/>
      <c r="S10" s="169"/>
      <c r="T10" s="169"/>
      <c r="U10" s="169"/>
      <c r="V10" s="169"/>
      <c r="W10" s="169"/>
      <c r="X10" s="189">
        <f>[13]MAINTENANCE!$AB14</f>
        <v>33000</v>
      </c>
      <c r="Y10" s="169"/>
      <c r="Z10" s="169"/>
      <c r="AA10" s="169"/>
      <c r="AB10" s="189">
        <f>-[13]MAINTENANCE!$BA14</f>
        <v>-121333.33</v>
      </c>
      <c r="AC10" s="189"/>
      <c r="AD10" s="189"/>
      <c r="AE10" s="183">
        <f t="shared" si="8"/>
        <v>3917995</v>
      </c>
      <c r="AF10" s="184">
        <f t="shared" si="3"/>
        <v>0</v>
      </c>
      <c r="AG10" s="95">
        <f t="shared" si="7"/>
        <v>0</v>
      </c>
      <c r="AI10" s="199">
        <f>[13]MAINTENANCE!$AF14</f>
        <v>3740499.9000000004</v>
      </c>
      <c r="AJ10" s="200">
        <f t="shared" si="0"/>
        <v>177496</v>
      </c>
      <c r="AK10" s="199">
        <f t="shared" si="4"/>
        <v>3917995.9000000004</v>
      </c>
      <c r="AL10" s="201">
        <f t="shared" si="1"/>
        <v>0.90000000037252903</v>
      </c>
    </row>
    <row r="11" spans="2:40" s="173" customFormat="1" ht="18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5"/>
        <v>3761333.23</v>
      </c>
      <c r="L11" s="169">
        <f t="shared" si="6"/>
        <v>30575.999999999996</v>
      </c>
      <c r="M11" s="189">
        <f>[13]MAINTENANCE!$AK15</f>
        <v>147340</v>
      </c>
      <c r="N11" s="189">
        <f>[13]MAINTENANCE!$W15</f>
        <v>65250</v>
      </c>
      <c r="O11" s="189"/>
      <c r="P11" s="189"/>
      <c r="Q11" s="169"/>
      <c r="R11" s="169"/>
      <c r="S11" s="169"/>
      <c r="T11" s="169"/>
      <c r="U11" s="169"/>
      <c r="V11" s="169"/>
      <c r="W11" s="169"/>
      <c r="X11" s="189">
        <f>[13]MAINTENANCE!$AB15</f>
        <v>43500</v>
      </c>
      <c r="Y11" s="169"/>
      <c r="Z11" s="169"/>
      <c r="AA11" s="169"/>
      <c r="AB11" s="189">
        <f>-[13]MAINTENANCE!$BA15</f>
        <v>-242666.66</v>
      </c>
      <c r="AC11" s="189"/>
      <c r="AD11" s="189"/>
      <c r="AE11" s="183">
        <f t="shared" si="8"/>
        <v>3805332</v>
      </c>
      <c r="AF11" s="184">
        <f t="shared" si="3"/>
        <v>0</v>
      </c>
      <c r="AG11" s="95">
        <f t="shared" si="7"/>
        <v>0</v>
      </c>
      <c r="AI11" s="199">
        <f>[13]MAINTENANCE!$AF15</f>
        <v>3627416.5700000003</v>
      </c>
      <c r="AJ11" s="200">
        <f t="shared" si="0"/>
        <v>177916</v>
      </c>
      <c r="AK11" s="199">
        <f t="shared" si="4"/>
        <v>3805332.5700000003</v>
      </c>
      <c r="AL11" s="201">
        <f t="shared" si="1"/>
        <v>0.57000000029802322</v>
      </c>
    </row>
    <row r="12" spans="2:40" s="173" customFormat="1" ht="18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5"/>
        <v>3761333.23</v>
      </c>
      <c r="L12" s="169">
        <f t="shared" si="6"/>
        <v>30575.999999999996</v>
      </c>
      <c r="M12" s="189">
        <f>[13]MAINTENANCE!$AK16</f>
        <v>147620</v>
      </c>
      <c r="N12" s="189">
        <f>[13]MAINTENANCE!$W16</f>
        <v>69750</v>
      </c>
      <c r="O12" s="189"/>
      <c r="P12" s="189"/>
      <c r="Q12" s="169"/>
      <c r="R12" s="169"/>
      <c r="S12" s="169"/>
      <c r="T12" s="169"/>
      <c r="U12" s="169"/>
      <c r="V12" s="169"/>
      <c r="W12" s="169"/>
      <c r="X12" s="189">
        <f>[13]MAINTENANCE!$AB16</f>
        <v>50500</v>
      </c>
      <c r="Y12" s="169"/>
      <c r="Z12" s="169"/>
      <c r="AA12" s="169"/>
      <c r="AB12" s="189">
        <f>-[13]MAINTENANCE!$BA16</f>
        <v>0</v>
      </c>
      <c r="AC12" s="189"/>
      <c r="AD12" s="189"/>
      <c r="AE12" s="183">
        <f t="shared" si="8"/>
        <v>4059779</v>
      </c>
      <c r="AF12" s="184">
        <f t="shared" si="3"/>
        <v>0</v>
      </c>
      <c r="AG12" s="95">
        <f t="shared" si="7"/>
        <v>0</v>
      </c>
      <c r="AI12" s="199">
        <f>[13]MAINTENANCE!$AF16</f>
        <v>3881583.23</v>
      </c>
      <c r="AJ12" s="200">
        <f t="shared" si="0"/>
        <v>178196</v>
      </c>
      <c r="AK12" s="199">
        <f t="shared" si="4"/>
        <v>4059779.23</v>
      </c>
      <c r="AL12" s="201">
        <f t="shared" si="1"/>
        <v>0.22999999998137355</v>
      </c>
    </row>
    <row r="13" spans="2:40" s="173" customFormat="1" ht="18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5"/>
        <v>3761333.23</v>
      </c>
      <c r="L13" s="169">
        <f t="shared" si="6"/>
        <v>30575.999999999996</v>
      </c>
      <c r="M13" s="189">
        <f>[13]MAINTENANCE!$AK17</f>
        <v>147480</v>
      </c>
      <c r="N13" s="189">
        <f>[13]MAINTENANCE!$W17</f>
        <v>67500</v>
      </c>
      <c r="O13" s="189"/>
      <c r="P13" s="189"/>
      <c r="Q13" s="169"/>
      <c r="R13" s="169"/>
      <c r="S13" s="169"/>
      <c r="T13" s="169"/>
      <c r="U13" s="169"/>
      <c r="V13" s="169"/>
      <c r="W13" s="169"/>
      <c r="X13" s="189">
        <f>[13]MAINTENANCE!$AB17</f>
        <v>47000</v>
      </c>
      <c r="Y13" s="169"/>
      <c r="Z13" s="169"/>
      <c r="AA13" s="169"/>
      <c r="AB13" s="189">
        <f>-[13]MAINTENANCE!$BA17</f>
        <v>-121333.33</v>
      </c>
      <c r="AC13" s="189"/>
      <c r="AD13" s="189"/>
      <c r="AE13" s="183">
        <f t="shared" si="8"/>
        <v>3932555</v>
      </c>
      <c r="AF13" s="184">
        <f t="shared" si="3"/>
        <v>0</v>
      </c>
      <c r="AG13" s="95">
        <f t="shared" si="7"/>
        <v>0</v>
      </c>
      <c r="AI13" s="199">
        <f>[13]MAINTENANCE!$AF17</f>
        <v>3754499.9</v>
      </c>
      <c r="AJ13" s="200">
        <f t="shared" si="0"/>
        <v>178056</v>
      </c>
      <c r="AK13" s="199">
        <f t="shared" si="4"/>
        <v>3932555.9</v>
      </c>
      <c r="AL13" s="201">
        <f t="shared" si="1"/>
        <v>0.89999999990686774</v>
      </c>
    </row>
    <row r="14" spans="2:40" s="173" customFormat="1" ht="18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5"/>
        <v>3761333.23</v>
      </c>
      <c r="L14" s="169">
        <f t="shared" si="6"/>
        <v>30575.999999999996</v>
      </c>
      <c r="M14" s="189">
        <f>[13]MAINTENANCE!$AK18</f>
        <v>147480</v>
      </c>
      <c r="N14" s="189">
        <f>[13]MAINTENANCE!$W18</f>
        <v>65250</v>
      </c>
      <c r="O14" s="189"/>
      <c r="P14" s="189"/>
      <c r="Q14" s="169"/>
      <c r="R14" s="169"/>
      <c r="S14" s="169"/>
      <c r="T14" s="169"/>
      <c r="U14" s="169"/>
      <c r="V14" s="169"/>
      <c r="W14" s="169"/>
      <c r="X14" s="189">
        <f>[13]MAINTENANCE!$AB18</f>
        <v>47000</v>
      </c>
      <c r="Y14" s="169"/>
      <c r="Z14" s="169"/>
      <c r="AA14" s="169"/>
      <c r="AB14" s="189">
        <f>-[13]MAINTENANCE!$BA18</f>
        <v>-242666.66</v>
      </c>
      <c r="AC14" s="189"/>
      <c r="AD14" s="189"/>
      <c r="AE14" s="183">
        <f t="shared" si="8"/>
        <v>3808972</v>
      </c>
      <c r="AF14" s="184">
        <f t="shared" si="3"/>
        <v>0</v>
      </c>
      <c r="AG14" s="95">
        <f t="shared" si="7"/>
        <v>0</v>
      </c>
      <c r="AI14" s="199">
        <f>[13]MAINTENANCE!$AF18</f>
        <v>3630916.5700000003</v>
      </c>
      <c r="AJ14" s="200">
        <f t="shared" si="0"/>
        <v>178056</v>
      </c>
      <c r="AK14" s="199">
        <f t="shared" si="4"/>
        <v>3808972.5700000003</v>
      </c>
      <c r="AL14" s="201">
        <f t="shared" si="1"/>
        <v>0.57000000029802322</v>
      </c>
    </row>
    <row r="15" spans="2:40" s="173" customFormat="1" ht="18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5"/>
        <v>3761333.23</v>
      </c>
      <c r="L15" s="169">
        <f t="shared" si="6"/>
        <v>30575.999999999996</v>
      </c>
      <c r="M15" s="189">
        <f>[13]MAINTENANCE!$AK19</f>
        <v>147620</v>
      </c>
      <c r="N15" s="189">
        <f>[13]MAINTENANCE!$W19</f>
        <v>67500</v>
      </c>
      <c r="O15" s="189"/>
      <c r="P15" s="189"/>
      <c r="Q15" s="169"/>
      <c r="R15" s="169"/>
      <c r="S15" s="169"/>
      <c r="T15" s="169"/>
      <c r="U15" s="169"/>
      <c r="V15" s="169"/>
      <c r="W15" s="169"/>
      <c r="X15" s="189">
        <f>[13]MAINTENANCE!$AB19</f>
        <v>50500</v>
      </c>
      <c r="Y15" s="169"/>
      <c r="Z15" s="169"/>
      <c r="AA15" s="169"/>
      <c r="AB15" s="189">
        <f>-[13]MAINTENANCE!$BA19</f>
        <v>-121333.33</v>
      </c>
      <c r="AC15" s="189"/>
      <c r="AD15" s="189"/>
      <c r="AE15" s="183">
        <f t="shared" si="8"/>
        <v>3936195</v>
      </c>
      <c r="AF15" s="184">
        <f t="shared" si="3"/>
        <v>0</v>
      </c>
      <c r="AG15" s="95">
        <f t="shared" si="7"/>
        <v>0</v>
      </c>
      <c r="AI15" s="199">
        <f>[13]MAINTENANCE!$AF19</f>
        <v>3757999.9</v>
      </c>
      <c r="AJ15" s="200">
        <f t="shared" si="0"/>
        <v>178196</v>
      </c>
      <c r="AK15" s="199">
        <f t="shared" si="4"/>
        <v>3936195.9</v>
      </c>
      <c r="AL15" s="201">
        <f t="shared" si="1"/>
        <v>0.89999999990686774</v>
      </c>
    </row>
    <row r="16" spans="2:40" s="173" customFormat="1" ht="18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5"/>
        <v>3761333.23</v>
      </c>
      <c r="L16" s="169">
        <f t="shared" si="6"/>
        <v>30575.999999999996</v>
      </c>
      <c r="M16" s="189">
        <f>[13]MAINTENANCE!$AK20</f>
        <v>147480</v>
      </c>
      <c r="N16" s="189">
        <f>[13]MAINTENANCE!$W20</f>
        <v>67500</v>
      </c>
      <c r="O16" s="189"/>
      <c r="P16" s="189"/>
      <c r="Q16" s="169"/>
      <c r="R16" s="169"/>
      <c r="S16" s="169"/>
      <c r="T16" s="169"/>
      <c r="U16" s="169"/>
      <c r="V16" s="169"/>
      <c r="W16" s="169"/>
      <c r="X16" s="189">
        <f>[13]MAINTENANCE!$AB20</f>
        <v>47000</v>
      </c>
      <c r="Y16" s="169"/>
      <c r="Z16" s="169"/>
      <c r="AA16" s="169"/>
      <c r="AB16" s="189">
        <f>-[13]MAINTENANCE!$BA20</f>
        <v>-121333.33</v>
      </c>
      <c r="AC16" s="189"/>
      <c r="AD16" s="189"/>
      <c r="AE16" s="183">
        <f t="shared" si="8"/>
        <v>3932555</v>
      </c>
      <c r="AF16" s="184">
        <f t="shared" si="3"/>
        <v>0</v>
      </c>
      <c r="AG16" s="95">
        <f t="shared" si="7"/>
        <v>0</v>
      </c>
      <c r="AI16" s="199">
        <f>[13]MAINTENANCE!$AF20</f>
        <v>3754499.9000000004</v>
      </c>
      <c r="AJ16" s="200">
        <f t="shared" si="0"/>
        <v>178056</v>
      </c>
      <c r="AK16" s="199">
        <f t="shared" si="4"/>
        <v>3932555.9000000004</v>
      </c>
      <c r="AL16" s="201">
        <f t="shared" si="1"/>
        <v>0.90000000037252903</v>
      </c>
    </row>
    <row r="17" spans="2:38" s="173" customFormat="1" ht="18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5"/>
        <v>3761333.23</v>
      </c>
      <c r="L17" s="169">
        <f t="shared" si="6"/>
        <v>30575.999999999996</v>
      </c>
      <c r="M17" s="189">
        <f>[13]MAINTENANCE!$AK21</f>
        <v>147480</v>
      </c>
      <c r="N17" s="189">
        <f>[13]MAINTENANCE!$W21</f>
        <v>65250</v>
      </c>
      <c r="O17" s="189"/>
      <c r="P17" s="189"/>
      <c r="Q17" s="169"/>
      <c r="R17" s="169"/>
      <c r="S17" s="169"/>
      <c r="T17" s="169"/>
      <c r="U17" s="169"/>
      <c r="V17" s="169"/>
      <c r="W17" s="169"/>
      <c r="X17" s="189">
        <f>[13]MAINTENANCE!$AB21</f>
        <v>47000</v>
      </c>
      <c r="Y17" s="169"/>
      <c r="Z17" s="169"/>
      <c r="AA17" s="169"/>
      <c r="AB17" s="189">
        <f>-[13]MAINTENANCE!$BA21</f>
        <v>-242666.66</v>
      </c>
      <c r="AC17" s="189"/>
      <c r="AD17" s="189"/>
      <c r="AE17" s="183">
        <f t="shared" si="8"/>
        <v>3808972</v>
      </c>
      <c r="AF17" s="184">
        <f t="shared" si="3"/>
        <v>0</v>
      </c>
      <c r="AG17" s="95">
        <f t="shared" si="7"/>
        <v>0</v>
      </c>
      <c r="AI17" s="199">
        <f>[13]MAINTENANCE!$AF21</f>
        <v>3630916.57</v>
      </c>
      <c r="AJ17" s="200">
        <f t="shared" si="0"/>
        <v>178056</v>
      </c>
      <c r="AK17" s="199">
        <f t="shared" si="4"/>
        <v>3808972.57</v>
      </c>
      <c r="AL17" s="201">
        <f t="shared" si="1"/>
        <v>0.56999999983236194</v>
      </c>
    </row>
    <row r="18" spans="2:38" s="173" customFormat="1" ht="18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5"/>
        <v>3761333.23</v>
      </c>
      <c r="L18" s="169">
        <f t="shared" si="6"/>
        <v>30575.999999999996</v>
      </c>
      <c r="M18" s="189">
        <f>[13]MAINTENANCE!$AK22</f>
        <v>147340</v>
      </c>
      <c r="N18" s="189">
        <f>[13]MAINTENANCE!$W22</f>
        <v>69750</v>
      </c>
      <c r="O18" s="189"/>
      <c r="P18" s="189"/>
      <c r="Q18" s="169"/>
      <c r="R18" s="169"/>
      <c r="S18" s="169"/>
      <c r="T18" s="169"/>
      <c r="U18" s="169"/>
      <c r="V18" s="169"/>
      <c r="W18" s="169"/>
      <c r="X18" s="189">
        <f>[13]MAINTENANCE!$AB22</f>
        <v>43500</v>
      </c>
      <c r="Y18" s="169"/>
      <c r="Z18" s="169"/>
      <c r="AA18" s="169"/>
      <c r="AB18" s="189">
        <f>-[13]MAINTENANCE!$BA22</f>
        <v>0</v>
      </c>
      <c r="AC18" s="189"/>
      <c r="AD18" s="189"/>
      <c r="AE18" s="183">
        <f t="shared" si="8"/>
        <v>4052499</v>
      </c>
      <c r="AF18" s="184">
        <f t="shared" si="3"/>
        <v>0</v>
      </c>
      <c r="AG18" s="95">
        <f t="shared" si="7"/>
        <v>0</v>
      </c>
      <c r="AI18" s="199">
        <f>[13]MAINTENANCE!$AF22</f>
        <v>3874583.23</v>
      </c>
      <c r="AJ18" s="200">
        <f t="shared" si="0"/>
        <v>177916</v>
      </c>
      <c r="AK18" s="199">
        <f t="shared" si="4"/>
        <v>4052499.23</v>
      </c>
      <c r="AL18" s="201">
        <f t="shared" si="1"/>
        <v>0.22999999998137355</v>
      </c>
    </row>
    <row r="19" spans="2:38" s="173" customFormat="1" ht="18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5"/>
        <v>3761333.23</v>
      </c>
      <c r="L19" s="169">
        <f t="shared" si="6"/>
        <v>30575.999999999996</v>
      </c>
      <c r="M19" s="189">
        <f>[13]MAINTENANCE!$AK23</f>
        <v>146920</v>
      </c>
      <c r="N19" s="189">
        <f>[13]MAINTENANCE!$W23</f>
        <v>67500</v>
      </c>
      <c r="O19" s="189"/>
      <c r="P19" s="189"/>
      <c r="Q19" s="169"/>
      <c r="R19" s="169"/>
      <c r="S19" s="169"/>
      <c r="T19" s="169"/>
      <c r="U19" s="169"/>
      <c r="V19" s="169"/>
      <c r="W19" s="169"/>
      <c r="X19" s="189">
        <f>[13]MAINTENANCE!$AB23</f>
        <v>33000</v>
      </c>
      <c r="Y19" s="169"/>
      <c r="Z19" s="169"/>
      <c r="AA19" s="169"/>
      <c r="AB19" s="189">
        <f>-[13]MAINTENANCE!$BA23</f>
        <v>-121333.33</v>
      </c>
      <c r="AC19" s="189"/>
      <c r="AD19" s="189"/>
      <c r="AE19" s="183">
        <f t="shared" si="8"/>
        <v>3917995</v>
      </c>
      <c r="AF19" s="184">
        <f t="shared" si="3"/>
        <v>0</v>
      </c>
      <c r="AG19" s="95">
        <f t="shared" si="7"/>
        <v>0</v>
      </c>
      <c r="AI19" s="199">
        <f>[13]MAINTENANCE!$AF23</f>
        <v>3740499.9</v>
      </c>
      <c r="AJ19" s="200">
        <f t="shared" si="0"/>
        <v>177496</v>
      </c>
      <c r="AK19" s="199">
        <f t="shared" si="4"/>
        <v>3917995.9</v>
      </c>
      <c r="AL19" s="201">
        <f t="shared" si="1"/>
        <v>0.89999999990686774</v>
      </c>
    </row>
    <row r="20" spans="2:38" s="173" customFormat="1" ht="18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>
        <f t="shared" si="5"/>
        <v>3761333.23</v>
      </c>
      <c r="L20" s="169">
        <f t="shared" si="6"/>
        <v>30575.999999999996</v>
      </c>
      <c r="M20" s="189">
        <f>[13]MAINTENANCE!$AK24</f>
        <v>147340</v>
      </c>
      <c r="N20" s="189">
        <f>[13]MAINTENANCE!$W24</f>
        <v>139500</v>
      </c>
      <c r="O20" s="189"/>
      <c r="P20" s="189">
        <f>[13]MAINTENANCE!$AE24</f>
        <v>336647.36</v>
      </c>
      <c r="Q20" s="169"/>
      <c r="R20" s="169"/>
      <c r="S20" s="169"/>
      <c r="T20" s="169"/>
      <c r="U20" s="169"/>
      <c r="V20" s="169"/>
      <c r="W20" s="169"/>
      <c r="X20" s="189">
        <f>[13]MAINTENANCE!$AB24</f>
        <v>43500</v>
      </c>
      <c r="Y20" s="169"/>
      <c r="Z20" s="169"/>
      <c r="AA20" s="169"/>
      <c r="AB20" s="189">
        <f>-[13]MAINTENANCE!$BA24</f>
        <v>0</v>
      </c>
      <c r="AC20" s="189"/>
      <c r="AD20" s="189"/>
      <c r="AE20" s="183">
        <f t="shared" si="8"/>
        <v>4458896</v>
      </c>
      <c r="AF20" s="184">
        <f t="shared" si="3"/>
        <v>0</v>
      </c>
      <c r="AG20" s="95">
        <f t="shared" si="7"/>
        <v>0</v>
      </c>
      <c r="AI20" s="199">
        <f>[13]MAINTENANCE!$AF24</f>
        <v>4280980.59</v>
      </c>
      <c r="AJ20" s="200">
        <f t="shared" si="0"/>
        <v>177916</v>
      </c>
      <c r="AK20" s="199">
        <f t="shared" si="4"/>
        <v>4458896.59</v>
      </c>
      <c r="AL20" s="201">
        <f t="shared" si="1"/>
        <v>0.58999999985098839</v>
      </c>
    </row>
    <row r="21" spans="2:38" s="173" customFormat="1" ht="18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 t="shared" si="5"/>
        <v>3761333.23</v>
      </c>
      <c r="L21" s="169">
        <f t="shared" si="6"/>
        <v>30575.999999999996</v>
      </c>
      <c r="M21" s="189">
        <f>[13]MAINTENANCE!$AK25</f>
        <v>146680</v>
      </c>
      <c r="N21" s="189">
        <f>[13]MAINTENANCE!$W25</f>
        <v>139500</v>
      </c>
      <c r="O21" s="189"/>
      <c r="P21" s="189">
        <f>[13]MAINTENANCE!$AE25</f>
        <v>210404.6</v>
      </c>
      <c r="Q21" s="169"/>
      <c r="R21" s="169">
        <f>[13]MAINTENANCE!$AC25</f>
        <v>159217</v>
      </c>
      <c r="S21" s="169">
        <f>[13]MAINTENANCE!$AD25</f>
        <v>22050</v>
      </c>
      <c r="T21" s="169"/>
      <c r="U21" s="169"/>
      <c r="V21" s="169"/>
      <c r="W21" s="169"/>
      <c r="X21" s="189">
        <f>[13]MAINTENANCE!$AB25</f>
        <v>27000</v>
      </c>
      <c r="Y21" s="169"/>
      <c r="Z21" s="169"/>
      <c r="AA21" s="169"/>
      <c r="AB21" s="189">
        <f>-[13]MAINTENANCE!$BA25</f>
        <v>0</v>
      </c>
      <c r="AC21" s="189"/>
      <c r="AD21" s="189"/>
      <c r="AE21" s="183">
        <f>ROUNDDOWN(SUM(K21:AD21),0)</f>
        <v>4496760</v>
      </c>
      <c r="AF21" s="184">
        <f t="shared" si="3"/>
        <v>0</v>
      </c>
      <c r="AG21" s="95">
        <f t="shared" si="7"/>
        <v>0</v>
      </c>
      <c r="AI21" s="199">
        <f>[13]MAINTENANCE!$AF25</f>
        <v>4319504.83</v>
      </c>
      <c r="AJ21" s="200">
        <f t="shared" si="0"/>
        <v>177256</v>
      </c>
      <c r="AK21" s="199">
        <f t="shared" si="4"/>
        <v>4496760.83</v>
      </c>
      <c r="AL21" s="201">
        <f t="shared" si="1"/>
        <v>0.83000000007450581</v>
      </c>
    </row>
    <row r="22" spans="2:38" s="173" customFormat="1" ht="18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si="5"/>
        <v>3761333.23</v>
      </c>
      <c r="L22" s="169">
        <f t="shared" si="6"/>
        <v>30575.999999999996</v>
      </c>
      <c r="M22" s="189">
        <f>[13]MAINTENANCE!$AK26</f>
        <v>147480</v>
      </c>
      <c r="N22" s="189">
        <f>[13]MAINTENANCE!$W26</f>
        <v>69750</v>
      </c>
      <c r="O22" s="189"/>
      <c r="P22" s="189">
        <f>[13]MAINTENANCE!$AE26</f>
        <v>0</v>
      </c>
      <c r="Q22" s="169"/>
      <c r="R22" s="169"/>
      <c r="S22" s="169"/>
      <c r="T22" s="169"/>
      <c r="U22" s="169"/>
      <c r="V22" s="169"/>
      <c r="W22" s="169"/>
      <c r="X22" s="189">
        <f>[13]MAINTENANCE!$AB26</f>
        <v>47000</v>
      </c>
      <c r="Y22" s="169"/>
      <c r="Z22" s="169"/>
      <c r="AA22" s="169"/>
      <c r="AB22" s="189">
        <f>-[13]MAINTENANCE!$BA26</f>
        <v>0</v>
      </c>
      <c r="AC22" s="189"/>
      <c r="AD22" s="189"/>
      <c r="AE22" s="183">
        <f t="shared" si="8"/>
        <v>4056139</v>
      </c>
      <c r="AF22" s="184">
        <f t="shared" si="3"/>
        <v>0</v>
      </c>
      <c r="AG22" s="95">
        <f t="shared" si="7"/>
        <v>0</v>
      </c>
      <c r="AI22" s="199">
        <f>[13]MAINTENANCE!$AF26</f>
        <v>3878083.23</v>
      </c>
      <c r="AJ22" s="200">
        <f t="shared" si="0"/>
        <v>178056</v>
      </c>
      <c r="AK22" s="199">
        <f t="shared" si="4"/>
        <v>4056139.23</v>
      </c>
      <c r="AL22" s="201">
        <f t="shared" si="1"/>
        <v>0.22999999998137355</v>
      </c>
    </row>
    <row r="23" spans="2:38" s="173" customFormat="1" ht="18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5"/>
        <v>3761333.23</v>
      </c>
      <c r="L23" s="169">
        <f t="shared" si="6"/>
        <v>30575.999999999996</v>
      </c>
      <c r="M23" s="189">
        <f>[13]MAINTENANCE!$AK27</f>
        <v>147340</v>
      </c>
      <c r="N23" s="189">
        <f>[13]MAINTENANCE!$W27</f>
        <v>67500</v>
      </c>
      <c r="O23" s="189"/>
      <c r="P23" s="189"/>
      <c r="Q23" s="169"/>
      <c r="R23" s="189"/>
      <c r="S23" s="189"/>
      <c r="T23" s="189"/>
      <c r="U23" s="189"/>
      <c r="V23" s="189"/>
      <c r="W23" s="189"/>
      <c r="X23" s="189">
        <f>[13]MAINTENANCE!$AB27</f>
        <v>43500</v>
      </c>
      <c r="Y23" s="189"/>
      <c r="Z23" s="189"/>
      <c r="AA23" s="189"/>
      <c r="AB23" s="189">
        <f>-[13]MAINTENANCE!$BA27</f>
        <v>-121333.33</v>
      </c>
      <c r="AC23" s="189"/>
      <c r="AD23" s="189"/>
      <c r="AE23" s="183">
        <f t="shared" si="8"/>
        <v>3928915</v>
      </c>
      <c r="AF23" s="184">
        <f t="shared" si="3"/>
        <v>0</v>
      </c>
      <c r="AG23" s="95">
        <f t="shared" si="7"/>
        <v>0</v>
      </c>
      <c r="AI23" s="199">
        <f>[13]MAINTENANCE!$AF27</f>
        <v>3750999.9</v>
      </c>
      <c r="AJ23" s="200">
        <f t="shared" si="0"/>
        <v>177916</v>
      </c>
      <c r="AK23" s="199">
        <f t="shared" si="4"/>
        <v>3928915.9</v>
      </c>
      <c r="AL23" s="201">
        <f t="shared" si="1"/>
        <v>0.89999999990686774</v>
      </c>
    </row>
    <row r="24" spans="2:38" s="173" customFormat="1" ht="18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5"/>
        <v>3761333.23</v>
      </c>
      <c r="L24" s="169">
        <f t="shared" si="6"/>
        <v>30575.999999999996</v>
      </c>
      <c r="M24" s="189">
        <f>[13]MAINTENANCE!$AK28</f>
        <v>146920</v>
      </c>
      <c r="N24" s="189">
        <f>[13]MAINTENANCE!$W28</f>
        <v>69750</v>
      </c>
      <c r="O24" s="189">
        <f>[13]MAINTENANCE!$Z28</f>
        <v>48000</v>
      </c>
      <c r="P24" s="189">
        <f>[13]MAINTENANCE!$AE28</f>
        <v>1588554.73</v>
      </c>
      <c r="Q24" s="169"/>
      <c r="R24" s="189"/>
      <c r="S24" s="189"/>
      <c r="T24" s="189"/>
      <c r="U24" s="189"/>
      <c r="V24" s="189"/>
      <c r="W24" s="189"/>
      <c r="X24" s="189">
        <f>[13]MAINTENANCE!$AB28</f>
        <v>33000</v>
      </c>
      <c r="Y24" s="189"/>
      <c r="Z24" s="189"/>
      <c r="AA24" s="189"/>
      <c r="AB24" s="189">
        <f>-[13]MAINTENANCE!$BA28</f>
        <v>0</v>
      </c>
      <c r="AC24" s="189"/>
      <c r="AD24" s="189"/>
      <c r="AE24" s="183">
        <f>ROUNDDOWN(SUM(K24:AD24),0)</f>
        <v>5678133</v>
      </c>
      <c r="AF24" s="184">
        <f t="shared" si="3"/>
        <v>5.0000000000000001E-3</v>
      </c>
      <c r="AG24" s="95">
        <f t="shared" si="7"/>
        <v>28390</v>
      </c>
      <c r="AI24" s="199">
        <f>[13]MAINTENANCE!$AF28</f>
        <v>5500637.96</v>
      </c>
      <c r="AJ24" s="200">
        <f t="shared" si="0"/>
        <v>177496</v>
      </c>
      <c r="AK24" s="199">
        <f t="shared" si="4"/>
        <v>5678133.96</v>
      </c>
      <c r="AL24" s="201">
        <f t="shared" si="1"/>
        <v>0.9599999999627471</v>
      </c>
    </row>
    <row r="25" spans="2:38" s="173" customFormat="1" ht="18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5"/>
        <v>3761333.23</v>
      </c>
      <c r="L25" s="169">
        <f t="shared" si="6"/>
        <v>30575.999999999996</v>
      </c>
      <c r="M25" s="189">
        <f>[13]MAINTENANCE!$AK29</f>
        <v>147340</v>
      </c>
      <c r="N25" s="189">
        <f>[13]MAINTENANCE!$W29</f>
        <v>162000</v>
      </c>
      <c r="O25" s="189"/>
      <c r="P25" s="189">
        <f>[13]MAINTENANCE!$AE29</f>
        <v>105202.3</v>
      </c>
      <c r="Q25" s="169"/>
      <c r="R25" s="189"/>
      <c r="S25" s="189"/>
      <c r="T25" s="189"/>
      <c r="U25" s="189"/>
      <c r="V25" s="189"/>
      <c r="W25" s="189"/>
      <c r="X25" s="189">
        <f>[13]MAINTENANCE!$AB29</f>
        <v>43500</v>
      </c>
      <c r="Y25" s="189"/>
      <c r="Z25" s="189"/>
      <c r="AA25" s="189"/>
      <c r="AB25" s="189">
        <f>-[13]MAINTENANCE!$BA29</f>
        <v>-121333.33</v>
      </c>
      <c r="AC25" s="189"/>
      <c r="AD25" s="189"/>
      <c r="AE25" s="183">
        <f t="shared" si="8"/>
        <v>4128618</v>
      </c>
      <c r="AF25" s="184">
        <f t="shared" si="3"/>
        <v>0</v>
      </c>
      <c r="AG25" s="95">
        <f t="shared" si="7"/>
        <v>0</v>
      </c>
      <c r="AI25" s="199">
        <f>[13]MAINTENANCE!$AF29</f>
        <v>3950702.1999999997</v>
      </c>
      <c r="AJ25" s="200">
        <f t="shared" si="0"/>
        <v>177916</v>
      </c>
      <c r="AK25" s="199">
        <f t="shared" si="4"/>
        <v>4128618.1999999997</v>
      </c>
      <c r="AL25" s="201">
        <f t="shared" si="1"/>
        <v>0.19999999972060323</v>
      </c>
    </row>
    <row r="26" spans="2:38" s="173" customFormat="1" ht="18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5"/>
        <v>3761333.23</v>
      </c>
      <c r="L26" s="169">
        <f t="shared" si="6"/>
        <v>30575.999999999996</v>
      </c>
      <c r="M26" s="189">
        <f>[13]MAINTENANCE!$AK30</f>
        <v>148040</v>
      </c>
      <c r="N26" s="189">
        <f>[13]MAINTENANCE!$W30</f>
        <v>69750</v>
      </c>
      <c r="O26" s="189"/>
      <c r="P26" s="189"/>
      <c r="Q26" s="169"/>
      <c r="R26" s="189"/>
      <c r="S26" s="189"/>
      <c r="T26" s="189"/>
      <c r="U26" s="189"/>
      <c r="V26" s="189"/>
      <c r="W26" s="189"/>
      <c r="X26" s="189">
        <f>[13]MAINTENANCE!$AB30</f>
        <v>61000</v>
      </c>
      <c r="Y26" s="189"/>
      <c r="Z26" s="189"/>
      <c r="AA26" s="189"/>
      <c r="AB26" s="189">
        <f>-[13]MAINTENANCE!$BA30</f>
        <v>0</v>
      </c>
      <c r="AC26" s="189"/>
      <c r="AD26" s="189"/>
      <c r="AE26" s="183">
        <f t="shared" si="8"/>
        <v>4070699</v>
      </c>
      <c r="AF26" s="184">
        <f t="shared" si="3"/>
        <v>0</v>
      </c>
      <c r="AG26" s="95">
        <f t="shared" si="7"/>
        <v>0</v>
      </c>
      <c r="AI26" s="199">
        <f>[13]MAINTENANCE!$AF30</f>
        <v>3892083.2300000004</v>
      </c>
      <c r="AJ26" s="200">
        <f t="shared" si="0"/>
        <v>178616</v>
      </c>
      <c r="AK26" s="199">
        <f t="shared" si="4"/>
        <v>4070699.2300000004</v>
      </c>
      <c r="AL26" s="201">
        <f t="shared" si="1"/>
        <v>0.23000000044703484</v>
      </c>
    </row>
    <row r="27" spans="2:38" s="173" customFormat="1" ht="18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5"/>
        <v>3761333.23</v>
      </c>
      <c r="L27" s="169">
        <f t="shared" si="6"/>
        <v>30575.999999999996</v>
      </c>
      <c r="M27" s="189">
        <f>[13]MAINTENANCE!$AK31</f>
        <v>147620</v>
      </c>
      <c r="N27" s="189">
        <f>[13]MAINTENANCE!$W31</f>
        <v>69750</v>
      </c>
      <c r="O27" s="189"/>
      <c r="P27" s="189"/>
      <c r="Q27" s="169"/>
      <c r="R27" s="189"/>
      <c r="S27" s="189"/>
      <c r="T27" s="189"/>
      <c r="U27" s="189"/>
      <c r="V27" s="189"/>
      <c r="W27" s="189"/>
      <c r="X27" s="189">
        <f>[13]MAINTENANCE!$AB31</f>
        <v>50500</v>
      </c>
      <c r="Y27" s="189"/>
      <c r="Z27" s="189"/>
      <c r="AA27" s="189"/>
      <c r="AB27" s="189">
        <f>-[13]MAINTENANCE!$BA31</f>
        <v>0</v>
      </c>
      <c r="AC27" s="189"/>
      <c r="AD27" s="189"/>
      <c r="AE27" s="183">
        <f t="shared" si="8"/>
        <v>4059779</v>
      </c>
      <c r="AF27" s="184">
        <f t="shared" si="3"/>
        <v>0</v>
      </c>
      <c r="AG27" s="95">
        <f t="shared" si="7"/>
        <v>0</v>
      </c>
      <c r="AI27" s="199">
        <f>[13]MAINTENANCE!$AF31</f>
        <v>3881583.2300000004</v>
      </c>
      <c r="AJ27" s="200">
        <f t="shared" si="0"/>
        <v>178196</v>
      </c>
      <c r="AK27" s="199">
        <f t="shared" si="4"/>
        <v>4059779.2300000004</v>
      </c>
      <c r="AL27" s="201">
        <f t="shared" si="1"/>
        <v>0.23000000044703484</v>
      </c>
    </row>
    <row r="28" spans="2:38" s="173" customFormat="1" ht="18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>
        <f>'[6]HARVESTING KHT'!$AK10</f>
        <v>0</v>
      </c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3"/>
        <v>0</v>
      </c>
      <c r="AG28" s="95">
        <f t="shared" si="7"/>
        <v>0</v>
      </c>
      <c r="AI28" s="199"/>
      <c r="AJ28" s="200">
        <f t="shared" si="0"/>
        <v>0</v>
      </c>
      <c r="AK28" s="199">
        <f>AI28+AJ28+AD28</f>
        <v>0</v>
      </c>
      <c r="AL28" s="201">
        <f t="shared" si="1"/>
        <v>0</v>
      </c>
    </row>
    <row r="29" spans="2:38" s="173" customFormat="1" ht="18" customHeight="1">
      <c r="B29" s="174">
        <v>23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31*121333.33</f>
        <v>3761333.23</v>
      </c>
      <c r="L29" s="169">
        <f t="shared" si="6"/>
        <v>30575.999999999996</v>
      </c>
      <c r="M29" s="189">
        <f>'[13]HARVESTING KHT'!$AQ10</f>
        <v>147620</v>
      </c>
      <c r="N29" s="189">
        <f>'[13]HARVESTING KHT'!$U10</f>
        <v>69750</v>
      </c>
      <c r="O29" s="189">
        <f>'[13]HARVESTING KHT'!$X10</f>
        <v>46000</v>
      </c>
      <c r="P29" s="189">
        <f>'[13]HARVESTING KHT'!$AD10</f>
        <v>904739.78</v>
      </c>
      <c r="Q29" s="189"/>
      <c r="R29" s="189"/>
      <c r="S29" s="189"/>
      <c r="T29" s="189"/>
      <c r="U29" s="189"/>
      <c r="V29" s="189"/>
      <c r="W29" s="189">
        <f>'[6]HARVESTING KHT'!$AK11</f>
        <v>0</v>
      </c>
      <c r="X29" s="189">
        <f>'[13]HARVESTING KHT'!$Z10</f>
        <v>50500</v>
      </c>
      <c r="Y29" s="189"/>
      <c r="Z29" s="189"/>
      <c r="AA29" s="189"/>
      <c r="AB29" s="189">
        <f>-'[13]HARVESTING KHT'!$BI10</f>
        <v>0</v>
      </c>
      <c r="AC29" s="189"/>
      <c r="AD29" s="189"/>
      <c r="AE29" s="183">
        <f t="shared" si="8"/>
        <v>5010519</v>
      </c>
      <c r="AF29" s="184">
        <f t="shared" si="3"/>
        <v>0</v>
      </c>
      <c r="AG29" s="95">
        <f t="shared" si="7"/>
        <v>0</v>
      </c>
      <c r="AI29" s="199">
        <f>'[13]HARVESTING KHT'!$AL10</f>
        <v>4832323.01</v>
      </c>
      <c r="AJ29" s="200">
        <f t="shared" si="0"/>
        <v>178196</v>
      </c>
      <c r="AK29" s="199">
        <f>AI29+AJ29+AD29</f>
        <v>5010519.01</v>
      </c>
      <c r="AL29" s="201">
        <f t="shared" si="1"/>
        <v>9.9999997764825821E-3</v>
      </c>
    </row>
    <row r="30" spans="2:38" s="173" customFormat="1" ht="18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>'[6]HARVESTING KHT'!$AK12</f>
        <v>0</v>
      </c>
      <c r="X30" s="189"/>
      <c r="Y30" s="189"/>
      <c r="Z30" s="189"/>
      <c r="AA30" s="189"/>
      <c r="AB30" s="189"/>
      <c r="AC30" s="189"/>
      <c r="AD30" s="189"/>
      <c r="AE30" s="183">
        <f t="shared" si="8"/>
        <v>0</v>
      </c>
      <c r="AF30" s="184">
        <f t="shared" si="3"/>
        <v>0</v>
      </c>
      <c r="AG30" s="95">
        <f t="shared" si="7"/>
        <v>0</v>
      </c>
      <c r="AI30" s="199"/>
      <c r="AJ30" s="200">
        <f t="shared" si="0"/>
        <v>0</v>
      </c>
      <c r="AK30" s="199">
        <f t="shared" si="4"/>
        <v>0</v>
      </c>
      <c r="AL30" s="201">
        <f t="shared" si="1"/>
        <v>0</v>
      </c>
    </row>
    <row r="31" spans="2:38" s="173" customFormat="1" ht="18" customHeight="1">
      <c r="B31" s="174">
        <v>24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>31*121333.33</f>
        <v>3761333.23</v>
      </c>
      <c r="L31" s="169">
        <f t="shared" si="6"/>
        <v>30575.999999999996</v>
      </c>
      <c r="M31" s="189">
        <f>'[13]HARVESTING KHT'!$AQ11</f>
        <v>146560</v>
      </c>
      <c r="N31" s="189">
        <f>'[13]HARVESTING KHT'!$U11</f>
        <v>139500</v>
      </c>
      <c r="O31" s="189"/>
      <c r="P31" s="189"/>
      <c r="Q31" s="189"/>
      <c r="R31" s="189">
        <f>'[13]HARVESTING KHT'!$AA11</f>
        <v>95812</v>
      </c>
      <c r="S31" s="189">
        <f>'[13]HARVESTING KHT'!$AB11</f>
        <v>228900</v>
      </c>
      <c r="T31" s="189">
        <f>'[13]HARVESTING KHT'!$AC11</f>
        <v>0</v>
      </c>
      <c r="U31" s="189"/>
      <c r="V31" s="189">
        <f>'[13]HARVESTING KHT'!$AH11</f>
        <v>0</v>
      </c>
      <c r="W31" s="189">
        <f>'[6]HARVESTING KHT'!$AK13</f>
        <v>0</v>
      </c>
      <c r="X31" s="189">
        <f>'[13]HARVESTING KHT'!$Z11</f>
        <v>24000</v>
      </c>
      <c r="Y31" s="189"/>
      <c r="Z31" s="189"/>
      <c r="AA31" s="189"/>
      <c r="AB31" s="189">
        <f>-'[13]HARVESTING KHT'!$BI11</f>
        <v>0</v>
      </c>
      <c r="AC31" s="189"/>
      <c r="AD31" s="189"/>
      <c r="AE31" s="183">
        <f t="shared" si="8"/>
        <v>4426681</v>
      </c>
      <c r="AF31" s="184">
        <f t="shared" si="3"/>
        <v>0</v>
      </c>
      <c r="AG31" s="95">
        <f t="shared" si="7"/>
        <v>0</v>
      </c>
      <c r="AI31" s="199">
        <f>'[13]HARVESTING KHT'!$AL11</f>
        <v>4249545.2300000004</v>
      </c>
      <c r="AJ31" s="200">
        <f t="shared" si="0"/>
        <v>177136</v>
      </c>
      <c r="AK31" s="199">
        <f t="shared" si="4"/>
        <v>4426681.2300000004</v>
      </c>
      <c r="AL31" s="201">
        <f t="shared" si="1"/>
        <v>0.23000000044703484</v>
      </c>
    </row>
    <row r="32" spans="2:38" s="173" customFormat="1" ht="18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3"/>
        <v>0</v>
      </c>
      <c r="AG32" s="95">
        <f t="shared" si="7"/>
        <v>0</v>
      </c>
      <c r="AI32" s="199"/>
      <c r="AJ32" s="200">
        <f t="shared" si="0"/>
        <v>0</v>
      </c>
      <c r="AK32" s="199">
        <f t="shared" si="4"/>
        <v>0</v>
      </c>
      <c r="AL32" s="201">
        <f t="shared" si="1"/>
        <v>0</v>
      </c>
    </row>
    <row r="33" spans="2:38" s="173" customFormat="1" ht="18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3"/>
        <v>0</v>
      </c>
      <c r="AG33" s="95">
        <f t="shared" si="7"/>
        <v>0</v>
      </c>
      <c r="AI33" s="199"/>
      <c r="AJ33" s="200">
        <f t="shared" si="0"/>
        <v>0</v>
      </c>
      <c r="AK33" s="199">
        <f t="shared" si="4"/>
        <v>0</v>
      </c>
      <c r="AL33" s="201">
        <f t="shared" si="1"/>
        <v>0</v>
      </c>
    </row>
    <row r="34" spans="2:38" s="173" customFormat="1" ht="18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>
        <f>'[6]HARVESTING KHT'!$AK16</f>
        <v>0</v>
      </c>
      <c r="X34" s="189"/>
      <c r="Y34" s="189"/>
      <c r="Z34" s="189"/>
      <c r="AA34" s="189"/>
      <c r="AB34" s="189"/>
      <c r="AC34" s="189"/>
      <c r="AD34" s="189"/>
      <c r="AE34" s="183">
        <f t="shared" si="8"/>
        <v>0</v>
      </c>
      <c r="AF34" s="184">
        <f t="shared" si="3"/>
        <v>0</v>
      </c>
      <c r="AG34" s="95">
        <f t="shared" si="7"/>
        <v>0</v>
      </c>
      <c r="AI34" s="199"/>
      <c r="AJ34" s="200">
        <f t="shared" si="0"/>
        <v>0</v>
      </c>
      <c r="AK34" s="199">
        <f t="shared" si="4"/>
        <v>0</v>
      </c>
      <c r="AL34" s="201">
        <f t="shared" si="1"/>
        <v>0</v>
      </c>
    </row>
    <row r="35" spans="2:38" s="173" customFormat="1" ht="18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>
        <f>'[6]HARVESTING KHT'!$AK17</f>
        <v>0</v>
      </c>
      <c r="X35" s="189"/>
      <c r="Y35" s="189"/>
      <c r="Z35" s="189"/>
      <c r="AA35" s="189"/>
      <c r="AB35" s="189"/>
      <c r="AC35" s="189"/>
      <c r="AD35" s="189"/>
      <c r="AE35" s="183">
        <f t="shared" si="8"/>
        <v>0</v>
      </c>
      <c r="AF35" s="184">
        <f t="shared" si="3"/>
        <v>0</v>
      </c>
      <c r="AG35" s="95">
        <f t="shared" si="7"/>
        <v>0</v>
      </c>
      <c r="AI35" s="199"/>
      <c r="AJ35" s="200">
        <f t="shared" si="0"/>
        <v>0</v>
      </c>
      <c r="AK35" s="199">
        <f t="shared" si="4"/>
        <v>0</v>
      </c>
      <c r="AL35" s="201">
        <f t="shared" si="1"/>
        <v>0</v>
      </c>
    </row>
    <row r="36" spans="2:38" s="173" customFormat="1" ht="18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>
        <f>'[6]HARVESTING KHT'!$AK18</f>
        <v>0</v>
      </c>
      <c r="X36" s="189"/>
      <c r="Y36" s="189"/>
      <c r="Z36" s="189"/>
      <c r="AA36" s="189"/>
      <c r="AB36" s="189"/>
      <c r="AC36" s="189"/>
      <c r="AD36" s="189"/>
      <c r="AE36" s="183">
        <f t="shared" si="8"/>
        <v>0</v>
      </c>
      <c r="AF36" s="184">
        <f t="shared" si="3"/>
        <v>0</v>
      </c>
      <c r="AG36" s="95">
        <f t="shared" si="7"/>
        <v>0</v>
      </c>
      <c r="AI36" s="199"/>
      <c r="AJ36" s="200">
        <f t="shared" si="0"/>
        <v>0</v>
      </c>
      <c r="AK36" s="199">
        <f t="shared" si="4"/>
        <v>0</v>
      </c>
      <c r="AL36" s="201">
        <f t="shared" si="1"/>
        <v>0</v>
      </c>
    </row>
    <row r="37" spans="2:38" s="173" customFormat="1" ht="18" customHeight="1">
      <c r="B37" s="174">
        <v>25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>31*121333.33</f>
        <v>3761333.23</v>
      </c>
      <c r="L37" s="169">
        <f t="shared" si="6"/>
        <v>30575.999999999996</v>
      </c>
      <c r="M37" s="189">
        <f>'[13]HARVESTING KHT'!$AQ12</f>
        <v>145800</v>
      </c>
      <c r="N37" s="189">
        <f>'[13]HARVESTING KHT'!$U12</f>
        <v>139500</v>
      </c>
      <c r="O37" s="189"/>
      <c r="P37" s="189"/>
      <c r="Q37" s="189"/>
      <c r="R37" s="189">
        <f>'[13]HARVESTING KHT'!$AA12</f>
        <v>333933</v>
      </c>
      <c r="S37" s="189">
        <f>'[13]HARVESTING KHT'!$AB12</f>
        <v>226800</v>
      </c>
      <c r="T37" s="189">
        <f>'[13]HARVESTING KHT'!$AC12</f>
        <v>0</v>
      </c>
      <c r="U37" s="189"/>
      <c r="V37" s="189">
        <f>'[13]HARVESTING KHT'!$AH12</f>
        <v>150000</v>
      </c>
      <c r="W37" s="189">
        <f>'[6]HARVESTING KHT'!$AK19</f>
        <v>0</v>
      </c>
      <c r="X37" s="189">
        <f>'[13]HARVESTING KHT'!$Z12</f>
        <v>5000</v>
      </c>
      <c r="Y37" s="189"/>
      <c r="Z37" s="189"/>
      <c r="AA37" s="189"/>
      <c r="AB37" s="189">
        <f>-'[13]HARVESTING KHT'!$BI12</f>
        <v>0</v>
      </c>
      <c r="AC37" s="189"/>
      <c r="AD37" s="189"/>
      <c r="AE37" s="183">
        <f t="shared" si="8"/>
        <v>4792942</v>
      </c>
      <c r="AF37" s="184">
        <f t="shared" si="3"/>
        <v>0</v>
      </c>
      <c r="AG37" s="95">
        <f t="shared" si="7"/>
        <v>0</v>
      </c>
      <c r="AI37" s="199">
        <f>'[13]HARVESTING KHT'!$AL12</f>
        <v>4616566.2300000004</v>
      </c>
      <c r="AJ37" s="200">
        <f t="shared" si="0"/>
        <v>176376</v>
      </c>
      <c r="AK37" s="199">
        <f t="shared" si="4"/>
        <v>4792942.2300000004</v>
      </c>
      <c r="AL37" s="201">
        <f t="shared" si="1"/>
        <v>0.23000000044703484</v>
      </c>
    </row>
    <row r="38" spans="2:38" s="173" customFormat="1" ht="18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66" si="9">IF(J38="TER A",VLOOKUP(AE38,Ter_A,4,TRUE),IF(J38="TER B",VLOOKUP(AE38,Ter_B,4,TRUE),VLOOKUP(AE38,Ter_C,4,TRUE)))</f>
        <v>0</v>
      </c>
      <c r="AG38" s="95">
        <f t="shared" si="7"/>
        <v>0</v>
      </c>
      <c r="AI38" s="199"/>
      <c r="AJ38" s="200">
        <f t="shared" si="0"/>
        <v>0</v>
      </c>
      <c r="AK38" s="199">
        <f t="shared" si="4"/>
        <v>0</v>
      </c>
      <c r="AL38" s="201">
        <f t="shared" si="1"/>
        <v>0</v>
      </c>
    </row>
    <row r="39" spans="2:38" s="173" customFormat="1" ht="18" customHeight="1">
      <c r="B39" s="174"/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/>
      <c r="L39" s="16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3">
        <f t="shared" si="8"/>
        <v>0</v>
      </c>
      <c r="AF39" s="184">
        <f t="shared" si="9"/>
        <v>0</v>
      </c>
      <c r="AG39" s="95">
        <f t="shared" si="7"/>
        <v>0</v>
      </c>
      <c r="AI39" s="199"/>
      <c r="AJ39" s="200">
        <f t="shared" si="0"/>
        <v>0</v>
      </c>
      <c r="AK39" s="199">
        <f t="shared" si="4"/>
        <v>0</v>
      </c>
      <c r="AL39" s="201">
        <f t="shared" si="1"/>
        <v>0</v>
      </c>
    </row>
    <row r="40" spans="2:38" s="173" customFormat="1" ht="18" customHeight="1">
      <c r="B40" s="174"/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/>
      <c r="L40" s="16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3">
        <f t="shared" si="8"/>
        <v>0</v>
      </c>
      <c r="AF40" s="184">
        <f t="shared" si="9"/>
        <v>0</v>
      </c>
      <c r="AG40" s="95">
        <f t="shared" si="7"/>
        <v>0</v>
      </c>
      <c r="AI40" s="199"/>
      <c r="AJ40" s="200">
        <f t="shared" si="0"/>
        <v>0</v>
      </c>
      <c r="AK40" s="199">
        <f t="shared" si="4"/>
        <v>0</v>
      </c>
      <c r="AL40" s="201">
        <f t="shared" si="1"/>
        <v>0</v>
      </c>
    </row>
    <row r="41" spans="2:38" s="173" customFormat="1" ht="18" customHeight="1">
      <c r="B41" s="174">
        <v>26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>31*121333.33</f>
        <v>3761333.23</v>
      </c>
      <c r="L41" s="169">
        <f t="shared" si="6"/>
        <v>30575.999999999996</v>
      </c>
      <c r="M41" s="189">
        <f>'[13]HARVESTING KHT'!$AQ13</f>
        <v>146320</v>
      </c>
      <c r="N41" s="189">
        <f>'[13]HARVESTING KHT'!$U13</f>
        <v>162000</v>
      </c>
      <c r="O41" s="189"/>
      <c r="P41" s="189"/>
      <c r="Q41" s="189"/>
      <c r="R41" s="189">
        <f>'[13]HARVESTING KHT'!$AA13</f>
        <v>0</v>
      </c>
      <c r="S41" s="189">
        <f>'[13]HARVESTING KHT'!$AB13</f>
        <v>115500</v>
      </c>
      <c r="T41" s="189">
        <f>'[13]HARVESTING KHT'!$AC13</f>
        <v>0</v>
      </c>
      <c r="U41" s="189"/>
      <c r="V41" s="189">
        <f>'[13]HARVESTING KHT'!$AH13</f>
        <v>0</v>
      </c>
      <c r="W41" s="189">
        <f>'[6]HARVESTING KHT'!$AK23</f>
        <v>0</v>
      </c>
      <c r="X41" s="189">
        <f>'[13]HARVESTING KHT'!$Z13</f>
        <v>18000</v>
      </c>
      <c r="Y41" s="189"/>
      <c r="Z41" s="189"/>
      <c r="AA41" s="189"/>
      <c r="AB41" s="189">
        <f>-'[13]HARVESTING KHT'!$BI13</f>
        <v>-121333.33</v>
      </c>
      <c r="AC41" s="189"/>
      <c r="AD41" s="189"/>
      <c r="AE41" s="183">
        <f t="shared" si="8"/>
        <v>4112395</v>
      </c>
      <c r="AF41" s="184">
        <f t="shared" si="9"/>
        <v>0</v>
      </c>
      <c r="AG41" s="95">
        <f t="shared" si="7"/>
        <v>0</v>
      </c>
      <c r="AI41" s="199">
        <f>'[13]HARVESTING KHT'!$AL13</f>
        <v>3935499.9000000004</v>
      </c>
      <c r="AJ41" s="200">
        <f t="shared" si="0"/>
        <v>176896</v>
      </c>
      <c r="AK41" s="199">
        <f t="shared" si="4"/>
        <v>4112395.9000000004</v>
      </c>
      <c r="AL41" s="201">
        <f t="shared" si="1"/>
        <v>0.90000000037252903</v>
      </c>
    </row>
    <row r="42" spans="2:38" s="173" customFormat="1" ht="18" customHeight="1">
      <c r="B42" s="174">
        <v>27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>31*121333.33</f>
        <v>3761333.23</v>
      </c>
      <c r="L42" s="169">
        <f t="shared" si="6"/>
        <v>30575.999999999996</v>
      </c>
      <c r="M42" s="189">
        <f>'[13]HARVESTING KHT'!$AQ14</f>
        <v>146440</v>
      </c>
      <c r="N42" s="189">
        <f>'[13]HARVESTING KHT'!$U14</f>
        <v>139500</v>
      </c>
      <c r="O42" s="189"/>
      <c r="P42" s="189"/>
      <c r="Q42" s="189"/>
      <c r="R42" s="189">
        <f>'[13]HARVESTING KHT'!$AA14</f>
        <v>11272</v>
      </c>
      <c r="S42" s="189">
        <f>'[13]HARVESTING KHT'!$AB14</f>
        <v>122850</v>
      </c>
      <c r="T42" s="189">
        <f>'[13]HARVESTING KHT'!$AC14</f>
        <v>0</v>
      </c>
      <c r="U42" s="189"/>
      <c r="V42" s="189">
        <f>'[13]HARVESTING KHT'!$AH14</f>
        <v>0</v>
      </c>
      <c r="W42" s="189">
        <f>'[6]HARVESTING KHT'!$AK24</f>
        <v>0</v>
      </c>
      <c r="X42" s="189">
        <f>'[13]HARVESTING KHT'!$Z14</f>
        <v>21000</v>
      </c>
      <c r="Y42" s="189"/>
      <c r="Z42" s="189"/>
      <c r="AA42" s="189"/>
      <c r="AB42" s="189">
        <f>-'[13]HARVESTING KHT'!$BI14</f>
        <v>0</v>
      </c>
      <c r="AC42" s="189"/>
      <c r="AD42" s="189"/>
      <c r="AE42" s="183">
        <f t="shared" si="8"/>
        <v>4232971</v>
      </c>
      <c r="AF42" s="184">
        <f t="shared" si="9"/>
        <v>0</v>
      </c>
      <c r="AG42" s="95">
        <f t="shared" si="7"/>
        <v>0</v>
      </c>
      <c r="AI42" s="199">
        <f>'[13]HARVESTING KHT'!$AL14</f>
        <v>4055955.23</v>
      </c>
      <c r="AJ42" s="200">
        <f t="shared" si="0"/>
        <v>177016</v>
      </c>
      <c r="AK42" s="199">
        <f t="shared" si="4"/>
        <v>4232971.2300000004</v>
      </c>
      <c r="AL42" s="201">
        <f t="shared" si="1"/>
        <v>0.23000000044703484</v>
      </c>
    </row>
    <row r="43" spans="2:38" s="173" customFormat="1" ht="18" customHeight="1">
      <c r="B43" s="174"/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/>
      <c r="L43" s="16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3">
        <f t="shared" si="8"/>
        <v>0</v>
      </c>
      <c r="AF43" s="184">
        <f t="shared" si="9"/>
        <v>0</v>
      </c>
      <c r="AG43" s="95">
        <f t="shared" si="7"/>
        <v>0</v>
      </c>
      <c r="AI43" s="199"/>
      <c r="AJ43" s="200">
        <f t="shared" si="0"/>
        <v>0</v>
      </c>
      <c r="AK43" s="199">
        <f t="shared" si="4"/>
        <v>0</v>
      </c>
      <c r="AL43" s="201">
        <f t="shared" si="1"/>
        <v>0</v>
      </c>
    </row>
    <row r="44" spans="2:38" s="173" customFormat="1" ht="18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9"/>
        <v>0</v>
      </c>
      <c r="AG44" s="95">
        <f t="shared" si="7"/>
        <v>0</v>
      </c>
      <c r="AI44" s="199"/>
      <c r="AJ44" s="200">
        <f t="shared" si="0"/>
        <v>0</v>
      </c>
      <c r="AK44" s="199">
        <f t="shared" si="4"/>
        <v>0</v>
      </c>
      <c r="AL44" s="201">
        <f t="shared" si="1"/>
        <v>0</v>
      </c>
    </row>
    <row r="45" spans="2:38" s="173" customFormat="1" ht="18" customHeight="1">
      <c r="B45" s="174">
        <v>28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>31*121333.33</f>
        <v>3761333.23</v>
      </c>
      <c r="L45" s="169">
        <f t="shared" si="6"/>
        <v>30575.999999999996</v>
      </c>
      <c r="M45" s="189">
        <f>'[13]HARVESTING KHT'!$AQ15</f>
        <v>145700</v>
      </c>
      <c r="N45" s="189">
        <f>'[13]HARVESTING KHT'!$U15</f>
        <v>167400</v>
      </c>
      <c r="O45" s="189"/>
      <c r="P45" s="189"/>
      <c r="Q45" s="189"/>
      <c r="R45" s="189">
        <f>'[13]HARVESTING KHT'!$AA15</f>
        <v>147945</v>
      </c>
      <c r="S45" s="189">
        <f>'[13]HARVESTING KHT'!$AB15</f>
        <v>159600</v>
      </c>
      <c r="T45" s="189">
        <f>'[13]HARVESTING KHT'!$AC15</f>
        <v>0</v>
      </c>
      <c r="U45" s="189"/>
      <c r="V45" s="189">
        <f>'[13]HARVESTING KHT'!$AH15</f>
        <v>0</v>
      </c>
      <c r="W45" s="189">
        <f>'[6]HARVESTING KHT'!$AK27</f>
        <v>0</v>
      </c>
      <c r="X45" s="189">
        <f>'[13]HARVESTING KHT'!$Z15</f>
        <v>2500</v>
      </c>
      <c r="Y45" s="189"/>
      <c r="Z45" s="189"/>
      <c r="AA45" s="189"/>
      <c r="AB45" s="189">
        <f>-'[13]HARVESTING KHT'!$BI15</f>
        <v>0</v>
      </c>
      <c r="AC45" s="189"/>
      <c r="AD45" s="189"/>
      <c r="AE45" s="183">
        <f t="shared" si="8"/>
        <v>4415054</v>
      </c>
      <c r="AF45" s="184">
        <f t="shared" si="9"/>
        <v>0</v>
      </c>
      <c r="AG45" s="95">
        <f t="shared" si="7"/>
        <v>0</v>
      </c>
      <c r="AI45" s="199">
        <f>'[13]HARVESTING KHT'!$AL15</f>
        <v>4238778.2300000004</v>
      </c>
      <c r="AJ45" s="200">
        <f t="shared" si="0"/>
        <v>176276</v>
      </c>
      <c r="AK45" s="199">
        <f t="shared" si="4"/>
        <v>4415054.2300000004</v>
      </c>
      <c r="AL45" s="201">
        <f>AK45-AE45</f>
        <v>0.23000000044703484</v>
      </c>
    </row>
    <row r="46" spans="2:38" s="173" customFormat="1" ht="18" customHeight="1">
      <c r="B46" s="174">
        <v>29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>31*121333.33</f>
        <v>3761333.23</v>
      </c>
      <c r="L46" s="169">
        <f t="shared" si="6"/>
        <v>30575.999999999996</v>
      </c>
      <c r="M46" s="189">
        <f>'[13]HARVESTING KHT'!$AQ16</f>
        <v>145900</v>
      </c>
      <c r="N46" s="189">
        <f>'[13]HARVESTING KHT'!$U16</f>
        <v>69750</v>
      </c>
      <c r="O46" s="189"/>
      <c r="P46" s="189"/>
      <c r="Q46" s="189"/>
      <c r="R46" s="189">
        <f>'[13]HARVESTING KHT'!$AA16</f>
        <v>264892</v>
      </c>
      <c r="S46" s="189">
        <f>'[13]HARVESTING KHT'!$AB16</f>
        <v>170100</v>
      </c>
      <c r="T46" s="189">
        <f>'[13]HARVESTING KHT'!$AC16</f>
        <v>0</v>
      </c>
      <c r="U46" s="189"/>
      <c r="V46" s="189">
        <f>'[13]HARVESTING KHT'!$AH16</f>
        <v>0</v>
      </c>
      <c r="W46" s="189">
        <f>'[6]HARVESTING KHT'!$AK28</f>
        <v>0</v>
      </c>
      <c r="X46" s="189">
        <f>'[13]HARVESTING KHT'!$Z16</f>
        <v>7500</v>
      </c>
      <c r="Y46" s="189"/>
      <c r="Z46" s="189"/>
      <c r="AA46" s="189"/>
      <c r="AB46" s="189">
        <f>-'[13]HARVESTING KHT'!$BI16</f>
        <v>0</v>
      </c>
      <c r="AC46" s="189"/>
      <c r="AD46" s="189"/>
      <c r="AE46" s="183">
        <f t="shared" si="8"/>
        <v>4450051</v>
      </c>
      <c r="AF46" s="184">
        <f t="shared" si="9"/>
        <v>0</v>
      </c>
      <c r="AG46" s="95">
        <f t="shared" si="7"/>
        <v>0</v>
      </c>
      <c r="AI46" s="199">
        <f>'[13]HARVESTING KHT'!$AL16</f>
        <v>4273575.2300000004</v>
      </c>
      <c r="AJ46" s="200">
        <f t="shared" si="0"/>
        <v>176476</v>
      </c>
      <c r="AK46" s="199">
        <f t="shared" si="4"/>
        <v>4450051.2300000004</v>
      </c>
      <c r="AL46" s="201">
        <f>AK46-AE46</f>
        <v>0.23000000044703484</v>
      </c>
    </row>
    <row r="47" spans="2:38" s="173" customFormat="1" ht="18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>
        <f>'[6]HARVESTING KHT'!$AK29</f>
        <v>0</v>
      </c>
      <c r="X47" s="189"/>
      <c r="Y47" s="189"/>
      <c r="Z47" s="189"/>
      <c r="AA47" s="189"/>
      <c r="AB47" s="189"/>
      <c r="AC47" s="189"/>
      <c r="AD47" s="189"/>
      <c r="AE47" s="183">
        <f t="shared" si="8"/>
        <v>0</v>
      </c>
      <c r="AF47" s="184">
        <f t="shared" si="9"/>
        <v>0</v>
      </c>
      <c r="AG47" s="95">
        <f t="shared" si="7"/>
        <v>0</v>
      </c>
      <c r="AI47" s="199"/>
      <c r="AJ47" s="200">
        <f t="shared" si="0"/>
        <v>0</v>
      </c>
      <c r="AK47" s="199">
        <f t="shared" si="4"/>
        <v>0</v>
      </c>
      <c r="AL47" s="201">
        <f t="shared" si="1"/>
        <v>0</v>
      </c>
    </row>
    <row r="48" spans="2:38" s="173" customFormat="1" ht="18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9"/>
        <v>0</v>
      </c>
      <c r="AG48" s="95">
        <f t="shared" si="7"/>
        <v>0</v>
      </c>
      <c r="AI48" s="199"/>
      <c r="AJ48" s="200">
        <f t="shared" si="0"/>
        <v>0</v>
      </c>
      <c r="AK48" s="199">
        <f t="shared" si="4"/>
        <v>0</v>
      </c>
      <c r="AL48" s="201">
        <f t="shared" si="1"/>
        <v>0</v>
      </c>
    </row>
    <row r="49" spans="2:38" s="173" customFormat="1" ht="18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9"/>
        <v>0</v>
      </c>
      <c r="AG49" s="95">
        <f t="shared" si="7"/>
        <v>0</v>
      </c>
      <c r="AI49" s="199"/>
      <c r="AJ49" s="200">
        <f t="shared" si="0"/>
        <v>0</v>
      </c>
      <c r="AK49" s="199">
        <f t="shared" si="4"/>
        <v>0</v>
      </c>
      <c r="AL49" s="201">
        <f t="shared" si="1"/>
        <v>0</v>
      </c>
    </row>
    <row r="50" spans="2:38" s="173" customFormat="1" ht="18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9"/>
        <v>0</v>
      </c>
      <c r="AG50" s="95">
        <f t="shared" si="7"/>
        <v>0</v>
      </c>
      <c r="AI50" s="199"/>
      <c r="AJ50" s="200">
        <f t="shared" si="0"/>
        <v>0</v>
      </c>
      <c r="AK50" s="199">
        <f t="shared" si="4"/>
        <v>0</v>
      </c>
      <c r="AL50" s="201">
        <f t="shared" si="1"/>
        <v>0</v>
      </c>
    </row>
    <row r="51" spans="2:38" s="173" customFormat="1" ht="18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9"/>
        <v>0</v>
      </c>
      <c r="AG51" s="95">
        <f t="shared" si="7"/>
        <v>0</v>
      </c>
      <c r="AI51" s="199"/>
      <c r="AJ51" s="200">
        <f t="shared" si="0"/>
        <v>0</v>
      </c>
      <c r="AK51" s="199">
        <f t="shared" si="4"/>
        <v>0</v>
      </c>
      <c r="AL51" s="201">
        <f t="shared" si="1"/>
        <v>0</v>
      </c>
    </row>
    <row r="52" spans="2:38" s="173" customFormat="1" ht="18" customHeight="1">
      <c r="B52" s="174"/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/>
      <c r="L52" s="16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3">
        <f t="shared" si="8"/>
        <v>0</v>
      </c>
      <c r="AF52" s="184">
        <f t="shared" si="9"/>
        <v>0</v>
      </c>
      <c r="AG52" s="95">
        <f t="shared" si="7"/>
        <v>0</v>
      </c>
      <c r="AI52" s="199"/>
      <c r="AJ52" s="200">
        <f t="shared" si="0"/>
        <v>0</v>
      </c>
      <c r="AK52" s="199">
        <f t="shared" si="4"/>
        <v>0</v>
      </c>
      <c r="AL52" s="201">
        <f t="shared" si="1"/>
        <v>0</v>
      </c>
    </row>
    <row r="53" spans="2:38" s="173" customFormat="1" ht="18" customHeight="1">
      <c r="B53" s="174">
        <v>30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>31*121333.33</f>
        <v>3761333.23</v>
      </c>
      <c r="L53" s="169">
        <f t="shared" si="6"/>
        <v>30575.999999999996</v>
      </c>
      <c r="M53" s="189">
        <f>'[13]HARVESTING KHT'!$AQ17</f>
        <v>145700</v>
      </c>
      <c r="N53" s="189">
        <f>'[13]HARVESTING KHT'!$U17</f>
        <v>167400</v>
      </c>
      <c r="O53" s="189"/>
      <c r="P53" s="189"/>
      <c r="Q53" s="189"/>
      <c r="R53" s="189">
        <f>'[13]HARVESTING KHT'!$AA17</f>
        <v>145127</v>
      </c>
      <c r="S53" s="189">
        <f>'[13]HARVESTING KHT'!$AB17</f>
        <v>320250</v>
      </c>
      <c r="T53" s="189">
        <f>'[13]HARVESTING KHT'!$AC17</f>
        <v>0</v>
      </c>
      <c r="U53" s="189"/>
      <c r="V53" s="189">
        <f>'[13]HARVESTING KHT'!$AH17</f>
        <v>150000</v>
      </c>
      <c r="W53" s="189">
        <f>'[6]HARVESTING KHT'!$AK35</f>
        <v>0</v>
      </c>
      <c r="X53" s="189">
        <f>'[13]HARVESTING KHT'!$Z17</f>
        <v>2500</v>
      </c>
      <c r="Y53" s="189"/>
      <c r="Z53" s="189"/>
      <c r="AA53" s="189"/>
      <c r="AB53" s="189">
        <f>-'[13]HARVESTING KHT'!$BI17</f>
        <v>0</v>
      </c>
      <c r="AC53" s="189"/>
      <c r="AD53" s="189"/>
      <c r="AE53" s="183">
        <f t="shared" si="8"/>
        <v>4722886</v>
      </c>
      <c r="AF53" s="184">
        <f t="shared" si="9"/>
        <v>0</v>
      </c>
      <c r="AG53" s="95">
        <f t="shared" si="7"/>
        <v>0</v>
      </c>
      <c r="AI53" s="199">
        <f>'[13]HARVESTING KHT'!$AL17</f>
        <v>4546610.2300000004</v>
      </c>
      <c r="AJ53" s="200">
        <f t="shared" si="0"/>
        <v>176276</v>
      </c>
      <c r="AK53" s="199">
        <f t="shared" si="4"/>
        <v>4722886.2300000004</v>
      </c>
      <c r="AL53" s="201">
        <f t="shared" si="1"/>
        <v>0.23000000044703484</v>
      </c>
    </row>
    <row r="54" spans="2:38" s="173" customFormat="1" ht="18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>
        <f>'[6]HARVESTING KHT'!$AK36</f>
        <v>0</v>
      </c>
      <c r="X54" s="189"/>
      <c r="Y54" s="189"/>
      <c r="Z54" s="189"/>
      <c r="AA54" s="189"/>
      <c r="AB54" s="189"/>
      <c r="AC54" s="189"/>
      <c r="AD54" s="189"/>
      <c r="AE54" s="183">
        <f t="shared" si="8"/>
        <v>0</v>
      </c>
      <c r="AF54" s="184">
        <f t="shared" si="9"/>
        <v>0</v>
      </c>
      <c r="AG54" s="95">
        <f t="shared" si="7"/>
        <v>0</v>
      </c>
      <c r="AI54" s="199"/>
      <c r="AJ54" s="200">
        <f t="shared" si="0"/>
        <v>0</v>
      </c>
      <c r="AK54" s="199">
        <f t="shared" si="4"/>
        <v>0</v>
      </c>
      <c r="AL54" s="201">
        <f t="shared" si="1"/>
        <v>0</v>
      </c>
    </row>
    <row r="55" spans="2:38" s="173" customFormat="1" ht="18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>
        <f>'[6]HARVESTING KHT'!$AK37</f>
        <v>0</v>
      </c>
      <c r="X55" s="189"/>
      <c r="Y55" s="189"/>
      <c r="Z55" s="189"/>
      <c r="AA55" s="189"/>
      <c r="AB55" s="189"/>
      <c r="AC55" s="189"/>
      <c r="AD55" s="189"/>
      <c r="AE55" s="183">
        <f t="shared" si="8"/>
        <v>0</v>
      </c>
      <c r="AF55" s="184">
        <f t="shared" si="9"/>
        <v>0</v>
      </c>
      <c r="AG55" s="95">
        <f t="shared" si="7"/>
        <v>0</v>
      </c>
      <c r="AI55" s="199"/>
      <c r="AJ55" s="200">
        <f t="shared" si="0"/>
        <v>0</v>
      </c>
      <c r="AK55" s="199">
        <f t="shared" si="4"/>
        <v>0</v>
      </c>
      <c r="AL55" s="201">
        <f t="shared" si="1"/>
        <v>0</v>
      </c>
    </row>
    <row r="56" spans="2:38" s="173" customFormat="1" ht="18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9"/>
        <v>0</v>
      </c>
      <c r="AG56" s="95">
        <f t="shared" si="7"/>
        <v>0</v>
      </c>
      <c r="AI56" s="199"/>
      <c r="AJ56" s="200">
        <f t="shared" si="0"/>
        <v>0</v>
      </c>
      <c r="AK56" s="199">
        <f t="shared" si="4"/>
        <v>0</v>
      </c>
      <c r="AL56" s="201">
        <f t="shared" si="1"/>
        <v>0</v>
      </c>
    </row>
    <row r="57" spans="2:38" s="173" customFormat="1" ht="18" customHeight="1">
      <c r="B57" s="174">
        <v>31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>31*121333.33</f>
        <v>3761333.23</v>
      </c>
      <c r="L57" s="169">
        <f t="shared" si="6"/>
        <v>30575.999999999996</v>
      </c>
      <c r="M57" s="189">
        <f>'[13]HARVESTING KHT'!$AQ18</f>
        <v>146100</v>
      </c>
      <c r="N57" s="189">
        <f>'[13]HARVESTING KHT'!$U18</f>
        <v>167400</v>
      </c>
      <c r="O57" s="189"/>
      <c r="P57" s="189"/>
      <c r="Q57" s="189"/>
      <c r="R57" s="189">
        <f>'[13]HARVESTING KHT'!$AA18</f>
        <v>135264</v>
      </c>
      <c r="S57" s="189">
        <f>'[13]HARVESTING KHT'!$AB18</f>
        <v>236250</v>
      </c>
      <c r="T57" s="189">
        <f>'[13]HARVESTING KHT'!$AC18</f>
        <v>0</v>
      </c>
      <c r="U57" s="189"/>
      <c r="V57" s="189">
        <f>'[13]HARVESTING KHT'!$AH18</f>
        <v>0</v>
      </c>
      <c r="W57" s="189">
        <f>'[6]HARVESTING KHT'!$AK39</f>
        <v>0</v>
      </c>
      <c r="X57" s="189">
        <f>'[13]HARVESTING KHT'!$Z18</f>
        <v>12500</v>
      </c>
      <c r="Y57" s="189"/>
      <c r="Z57" s="189"/>
      <c r="AA57" s="189"/>
      <c r="AB57" s="189">
        <f>-'[13]HARVESTING KHT'!$BI18</f>
        <v>0</v>
      </c>
      <c r="AC57" s="189"/>
      <c r="AD57" s="189"/>
      <c r="AE57" s="183">
        <f t="shared" si="8"/>
        <v>4489423</v>
      </c>
      <c r="AF57" s="184">
        <f t="shared" si="9"/>
        <v>0</v>
      </c>
      <c r="AG57" s="95">
        <f t="shared" si="7"/>
        <v>0</v>
      </c>
      <c r="AI57" s="199">
        <f>'[13]HARVESTING KHT'!$AL18</f>
        <v>4312747.2300000004</v>
      </c>
      <c r="AJ57" s="200">
        <f t="shared" si="0"/>
        <v>176676</v>
      </c>
      <c r="AK57" s="199">
        <f t="shared" si="4"/>
        <v>4489423.2300000004</v>
      </c>
      <c r="AL57" s="201">
        <f t="shared" si="1"/>
        <v>0.23000000044703484</v>
      </c>
    </row>
    <row r="58" spans="2:38" s="173" customFormat="1" ht="18" customHeight="1">
      <c r="B58" s="174">
        <v>32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>31*121333.33</f>
        <v>3761333.23</v>
      </c>
      <c r="L58" s="169">
        <f t="shared" si="6"/>
        <v>30575.999999999996</v>
      </c>
      <c r="M58" s="189">
        <f>'[13]HARVESTING KHT'!$AQ19</f>
        <v>145700</v>
      </c>
      <c r="N58" s="189">
        <f>'[13]HARVESTING KHT'!$U19</f>
        <v>111600</v>
      </c>
      <c r="O58" s="189"/>
      <c r="P58" s="189"/>
      <c r="Q58" s="189"/>
      <c r="R58" s="189">
        <f>'[13]HARVESTING KHT'!$AA19</f>
        <v>180352</v>
      </c>
      <c r="S58" s="189">
        <f>'[13]HARVESTING KHT'!$AB19</f>
        <v>247800</v>
      </c>
      <c r="T58" s="189">
        <f>'[13]HARVESTING KHT'!$AC19</f>
        <v>0</v>
      </c>
      <c r="U58" s="189"/>
      <c r="V58" s="189">
        <f>'[13]HARVESTING KHT'!$AH19</f>
        <v>0</v>
      </c>
      <c r="W58" s="189">
        <f>'[6]HARVESTING KHT'!$AK40</f>
        <v>0</v>
      </c>
      <c r="X58" s="189">
        <f>'[13]HARVESTING KHT'!$Z19</f>
        <v>2500</v>
      </c>
      <c r="Y58" s="189"/>
      <c r="Z58" s="189"/>
      <c r="AA58" s="189"/>
      <c r="AB58" s="189">
        <f>-'[13]HARVESTING KHT'!$BI19</f>
        <v>0</v>
      </c>
      <c r="AC58" s="189"/>
      <c r="AD58" s="189"/>
      <c r="AE58" s="183">
        <f t="shared" si="8"/>
        <v>4479861</v>
      </c>
      <c r="AF58" s="184">
        <f t="shared" si="9"/>
        <v>0</v>
      </c>
      <c r="AG58" s="95">
        <f t="shared" si="7"/>
        <v>0</v>
      </c>
      <c r="AI58" s="199">
        <f>'[13]HARVESTING KHT'!$AL19</f>
        <v>4303585.2300000004</v>
      </c>
      <c r="AJ58" s="200">
        <f t="shared" si="0"/>
        <v>176276</v>
      </c>
      <c r="AK58" s="199">
        <f t="shared" si="4"/>
        <v>4479861.2300000004</v>
      </c>
      <c r="AL58" s="201">
        <f t="shared" si="1"/>
        <v>0.23000000044703484</v>
      </c>
    </row>
    <row r="59" spans="2:38" s="173" customFormat="1" ht="18" customHeight="1">
      <c r="B59" s="174"/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/>
      <c r="L59" s="16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3">
        <f t="shared" si="8"/>
        <v>0</v>
      </c>
      <c r="AF59" s="184">
        <f t="shared" si="9"/>
        <v>0</v>
      </c>
      <c r="AG59" s="95">
        <f t="shared" si="7"/>
        <v>0</v>
      </c>
      <c r="AI59" s="199"/>
      <c r="AJ59" s="200">
        <f t="shared" si="0"/>
        <v>0</v>
      </c>
      <c r="AK59" s="199">
        <f t="shared" si="4"/>
        <v>0</v>
      </c>
      <c r="AL59" s="201">
        <f t="shared" si="1"/>
        <v>0</v>
      </c>
    </row>
    <row r="60" spans="2:38" s="173" customFormat="1" ht="18" customHeight="1">
      <c r="B60" s="174">
        <v>33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>31*121333.33</f>
        <v>3761333.23</v>
      </c>
      <c r="L60" s="169">
        <f t="shared" si="6"/>
        <v>30575.999999999996</v>
      </c>
      <c r="M60" s="189">
        <f>'[13]HARVESTING KHT'!$AQ20</f>
        <v>145600</v>
      </c>
      <c r="N60" s="189">
        <f>'[13]HARVESTING KHT'!$U20</f>
        <v>167400</v>
      </c>
      <c r="O60" s="189"/>
      <c r="P60" s="189"/>
      <c r="Q60" s="189"/>
      <c r="R60" s="189">
        <f>'[13]HARVESTING KHT'!$AA20</f>
        <v>288845</v>
      </c>
      <c r="S60" s="189">
        <f>'[13]HARVESTING KHT'!$AB20</f>
        <v>228900</v>
      </c>
      <c r="T60" s="189">
        <f>'[13]HARVESTING KHT'!$AC20</f>
        <v>0</v>
      </c>
      <c r="U60" s="189"/>
      <c r="V60" s="189">
        <f>'[13]HARVESTING KHT'!$AH20</f>
        <v>0</v>
      </c>
      <c r="W60" s="189">
        <f>'[6]HARVESTING KHT'!$AK42</f>
        <v>0</v>
      </c>
      <c r="X60" s="189">
        <f>'[13]HARVESTING KHT'!$Z20</f>
        <v>0</v>
      </c>
      <c r="Y60" s="189"/>
      <c r="Z60" s="189"/>
      <c r="AA60" s="189"/>
      <c r="AB60" s="189">
        <f>-'[13]HARVESTING KHT'!$BI20</f>
        <v>0</v>
      </c>
      <c r="AC60" s="189"/>
      <c r="AD60" s="189"/>
      <c r="AE60" s="183">
        <f t="shared" si="8"/>
        <v>4622654</v>
      </c>
      <c r="AF60" s="184">
        <f t="shared" si="9"/>
        <v>0</v>
      </c>
      <c r="AG60" s="95">
        <f t="shared" si="7"/>
        <v>0</v>
      </c>
      <c r="AI60" s="199">
        <f>'[13]HARVESTING KHT'!$AL20</f>
        <v>4446478.2300000004</v>
      </c>
      <c r="AJ60" s="200">
        <f t="shared" si="0"/>
        <v>176176</v>
      </c>
      <c r="AK60" s="199">
        <f t="shared" si="4"/>
        <v>4622654.2300000004</v>
      </c>
      <c r="AL60" s="201">
        <f t="shared" si="1"/>
        <v>0.23000000044703484</v>
      </c>
    </row>
    <row r="61" spans="2:38" s="173" customFormat="1" ht="18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>
        <f>'[6]HARVESTING KHT'!$AK43</f>
        <v>0</v>
      </c>
      <c r="X61" s="189"/>
      <c r="Y61" s="189"/>
      <c r="Z61" s="189"/>
      <c r="AA61" s="189"/>
      <c r="AB61" s="189"/>
      <c r="AC61" s="189"/>
      <c r="AD61" s="189"/>
      <c r="AE61" s="183">
        <f t="shared" si="8"/>
        <v>0</v>
      </c>
      <c r="AF61" s="184">
        <f t="shared" si="9"/>
        <v>0</v>
      </c>
      <c r="AG61" s="95">
        <f t="shared" si="7"/>
        <v>0</v>
      </c>
      <c r="AI61" s="199"/>
      <c r="AJ61" s="200">
        <f t="shared" si="0"/>
        <v>0</v>
      </c>
      <c r="AK61" s="199">
        <f t="shared" si="4"/>
        <v>0</v>
      </c>
      <c r="AL61" s="201">
        <f t="shared" si="1"/>
        <v>0</v>
      </c>
    </row>
    <row r="62" spans="2:38" s="173" customFormat="1" ht="18" customHeight="1">
      <c r="B62" s="174">
        <v>34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>31*121333.33</f>
        <v>3761333.23</v>
      </c>
      <c r="L62" s="169">
        <f t="shared" si="6"/>
        <v>30575.999999999996</v>
      </c>
      <c r="M62" s="189">
        <f>'[13]HARVESTING KHT'!$AQ21</f>
        <v>145900</v>
      </c>
      <c r="N62" s="189">
        <f>'[13]HARVESTING KHT'!$U21</f>
        <v>167400</v>
      </c>
      <c r="O62" s="189"/>
      <c r="P62" s="189"/>
      <c r="Q62" s="189"/>
      <c r="R62" s="189">
        <f>'[13]HARVESTING KHT'!$AA21</f>
        <v>216986</v>
      </c>
      <c r="S62" s="189">
        <f>'[13]HARVESTING KHT'!$AB21</f>
        <v>225750</v>
      </c>
      <c r="T62" s="189">
        <f>'[13]HARVESTING KHT'!$AC21</f>
        <v>0</v>
      </c>
      <c r="U62" s="189"/>
      <c r="V62" s="189">
        <f>'[13]HARVESTING KHT'!$AH21</f>
        <v>0</v>
      </c>
      <c r="W62" s="189">
        <f>'[6]HARVESTING KHT'!$AK44</f>
        <v>0</v>
      </c>
      <c r="X62" s="189">
        <f>'[13]HARVESTING KHT'!$Z21</f>
        <v>7500</v>
      </c>
      <c r="Y62" s="189"/>
      <c r="Z62" s="189"/>
      <c r="AA62" s="189"/>
      <c r="AB62" s="189">
        <f>-'[13]HARVESTING KHT'!$BI21</f>
        <v>0</v>
      </c>
      <c r="AC62" s="189"/>
      <c r="AD62" s="189"/>
      <c r="AE62" s="183">
        <f t="shared" si="8"/>
        <v>4555445</v>
      </c>
      <c r="AF62" s="184">
        <f t="shared" si="9"/>
        <v>0</v>
      </c>
      <c r="AG62" s="95">
        <f t="shared" si="7"/>
        <v>0</v>
      </c>
      <c r="AI62" s="199">
        <f>'[13]HARVESTING KHT'!$AL21</f>
        <v>4378969.2300000004</v>
      </c>
      <c r="AJ62" s="200">
        <f t="shared" si="0"/>
        <v>176476</v>
      </c>
      <c r="AK62" s="199">
        <f t="shared" si="4"/>
        <v>4555445.2300000004</v>
      </c>
      <c r="AL62" s="201">
        <f t="shared" si="1"/>
        <v>0.23000000044703484</v>
      </c>
    </row>
    <row r="63" spans="2:38" s="173" customFormat="1" ht="18" customHeight="1">
      <c r="B63" s="174">
        <v>35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>31*121333.33</f>
        <v>3761333.23</v>
      </c>
      <c r="L63" s="169">
        <f t="shared" si="6"/>
        <v>30575.999999999996</v>
      </c>
      <c r="M63" s="189">
        <f>[13]TRANSPORT!$AH11</f>
        <v>146920</v>
      </c>
      <c r="N63" s="189">
        <f>[13]TRANSPORT!$S11</f>
        <v>130500</v>
      </c>
      <c r="O63" s="189">
        <f>[13]TRANSPORT!$V11</f>
        <v>69000</v>
      </c>
      <c r="P63" s="189">
        <f>[13]TRANSPORT!$Y11</f>
        <v>1146705.07</v>
      </c>
      <c r="Q63" s="189">
        <f>[13]TRANSPORT!$Z11</f>
        <v>1290115</v>
      </c>
      <c r="R63" s="189"/>
      <c r="S63" s="189"/>
      <c r="T63" s="189"/>
      <c r="U63" s="189"/>
      <c r="V63" s="189"/>
      <c r="W63" s="189"/>
      <c r="X63" s="189">
        <f>[13]TRANSPORT!$X11</f>
        <v>33000</v>
      </c>
      <c r="Y63" s="189"/>
      <c r="Z63" s="189"/>
      <c r="AA63" s="189"/>
      <c r="AB63" s="189">
        <f>-[13]TRANSPORT!$AX11</f>
        <v>-242666.66</v>
      </c>
      <c r="AC63" s="189"/>
      <c r="AD63" s="189"/>
      <c r="AE63" s="183">
        <f t="shared" si="8"/>
        <v>6365482</v>
      </c>
      <c r="AF63" s="184">
        <f t="shared" si="9"/>
        <v>2.5000000000000001E-3</v>
      </c>
      <c r="AG63" s="95">
        <f t="shared" si="7"/>
        <v>15913</v>
      </c>
      <c r="AI63" s="199">
        <f>[13]TRANSPORT!$AC11</f>
        <v>6187986.6399999997</v>
      </c>
      <c r="AJ63" s="200">
        <f t="shared" si="0"/>
        <v>177496</v>
      </c>
      <c r="AK63" s="199">
        <f t="shared" si="4"/>
        <v>6365482.6399999997</v>
      </c>
      <c r="AL63" s="201">
        <f t="shared" si="1"/>
        <v>0.63999999966472387</v>
      </c>
    </row>
    <row r="64" spans="2:38" s="173" customFormat="1" ht="18" customHeight="1">
      <c r="B64" s="174">
        <v>36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>31*121333.33</f>
        <v>3761333.23</v>
      </c>
      <c r="L64" s="169">
        <f t="shared" si="6"/>
        <v>30575.999999999996</v>
      </c>
      <c r="M64" s="189">
        <f>[13]TRANSPORT!$AH12</f>
        <v>147480</v>
      </c>
      <c r="N64" s="189">
        <f>[13]TRANSPORT!$S12</f>
        <v>156600</v>
      </c>
      <c r="O64" s="189">
        <f>[13]TRANSPORT!$V12</f>
        <v>42000</v>
      </c>
      <c r="P64" s="189">
        <f>[13]TRANSPORT!$Y12</f>
        <v>1083583.69</v>
      </c>
      <c r="Q64" s="189">
        <f>[13]TRANSPORT!$Z12</f>
        <v>1089360</v>
      </c>
      <c r="R64" s="189"/>
      <c r="S64" s="189"/>
      <c r="T64" s="189"/>
      <c r="U64" s="189"/>
      <c r="V64" s="189"/>
      <c r="W64" s="189"/>
      <c r="X64" s="189">
        <f>[13]TRANSPORT!$X12</f>
        <v>47000</v>
      </c>
      <c r="Y64" s="189"/>
      <c r="Z64" s="189"/>
      <c r="AA64" s="189"/>
      <c r="AB64" s="189">
        <f>-[13]TRANSPORT!$AX12</f>
        <v>-242666.66</v>
      </c>
      <c r="AC64" s="189"/>
      <c r="AD64" s="189"/>
      <c r="AE64" s="183">
        <f t="shared" si="8"/>
        <v>6115266</v>
      </c>
      <c r="AF64" s="184">
        <f t="shared" si="9"/>
        <v>0</v>
      </c>
      <c r="AG64" s="95">
        <f t="shared" si="7"/>
        <v>0</v>
      </c>
      <c r="AI64" s="199">
        <f>[13]TRANSPORT!$AC12</f>
        <v>5937210.2599999998</v>
      </c>
      <c r="AJ64" s="200">
        <f t="shared" si="0"/>
        <v>178056</v>
      </c>
      <c r="AK64" s="199">
        <f t="shared" si="4"/>
        <v>6115266.2599999998</v>
      </c>
      <c r="AL64" s="201">
        <f t="shared" si="1"/>
        <v>0.25999999977648258</v>
      </c>
    </row>
    <row r="65" spans="2:55" s="173" customFormat="1" ht="18" customHeight="1">
      <c r="B65" s="174">
        <v>37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>31*121333.33</f>
        <v>3761333.23</v>
      </c>
      <c r="L65" s="169">
        <f t="shared" si="6"/>
        <v>30575.999999999996</v>
      </c>
      <c r="M65" s="189">
        <f>[13]TRANSPORT!$AH13</f>
        <v>148040</v>
      </c>
      <c r="N65" s="189">
        <f>[13]TRANSPORT!$S13</f>
        <v>135000</v>
      </c>
      <c r="O65" s="189">
        <f>[13]TRANSPORT!$V13</f>
        <v>72000</v>
      </c>
      <c r="P65" s="189">
        <f>[13]TRANSPORT!$Y13</f>
        <v>1388670.36</v>
      </c>
      <c r="Q65" s="189">
        <f>[13]TRANSPORT!$Z13</f>
        <v>250985</v>
      </c>
      <c r="R65" s="189"/>
      <c r="S65" s="189"/>
      <c r="T65" s="189"/>
      <c r="U65" s="189"/>
      <c r="V65" s="189"/>
      <c r="W65" s="189"/>
      <c r="X65" s="189">
        <f>[13]TRANSPORT!$X13</f>
        <v>61000</v>
      </c>
      <c r="Y65" s="189"/>
      <c r="Z65" s="189"/>
      <c r="AA65" s="189"/>
      <c r="AB65" s="189">
        <f>-[13]TRANSPORT!$AX13</f>
        <v>-121333.33</v>
      </c>
      <c r="AC65" s="189"/>
      <c r="AD65" s="189"/>
      <c r="AE65" s="183">
        <f t="shared" si="8"/>
        <v>5726271</v>
      </c>
      <c r="AF65" s="184">
        <f t="shared" si="9"/>
        <v>0</v>
      </c>
      <c r="AG65" s="95">
        <f t="shared" si="7"/>
        <v>0</v>
      </c>
      <c r="AI65" s="199">
        <f>[13]TRANSPORT!$AC13</f>
        <v>5547655.2599999998</v>
      </c>
      <c r="AJ65" s="200">
        <f t="shared" si="0"/>
        <v>178616</v>
      </c>
      <c r="AK65" s="199">
        <f t="shared" si="4"/>
        <v>5726271.2599999998</v>
      </c>
      <c r="AL65" s="201">
        <f t="shared" si="1"/>
        <v>0.25999999977648258</v>
      </c>
    </row>
    <row r="66" spans="2:55" s="173" customFormat="1" ht="18" customHeight="1" thickBot="1">
      <c r="B66" s="174">
        <v>38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>31*121333.33</f>
        <v>3761333.23</v>
      </c>
      <c r="L66" s="169">
        <f t="shared" si="6"/>
        <v>30575.999999999996</v>
      </c>
      <c r="M66" s="189">
        <f>[13]TRANSPORT!$AH14</f>
        <v>146680</v>
      </c>
      <c r="N66" s="189">
        <f>[13]TRANSPORT!$S14</f>
        <v>162000</v>
      </c>
      <c r="O66" s="189">
        <f>[13]TRANSPORT!$V14</f>
        <v>48000</v>
      </c>
      <c r="P66" s="189">
        <f>[13]TRANSPORT!$Y14</f>
        <v>1388670.36</v>
      </c>
      <c r="Q66" s="189">
        <f>[13]TRANSPORT!$Z14</f>
        <v>250985</v>
      </c>
      <c r="R66" s="189"/>
      <c r="S66" s="189"/>
      <c r="T66" s="189"/>
      <c r="U66" s="189"/>
      <c r="V66" s="189"/>
      <c r="W66" s="189"/>
      <c r="X66" s="189">
        <f>[13]TRANSPORT!$X14</f>
        <v>27000</v>
      </c>
      <c r="Y66" s="189"/>
      <c r="Z66" s="189"/>
      <c r="AA66" s="189"/>
      <c r="AB66" s="189">
        <f>-[13]TRANSPORT!$AX14</f>
        <v>-121333.33</v>
      </c>
      <c r="AC66" s="189"/>
      <c r="AD66" s="189"/>
      <c r="AE66" s="183">
        <f>ROUNDDOWN(SUM(K66:AD66),0)</f>
        <v>5693911</v>
      </c>
      <c r="AF66" s="184">
        <f t="shared" si="9"/>
        <v>0</v>
      </c>
      <c r="AG66" s="95">
        <f t="shared" si="7"/>
        <v>0</v>
      </c>
      <c r="AI66" s="199">
        <f>[13]TRANSPORT!$AC14</f>
        <v>5516655.2599999998</v>
      </c>
      <c r="AJ66" s="200">
        <f t="shared" si="0"/>
        <v>177256</v>
      </c>
      <c r="AK66" s="199">
        <f t="shared" si="4"/>
        <v>5693911.2599999998</v>
      </c>
      <c r="AL66" s="201">
        <f t="shared" si="1"/>
        <v>0.25999999977648258</v>
      </c>
    </row>
    <row r="67" spans="2:55" s="59" customFormat="1" ht="22.15" customHeight="1" thickBot="1">
      <c r="B67" s="132"/>
      <c r="C67" s="133"/>
      <c r="D67" s="133"/>
      <c r="E67" s="133"/>
      <c r="F67" s="133"/>
      <c r="G67" s="133"/>
      <c r="H67" s="133"/>
      <c r="I67" s="133"/>
      <c r="J67" s="133"/>
      <c r="K67" s="196">
        <f t="shared" ref="K67:AG67" si="10">SUM(K6:K66)</f>
        <v>142961662.74000001</v>
      </c>
      <c r="L67" s="196">
        <f t="shared" si="10"/>
        <v>1162139.9999999998</v>
      </c>
      <c r="M67" s="196">
        <f>SUM(M6:M66)</f>
        <v>5584780</v>
      </c>
      <c r="N67" s="196">
        <f>SUM(N6:N66)</f>
        <v>4085100</v>
      </c>
      <c r="O67" s="196">
        <f t="shared" si="10"/>
        <v>403000</v>
      </c>
      <c r="P67" s="196">
        <f t="shared" si="10"/>
        <v>9107802.5600000005</v>
      </c>
      <c r="Q67" s="196">
        <f t="shared" si="10"/>
        <v>2881445</v>
      </c>
      <c r="R67" s="196">
        <f t="shared" si="10"/>
        <v>1979645</v>
      </c>
      <c r="S67" s="196">
        <f t="shared" si="10"/>
        <v>2304750</v>
      </c>
      <c r="T67" s="196">
        <f t="shared" si="10"/>
        <v>0</v>
      </c>
      <c r="U67" s="196">
        <f t="shared" si="10"/>
        <v>0</v>
      </c>
      <c r="V67" s="196">
        <f t="shared" si="10"/>
        <v>300000</v>
      </c>
      <c r="W67" s="196">
        <f t="shared" si="10"/>
        <v>0</v>
      </c>
      <c r="X67" s="196">
        <f t="shared" si="10"/>
        <v>1269500</v>
      </c>
      <c r="Y67" s="196">
        <f t="shared" si="10"/>
        <v>0</v>
      </c>
      <c r="Z67" s="196">
        <f t="shared" si="10"/>
        <v>0</v>
      </c>
      <c r="AA67" s="196">
        <f t="shared" si="10"/>
        <v>0</v>
      </c>
      <c r="AB67" s="196">
        <f t="shared" si="10"/>
        <v>-2669333.2600000007</v>
      </c>
      <c r="AC67" s="196">
        <f t="shared" si="10"/>
        <v>0</v>
      </c>
      <c r="AD67" s="196">
        <f t="shared" si="10"/>
        <v>0</v>
      </c>
      <c r="AE67" s="196">
        <f t="shared" si="10"/>
        <v>169370474</v>
      </c>
      <c r="AF67" s="196">
        <f t="shared" si="10"/>
        <v>7.4999999999999997E-3</v>
      </c>
      <c r="AG67" s="196">
        <f t="shared" si="10"/>
        <v>44303</v>
      </c>
      <c r="AI67" s="202">
        <f>SUM(AI6:AI66)</f>
        <v>162623572.03999996</v>
      </c>
      <c r="AJ67" s="202">
        <f>SUM(AJ6:AJ66)</f>
        <v>6746920</v>
      </c>
      <c r="AK67" s="202">
        <f>SUM(AK6:AK66)</f>
        <v>169370492.03999996</v>
      </c>
      <c r="AL67" s="202">
        <f>SUM(AL6:AL66)</f>
        <v>18.040000005625188</v>
      </c>
    </row>
    <row r="68" spans="2:55" ht="9.75" customHeight="1">
      <c r="AK68" s="217"/>
    </row>
    <row r="69" spans="2:55" ht="13.5" hidden="1" customHeight="1">
      <c r="B69" s="58" t="s">
        <v>47</v>
      </c>
      <c r="M69" s="62"/>
      <c r="N69" s="62"/>
      <c r="O69" s="62"/>
      <c r="P69" s="62"/>
      <c r="Q69" s="62"/>
      <c r="R69" s="62"/>
      <c r="S69" s="62"/>
    </row>
    <row r="70" spans="2:55" ht="13.5" hidden="1" customHeight="1">
      <c r="B70" s="27" t="s">
        <v>48</v>
      </c>
      <c r="M70" s="62"/>
      <c r="N70" s="62"/>
      <c r="O70" s="62"/>
      <c r="P70" s="62"/>
      <c r="Q70" s="62"/>
      <c r="R70" s="62"/>
      <c r="S70" s="62"/>
    </row>
    <row r="71" spans="2:55" ht="13.5" hidden="1" customHeight="1">
      <c r="B71" s="27" t="s">
        <v>56</v>
      </c>
      <c r="M71" s="62"/>
      <c r="N71" s="62"/>
      <c r="O71" s="62"/>
      <c r="P71" s="62"/>
      <c r="Q71" s="62"/>
      <c r="R71" s="62"/>
      <c r="S71" s="62"/>
    </row>
    <row r="72" spans="2:55" ht="13.5" hidden="1" customHeight="1">
      <c r="B72" s="27" t="s">
        <v>49</v>
      </c>
      <c r="M72" s="62"/>
      <c r="N72" s="62"/>
      <c r="O72" s="62"/>
      <c r="P72" s="62"/>
      <c r="Q72" s="62"/>
      <c r="R72" s="62"/>
      <c r="S72" s="62"/>
    </row>
    <row r="73" spans="2:55" s="33" customFormat="1" ht="13.5" hidden="1" customHeight="1">
      <c r="B73" s="27" t="s">
        <v>57</v>
      </c>
      <c r="C73" s="28"/>
      <c r="D73" s="262"/>
      <c r="E73" s="30"/>
      <c r="F73" s="28"/>
      <c r="G73" s="31"/>
      <c r="H73" s="32"/>
      <c r="I73" s="32"/>
      <c r="J73" s="32"/>
      <c r="K73" s="28"/>
      <c r="L73" s="28"/>
      <c r="M73" s="62"/>
      <c r="N73" s="62"/>
      <c r="O73" s="62"/>
      <c r="P73" s="62"/>
      <c r="Q73" s="62"/>
      <c r="R73" s="62"/>
      <c r="S73" s="62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90"/>
      <c r="AG73" s="9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2:55" s="33" customFormat="1" ht="13.5" hidden="1" customHeight="1">
      <c r="B74" s="27" t="s">
        <v>50</v>
      </c>
      <c r="C74" s="28"/>
      <c r="D74" s="262"/>
      <c r="E74" s="30"/>
      <c r="F74" s="28"/>
      <c r="G74" s="31"/>
      <c r="H74" s="32"/>
      <c r="I74" s="32"/>
      <c r="J74" s="32"/>
      <c r="K74" s="28"/>
      <c r="L74" s="28"/>
      <c r="M74" s="62"/>
      <c r="N74" s="62"/>
      <c r="O74" s="62"/>
      <c r="P74" s="62"/>
      <c r="Q74" s="62"/>
      <c r="R74" s="62"/>
      <c r="S74" s="62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90"/>
      <c r="AG74" s="9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2:55" s="33" customFormat="1" ht="13.5" hidden="1" customHeight="1">
      <c r="B75" s="27" t="s">
        <v>51</v>
      </c>
      <c r="C75" s="28"/>
      <c r="D75" s="262"/>
      <c r="E75" s="30"/>
      <c r="F75" s="28"/>
      <c r="G75" s="31"/>
      <c r="H75" s="32"/>
      <c r="I75" s="32"/>
      <c r="J75" s="32"/>
      <c r="K75" s="28"/>
      <c r="L75" s="28"/>
      <c r="M75" s="62"/>
      <c r="N75" s="62"/>
      <c r="O75" s="62"/>
      <c r="P75" s="62"/>
      <c r="Q75" s="62"/>
      <c r="R75" s="62"/>
      <c r="S75" s="62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90"/>
      <c r="AG75" s="9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2:55" s="33" customFormat="1" ht="13.5" hidden="1" customHeight="1">
      <c r="B76" s="27" t="s">
        <v>52</v>
      </c>
      <c r="C76" s="28"/>
      <c r="D76" s="262"/>
      <c r="E76" s="30"/>
      <c r="F76" s="28"/>
      <c r="G76" s="31"/>
      <c r="H76" s="32"/>
      <c r="I76" s="32"/>
      <c r="J76" s="32"/>
      <c r="K76" s="28"/>
      <c r="L76" s="28"/>
      <c r="M76" s="62"/>
      <c r="N76" s="62"/>
      <c r="O76" s="62"/>
      <c r="P76" s="62"/>
      <c r="Q76" s="62"/>
      <c r="R76" s="62"/>
      <c r="S76" s="62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90"/>
      <c r="AG76" s="9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2:55" s="33" customFormat="1" ht="13.5" hidden="1" customHeight="1">
      <c r="B77" s="27" t="s">
        <v>58</v>
      </c>
      <c r="C77" s="28"/>
      <c r="D77" s="262"/>
      <c r="E77" s="30"/>
      <c r="F77" s="28"/>
      <c r="G77" s="31"/>
      <c r="H77" s="32"/>
      <c r="I77" s="32"/>
      <c r="J77" s="32"/>
      <c r="K77" s="28"/>
      <c r="L77" s="28"/>
      <c r="M77" s="62"/>
      <c r="N77" s="62"/>
      <c r="O77" s="62"/>
      <c r="P77" s="62"/>
      <c r="Q77" s="62"/>
      <c r="R77" s="62"/>
      <c r="S77" s="62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90"/>
      <c r="AG77" s="9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2:55" s="33" customFormat="1" ht="13.5" hidden="1" customHeight="1">
      <c r="B78" s="27" t="s">
        <v>59</v>
      </c>
      <c r="C78" s="28"/>
      <c r="D78" s="262"/>
      <c r="E78" s="30"/>
      <c r="F78" s="28"/>
      <c r="G78" s="31"/>
      <c r="H78" s="32"/>
      <c r="I78" s="32"/>
      <c r="J78" s="32"/>
      <c r="K78" s="28"/>
      <c r="L78" s="28"/>
      <c r="M78" s="62"/>
      <c r="N78" s="62"/>
      <c r="O78" s="62"/>
      <c r="P78" s="62"/>
      <c r="Q78" s="62"/>
      <c r="R78" s="62"/>
      <c r="S78" s="62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90"/>
      <c r="AG78" s="9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2:55" s="33" customFormat="1" ht="13.5" hidden="1" customHeight="1">
      <c r="B79" s="27" t="s">
        <v>65</v>
      </c>
      <c r="C79" s="28"/>
      <c r="D79" s="262"/>
      <c r="E79" s="30"/>
      <c r="F79" s="28"/>
      <c r="G79" s="31"/>
      <c r="H79" s="32"/>
      <c r="I79" s="32"/>
      <c r="J79" s="32"/>
      <c r="K79" s="28"/>
      <c r="L79" s="28"/>
      <c r="M79" s="62"/>
      <c r="N79" s="62"/>
      <c r="O79" s="62"/>
      <c r="P79" s="62"/>
      <c r="Q79" s="62"/>
      <c r="R79" s="62"/>
      <c r="S79" s="62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90"/>
      <c r="AG79" s="9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2:55" s="33" customFormat="1" ht="11.25" customHeight="1">
      <c r="B80" s="27"/>
      <c r="C80" s="28"/>
      <c r="D80" s="262"/>
      <c r="E80" s="30"/>
      <c r="F80" s="28"/>
      <c r="G80" s="31"/>
      <c r="H80" s="32"/>
      <c r="I80" s="32"/>
      <c r="J80" s="32"/>
      <c r="K80" s="262" t="s">
        <v>324</v>
      </c>
      <c r="L80" s="28"/>
      <c r="M80" s="62"/>
      <c r="N80" s="62"/>
      <c r="O80" s="62"/>
      <c r="P80" s="62"/>
      <c r="Q80" s="62"/>
      <c r="R80" s="62"/>
      <c r="S80" s="62"/>
      <c r="T80" s="28" t="s">
        <v>341</v>
      </c>
      <c r="U80" s="28"/>
      <c r="V80" s="28"/>
      <c r="W80" s="28"/>
      <c r="X80" s="28"/>
      <c r="Y80" s="28"/>
      <c r="Z80" s="28"/>
      <c r="AA80" s="28"/>
      <c r="AB80" s="457" t="s">
        <v>321</v>
      </c>
      <c r="AC80" s="457"/>
      <c r="AD80" s="457"/>
      <c r="AE80" s="457"/>
      <c r="AF80" s="90"/>
      <c r="AG80" s="90"/>
      <c r="AH80" s="60"/>
      <c r="AI80" s="60"/>
      <c r="AJ80" s="60"/>
      <c r="AK80" s="216">
        <f>AC67+AK67</f>
        <v>169370492.03999996</v>
      </c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1:38" ht="11.25" customHeight="1">
      <c r="AL81" s="216"/>
    </row>
    <row r="82" spans="11:38" ht="11.25" customHeight="1">
      <c r="AK82" s="216">
        <f>AK67-AL83</f>
        <v>169370474</v>
      </c>
      <c r="AL82" s="216"/>
    </row>
    <row r="83" spans="11:38" ht="11.25" customHeight="1">
      <c r="K83" s="263" t="s">
        <v>325</v>
      </c>
      <c r="T83" s="256" t="s">
        <v>342</v>
      </c>
      <c r="U83" s="256"/>
      <c r="AB83" s="458" t="s">
        <v>322</v>
      </c>
      <c r="AC83" s="458"/>
      <c r="AD83" s="458"/>
      <c r="AE83" s="458"/>
      <c r="AL83" s="216">
        <f>AK80-AE67</f>
        <v>18.039999961853027</v>
      </c>
    </row>
    <row r="84" spans="11:38">
      <c r="K84" s="262" t="s">
        <v>326</v>
      </c>
      <c r="T84" s="28" t="s">
        <v>343</v>
      </c>
      <c r="AB84" s="457" t="s">
        <v>323</v>
      </c>
      <c r="AC84" s="457"/>
      <c r="AD84" s="457"/>
      <c r="AE84" s="457"/>
    </row>
  </sheetData>
  <mergeCells count="3">
    <mergeCell ref="AB80:AE80"/>
    <mergeCell ref="AB83:AE83"/>
    <mergeCell ref="AB84:AE84"/>
  </mergeCells>
  <dataValidations count="2">
    <dataValidation type="list" allowBlank="1" showInputMessage="1" showErrorMessage="1" sqref="I6:I66">
      <formula1>"TK/0,TK/1,TK/2,TK/3,K/0,K/1,K/2,K/3"</formula1>
    </dataValidation>
    <dataValidation type="list" allowBlank="1" showInputMessage="1" showErrorMessage="1" sqref="H6:H66">
      <formula1>"L,P"</formula1>
    </dataValidation>
  </dataValidations>
  <pageMargins left="0" right="0.59055118110236227" top="0" bottom="0.39370078740157483" header="0.31496062992125984" footer="0.31496062992125984"/>
  <pageSetup paperSize="9" scale="4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95"/>
  <sheetViews>
    <sheetView topLeftCell="A62" zoomScaleNormal="100" zoomScaleSheetLayoutView="100" workbookViewId="0">
      <pane xSplit="3" topLeftCell="H1" activePane="topRight" state="frozen"/>
      <selection pane="topRight" activeCell="P73" sqref="P73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69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20" width="11.42578125" style="28" customWidth="1"/>
    <col min="21" max="21" width="9.85546875" style="28" hidden="1" customWidth="1"/>
    <col min="22" max="22" width="11" style="28" customWidth="1"/>
    <col min="23" max="23" width="9.7109375" style="28" hidden="1" customWidth="1"/>
    <col min="24" max="24" width="11.5703125" style="28" customWidth="1"/>
    <col min="25" max="25" width="9" style="28" hidden="1" customWidth="1"/>
    <col min="26" max="27" width="12.7109375" style="28" hidden="1" customWidth="1"/>
    <col min="28" max="28" width="11.85546875" style="28" customWidth="1"/>
    <col min="29" max="29" width="11.7109375" style="28" hidden="1" customWidth="1"/>
    <col min="30" max="30" width="10.85546875" style="28" hidden="1" customWidth="1"/>
    <col min="31" max="31" width="13.7109375" style="28" customWidth="1" collapsed="1"/>
    <col min="32" max="32" width="9.140625" style="90" customWidth="1"/>
    <col min="33" max="33" width="10.1406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356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69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65" t="s">
        <v>64</v>
      </c>
      <c r="C5" s="265" t="s">
        <v>25</v>
      </c>
      <c r="D5" s="266" t="s">
        <v>26</v>
      </c>
      <c r="E5" s="267" t="s">
        <v>27</v>
      </c>
      <c r="F5" s="265" t="s">
        <v>28</v>
      </c>
      <c r="G5" s="264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68" t="s">
        <v>68</v>
      </c>
      <c r="M5" s="268" t="s">
        <v>69</v>
      </c>
      <c r="N5" s="268" t="s">
        <v>80</v>
      </c>
      <c r="O5" s="268" t="s">
        <v>81</v>
      </c>
      <c r="P5" s="268" t="s">
        <v>84</v>
      </c>
      <c r="Q5" s="145" t="s">
        <v>319</v>
      </c>
      <c r="R5" s="268" t="s">
        <v>309</v>
      </c>
      <c r="S5" s="268" t="s">
        <v>310</v>
      </c>
      <c r="T5" s="268" t="s">
        <v>320</v>
      </c>
      <c r="U5" s="268" t="s">
        <v>315</v>
      </c>
      <c r="V5" s="268" t="s">
        <v>311</v>
      </c>
      <c r="W5" s="268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19.5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30*122333.33</f>
        <v>3669999.9</v>
      </c>
      <c r="L6" s="168">
        <f>3670000*0.84%</f>
        <v>30827.999999999996</v>
      </c>
      <c r="M6" s="168">
        <f>[14]MAINTENANCE!$AK10</f>
        <v>148680</v>
      </c>
      <c r="N6" s="168">
        <f>[14]MAINTENANCE!$W10</f>
        <v>162000</v>
      </c>
      <c r="O6" s="168">
        <f>[14]MAINTENANCE!$Z10</f>
        <v>69000</v>
      </c>
      <c r="P6" s="168">
        <f>[14]MAINTENANCE!$AE10</f>
        <v>859161.88</v>
      </c>
      <c r="Q6" s="169"/>
      <c r="R6" s="168"/>
      <c r="S6" s="168"/>
      <c r="T6" s="168"/>
      <c r="U6" s="168"/>
      <c r="V6" s="168"/>
      <c r="W6" s="168"/>
      <c r="X6" s="168">
        <f>[14]MAINTENANCE!$AB10</f>
        <v>47000</v>
      </c>
      <c r="Y6" s="169"/>
      <c r="Z6" s="169"/>
      <c r="AA6" s="169"/>
      <c r="AB6" s="168">
        <f>-[14]MAINTENANCE!$BA10</f>
        <v>0</v>
      </c>
      <c r="AC6" s="168"/>
      <c r="AD6" s="168"/>
      <c r="AE6" s="170">
        <f>ROUNDDOWN(SUM(K6:AD6),0)</f>
        <v>4986669</v>
      </c>
      <c r="AF6" s="171">
        <f>IF(J6="TER A",VLOOKUP(AE6,Ter_A,4,TRUE),IF(J6="TER B",VLOOKUP(AE6,Ter_B,4,TRUE),VLOOKUP(AE6,Ter_C,4,TRUE)))</f>
        <v>0</v>
      </c>
      <c r="AG6" s="94">
        <f>ROUNDDOWN(IF(E6=0,AE6*AF6*120%,AE6*AF6),0)</f>
        <v>0</v>
      </c>
      <c r="AI6" s="199">
        <f>[14]MAINTENANCE!$AF10</f>
        <v>4807161.78</v>
      </c>
      <c r="AJ6" s="200">
        <f t="shared" ref="AJ6:AJ69" si="0">L6+M6</f>
        <v>179508</v>
      </c>
      <c r="AK6" s="199">
        <f>AI6+AJ6+AD6</f>
        <v>4986669.78</v>
      </c>
      <c r="AL6" s="201">
        <f t="shared" ref="AL6:AL69" si="1">AK6-AE6</f>
        <v>0.78000000026077032</v>
      </c>
    </row>
    <row r="7" spans="2:40" s="173" customFormat="1" ht="19.5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72" si="2">IF(ISBLANK(I7),"",IF(OR(I7="TK/0",I7="TK/1",I7="K/0"),"TER A",IF(I7="K/3","TER C","TER B")))</f>
        <v>TER A</v>
      </c>
      <c r="K7" s="182">
        <f>30*121333.33</f>
        <v>3639999.9</v>
      </c>
      <c r="L7" s="169">
        <f>3640000*0.84%</f>
        <v>30575.999999999996</v>
      </c>
      <c r="M7" s="189">
        <f>[14]MAINTENANCE!$AK11</f>
        <v>146800</v>
      </c>
      <c r="N7" s="189">
        <f>[14]MAINTENANCE!$W11</f>
        <v>67500</v>
      </c>
      <c r="O7" s="189"/>
      <c r="P7" s="189"/>
      <c r="Q7" s="169"/>
      <c r="R7" s="169"/>
      <c r="S7" s="169"/>
      <c r="T7" s="169"/>
      <c r="U7" s="169"/>
      <c r="V7" s="169"/>
      <c r="W7" s="169"/>
      <c r="X7" s="189">
        <f>[14]MAINTENANCE!$AB11</f>
        <v>30000</v>
      </c>
      <c r="Y7" s="169"/>
      <c r="Z7" s="169"/>
      <c r="AA7" s="169"/>
      <c r="AB7" s="189">
        <f>-[14]MAINTENANCE!$BA11</f>
        <v>0</v>
      </c>
      <c r="AC7" s="189"/>
      <c r="AD7" s="189"/>
      <c r="AE7" s="183">
        <f>ROUNDDOWN(SUM(K7:AD7),0)</f>
        <v>3914875</v>
      </c>
      <c r="AF7" s="184">
        <f t="shared" ref="AF7:AF37" si="3">IF(J7="TER A",VLOOKUP(AE7,Ter_A,4,TRUE),IF(J7="TER B",VLOOKUP(AE7,Ter_B,4,TRUE),VLOOKUP(AE7,Ter_C,4,TRUE)))</f>
        <v>0</v>
      </c>
      <c r="AG7" s="95">
        <f>ROUNDDOWN(IF(E7=0,AE7*AF7*120%,AE7*AF7),0)</f>
        <v>0</v>
      </c>
      <c r="AI7" s="199">
        <f>[14]MAINTENANCE!$AF11</f>
        <v>3737499.9000000004</v>
      </c>
      <c r="AJ7" s="200">
        <f t="shared" si="0"/>
        <v>177376</v>
      </c>
      <c r="AK7" s="199">
        <f t="shared" ref="AK7:AK70" si="4">AI7+AJ7+AD7</f>
        <v>3914875.9000000004</v>
      </c>
      <c r="AL7" s="201">
        <f t="shared" si="1"/>
        <v>0.90000000037252903</v>
      </c>
    </row>
    <row r="8" spans="2:40" s="173" customFormat="1" ht="19.5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27" si="5">30*121333.33</f>
        <v>3639999.9</v>
      </c>
      <c r="L8" s="169">
        <f t="shared" ref="L8:L71" si="6">3640000*0.84%</f>
        <v>30575.999999999996</v>
      </c>
      <c r="M8" s="189">
        <f>[14]MAINTENANCE!$AK12</f>
        <v>146920</v>
      </c>
      <c r="N8" s="189">
        <f>[14]MAINTENANCE!$W12</f>
        <v>65250</v>
      </c>
      <c r="O8" s="189"/>
      <c r="P8" s="189"/>
      <c r="Q8" s="169"/>
      <c r="R8" s="169"/>
      <c r="S8" s="169"/>
      <c r="T8" s="169"/>
      <c r="U8" s="169"/>
      <c r="V8" s="169"/>
      <c r="W8" s="169"/>
      <c r="X8" s="189">
        <f>[14]MAINTENANCE!$AB12</f>
        <v>33000</v>
      </c>
      <c r="Y8" s="169"/>
      <c r="Z8" s="169"/>
      <c r="AA8" s="169"/>
      <c r="AB8" s="189">
        <f>-[14]MAINTENANCE!$BA12</f>
        <v>-121333.33</v>
      </c>
      <c r="AC8" s="189"/>
      <c r="AD8" s="189"/>
      <c r="AE8" s="183">
        <f>ROUNDDOWN(SUM(K8:AD8),0)</f>
        <v>3794412</v>
      </c>
      <c r="AF8" s="184">
        <f t="shared" si="3"/>
        <v>0</v>
      </c>
      <c r="AG8" s="95">
        <f t="shared" ref="AG8:AG71" si="7">ROUNDDOWN(IF(E8=0,AE8*AF8*120%,AE8*AF8),0)</f>
        <v>0</v>
      </c>
      <c r="AI8" s="199">
        <f>[14]MAINTENANCE!$AF12</f>
        <v>3616916.5700000003</v>
      </c>
      <c r="AJ8" s="200">
        <f t="shared" si="0"/>
        <v>177496</v>
      </c>
      <c r="AK8" s="199">
        <f t="shared" si="4"/>
        <v>3794412.5700000003</v>
      </c>
      <c r="AL8" s="201">
        <f t="shared" si="1"/>
        <v>0.57000000029802322</v>
      </c>
      <c r="AN8" s="200">
        <f>AB8+AL8</f>
        <v>-121332.7599999997</v>
      </c>
    </row>
    <row r="9" spans="2:40" s="173" customFormat="1" ht="19.5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5"/>
        <v>3639999.9</v>
      </c>
      <c r="L9" s="169">
        <f t="shared" si="6"/>
        <v>30575.999999999996</v>
      </c>
      <c r="M9" s="189">
        <f>[14]MAINTENANCE!$AK13</f>
        <v>147480</v>
      </c>
      <c r="N9" s="189">
        <f>[14]MAINTENANCE!$W13</f>
        <v>63000</v>
      </c>
      <c r="O9" s="189"/>
      <c r="P9" s="189"/>
      <c r="Q9" s="169"/>
      <c r="R9" s="169"/>
      <c r="S9" s="169"/>
      <c r="T9" s="169"/>
      <c r="U9" s="169"/>
      <c r="V9" s="169"/>
      <c r="W9" s="169"/>
      <c r="X9" s="189">
        <f>[14]MAINTENANCE!$AB13</f>
        <v>47000</v>
      </c>
      <c r="Y9" s="169"/>
      <c r="Z9" s="169"/>
      <c r="AA9" s="169"/>
      <c r="AB9" s="189">
        <f>-[14]MAINTENANCE!$BA13</f>
        <v>-242666.66</v>
      </c>
      <c r="AC9" s="189"/>
      <c r="AD9" s="189"/>
      <c r="AE9" s="183">
        <f t="shared" ref="AE9:AE65" si="8">ROUNDDOWN(SUM(K9:AD9),0)</f>
        <v>3685389</v>
      </c>
      <c r="AF9" s="184">
        <f t="shared" si="3"/>
        <v>0</v>
      </c>
      <c r="AG9" s="95">
        <f t="shared" si="7"/>
        <v>0</v>
      </c>
      <c r="AI9" s="199">
        <f>[14]MAINTENANCE!$AF13</f>
        <v>3507333.24</v>
      </c>
      <c r="AJ9" s="200">
        <f t="shared" si="0"/>
        <v>178056</v>
      </c>
      <c r="AK9" s="199">
        <f t="shared" si="4"/>
        <v>3685389.24</v>
      </c>
      <c r="AL9" s="201">
        <f t="shared" si="1"/>
        <v>0.24000000022351742</v>
      </c>
      <c r="AN9" s="200">
        <f>AB9+AL9</f>
        <v>-242666.41999999978</v>
      </c>
    </row>
    <row r="10" spans="2:40" s="173" customFormat="1" ht="19.5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5"/>
        <v>3639999.9</v>
      </c>
      <c r="L10" s="169">
        <f t="shared" si="6"/>
        <v>30575.999999999996</v>
      </c>
      <c r="M10" s="189">
        <f>[14]MAINTENANCE!$AK14</f>
        <v>146920</v>
      </c>
      <c r="N10" s="189">
        <f>[14]MAINTENANCE!$W14</f>
        <v>65250</v>
      </c>
      <c r="O10" s="189"/>
      <c r="P10" s="189"/>
      <c r="Q10" s="169"/>
      <c r="R10" s="169"/>
      <c r="S10" s="169"/>
      <c r="T10" s="169"/>
      <c r="U10" s="169"/>
      <c r="V10" s="169"/>
      <c r="W10" s="169"/>
      <c r="X10" s="189">
        <f>[14]MAINTENANCE!$AB14</f>
        <v>33000</v>
      </c>
      <c r="Y10" s="169"/>
      <c r="Z10" s="169"/>
      <c r="AA10" s="169"/>
      <c r="AB10" s="189">
        <f>-[14]MAINTENANCE!$BA14</f>
        <v>-121333.33</v>
      </c>
      <c r="AC10" s="189"/>
      <c r="AD10" s="189"/>
      <c r="AE10" s="183">
        <f t="shared" si="8"/>
        <v>3794412</v>
      </c>
      <c r="AF10" s="184">
        <f t="shared" si="3"/>
        <v>0</v>
      </c>
      <c r="AG10" s="95">
        <f t="shared" si="7"/>
        <v>0</v>
      </c>
      <c r="AI10" s="199">
        <f>[14]MAINTENANCE!$AF14</f>
        <v>3616916.5700000003</v>
      </c>
      <c r="AJ10" s="200">
        <f t="shared" si="0"/>
        <v>177496</v>
      </c>
      <c r="AK10" s="199">
        <f t="shared" si="4"/>
        <v>3794412.5700000003</v>
      </c>
      <c r="AL10" s="201">
        <f t="shared" si="1"/>
        <v>0.57000000029802322</v>
      </c>
    </row>
    <row r="11" spans="2:40" s="173" customFormat="1" ht="19.5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5"/>
        <v>3639999.9</v>
      </c>
      <c r="L11" s="169">
        <f t="shared" si="6"/>
        <v>30575.999999999996</v>
      </c>
      <c r="M11" s="189">
        <f>[14]MAINTENANCE!$AK15</f>
        <v>147340</v>
      </c>
      <c r="N11" s="189">
        <f>[14]MAINTENANCE!$W15</f>
        <v>63000</v>
      </c>
      <c r="O11" s="189"/>
      <c r="P11" s="189"/>
      <c r="Q11" s="169"/>
      <c r="R11" s="169"/>
      <c r="S11" s="169"/>
      <c r="T11" s="169"/>
      <c r="U11" s="169"/>
      <c r="V11" s="169"/>
      <c r="W11" s="169"/>
      <c r="X11" s="189">
        <f>[14]MAINTENANCE!$AB15</f>
        <v>43500</v>
      </c>
      <c r="Y11" s="169"/>
      <c r="Z11" s="169"/>
      <c r="AA11" s="169"/>
      <c r="AB11" s="189">
        <f>-[14]MAINTENANCE!$BA15</f>
        <v>-242666.66</v>
      </c>
      <c r="AC11" s="189"/>
      <c r="AD11" s="189"/>
      <c r="AE11" s="183">
        <f t="shared" si="8"/>
        <v>3681749</v>
      </c>
      <c r="AF11" s="184">
        <f t="shared" si="3"/>
        <v>0</v>
      </c>
      <c r="AG11" s="95">
        <f t="shared" si="7"/>
        <v>0</v>
      </c>
      <c r="AI11" s="199">
        <f>[14]MAINTENANCE!$AF15</f>
        <v>3503833.24</v>
      </c>
      <c r="AJ11" s="200">
        <f t="shared" si="0"/>
        <v>177916</v>
      </c>
      <c r="AK11" s="199">
        <f t="shared" si="4"/>
        <v>3681749.24</v>
      </c>
      <c r="AL11" s="201">
        <f t="shared" si="1"/>
        <v>0.24000000022351742</v>
      </c>
    </row>
    <row r="12" spans="2:40" s="173" customFormat="1" ht="19.5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5"/>
        <v>3639999.9</v>
      </c>
      <c r="L12" s="169">
        <f t="shared" si="6"/>
        <v>30575.999999999996</v>
      </c>
      <c r="M12" s="189">
        <f>[14]MAINTENANCE!$AK16</f>
        <v>147620</v>
      </c>
      <c r="N12" s="189">
        <f>[14]MAINTENANCE!$W16</f>
        <v>67500</v>
      </c>
      <c r="O12" s="189"/>
      <c r="P12" s="189"/>
      <c r="Q12" s="169"/>
      <c r="R12" s="169"/>
      <c r="S12" s="169"/>
      <c r="T12" s="169"/>
      <c r="U12" s="169"/>
      <c r="V12" s="169"/>
      <c r="W12" s="169"/>
      <c r="X12" s="189">
        <f>[14]MAINTENANCE!$AB16</f>
        <v>50500</v>
      </c>
      <c r="Y12" s="169"/>
      <c r="Z12" s="169"/>
      <c r="AA12" s="169"/>
      <c r="AB12" s="189">
        <f>-[14]MAINTENANCE!$BA16</f>
        <v>0</v>
      </c>
      <c r="AC12" s="189"/>
      <c r="AD12" s="189"/>
      <c r="AE12" s="183">
        <f t="shared" si="8"/>
        <v>3936195</v>
      </c>
      <c r="AF12" s="184">
        <f t="shared" si="3"/>
        <v>0</v>
      </c>
      <c r="AG12" s="95">
        <f t="shared" si="7"/>
        <v>0</v>
      </c>
      <c r="AI12" s="199">
        <f>[14]MAINTENANCE!$AF16</f>
        <v>3757999.9000000004</v>
      </c>
      <c r="AJ12" s="200">
        <f t="shared" si="0"/>
        <v>178196</v>
      </c>
      <c r="AK12" s="199">
        <f t="shared" si="4"/>
        <v>3936195.9000000004</v>
      </c>
      <c r="AL12" s="201">
        <f t="shared" si="1"/>
        <v>0.90000000037252903</v>
      </c>
    </row>
    <row r="13" spans="2:40" s="173" customFormat="1" ht="19.5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5"/>
        <v>3639999.9</v>
      </c>
      <c r="L13" s="169">
        <f t="shared" si="6"/>
        <v>30575.999999999996</v>
      </c>
      <c r="M13" s="189">
        <f>[14]MAINTENANCE!$AK17</f>
        <v>147480</v>
      </c>
      <c r="N13" s="189">
        <f>[14]MAINTENANCE!$W17</f>
        <v>67500</v>
      </c>
      <c r="O13" s="189"/>
      <c r="P13" s="189"/>
      <c r="Q13" s="169"/>
      <c r="R13" s="169"/>
      <c r="S13" s="169"/>
      <c r="T13" s="169"/>
      <c r="U13" s="169"/>
      <c r="V13" s="169"/>
      <c r="W13" s="169"/>
      <c r="X13" s="189">
        <f>[14]MAINTENANCE!$AB17</f>
        <v>47000</v>
      </c>
      <c r="Y13" s="169"/>
      <c r="Z13" s="169"/>
      <c r="AA13" s="169"/>
      <c r="AB13" s="189">
        <f>-[14]MAINTENANCE!$BA17</f>
        <v>0</v>
      </c>
      <c r="AC13" s="189"/>
      <c r="AD13" s="189"/>
      <c r="AE13" s="183">
        <f t="shared" si="8"/>
        <v>3932555</v>
      </c>
      <c r="AF13" s="184">
        <f t="shared" si="3"/>
        <v>0</v>
      </c>
      <c r="AG13" s="95">
        <f t="shared" si="7"/>
        <v>0</v>
      </c>
      <c r="AI13" s="199">
        <f>[14]MAINTENANCE!$AF17</f>
        <v>3754499.9</v>
      </c>
      <c r="AJ13" s="200">
        <f t="shared" si="0"/>
        <v>178056</v>
      </c>
      <c r="AK13" s="199">
        <f t="shared" si="4"/>
        <v>3932555.9</v>
      </c>
      <c r="AL13" s="201">
        <f t="shared" si="1"/>
        <v>0.89999999990686774</v>
      </c>
    </row>
    <row r="14" spans="2:40" s="173" customFormat="1" ht="19.5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5"/>
        <v>3639999.9</v>
      </c>
      <c r="L14" s="169">
        <f t="shared" si="6"/>
        <v>30575.999999999996</v>
      </c>
      <c r="M14" s="189">
        <f>[14]MAINTENANCE!$AK18</f>
        <v>147480</v>
      </c>
      <c r="N14" s="189">
        <f>[14]MAINTENANCE!$W18</f>
        <v>67500</v>
      </c>
      <c r="O14" s="189"/>
      <c r="P14" s="189"/>
      <c r="Q14" s="169"/>
      <c r="R14" s="169"/>
      <c r="S14" s="169"/>
      <c r="T14" s="169"/>
      <c r="U14" s="169"/>
      <c r="V14" s="169"/>
      <c r="W14" s="169"/>
      <c r="X14" s="189">
        <f>[14]MAINTENANCE!$AB18</f>
        <v>47000</v>
      </c>
      <c r="Y14" s="169"/>
      <c r="Z14" s="169"/>
      <c r="AA14" s="169"/>
      <c r="AB14" s="189">
        <f>-[14]MAINTENANCE!$BA18</f>
        <v>0</v>
      </c>
      <c r="AC14" s="189"/>
      <c r="AD14" s="189"/>
      <c r="AE14" s="183">
        <f t="shared" si="8"/>
        <v>3932555</v>
      </c>
      <c r="AF14" s="184">
        <f t="shared" si="3"/>
        <v>0</v>
      </c>
      <c r="AG14" s="95">
        <f t="shared" si="7"/>
        <v>0</v>
      </c>
      <c r="AI14" s="199">
        <f>[14]MAINTENANCE!$AF18</f>
        <v>3754499.9000000004</v>
      </c>
      <c r="AJ14" s="200">
        <f t="shared" si="0"/>
        <v>178056</v>
      </c>
      <c r="AK14" s="199">
        <f t="shared" si="4"/>
        <v>3932555.9000000004</v>
      </c>
      <c r="AL14" s="201">
        <f t="shared" si="1"/>
        <v>0.90000000037252903</v>
      </c>
    </row>
    <row r="15" spans="2:40" s="173" customFormat="1" ht="19.5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5"/>
        <v>3639999.9</v>
      </c>
      <c r="L15" s="169">
        <f t="shared" si="6"/>
        <v>30575.999999999996</v>
      </c>
      <c r="M15" s="189">
        <f>[14]MAINTENANCE!$AK19</f>
        <v>147620</v>
      </c>
      <c r="N15" s="189">
        <f>[14]MAINTENANCE!$W19</f>
        <v>65250</v>
      </c>
      <c r="O15" s="189"/>
      <c r="P15" s="189">
        <f>[14]MAINTENANCE!$AE19</f>
        <v>31560.69</v>
      </c>
      <c r="Q15" s="169"/>
      <c r="R15" s="169"/>
      <c r="S15" s="169"/>
      <c r="T15" s="169"/>
      <c r="U15" s="169"/>
      <c r="V15" s="169"/>
      <c r="W15" s="169"/>
      <c r="X15" s="189">
        <f>[14]MAINTENANCE!$AB19</f>
        <v>50500</v>
      </c>
      <c r="Y15" s="169"/>
      <c r="Z15" s="169"/>
      <c r="AA15" s="169"/>
      <c r="AB15" s="189">
        <f>-[14]MAINTENANCE!$BA19</f>
        <v>-121333.33</v>
      </c>
      <c r="AC15" s="189"/>
      <c r="AD15" s="189"/>
      <c r="AE15" s="183">
        <f t="shared" si="8"/>
        <v>3844173</v>
      </c>
      <c r="AF15" s="184">
        <f t="shared" si="3"/>
        <v>0</v>
      </c>
      <c r="AG15" s="95">
        <f t="shared" si="7"/>
        <v>0</v>
      </c>
      <c r="AI15" s="199">
        <f>[14]MAINTENANCE!$AF19</f>
        <v>3665977.2600000002</v>
      </c>
      <c r="AJ15" s="200">
        <f t="shared" si="0"/>
        <v>178196</v>
      </c>
      <c r="AK15" s="199">
        <f t="shared" si="4"/>
        <v>3844173.2600000002</v>
      </c>
      <c r="AL15" s="201">
        <f t="shared" si="1"/>
        <v>0.26000000024214387</v>
      </c>
    </row>
    <row r="16" spans="2:40" s="173" customFormat="1" ht="19.5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5"/>
        <v>3639999.9</v>
      </c>
      <c r="L16" s="169">
        <f t="shared" si="6"/>
        <v>30575.999999999996</v>
      </c>
      <c r="M16" s="189">
        <f>[14]MAINTENANCE!$AK20</f>
        <v>147480</v>
      </c>
      <c r="N16" s="189">
        <f>[14]MAINTENANCE!$W20</f>
        <v>67500</v>
      </c>
      <c r="O16" s="189"/>
      <c r="P16" s="189">
        <f>[14]MAINTENANCE!$AE20</f>
        <v>0</v>
      </c>
      <c r="Q16" s="169"/>
      <c r="R16" s="169"/>
      <c r="S16" s="169"/>
      <c r="T16" s="169"/>
      <c r="U16" s="169"/>
      <c r="V16" s="169"/>
      <c r="W16" s="169"/>
      <c r="X16" s="189">
        <f>[14]MAINTENANCE!$AB20</f>
        <v>47000</v>
      </c>
      <c r="Y16" s="169"/>
      <c r="Z16" s="169"/>
      <c r="AA16" s="169"/>
      <c r="AB16" s="189">
        <f>-[14]MAINTENANCE!$BA20</f>
        <v>0</v>
      </c>
      <c r="AC16" s="189"/>
      <c r="AD16" s="189"/>
      <c r="AE16" s="183">
        <f t="shared" si="8"/>
        <v>3932555</v>
      </c>
      <c r="AF16" s="184">
        <f t="shared" si="3"/>
        <v>0</v>
      </c>
      <c r="AG16" s="95">
        <f t="shared" si="7"/>
        <v>0</v>
      </c>
      <c r="AI16" s="199">
        <f>[14]MAINTENANCE!$AF20</f>
        <v>3754499.9000000004</v>
      </c>
      <c r="AJ16" s="200">
        <f t="shared" si="0"/>
        <v>178056</v>
      </c>
      <c r="AK16" s="199">
        <f t="shared" si="4"/>
        <v>3932555.9000000004</v>
      </c>
      <c r="AL16" s="201">
        <f t="shared" si="1"/>
        <v>0.90000000037252903</v>
      </c>
    </row>
    <row r="17" spans="2:38" s="173" customFormat="1" ht="19.5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5"/>
        <v>3639999.9</v>
      </c>
      <c r="L17" s="169">
        <f t="shared" si="6"/>
        <v>30575.999999999996</v>
      </c>
      <c r="M17" s="189">
        <f>[14]MAINTENANCE!$AK21</f>
        <v>147480</v>
      </c>
      <c r="N17" s="189">
        <f>[14]MAINTENANCE!$W21</f>
        <v>63000</v>
      </c>
      <c r="O17" s="189"/>
      <c r="P17" s="189">
        <f>[14]MAINTENANCE!$AE21</f>
        <v>0</v>
      </c>
      <c r="Q17" s="169"/>
      <c r="R17" s="169"/>
      <c r="S17" s="169"/>
      <c r="T17" s="169"/>
      <c r="U17" s="169"/>
      <c r="V17" s="169"/>
      <c r="W17" s="169"/>
      <c r="X17" s="189">
        <f>[14]MAINTENANCE!$AB21</f>
        <v>47000</v>
      </c>
      <c r="Y17" s="169"/>
      <c r="Z17" s="169"/>
      <c r="AA17" s="169"/>
      <c r="AB17" s="189">
        <f>-[14]MAINTENANCE!$BA21</f>
        <v>-242666.66</v>
      </c>
      <c r="AC17" s="189"/>
      <c r="AD17" s="189"/>
      <c r="AE17" s="183">
        <f t="shared" si="8"/>
        <v>3685389</v>
      </c>
      <c r="AF17" s="184">
        <f t="shared" si="3"/>
        <v>0</v>
      </c>
      <c r="AG17" s="95">
        <f t="shared" si="7"/>
        <v>0</v>
      </c>
      <c r="AI17" s="199">
        <f>[14]MAINTENANCE!$AF21</f>
        <v>3507333.24</v>
      </c>
      <c r="AJ17" s="200">
        <f t="shared" si="0"/>
        <v>178056</v>
      </c>
      <c r="AK17" s="199">
        <f t="shared" si="4"/>
        <v>3685389.24</v>
      </c>
      <c r="AL17" s="201">
        <f t="shared" si="1"/>
        <v>0.24000000022351742</v>
      </c>
    </row>
    <row r="18" spans="2:38" s="173" customFormat="1" ht="19.5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5"/>
        <v>3639999.9</v>
      </c>
      <c r="L18" s="169">
        <f t="shared" si="6"/>
        <v>30575.999999999996</v>
      </c>
      <c r="M18" s="189">
        <f>[14]MAINTENANCE!$AK22</f>
        <v>147340</v>
      </c>
      <c r="N18" s="189">
        <f>[14]MAINTENANCE!$W22</f>
        <v>63000</v>
      </c>
      <c r="O18" s="189"/>
      <c r="P18" s="189">
        <f>[14]MAINTENANCE!$AE22</f>
        <v>31560.69</v>
      </c>
      <c r="Q18" s="169"/>
      <c r="R18" s="169"/>
      <c r="S18" s="169"/>
      <c r="T18" s="169"/>
      <c r="U18" s="169"/>
      <c r="V18" s="169"/>
      <c r="W18" s="169"/>
      <c r="X18" s="189">
        <f>[14]MAINTENANCE!$AB22</f>
        <v>43500</v>
      </c>
      <c r="Y18" s="169"/>
      <c r="Z18" s="169"/>
      <c r="AA18" s="169"/>
      <c r="AB18" s="189">
        <f>-[14]MAINTENANCE!$BA22</f>
        <v>-242666.66</v>
      </c>
      <c r="AC18" s="189"/>
      <c r="AD18" s="189"/>
      <c r="AE18" s="183">
        <f t="shared" si="8"/>
        <v>3713309</v>
      </c>
      <c r="AF18" s="184">
        <f t="shared" si="3"/>
        <v>0</v>
      </c>
      <c r="AG18" s="95">
        <f t="shared" si="7"/>
        <v>0</v>
      </c>
      <c r="AI18" s="199">
        <f>[14]MAINTENANCE!$AF22</f>
        <v>3535393.93</v>
      </c>
      <c r="AJ18" s="200">
        <f t="shared" si="0"/>
        <v>177916</v>
      </c>
      <c r="AK18" s="199">
        <f t="shared" si="4"/>
        <v>3713309.93</v>
      </c>
      <c r="AL18" s="201">
        <f t="shared" si="1"/>
        <v>0.93000000016763806</v>
      </c>
    </row>
    <row r="19" spans="2:38" s="173" customFormat="1" ht="19.5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5"/>
        <v>3639999.9</v>
      </c>
      <c r="L19" s="169">
        <f t="shared" si="6"/>
        <v>30575.999999999996</v>
      </c>
      <c r="M19" s="189">
        <f>[14]MAINTENANCE!$AK23</f>
        <v>146920</v>
      </c>
      <c r="N19" s="189">
        <f>[14]MAINTENANCE!$W23</f>
        <v>67500</v>
      </c>
      <c r="O19" s="189"/>
      <c r="P19" s="189">
        <f>[14]MAINTENANCE!$AE23</f>
        <v>0</v>
      </c>
      <c r="Q19" s="169"/>
      <c r="R19" s="169"/>
      <c r="S19" s="169"/>
      <c r="T19" s="169"/>
      <c r="U19" s="169"/>
      <c r="V19" s="169"/>
      <c r="W19" s="169"/>
      <c r="X19" s="189">
        <f>[14]MAINTENANCE!$AB23</f>
        <v>33000</v>
      </c>
      <c r="Y19" s="169"/>
      <c r="Z19" s="169"/>
      <c r="AA19" s="169"/>
      <c r="AB19" s="189">
        <f>-[14]MAINTENANCE!$BA23</f>
        <v>0</v>
      </c>
      <c r="AC19" s="189"/>
      <c r="AD19" s="189"/>
      <c r="AE19" s="183">
        <f t="shared" si="8"/>
        <v>3917995</v>
      </c>
      <c r="AF19" s="184">
        <f t="shared" si="3"/>
        <v>0</v>
      </c>
      <c r="AG19" s="95">
        <f t="shared" si="7"/>
        <v>0</v>
      </c>
      <c r="AI19" s="199">
        <f>[14]MAINTENANCE!$AF23</f>
        <v>3740499.9000000004</v>
      </c>
      <c r="AJ19" s="200">
        <f t="shared" si="0"/>
        <v>177496</v>
      </c>
      <c r="AK19" s="199">
        <f t="shared" si="4"/>
        <v>3917995.9000000004</v>
      </c>
      <c r="AL19" s="201">
        <f t="shared" si="1"/>
        <v>0.90000000037252903</v>
      </c>
    </row>
    <row r="20" spans="2:38" s="173" customFormat="1" ht="19.5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>
        <f t="shared" si="5"/>
        <v>3639999.9</v>
      </c>
      <c r="L20" s="169">
        <f t="shared" si="6"/>
        <v>30575.999999999996</v>
      </c>
      <c r="M20" s="189">
        <f>[14]MAINTENANCE!$AK24</f>
        <v>147340</v>
      </c>
      <c r="N20" s="189">
        <f>[14]MAINTENANCE!$W24</f>
        <v>130500</v>
      </c>
      <c r="O20" s="189"/>
      <c r="P20" s="189">
        <f>[14]MAINTENANCE!$AE24</f>
        <v>326127.13</v>
      </c>
      <c r="Q20" s="169"/>
      <c r="R20" s="169"/>
      <c r="S20" s="169"/>
      <c r="T20" s="169"/>
      <c r="U20" s="169"/>
      <c r="V20" s="169"/>
      <c r="W20" s="169"/>
      <c r="X20" s="189">
        <f>[14]MAINTENANCE!$AB24</f>
        <v>43500</v>
      </c>
      <c r="Y20" s="169"/>
      <c r="Z20" s="169"/>
      <c r="AA20" s="169"/>
      <c r="AB20" s="189">
        <f>-[14]MAINTENANCE!$BA24</f>
        <v>-121333.33</v>
      </c>
      <c r="AC20" s="189"/>
      <c r="AD20" s="189"/>
      <c r="AE20" s="183">
        <f t="shared" si="8"/>
        <v>4196709</v>
      </c>
      <c r="AF20" s="184">
        <f t="shared" si="3"/>
        <v>0</v>
      </c>
      <c r="AG20" s="95">
        <f t="shared" si="7"/>
        <v>0</v>
      </c>
      <c r="AI20" s="199">
        <f>[14]MAINTENANCE!$AF24</f>
        <v>4018793.6999999997</v>
      </c>
      <c r="AJ20" s="200">
        <f t="shared" si="0"/>
        <v>177916</v>
      </c>
      <c r="AK20" s="199">
        <f t="shared" si="4"/>
        <v>4196709.6999999993</v>
      </c>
      <c r="AL20" s="201">
        <f t="shared" si="1"/>
        <v>0.69999999925494194</v>
      </c>
    </row>
    <row r="21" spans="2:38" s="173" customFormat="1" ht="19.5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 t="shared" si="5"/>
        <v>3639999.9</v>
      </c>
      <c r="L21" s="169">
        <f t="shared" si="6"/>
        <v>30575.999999999996</v>
      </c>
      <c r="M21" s="189">
        <f>[14]MAINTENANCE!$AK25</f>
        <v>146680</v>
      </c>
      <c r="N21" s="189">
        <f>[14]MAINTENANCE!$W25</f>
        <v>135000</v>
      </c>
      <c r="O21" s="189"/>
      <c r="P21" s="189">
        <f>[14]MAINTENANCE!$AE25</f>
        <v>231445.06</v>
      </c>
      <c r="Q21" s="169"/>
      <c r="R21" s="169">
        <f>[14]MAINTENANCE!$AC25</f>
        <v>132446</v>
      </c>
      <c r="S21" s="169">
        <f>[14]MAINTENANCE!$AD25</f>
        <v>34650</v>
      </c>
      <c r="T21" s="169"/>
      <c r="U21" s="169"/>
      <c r="V21" s="169"/>
      <c r="W21" s="169"/>
      <c r="X21" s="189">
        <f>[14]MAINTENANCE!$AB25</f>
        <v>27000</v>
      </c>
      <c r="Y21" s="169"/>
      <c r="Z21" s="169"/>
      <c r="AA21" s="169"/>
      <c r="AB21" s="189">
        <f>-[14]MAINTENANCE!$BA25</f>
        <v>0</v>
      </c>
      <c r="AC21" s="189"/>
      <c r="AD21" s="189"/>
      <c r="AE21" s="183">
        <f>ROUNDDOWN(SUM(K21:AD21),0)</f>
        <v>4377796</v>
      </c>
      <c r="AF21" s="184">
        <f t="shared" si="3"/>
        <v>0</v>
      </c>
      <c r="AG21" s="95">
        <f t="shared" si="7"/>
        <v>0</v>
      </c>
      <c r="AI21" s="199">
        <f>[14]MAINTENANCE!$AF25</f>
        <v>4200540.96</v>
      </c>
      <c r="AJ21" s="200">
        <f t="shared" si="0"/>
        <v>177256</v>
      </c>
      <c r="AK21" s="199">
        <f t="shared" si="4"/>
        <v>4377796.96</v>
      </c>
      <c r="AL21" s="201">
        <f t="shared" si="1"/>
        <v>0.9599999999627471</v>
      </c>
    </row>
    <row r="22" spans="2:38" s="173" customFormat="1" ht="19.5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si="5"/>
        <v>3639999.9</v>
      </c>
      <c r="L22" s="169">
        <f t="shared" si="6"/>
        <v>30575.999999999996</v>
      </c>
      <c r="M22" s="189">
        <f>[14]MAINTENANCE!$AK26</f>
        <v>147480</v>
      </c>
      <c r="N22" s="189">
        <f>[14]MAINTENANCE!$W26</f>
        <v>67500</v>
      </c>
      <c r="O22" s="189"/>
      <c r="P22" s="189"/>
      <c r="Q22" s="169"/>
      <c r="R22" s="169"/>
      <c r="S22" s="169"/>
      <c r="T22" s="169"/>
      <c r="U22" s="169"/>
      <c r="V22" s="169"/>
      <c r="W22" s="169"/>
      <c r="X22" s="189">
        <f>[14]MAINTENANCE!$AB26</f>
        <v>47000</v>
      </c>
      <c r="Y22" s="169"/>
      <c r="Z22" s="169"/>
      <c r="AA22" s="169"/>
      <c r="AB22" s="189">
        <f>-[14]MAINTENANCE!$BA26</f>
        <v>0</v>
      </c>
      <c r="AC22" s="189"/>
      <c r="AD22" s="189"/>
      <c r="AE22" s="183">
        <f t="shared" si="8"/>
        <v>3932555</v>
      </c>
      <c r="AF22" s="184">
        <f t="shared" si="3"/>
        <v>0</v>
      </c>
      <c r="AG22" s="95">
        <f t="shared" si="7"/>
        <v>0</v>
      </c>
      <c r="AI22" s="199">
        <f>[14]MAINTENANCE!$AF26</f>
        <v>3754499.9000000004</v>
      </c>
      <c r="AJ22" s="200">
        <f t="shared" si="0"/>
        <v>178056</v>
      </c>
      <c r="AK22" s="199">
        <f t="shared" si="4"/>
        <v>3932555.9000000004</v>
      </c>
      <c r="AL22" s="201">
        <f t="shared" si="1"/>
        <v>0.90000000037252903</v>
      </c>
    </row>
    <row r="23" spans="2:38" s="173" customFormat="1" ht="19.5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5"/>
        <v>3639999.9</v>
      </c>
      <c r="L23" s="169">
        <f t="shared" si="6"/>
        <v>30575.999999999996</v>
      </c>
      <c r="M23" s="189">
        <f>[14]MAINTENANCE!$AK27</f>
        <v>147340</v>
      </c>
      <c r="N23" s="189">
        <f>[14]MAINTENANCE!$W27</f>
        <v>63000</v>
      </c>
      <c r="O23" s="189"/>
      <c r="P23" s="189"/>
      <c r="Q23" s="169"/>
      <c r="R23" s="189"/>
      <c r="S23" s="189"/>
      <c r="T23" s="189"/>
      <c r="U23" s="189"/>
      <c r="V23" s="189"/>
      <c r="W23" s="189"/>
      <c r="X23" s="189">
        <f>[14]MAINTENANCE!$AB27</f>
        <v>43500</v>
      </c>
      <c r="Y23" s="189"/>
      <c r="Z23" s="189"/>
      <c r="AA23" s="189"/>
      <c r="AB23" s="189">
        <f>-[14]MAINTENANCE!$BA27</f>
        <v>-242666.66</v>
      </c>
      <c r="AC23" s="189"/>
      <c r="AD23" s="189"/>
      <c r="AE23" s="183">
        <f t="shared" si="8"/>
        <v>3681749</v>
      </c>
      <c r="AF23" s="184">
        <f t="shared" si="3"/>
        <v>0</v>
      </c>
      <c r="AG23" s="95">
        <f t="shared" si="7"/>
        <v>0</v>
      </c>
      <c r="AI23" s="199">
        <f>[14]MAINTENANCE!$AF27</f>
        <v>3503833.24</v>
      </c>
      <c r="AJ23" s="200">
        <f t="shared" si="0"/>
        <v>177916</v>
      </c>
      <c r="AK23" s="199">
        <f t="shared" si="4"/>
        <v>3681749.24</v>
      </c>
      <c r="AL23" s="201">
        <f t="shared" si="1"/>
        <v>0.24000000022351742</v>
      </c>
    </row>
    <row r="24" spans="2:38" s="173" customFormat="1" ht="19.5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5"/>
        <v>3639999.9</v>
      </c>
      <c r="L24" s="169">
        <f t="shared" si="6"/>
        <v>30575.999999999996</v>
      </c>
      <c r="M24" s="189">
        <f>[14]MAINTENANCE!$AK28</f>
        <v>146920</v>
      </c>
      <c r="N24" s="189">
        <f>[14]MAINTENANCE!$W28</f>
        <v>67500</v>
      </c>
      <c r="O24" s="189">
        <f>[14]MAINTENANCE!$Z28</f>
        <v>44000</v>
      </c>
      <c r="P24" s="189">
        <f>[14]MAINTENANCE!$AE28</f>
        <v>1367629.9</v>
      </c>
      <c r="Q24" s="169"/>
      <c r="R24" s="189"/>
      <c r="S24" s="189"/>
      <c r="T24" s="189"/>
      <c r="U24" s="189"/>
      <c r="V24" s="189"/>
      <c r="W24" s="189"/>
      <c r="X24" s="189">
        <f>[14]MAINTENANCE!$AB28</f>
        <v>33000</v>
      </c>
      <c r="Y24" s="189"/>
      <c r="Z24" s="189"/>
      <c r="AA24" s="189"/>
      <c r="AB24" s="189">
        <f>-[14]MAINTENANCE!$BA28</f>
        <v>0</v>
      </c>
      <c r="AC24" s="189"/>
      <c r="AD24" s="189"/>
      <c r="AE24" s="183">
        <f>ROUNDDOWN(SUM(K24:AD24),0)</f>
        <v>5329625</v>
      </c>
      <c r="AF24" s="184">
        <f t="shared" si="3"/>
        <v>0</v>
      </c>
      <c r="AG24" s="95">
        <f t="shared" si="7"/>
        <v>0</v>
      </c>
      <c r="AI24" s="199">
        <f>[14]MAINTENANCE!$AF28</f>
        <v>5152129.8000000007</v>
      </c>
      <c r="AJ24" s="200">
        <f t="shared" si="0"/>
        <v>177496</v>
      </c>
      <c r="AK24" s="199">
        <f t="shared" si="4"/>
        <v>5329625.8000000007</v>
      </c>
      <c r="AL24" s="201">
        <f t="shared" si="1"/>
        <v>0.80000000074505806</v>
      </c>
    </row>
    <row r="25" spans="2:38" s="173" customFormat="1" ht="19.5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5"/>
        <v>3639999.9</v>
      </c>
      <c r="L25" s="169">
        <f t="shared" si="6"/>
        <v>30575.999999999996</v>
      </c>
      <c r="M25" s="189">
        <f>[14]MAINTENANCE!$AK29</f>
        <v>147340</v>
      </c>
      <c r="N25" s="189">
        <f>[14]MAINTENANCE!$W29</f>
        <v>162000</v>
      </c>
      <c r="O25" s="189"/>
      <c r="P25" s="189">
        <f>[14]MAINTENANCE!$AE29</f>
        <v>63121.38</v>
      </c>
      <c r="Q25" s="169"/>
      <c r="R25" s="189"/>
      <c r="S25" s="189"/>
      <c r="T25" s="189"/>
      <c r="U25" s="189"/>
      <c r="V25" s="189"/>
      <c r="W25" s="189"/>
      <c r="X25" s="189">
        <f>[14]MAINTENANCE!$AB29</f>
        <v>43500</v>
      </c>
      <c r="Y25" s="189"/>
      <c r="Z25" s="189"/>
      <c r="AA25" s="189"/>
      <c r="AB25" s="189">
        <f>-[14]MAINTENANCE!$BA29</f>
        <v>0</v>
      </c>
      <c r="AC25" s="189"/>
      <c r="AD25" s="189"/>
      <c r="AE25" s="183">
        <f t="shared" si="8"/>
        <v>4086537</v>
      </c>
      <c r="AF25" s="184">
        <f t="shared" si="3"/>
        <v>0</v>
      </c>
      <c r="AG25" s="95">
        <f t="shared" si="7"/>
        <v>0</v>
      </c>
      <c r="AI25" s="199">
        <f>[14]MAINTENANCE!$AF29</f>
        <v>3908621.28</v>
      </c>
      <c r="AJ25" s="200">
        <f t="shared" si="0"/>
        <v>177916</v>
      </c>
      <c r="AK25" s="199">
        <f t="shared" si="4"/>
        <v>4086537.28</v>
      </c>
      <c r="AL25" s="201">
        <f t="shared" si="1"/>
        <v>0.27999999979510903</v>
      </c>
    </row>
    <row r="26" spans="2:38" s="173" customFormat="1" ht="19.5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5"/>
        <v>3639999.9</v>
      </c>
      <c r="L26" s="169">
        <f t="shared" si="6"/>
        <v>30575.999999999996</v>
      </c>
      <c r="M26" s="189">
        <f>[14]MAINTENANCE!$AK30</f>
        <v>148040</v>
      </c>
      <c r="N26" s="189">
        <f>[14]MAINTENANCE!$W30</f>
        <v>67500</v>
      </c>
      <c r="O26" s="189"/>
      <c r="P26" s="189"/>
      <c r="Q26" s="169"/>
      <c r="R26" s="189"/>
      <c r="S26" s="189"/>
      <c r="T26" s="189"/>
      <c r="U26" s="189"/>
      <c r="V26" s="189"/>
      <c r="W26" s="189"/>
      <c r="X26" s="189">
        <f>[14]MAINTENANCE!$AB30</f>
        <v>61000</v>
      </c>
      <c r="Y26" s="189"/>
      <c r="Z26" s="189"/>
      <c r="AA26" s="189"/>
      <c r="AB26" s="189">
        <f>-[14]MAINTENANCE!$BA30</f>
        <v>0</v>
      </c>
      <c r="AC26" s="189"/>
      <c r="AD26" s="189"/>
      <c r="AE26" s="183">
        <f t="shared" si="8"/>
        <v>3947115</v>
      </c>
      <c r="AF26" s="184">
        <f t="shared" si="3"/>
        <v>0</v>
      </c>
      <c r="AG26" s="95">
        <f t="shared" si="7"/>
        <v>0</v>
      </c>
      <c r="AI26" s="199">
        <f>[14]MAINTENANCE!$AF30</f>
        <v>3768499.9000000004</v>
      </c>
      <c r="AJ26" s="200">
        <f t="shared" si="0"/>
        <v>178616</v>
      </c>
      <c r="AK26" s="199">
        <f t="shared" si="4"/>
        <v>3947115.9000000004</v>
      </c>
      <c r="AL26" s="201">
        <f t="shared" si="1"/>
        <v>0.90000000037252903</v>
      </c>
    </row>
    <row r="27" spans="2:38" s="173" customFormat="1" ht="19.5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5"/>
        <v>3639999.9</v>
      </c>
      <c r="L27" s="169">
        <f t="shared" si="6"/>
        <v>30575.999999999996</v>
      </c>
      <c r="M27" s="189">
        <f>[14]MAINTENANCE!$AK31</f>
        <v>147620</v>
      </c>
      <c r="N27" s="189">
        <f>[14]MAINTENANCE!$W31</f>
        <v>67500</v>
      </c>
      <c r="O27" s="189"/>
      <c r="P27" s="189"/>
      <c r="Q27" s="169"/>
      <c r="R27" s="189"/>
      <c r="S27" s="189"/>
      <c r="T27" s="189"/>
      <c r="U27" s="189"/>
      <c r="V27" s="189"/>
      <c r="W27" s="189"/>
      <c r="X27" s="189">
        <f>[14]MAINTENANCE!$AB31</f>
        <v>50500</v>
      </c>
      <c r="Y27" s="189"/>
      <c r="Z27" s="189"/>
      <c r="AA27" s="189"/>
      <c r="AB27" s="189">
        <f>-[14]MAINTENANCE!$BA31</f>
        <v>0</v>
      </c>
      <c r="AC27" s="189"/>
      <c r="AD27" s="189"/>
      <c r="AE27" s="183">
        <f t="shared" si="8"/>
        <v>3936195</v>
      </c>
      <c r="AF27" s="184">
        <f t="shared" si="3"/>
        <v>0</v>
      </c>
      <c r="AG27" s="95">
        <f t="shared" si="7"/>
        <v>0</v>
      </c>
      <c r="AI27" s="199">
        <f>[14]MAINTENANCE!$AF31</f>
        <v>3757999.9000000004</v>
      </c>
      <c r="AJ27" s="200">
        <f t="shared" si="0"/>
        <v>178196</v>
      </c>
      <c r="AK27" s="199">
        <f t="shared" si="4"/>
        <v>3936195.9000000004</v>
      </c>
      <c r="AL27" s="201">
        <f t="shared" si="1"/>
        <v>0.90000000037252903</v>
      </c>
    </row>
    <row r="28" spans="2:38" s="173" customFormat="1" ht="19.5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>
        <f>'[6]HARVESTING KHT'!$AK10</f>
        <v>0</v>
      </c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3"/>
        <v>0</v>
      </c>
      <c r="AG28" s="95">
        <f t="shared" si="7"/>
        <v>0</v>
      </c>
      <c r="AI28" s="199"/>
      <c r="AJ28" s="200">
        <f t="shared" si="0"/>
        <v>0</v>
      </c>
      <c r="AK28" s="199">
        <f>AI28+AJ28+AD28</f>
        <v>0</v>
      </c>
      <c r="AL28" s="201">
        <f t="shared" si="1"/>
        <v>0</v>
      </c>
    </row>
    <row r="29" spans="2:38" s="173" customFormat="1" ht="19.5" customHeight="1">
      <c r="B29" s="174">
        <v>23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30*121333.33</f>
        <v>3639999.9</v>
      </c>
      <c r="L29" s="169">
        <f t="shared" si="6"/>
        <v>30575.999999999996</v>
      </c>
      <c r="M29" s="189">
        <f>'[14]HARVESTING KHT'!$AQ10</f>
        <v>147620</v>
      </c>
      <c r="N29" s="189">
        <f>'[14]HARVESTING KHT'!$U10</f>
        <v>67500</v>
      </c>
      <c r="O29" s="189">
        <f>'[14]HARVESTING KHT'!$X10</f>
        <v>42000</v>
      </c>
      <c r="P29" s="189">
        <f>'[14]HARVESTING KHT'!$AD10</f>
        <v>799537.48</v>
      </c>
      <c r="Q29" s="189"/>
      <c r="R29" s="189"/>
      <c r="S29" s="189"/>
      <c r="T29" s="189"/>
      <c r="U29" s="189"/>
      <c r="V29" s="189"/>
      <c r="W29" s="189">
        <f>'[6]HARVESTING KHT'!$AK11</f>
        <v>0</v>
      </c>
      <c r="X29" s="189">
        <f>'[14]HARVESTING KHT'!$Z10</f>
        <v>50500</v>
      </c>
      <c r="Y29" s="189"/>
      <c r="Z29" s="189"/>
      <c r="AA29" s="189"/>
      <c r="AB29" s="189">
        <f>-'[14]HARVESTING KHT'!$BI10</f>
        <v>0</v>
      </c>
      <c r="AC29" s="189"/>
      <c r="AD29" s="189"/>
      <c r="AE29" s="183">
        <f t="shared" si="8"/>
        <v>4777733</v>
      </c>
      <c r="AF29" s="184">
        <f t="shared" si="3"/>
        <v>0</v>
      </c>
      <c r="AG29" s="95">
        <f t="shared" si="7"/>
        <v>0</v>
      </c>
      <c r="AI29" s="199">
        <f>'[14]HARVESTING KHT'!$AL10</f>
        <v>4599537.3800000008</v>
      </c>
      <c r="AJ29" s="200">
        <f t="shared" si="0"/>
        <v>178196</v>
      </c>
      <c r="AK29" s="199">
        <f>AI29+AJ29+AD29</f>
        <v>4777733.3800000008</v>
      </c>
      <c r="AL29" s="201">
        <f t="shared" si="1"/>
        <v>0.38000000081956387</v>
      </c>
    </row>
    <row r="30" spans="2:38" s="173" customFormat="1" ht="19.5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>'[6]HARVESTING KHT'!$AK12</f>
        <v>0</v>
      </c>
      <c r="X30" s="189"/>
      <c r="Y30" s="189"/>
      <c r="Z30" s="189"/>
      <c r="AA30" s="189"/>
      <c r="AB30" s="189"/>
      <c r="AC30" s="189"/>
      <c r="AD30" s="189"/>
      <c r="AE30" s="183">
        <f t="shared" si="8"/>
        <v>0</v>
      </c>
      <c r="AF30" s="184">
        <f t="shared" si="3"/>
        <v>0</v>
      </c>
      <c r="AG30" s="95">
        <f t="shared" si="7"/>
        <v>0</v>
      </c>
      <c r="AI30" s="199"/>
      <c r="AJ30" s="200">
        <f t="shared" si="0"/>
        <v>0</v>
      </c>
      <c r="AK30" s="199">
        <f t="shared" si="4"/>
        <v>0</v>
      </c>
      <c r="AL30" s="201">
        <f t="shared" si="1"/>
        <v>0</v>
      </c>
    </row>
    <row r="31" spans="2:38" s="173" customFormat="1" ht="19.5" customHeight="1">
      <c r="B31" s="174">
        <v>24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>30*121333.33</f>
        <v>3639999.9</v>
      </c>
      <c r="L31" s="169">
        <f t="shared" si="6"/>
        <v>30575.999999999996</v>
      </c>
      <c r="M31" s="189">
        <f>'[14]HARVESTING KHT'!$AQ11</f>
        <v>146560</v>
      </c>
      <c r="N31" s="189">
        <f>'[14]HARVESTING KHT'!$U11</f>
        <v>135000</v>
      </c>
      <c r="O31" s="189"/>
      <c r="P31" s="189"/>
      <c r="Q31" s="189"/>
      <c r="R31" s="189">
        <f>'[14]HARVESTING KHT'!$AA11</f>
        <v>30998</v>
      </c>
      <c r="S31" s="189">
        <f>'[14]HARVESTING KHT'!$AB11</f>
        <v>252000</v>
      </c>
      <c r="T31" s="189">
        <f>'[13]HARVESTING KHT'!$AC11</f>
        <v>0</v>
      </c>
      <c r="U31" s="189"/>
      <c r="V31" s="189"/>
      <c r="W31" s="189">
        <f>'[6]HARVESTING KHT'!$AK13</f>
        <v>0</v>
      </c>
      <c r="X31" s="189">
        <f>'[14]HARVESTING KHT'!$Z11</f>
        <v>24000</v>
      </c>
      <c r="Y31" s="189"/>
      <c r="Z31" s="189"/>
      <c r="AA31" s="189"/>
      <c r="AB31" s="189">
        <f>-'[14]HARVESTING KHT'!$BI11</f>
        <v>0</v>
      </c>
      <c r="AC31" s="189"/>
      <c r="AD31" s="189"/>
      <c r="AE31" s="183">
        <f t="shared" si="8"/>
        <v>4259133</v>
      </c>
      <c r="AF31" s="184">
        <f t="shared" si="3"/>
        <v>0</v>
      </c>
      <c r="AG31" s="95">
        <f t="shared" si="7"/>
        <v>0</v>
      </c>
      <c r="AI31" s="199">
        <f>'[14]HARVESTING KHT'!$AL11</f>
        <v>4081997.9</v>
      </c>
      <c r="AJ31" s="200">
        <f t="shared" si="0"/>
        <v>177136</v>
      </c>
      <c r="AK31" s="199">
        <f t="shared" si="4"/>
        <v>4259133.9000000004</v>
      </c>
      <c r="AL31" s="201">
        <f t="shared" si="1"/>
        <v>0.90000000037252903</v>
      </c>
    </row>
    <row r="32" spans="2:38" s="173" customFormat="1" ht="19.5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3"/>
        <v>0</v>
      </c>
      <c r="AG32" s="95">
        <f t="shared" si="7"/>
        <v>0</v>
      </c>
      <c r="AI32" s="199"/>
      <c r="AJ32" s="200">
        <f t="shared" si="0"/>
        <v>0</v>
      </c>
      <c r="AK32" s="199">
        <f t="shared" si="4"/>
        <v>0</v>
      </c>
      <c r="AL32" s="201">
        <f t="shared" si="1"/>
        <v>0</v>
      </c>
    </row>
    <row r="33" spans="2:38" s="173" customFormat="1" ht="19.5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3"/>
        <v>0</v>
      </c>
      <c r="AG33" s="95">
        <f t="shared" si="7"/>
        <v>0</v>
      </c>
      <c r="AI33" s="199"/>
      <c r="AJ33" s="200">
        <f t="shared" si="0"/>
        <v>0</v>
      </c>
      <c r="AK33" s="199">
        <f t="shared" si="4"/>
        <v>0</v>
      </c>
      <c r="AL33" s="201">
        <f t="shared" si="1"/>
        <v>0</v>
      </c>
    </row>
    <row r="34" spans="2:38" s="173" customFormat="1" ht="19.5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>
        <f>'[6]HARVESTING KHT'!$AK16</f>
        <v>0</v>
      </c>
      <c r="X34" s="189"/>
      <c r="Y34" s="189"/>
      <c r="Z34" s="189"/>
      <c r="AA34" s="189"/>
      <c r="AB34" s="189"/>
      <c r="AC34" s="189"/>
      <c r="AD34" s="189"/>
      <c r="AE34" s="183">
        <f t="shared" si="8"/>
        <v>0</v>
      </c>
      <c r="AF34" s="184">
        <f t="shared" si="3"/>
        <v>0</v>
      </c>
      <c r="AG34" s="95">
        <f t="shared" si="7"/>
        <v>0</v>
      </c>
      <c r="AI34" s="199"/>
      <c r="AJ34" s="200">
        <f t="shared" si="0"/>
        <v>0</v>
      </c>
      <c r="AK34" s="199">
        <f t="shared" si="4"/>
        <v>0</v>
      </c>
      <c r="AL34" s="201">
        <f t="shared" si="1"/>
        <v>0</v>
      </c>
    </row>
    <row r="35" spans="2:38" s="173" customFormat="1" ht="19.5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>
        <f>'[6]HARVESTING KHT'!$AK17</f>
        <v>0</v>
      </c>
      <c r="X35" s="189"/>
      <c r="Y35" s="189"/>
      <c r="Z35" s="189"/>
      <c r="AA35" s="189"/>
      <c r="AB35" s="189"/>
      <c r="AC35" s="189"/>
      <c r="AD35" s="189"/>
      <c r="AE35" s="183">
        <f t="shared" si="8"/>
        <v>0</v>
      </c>
      <c r="AF35" s="184">
        <f t="shared" si="3"/>
        <v>0</v>
      </c>
      <c r="AG35" s="95">
        <f t="shared" si="7"/>
        <v>0</v>
      </c>
      <c r="AI35" s="199"/>
      <c r="AJ35" s="200">
        <f t="shared" si="0"/>
        <v>0</v>
      </c>
      <c r="AK35" s="199">
        <f t="shared" si="4"/>
        <v>0</v>
      </c>
      <c r="AL35" s="201">
        <f t="shared" si="1"/>
        <v>0</v>
      </c>
    </row>
    <row r="36" spans="2:38" s="173" customFormat="1" ht="19.5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>
        <f>'[6]HARVESTING KHT'!$AK18</f>
        <v>0</v>
      </c>
      <c r="X36" s="189"/>
      <c r="Y36" s="189"/>
      <c r="Z36" s="189"/>
      <c r="AA36" s="189"/>
      <c r="AB36" s="189"/>
      <c r="AC36" s="189"/>
      <c r="AD36" s="189"/>
      <c r="AE36" s="183">
        <f t="shared" si="8"/>
        <v>0</v>
      </c>
      <c r="AF36" s="184">
        <f t="shared" si="3"/>
        <v>0</v>
      </c>
      <c r="AG36" s="95">
        <f t="shared" si="7"/>
        <v>0</v>
      </c>
      <c r="AI36" s="199"/>
      <c r="AJ36" s="200">
        <f t="shared" si="0"/>
        <v>0</v>
      </c>
      <c r="AK36" s="199">
        <f t="shared" si="4"/>
        <v>0</v>
      </c>
      <c r="AL36" s="201">
        <f t="shared" si="1"/>
        <v>0</v>
      </c>
    </row>
    <row r="37" spans="2:38" s="173" customFormat="1" ht="19.5" customHeight="1">
      <c r="B37" s="174">
        <v>25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>30*121333.33</f>
        <v>3639999.9</v>
      </c>
      <c r="L37" s="169">
        <f t="shared" si="6"/>
        <v>30575.999999999996</v>
      </c>
      <c r="M37" s="189">
        <f>'[14]HARVESTING KHT'!$AQ12</f>
        <v>145800</v>
      </c>
      <c r="N37" s="189">
        <f>'[14]HARVESTING KHT'!$U12</f>
        <v>135000</v>
      </c>
      <c r="O37" s="189"/>
      <c r="P37" s="189"/>
      <c r="Q37" s="189"/>
      <c r="R37" s="189">
        <f>'[14]HARVESTING KHT'!$AA12</f>
        <v>309980</v>
      </c>
      <c r="S37" s="189">
        <f>'[14]HARVESTING KHT'!$AB12</f>
        <v>215250</v>
      </c>
      <c r="T37" s="189">
        <f>'[13]HARVESTING KHT'!$AC12</f>
        <v>0</v>
      </c>
      <c r="U37" s="189"/>
      <c r="V37" s="189"/>
      <c r="W37" s="189">
        <f>'[6]HARVESTING KHT'!$AK19</f>
        <v>0</v>
      </c>
      <c r="X37" s="189">
        <f>'[14]HARVESTING KHT'!$Z12</f>
        <v>5000</v>
      </c>
      <c r="Y37" s="189"/>
      <c r="Z37" s="189"/>
      <c r="AA37" s="189"/>
      <c r="AB37" s="189">
        <f>-'[14]HARVESTING KHT'!$BI12</f>
        <v>0</v>
      </c>
      <c r="AC37" s="189"/>
      <c r="AD37" s="189"/>
      <c r="AE37" s="183">
        <f t="shared" si="8"/>
        <v>4481605</v>
      </c>
      <c r="AF37" s="184">
        <f t="shared" si="3"/>
        <v>0</v>
      </c>
      <c r="AG37" s="95">
        <f t="shared" si="7"/>
        <v>0</v>
      </c>
      <c r="AI37" s="199">
        <f>'[14]HARVESTING KHT'!$AL12</f>
        <v>4305229.9000000004</v>
      </c>
      <c r="AJ37" s="200">
        <f t="shared" si="0"/>
        <v>176376</v>
      </c>
      <c r="AK37" s="199">
        <f t="shared" si="4"/>
        <v>4481605.9000000004</v>
      </c>
      <c r="AL37" s="201">
        <f t="shared" si="1"/>
        <v>0.90000000037252903</v>
      </c>
    </row>
    <row r="38" spans="2:38" s="173" customFormat="1" ht="19.5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77" si="9">IF(J38="TER A",VLOOKUP(AE38,Ter_A,4,TRUE),IF(J38="TER B",VLOOKUP(AE38,Ter_B,4,TRUE),VLOOKUP(AE38,Ter_C,4,TRUE)))</f>
        <v>0</v>
      </c>
      <c r="AG38" s="95">
        <f t="shared" si="7"/>
        <v>0</v>
      </c>
      <c r="AI38" s="199"/>
      <c r="AJ38" s="200">
        <f t="shared" si="0"/>
        <v>0</v>
      </c>
      <c r="AK38" s="199">
        <f t="shared" si="4"/>
        <v>0</v>
      </c>
      <c r="AL38" s="201">
        <f t="shared" si="1"/>
        <v>0</v>
      </c>
    </row>
    <row r="39" spans="2:38" s="173" customFormat="1" ht="19.5" customHeight="1">
      <c r="B39" s="174"/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/>
      <c r="L39" s="16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3">
        <f t="shared" si="8"/>
        <v>0</v>
      </c>
      <c r="AF39" s="184">
        <f t="shared" si="9"/>
        <v>0</v>
      </c>
      <c r="AG39" s="95">
        <f t="shared" si="7"/>
        <v>0</v>
      </c>
      <c r="AI39" s="199"/>
      <c r="AJ39" s="200">
        <f t="shared" si="0"/>
        <v>0</v>
      </c>
      <c r="AK39" s="199">
        <f t="shared" si="4"/>
        <v>0</v>
      </c>
      <c r="AL39" s="201">
        <f t="shared" si="1"/>
        <v>0</v>
      </c>
    </row>
    <row r="40" spans="2:38" s="173" customFormat="1" ht="19.5" customHeight="1">
      <c r="B40" s="174"/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/>
      <c r="L40" s="16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3">
        <f t="shared" si="8"/>
        <v>0</v>
      </c>
      <c r="AF40" s="184">
        <f t="shared" si="9"/>
        <v>0</v>
      </c>
      <c r="AG40" s="95">
        <f t="shared" si="7"/>
        <v>0</v>
      </c>
      <c r="AI40" s="199"/>
      <c r="AJ40" s="200">
        <f t="shared" si="0"/>
        <v>0</v>
      </c>
      <c r="AK40" s="199">
        <f t="shared" si="4"/>
        <v>0</v>
      </c>
      <c r="AL40" s="201">
        <f t="shared" si="1"/>
        <v>0</v>
      </c>
    </row>
    <row r="41" spans="2:38" s="173" customFormat="1" ht="19.5" customHeight="1">
      <c r="B41" s="174">
        <v>26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>30*121333.33</f>
        <v>3639999.9</v>
      </c>
      <c r="L41" s="169">
        <f t="shared" si="6"/>
        <v>30575.999999999996</v>
      </c>
      <c r="M41" s="189">
        <f>'[14]HARVESTING KHT'!$AQ13</f>
        <v>146320</v>
      </c>
      <c r="N41" s="189">
        <f>'[14]HARVESTING KHT'!$U13</f>
        <v>162000</v>
      </c>
      <c r="O41" s="189"/>
      <c r="P41" s="189"/>
      <c r="Q41" s="189"/>
      <c r="R41" s="189">
        <f>'[14]HARVESTING KHT'!$AA13</f>
        <v>12681</v>
      </c>
      <c r="S41" s="189">
        <f>'[14]HARVESTING KHT'!$AB13</f>
        <v>134400</v>
      </c>
      <c r="T41" s="189">
        <f>'[13]HARVESTING KHT'!$AC13</f>
        <v>0</v>
      </c>
      <c r="U41" s="189"/>
      <c r="V41" s="189"/>
      <c r="W41" s="189">
        <f>'[6]HARVESTING KHT'!$AK23</f>
        <v>0</v>
      </c>
      <c r="X41" s="189">
        <f>'[14]HARVESTING KHT'!$Z13</f>
        <v>18000</v>
      </c>
      <c r="Y41" s="189"/>
      <c r="Z41" s="189"/>
      <c r="AA41" s="189"/>
      <c r="AB41" s="189">
        <f>-'[14]HARVESTING KHT'!$BI13</f>
        <v>0</v>
      </c>
      <c r="AC41" s="189"/>
      <c r="AD41" s="189"/>
      <c r="AE41" s="183">
        <f t="shared" si="8"/>
        <v>4143976</v>
      </c>
      <c r="AF41" s="184">
        <f t="shared" si="9"/>
        <v>0</v>
      </c>
      <c r="AG41" s="95">
        <f t="shared" si="7"/>
        <v>0</v>
      </c>
      <c r="AI41" s="199">
        <f>'[14]HARVESTING KHT'!$AL13</f>
        <v>3967080.9000000004</v>
      </c>
      <c r="AJ41" s="200">
        <f t="shared" si="0"/>
        <v>176896</v>
      </c>
      <c r="AK41" s="199">
        <f t="shared" si="4"/>
        <v>4143976.9000000004</v>
      </c>
      <c r="AL41" s="201">
        <f t="shared" si="1"/>
        <v>0.90000000037252903</v>
      </c>
    </row>
    <row r="42" spans="2:38" s="173" customFormat="1" ht="19.5" customHeight="1">
      <c r="B42" s="174">
        <v>27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>30*121333.33</f>
        <v>3639999.9</v>
      </c>
      <c r="L42" s="169">
        <f t="shared" si="6"/>
        <v>30575.999999999996</v>
      </c>
      <c r="M42" s="189">
        <f>'[14]HARVESTING KHT'!$AQ14</f>
        <v>146440</v>
      </c>
      <c r="N42" s="189">
        <f>'[14]HARVESTING KHT'!$U14</f>
        <v>135000</v>
      </c>
      <c r="O42" s="189"/>
      <c r="P42" s="189"/>
      <c r="Q42" s="189"/>
      <c r="R42" s="189">
        <f>'[14]HARVESTING KHT'!$AA14</f>
        <v>7045</v>
      </c>
      <c r="S42" s="189">
        <f>'[14]HARVESTING KHT'!$AB14</f>
        <v>157500</v>
      </c>
      <c r="T42" s="189">
        <f>'[13]HARVESTING KHT'!$AC14</f>
        <v>0</v>
      </c>
      <c r="U42" s="189"/>
      <c r="V42" s="189"/>
      <c r="W42" s="189">
        <f>'[6]HARVESTING KHT'!$AK24</f>
        <v>0</v>
      </c>
      <c r="X42" s="189">
        <f>'[14]HARVESTING KHT'!$Z14</f>
        <v>21000</v>
      </c>
      <c r="Y42" s="189"/>
      <c r="Z42" s="189"/>
      <c r="AA42" s="189"/>
      <c r="AB42" s="189">
        <f>-'[14]HARVESTING KHT'!$BI14</f>
        <v>0</v>
      </c>
      <c r="AC42" s="189"/>
      <c r="AD42" s="189"/>
      <c r="AE42" s="183">
        <f t="shared" si="8"/>
        <v>4137560</v>
      </c>
      <c r="AF42" s="184">
        <f t="shared" si="9"/>
        <v>0</v>
      </c>
      <c r="AG42" s="95">
        <f t="shared" si="7"/>
        <v>0</v>
      </c>
      <c r="AI42" s="199">
        <f>'[14]HARVESTING KHT'!$AL14</f>
        <v>3960544.9000000004</v>
      </c>
      <c r="AJ42" s="200">
        <f t="shared" si="0"/>
        <v>177016</v>
      </c>
      <c r="AK42" s="199">
        <f t="shared" si="4"/>
        <v>4137560.9000000004</v>
      </c>
      <c r="AL42" s="201">
        <f t="shared" si="1"/>
        <v>0.90000000037252903</v>
      </c>
    </row>
    <row r="43" spans="2:38" s="173" customFormat="1" ht="19.5" customHeight="1">
      <c r="B43" s="174"/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/>
      <c r="L43" s="16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3">
        <f t="shared" si="8"/>
        <v>0</v>
      </c>
      <c r="AF43" s="184">
        <f t="shared" si="9"/>
        <v>0</v>
      </c>
      <c r="AG43" s="95">
        <f t="shared" si="7"/>
        <v>0</v>
      </c>
      <c r="AI43" s="199"/>
      <c r="AJ43" s="200">
        <f t="shared" si="0"/>
        <v>0</v>
      </c>
      <c r="AK43" s="199">
        <f t="shared" si="4"/>
        <v>0</v>
      </c>
      <c r="AL43" s="201">
        <f t="shared" si="1"/>
        <v>0</v>
      </c>
    </row>
    <row r="44" spans="2:38" s="173" customFormat="1" ht="19.5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9"/>
        <v>0</v>
      </c>
      <c r="AG44" s="95">
        <f t="shared" si="7"/>
        <v>0</v>
      </c>
      <c r="AI44" s="199"/>
      <c r="AJ44" s="200">
        <f t="shared" si="0"/>
        <v>0</v>
      </c>
      <c r="AK44" s="199">
        <f t="shared" si="4"/>
        <v>0</v>
      </c>
      <c r="AL44" s="201">
        <f t="shared" si="1"/>
        <v>0</v>
      </c>
    </row>
    <row r="45" spans="2:38" s="173" customFormat="1" ht="19.5" customHeight="1">
      <c r="B45" s="174">
        <v>28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>30*121333.33</f>
        <v>3639999.9</v>
      </c>
      <c r="L45" s="169">
        <f t="shared" si="6"/>
        <v>30575.999999999996</v>
      </c>
      <c r="M45" s="189">
        <f>'[14]HARVESTING KHT'!$AQ15</f>
        <v>145700</v>
      </c>
      <c r="N45" s="189">
        <f>'[14]HARVESTING KHT'!$U15</f>
        <v>162000</v>
      </c>
      <c r="O45" s="189"/>
      <c r="P45" s="189"/>
      <c r="Q45" s="189"/>
      <c r="R45" s="189">
        <f>'[14]HARVESTING KHT'!$AA15</f>
        <v>112720</v>
      </c>
      <c r="S45" s="189">
        <f>'[14]HARVESTING KHT'!$AB15</f>
        <v>196350</v>
      </c>
      <c r="T45" s="189">
        <f>'[13]HARVESTING KHT'!$AC15</f>
        <v>0</v>
      </c>
      <c r="U45" s="189"/>
      <c r="V45" s="189"/>
      <c r="W45" s="189">
        <f>'[6]HARVESTING KHT'!$AK27</f>
        <v>0</v>
      </c>
      <c r="X45" s="189">
        <f>'[14]HARVESTING KHT'!$Z15</f>
        <v>2500</v>
      </c>
      <c r="Y45" s="189"/>
      <c r="Z45" s="189"/>
      <c r="AA45" s="189"/>
      <c r="AB45" s="189">
        <f>-'[14]HARVESTING KHT'!$BI15</f>
        <v>0</v>
      </c>
      <c r="AC45" s="189"/>
      <c r="AD45" s="189"/>
      <c r="AE45" s="183">
        <f t="shared" si="8"/>
        <v>4289845</v>
      </c>
      <c r="AF45" s="184">
        <f t="shared" si="9"/>
        <v>0</v>
      </c>
      <c r="AG45" s="95">
        <f t="shared" si="7"/>
        <v>0</v>
      </c>
      <c r="AI45" s="199">
        <f>'[14]HARVESTING KHT'!$AL15</f>
        <v>4113569.9</v>
      </c>
      <c r="AJ45" s="200">
        <f t="shared" si="0"/>
        <v>176276</v>
      </c>
      <c r="AK45" s="199">
        <f t="shared" si="4"/>
        <v>4289845.9000000004</v>
      </c>
      <c r="AL45" s="201">
        <f>AK45-AE45</f>
        <v>0.90000000037252903</v>
      </c>
    </row>
    <row r="46" spans="2:38" s="173" customFormat="1" ht="19.5" customHeight="1">
      <c r="B46" s="174">
        <v>29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>30*121333.33</f>
        <v>3639999.9</v>
      </c>
      <c r="L46" s="169">
        <f t="shared" si="6"/>
        <v>30575.999999999996</v>
      </c>
      <c r="M46" s="189">
        <f>'[14]HARVESTING KHT'!$AQ16</f>
        <v>145900</v>
      </c>
      <c r="N46" s="189">
        <f>'[14]HARVESTING KHT'!$U16</f>
        <v>60750</v>
      </c>
      <c r="O46" s="189"/>
      <c r="P46" s="189"/>
      <c r="Q46" s="189"/>
      <c r="R46" s="189">
        <f>'[14]HARVESTING KHT'!$AA16</f>
        <v>135264</v>
      </c>
      <c r="S46" s="189">
        <f>'[14]HARVESTING KHT'!$AB16</f>
        <v>197400</v>
      </c>
      <c r="T46" s="189">
        <f>'[13]HARVESTING KHT'!$AC16</f>
        <v>0</v>
      </c>
      <c r="U46" s="189"/>
      <c r="V46" s="189"/>
      <c r="W46" s="189">
        <f>'[6]HARVESTING KHT'!$AK28</f>
        <v>0</v>
      </c>
      <c r="X46" s="189">
        <f>'[14]HARVESTING KHT'!$Z16</f>
        <v>7500</v>
      </c>
      <c r="Y46" s="189"/>
      <c r="Z46" s="189"/>
      <c r="AA46" s="189"/>
      <c r="AB46" s="189">
        <f>-'[14]HARVESTING KHT'!$BI16</f>
        <v>-363999.99</v>
      </c>
      <c r="AC46" s="189"/>
      <c r="AD46" s="189"/>
      <c r="AE46" s="183">
        <f t="shared" si="8"/>
        <v>3853389</v>
      </c>
      <c r="AF46" s="184">
        <f t="shared" si="9"/>
        <v>0</v>
      </c>
      <c r="AG46" s="95">
        <f t="shared" si="7"/>
        <v>0</v>
      </c>
      <c r="AI46" s="199">
        <f>'[14]HARVESTING KHT'!$AL16</f>
        <v>3676913.91</v>
      </c>
      <c r="AJ46" s="200">
        <f t="shared" si="0"/>
        <v>176476</v>
      </c>
      <c r="AK46" s="199">
        <f t="shared" si="4"/>
        <v>3853389.91</v>
      </c>
      <c r="AL46" s="201">
        <f>AK46-AE46</f>
        <v>0.91000000014901161</v>
      </c>
    </row>
    <row r="47" spans="2:38" s="173" customFormat="1" ht="19.5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>
        <f>'[6]HARVESTING KHT'!$AK29</f>
        <v>0</v>
      </c>
      <c r="X47" s="189"/>
      <c r="Y47" s="189"/>
      <c r="Z47" s="189"/>
      <c r="AA47" s="189"/>
      <c r="AB47" s="189"/>
      <c r="AC47" s="189"/>
      <c r="AD47" s="189"/>
      <c r="AE47" s="183">
        <f t="shared" si="8"/>
        <v>0</v>
      </c>
      <c r="AF47" s="184">
        <f t="shared" si="9"/>
        <v>0</v>
      </c>
      <c r="AG47" s="95">
        <f t="shared" si="7"/>
        <v>0</v>
      </c>
      <c r="AI47" s="199"/>
      <c r="AJ47" s="200">
        <f t="shared" si="0"/>
        <v>0</v>
      </c>
      <c r="AK47" s="199">
        <f t="shared" si="4"/>
        <v>0</v>
      </c>
      <c r="AL47" s="201">
        <f t="shared" si="1"/>
        <v>0</v>
      </c>
    </row>
    <row r="48" spans="2:38" s="173" customFormat="1" ht="19.5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9"/>
        <v>0</v>
      </c>
      <c r="AG48" s="95">
        <f t="shared" si="7"/>
        <v>0</v>
      </c>
      <c r="AI48" s="199"/>
      <c r="AJ48" s="200">
        <f t="shared" si="0"/>
        <v>0</v>
      </c>
      <c r="AK48" s="199">
        <f t="shared" si="4"/>
        <v>0</v>
      </c>
      <c r="AL48" s="201">
        <f t="shared" si="1"/>
        <v>0</v>
      </c>
    </row>
    <row r="49" spans="2:38" s="173" customFormat="1" ht="19.5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9"/>
        <v>0</v>
      </c>
      <c r="AG49" s="95">
        <f t="shared" si="7"/>
        <v>0</v>
      </c>
      <c r="AI49" s="199"/>
      <c r="AJ49" s="200">
        <f t="shared" si="0"/>
        <v>0</v>
      </c>
      <c r="AK49" s="199">
        <f t="shared" si="4"/>
        <v>0</v>
      </c>
      <c r="AL49" s="201">
        <f t="shared" si="1"/>
        <v>0</v>
      </c>
    </row>
    <row r="50" spans="2:38" s="173" customFormat="1" ht="19.5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9"/>
        <v>0</v>
      </c>
      <c r="AG50" s="95">
        <f t="shared" si="7"/>
        <v>0</v>
      </c>
      <c r="AI50" s="199"/>
      <c r="AJ50" s="200">
        <f t="shared" si="0"/>
        <v>0</v>
      </c>
      <c r="AK50" s="199">
        <f t="shared" si="4"/>
        <v>0</v>
      </c>
      <c r="AL50" s="201">
        <f t="shared" si="1"/>
        <v>0</v>
      </c>
    </row>
    <row r="51" spans="2:38" s="173" customFormat="1" ht="19.5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9"/>
        <v>0</v>
      </c>
      <c r="AG51" s="95">
        <f t="shared" si="7"/>
        <v>0</v>
      </c>
      <c r="AI51" s="199"/>
      <c r="AJ51" s="200">
        <f t="shared" si="0"/>
        <v>0</v>
      </c>
      <c r="AK51" s="199">
        <f t="shared" si="4"/>
        <v>0</v>
      </c>
      <c r="AL51" s="201">
        <f t="shared" si="1"/>
        <v>0</v>
      </c>
    </row>
    <row r="52" spans="2:38" s="173" customFormat="1" ht="19.5" customHeight="1">
      <c r="B52" s="174"/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/>
      <c r="L52" s="16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3">
        <f t="shared" si="8"/>
        <v>0</v>
      </c>
      <c r="AF52" s="184">
        <f t="shared" si="9"/>
        <v>0</v>
      </c>
      <c r="AG52" s="95">
        <f t="shared" si="7"/>
        <v>0</v>
      </c>
      <c r="AI52" s="199"/>
      <c r="AJ52" s="200">
        <f t="shared" si="0"/>
        <v>0</v>
      </c>
      <c r="AK52" s="199">
        <f t="shared" si="4"/>
        <v>0</v>
      </c>
      <c r="AL52" s="201">
        <f t="shared" si="1"/>
        <v>0</v>
      </c>
    </row>
    <row r="53" spans="2:38" s="173" customFormat="1" ht="19.5" customHeight="1">
      <c r="B53" s="174">
        <v>30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>30*121333.33</f>
        <v>3639999.9</v>
      </c>
      <c r="L53" s="169">
        <f t="shared" si="6"/>
        <v>30575.999999999996</v>
      </c>
      <c r="M53" s="189">
        <f>'[14]HARVESTING KHT'!$AQ17</f>
        <v>145700</v>
      </c>
      <c r="N53" s="189">
        <f>'[14]HARVESTING KHT'!$U17</f>
        <v>156600</v>
      </c>
      <c r="O53" s="189"/>
      <c r="P53" s="189"/>
      <c r="Q53" s="189"/>
      <c r="R53" s="189">
        <f>'[14]HARVESTING KHT'!$AA17</f>
        <v>214168</v>
      </c>
      <c r="S53" s="189">
        <f>'[14]HARVESTING KHT'!$AB17</f>
        <v>218400</v>
      </c>
      <c r="T53" s="189">
        <f>'[13]HARVESTING KHT'!$AC17</f>
        <v>0</v>
      </c>
      <c r="U53" s="189"/>
      <c r="V53" s="189"/>
      <c r="W53" s="189">
        <f>'[6]HARVESTING KHT'!$AK35</f>
        <v>0</v>
      </c>
      <c r="X53" s="189">
        <f>'[14]HARVESTING KHT'!$Z17</f>
        <v>2500</v>
      </c>
      <c r="Y53" s="189"/>
      <c r="Z53" s="189"/>
      <c r="AA53" s="189"/>
      <c r="AB53" s="189">
        <f>-'[14]HARVESTING KHT'!$BI17</f>
        <v>-121333.33</v>
      </c>
      <c r="AC53" s="189"/>
      <c r="AD53" s="189"/>
      <c r="AE53" s="183">
        <f t="shared" si="8"/>
        <v>4286610</v>
      </c>
      <c r="AF53" s="184">
        <f t="shared" si="9"/>
        <v>0</v>
      </c>
      <c r="AG53" s="95">
        <f t="shared" si="7"/>
        <v>0</v>
      </c>
      <c r="AI53" s="199">
        <f>'[14]HARVESTING KHT'!$AL17</f>
        <v>4110334.57</v>
      </c>
      <c r="AJ53" s="200">
        <f t="shared" si="0"/>
        <v>176276</v>
      </c>
      <c r="AK53" s="199">
        <f t="shared" si="4"/>
        <v>4286610.57</v>
      </c>
      <c r="AL53" s="201">
        <f t="shared" si="1"/>
        <v>0.57000000029802322</v>
      </c>
    </row>
    <row r="54" spans="2:38" s="173" customFormat="1" ht="19.5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>
        <f>'[6]HARVESTING KHT'!$AK36</f>
        <v>0</v>
      </c>
      <c r="X54" s="189"/>
      <c r="Y54" s="189"/>
      <c r="Z54" s="189"/>
      <c r="AA54" s="189"/>
      <c r="AB54" s="189"/>
      <c r="AC54" s="189"/>
      <c r="AD54" s="189"/>
      <c r="AE54" s="183">
        <f t="shared" si="8"/>
        <v>0</v>
      </c>
      <c r="AF54" s="184">
        <f t="shared" si="9"/>
        <v>0</v>
      </c>
      <c r="AG54" s="95">
        <f t="shared" si="7"/>
        <v>0</v>
      </c>
      <c r="AI54" s="199"/>
      <c r="AJ54" s="200">
        <f t="shared" si="0"/>
        <v>0</v>
      </c>
      <c r="AK54" s="199">
        <f t="shared" si="4"/>
        <v>0</v>
      </c>
      <c r="AL54" s="201">
        <f t="shared" si="1"/>
        <v>0</v>
      </c>
    </row>
    <row r="55" spans="2:38" s="173" customFormat="1" ht="19.5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>
        <f>'[6]HARVESTING KHT'!$AK37</f>
        <v>0</v>
      </c>
      <c r="X55" s="189"/>
      <c r="Y55" s="189"/>
      <c r="Z55" s="189"/>
      <c r="AA55" s="189"/>
      <c r="AB55" s="189"/>
      <c r="AC55" s="189"/>
      <c r="AD55" s="189"/>
      <c r="AE55" s="183">
        <f t="shared" si="8"/>
        <v>0</v>
      </c>
      <c r="AF55" s="184">
        <f t="shared" si="9"/>
        <v>0</v>
      </c>
      <c r="AG55" s="95">
        <f t="shared" si="7"/>
        <v>0</v>
      </c>
      <c r="AI55" s="199"/>
      <c r="AJ55" s="200">
        <f t="shared" si="0"/>
        <v>0</v>
      </c>
      <c r="AK55" s="199">
        <f t="shared" si="4"/>
        <v>0</v>
      </c>
      <c r="AL55" s="201">
        <f t="shared" si="1"/>
        <v>0</v>
      </c>
    </row>
    <row r="56" spans="2:38" s="173" customFormat="1" ht="19.5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9"/>
        <v>0</v>
      </c>
      <c r="AG56" s="95">
        <f t="shared" si="7"/>
        <v>0</v>
      </c>
      <c r="AI56" s="199"/>
      <c r="AJ56" s="200">
        <f t="shared" si="0"/>
        <v>0</v>
      </c>
      <c r="AK56" s="199">
        <f t="shared" si="4"/>
        <v>0</v>
      </c>
      <c r="AL56" s="201">
        <f t="shared" si="1"/>
        <v>0</v>
      </c>
    </row>
    <row r="57" spans="2:38" s="173" customFormat="1" ht="19.5" customHeight="1">
      <c r="B57" s="174">
        <v>31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 t="shared" ref="K57:K76" si="10">30*121333.33</f>
        <v>3639999.9</v>
      </c>
      <c r="L57" s="169">
        <f t="shared" si="6"/>
        <v>30575.999999999996</v>
      </c>
      <c r="M57" s="189">
        <f>'[14]HARVESTING KHT'!$AQ18</f>
        <v>146100</v>
      </c>
      <c r="N57" s="189">
        <f>'[14]HARVESTING KHT'!$U18</f>
        <v>156600</v>
      </c>
      <c r="O57" s="189"/>
      <c r="P57" s="189"/>
      <c r="Q57" s="189"/>
      <c r="R57" s="189">
        <f>'[14]HARVESTING KHT'!$AA18</f>
        <v>56360</v>
      </c>
      <c r="S57" s="189">
        <f>'[14]HARVESTING KHT'!$AB18</f>
        <v>200550</v>
      </c>
      <c r="T57" s="189">
        <f>'[13]HARVESTING KHT'!$AC18</f>
        <v>0</v>
      </c>
      <c r="U57" s="189"/>
      <c r="V57" s="189"/>
      <c r="W57" s="189">
        <f>'[6]HARVESTING KHT'!$AK39</f>
        <v>0</v>
      </c>
      <c r="X57" s="189">
        <f>'[14]HARVESTING KHT'!$Z18</f>
        <v>12500</v>
      </c>
      <c r="Y57" s="189"/>
      <c r="Z57" s="189"/>
      <c r="AA57" s="189"/>
      <c r="AB57" s="189">
        <f>-'[14]HARVESTING KHT'!$BI18</f>
        <v>-121333.33</v>
      </c>
      <c r="AC57" s="189"/>
      <c r="AD57" s="189"/>
      <c r="AE57" s="183">
        <f t="shared" si="8"/>
        <v>4121352</v>
      </c>
      <c r="AF57" s="184">
        <f t="shared" si="9"/>
        <v>0</v>
      </c>
      <c r="AG57" s="95">
        <f t="shared" si="7"/>
        <v>0</v>
      </c>
      <c r="AI57" s="199">
        <f>'[14]HARVESTING KHT'!$AL18</f>
        <v>3944676.57</v>
      </c>
      <c r="AJ57" s="200">
        <f t="shared" si="0"/>
        <v>176676</v>
      </c>
      <c r="AK57" s="199">
        <f t="shared" si="4"/>
        <v>4121352.57</v>
      </c>
      <c r="AL57" s="201">
        <f t="shared" si="1"/>
        <v>0.56999999983236194</v>
      </c>
    </row>
    <row r="58" spans="2:38" s="173" customFormat="1" ht="19.5" customHeight="1">
      <c r="B58" s="174">
        <v>32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 t="shared" si="10"/>
        <v>3639999.9</v>
      </c>
      <c r="L58" s="169">
        <f t="shared" si="6"/>
        <v>30575.999999999996</v>
      </c>
      <c r="M58" s="189">
        <f>'[14]HARVESTING KHT'!$AQ19</f>
        <v>145700</v>
      </c>
      <c r="N58" s="189">
        <f>'[14]HARVESTING KHT'!$U19</f>
        <v>108000</v>
      </c>
      <c r="O58" s="189"/>
      <c r="P58" s="189"/>
      <c r="Q58" s="189"/>
      <c r="R58" s="189">
        <f>'[14]HARVESTING KHT'!$AA19</f>
        <v>129628</v>
      </c>
      <c r="S58" s="189">
        <f>'[14]HARVESTING KHT'!$AB19</f>
        <v>215250</v>
      </c>
      <c r="T58" s="189">
        <f>'[13]HARVESTING KHT'!$AC19</f>
        <v>0</v>
      </c>
      <c r="U58" s="189"/>
      <c r="V58" s="189"/>
      <c r="W58" s="189">
        <f>'[6]HARVESTING KHT'!$AK40</f>
        <v>0</v>
      </c>
      <c r="X58" s="189">
        <f>'[14]HARVESTING KHT'!$Z19</f>
        <v>2500</v>
      </c>
      <c r="Y58" s="189"/>
      <c r="Z58" s="189"/>
      <c r="AA58" s="189"/>
      <c r="AB58" s="189">
        <f>-'[14]HARVESTING KHT'!$BI19</f>
        <v>0</v>
      </c>
      <c r="AC58" s="189"/>
      <c r="AD58" s="189"/>
      <c r="AE58" s="183">
        <f t="shared" si="8"/>
        <v>4271653</v>
      </c>
      <c r="AF58" s="184">
        <f t="shared" si="9"/>
        <v>0</v>
      </c>
      <c r="AG58" s="95">
        <f t="shared" si="7"/>
        <v>0</v>
      </c>
      <c r="AI58" s="199">
        <f>'[14]HARVESTING KHT'!$AL19</f>
        <v>4095377.9</v>
      </c>
      <c r="AJ58" s="200">
        <f t="shared" si="0"/>
        <v>176276</v>
      </c>
      <c r="AK58" s="199">
        <f t="shared" si="4"/>
        <v>4271653.9000000004</v>
      </c>
      <c r="AL58" s="201">
        <f t="shared" si="1"/>
        <v>0.90000000037252903</v>
      </c>
    </row>
    <row r="59" spans="2:38" s="173" customFormat="1" ht="19.5" customHeight="1">
      <c r="B59" s="174"/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/>
      <c r="L59" s="16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3">
        <f t="shared" si="8"/>
        <v>0</v>
      </c>
      <c r="AF59" s="184">
        <f t="shared" si="9"/>
        <v>0</v>
      </c>
      <c r="AG59" s="95">
        <f t="shared" si="7"/>
        <v>0</v>
      </c>
      <c r="AI59" s="199"/>
      <c r="AJ59" s="200">
        <f t="shared" si="0"/>
        <v>0</v>
      </c>
      <c r="AK59" s="199">
        <f t="shared" si="4"/>
        <v>0</v>
      </c>
      <c r="AL59" s="201">
        <f t="shared" si="1"/>
        <v>0</v>
      </c>
    </row>
    <row r="60" spans="2:38" s="173" customFormat="1" ht="19.5" customHeight="1">
      <c r="B60" s="174">
        <v>33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 t="shared" si="10"/>
        <v>3639999.9</v>
      </c>
      <c r="L60" s="169">
        <f t="shared" si="6"/>
        <v>30575.999999999996</v>
      </c>
      <c r="M60" s="189">
        <f>'[14]HARVESTING KHT'!$AQ20</f>
        <v>145700</v>
      </c>
      <c r="N60" s="189">
        <f>'[14]HARVESTING KHT'!$U20</f>
        <v>156600</v>
      </c>
      <c r="O60" s="189"/>
      <c r="P60" s="189">
        <f>'[14]HARVESTING KHT'!$AD$20</f>
        <v>210404.6</v>
      </c>
      <c r="Q60" s="189"/>
      <c r="R60" s="189">
        <f>'[14]HARVESTING KHT'!$AA20</f>
        <v>59178</v>
      </c>
      <c r="S60" s="189">
        <f>'[14]HARVESTING KHT'!$AB20</f>
        <v>168000</v>
      </c>
      <c r="T60" s="189">
        <f>'[13]HARVESTING KHT'!$AC20</f>
        <v>0</v>
      </c>
      <c r="U60" s="189"/>
      <c r="V60" s="189"/>
      <c r="W60" s="189">
        <f>'[6]HARVESTING KHT'!$AK42</f>
        <v>0</v>
      </c>
      <c r="X60" s="189">
        <f>'[14]HARVESTING KHT'!$Z20</f>
        <v>2500</v>
      </c>
      <c r="Y60" s="189"/>
      <c r="Z60" s="189"/>
      <c r="AA60" s="189"/>
      <c r="AB60" s="189">
        <f>-'[14]HARVESTING KHT'!$BI20</f>
        <v>-121333.33</v>
      </c>
      <c r="AC60" s="189"/>
      <c r="AD60" s="189"/>
      <c r="AE60" s="183">
        <f t="shared" si="8"/>
        <v>4291625</v>
      </c>
      <c r="AF60" s="184">
        <f t="shared" si="9"/>
        <v>0</v>
      </c>
      <c r="AG60" s="95">
        <f t="shared" si="7"/>
        <v>0</v>
      </c>
      <c r="AI60" s="199">
        <f>'[14]HARVESTING KHT'!$AL20</f>
        <v>4115349.17</v>
      </c>
      <c r="AJ60" s="200">
        <f t="shared" si="0"/>
        <v>176276</v>
      </c>
      <c r="AK60" s="199">
        <f t="shared" si="4"/>
        <v>4291625.17</v>
      </c>
      <c r="AL60" s="201">
        <f t="shared" si="1"/>
        <v>0.16999999992549419</v>
      </c>
    </row>
    <row r="61" spans="2:38" s="173" customFormat="1" ht="19.5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>
        <f>'[6]HARVESTING KHT'!$AK43</f>
        <v>0</v>
      </c>
      <c r="X61" s="189"/>
      <c r="Y61" s="189"/>
      <c r="Z61" s="189"/>
      <c r="AA61" s="189"/>
      <c r="AB61" s="189"/>
      <c r="AC61" s="189"/>
      <c r="AD61" s="189"/>
      <c r="AE61" s="183">
        <f t="shared" si="8"/>
        <v>0</v>
      </c>
      <c r="AF61" s="184">
        <f t="shared" si="9"/>
        <v>0</v>
      </c>
      <c r="AG61" s="95">
        <f t="shared" si="7"/>
        <v>0</v>
      </c>
      <c r="AI61" s="199"/>
      <c r="AJ61" s="200">
        <f t="shared" si="0"/>
        <v>0</v>
      </c>
      <c r="AK61" s="199">
        <f t="shared" si="4"/>
        <v>0</v>
      </c>
      <c r="AL61" s="201">
        <f t="shared" si="1"/>
        <v>0</v>
      </c>
    </row>
    <row r="62" spans="2:38" s="173" customFormat="1" ht="19.5" customHeight="1">
      <c r="B62" s="174">
        <v>34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 t="shared" si="10"/>
        <v>3639999.9</v>
      </c>
      <c r="L62" s="169">
        <f t="shared" si="6"/>
        <v>30575.999999999996</v>
      </c>
      <c r="M62" s="189">
        <f>'[14]HARVESTING KHT'!$AQ21</f>
        <v>145900</v>
      </c>
      <c r="N62" s="189">
        <f>'[14]HARVESTING KHT'!$U21</f>
        <v>156600</v>
      </c>
      <c r="O62" s="189"/>
      <c r="P62" s="189"/>
      <c r="Q62" s="189"/>
      <c r="R62" s="189">
        <f>'[14]HARVESTING KHT'!$AA21</f>
        <v>309980</v>
      </c>
      <c r="S62" s="189">
        <f>'[14]HARVESTING KHT'!$AB21</f>
        <v>280350</v>
      </c>
      <c r="T62" s="189">
        <f>'[13]HARVESTING KHT'!$AC21</f>
        <v>0</v>
      </c>
      <c r="U62" s="189"/>
      <c r="V62" s="189">
        <f>'[14]HARVESTING KHT'!$AH$21</f>
        <v>150000</v>
      </c>
      <c r="W62" s="189">
        <f>'[6]HARVESTING KHT'!$AK44</f>
        <v>0</v>
      </c>
      <c r="X62" s="189">
        <f>'[14]HARVESTING KHT'!$Z21</f>
        <v>7500</v>
      </c>
      <c r="Y62" s="189"/>
      <c r="Z62" s="189"/>
      <c r="AA62" s="189"/>
      <c r="AB62" s="189">
        <f>-'[14]HARVESTING KHT'!$BI21</f>
        <v>-121333.33</v>
      </c>
      <c r="AC62" s="189"/>
      <c r="AD62" s="189"/>
      <c r="AE62" s="183">
        <f t="shared" si="8"/>
        <v>4599572</v>
      </c>
      <c r="AF62" s="184">
        <f t="shared" si="9"/>
        <v>0</v>
      </c>
      <c r="AG62" s="95">
        <f t="shared" si="7"/>
        <v>0</v>
      </c>
      <c r="AI62" s="199">
        <f>'[14]HARVESTING KHT'!$AL21</f>
        <v>4423096.57</v>
      </c>
      <c r="AJ62" s="200">
        <f t="shared" si="0"/>
        <v>176476</v>
      </c>
      <c r="AK62" s="199">
        <f t="shared" si="4"/>
        <v>4599572.57</v>
      </c>
      <c r="AL62" s="201">
        <f t="shared" si="1"/>
        <v>0.57000000029802322</v>
      </c>
    </row>
    <row r="63" spans="2:38" s="173" customFormat="1" ht="19.5" customHeight="1">
      <c r="B63" s="174">
        <v>35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 t="shared" si="10"/>
        <v>3639999.9</v>
      </c>
      <c r="L63" s="169">
        <f t="shared" si="6"/>
        <v>30575.999999999996</v>
      </c>
      <c r="M63" s="189">
        <f>[14]TRANSPORT!$AH11</f>
        <v>146920</v>
      </c>
      <c r="N63" s="189">
        <f>[14]TRANSPORT!$S11</f>
        <v>130500</v>
      </c>
      <c r="O63" s="189">
        <f>[14]TRANSPORT!$V11</f>
        <v>63000</v>
      </c>
      <c r="P63" s="189">
        <f>[14]TRANSPORT!$Y11</f>
        <v>1052023</v>
      </c>
      <c r="Q63" s="189">
        <f>[14]TRANSPORT!$Z11</f>
        <v>938395</v>
      </c>
      <c r="R63" s="189"/>
      <c r="S63" s="189"/>
      <c r="T63" s="189"/>
      <c r="U63" s="189"/>
      <c r="V63" s="189"/>
      <c r="W63" s="189"/>
      <c r="X63" s="189">
        <f>[14]TRANSPORT!$X11</f>
        <v>33000</v>
      </c>
      <c r="Y63" s="189"/>
      <c r="Z63" s="189"/>
      <c r="AA63" s="189"/>
      <c r="AB63" s="189">
        <f>-[14]TRANSPORT!$AX11</f>
        <v>-121333.33</v>
      </c>
      <c r="AC63" s="189"/>
      <c r="AD63" s="189"/>
      <c r="AE63" s="183">
        <f t="shared" si="8"/>
        <v>5913080</v>
      </c>
      <c r="AF63" s="184">
        <f t="shared" si="9"/>
        <v>0</v>
      </c>
      <c r="AG63" s="95">
        <f t="shared" si="7"/>
        <v>0</v>
      </c>
      <c r="AI63" s="199">
        <f>[14]TRANSPORT!$AC11</f>
        <v>5735584.5700000003</v>
      </c>
      <c r="AJ63" s="200">
        <f t="shared" si="0"/>
        <v>177496</v>
      </c>
      <c r="AK63" s="199">
        <f t="shared" si="4"/>
        <v>5913080.5700000003</v>
      </c>
      <c r="AL63" s="201">
        <f t="shared" si="1"/>
        <v>0.57000000029802322</v>
      </c>
    </row>
    <row r="64" spans="2:38" s="173" customFormat="1" ht="19.5" customHeight="1">
      <c r="B64" s="174">
        <v>36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 t="shared" si="10"/>
        <v>3639999.9</v>
      </c>
      <c r="L64" s="169">
        <f t="shared" si="6"/>
        <v>30575.999999999996</v>
      </c>
      <c r="M64" s="189">
        <f>[14]TRANSPORT!$AH12</f>
        <v>147480</v>
      </c>
      <c r="N64" s="189">
        <f>[14]TRANSPORT!$S12</f>
        <v>151200</v>
      </c>
      <c r="O64" s="189">
        <f>[14]TRANSPORT!$V12</f>
        <v>42000</v>
      </c>
      <c r="P64" s="189">
        <f>[14]TRANSPORT!$Y12</f>
        <v>854219.55</v>
      </c>
      <c r="Q64" s="189">
        <f>[14]TRANSPORT!$Z12</f>
        <v>474030</v>
      </c>
      <c r="R64" s="189"/>
      <c r="S64" s="189"/>
      <c r="T64" s="189"/>
      <c r="U64" s="189"/>
      <c r="V64" s="189"/>
      <c r="W64" s="189"/>
      <c r="X64" s="189">
        <f>[14]TRANSPORT!$X12</f>
        <v>47000</v>
      </c>
      <c r="Y64" s="189"/>
      <c r="Z64" s="189"/>
      <c r="AA64" s="189"/>
      <c r="AB64" s="189">
        <f>-[14]TRANSPORT!$AX12</f>
        <v>-242666.66</v>
      </c>
      <c r="AC64" s="189"/>
      <c r="AD64" s="189"/>
      <c r="AE64" s="183">
        <f t="shared" si="8"/>
        <v>5143838</v>
      </c>
      <c r="AF64" s="184">
        <f t="shared" si="9"/>
        <v>0</v>
      </c>
      <c r="AG64" s="95">
        <f t="shared" si="7"/>
        <v>0</v>
      </c>
      <c r="AI64" s="199">
        <f>[14]TRANSPORT!$AC12</f>
        <v>4965782.79</v>
      </c>
      <c r="AJ64" s="200">
        <f t="shared" si="0"/>
        <v>178056</v>
      </c>
      <c r="AK64" s="199">
        <f t="shared" si="4"/>
        <v>5143838.79</v>
      </c>
      <c r="AL64" s="201">
        <f t="shared" si="1"/>
        <v>0.7900000000372529</v>
      </c>
    </row>
    <row r="65" spans="2:38" s="173" customFormat="1" ht="19.5" customHeight="1">
      <c r="B65" s="174">
        <v>37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 t="shared" si="10"/>
        <v>3639999.9</v>
      </c>
      <c r="L65" s="169">
        <f t="shared" si="6"/>
        <v>30575.999999999996</v>
      </c>
      <c r="M65" s="189">
        <f>[14]TRANSPORT!$AH13</f>
        <v>148040</v>
      </c>
      <c r="N65" s="189">
        <f>[14]TRANSPORT!$S13</f>
        <v>130500</v>
      </c>
      <c r="O65" s="189">
        <f>[14]TRANSPORT!$V13</f>
        <v>69000</v>
      </c>
      <c r="P65" s="189">
        <f>[14]TRANSPORT!$Y13</f>
        <v>1115144.3799999999</v>
      </c>
      <c r="Q65" s="189">
        <f>[14]TRANSPORT!$Z13</f>
        <v>400210</v>
      </c>
      <c r="R65" s="189"/>
      <c r="S65" s="189"/>
      <c r="T65" s="189"/>
      <c r="U65" s="189"/>
      <c r="V65" s="189"/>
      <c r="W65" s="189"/>
      <c r="X65" s="189">
        <f>[14]TRANSPORT!$X13</f>
        <v>61000</v>
      </c>
      <c r="Y65" s="189"/>
      <c r="Z65" s="189"/>
      <c r="AA65" s="189"/>
      <c r="AB65" s="189">
        <f>-[14]TRANSPORT!$AX13</f>
        <v>-121333.33</v>
      </c>
      <c r="AC65" s="189"/>
      <c r="AD65" s="189"/>
      <c r="AE65" s="183">
        <f t="shared" si="8"/>
        <v>5473136</v>
      </c>
      <c r="AF65" s="184">
        <f t="shared" si="9"/>
        <v>0</v>
      </c>
      <c r="AG65" s="95">
        <f t="shared" si="7"/>
        <v>0</v>
      </c>
      <c r="AI65" s="199">
        <f>[14]TRANSPORT!$AC13</f>
        <v>5294520.9499999993</v>
      </c>
      <c r="AJ65" s="200">
        <f t="shared" si="0"/>
        <v>178616</v>
      </c>
      <c r="AK65" s="199">
        <f>AI65+AJ65+AD65</f>
        <v>5473136.9499999993</v>
      </c>
      <c r="AL65" s="201">
        <f t="shared" si="1"/>
        <v>0.94999999925494194</v>
      </c>
    </row>
    <row r="66" spans="2:38" s="173" customFormat="1" ht="19.5" customHeight="1">
      <c r="B66" s="174">
        <v>38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 t="shared" si="10"/>
        <v>3639999.9</v>
      </c>
      <c r="L66" s="169">
        <f t="shared" si="6"/>
        <v>30575.999999999996</v>
      </c>
      <c r="M66" s="189">
        <f>[14]TRANSPORT!$AH14</f>
        <v>146680</v>
      </c>
      <c r="N66" s="189">
        <f>[14]TRANSPORT!$S14</f>
        <v>162000</v>
      </c>
      <c r="O66" s="189">
        <f>[14]TRANSPORT!$V14</f>
        <v>46000</v>
      </c>
      <c r="P66" s="189">
        <f>[14]TRANSPORT!$Y14</f>
        <v>1146705.07</v>
      </c>
      <c r="Q66" s="189">
        <f>[14]TRANSPORT!$Z14</f>
        <v>503950</v>
      </c>
      <c r="R66" s="189"/>
      <c r="S66" s="189"/>
      <c r="T66" s="189"/>
      <c r="U66" s="189"/>
      <c r="V66" s="189"/>
      <c r="W66" s="189"/>
      <c r="X66" s="189">
        <f>[14]TRANSPORT!$X14</f>
        <v>27000</v>
      </c>
      <c r="Y66" s="189"/>
      <c r="Z66" s="189"/>
      <c r="AA66" s="189"/>
      <c r="AB66" s="189">
        <f>-[14]TRANSPORT!$AX14</f>
        <v>0</v>
      </c>
      <c r="AC66" s="189"/>
      <c r="AD66" s="189"/>
      <c r="AE66" s="183">
        <f>ROUNDDOWN(SUM(K66:AD66),0)</f>
        <v>5702910</v>
      </c>
      <c r="AF66" s="184">
        <f t="shared" si="9"/>
        <v>0</v>
      </c>
      <c r="AG66" s="95">
        <f t="shared" si="7"/>
        <v>0</v>
      </c>
      <c r="AI66" s="199">
        <f>[14]TRANSPORT!$AC14</f>
        <v>5525654.9699999997</v>
      </c>
      <c r="AJ66" s="200">
        <f t="shared" si="0"/>
        <v>177256</v>
      </c>
      <c r="AK66" s="199">
        <f t="shared" si="4"/>
        <v>5702910.9699999997</v>
      </c>
      <c r="AL66" s="201">
        <f t="shared" si="1"/>
        <v>0.96999999973922968</v>
      </c>
    </row>
    <row r="67" spans="2:38" s="173" customFormat="1" ht="19.5" customHeight="1">
      <c r="B67" s="174">
        <v>39</v>
      </c>
      <c r="C67" s="271" t="s">
        <v>347</v>
      </c>
      <c r="D67" s="192" t="s">
        <v>359</v>
      </c>
      <c r="E67" s="195" t="s">
        <v>74</v>
      </c>
      <c r="F67" s="157" t="s">
        <v>357</v>
      </c>
      <c r="G67" s="272" t="s">
        <v>293</v>
      </c>
      <c r="H67" s="187" t="s">
        <v>39</v>
      </c>
      <c r="I67" s="188" t="s">
        <v>9</v>
      </c>
      <c r="J67" s="181" t="str">
        <f t="shared" si="2"/>
        <v>TER B</v>
      </c>
      <c r="K67" s="182">
        <f t="shared" si="10"/>
        <v>3639999.9</v>
      </c>
      <c r="L67" s="169">
        <f t="shared" si="6"/>
        <v>30575.999999999996</v>
      </c>
      <c r="M67" s="189">
        <f>'[14]HARVESTING KHT'!$AQ22</f>
        <v>146100</v>
      </c>
      <c r="N67" s="189">
        <f>'[14]HARVESTING KHT'!$U22</f>
        <v>135000</v>
      </c>
      <c r="O67" s="189"/>
      <c r="P67" s="189"/>
      <c r="Q67" s="189"/>
      <c r="R67" s="189">
        <f>'[14]HARVESTING KHT'!$AA22</f>
        <v>0</v>
      </c>
      <c r="S67" s="189">
        <f>'[14]HARVESTING KHT'!$AB22</f>
        <v>183750</v>
      </c>
      <c r="T67" s="189"/>
      <c r="U67" s="189"/>
      <c r="V67" s="189"/>
      <c r="W67" s="189"/>
      <c r="X67" s="189">
        <f>'[14]HARVESTING KHT'!$Z22</f>
        <v>12500</v>
      </c>
      <c r="Y67" s="189"/>
      <c r="Z67" s="189"/>
      <c r="AA67" s="189"/>
      <c r="AB67" s="189">
        <f>-'[14]HARVESTING KHT'!$BI22</f>
        <v>0</v>
      </c>
      <c r="AC67" s="189"/>
      <c r="AD67" s="189"/>
      <c r="AE67" s="183">
        <f t="shared" ref="AE67:AE77" si="11">ROUNDDOWN(SUM(K67:AD67),0)</f>
        <v>4147925</v>
      </c>
      <c r="AF67" s="184">
        <f>IF(J67="TER A",VLOOKUP(AE67,Ter_A,4,TRUE),IF(J67="TER B",VLOOKUP(AE67,Ter_B,4,TRUE),VLOOKUP(AE67,Ter_C,4,TRUE)))</f>
        <v>0</v>
      </c>
      <c r="AG67" s="95">
        <f t="shared" si="7"/>
        <v>0</v>
      </c>
      <c r="AI67" s="199">
        <f>'[14]HARVESTING KHT'!$AL22</f>
        <v>3971249.9</v>
      </c>
      <c r="AJ67" s="200">
        <f t="shared" si="0"/>
        <v>176676</v>
      </c>
      <c r="AK67" s="199">
        <f>AI67+AJ67+AD67</f>
        <v>4147925.9</v>
      </c>
      <c r="AL67" s="201">
        <f t="shared" si="1"/>
        <v>0.89999999990686774</v>
      </c>
    </row>
    <row r="68" spans="2:38" s="173" customFormat="1" ht="19.5" customHeight="1">
      <c r="B68" s="174">
        <v>40</v>
      </c>
      <c r="C68" s="271" t="s">
        <v>348</v>
      </c>
      <c r="D68" s="192" t="s">
        <v>360</v>
      </c>
      <c r="E68" s="195" t="s">
        <v>74</v>
      </c>
      <c r="F68" s="157" t="s">
        <v>358</v>
      </c>
      <c r="G68" s="272" t="s">
        <v>293</v>
      </c>
      <c r="H68" s="187" t="s">
        <v>39</v>
      </c>
      <c r="I68" s="188" t="s">
        <v>9</v>
      </c>
      <c r="J68" s="181" t="str">
        <f t="shared" si="2"/>
        <v>TER B</v>
      </c>
      <c r="K68" s="182">
        <f t="shared" si="10"/>
        <v>3639999.9</v>
      </c>
      <c r="L68" s="169">
        <f t="shared" si="6"/>
        <v>30575.999999999996</v>
      </c>
      <c r="M68" s="189">
        <f>'[14]HARVESTING KHT'!$AQ23</f>
        <v>146100</v>
      </c>
      <c r="N68" s="189">
        <f>'[14]HARVESTING KHT'!$U23</f>
        <v>135000</v>
      </c>
      <c r="O68" s="189"/>
      <c r="P68" s="189"/>
      <c r="Q68" s="189"/>
      <c r="R68" s="189">
        <f>'[14]HARVESTING KHT'!$AA23</f>
        <v>0</v>
      </c>
      <c r="S68" s="189">
        <f>'[14]HARVESTING KHT'!$AB23</f>
        <v>185850</v>
      </c>
      <c r="T68" s="189"/>
      <c r="U68" s="189"/>
      <c r="V68" s="189"/>
      <c r="W68" s="189"/>
      <c r="X68" s="189">
        <f>'[14]HARVESTING KHT'!$Z23</f>
        <v>12500</v>
      </c>
      <c r="Y68" s="189"/>
      <c r="Z68" s="189"/>
      <c r="AA68" s="189"/>
      <c r="AB68" s="189">
        <f>-'[14]HARVESTING KHT'!$BI23</f>
        <v>0</v>
      </c>
      <c r="AC68" s="189"/>
      <c r="AD68" s="189"/>
      <c r="AE68" s="183">
        <f t="shared" si="11"/>
        <v>4150025</v>
      </c>
      <c r="AF68" s="184">
        <f t="shared" si="9"/>
        <v>0</v>
      </c>
      <c r="AG68" s="95">
        <f t="shared" si="7"/>
        <v>0</v>
      </c>
      <c r="AI68" s="199">
        <f>'[14]HARVESTING KHT'!$AL23</f>
        <v>3973349.9</v>
      </c>
      <c r="AJ68" s="200">
        <f t="shared" si="0"/>
        <v>176676</v>
      </c>
      <c r="AK68" s="199">
        <f t="shared" si="4"/>
        <v>4150025.9</v>
      </c>
      <c r="AL68" s="201">
        <f t="shared" si="1"/>
        <v>0.89999999990686774</v>
      </c>
    </row>
    <row r="69" spans="2:38" s="173" customFormat="1" ht="19.5" customHeight="1">
      <c r="B69" s="174">
        <v>41</v>
      </c>
      <c r="C69" s="271" t="s">
        <v>349</v>
      </c>
      <c r="D69" s="192" t="s">
        <v>361</v>
      </c>
      <c r="E69" s="195" t="s">
        <v>352</v>
      </c>
      <c r="F69" s="157" t="s">
        <v>362</v>
      </c>
      <c r="G69" s="272" t="s">
        <v>293</v>
      </c>
      <c r="H69" s="187" t="s">
        <v>39</v>
      </c>
      <c r="I69" s="188" t="s">
        <v>11</v>
      </c>
      <c r="J69" s="181" t="str">
        <f t="shared" si="2"/>
        <v>TER B</v>
      </c>
      <c r="K69" s="182">
        <f t="shared" si="10"/>
        <v>3639999.9</v>
      </c>
      <c r="L69" s="169">
        <f t="shared" si="6"/>
        <v>30575.999999999996</v>
      </c>
      <c r="M69" s="189">
        <f>'[14]HARVESTING KHT'!$AQ24</f>
        <v>146560</v>
      </c>
      <c r="N69" s="189">
        <f>'[14]HARVESTING KHT'!$U24</f>
        <v>156600</v>
      </c>
      <c r="O69" s="189"/>
      <c r="P69" s="189"/>
      <c r="Q69" s="189"/>
      <c r="R69" s="189">
        <f>'[14]HARVESTING KHT'!$AA24</f>
        <v>0</v>
      </c>
      <c r="S69" s="189">
        <f>'[14]HARVESTING KHT'!$AB24</f>
        <v>170100</v>
      </c>
      <c r="T69" s="189"/>
      <c r="U69" s="189"/>
      <c r="V69" s="189"/>
      <c r="W69" s="189"/>
      <c r="X69" s="189">
        <f>'[14]HARVESTING KHT'!$Z24</f>
        <v>24000</v>
      </c>
      <c r="Y69" s="189"/>
      <c r="Z69" s="189"/>
      <c r="AA69" s="189"/>
      <c r="AB69" s="189">
        <f>-'[14]HARVESTING KHT'!$BI24</f>
        <v>-121333.33</v>
      </c>
      <c r="AC69" s="189"/>
      <c r="AD69" s="189"/>
      <c r="AE69" s="183">
        <f t="shared" si="11"/>
        <v>4046502</v>
      </c>
      <c r="AF69" s="184">
        <f t="shared" si="9"/>
        <v>0</v>
      </c>
      <c r="AG69" s="95">
        <f t="shared" si="7"/>
        <v>0</v>
      </c>
      <c r="AI69" s="199">
        <f>'[14]HARVESTING KHT'!$AL24</f>
        <v>3869366.57</v>
      </c>
      <c r="AJ69" s="200">
        <f t="shared" si="0"/>
        <v>177136</v>
      </c>
      <c r="AK69" s="199">
        <f t="shared" si="4"/>
        <v>4046502.57</v>
      </c>
      <c r="AL69" s="201">
        <f t="shared" si="1"/>
        <v>0.56999999983236194</v>
      </c>
    </row>
    <row r="70" spans="2:38" s="173" customFormat="1" ht="19.5" customHeight="1">
      <c r="B70" s="174">
        <v>42</v>
      </c>
      <c r="C70" s="271" t="s">
        <v>350</v>
      </c>
      <c r="D70" s="192" t="s">
        <v>363</v>
      </c>
      <c r="E70" s="195" t="s">
        <v>74</v>
      </c>
      <c r="F70" s="157" t="s">
        <v>364</v>
      </c>
      <c r="G70" s="272" t="s">
        <v>293</v>
      </c>
      <c r="H70" s="187" t="s">
        <v>39</v>
      </c>
      <c r="I70" s="188" t="s">
        <v>9</v>
      </c>
      <c r="J70" s="181" t="str">
        <f t="shared" si="2"/>
        <v>TER B</v>
      </c>
      <c r="K70" s="182">
        <f t="shared" si="10"/>
        <v>3639999.9</v>
      </c>
      <c r="L70" s="169">
        <f t="shared" si="6"/>
        <v>30575.999999999996</v>
      </c>
      <c r="M70" s="189">
        <f>'[14]HARVESTING KHT'!$AQ25</f>
        <v>146000</v>
      </c>
      <c r="N70" s="189">
        <f>'[14]HARVESTING KHT'!$U25</f>
        <v>126000</v>
      </c>
      <c r="O70" s="189"/>
      <c r="P70" s="189"/>
      <c r="Q70" s="189"/>
      <c r="R70" s="189">
        <f>'[14]HARVESTING KHT'!$AA25</f>
        <v>0</v>
      </c>
      <c r="S70" s="189">
        <f>'[14]HARVESTING KHT'!$AB25</f>
        <v>132300</v>
      </c>
      <c r="T70" s="189"/>
      <c r="U70" s="189"/>
      <c r="V70" s="189"/>
      <c r="W70" s="189"/>
      <c r="X70" s="189">
        <f>'[14]HARVESTING KHT'!$Z25</f>
        <v>10000</v>
      </c>
      <c r="Y70" s="189"/>
      <c r="Z70" s="189"/>
      <c r="AA70" s="189"/>
      <c r="AB70" s="189">
        <f>-'[14]HARVESTING KHT'!$BI25</f>
        <v>-242666.66</v>
      </c>
      <c r="AC70" s="189"/>
      <c r="AD70" s="189"/>
      <c r="AE70" s="183">
        <f t="shared" si="11"/>
        <v>3842209</v>
      </c>
      <c r="AF70" s="184">
        <f t="shared" si="9"/>
        <v>0</v>
      </c>
      <c r="AG70" s="95">
        <f t="shared" si="7"/>
        <v>0</v>
      </c>
      <c r="AI70" s="199">
        <f>'[14]HARVESTING KHT'!$AL25</f>
        <v>3665633.24</v>
      </c>
      <c r="AJ70" s="200">
        <f t="shared" ref="AJ70:AJ77" si="12">L70+M70</f>
        <v>176576</v>
      </c>
      <c r="AK70" s="199">
        <f t="shared" si="4"/>
        <v>3842209.24</v>
      </c>
      <c r="AL70" s="201">
        <f t="shared" ref="AL70:AL77" si="13">AK70-AE70</f>
        <v>0.24000000022351742</v>
      </c>
    </row>
    <row r="71" spans="2:38" s="173" customFormat="1" ht="19.5" customHeight="1">
      <c r="B71" s="174">
        <v>43</v>
      </c>
      <c r="C71" s="271" t="s">
        <v>351</v>
      </c>
      <c r="D71" s="192" t="s">
        <v>365</v>
      </c>
      <c r="E71" s="195" t="s">
        <v>353</v>
      </c>
      <c r="F71" s="157" t="s">
        <v>366</v>
      </c>
      <c r="G71" s="272" t="s">
        <v>293</v>
      </c>
      <c r="H71" s="187" t="s">
        <v>39</v>
      </c>
      <c r="I71" s="188" t="s">
        <v>9</v>
      </c>
      <c r="J71" s="181" t="str">
        <f t="shared" si="2"/>
        <v>TER B</v>
      </c>
      <c r="K71" s="182">
        <f t="shared" si="10"/>
        <v>3639999.9</v>
      </c>
      <c r="L71" s="169">
        <f t="shared" si="6"/>
        <v>30575.999999999996</v>
      </c>
      <c r="M71" s="189">
        <f>'[14]HARVESTING KHT'!$AQ26</f>
        <v>147480</v>
      </c>
      <c r="N71" s="189">
        <f>'[14]HARVESTING KHT'!$U26</f>
        <v>130500</v>
      </c>
      <c r="O71" s="189"/>
      <c r="P71" s="189"/>
      <c r="Q71" s="189"/>
      <c r="R71" s="189">
        <f>'[14]HARVESTING KHT'!$AA26</f>
        <v>0</v>
      </c>
      <c r="S71" s="189">
        <f>'[14]HARVESTING KHT'!$AB26</f>
        <v>147000</v>
      </c>
      <c r="T71" s="189"/>
      <c r="U71" s="189"/>
      <c r="V71" s="189"/>
      <c r="W71" s="189"/>
      <c r="X71" s="189">
        <f>'[14]HARVESTING KHT'!$Z26</f>
        <v>47000</v>
      </c>
      <c r="Y71" s="189"/>
      <c r="Z71" s="189"/>
      <c r="AA71" s="189"/>
      <c r="AB71" s="189">
        <f>-'[14]HARVESTING KHT'!$BI26</f>
        <v>-121333.33</v>
      </c>
      <c r="AC71" s="189"/>
      <c r="AD71" s="189"/>
      <c r="AE71" s="183">
        <f t="shared" si="11"/>
        <v>4021222</v>
      </c>
      <c r="AF71" s="184">
        <f t="shared" si="9"/>
        <v>0</v>
      </c>
      <c r="AG71" s="95">
        <f t="shared" si="7"/>
        <v>0</v>
      </c>
      <c r="AI71" s="199">
        <f>'[14]HARVESTING KHT'!$AL26</f>
        <v>3843166.57</v>
      </c>
      <c r="AJ71" s="200">
        <f t="shared" si="12"/>
        <v>178056</v>
      </c>
      <c r="AK71" s="199">
        <f t="shared" ref="AK71:AK77" si="14">AI71+AJ71+AD71</f>
        <v>4021222.57</v>
      </c>
      <c r="AL71" s="201">
        <f t="shared" si="13"/>
        <v>0.56999999983236194</v>
      </c>
    </row>
    <row r="72" spans="2:38" s="173" customFormat="1" ht="19.5" customHeight="1">
      <c r="B72" s="174">
        <v>44</v>
      </c>
      <c r="C72" s="271" t="s">
        <v>369</v>
      </c>
      <c r="D72" s="192" t="s">
        <v>374</v>
      </c>
      <c r="E72" s="195" t="s">
        <v>375</v>
      </c>
      <c r="F72" s="157" t="s">
        <v>376</v>
      </c>
      <c r="G72" s="272" t="s">
        <v>293</v>
      </c>
      <c r="H72" s="187" t="s">
        <v>39</v>
      </c>
      <c r="I72" s="188" t="s">
        <v>11</v>
      </c>
      <c r="J72" s="181" t="str">
        <f t="shared" si="2"/>
        <v>TER B</v>
      </c>
      <c r="K72" s="182">
        <f t="shared" si="10"/>
        <v>3639999.9</v>
      </c>
      <c r="L72" s="169">
        <f t="shared" ref="L72:L77" si="15">3640000*0.84%</f>
        <v>30575.999999999996</v>
      </c>
      <c r="M72" s="189">
        <f>'[14]HARVESTING KHT'!$AQ27</f>
        <v>148040</v>
      </c>
      <c r="N72" s="189">
        <f>'[14]HARVESTING KHT'!$U27</f>
        <v>156600</v>
      </c>
      <c r="O72" s="189"/>
      <c r="P72" s="189"/>
      <c r="Q72" s="189"/>
      <c r="R72" s="189">
        <f>'[14]HARVESTING KHT'!$AA27</f>
        <v>0</v>
      </c>
      <c r="S72" s="189">
        <f>'[14]HARVESTING KHT'!$AB27</f>
        <v>140700</v>
      </c>
      <c r="T72" s="189"/>
      <c r="U72" s="189"/>
      <c r="V72" s="189"/>
      <c r="W72" s="189"/>
      <c r="X72" s="189">
        <f>'[14]HARVESTING KHT'!$Z27</f>
        <v>61000</v>
      </c>
      <c r="Y72" s="189"/>
      <c r="Z72" s="189"/>
      <c r="AA72" s="189"/>
      <c r="AB72" s="189">
        <f>-'[14]HARVESTING KHT'!$BI27</f>
        <v>-121333.33</v>
      </c>
      <c r="AC72" s="189"/>
      <c r="AD72" s="189"/>
      <c r="AE72" s="183">
        <f t="shared" si="11"/>
        <v>4055582</v>
      </c>
      <c r="AF72" s="184">
        <f t="shared" si="9"/>
        <v>0</v>
      </c>
      <c r="AG72" s="95">
        <f t="shared" ref="AG72:AG77" si="16">ROUNDDOWN(IF(E72=0,AE72*AF72*120%,AE72*AF72),0)</f>
        <v>0</v>
      </c>
      <c r="AI72" s="199">
        <f>'[14]HARVESTING KHT'!$AL27</f>
        <v>3876966.57</v>
      </c>
      <c r="AJ72" s="200">
        <f t="shared" si="12"/>
        <v>178616</v>
      </c>
      <c r="AK72" s="199">
        <f t="shared" si="14"/>
        <v>4055582.57</v>
      </c>
      <c r="AL72" s="201">
        <f t="shared" si="13"/>
        <v>0.56999999983236194</v>
      </c>
    </row>
    <row r="73" spans="2:38" s="173" customFormat="1" ht="19.5" customHeight="1">
      <c r="B73" s="174">
        <v>45</v>
      </c>
      <c r="C73" s="271" t="s">
        <v>370</v>
      </c>
      <c r="D73" s="192" t="s">
        <v>377</v>
      </c>
      <c r="E73" s="195" t="s">
        <v>378</v>
      </c>
      <c r="F73" s="157" t="s">
        <v>379</v>
      </c>
      <c r="G73" s="272" t="s">
        <v>293</v>
      </c>
      <c r="H73" s="187" t="s">
        <v>39</v>
      </c>
      <c r="I73" s="188" t="s">
        <v>9</v>
      </c>
      <c r="J73" s="181" t="str">
        <f>IF(ISBLANK(I73),"",IF(OR(I73="TK/0",I73="TK/1",I73="K/0"),"TER A",IF(I73="K/3","TER C","TER B")))</f>
        <v>TER B</v>
      </c>
      <c r="K73" s="182">
        <f t="shared" si="10"/>
        <v>3639999.9</v>
      </c>
      <c r="L73" s="169">
        <f t="shared" si="15"/>
        <v>30575.999999999996</v>
      </c>
      <c r="M73" s="189">
        <f>'[14]HARVESTING KHT'!$AQ28</f>
        <v>146920</v>
      </c>
      <c r="N73" s="189">
        <f>'[14]HARVESTING KHT'!$U28</f>
        <v>130500</v>
      </c>
      <c r="O73" s="189"/>
      <c r="P73" s="189"/>
      <c r="Q73" s="189"/>
      <c r="R73" s="189">
        <f>'[14]HARVESTING KHT'!$AA28</f>
        <v>0</v>
      </c>
      <c r="S73" s="189">
        <f>'[14]HARVESTING KHT'!$AB28</f>
        <v>129150</v>
      </c>
      <c r="T73" s="189"/>
      <c r="U73" s="189"/>
      <c r="V73" s="189"/>
      <c r="W73" s="189"/>
      <c r="X73" s="189">
        <f>'[14]HARVESTING KHT'!$Z28</f>
        <v>33000</v>
      </c>
      <c r="Y73" s="189"/>
      <c r="Z73" s="189"/>
      <c r="AA73" s="189"/>
      <c r="AB73" s="189">
        <f>-'[14]HARVESTING KHT'!$BI28</f>
        <v>-121333.33</v>
      </c>
      <c r="AC73" s="189"/>
      <c r="AD73" s="189"/>
      <c r="AE73" s="183">
        <f t="shared" si="11"/>
        <v>3988812</v>
      </c>
      <c r="AF73" s="184">
        <f t="shared" si="9"/>
        <v>0</v>
      </c>
      <c r="AG73" s="95">
        <f t="shared" si="16"/>
        <v>0</v>
      </c>
      <c r="AI73" s="199">
        <f>'[14]HARVESTING KHT'!$AL28</f>
        <v>3811316.57</v>
      </c>
      <c r="AJ73" s="200">
        <f t="shared" si="12"/>
        <v>177496</v>
      </c>
      <c r="AK73" s="199">
        <f t="shared" si="14"/>
        <v>3988812.57</v>
      </c>
      <c r="AL73" s="201">
        <f t="shared" si="13"/>
        <v>0.56999999983236194</v>
      </c>
    </row>
    <row r="74" spans="2:38" s="173" customFormat="1" ht="19.5" customHeight="1">
      <c r="B74" s="174">
        <v>46</v>
      </c>
      <c r="C74" s="271" t="s">
        <v>371</v>
      </c>
      <c r="D74" s="192" t="s">
        <v>380</v>
      </c>
      <c r="E74" s="195" t="s">
        <v>381</v>
      </c>
      <c r="F74" s="157" t="s">
        <v>78</v>
      </c>
      <c r="G74" s="272" t="s">
        <v>293</v>
      </c>
      <c r="H74" s="187" t="s">
        <v>39</v>
      </c>
      <c r="I74" s="188" t="s">
        <v>9</v>
      </c>
      <c r="J74" s="181" t="str">
        <f>IF(ISBLANK(I74),"",IF(OR(I74="TK/0",I74="TK/1",I74="K/0"),"TER A",IF(I74="K/3","TER C","TER B")))</f>
        <v>TER B</v>
      </c>
      <c r="K74" s="182">
        <f t="shared" si="10"/>
        <v>3639999.9</v>
      </c>
      <c r="L74" s="169">
        <f t="shared" si="15"/>
        <v>30575.999999999996</v>
      </c>
      <c r="M74" s="189">
        <f>'[14]HARVESTING KHT'!$AQ29</f>
        <v>146560</v>
      </c>
      <c r="N74" s="189">
        <f>'[14]HARVESTING KHT'!$U29</f>
        <v>135000</v>
      </c>
      <c r="O74" s="189"/>
      <c r="P74" s="189"/>
      <c r="Q74" s="189"/>
      <c r="R74" s="189">
        <f>'[14]HARVESTING KHT'!$AA29</f>
        <v>0</v>
      </c>
      <c r="S74" s="189">
        <f>'[14]HARVESTING KHT'!$AB29</f>
        <v>145950</v>
      </c>
      <c r="T74" s="189"/>
      <c r="U74" s="189"/>
      <c r="V74" s="189"/>
      <c r="W74" s="189"/>
      <c r="X74" s="189">
        <f>'[14]HARVESTING KHT'!$Z29</f>
        <v>24000</v>
      </c>
      <c r="Y74" s="189"/>
      <c r="Z74" s="189"/>
      <c r="AA74" s="189"/>
      <c r="AB74" s="189">
        <f>-'[14]HARVESTING KHT'!$BI29</f>
        <v>0</v>
      </c>
      <c r="AC74" s="189"/>
      <c r="AD74" s="189"/>
      <c r="AE74" s="183">
        <f t="shared" si="11"/>
        <v>4122085</v>
      </c>
      <c r="AF74" s="184">
        <f t="shared" si="9"/>
        <v>0</v>
      </c>
      <c r="AG74" s="95">
        <f t="shared" si="16"/>
        <v>0</v>
      </c>
      <c r="AI74" s="199">
        <f>'[14]HARVESTING KHT'!$AL29</f>
        <v>3944949.9</v>
      </c>
      <c r="AJ74" s="200">
        <f t="shared" si="12"/>
        <v>177136</v>
      </c>
      <c r="AK74" s="199">
        <f t="shared" si="14"/>
        <v>4122085.9</v>
      </c>
      <c r="AL74" s="201">
        <f t="shared" si="13"/>
        <v>0.89999999990686774</v>
      </c>
    </row>
    <row r="75" spans="2:38" s="173" customFormat="1" ht="19.5" customHeight="1">
      <c r="B75" s="174">
        <v>47</v>
      </c>
      <c r="C75" s="271" t="s">
        <v>372</v>
      </c>
      <c r="D75" s="192" t="s">
        <v>382</v>
      </c>
      <c r="E75" s="195" t="s">
        <v>383</v>
      </c>
      <c r="F75" s="157" t="s">
        <v>384</v>
      </c>
      <c r="G75" s="272" t="s">
        <v>293</v>
      </c>
      <c r="H75" s="187" t="s">
        <v>39</v>
      </c>
      <c r="I75" s="188" t="s">
        <v>9</v>
      </c>
      <c r="J75" s="181" t="str">
        <f>IF(ISBLANK(I75),"",IF(OR(I75="TK/0",I75="TK/1",I75="K/0"),"TER A",IF(I75="K/3","TER C","TER B")))</f>
        <v>TER B</v>
      </c>
      <c r="K75" s="182">
        <f t="shared" si="10"/>
        <v>3639999.9</v>
      </c>
      <c r="L75" s="169">
        <f t="shared" si="15"/>
        <v>30575.999999999996</v>
      </c>
      <c r="M75" s="189">
        <f>'[14]HARVESTING KHT'!$AQ30</f>
        <v>146560</v>
      </c>
      <c r="N75" s="189">
        <f>'[14]HARVESTING KHT'!$U30</f>
        <v>135000</v>
      </c>
      <c r="O75" s="189"/>
      <c r="P75" s="189"/>
      <c r="Q75" s="189"/>
      <c r="R75" s="189">
        <f>'[14]HARVESTING KHT'!$AA30</f>
        <v>0</v>
      </c>
      <c r="S75" s="189">
        <f>'[14]HARVESTING KHT'!$AB30</f>
        <v>148050</v>
      </c>
      <c r="T75" s="189"/>
      <c r="U75" s="189"/>
      <c r="V75" s="189"/>
      <c r="W75" s="189"/>
      <c r="X75" s="189">
        <f>'[14]HARVESTING KHT'!$Z30</f>
        <v>24000</v>
      </c>
      <c r="Y75" s="189"/>
      <c r="Z75" s="189"/>
      <c r="AA75" s="189"/>
      <c r="AB75" s="189">
        <f>-'[14]HARVESTING KHT'!$BI30</f>
        <v>0</v>
      </c>
      <c r="AC75" s="189"/>
      <c r="AD75" s="189"/>
      <c r="AE75" s="183">
        <f t="shared" si="11"/>
        <v>4124185</v>
      </c>
      <c r="AF75" s="184">
        <f t="shared" si="9"/>
        <v>0</v>
      </c>
      <c r="AG75" s="95">
        <f t="shared" si="16"/>
        <v>0</v>
      </c>
      <c r="AI75" s="199">
        <f>'[14]HARVESTING KHT'!$AL30</f>
        <v>3947049.9</v>
      </c>
      <c r="AJ75" s="200">
        <f t="shared" si="12"/>
        <v>177136</v>
      </c>
      <c r="AK75" s="199">
        <f t="shared" si="14"/>
        <v>4124185.9</v>
      </c>
      <c r="AL75" s="201">
        <f t="shared" si="13"/>
        <v>0.89999999990686774</v>
      </c>
    </row>
    <row r="76" spans="2:38" s="173" customFormat="1" ht="19.5" customHeight="1">
      <c r="B76" s="174">
        <v>48</v>
      </c>
      <c r="C76" s="271" t="s">
        <v>373</v>
      </c>
      <c r="D76" s="192" t="s">
        <v>385</v>
      </c>
      <c r="E76" s="195" t="s">
        <v>386</v>
      </c>
      <c r="F76" s="157" t="s">
        <v>387</v>
      </c>
      <c r="G76" s="272" t="s">
        <v>293</v>
      </c>
      <c r="H76" s="187" t="s">
        <v>39</v>
      </c>
      <c r="I76" s="188" t="s">
        <v>9</v>
      </c>
      <c r="J76" s="181" t="str">
        <f>IF(ISBLANK(I76),"",IF(OR(I76="TK/0",I76="TK/1",I76="K/0"),"TER A",IF(I76="K/3","TER C","TER B")))</f>
        <v>TER B</v>
      </c>
      <c r="K76" s="182">
        <f t="shared" si="10"/>
        <v>3639999.9</v>
      </c>
      <c r="L76" s="169">
        <f t="shared" si="15"/>
        <v>30575.999999999996</v>
      </c>
      <c r="M76" s="189">
        <f>'[14]HARVESTING KHT'!$AQ31</f>
        <v>146680</v>
      </c>
      <c r="N76" s="189">
        <f>'[14]HARVESTING KHT'!$U31</f>
        <v>126000</v>
      </c>
      <c r="O76" s="189"/>
      <c r="P76" s="189"/>
      <c r="Q76" s="189"/>
      <c r="R76" s="189">
        <f>'[14]HARVESTING KHT'!$AA31</f>
        <v>0</v>
      </c>
      <c r="S76" s="189">
        <f>'[14]HARVESTING KHT'!$AB31</f>
        <v>119700</v>
      </c>
      <c r="T76" s="189"/>
      <c r="U76" s="189"/>
      <c r="V76" s="189"/>
      <c r="W76" s="189"/>
      <c r="X76" s="189">
        <f>'[14]HARVESTING KHT'!$Z31</f>
        <v>27000</v>
      </c>
      <c r="Y76" s="189"/>
      <c r="Z76" s="189"/>
      <c r="AA76" s="189"/>
      <c r="AB76" s="189">
        <f>-'[14]HARVESTING KHT'!$BI31</f>
        <v>-242666.66</v>
      </c>
      <c r="AC76" s="189"/>
      <c r="AD76" s="189"/>
      <c r="AE76" s="183">
        <f t="shared" si="11"/>
        <v>3847289</v>
      </c>
      <c r="AF76" s="184">
        <f t="shared" si="9"/>
        <v>0</v>
      </c>
      <c r="AG76" s="95">
        <f t="shared" si="16"/>
        <v>0</v>
      </c>
      <c r="AI76" s="199">
        <f>'[14]HARVESTING KHT'!$AL31</f>
        <v>3670033.24</v>
      </c>
      <c r="AJ76" s="200">
        <f t="shared" si="12"/>
        <v>177256</v>
      </c>
      <c r="AK76" s="199">
        <f t="shared" si="14"/>
        <v>3847289.24</v>
      </c>
      <c r="AL76" s="201">
        <f t="shared" si="13"/>
        <v>0.24000000022351742</v>
      </c>
    </row>
    <row r="77" spans="2:38" s="173" customFormat="1" ht="19.5" customHeight="1" thickBot="1">
      <c r="B77" s="174">
        <v>49</v>
      </c>
      <c r="C77" s="273" t="s">
        <v>354</v>
      </c>
      <c r="D77" s="280" t="s">
        <v>367</v>
      </c>
      <c r="E77" s="274" t="s">
        <v>355</v>
      </c>
      <c r="F77" s="275" t="s">
        <v>368</v>
      </c>
      <c r="G77" s="276" t="s">
        <v>185</v>
      </c>
      <c r="H77" s="277" t="s">
        <v>38</v>
      </c>
      <c r="I77" s="278" t="s">
        <v>7</v>
      </c>
      <c r="J77" s="181" t="str">
        <f>IF(ISBLANK(I77),"",IF(OR(I77="TK/0",I77="TK/1",I77="K/0"),"TER A",IF(I77="K/3","TER C","TER B")))</f>
        <v>TER A</v>
      </c>
      <c r="K77" s="182">
        <f>30*121333.33</f>
        <v>3639999.9</v>
      </c>
      <c r="L77" s="169">
        <f t="shared" si="15"/>
        <v>30575.999999999996</v>
      </c>
      <c r="M77" s="279">
        <f>[14]MAINTENANCE!$AK32</f>
        <v>146680</v>
      </c>
      <c r="N77" s="189">
        <f>[14]MAINTENANCE!$W32</f>
        <v>67500</v>
      </c>
      <c r="O77" s="279"/>
      <c r="P77" s="279">
        <f>[14]MAINTENANCE!$AE$32</f>
        <v>126242.76</v>
      </c>
      <c r="Q77" s="279"/>
      <c r="R77" s="279"/>
      <c r="S77" s="279"/>
      <c r="T77" s="279"/>
      <c r="U77" s="279"/>
      <c r="V77" s="279"/>
      <c r="W77" s="279"/>
      <c r="X77" s="189">
        <f>[14]MAINTENANCE!$AB32</f>
        <v>27000</v>
      </c>
      <c r="Y77" s="279"/>
      <c r="Z77" s="279"/>
      <c r="AA77" s="279"/>
      <c r="AB77" s="189">
        <f>-[14]MAINTENANCE!$BA32</f>
        <v>0</v>
      </c>
      <c r="AC77" s="279"/>
      <c r="AD77" s="279"/>
      <c r="AE77" s="183">
        <f t="shared" si="11"/>
        <v>4037998</v>
      </c>
      <c r="AF77" s="184">
        <f t="shared" si="9"/>
        <v>0</v>
      </c>
      <c r="AG77" s="95">
        <f t="shared" si="16"/>
        <v>0</v>
      </c>
      <c r="AI77" s="199">
        <f>[14]MAINTENANCE!$AF32</f>
        <v>3860742.66</v>
      </c>
      <c r="AJ77" s="200">
        <f t="shared" si="12"/>
        <v>177256</v>
      </c>
      <c r="AK77" s="199">
        <f t="shared" si="14"/>
        <v>4037998.66</v>
      </c>
      <c r="AL77" s="201">
        <f t="shared" si="13"/>
        <v>0.66000000014901161</v>
      </c>
    </row>
    <row r="78" spans="2:38" s="59" customFormat="1" ht="22.15" customHeight="1" thickBot="1">
      <c r="B78" s="132"/>
      <c r="C78" s="133"/>
      <c r="D78" s="133"/>
      <c r="E78" s="133"/>
      <c r="F78" s="133"/>
      <c r="G78" s="133"/>
      <c r="H78" s="133"/>
      <c r="I78" s="133"/>
      <c r="J78" s="133"/>
      <c r="K78" s="196">
        <f>SUM(K6:K77)</f>
        <v>178389995.10000014</v>
      </c>
      <c r="L78" s="196">
        <f t="shared" ref="L78:AG78" si="17">SUM(L6:L77)</f>
        <v>1498475.9999999998</v>
      </c>
      <c r="M78" s="196">
        <f t="shared" si="17"/>
        <v>7198560</v>
      </c>
      <c r="N78" s="196">
        <f t="shared" si="17"/>
        <v>5374800</v>
      </c>
      <c r="O78" s="196">
        <f>SUM(O6:O77)</f>
        <v>375000</v>
      </c>
      <c r="P78" s="196">
        <f t="shared" si="17"/>
        <v>8214883.5699999994</v>
      </c>
      <c r="Q78" s="196">
        <f t="shared" si="17"/>
        <v>2316585</v>
      </c>
      <c r="R78" s="196">
        <f t="shared" si="17"/>
        <v>1510448</v>
      </c>
      <c r="S78" s="196">
        <f t="shared" si="17"/>
        <v>3772650</v>
      </c>
      <c r="T78" s="196">
        <f t="shared" si="17"/>
        <v>0</v>
      </c>
      <c r="U78" s="196">
        <f t="shared" si="17"/>
        <v>0</v>
      </c>
      <c r="V78" s="196">
        <f t="shared" si="17"/>
        <v>150000</v>
      </c>
      <c r="W78" s="196">
        <f t="shared" si="17"/>
        <v>0</v>
      </c>
      <c r="X78" s="196">
        <f t="shared" si="17"/>
        <v>1574000</v>
      </c>
      <c r="Y78" s="196">
        <f t="shared" si="17"/>
        <v>0</v>
      </c>
      <c r="Z78" s="196">
        <f t="shared" si="17"/>
        <v>0</v>
      </c>
      <c r="AA78" s="196">
        <f t="shared" si="17"/>
        <v>0</v>
      </c>
      <c r="AB78" s="196">
        <f t="shared" si="17"/>
        <v>-4003999.8900000011</v>
      </c>
      <c r="AC78" s="196">
        <f t="shared" si="17"/>
        <v>0</v>
      </c>
      <c r="AD78" s="196">
        <f t="shared" si="17"/>
        <v>0</v>
      </c>
      <c r="AE78" s="196">
        <f t="shared" si="17"/>
        <v>206371364</v>
      </c>
      <c r="AF78" s="196">
        <f t="shared" si="17"/>
        <v>0</v>
      </c>
      <c r="AG78" s="196">
        <f t="shared" si="17"/>
        <v>0</v>
      </c>
      <c r="AI78" s="202">
        <f>SUM(AI6:AI77)</f>
        <v>197674361.78</v>
      </c>
      <c r="AJ78" s="202">
        <f>SUM(AJ6:AJ77)</f>
        <v>8697036</v>
      </c>
      <c r="AK78" s="202">
        <f>SUM(AK6:AK77)</f>
        <v>206371397.77999997</v>
      </c>
      <c r="AL78" s="202">
        <f>SUM(AL6:AL77)</f>
        <v>33.78000000724569</v>
      </c>
    </row>
    <row r="79" spans="2:38" ht="9.75" customHeight="1">
      <c r="AK79" s="217"/>
    </row>
    <row r="80" spans="2:38" ht="13.5" hidden="1" customHeight="1">
      <c r="B80" s="58" t="s">
        <v>47</v>
      </c>
      <c r="M80" s="62"/>
      <c r="N80" s="62"/>
      <c r="O80" s="62"/>
      <c r="P80" s="62"/>
      <c r="Q80" s="62"/>
      <c r="R80" s="62"/>
      <c r="S80" s="62"/>
    </row>
    <row r="81" spans="2:55" ht="13.5" hidden="1" customHeight="1">
      <c r="B81" s="27" t="s">
        <v>48</v>
      </c>
      <c r="M81" s="62"/>
      <c r="N81" s="62"/>
      <c r="O81" s="62"/>
      <c r="P81" s="62"/>
      <c r="Q81" s="62"/>
      <c r="R81" s="62"/>
      <c r="S81" s="62"/>
    </row>
    <row r="82" spans="2:55" ht="13.5" hidden="1" customHeight="1">
      <c r="B82" s="27" t="s">
        <v>56</v>
      </c>
      <c r="M82" s="62"/>
      <c r="N82" s="62"/>
      <c r="O82" s="62"/>
      <c r="P82" s="62"/>
      <c r="Q82" s="62"/>
      <c r="R82" s="62"/>
      <c r="S82" s="62"/>
    </row>
    <row r="83" spans="2:55" ht="13.5" hidden="1" customHeight="1">
      <c r="B83" s="27" t="s">
        <v>49</v>
      </c>
      <c r="M83" s="62"/>
      <c r="N83" s="62"/>
      <c r="O83" s="62"/>
      <c r="P83" s="62"/>
      <c r="Q83" s="62"/>
      <c r="R83" s="62"/>
      <c r="S83" s="62"/>
    </row>
    <row r="84" spans="2:55" s="33" customFormat="1" ht="13.5" hidden="1" customHeight="1">
      <c r="B84" s="27" t="s">
        <v>57</v>
      </c>
      <c r="C84" s="28"/>
      <c r="D84" s="269"/>
      <c r="E84" s="30"/>
      <c r="F84" s="28"/>
      <c r="G84" s="31"/>
      <c r="H84" s="32"/>
      <c r="I84" s="32"/>
      <c r="J84" s="32"/>
      <c r="K84" s="28"/>
      <c r="L84" s="28"/>
      <c r="M84" s="62"/>
      <c r="N84" s="62"/>
      <c r="O84" s="62"/>
      <c r="P84" s="62"/>
      <c r="Q84" s="62"/>
      <c r="R84" s="62"/>
      <c r="S84" s="62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90"/>
      <c r="AG84" s="9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</row>
    <row r="85" spans="2:55" s="33" customFormat="1" ht="13.5" hidden="1" customHeight="1">
      <c r="B85" s="27" t="s">
        <v>50</v>
      </c>
      <c r="C85" s="28"/>
      <c r="D85" s="269"/>
      <c r="E85" s="30"/>
      <c r="F85" s="28"/>
      <c r="G85" s="31"/>
      <c r="H85" s="32"/>
      <c r="I85" s="32"/>
      <c r="J85" s="32"/>
      <c r="K85" s="28"/>
      <c r="L85" s="28"/>
      <c r="M85" s="62"/>
      <c r="N85" s="62"/>
      <c r="O85" s="62"/>
      <c r="P85" s="62"/>
      <c r="Q85" s="62"/>
      <c r="R85" s="62"/>
      <c r="S85" s="62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90"/>
      <c r="AG85" s="9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</row>
    <row r="86" spans="2:55" s="33" customFormat="1" ht="13.5" hidden="1" customHeight="1">
      <c r="B86" s="27" t="s">
        <v>51</v>
      </c>
      <c r="C86" s="28"/>
      <c r="D86" s="269"/>
      <c r="E86" s="30"/>
      <c r="F86" s="28"/>
      <c r="G86" s="31"/>
      <c r="H86" s="32"/>
      <c r="I86" s="32"/>
      <c r="J86" s="32"/>
      <c r="K86" s="28"/>
      <c r="L86" s="28"/>
      <c r="M86" s="62"/>
      <c r="N86" s="62"/>
      <c r="O86" s="62"/>
      <c r="P86" s="62"/>
      <c r="Q86" s="62"/>
      <c r="R86" s="62"/>
      <c r="S86" s="62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90"/>
      <c r="AG86" s="9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</row>
    <row r="87" spans="2:55" s="33" customFormat="1" ht="13.5" hidden="1" customHeight="1">
      <c r="B87" s="27" t="s">
        <v>52</v>
      </c>
      <c r="C87" s="28"/>
      <c r="D87" s="269"/>
      <c r="E87" s="30"/>
      <c r="F87" s="28"/>
      <c r="G87" s="31"/>
      <c r="H87" s="32"/>
      <c r="I87" s="32"/>
      <c r="J87" s="32"/>
      <c r="K87" s="28"/>
      <c r="L87" s="28"/>
      <c r="M87" s="62"/>
      <c r="N87" s="62"/>
      <c r="O87" s="62"/>
      <c r="P87" s="62"/>
      <c r="Q87" s="62"/>
      <c r="R87" s="62"/>
      <c r="S87" s="62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90"/>
      <c r="AG87" s="9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</row>
    <row r="88" spans="2:55" s="33" customFormat="1" ht="13.5" hidden="1" customHeight="1">
      <c r="B88" s="27" t="s">
        <v>58</v>
      </c>
      <c r="C88" s="28"/>
      <c r="D88" s="269"/>
      <c r="E88" s="30"/>
      <c r="F88" s="28"/>
      <c r="G88" s="31"/>
      <c r="H88" s="32"/>
      <c r="I88" s="32"/>
      <c r="J88" s="32"/>
      <c r="K88" s="28"/>
      <c r="L88" s="28"/>
      <c r="M88" s="62"/>
      <c r="N88" s="62"/>
      <c r="O88" s="62"/>
      <c r="P88" s="62"/>
      <c r="Q88" s="62"/>
      <c r="R88" s="62"/>
      <c r="S88" s="62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90"/>
      <c r="AG88" s="9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</row>
    <row r="89" spans="2:55" s="33" customFormat="1" ht="13.5" hidden="1" customHeight="1">
      <c r="B89" s="27" t="s">
        <v>59</v>
      </c>
      <c r="C89" s="28"/>
      <c r="D89" s="269"/>
      <c r="E89" s="30"/>
      <c r="F89" s="28"/>
      <c r="G89" s="31"/>
      <c r="H89" s="32"/>
      <c r="I89" s="32"/>
      <c r="J89" s="32"/>
      <c r="K89" s="28"/>
      <c r="L89" s="28"/>
      <c r="M89" s="62"/>
      <c r="N89" s="62"/>
      <c r="O89" s="62"/>
      <c r="P89" s="62"/>
      <c r="Q89" s="62"/>
      <c r="R89" s="62"/>
      <c r="S89" s="62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90"/>
      <c r="AG89" s="9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2:55" s="33" customFormat="1" ht="13.5" hidden="1" customHeight="1">
      <c r="B90" s="27" t="s">
        <v>65</v>
      </c>
      <c r="C90" s="28"/>
      <c r="D90" s="269"/>
      <c r="E90" s="30"/>
      <c r="F90" s="28"/>
      <c r="G90" s="31"/>
      <c r="H90" s="32"/>
      <c r="I90" s="32"/>
      <c r="J90" s="32"/>
      <c r="K90" s="28"/>
      <c r="L90" s="28"/>
      <c r="M90" s="62"/>
      <c r="N90" s="62"/>
      <c r="O90" s="62"/>
      <c r="P90" s="62"/>
      <c r="Q90" s="62"/>
      <c r="R90" s="62"/>
      <c r="S90" s="62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90"/>
      <c r="AG90" s="9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2:55" s="33" customFormat="1" ht="11.25" customHeight="1">
      <c r="B91" s="27"/>
      <c r="C91" s="28"/>
      <c r="D91" s="269"/>
      <c r="E91" s="30"/>
      <c r="F91" s="28"/>
      <c r="G91" s="31"/>
      <c r="H91" s="32"/>
      <c r="I91" s="32"/>
      <c r="J91" s="32"/>
      <c r="K91" s="269" t="s">
        <v>324</v>
      </c>
      <c r="L91" s="28"/>
      <c r="M91" s="62"/>
      <c r="N91" s="62"/>
      <c r="O91" s="62"/>
      <c r="P91" s="62"/>
      <c r="Q91" s="62"/>
      <c r="R91" s="62"/>
      <c r="S91" s="62"/>
      <c r="T91" s="28" t="s">
        <v>341</v>
      </c>
      <c r="U91" s="28"/>
      <c r="V91" s="28"/>
      <c r="W91" s="28"/>
      <c r="X91" s="28"/>
      <c r="Y91" s="28"/>
      <c r="Z91" s="28"/>
      <c r="AA91" s="28"/>
      <c r="AB91" s="457" t="s">
        <v>321</v>
      </c>
      <c r="AC91" s="457"/>
      <c r="AD91" s="457"/>
      <c r="AE91" s="457"/>
      <c r="AF91" s="90"/>
      <c r="AG91" s="90"/>
      <c r="AH91" s="60"/>
      <c r="AI91" s="60"/>
      <c r="AJ91" s="60"/>
      <c r="AK91" s="216">
        <f>AC78+AK78</f>
        <v>206371397.77999997</v>
      </c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2:55" ht="11.25" customHeight="1">
      <c r="AL92" s="216"/>
    </row>
    <row r="93" spans="2:55" ht="11.25" customHeight="1">
      <c r="AK93" s="216">
        <f>AK78-AL94</f>
        <v>206371364</v>
      </c>
      <c r="AL93" s="216"/>
    </row>
    <row r="94" spans="2:55" ht="11.25" customHeight="1">
      <c r="K94" s="270" t="s">
        <v>325</v>
      </c>
      <c r="T94" s="256"/>
      <c r="U94" s="256"/>
      <c r="AB94" s="458" t="s">
        <v>322</v>
      </c>
      <c r="AC94" s="458"/>
      <c r="AD94" s="458"/>
      <c r="AE94" s="458"/>
      <c r="AL94" s="216">
        <f>AK91-AE78</f>
        <v>33.779999971389771</v>
      </c>
    </row>
    <row r="95" spans="2:55">
      <c r="K95" s="269" t="s">
        <v>326</v>
      </c>
      <c r="T95" s="28" t="s">
        <v>343</v>
      </c>
      <c r="AB95" s="457" t="s">
        <v>323</v>
      </c>
      <c r="AC95" s="457"/>
      <c r="AD95" s="457"/>
      <c r="AE95" s="457"/>
    </row>
  </sheetData>
  <mergeCells count="3">
    <mergeCell ref="AB91:AE91"/>
    <mergeCell ref="AB94:AE94"/>
    <mergeCell ref="AB95:AE95"/>
  </mergeCells>
  <dataValidations count="2">
    <dataValidation type="list" allowBlank="1" showInputMessage="1" showErrorMessage="1" sqref="H6:H77">
      <formula1>"L,P"</formula1>
    </dataValidation>
    <dataValidation type="list" allowBlank="1" showInputMessage="1" showErrorMessage="1" sqref="I6:I77">
      <formula1>"TK/0,TK/1,TK/2,TK/3,K/0,K/1,K/2,K/3"</formula1>
    </dataValidation>
  </dataValidations>
  <printOptions horizontalCentered="1"/>
  <pageMargins left="0" right="0.59055118110236227" top="0" bottom="0.39370078740157483" header="0.31496062992125984" footer="0.31496062992125984"/>
  <pageSetup paperSize="9" scale="45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95"/>
  <sheetViews>
    <sheetView topLeftCell="A7" zoomScaleNormal="100" zoomScaleSheetLayoutView="100" workbookViewId="0">
      <pane xSplit="3" topLeftCell="X1" activePane="topRight" state="frozen"/>
      <selection pane="topRight" activeCell="G10" sqref="G10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86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20" width="11.42578125" style="28" customWidth="1"/>
    <col min="21" max="21" width="9.85546875" style="28" hidden="1" customWidth="1"/>
    <col min="22" max="22" width="11" style="28" customWidth="1"/>
    <col min="23" max="23" width="9.7109375" style="28" hidden="1" customWidth="1"/>
    <col min="24" max="24" width="11.5703125" style="28" customWidth="1"/>
    <col min="25" max="25" width="9" style="28" hidden="1" customWidth="1"/>
    <col min="26" max="27" width="12.7109375" style="28" hidden="1" customWidth="1"/>
    <col min="28" max="28" width="11.85546875" style="28" customWidth="1"/>
    <col min="29" max="29" width="11.7109375" style="28" hidden="1" customWidth="1"/>
    <col min="30" max="30" width="10.85546875" style="28" hidden="1" customWidth="1"/>
    <col min="31" max="31" width="13.7109375" style="28" customWidth="1" collapsed="1"/>
    <col min="32" max="32" width="9.140625" style="90" customWidth="1"/>
    <col min="33" max="33" width="10.1406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388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86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83" t="s">
        <v>64</v>
      </c>
      <c r="C5" s="283" t="s">
        <v>25</v>
      </c>
      <c r="D5" s="284" t="s">
        <v>26</v>
      </c>
      <c r="E5" s="285" t="s">
        <v>27</v>
      </c>
      <c r="F5" s="283" t="s">
        <v>28</v>
      </c>
      <c r="G5" s="282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81" t="s">
        <v>68</v>
      </c>
      <c r="M5" s="281" t="s">
        <v>69</v>
      </c>
      <c r="N5" s="281" t="s">
        <v>80</v>
      </c>
      <c r="O5" s="281" t="s">
        <v>81</v>
      </c>
      <c r="P5" s="281" t="s">
        <v>84</v>
      </c>
      <c r="Q5" s="145" t="s">
        <v>319</v>
      </c>
      <c r="R5" s="281" t="s">
        <v>309</v>
      </c>
      <c r="S5" s="281" t="s">
        <v>310</v>
      </c>
      <c r="T5" s="281" t="s">
        <v>320</v>
      </c>
      <c r="U5" s="281" t="s">
        <v>315</v>
      </c>
      <c r="V5" s="281" t="s">
        <v>311</v>
      </c>
      <c r="W5" s="281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24.75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31*122333.33</f>
        <v>3792333.23</v>
      </c>
      <c r="L6" s="168">
        <f>3670000*0.84%</f>
        <v>30827.999999999996</v>
      </c>
      <c r="M6" s="168">
        <f>[15]MAINTENANCE!$AK10</f>
        <v>148680</v>
      </c>
      <c r="N6" s="168">
        <f>[15]MAINTENANCE!$W10</f>
        <v>167400</v>
      </c>
      <c r="O6" s="168">
        <f>[15]MAINTENANCE!$Z$10</f>
        <v>81000</v>
      </c>
      <c r="P6" s="168">
        <f>[15]MAINTENANCE!$AE10</f>
        <v>904739.77999999991</v>
      </c>
      <c r="Q6" s="169"/>
      <c r="R6" s="168"/>
      <c r="S6" s="168"/>
      <c r="T6" s="168"/>
      <c r="U6" s="168"/>
      <c r="V6" s="168"/>
      <c r="W6" s="168"/>
      <c r="X6" s="168">
        <f>[15]MAINTENANCE!$AB10</f>
        <v>47000</v>
      </c>
      <c r="Y6" s="169"/>
      <c r="Z6" s="169"/>
      <c r="AA6" s="169"/>
      <c r="AB6" s="168">
        <f>-[15]MAINTENANCE!$BA10</f>
        <v>0</v>
      </c>
      <c r="AC6" s="168"/>
      <c r="AD6" s="168"/>
      <c r="AE6" s="170">
        <f>ROUNDDOWN(SUM(K6:AD6),0)</f>
        <v>5171981</v>
      </c>
      <c r="AF6" s="171">
        <f>IF(J6="TER A",VLOOKUP(AE6,Ter_A,4,TRUE),IF(J6="TER B",VLOOKUP(AE6,Ter_B,4,TRUE),VLOOKUP(AE6,Ter_C,4,TRUE)))</f>
        <v>0</v>
      </c>
      <c r="AG6" s="94">
        <f>ROUNDDOWN(IF(E6=0,AE6*AF6*120%,AE6*AF6),0)</f>
        <v>0</v>
      </c>
      <c r="AI6" s="199">
        <f>[15]MAINTENANCE!$AF10</f>
        <v>4992473.01</v>
      </c>
      <c r="AJ6" s="200">
        <f t="shared" ref="AJ6:AJ69" si="0">L6+M6</f>
        <v>179508</v>
      </c>
      <c r="AK6" s="199">
        <f>AI6+AJ6+AD6</f>
        <v>5171981.01</v>
      </c>
      <c r="AL6" s="201">
        <f t="shared" ref="AL6:AL69" si="1">AK6-AE6</f>
        <v>9.9999997764825821E-3</v>
      </c>
    </row>
    <row r="7" spans="2:40" s="173" customFormat="1" ht="24.75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72" si="2">IF(ISBLANK(I7),"",IF(OR(I7="TK/0",I7="TK/1",I7="K/0"),"TER A",IF(I7="K/3","TER C","TER B")))</f>
        <v>TER A</v>
      </c>
      <c r="K7" s="182">
        <f>31*121333.33</f>
        <v>3761333.23</v>
      </c>
      <c r="L7" s="169">
        <f>3640000*0.84%</f>
        <v>30575.999999999996</v>
      </c>
      <c r="M7" s="189">
        <f>[15]MAINTENANCE!$AK11</f>
        <v>146800</v>
      </c>
      <c r="N7" s="189">
        <f>[15]MAINTENANCE!$W11</f>
        <v>69750</v>
      </c>
      <c r="O7" s="189"/>
      <c r="P7" s="189">
        <f>[15]MAINTENANCE!$AE11</f>
        <v>0</v>
      </c>
      <c r="Q7" s="169"/>
      <c r="R7" s="169"/>
      <c r="S7" s="169"/>
      <c r="T7" s="169"/>
      <c r="U7" s="169"/>
      <c r="V7" s="169"/>
      <c r="W7" s="169"/>
      <c r="X7" s="189">
        <f>[15]MAINTENANCE!$AB11</f>
        <v>30000</v>
      </c>
      <c r="Y7" s="169"/>
      <c r="Z7" s="169"/>
      <c r="AA7" s="169"/>
      <c r="AB7" s="189">
        <f>-[15]MAINTENANCE!$BA11</f>
        <v>0</v>
      </c>
      <c r="AC7" s="189"/>
      <c r="AD7" s="189"/>
      <c r="AE7" s="183">
        <f>ROUNDDOWN(SUM(K7:AD7),0)</f>
        <v>4038459</v>
      </c>
      <c r="AF7" s="184">
        <f t="shared" ref="AF7:AF37" si="3">IF(J7="TER A",VLOOKUP(AE7,Ter_A,4,TRUE),IF(J7="TER B",VLOOKUP(AE7,Ter_B,4,TRUE),VLOOKUP(AE7,Ter_C,4,TRUE)))</f>
        <v>0</v>
      </c>
      <c r="AG7" s="95">
        <f>ROUNDDOWN(IF(E7=0,AE7*AF7*120%,AE7*AF7),0)</f>
        <v>0</v>
      </c>
      <c r="AI7" s="199">
        <f>[15]MAINTENANCE!$AF11</f>
        <v>3861083.23</v>
      </c>
      <c r="AJ7" s="200">
        <f t="shared" si="0"/>
        <v>177376</v>
      </c>
      <c r="AK7" s="199">
        <f t="shared" ref="AK7:AK70" si="4">AI7+AJ7+AD7</f>
        <v>4038459.23</v>
      </c>
      <c r="AL7" s="201">
        <f t="shared" si="1"/>
        <v>0.22999999998137355</v>
      </c>
    </row>
    <row r="8" spans="2:40" s="173" customFormat="1" ht="24.75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27" si="5">31*121333.33</f>
        <v>3761333.23</v>
      </c>
      <c r="L8" s="169">
        <f t="shared" ref="L8:L71" si="6">3640000*0.84%</f>
        <v>30575.999999999996</v>
      </c>
      <c r="M8" s="189">
        <f>[15]MAINTENANCE!$AK12</f>
        <v>146920</v>
      </c>
      <c r="N8" s="189">
        <f>[15]MAINTENANCE!$W12</f>
        <v>67500</v>
      </c>
      <c r="O8" s="189"/>
      <c r="P8" s="189">
        <f>[15]MAINTENANCE!$AE12</f>
        <v>0</v>
      </c>
      <c r="Q8" s="169"/>
      <c r="R8" s="169"/>
      <c r="S8" s="169"/>
      <c r="T8" s="169"/>
      <c r="U8" s="169"/>
      <c r="V8" s="169"/>
      <c r="W8" s="169"/>
      <c r="X8" s="189">
        <f>[15]MAINTENANCE!$AB12</f>
        <v>33000</v>
      </c>
      <c r="Y8" s="169"/>
      <c r="Z8" s="169"/>
      <c r="AA8" s="169"/>
      <c r="AB8" s="189">
        <f>-[15]MAINTENANCE!$BA12</f>
        <v>-121333.33</v>
      </c>
      <c r="AC8" s="189"/>
      <c r="AD8" s="189"/>
      <c r="AE8" s="183">
        <f>ROUNDDOWN(SUM(K8:AD8),0)</f>
        <v>3917995</v>
      </c>
      <c r="AF8" s="184">
        <f t="shared" si="3"/>
        <v>0</v>
      </c>
      <c r="AG8" s="95">
        <f t="shared" ref="AG8:AG71" si="7">ROUNDDOWN(IF(E8=0,AE8*AF8*120%,AE8*AF8),0)</f>
        <v>0</v>
      </c>
      <c r="AI8" s="199">
        <f>[15]MAINTENANCE!$AF12</f>
        <v>3740499.9</v>
      </c>
      <c r="AJ8" s="200">
        <f t="shared" si="0"/>
        <v>177496</v>
      </c>
      <c r="AK8" s="199">
        <f t="shared" si="4"/>
        <v>3917995.9</v>
      </c>
      <c r="AL8" s="201">
        <f t="shared" si="1"/>
        <v>0.89999999990686774</v>
      </c>
      <c r="AN8" s="200">
        <f>AB8+AL8</f>
        <v>-121332.43000000009</v>
      </c>
    </row>
    <row r="9" spans="2:40" s="173" customFormat="1" ht="24.75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5"/>
        <v>3761333.23</v>
      </c>
      <c r="L9" s="169">
        <f t="shared" si="6"/>
        <v>30575.999999999996</v>
      </c>
      <c r="M9" s="189">
        <f>[15]MAINTENANCE!$AK13</f>
        <v>147480</v>
      </c>
      <c r="N9" s="189">
        <f>[15]MAINTENANCE!$W13</f>
        <v>65250</v>
      </c>
      <c r="O9" s="189"/>
      <c r="P9" s="189">
        <f>[15]MAINTENANCE!$AE13</f>
        <v>0</v>
      </c>
      <c r="Q9" s="169"/>
      <c r="R9" s="169"/>
      <c r="S9" s="169"/>
      <c r="T9" s="169"/>
      <c r="U9" s="169"/>
      <c r="V9" s="169"/>
      <c r="W9" s="169"/>
      <c r="X9" s="189">
        <f>[15]MAINTENANCE!$AB13</f>
        <v>47000</v>
      </c>
      <c r="Y9" s="169"/>
      <c r="Z9" s="169"/>
      <c r="AA9" s="169"/>
      <c r="AB9" s="189">
        <f>-[15]MAINTENANCE!$BA13</f>
        <v>-242666.66</v>
      </c>
      <c r="AC9" s="189"/>
      <c r="AD9" s="189"/>
      <c r="AE9" s="183">
        <f t="shared" ref="AE9:AE65" si="8">ROUNDDOWN(SUM(K9:AD9),0)</f>
        <v>3808972</v>
      </c>
      <c r="AF9" s="184">
        <f t="shared" si="3"/>
        <v>0</v>
      </c>
      <c r="AG9" s="95">
        <f t="shared" si="7"/>
        <v>0</v>
      </c>
      <c r="AI9" s="199">
        <f>[15]MAINTENANCE!$AF13</f>
        <v>3630916.5700000003</v>
      </c>
      <c r="AJ9" s="200">
        <f t="shared" si="0"/>
        <v>178056</v>
      </c>
      <c r="AK9" s="199">
        <f t="shared" si="4"/>
        <v>3808972.5700000003</v>
      </c>
      <c r="AL9" s="201">
        <f t="shared" si="1"/>
        <v>0.57000000029802322</v>
      </c>
      <c r="AN9" s="200">
        <f>AB9+AL9</f>
        <v>-242666.08999999971</v>
      </c>
    </row>
    <row r="10" spans="2:40" s="173" customFormat="1" ht="24.75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5"/>
        <v>3761333.23</v>
      </c>
      <c r="L10" s="169">
        <f t="shared" si="6"/>
        <v>30575.999999999996</v>
      </c>
      <c r="M10" s="189">
        <f>[15]MAINTENANCE!$AK14</f>
        <v>146920</v>
      </c>
      <c r="N10" s="189">
        <f>[15]MAINTENANCE!$W14</f>
        <v>69750</v>
      </c>
      <c r="O10" s="189"/>
      <c r="P10" s="189">
        <f>[15]MAINTENANCE!$AE14</f>
        <v>0</v>
      </c>
      <c r="Q10" s="169"/>
      <c r="R10" s="169"/>
      <c r="S10" s="169"/>
      <c r="T10" s="169"/>
      <c r="U10" s="169"/>
      <c r="V10" s="169"/>
      <c r="W10" s="169"/>
      <c r="X10" s="189">
        <f>[15]MAINTENANCE!$AB14</f>
        <v>33000</v>
      </c>
      <c r="Y10" s="169"/>
      <c r="Z10" s="169"/>
      <c r="AA10" s="169"/>
      <c r="AB10" s="189">
        <f>-[15]MAINTENANCE!$BA14</f>
        <v>0</v>
      </c>
      <c r="AC10" s="189"/>
      <c r="AD10" s="189"/>
      <c r="AE10" s="183">
        <f t="shared" si="8"/>
        <v>4041579</v>
      </c>
      <c r="AF10" s="184">
        <f t="shared" si="3"/>
        <v>0</v>
      </c>
      <c r="AG10" s="95">
        <f t="shared" si="7"/>
        <v>0</v>
      </c>
      <c r="AI10" s="199">
        <f>[15]MAINTENANCE!$AF14</f>
        <v>3864083.23</v>
      </c>
      <c r="AJ10" s="200">
        <f t="shared" si="0"/>
        <v>177496</v>
      </c>
      <c r="AK10" s="199">
        <f t="shared" si="4"/>
        <v>4041579.23</v>
      </c>
      <c r="AL10" s="201">
        <f t="shared" si="1"/>
        <v>0.22999999998137355</v>
      </c>
    </row>
    <row r="11" spans="2:40" s="173" customFormat="1" ht="24.75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5"/>
        <v>3761333.23</v>
      </c>
      <c r="L11" s="169">
        <f t="shared" si="6"/>
        <v>30575.999999999996</v>
      </c>
      <c r="M11" s="189">
        <f>[15]MAINTENANCE!$AK15</f>
        <v>147480</v>
      </c>
      <c r="N11" s="189">
        <f>[15]MAINTENANCE!$W15</f>
        <v>69750</v>
      </c>
      <c r="O11" s="189"/>
      <c r="P11" s="189">
        <f>[15]MAINTENANCE!$AE15</f>
        <v>0</v>
      </c>
      <c r="Q11" s="169"/>
      <c r="R11" s="169"/>
      <c r="S11" s="169"/>
      <c r="T11" s="169"/>
      <c r="U11" s="169"/>
      <c r="V11" s="169"/>
      <c r="W11" s="169"/>
      <c r="X11" s="189">
        <f>[15]MAINTENANCE!$AB15</f>
        <v>47000</v>
      </c>
      <c r="Y11" s="169"/>
      <c r="Z11" s="169"/>
      <c r="AA11" s="169"/>
      <c r="AB11" s="189">
        <f>-[15]MAINTENANCE!$BA15</f>
        <v>0</v>
      </c>
      <c r="AC11" s="189"/>
      <c r="AD11" s="189"/>
      <c r="AE11" s="183">
        <f t="shared" si="8"/>
        <v>4056139</v>
      </c>
      <c r="AF11" s="184">
        <f t="shared" si="3"/>
        <v>0</v>
      </c>
      <c r="AG11" s="95">
        <f t="shared" si="7"/>
        <v>0</v>
      </c>
      <c r="AI11" s="199">
        <f>[15]MAINTENANCE!$AF15</f>
        <v>3878083.23</v>
      </c>
      <c r="AJ11" s="200">
        <f t="shared" si="0"/>
        <v>178056</v>
      </c>
      <c r="AK11" s="199">
        <f t="shared" si="4"/>
        <v>4056139.23</v>
      </c>
      <c r="AL11" s="201">
        <f t="shared" si="1"/>
        <v>0.22999999998137355</v>
      </c>
    </row>
    <row r="12" spans="2:40" s="173" customFormat="1" ht="24.75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5"/>
        <v>3761333.23</v>
      </c>
      <c r="L12" s="169">
        <f t="shared" si="6"/>
        <v>30575.999999999996</v>
      </c>
      <c r="M12" s="189">
        <f>[15]MAINTENANCE!$AK16</f>
        <v>147620</v>
      </c>
      <c r="N12" s="189">
        <f>[15]MAINTENANCE!$W16</f>
        <v>69750</v>
      </c>
      <c r="O12" s="189"/>
      <c r="P12" s="189">
        <f>[15]MAINTENANCE!$AE16</f>
        <v>0</v>
      </c>
      <c r="Q12" s="169"/>
      <c r="R12" s="169"/>
      <c r="S12" s="169"/>
      <c r="T12" s="169"/>
      <c r="U12" s="169"/>
      <c r="V12" s="169"/>
      <c r="W12" s="169"/>
      <c r="X12" s="189">
        <f>[15]MAINTENANCE!$AB16</f>
        <v>50500</v>
      </c>
      <c r="Y12" s="169"/>
      <c r="Z12" s="169"/>
      <c r="AA12" s="169"/>
      <c r="AB12" s="189">
        <f>-[15]MAINTENANCE!$BA16</f>
        <v>0</v>
      </c>
      <c r="AC12" s="189"/>
      <c r="AD12" s="189"/>
      <c r="AE12" s="183">
        <f t="shared" si="8"/>
        <v>4059779</v>
      </c>
      <c r="AF12" s="184">
        <f t="shared" si="3"/>
        <v>0</v>
      </c>
      <c r="AG12" s="95">
        <f t="shared" si="7"/>
        <v>0</v>
      </c>
      <c r="AI12" s="199">
        <f>[15]MAINTENANCE!$AF16</f>
        <v>3881583.23</v>
      </c>
      <c r="AJ12" s="200">
        <f t="shared" si="0"/>
        <v>178196</v>
      </c>
      <c r="AK12" s="199">
        <f t="shared" si="4"/>
        <v>4059779.23</v>
      </c>
      <c r="AL12" s="201">
        <f t="shared" si="1"/>
        <v>0.22999999998137355</v>
      </c>
    </row>
    <row r="13" spans="2:40" s="173" customFormat="1" ht="24.75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5"/>
        <v>3761333.23</v>
      </c>
      <c r="L13" s="169">
        <f t="shared" si="6"/>
        <v>30575.999999999996</v>
      </c>
      <c r="M13" s="189">
        <f>[15]MAINTENANCE!$AK17</f>
        <v>147480</v>
      </c>
      <c r="N13" s="189">
        <f>[15]MAINTENANCE!$W17</f>
        <v>67500</v>
      </c>
      <c r="O13" s="189"/>
      <c r="P13" s="189">
        <f>[15]MAINTENANCE!$AE17</f>
        <v>0</v>
      </c>
      <c r="Q13" s="169"/>
      <c r="R13" s="169"/>
      <c r="S13" s="169"/>
      <c r="T13" s="169"/>
      <c r="U13" s="169"/>
      <c r="V13" s="169"/>
      <c r="W13" s="169"/>
      <c r="X13" s="189">
        <f>[15]MAINTENANCE!$AB17</f>
        <v>47000</v>
      </c>
      <c r="Y13" s="169"/>
      <c r="Z13" s="169"/>
      <c r="AA13" s="169"/>
      <c r="AB13" s="189">
        <f>-[15]MAINTENANCE!$BA17</f>
        <v>-121333.33</v>
      </c>
      <c r="AC13" s="189"/>
      <c r="AD13" s="189"/>
      <c r="AE13" s="183">
        <f t="shared" si="8"/>
        <v>3932555</v>
      </c>
      <c r="AF13" s="184">
        <f t="shared" si="3"/>
        <v>0</v>
      </c>
      <c r="AG13" s="95">
        <f t="shared" si="7"/>
        <v>0</v>
      </c>
      <c r="AI13" s="199">
        <f>[15]MAINTENANCE!$AF17</f>
        <v>3754499.9</v>
      </c>
      <c r="AJ13" s="200">
        <f t="shared" si="0"/>
        <v>178056</v>
      </c>
      <c r="AK13" s="199">
        <f t="shared" si="4"/>
        <v>3932555.9</v>
      </c>
      <c r="AL13" s="201">
        <f t="shared" si="1"/>
        <v>0.89999999990686774</v>
      </c>
    </row>
    <row r="14" spans="2:40" s="173" customFormat="1" ht="24.75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5"/>
        <v>3761333.23</v>
      </c>
      <c r="L14" s="169">
        <f t="shared" si="6"/>
        <v>30575.999999999996</v>
      </c>
      <c r="M14" s="189">
        <f>[15]MAINTENANCE!$AK18</f>
        <v>147480</v>
      </c>
      <c r="N14" s="189">
        <f>[15]MAINTENANCE!$W18</f>
        <v>69750</v>
      </c>
      <c r="O14" s="189"/>
      <c r="P14" s="189">
        <f>[15]MAINTENANCE!$AE18</f>
        <v>0</v>
      </c>
      <c r="Q14" s="169"/>
      <c r="R14" s="169"/>
      <c r="S14" s="169"/>
      <c r="T14" s="169"/>
      <c r="U14" s="169"/>
      <c r="V14" s="169"/>
      <c r="W14" s="169"/>
      <c r="X14" s="189">
        <f>[15]MAINTENANCE!$AB18</f>
        <v>47000</v>
      </c>
      <c r="Y14" s="169"/>
      <c r="Z14" s="169"/>
      <c r="AA14" s="169"/>
      <c r="AB14" s="189">
        <f>-[15]MAINTENANCE!$BA18</f>
        <v>0</v>
      </c>
      <c r="AC14" s="189"/>
      <c r="AD14" s="189"/>
      <c r="AE14" s="183">
        <f t="shared" si="8"/>
        <v>4056139</v>
      </c>
      <c r="AF14" s="184">
        <f t="shared" si="3"/>
        <v>0</v>
      </c>
      <c r="AG14" s="95">
        <f t="shared" si="7"/>
        <v>0</v>
      </c>
      <c r="AI14" s="199">
        <f>[15]MAINTENANCE!$AF18</f>
        <v>3878083.23</v>
      </c>
      <c r="AJ14" s="200">
        <f t="shared" si="0"/>
        <v>178056</v>
      </c>
      <c r="AK14" s="199">
        <f t="shared" si="4"/>
        <v>4056139.23</v>
      </c>
      <c r="AL14" s="201">
        <f t="shared" si="1"/>
        <v>0.22999999998137355</v>
      </c>
    </row>
    <row r="15" spans="2:40" s="173" customFormat="1" ht="24.75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5"/>
        <v>3761333.23</v>
      </c>
      <c r="L15" s="169">
        <f t="shared" si="6"/>
        <v>30575.999999999996</v>
      </c>
      <c r="M15" s="189">
        <f>[15]MAINTENANCE!$AK19</f>
        <v>147760</v>
      </c>
      <c r="N15" s="189">
        <f>[15]MAINTENANCE!$W19</f>
        <v>65250</v>
      </c>
      <c r="O15" s="189"/>
      <c r="P15" s="189">
        <f>[15]MAINTENANCE!$AE19</f>
        <v>0</v>
      </c>
      <c r="Q15" s="169"/>
      <c r="R15" s="169"/>
      <c r="S15" s="169"/>
      <c r="T15" s="169"/>
      <c r="U15" s="169"/>
      <c r="V15" s="169"/>
      <c r="W15" s="169"/>
      <c r="X15" s="189">
        <f>[15]MAINTENANCE!$AB19</f>
        <v>54000</v>
      </c>
      <c r="Y15" s="169"/>
      <c r="Z15" s="169"/>
      <c r="AA15" s="169"/>
      <c r="AB15" s="189">
        <f>-[15]MAINTENANCE!$BA19</f>
        <v>-242666.66</v>
      </c>
      <c r="AC15" s="189"/>
      <c r="AD15" s="189"/>
      <c r="AE15" s="183">
        <f t="shared" si="8"/>
        <v>3816252</v>
      </c>
      <c r="AF15" s="184">
        <f t="shared" si="3"/>
        <v>0</v>
      </c>
      <c r="AG15" s="95">
        <f t="shared" si="7"/>
        <v>0</v>
      </c>
      <c r="AI15" s="199">
        <f>[15]MAINTENANCE!$AF19</f>
        <v>3637916.57</v>
      </c>
      <c r="AJ15" s="200">
        <f t="shared" si="0"/>
        <v>178336</v>
      </c>
      <c r="AK15" s="199">
        <f t="shared" si="4"/>
        <v>3816252.57</v>
      </c>
      <c r="AL15" s="201">
        <f t="shared" si="1"/>
        <v>0.56999999983236194</v>
      </c>
    </row>
    <row r="16" spans="2:40" s="173" customFormat="1" ht="24.75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5"/>
        <v>3761333.23</v>
      </c>
      <c r="L16" s="169">
        <f t="shared" si="6"/>
        <v>30575.999999999996</v>
      </c>
      <c r="M16" s="189">
        <f>[15]MAINTENANCE!$AK20</f>
        <v>147480</v>
      </c>
      <c r="N16" s="189">
        <f>[15]MAINTENANCE!$W20</f>
        <v>69750</v>
      </c>
      <c r="O16" s="189"/>
      <c r="P16" s="189">
        <f>[15]MAINTENANCE!$AE20</f>
        <v>0</v>
      </c>
      <c r="Q16" s="169"/>
      <c r="R16" s="169"/>
      <c r="S16" s="169"/>
      <c r="T16" s="169"/>
      <c r="U16" s="169"/>
      <c r="V16" s="169"/>
      <c r="W16" s="169"/>
      <c r="X16" s="189">
        <f>[15]MAINTENANCE!$AB20</f>
        <v>47000</v>
      </c>
      <c r="Y16" s="169"/>
      <c r="Z16" s="169"/>
      <c r="AA16" s="169"/>
      <c r="AB16" s="189">
        <f>-[15]MAINTENANCE!$BA20</f>
        <v>0</v>
      </c>
      <c r="AC16" s="189"/>
      <c r="AD16" s="189"/>
      <c r="AE16" s="183">
        <f t="shared" si="8"/>
        <v>4056139</v>
      </c>
      <c r="AF16" s="184">
        <f t="shared" si="3"/>
        <v>0</v>
      </c>
      <c r="AG16" s="95">
        <f t="shared" si="7"/>
        <v>0</v>
      </c>
      <c r="AI16" s="199">
        <f>[15]MAINTENANCE!$AF20</f>
        <v>3878083.23</v>
      </c>
      <c r="AJ16" s="200">
        <f t="shared" si="0"/>
        <v>178056</v>
      </c>
      <c r="AK16" s="199">
        <f t="shared" si="4"/>
        <v>4056139.23</v>
      </c>
      <c r="AL16" s="201">
        <f t="shared" si="1"/>
        <v>0.22999999998137355</v>
      </c>
    </row>
    <row r="17" spans="2:38" s="173" customFormat="1" ht="24.75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5"/>
        <v>3761333.23</v>
      </c>
      <c r="L17" s="169">
        <f t="shared" si="6"/>
        <v>30575.999999999996</v>
      </c>
      <c r="M17" s="189">
        <f>[15]MAINTENANCE!$AK21</f>
        <v>147480</v>
      </c>
      <c r="N17" s="189">
        <f>[15]MAINTENANCE!$W21</f>
        <v>65250</v>
      </c>
      <c r="O17" s="189"/>
      <c r="P17" s="189">
        <f>[15]MAINTENANCE!$AE21</f>
        <v>0</v>
      </c>
      <c r="Q17" s="169"/>
      <c r="R17" s="169"/>
      <c r="S17" s="169"/>
      <c r="T17" s="169"/>
      <c r="U17" s="169"/>
      <c r="V17" s="169"/>
      <c r="W17" s="169"/>
      <c r="X17" s="189">
        <f>[15]MAINTENANCE!$AB21</f>
        <v>47000</v>
      </c>
      <c r="Y17" s="169"/>
      <c r="Z17" s="169"/>
      <c r="AA17" s="169"/>
      <c r="AB17" s="189">
        <f>-[15]MAINTENANCE!$BA21</f>
        <v>-242666.66</v>
      </c>
      <c r="AC17" s="189"/>
      <c r="AD17" s="189"/>
      <c r="AE17" s="183">
        <f t="shared" si="8"/>
        <v>3808972</v>
      </c>
      <c r="AF17" s="184">
        <f t="shared" si="3"/>
        <v>0</v>
      </c>
      <c r="AG17" s="95">
        <f t="shared" si="7"/>
        <v>0</v>
      </c>
      <c r="AI17" s="199">
        <f>[15]MAINTENANCE!$AF21</f>
        <v>3630916.5700000003</v>
      </c>
      <c r="AJ17" s="200">
        <f t="shared" si="0"/>
        <v>178056</v>
      </c>
      <c r="AK17" s="199">
        <f t="shared" si="4"/>
        <v>3808972.5700000003</v>
      </c>
      <c r="AL17" s="201">
        <f t="shared" si="1"/>
        <v>0.57000000029802322</v>
      </c>
    </row>
    <row r="18" spans="2:38" s="173" customFormat="1" ht="24.75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5"/>
        <v>3761333.23</v>
      </c>
      <c r="L18" s="169">
        <f t="shared" si="6"/>
        <v>30575.999999999996</v>
      </c>
      <c r="M18" s="189">
        <f>[15]MAINTENANCE!$AK22</f>
        <v>147480</v>
      </c>
      <c r="N18" s="189">
        <f>[15]MAINTENANCE!$W22</f>
        <v>67500</v>
      </c>
      <c r="O18" s="189"/>
      <c r="P18" s="189">
        <f>[15]MAINTENANCE!$AE22</f>
        <v>147283.22</v>
      </c>
      <c r="Q18" s="169"/>
      <c r="R18" s="169"/>
      <c r="S18" s="169"/>
      <c r="T18" s="169"/>
      <c r="U18" s="169"/>
      <c r="V18" s="169"/>
      <c r="W18" s="169"/>
      <c r="X18" s="189">
        <f>[15]MAINTENANCE!$AB22</f>
        <v>47000</v>
      </c>
      <c r="Y18" s="169"/>
      <c r="Z18" s="169"/>
      <c r="AA18" s="169"/>
      <c r="AB18" s="189">
        <f>-[15]MAINTENANCE!$BA22</f>
        <v>-121333.33</v>
      </c>
      <c r="AC18" s="189"/>
      <c r="AD18" s="189"/>
      <c r="AE18" s="183">
        <f t="shared" si="8"/>
        <v>4079839</v>
      </c>
      <c r="AF18" s="184">
        <f t="shared" si="3"/>
        <v>0</v>
      </c>
      <c r="AG18" s="95">
        <f t="shared" si="7"/>
        <v>0</v>
      </c>
      <c r="AI18" s="199">
        <f>[15]MAINTENANCE!$AF22</f>
        <v>3901783.12</v>
      </c>
      <c r="AJ18" s="200">
        <f t="shared" si="0"/>
        <v>178056</v>
      </c>
      <c r="AK18" s="199">
        <f t="shared" si="4"/>
        <v>4079839.12</v>
      </c>
      <c r="AL18" s="201">
        <f t="shared" si="1"/>
        <v>0.12000000011175871</v>
      </c>
    </row>
    <row r="19" spans="2:38" s="173" customFormat="1" ht="24.75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5"/>
        <v>3761333.23</v>
      </c>
      <c r="L19" s="169">
        <f t="shared" si="6"/>
        <v>30575.999999999996</v>
      </c>
      <c r="M19" s="189">
        <f>[15]MAINTENANCE!$AK23</f>
        <v>146920</v>
      </c>
      <c r="N19" s="189">
        <f>[15]MAINTENANCE!$W23</f>
        <v>67500</v>
      </c>
      <c r="O19" s="189"/>
      <c r="P19" s="189">
        <f>[15]MAINTENANCE!$AE23</f>
        <v>0</v>
      </c>
      <c r="Q19" s="169"/>
      <c r="R19" s="169"/>
      <c r="S19" s="169"/>
      <c r="T19" s="169"/>
      <c r="U19" s="169"/>
      <c r="V19" s="169"/>
      <c r="W19" s="169"/>
      <c r="X19" s="189">
        <f>[15]MAINTENANCE!$AB23</f>
        <v>33000</v>
      </c>
      <c r="Y19" s="169"/>
      <c r="Z19" s="169"/>
      <c r="AA19" s="169"/>
      <c r="AB19" s="189">
        <f>-[15]MAINTENANCE!$BA23</f>
        <v>-121333.33</v>
      </c>
      <c r="AC19" s="189"/>
      <c r="AD19" s="189"/>
      <c r="AE19" s="183">
        <f t="shared" si="8"/>
        <v>3917995</v>
      </c>
      <c r="AF19" s="184">
        <f t="shared" si="3"/>
        <v>0</v>
      </c>
      <c r="AG19" s="95">
        <f t="shared" si="7"/>
        <v>0</v>
      </c>
      <c r="AI19" s="199">
        <f>[15]MAINTENANCE!$AF23</f>
        <v>3740499.9</v>
      </c>
      <c r="AJ19" s="200">
        <f t="shared" si="0"/>
        <v>177496</v>
      </c>
      <c r="AK19" s="199">
        <f t="shared" si="4"/>
        <v>3917995.9</v>
      </c>
      <c r="AL19" s="201">
        <f t="shared" si="1"/>
        <v>0.89999999990686774</v>
      </c>
    </row>
    <row r="20" spans="2:38" s="173" customFormat="1" ht="24.75" customHeight="1">
      <c r="B20" s="174">
        <v>15</v>
      </c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>
        <f>13*121333.33</f>
        <v>1577333.29</v>
      </c>
      <c r="L20" s="169">
        <f t="shared" si="6"/>
        <v>30575.999999999996</v>
      </c>
      <c r="M20" s="189">
        <f>[15]MAINTENANCE!$AK24</f>
        <v>147340</v>
      </c>
      <c r="N20" s="189">
        <f>[15]MAINTENANCE!$W24</f>
        <v>49500</v>
      </c>
      <c r="O20" s="189"/>
      <c r="P20" s="189">
        <f>[15]MAINTENANCE!$AE24</f>
        <v>0</v>
      </c>
      <c r="Q20" s="169"/>
      <c r="R20" s="169"/>
      <c r="S20" s="169"/>
      <c r="T20" s="169"/>
      <c r="U20" s="169"/>
      <c r="V20" s="169"/>
      <c r="W20" s="169"/>
      <c r="X20" s="189">
        <f>[15]MAINTENANCE!$AB24</f>
        <v>43500</v>
      </c>
      <c r="Y20" s="169"/>
      <c r="Z20" s="169"/>
      <c r="AA20" s="169"/>
      <c r="AB20" s="189">
        <f>-[15]MAINTENANCE!$BA24</f>
        <v>-242666.66</v>
      </c>
      <c r="AC20" s="189"/>
      <c r="AD20" s="189"/>
      <c r="AE20" s="183">
        <f t="shared" si="8"/>
        <v>1605582</v>
      </c>
      <c r="AF20" s="184">
        <f t="shared" si="3"/>
        <v>0</v>
      </c>
      <c r="AG20" s="95">
        <f t="shared" si="7"/>
        <v>0</v>
      </c>
      <c r="AI20" s="199">
        <f>[15]MAINTENANCE!$AF24</f>
        <v>1427666.63</v>
      </c>
      <c r="AJ20" s="200">
        <f t="shared" si="0"/>
        <v>177916</v>
      </c>
      <c r="AK20" s="199">
        <f t="shared" si="4"/>
        <v>1605582.63</v>
      </c>
      <c r="AL20" s="201">
        <f t="shared" si="1"/>
        <v>0.62999999988824129</v>
      </c>
    </row>
    <row r="21" spans="2:38" s="173" customFormat="1" ht="24.75" customHeight="1">
      <c r="B21" s="174">
        <v>16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 t="shared" si="5"/>
        <v>3761333.23</v>
      </c>
      <c r="L21" s="169">
        <f t="shared" si="6"/>
        <v>30575.999999999996</v>
      </c>
      <c r="M21" s="189">
        <f>[15]MAINTENANCE!$AK25</f>
        <v>146800</v>
      </c>
      <c r="N21" s="189">
        <f>[15]MAINTENANCE!$W25</f>
        <v>125550</v>
      </c>
      <c r="O21" s="189"/>
      <c r="P21" s="189">
        <f>[15]MAINTENANCE!$AE25</f>
        <v>178843.90999999997</v>
      </c>
      <c r="Q21" s="169"/>
      <c r="R21" s="169">
        <f>[15]MAINTENANCE!$AC25</f>
        <v>11989</v>
      </c>
      <c r="S21" s="169">
        <f>[15]MAINTENANCE!$AD$25</f>
        <v>14700</v>
      </c>
      <c r="T21" s="169"/>
      <c r="U21" s="169"/>
      <c r="V21" s="169"/>
      <c r="W21" s="169"/>
      <c r="X21" s="189">
        <f>[15]MAINTENANCE!$AB25</f>
        <v>30000</v>
      </c>
      <c r="Y21" s="169"/>
      <c r="Z21" s="169"/>
      <c r="AA21" s="169"/>
      <c r="AB21" s="189">
        <f>-[15]MAINTENANCE!$BA25</f>
        <v>0</v>
      </c>
      <c r="AC21" s="189"/>
      <c r="AD21" s="189"/>
      <c r="AE21" s="183">
        <f>ROUNDDOWN(SUM(K21:AD21),0)</f>
        <v>4299792</v>
      </c>
      <c r="AF21" s="184">
        <f t="shared" si="3"/>
        <v>0</v>
      </c>
      <c r="AG21" s="95">
        <f t="shared" si="7"/>
        <v>0</v>
      </c>
      <c r="AI21" s="199">
        <f>[15]MAINTENANCE!$AF25</f>
        <v>4122416.14</v>
      </c>
      <c r="AJ21" s="200">
        <f t="shared" si="0"/>
        <v>177376</v>
      </c>
      <c r="AK21" s="199">
        <f t="shared" si="4"/>
        <v>4299792.1400000006</v>
      </c>
      <c r="AL21" s="201">
        <f t="shared" si="1"/>
        <v>0.14000000059604645</v>
      </c>
    </row>
    <row r="22" spans="2:38" s="173" customFormat="1" ht="24.75" customHeight="1">
      <c r="B22" s="174">
        <v>17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si="5"/>
        <v>3761333.23</v>
      </c>
      <c r="L22" s="169">
        <f t="shared" si="6"/>
        <v>30575.999999999996</v>
      </c>
      <c r="M22" s="189">
        <f>[15]MAINTENANCE!$AK26</f>
        <v>147480</v>
      </c>
      <c r="N22" s="189">
        <f>[15]MAINTENANCE!$W26</f>
        <v>69750</v>
      </c>
      <c r="O22" s="189"/>
      <c r="P22" s="189">
        <f>[15]MAINTENANCE!$AE26</f>
        <v>0</v>
      </c>
      <c r="Q22" s="169"/>
      <c r="R22" s="169"/>
      <c r="S22" s="169"/>
      <c r="T22" s="169"/>
      <c r="U22" s="169"/>
      <c r="V22" s="169"/>
      <c r="W22" s="169"/>
      <c r="X22" s="189">
        <f>[15]MAINTENANCE!$AB26</f>
        <v>47000</v>
      </c>
      <c r="Y22" s="169"/>
      <c r="Z22" s="169"/>
      <c r="AA22" s="169"/>
      <c r="AB22" s="189">
        <f>-[15]MAINTENANCE!$BA26</f>
        <v>0</v>
      </c>
      <c r="AC22" s="189"/>
      <c r="AD22" s="189"/>
      <c r="AE22" s="183">
        <f t="shared" si="8"/>
        <v>4056139</v>
      </c>
      <c r="AF22" s="184">
        <f t="shared" si="3"/>
        <v>0</v>
      </c>
      <c r="AG22" s="95">
        <f t="shared" si="7"/>
        <v>0</v>
      </c>
      <c r="AI22" s="199">
        <f>[15]MAINTENANCE!$AF26</f>
        <v>3878083.23</v>
      </c>
      <c r="AJ22" s="200">
        <f t="shared" si="0"/>
        <v>178056</v>
      </c>
      <c r="AK22" s="199">
        <f t="shared" si="4"/>
        <v>4056139.23</v>
      </c>
      <c r="AL22" s="201">
        <f t="shared" si="1"/>
        <v>0.22999999998137355</v>
      </c>
    </row>
    <row r="23" spans="2:38" s="173" customFormat="1" ht="24.75" customHeight="1">
      <c r="B23" s="174">
        <v>18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5"/>
        <v>3761333.23</v>
      </c>
      <c r="L23" s="169">
        <f t="shared" si="6"/>
        <v>30575.999999999996</v>
      </c>
      <c r="M23" s="189">
        <f>[15]MAINTENANCE!$AK27</f>
        <v>147480</v>
      </c>
      <c r="N23" s="189">
        <f>[15]MAINTENANCE!$W27</f>
        <v>65250</v>
      </c>
      <c r="O23" s="189"/>
      <c r="P23" s="189">
        <f>[15]MAINTENANCE!$AE27</f>
        <v>0</v>
      </c>
      <c r="Q23" s="169"/>
      <c r="R23" s="189"/>
      <c r="S23" s="189"/>
      <c r="T23" s="189"/>
      <c r="U23" s="189"/>
      <c r="V23" s="189"/>
      <c r="W23" s="189"/>
      <c r="X23" s="189">
        <f>[15]MAINTENANCE!$AB27</f>
        <v>47000</v>
      </c>
      <c r="Y23" s="189"/>
      <c r="Z23" s="189"/>
      <c r="AA23" s="189"/>
      <c r="AB23" s="189">
        <f>-[15]MAINTENANCE!$BA27</f>
        <v>-242666.66</v>
      </c>
      <c r="AC23" s="189"/>
      <c r="AD23" s="189"/>
      <c r="AE23" s="183">
        <f t="shared" si="8"/>
        <v>3808972</v>
      </c>
      <c r="AF23" s="184">
        <f t="shared" si="3"/>
        <v>0</v>
      </c>
      <c r="AG23" s="95">
        <f t="shared" si="7"/>
        <v>0</v>
      </c>
      <c r="AI23" s="199">
        <f>[15]MAINTENANCE!$AF27</f>
        <v>3630916.57</v>
      </c>
      <c r="AJ23" s="200">
        <f t="shared" si="0"/>
        <v>178056</v>
      </c>
      <c r="AK23" s="199">
        <f t="shared" si="4"/>
        <v>3808972.57</v>
      </c>
      <c r="AL23" s="201">
        <f t="shared" si="1"/>
        <v>0.56999999983236194</v>
      </c>
    </row>
    <row r="24" spans="2:38" s="173" customFormat="1" ht="24.75" customHeight="1">
      <c r="B24" s="174">
        <v>19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5"/>
        <v>3761333.23</v>
      </c>
      <c r="L24" s="169">
        <f t="shared" si="6"/>
        <v>30575.999999999996</v>
      </c>
      <c r="M24" s="189">
        <f>[15]MAINTENANCE!$AK28</f>
        <v>146920</v>
      </c>
      <c r="N24" s="189">
        <f>[15]MAINTENANCE!$W28</f>
        <v>69750</v>
      </c>
      <c r="O24" s="189">
        <f>[15]MAINTENANCE!$Z$28</f>
        <v>48000</v>
      </c>
      <c r="P24" s="189">
        <f>[15]MAINTENANCE!$AE28</f>
        <v>1199306.22</v>
      </c>
      <c r="Q24" s="169"/>
      <c r="R24" s="189"/>
      <c r="S24" s="189"/>
      <c r="T24" s="189"/>
      <c r="U24" s="189"/>
      <c r="V24" s="189"/>
      <c r="W24" s="189"/>
      <c r="X24" s="189">
        <f>[15]MAINTENANCE!$AB28</f>
        <v>33000</v>
      </c>
      <c r="Y24" s="189"/>
      <c r="Z24" s="189"/>
      <c r="AA24" s="189"/>
      <c r="AB24" s="189">
        <f>-[15]MAINTENANCE!$BA28</f>
        <v>0</v>
      </c>
      <c r="AC24" s="189"/>
      <c r="AD24" s="189"/>
      <c r="AE24" s="183">
        <f>ROUNDDOWN(SUM(K24:AD24),0)</f>
        <v>5288885</v>
      </c>
      <c r="AF24" s="184">
        <f t="shared" si="3"/>
        <v>0</v>
      </c>
      <c r="AG24" s="95">
        <f t="shared" si="7"/>
        <v>0</v>
      </c>
      <c r="AI24" s="199">
        <f>[15]MAINTENANCE!$AF28</f>
        <v>5111389.45</v>
      </c>
      <c r="AJ24" s="200">
        <f t="shared" si="0"/>
        <v>177496</v>
      </c>
      <c r="AK24" s="199">
        <f t="shared" si="4"/>
        <v>5288885.45</v>
      </c>
      <c r="AL24" s="201">
        <f t="shared" si="1"/>
        <v>0.45000000018626451</v>
      </c>
    </row>
    <row r="25" spans="2:38" s="173" customFormat="1" ht="24.75" customHeight="1">
      <c r="B25" s="174">
        <v>20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5"/>
        <v>3761333.23</v>
      </c>
      <c r="L25" s="169">
        <f t="shared" si="6"/>
        <v>30575.999999999996</v>
      </c>
      <c r="M25" s="189">
        <f>[15]MAINTENANCE!$AK29</f>
        <v>147480</v>
      </c>
      <c r="N25" s="189">
        <f>[15]MAINTENANCE!$W29</f>
        <v>156600</v>
      </c>
      <c r="O25" s="189"/>
      <c r="P25" s="189">
        <f>[15]MAINTENANCE!$AE29</f>
        <v>1251907.3700000001</v>
      </c>
      <c r="Q25" s="169"/>
      <c r="R25" s="189"/>
      <c r="S25" s="189"/>
      <c r="T25" s="189"/>
      <c r="U25" s="189"/>
      <c r="V25" s="189"/>
      <c r="W25" s="189"/>
      <c r="X25" s="189">
        <f>[15]MAINTENANCE!$AB29</f>
        <v>47000</v>
      </c>
      <c r="Y25" s="189"/>
      <c r="Z25" s="189"/>
      <c r="AA25" s="189"/>
      <c r="AB25" s="189">
        <f>-[15]MAINTENANCE!$BA29</f>
        <v>-242666.66</v>
      </c>
      <c r="AC25" s="189"/>
      <c r="AD25" s="189"/>
      <c r="AE25" s="183">
        <f t="shared" si="8"/>
        <v>5152229</v>
      </c>
      <c r="AF25" s="184">
        <f t="shared" si="3"/>
        <v>0</v>
      </c>
      <c r="AG25" s="95">
        <f t="shared" si="7"/>
        <v>0</v>
      </c>
      <c r="AI25" s="199">
        <f>[15]MAINTENANCE!$AF29</f>
        <v>4974173.9399999995</v>
      </c>
      <c r="AJ25" s="200">
        <f t="shared" si="0"/>
        <v>178056</v>
      </c>
      <c r="AK25" s="199">
        <f t="shared" si="4"/>
        <v>5152229.9399999995</v>
      </c>
      <c r="AL25" s="201">
        <f t="shared" si="1"/>
        <v>0.93999999947845936</v>
      </c>
    </row>
    <row r="26" spans="2:38" s="173" customFormat="1" ht="24.75" customHeight="1">
      <c r="B26" s="174">
        <v>21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5"/>
        <v>3761333.23</v>
      </c>
      <c r="L26" s="169">
        <f t="shared" si="6"/>
        <v>30575.999999999996</v>
      </c>
      <c r="M26" s="189">
        <f>[15]MAINTENANCE!$AK30</f>
        <v>148040</v>
      </c>
      <c r="N26" s="189">
        <f>[15]MAINTENANCE!$W30</f>
        <v>69750</v>
      </c>
      <c r="O26" s="189"/>
      <c r="P26" s="189">
        <f>[15]MAINTENANCE!$AE30</f>
        <v>0</v>
      </c>
      <c r="Q26" s="169"/>
      <c r="R26" s="189"/>
      <c r="S26" s="189"/>
      <c r="T26" s="189"/>
      <c r="U26" s="189"/>
      <c r="V26" s="189"/>
      <c r="W26" s="189"/>
      <c r="X26" s="189">
        <f>[15]MAINTENANCE!$AB30</f>
        <v>61000</v>
      </c>
      <c r="Y26" s="189"/>
      <c r="Z26" s="189"/>
      <c r="AA26" s="189"/>
      <c r="AB26" s="189">
        <f>-[15]MAINTENANCE!$BA30</f>
        <v>0</v>
      </c>
      <c r="AC26" s="189"/>
      <c r="AD26" s="189"/>
      <c r="AE26" s="183">
        <f t="shared" si="8"/>
        <v>4070699</v>
      </c>
      <c r="AF26" s="184">
        <f t="shared" si="3"/>
        <v>0</v>
      </c>
      <c r="AG26" s="95">
        <f t="shared" si="7"/>
        <v>0</v>
      </c>
      <c r="AI26" s="199">
        <f>[15]MAINTENANCE!$AF30</f>
        <v>3892083.23</v>
      </c>
      <c r="AJ26" s="200">
        <f t="shared" si="0"/>
        <v>178616</v>
      </c>
      <c r="AK26" s="199">
        <f t="shared" si="4"/>
        <v>4070699.23</v>
      </c>
      <c r="AL26" s="201">
        <f t="shared" si="1"/>
        <v>0.22999999998137355</v>
      </c>
    </row>
    <row r="27" spans="2:38" s="173" customFormat="1" ht="24.75" customHeight="1">
      <c r="B27" s="174">
        <v>22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5"/>
        <v>3761333.23</v>
      </c>
      <c r="L27" s="169">
        <f t="shared" si="6"/>
        <v>30575.999999999996</v>
      </c>
      <c r="M27" s="189">
        <f>[15]MAINTENANCE!$AK31</f>
        <v>147620</v>
      </c>
      <c r="N27" s="189">
        <f>[15]MAINTENANCE!$W31</f>
        <v>69750</v>
      </c>
      <c r="O27" s="189"/>
      <c r="P27" s="189">
        <f>[15]MAINTENANCE!$AE31</f>
        <v>0</v>
      </c>
      <c r="Q27" s="169"/>
      <c r="R27" s="189"/>
      <c r="S27" s="189"/>
      <c r="T27" s="189"/>
      <c r="U27" s="189"/>
      <c r="V27" s="189"/>
      <c r="W27" s="189"/>
      <c r="X27" s="189">
        <f>[15]MAINTENANCE!$AB31</f>
        <v>50500</v>
      </c>
      <c r="Y27" s="189"/>
      <c r="Z27" s="189"/>
      <c r="AA27" s="189"/>
      <c r="AB27" s="189">
        <f>-[15]MAINTENANCE!$BA31</f>
        <v>0</v>
      </c>
      <c r="AC27" s="189"/>
      <c r="AD27" s="189"/>
      <c r="AE27" s="183">
        <f t="shared" si="8"/>
        <v>4059779</v>
      </c>
      <c r="AF27" s="184">
        <f t="shared" si="3"/>
        <v>0</v>
      </c>
      <c r="AG27" s="95">
        <f t="shared" si="7"/>
        <v>0</v>
      </c>
      <c r="AI27" s="199">
        <f>[15]MAINTENANCE!$AF31</f>
        <v>3881583.23</v>
      </c>
      <c r="AJ27" s="200">
        <f t="shared" si="0"/>
        <v>178196</v>
      </c>
      <c r="AK27" s="199">
        <f t="shared" si="4"/>
        <v>4059779.23</v>
      </c>
      <c r="AL27" s="201">
        <f t="shared" si="1"/>
        <v>0.22999999998137355</v>
      </c>
    </row>
    <row r="28" spans="2:38" s="173" customFormat="1" ht="24.75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>
        <f>'[6]HARVESTING KHT'!$AK10</f>
        <v>0</v>
      </c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3"/>
        <v>0</v>
      </c>
      <c r="AG28" s="95">
        <f t="shared" si="7"/>
        <v>0</v>
      </c>
      <c r="AI28" s="199"/>
      <c r="AJ28" s="200">
        <f t="shared" si="0"/>
        <v>0</v>
      </c>
      <c r="AK28" s="199">
        <f>AI28+AJ28+AD28</f>
        <v>0</v>
      </c>
      <c r="AL28" s="201">
        <f t="shared" si="1"/>
        <v>0</v>
      </c>
    </row>
    <row r="29" spans="2:38" s="173" customFormat="1" ht="24.75" customHeight="1">
      <c r="B29" s="174">
        <v>23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31*121333.33</f>
        <v>3761333.23</v>
      </c>
      <c r="L29" s="169">
        <f t="shared" si="6"/>
        <v>30575.999999999996</v>
      </c>
      <c r="M29" s="189">
        <f>'[15]HARVESTING KHT'!$AQ10</f>
        <v>147620</v>
      </c>
      <c r="N29" s="189">
        <f>'[15]HARVESTING KHT'!$U10</f>
        <v>69750</v>
      </c>
      <c r="O29" s="189">
        <f>'[15]HARVESTING KHT'!$X$10</f>
        <v>46000</v>
      </c>
      <c r="P29" s="189">
        <f>'[15]HARVESTING KHT'!$AD$10</f>
        <v>778497.0199999999</v>
      </c>
      <c r="Q29" s="189"/>
      <c r="R29" s="189"/>
      <c r="S29" s="189"/>
      <c r="T29" s="189"/>
      <c r="U29" s="189"/>
      <c r="V29" s="189"/>
      <c r="W29" s="189">
        <f>'[6]HARVESTING KHT'!$AK11</f>
        <v>0</v>
      </c>
      <c r="X29" s="189">
        <f>'[15]HARVESTING KHT'!$Z10</f>
        <v>50500</v>
      </c>
      <c r="Y29" s="189"/>
      <c r="Z29" s="189"/>
      <c r="AA29" s="189"/>
      <c r="AB29" s="189">
        <f>-'[15]HARVESTING KHT'!$BI10</f>
        <v>0</v>
      </c>
      <c r="AC29" s="189"/>
      <c r="AD29" s="189"/>
      <c r="AE29" s="183">
        <f t="shared" si="8"/>
        <v>4884276</v>
      </c>
      <c r="AF29" s="184">
        <f t="shared" si="3"/>
        <v>0</v>
      </c>
      <c r="AG29" s="95">
        <f t="shared" si="7"/>
        <v>0</v>
      </c>
      <c r="AI29" s="199">
        <f>'[15]HARVESTING KHT'!$AL10</f>
        <v>4706080.25</v>
      </c>
      <c r="AJ29" s="200">
        <f t="shared" si="0"/>
        <v>178196</v>
      </c>
      <c r="AK29" s="199">
        <f>AI29+AJ29+AD29</f>
        <v>4884276.25</v>
      </c>
      <c r="AL29" s="201">
        <f t="shared" si="1"/>
        <v>0.25</v>
      </c>
    </row>
    <row r="30" spans="2:38" s="173" customFormat="1" ht="24.75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>'[6]HARVESTING KHT'!$AK12</f>
        <v>0</v>
      </c>
      <c r="X30" s="189"/>
      <c r="Y30" s="189"/>
      <c r="Z30" s="189"/>
      <c r="AA30" s="189"/>
      <c r="AB30" s="189"/>
      <c r="AC30" s="189"/>
      <c r="AD30" s="189"/>
      <c r="AE30" s="183">
        <f t="shared" si="8"/>
        <v>0</v>
      </c>
      <c r="AF30" s="184">
        <f t="shared" si="3"/>
        <v>0</v>
      </c>
      <c r="AG30" s="95">
        <f t="shared" si="7"/>
        <v>0</v>
      </c>
      <c r="AI30" s="199"/>
      <c r="AJ30" s="200">
        <f t="shared" si="0"/>
        <v>0</v>
      </c>
      <c r="AK30" s="199">
        <f t="shared" si="4"/>
        <v>0</v>
      </c>
      <c r="AL30" s="201">
        <f t="shared" si="1"/>
        <v>0</v>
      </c>
    </row>
    <row r="31" spans="2:38" s="173" customFormat="1" ht="24.75" customHeight="1">
      <c r="B31" s="174">
        <v>24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>31*121333.33</f>
        <v>3761333.23</v>
      </c>
      <c r="L31" s="169">
        <f t="shared" si="6"/>
        <v>30575.999999999996</v>
      </c>
      <c r="M31" s="189">
        <f>'[15]HARVESTING KHT'!$AQ11</f>
        <v>146560</v>
      </c>
      <c r="N31" s="189">
        <f>'[15]HARVESTING KHT'!$U11</f>
        <v>139500</v>
      </c>
      <c r="O31" s="189"/>
      <c r="P31" s="189"/>
      <c r="Q31" s="189"/>
      <c r="R31" s="189">
        <f>'[15]HARVESTING KHT'!$AA11</f>
        <v>161286</v>
      </c>
      <c r="S31" s="189">
        <f>'[15]HARVESTING KHT'!$AB11</f>
        <v>260400</v>
      </c>
      <c r="T31" s="189">
        <f>'[15]HARVESTING KHT'!$AC11</f>
        <v>150500</v>
      </c>
      <c r="U31" s="189"/>
      <c r="V31" s="189">
        <f>'[15]HARVESTING KHT'!$AH11</f>
        <v>150000</v>
      </c>
      <c r="W31" s="189">
        <f>'[6]HARVESTING KHT'!$AK13</f>
        <v>0</v>
      </c>
      <c r="X31" s="189">
        <f>'[15]HARVESTING KHT'!$Z11</f>
        <v>24000</v>
      </c>
      <c r="Y31" s="189"/>
      <c r="Z31" s="189"/>
      <c r="AA31" s="189"/>
      <c r="AB31" s="189">
        <f>-'[15]HARVESTING KHT'!$BI11</f>
        <v>0</v>
      </c>
      <c r="AC31" s="189"/>
      <c r="AD31" s="189"/>
      <c r="AE31" s="183">
        <f t="shared" si="8"/>
        <v>4824155</v>
      </c>
      <c r="AF31" s="184">
        <f t="shared" si="3"/>
        <v>0</v>
      </c>
      <c r="AG31" s="95">
        <f t="shared" si="7"/>
        <v>0</v>
      </c>
      <c r="AI31" s="199">
        <f>'[15]HARVESTING KHT'!$AL11</f>
        <v>4647019.2300000004</v>
      </c>
      <c r="AJ31" s="200">
        <f t="shared" si="0"/>
        <v>177136</v>
      </c>
      <c r="AK31" s="199">
        <f t="shared" si="4"/>
        <v>4824155.2300000004</v>
      </c>
      <c r="AL31" s="201">
        <f t="shared" si="1"/>
        <v>0.23000000044703484</v>
      </c>
    </row>
    <row r="32" spans="2:38" s="173" customFormat="1" ht="24.75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3"/>
        <v>0</v>
      </c>
      <c r="AG32" s="95">
        <f t="shared" si="7"/>
        <v>0</v>
      </c>
      <c r="AI32" s="199"/>
      <c r="AJ32" s="200">
        <f t="shared" si="0"/>
        <v>0</v>
      </c>
      <c r="AK32" s="199">
        <f t="shared" si="4"/>
        <v>0</v>
      </c>
      <c r="AL32" s="201">
        <f t="shared" si="1"/>
        <v>0</v>
      </c>
    </row>
    <row r="33" spans="2:38" s="173" customFormat="1" ht="24.75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3"/>
        <v>0</v>
      </c>
      <c r="AG33" s="95">
        <f t="shared" si="7"/>
        <v>0</v>
      </c>
      <c r="AI33" s="199"/>
      <c r="AJ33" s="200">
        <f t="shared" si="0"/>
        <v>0</v>
      </c>
      <c r="AK33" s="199">
        <f t="shared" si="4"/>
        <v>0</v>
      </c>
      <c r="AL33" s="201">
        <f t="shared" si="1"/>
        <v>0</v>
      </c>
    </row>
    <row r="34" spans="2:38" s="173" customFormat="1" ht="24.75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>
        <f>'[6]HARVESTING KHT'!$AK16</f>
        <v>0</v>
      </c>
      <c r="X34" s="189"/>
      <c r="Y34" s="189"/>
      <c r="Z34" s="189"/>
      <c r="AA34" s="189"/>
      <c r="AB34" s="189"/>
      <c r="AC34" s="189"/>
      <c r="AD34" s="189"/>
      <c r="AE34" s="183">
        <f t="shared" si="8"/>
        <v>0</v>
      </c>
      <c r="AF34" s="184">
        <f t="shared" si="3"/>
        <v>0</v>
      </c>
      <c r="AG34" s="95">
        <f t="shared" si="7"/>
        <v>0</v>
      </c>
      <c r="AI34" s="199"/>
      <c r="AJ34" s="200">
        <f t="shared" si="0"/>
        <v>0</v>
      </c>
      <c r="AK34" s="199">
        <f t="shared" si="4"/>
        <v>0</v>
      </c>
      <c r="AL34" s="201">
        <f t="shared" si="1"/>
        <v>0</v>
      </c>
    </row>
    <row r="35" spans="2:38" s="173" customFormat="1" ht="24.75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>
        <f>'[6]HARVESTING KHT'!$AK17</f>
        <v>0</v>
      </c>
      <c r="X35" s="189"/>
      <c r="Y35" s="189"/>
      <c r="Z35" s="189"/>
      <c r="AA35" s="189"/>
      <c r="AB35" s="189"/>
      <c r="AC35" s="189"/>
      <c r="AD35" s="189"/>
      <c r="AE35" s="183">
        <f t="shared" si="8"/>
        <v>0</v>
      </c>
      <c r="AF35" s="184">
        <f t="shared" si="3"/>
        <v>0</v>
      </c>
      <c r="AG35" s="95">
        <f t="shared" si="7"/>
        <v>0</v>
      </c>
      <c r="AI35" s="199"/>
      <c r="AJ35" s="200">
        <f t="shared" si="0"/>
        <v>0</v>
      </c>
      <c r="AK35" s="199">
        <f t="shared" si="4"/>
        <v>0</v>
      </c>
      <c r="AL35" s="201">
        <f t="shared" si="1"/>
        <v>0</v>
      </c>
    </row>
    <row r="36" spans="2:38" s="173" customFormat="1" ht="24.75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>
        <f>'[6]HARVESTING KHT'!$AK18</f>
        <v>0</v>
      </c>
      <c r="X36" s="189"/>
      <c r="Y36" s="189"/>
      <c r="Z36" s="189"/>
      <c r="AA36" s="189"/>
      <c r="AB36" s="189"/>
      <c r="AC36" s="189"/>
      <c r="AD36" s="189"/>
      <c r="AE36" s="183">
        <f t="shared" si="8"/>
        <v>0</v>
      </c>
      <c r="AF36" s="184">
        <f t="shared" si="3"/>
        <v>0</v>
      </c>
      <c r="AG36" s="95">
        <f t="shared" si="7"/>
        <v>0</v>
      </c>
      <c r="AI36" s="199"/>
      <c r="AJ36" s="200">
        <f t="shared" si="0"/>
        <v>0</v>
      </c>
      <c r="AK36" s="199">
        <f t="shared" si="4"/>
        <v>0</v>
      </c>
      <c r="AL36" s="201">
        <f t="shared" si="1"/>
        <v>0</v>
      </c>
    </row>
    <row r="37" spans="2:38" s="173" customFormat="1" ht="24.75" customHeight="1">
      <c r="B37" s="174">
        <v>25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>31*121333.33</f>
        <v>3761333.23</v>
      </c>
      <c r="L37" s="169">
        <f t="shared" si="6"/>
        <v>30575.999999999996</v>
      </c>
      <c r="M37" s="189">
        <f>'[15]HARVESTING KHT'!$AQ12</f>
        <v>145800</v>
      </c>
      <c r="N37" s="189">
        <f>'[15]HARVESTING KHT'!$U12</f>
        <v>139500</v>
      </c>
      <c r="O37" s="189"/>
      <c r="P37" s="189"/>
      <c r="Q37" s="189"/>
      <c r="R37" s="189">
        <f>'[15]HARVESTING KHT'!$AA12</f>
        <v>255842</v>
      </c>
      <c r="S37" s="189">
        <f>'[15]HARVESTING KHT'!$AB12</f>
        <v>161700</v>
      </c>
      <c r="T37" s="189">
        <f>'[15]HARVESTING KHT'!$AC12</f>
        <v>222000</v>
      </c>
      <c r="U37" s="189"/>
      <c r="V37" s="189">
        <f>'[15]HARVESTING KHT'!$AH12</f>
        <v>150000</v>
      </c>
      <c r="W37" s="189">
        <f>'[6]HARVESTING KHT'!$AK19</f>
        <v>0</v>
      </c>
      <c r="X37" s="189">
        <f>'[15]HARVESTING KHT'!$Z12</f>
        <v>5000</v>
      </c>
      <c r="Y37" s="189"/>
      <c r="Z37" s="189"/>
      <c r="AA37" s="189"/>
      <c r="AB37" s="189">
        <f>-'[15]HARVESTING KHT'!$BI12</f>
        <v>0</v>
      </c>
      <c r="AC37" s="189"/>
      <c r="AD37" s="189"/>
      <c r="AE37" s="183">
        <f t="shared" si="8"/>
        <v>4871751</v>
      </c>
      <c r="AF37" s="184">
        <f t="shared" si="3"/>
        <v>0</v>
      </c>
      <c r="AG37" s="95">
        <f t="shared" si="7"/>
        <v>0</v>
      </c>
      <c r="AI37" s="199">
        <f>'[15]HARVESTING KHT'!$AL12</f>
        <v>4695375.2300000004</v>
      </c>
      <c r="AJ37" s="200">
        <f t="shared" si="0"/>
        <v>176376</v>
      </c>
      <c r="AK37" s="199">
        <f t="shared" si="4"/>
        <v>4871751.2300000004</v>
      </c>
      <c r="AL37" s="201">
        <f t="shared" si="1"/>
        <v>0.23000000044703484</v>
      </c>
    </row>
    <row r="38" spans="2:38" s="173" customFormat="1" ht="24.75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77" si="9">IF(J38="TER A",VLOOKUP(AE38,Ter_A,4,TRUE),IF(J38="TER B",VLOOKUP(AE38,Ter_B,4,TRUE),VLOOKUP(AE38,Ter_C,4,TRUE)))</f>
        <v>0</v>
      </c>
      <c r="AG38" s="95">
        <f t="shared" si="7"/>
        <v>0</v>
      </c>
      <c r="AI38" s="199"/>
      <c r="AJ38" s="200">
        <f t="shared" si="0"/>
        <v>0</v>
      </c>
      <c r="AK38" s="199">
        <f t="shared" si="4"/>
        <v>0</v>
      </c>
      <c r="AL38" s="201">
        <f t="shared" si="1"/>
        <v>0</v>
      </c>
    </row>
    <row r="39" spans="2:38" s="173" customFormat="1" ht="24.75" customHeight="1">
      <c r="B39" s="174"/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/>
      <c r="L39" s="16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3">
        <f t="shared" si="8"/>
        <v>0</v>
      </c>
      <c r="AF39" s="184">
        <f t="shared" si="9"/>
        <v>0</v>
      </c>
      <c r="AG39" s="95">
        <f t="shared" si="7"/>
        <v>0</v>
      </c>
      <c r="AI39" s="199"/>
      <c r="AJ39" s="200">
        <f t="shared" si="0"/>
        <v>0</v>
      </c>
      <c r="AK39" s="199">
        <f t="shared" si="4"/>
        <v>0</v>
      </c>
      <c r="AL39" s="201">
        <f t="shared" si="1"/>
        <v>0</v>
      </c>
    </row>
    <row r="40" spans="2:38" s="173" customFormat="1" ht="24.75" customHeight="1">
      <c r="B40" s="174"/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/>
      <c r="L40" s="16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3">
        <f t="shared" si="8"/>
        <v>0</v>
      </c>
      <c r="AF40" s="184">
        <f t="shared" si="9"/>
        <v>0</v>
      </c>
      <c r="AG40" s="95">
        <f t="shared" si="7"/>
        <v>0</v>
      </c>
      <c r="AI40" s="199"/>
      <c r="AJ40" s="200">
        <f t="shared" si="0"/>
        <v>0</v>
      </c>
      <c r="AK40" s="199">
        <f t="shared" si="4"/>
        <v>0</v>
      </c>
      <c r="AL40" s="201">
        <f t="shared" si="1"/>
        <v>0</v>
      </c>
    </row>
    <row r="41" spans="2:38" s="173" customFormat="1" ht="24.75" customHeight="1">
      <c r="B41" s="174">
        <v>26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>31*121333.33</f>
        <v>3761333.23</v>
      </c>
      <c r="L41" s="169">
        <f t="shared" si="6"/>
        <v>30575.999999999996</v>
      </c>
      <c r="M41" s="189">
        <f>'[15]HARVESTING KHT'!$AQ13</f>
        <v>146320</v>
      </c>
      <c r="N41" s="189">
        <f>'[15]HARVESTING KHT'!$U13</f>
        <v>162000</v>
      </c>
      <c r="O41" s="189"/>
      <c r="P41" s="189"/>
      <c r="Q41" s="189"/>
      <c r="R41" s="189">
        <f>'[15]HARVESTING KHT'!$AA13</f>
        <v>0</v>
      </c>
      <c r="S41" s="189">
        <f>'[15]HARVESTING KHT'!$AB13</f>
        <v>123900</v>
      </c>
      <c r="T41" s="189">
        <f>'[15]HARVESTING KHT'!$AC13</f>
        <v>146500</v>
      </c>
      <c r="U41" s="189"/>
      <c r="V41" s="189">
        <f>'[15]HARVESTING KHT'!$AH13</f>
        <v>0</v>
      </c>
      <c r="W41" s="189">
        <f>'[6]HARVESTING KHT'!$AK23</f>
        <v>0</v>
      </c>
      <c r="X41" s="189">
        <f>'[15]HARVESTING KHT'!$Z13</f>
        <v>18000</v>
      </c>
      <c r="Y41" s="189"/>
      <c r="Z41" s="189"/>
      <c r="AA41" s="189"/>
      <c r="AB41" s="189">
        <f>-'[15]HARVESTING KHT'!$BI13</f>
        <v>-121333.33</v>
      </c>
      <c r="AC41" s="189"/>
      <c r="AD41" s="189"/>
      <c r="AE41" s="183">
        <f t="shared" si="8"/>
        <v>4267295</v>
      </c>
      <c r="AF41" s="184">
        <f t="shared" si="9"/>
        <v>0</v>
      </c>
      <c r="AG41" s="95">
        <f t="shared" si="7"/>
        <v>0</v>
      </c>
      <c r="AI41" s="199">
        <f>'[15]HARVESTING KHT'!$AL13</f>
        <v>4090399.9</v>
      </c>
      <c r="AJ41" s="200">
        <f t="shared" si="0"/>
        <v>176896</v>
      </c>
      <c r="AK41" s="199">
        <f t="shared" si="4"/>
        <v>4267295.9000000004</v>
      </c>
      <c r="AL41" s="201">
        <f t="shared" si="1"/>
        <v>0.90000000037252903</v>
      </c>
    </row>
    <row r="42" spans="2:38" s="173" customFormat="1" ht="24.75" customHeight="1">
      <c r="B42" s="174">
        <v>27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>31*121333.33</f>
        <v>3761333.23</v>
      </c>
      <c r="L42" s="169">
        <f t="shared" si="6"/>
        <v>30575.999999999996</v>
      </c>
      <c r="M42" s="189">
        <f>'[15]HARVESTING KHT'!$AQ14</f>
        <v>146560</v>
      </c>
      <c r="N42" s="189">
        <f>'[15]HARVESTING KHT'!$U14</f>
        <v>139500</v>
      </c>
      <c r="O42" s="189"/>
      <c r="P42" s="189"/>
      <c r="Q42" s="189"/>
      <c r="R42" s="189">
        <f>'[15]HARVESTING KHT'!$AA14</f>
        <v>0</v>
      </c>
      <c r="S42" s="189">
        <f>'[15]HARVESTING KHT'!$AB14</f>
        <v>153300</v>
      </c>
      <c r="T42" s="189">
        <f>'[15]HARVESTING KHT'!$AC14</f>
        <v>148500</v>
      </c>
      <c r="U42" s="189"/>
      <c r="V42" s="189">
        <f>'[15]HARVESTING KHT'!$AH14</f>
        <v>0</v>
      </c>
      <c r="W42" s="189">
        <f>'[6]HARVESTING KHT'!$AK24</f>
        <v>0</v>
      </c>
      <c r="X42" s="189">
        <f>'[15]HARVESTING KHT'!$Z14</f>
        <v>24000</v>
      </c>
      <c r="Y42" s="189"/>
      <c r="Z42" s="189"/>
      <c r="AA42" s="189"/>
      <c r="AB42" s="189">
        <f>-'[15]HARVESTING KHT'!$BI14</f>
        <v>0</v>
      </c>
      <c r="AC42" s="189"/>
      <c r="AD42" s="189"/>
      <c r="AE42" s="183">
        <f t="shared" si="8"/>
        <v>4403769</v>
      </c>
      <c r="AF42" s="184">
        <f t="shared" si="9"/>
        <v>0</v>
      </c>
      <c r="AG42" s="95">
        <f t="shared" si="7"/>
        <v>0</v>
      </c>
      <c r="AI42" s="199">
        <f>'[15]HARVESTING KHT'!$AL14</f>
        <v>4226633.2300000004</v>
      </c>
      <c r="AJ42" s="200">
        <f t="shared" si="0"/>
        <v>177136</v>
      </c>
      <c r="AK42" s="199">
        <f t="shared" si="4"/>
        <v>4403769.2300000004</v>
      </c>
      <c r="AL42" s="201">
        <f t="shared" si="1"/>
        <v>0.23000000044703484</v>
      </c>
    </row>
    <row r="43" spans="2:38" s="173" customFormat="1" ht="24.75" customHeight="1">
      <c r="B43" s="174"/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/>
      <c r="L43" s="16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3">
        <f t="shared" si="8"/>
        <v>0</v>
      </c>
      <c r="AF43" s="184">
        <f t="shared" si="9"/>
        <v>0</v>
      </c>
      <c r="AG43" s="95">
        <f t="shared" si="7"/>
        <v>0</v>
      </c>
      <c r="AI43" s="199"/>
      <c r="AJ43" s="200">
        <f t="shared" si="0"/>
        <v>0</v>
      </c>
      <c r="AK43" s="199">
        <f t="shared" si="4"/>
        <v>0</v>
      </c>
      <c r="AL43" s="201">
        <f t="shared" si="1"/>
        <v>0</v>
      </c>
    </row>
    <row r="44" spans="2:38" s="173" customFormat="1" ht="24.75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9"/>
        <v>0</v>
      </c>
      <c r="AG44" s="95">
        <f t="shared" si="7"/>
        <v>0</v>
      </c>
      <c r="AI44" s="199"/>
      <c r="AJ44" s="200">
        <f t="shared" si="0"/>
        <v>0</v>
      </c>
      <c r="AK44" s="199">
        <f t="shared" si="4"/>
        <v>0</v>
      </c>
      <c r="AL44" s="201">
        <f t="shared" si="1"/>
        <v>0</v>
      </c>
    </row>
    <row r="45" spans="2:38" s="173" customFormat="1" ht="24.75" customHeight="1">
      <c r="B45" s="174">
        <v>28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>31*121333.33</f>
        <v>3761333.23</v>
      </c>
      <c r="L45" s="169">
        <f t="shared" si="6"/>
        <v>30575.999999999996</v>
      </c>
      <c r="M45" s="189">
        <f>'[15]HARVESTING KHT'!$AQ15</f>
        <v>145700</v>
      </c>
      <c r="N45" s="189">
        <f>'[15]HARVESTING KHT'!$U15</f>
        <v>167400</v>
      </c>
      <c r="O45" s="189"/>
      <c r="P45" s="189"/>
      <c r="Q45" s="189"/>
      <c r="R45" s="189">
        <f>'[15]HARVESTING KHT'!$AA15</f>
        <v>119765</v>
      </c>
      <c r="S45" s="189">
        <f>'[15]HARVESTING KHT'!$AB15</f>
        <v>257250</v>
      </c>
      <c r="T45" s="189">
        <f>'[15]HARVESTING KHT'!$AC15</f>
        <v>148000</v>
      </c>
      <c r="U45" s="189"/>
      <c r="V45" s="189">
        <f>'[15]HARVESTING KHT'!$AH15</f>
        <v>0</v>
      </c>
      <c r="W45" s="189">
        <f>'[6]HARVESTING KHT'!$AK27</f>
        <v>0</v>
      </c>
      <c r="X45" s="189">
        <f>'[15]HARVESTING KHT'!$Z15</f>
        <v>2500</v>
      </c>
      <c r="Y45" s="189"/>
      <c r="Z45" s="189"/>
      <c r="AA45" s="189"/>
      <c r="AB45" s="189">
        <f>-'[15]HARVESTING KHT'!$BI15</f>
        <v>0</v>
      </c>
      <c r="AC45" s="189"/>
      <c r="AD45" s="189"/>
      <c r="AE45" s="183">
        <f t="shared" si="8"/>
        <v>4632524</v>
      </c>
      <c r="AF45" s="184">
        <f t="shared" si="9"/>
        <v>0</v>
      </c>
      <c r="AG45" s="95">
        <f t="shared" si="7"/>
        <v>0</v>
      </c>
      <c r="AI45" s="199">
        <f>'[15]HARVESTING KHT'!$AL15</f>
        <v>4456248.2300000004</v>
      </c>
      <c r="AJ45" s="200">
        <f t="shared" si="0"/>
        <v>176276</v>
      </c>
      <c r="AK45" s="199">
        <f t="shared" si="4"/>
        <v>4632524.2300000004</v>
      </c>
      <c r="AL45" s="201">
        <f>AK45-AE45</f>
        <v>0.23000000044703484</v>
      </c>
    </row>
    <row r="46" spans="2:38" s="173" customFormat="1" ht="24.75" customHeight="1">
      <c r="B46" s="174">
        <v>29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>31*121333.33</f>
        <v>3761333.23</v>
      </c>
      <c r="L46" s="169">
        <f t="shared" si="6"/>
        <v>30575.999999999996</v>
      </c>
      <c r="M46" s="189">
        <f>'[15]HARVESTING KHT'!$AQ16</f>
        <v>145900</v>
      </c>
      <c r="N46" s="189">
        <f>'[15]HARVESTING KHT'!$U16</f>
        <v>69750</v>
      </c>
      <c r="O46" s="189"/>
      <c r="P46" s="189"/>
      <c r="Q46" s="189"/>
      <c r="R46" s="189">
        <f>'[15]HARVESTING KHT'!$AA16</f>
        <v>851272</v>
      </c>
      <c r="S46" s="189">
        <f>'[15]HARVESTING KHT'!$AB16</f>
        <v>195300</v>
      </c>
      <c r="T46" s="189">
        <f>'[15]HARVESTING KHT'!$AC16</f>
        <v>222000</v>
      </c>
      <c r="U46" s="189"/>
      <c r="V46" s="189">
        <f>'[15]HARVESTING KHT'!$AH16</f>
        <v>479896</v>
      </c>
      <c r="W46" s="189">
        <f>'[6]HARVESTING KHT'!$AK28</f>
        <v>0</v>
      </c>
      <c r="X46" s="189">
        <f>'[15]HARVESTING KHT'!$Z16</f>
        <v>7500</v>
      </c>
      <c r="Y46" s="189"/>
      <c r="Z46" s="189"/>
      <c r="AA46" s="189"/>
      <c r="AB46" s="189">
        <f>-'[15]HARVESTING KHT'!$BI16</f>
        <v>0</v>
      </c>
      <c r="AC46" s="189"/>
      <c r="AD46" s="189"/>
      <c r="AE46" s="183">
        <f t="shared" si="8"/>
        <v>5763527</v>
      </c>
      <c r="AF46" s="184">
        <f t="shared" si="9"/>
        <v>5.0000000000000001E-3</v>
      </c>
      <c r="AG46" s="95">
        <f t="shared" si="7"/>
        <v>28817</v>
      </c>
      <c r="AI46" s="199">
        <f>'[15]HARVESTING KHT'!$AL16</f>
        <v>5587051.2300000004</v>
      </c>
      <c r="AJ46" s="200">
        <f t="shared" si="0"/>
        <v>176476</v>
      </c>
      <c r="AK46" s="199">
        <f t="shared" si="4"/>
        <v>5763527.2300000004</v>
      </c>
      <c r="AL46" s="201">
        <f>AK46-AE46</f>
        <v>0.23000000044703484</v>
      </c>
    </row>
    <row r="47" spans="2:38" s="173" customFormat="1" ht="24.75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>
        <f>'[6]HARVESTING KHT'!$AK29</f>
        <v>0</v>
      </c>
      <c r="X47" s="189"/>
      <c r="Y47" s="189"/>
      <c r="Z47" s="189"/>
      <c r="AA47" s="189"/>
      <c r="AB47" s="189"/>
      <c r="AC47" s="189"/>
      <c r="AD47" s="189"/>
      <c r="AE47" s="183">
        <f t="shared" si="8"/>
        <v>0</v>
      </c>
      <c r="AF47" s="184">
        <f t="shared" si="9"/>
        <v>0</v>
      </c>
      <c r="AG47" s="95">
        <f t="shared" si="7"/>
        <v>0</v>
      </c>
      <c r="AI47" s="199"/>
      <c r="AJ47" s="200">
        <f t="shared" si="0"/>
        <v>0</v>
      </c>
      <c r="AK47" s="199">
        <f t="shared" si="4"/>
        <v>0</v>
      </c>
      <c r="AL47" s="201">
        <f t="shared" si="1"/>
        <v>0</v>
      </c>
    </row>
    <row r="48" spans="2:38" s="173" customFormat="1" ht="24.75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9"/>
        <v>0</v>
      </c>
      <c r="AG48" s="95">
        <f t="shared" si="7"/>
        <v>0</v>
      </c>
      <c r="AI48" s="199"/>
      <c r="AJ48" s="200">
        <f t="shared" si="0"/>
        <v>0</v>
      </c>
      <c r="AK48" s="199">
        <f t="shared" si="4"/>
        <v>0</v>
      </c>
      <c r="AL48" s="201">
        <f t="shared" si="1"/>
        <v>0</v>
      </c>
    </row>
    <row r="49" spans="2:38" s="173" customFormat="1" ht="24.75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9"/>
        <v>0</v>
      </c>
      <c r="AG49" s="95">
        <f t="shared" si="7"/>
        <v>0</v>
      </c>
      <c r="AI49" s="199"/>
      <c r="AJ49" s="200">
        <f t="shared" si="0"/>
        <v>0</v>
      </c>
      <c r="AK49" s="199">
        <f t="shared" si="4"/>
        <v>0</v>
      </c>
      <c r="AL49" s="201">
        <f t="shared" si="1"/>
        <v>0</v>
      </c>
    </row>
    <row r="50" spans="2:38" s="173" customFormat="1" ht="24.75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9"/>
        <v>0</v>
      </c>
      <c r="AG50" s="95">
        <f t="shared" si="7"/>
        <v>0</v>
      </c>
      <c r="AI50" s="199"/>
      <c r="AJ50" s="200">
        <f t="shared" si="0"/>
        <v>0</v>
      </c>
      <c r="AK50" s="199">
        <f t="shared" si="4"/>
        <v>0</v>
      </c>
      <c r="AL50" s="201">
        <f t="shared" si="1"/>
        <v>0</v>
      </c>
    </row>
    <row r="51" spans="2:38" s="173" customFormat="1" ht="24.75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9"/>
        <v>0</v>
      </c>
      <c r="AG51" s="95">
        <f t="shared" si="7"/>
        <v>0</v>
      </c>
      <c r="AI51" s="199"/>
      <c r="AJ51" s="200">
        <f t="shared" si="0"/>
        <v>0</v>
      </c>
      <c r="AK51" s="199">
        <f t="shared" si="4"/>
        <v>0</v>
      </c>
      <c r="AL51" s="201">
        <f t="shared" si="1"/>
        <v>0</v>
      </c>
    </row>
    <row r="52" spans="2:38" s="173" customFormat="1" ht="24.75" customHeight="1">
      <c r="B52" s="174"/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/>
      <c r="L52" s="16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3">
        <f t="shared" si="8"/>
        <v>0</v>
      </c>
      <c r="AF52" s="184">
        <f t="shared" si="9"/>
        <v>0</v>
      </c>
      <c r="AG52" s="95">
        <f t="shared" si="7"/>
        <v>0</v>
      </c>
      <c r="AI52" s="199"/>
      <c r="AJ52" s="200">
        <f t="shared" si="0"/>
        <v>0</v>
      </c>
      <c r="AK52" s="199">
        <f t="shared" si="4"/>
        <v>0</v>
      </c>
      <c r="AL52" s="201">
        <f t="shared" si="1"/>
        <v>0</v>
      </c>
    </row>
    <row r="53" spans="2:38" s="173" customFormat="1" ht="24.75" customHeight="1">
      <c r="B53" s="174">
        <v>30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>31*121333.33</f>
        <v>3761333.23</v>
      </c>
      <c r="L53" s="169">
        <f t="shared" si="6"/>
        <v>30575.999999999996</v>
      </c>
      <c r="M53" s="189">
        <f>'[15]HARVESTING KHT'!$AQ17</f>
        <v>145800</v>
      </c>
      <c r="N53" s="189">
        <f>'[15]HARVESTING KHT'!$U17</f>
        <v>167400</v>
      </c>
      <c r="O53" s="189"/>
      <c r="P53" s="189"/>
      <c r="Q53" s="189"/>
      <c r="R53" s="189">
        <f>'[15]HARVESTING KHT'!$AA17</f>
        <v>145473</v>
      </c>
      <c r="S53" s="189">
        <f>'[15]HARVESTING KHT'!$AB17</f>
        <v>170100</v>
      </c>
      <c r="T53" s="189">
        <f>'[15]HARVESTING KHT'!$AC17</f>
        <v>149000</v>
      </c>
      <c r="U53" s="189"/>
      <c r="V53" s="189">
        <f>'[15]HARVESTING KHT'!$AH17</f>
        <v>0</v>
      </c>
      <c r="W53" s="189">
        <f>'[6]HARVESTING KHT'!$AK35</f>
        <v>0</v>
      </c>
      <c r="X53" s="189">
        <f>'[15]HARVESTING KHT'!$Z17</f>
        <v>5000</v>
      </c>
      <c r="Y53" s="189"/>
      <c r="Z53" s="189"/>
      <c r="AA53" s="189"/>
      <c r="AB53" s="189">
        <f>-'[15]HARVESTING KHT'!$BI17</f>
        <v>0</v>
      </c>
      <c r="AC53" s="189"/>
      <c r="AD53" s="189"/>
      <c r="AE53" s="183">
        <f t="shared" si="8"/>
        <v>4574682</v>
      </c>
      <c r="AF53" s="184">
        <f t="shared" si="9"/>
        <v>0</v>
      </c>
      <c r="AG53" s="95">
        <f t="shared" si="7"/>
        <v>0</v>
      </c>
      <c r="AI53" s="199">
        <f>'[15]HARVESTING KHT'!$AL17</f>
        <v>4398306.2300000004</v>
      </c>
      <c r="AJ53" s="200">
        <f t="shared" si="0"/>
        <v>176376</v>
      </c>
      <c r="AK53" s="199">
        <f t="shared" si="4"/>
        <v>4574682.2300000004</v>
      </c>
      <c r="AL53" s="201">
        <f t="shared" si="1"/>
        <v>0.23000000044703484</v>
      </c>
    </row>
    <row r="54" spans="2:38" s="173" customFormat="1" ht="24.75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>
        <f>'[6]HARVESTING KHT'!$AK36</f>
        <v>0</v>
      </c>
      <c r="X54" s="189"/>
      <c r="Y54" s="189"/>
      <c r="Z54" s="189"/>
      <c r="AA54" s="189"/>
      <c r="AB54" s="189"/>
      <c r="AC54" s="189"/>
      <c r="AD54" s="189"/>
      <c r="AE54" s="183">
        <f t="shared" si="8"/>
        <v>0</v>
      </c>
      <c r="AF54" s="184">
        <f t="shared" si="9"/>
        <v>0</v>
      </c>
      <c r="AG54" s="95">
        <f t="shared" si="7"/>
        <v>0</v>
      </c>
      <c r="AI54" s="199"/>
      <c r="AJ54" s="200">
        <f t="shared" si="0"/>
        <v>0</v>
      </c>
      <c r="AK54" s="199">
        <f t="shared" si="4"/>
        <v>0</v>
      </c>
      <c r="AL54" s="201">
        <f t="shared" si="1"/>
        <v>0</v>
      </c>
    </row>
    <row r="55" spans="2:38" s="173" customFormat="1" ht="24.75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>
        <f>'[6]HARVESTING KHT'!$AK37</f>
        <v>0</v>
      </c>
      <c r="X55" s="189"/>
      <c r="Y55" s="189"/>
      <c r="Z55" s="189"/>
      <c r="AA55" s="189"/>
      <c r="AB55" s="189"/>
      <c r="AC55" s="189"/>
      <c r="AD55" s="189"/>
      <c r="AE55" s="183">
        <f t="shared" si="8"/>
        <v>0</v>
      </c>
      <c r="AF55" s="184">
        <f t="shared" si="9"/>
        <v>0</v>
      </c>
      <c r="AG55" s="95">
        <f t="shared" si="7"/>
        <v>0</v>
      </c>
      <c r="AI55" s="199"/>
      <c r="AJ55" s="200">
        <f t="shared" si="0"/>
        <v>0</v>
      </c>
      <c r="AK55" s="199">
        <f t="shared" si="4"/>
        <v>0</v>
      </c>
      <c r="AL55" s="201">
        <f t="shared" si="1"/>
        <v>0</v>
      </c>
    </row>
    <row r="56" spans="2:38" s="173" customFormat="1" ht="24.75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9"/>
        <v>0</v>
      </c>
      <c r="AG56" s="95">
        <f t="shared" si="7"/>
        <v>0</v>
      </c>
      <c r="AI56" s="199"/>
      <c r="AJ56" s="200">
        <f t="shared" si="0"/>
        <v>0</v>
      </c>
      <c r="AK56" s="199">
        <f t="shared" si="4"/>
        <v>0</v>
      </c>
      <c r="AL56" s="201">
        <f t="shared" si="1"/>
        <v>0</v>
      </c>
    </row>
    <row r="57" spans="2:38" s="173" customFormat="1" ht="24.75" customHeight="1">
      <c r="B57" s="174">
        <v>31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>31*121333.33</f>
        <v>3761333.23</v>
      </c>
      <c r="L57" s="169">
        <f t="shared" si="6"/>
        <v>30575.999999999996</v>
      </c>
      <c r="M57" s="189">
        <f>'[15]HARVESTING KHT'!$AQ18</f>
        <v>146100</v>
      </c>
      <c r="N57" s="189">
        <f>'[15]HARVESTING KHT'!$U18</f>
        <v>167400</v>
      </c>
      <c r="O57" s="189"/>
      <c r="P57" s="189"/>
      <c r="Q57" s="189"/>
      <c r="R57" s="189">
        <f>'[15]HARVESTING KHT'!$AA18</f>
        <v>122426</v>
      </c>
      <c r="S57" s="189">
        <f>'[15]HARVESTING KHT'!$AB18</f>
        <v>295050</v>
      </c>
      <c r="T57" s="189">
        <f>'[15]HARVESTING KHT'!$AC18</f>
        <v>224000</v>
      </c>
      <c r="U57" s="189"/>
      <c r="V57" s="189">
        <f>'[15]HARVESTING KHT'!$AH18</f>
        <v>0</v>
      </c>
      <c r="W57" s="189">
        <f>'[6]HARVESTING KHT'!$AK39</f>
        <v>0</v>
      </c>
      <c r="X57" s="189">
        <f>'[15]HARVESTING KHT'!$Z18</f>
        <v>12500</v>
      </c>
      <c r="Y57" s="189"/>
      <c r="Z57" s="189"/>
      <c r="AA57" s="189"/>
      <c r="AB57" s="189">
        <f>-'[15]HARVESTING KHT'!$BI18</f>
        <v>0</v>
      </c>
      <c r="AC57" s="189"/>
      <c r="AD57" s="189"/>
      <c r="AE57" s="183">
        <f t="shared" si="8"/>
        <v>4759385</v>
      </c>
      <c r="AF57" s="184">
        <f t="shared" si="9"/>
        <v>0</v>
      </c>
      <c r="AG57" s="95">
        <f t="shared" si="7"/>
        <v>0</v>
      </c>
      <c r="AI57" s="199">
        <f>'[15]HARVESTING KHT'!$AL18</f>
        <v>4582709.2300000004</v>
      </c>
      <c r="AJ57" s="200">
        <f t="shared" si="0"/>
        <v>176676</v>
      </c>
      <c r="AK57" s="199">
        <f t="shared" si="4"/>
        <v>4759385.2300000004</v>
      </c>
      <c r="AL57" s="201">
        <f t="shared" si="1"/>
        <v>0.23000000044703484</v>
      </c>
    </row>
    <row r="58" spans="2:38" s="173" customFormat="1" ht="24.75" customHeight="1">
      <c r="B58" s="174">
        <v>32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>31*121333.33</f>
        <v>3761333.23</v>
      </c>
      <c r="L58" s="169">
        <f t="shared" si="6"/>
        <v>30575.999999999996</v>
      </c>
      <c r="M58" s="189">
        <f>'[15]HARVESTING KHT'!$AQ19</f>
        <v>145700</v>
      </c>
      <c r="N58" s="189">
        <f>'[15]HARVESTING KHT'!$U19</f>
        <v>111600</v>
      </c>
      <c r="O58" s="189"/>
      <c r="P58" s="189"/>
      <c r="Q58" s="189"/>
      <c r="R58" s="189">
        <f>'[15]HARVESTING KHT'!$AA19</f>
        <v>101760</v>
      </c>
      <c r="S58" s="189">
        <f>'[15]HARVESTING KHT'!$AB19</f>
        <v>278250</v>
      </c>
      <c r="T58" s="189">
        <f>'[15]HARVESTING KHT'!$AC19</f>
        <v>227000</v>
      </c>
      <c r="U58" s="189"/>
      <c r="V58" s="189">
        <f>'[15]HARVESTING KHT'!$AH19</f>
        <v>0</v>
      </c>
      <c r="W58" s="189">
        <f>'[6]HARVESTING KHT'!$AK40</f>
        <v>0</v>
      </c>
      <c r="X58" s="189">
        <f>'[15]HARVESTING KHT'!$Z19</f>
        <v>2500</v>
      </c>
      <c r="Y58" s="189"/>
      <c r="Z58" s="189"/>
      <c r="AA58" s="189"/>
      <c r="AB58" s="189">
        <f>-'[15]HARVESTING KHT'!$BI19</f>
        <v>0</v>
      </c>
      <c r="AC58" s="189"/>
      <c r="AD58" s="189"/>
      <c r="AE58" s="183">
        <f t="shared" si="8"/>
        <v>4658719</v>
      </c>
      <c r="AF58" s="184">
        <f t="shared" si="9"/>
        <v>0</v>
      </c>
      <c r="AG58" s="95">
        <f t="shared" si="7"/>
        <v>0</v>
      </c>
      <c r="AI58" s="199">
        <f>'[15]HARVESTING KHT'!$AL19</f>
        <v>4482443.2300000004</v>
      </c>
      <c r="AJ58" s="200">
        <f t="shared" si="0"/>
        <v>176276</v>
      </c>
      <c r="AK58" s="199">
        <f t="shared" si="4"/>
        <v>4658719.2300000004</v>
      </c>
      <c r="AL58" s="201">
        <f t="shared" si="1"/>
        <v>0.23000000044703484</v>
      </c>
    </row>
    <row r="59" spans="2:38" s="173" customFormat="1" ht="24.75" customHeight="1">
      <c r="B59" s="174"/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/>
      <c r="L59" s="16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3">
        <f t="shared" si="8"/>
        <v>0</v>
      </c>
      <c r="AF59" s="184">
        <f t="shared" si="9"/>
        <v>0</v>
      </c>
      <c r="AG59" s="95">
        <f t="shared" si="7"/>
        <v>0</v>
      </c>
      <c r="AI59" s="199"/>
      <c r="AJ59" s="200">
        <f t="shared" si="0"/>
        <v>0</v>
      </c>
      <c r="AK59" s="199">
        <f t="shared" si="4"/>
        <v>0</v>
      </c>
      <c r="AL59" s="201">
        <f t="shared" si="1"/>
        <v>0</v>
      </c>
    </row>
    <row r="60" spans="2:38" s="173" customFormat="1" ht="24.75" customHeight="1">
      <c r="B60" s="174">
        <v>33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>31*121333.33</f>
        <v>3761333.23</v>
      </c>
      <c r="L60" s="169">
        <f t="shared" si="6"/>
        <v>30575.999999999996</v>
      </c>
      <c r="M60" s="189">
        <f>'[15]HARVESTING KHT'!$AQ20</f>
        <v>145700</v>
      </c>
      <c r="N60" s="189">
        <f>'[15]HARVESTING KHT'!$U20</f>
        <v>167400</v>
      </c>
      <c r="O60" s="189"/>
      <c r="P60" s="189"/>
      <c r="Q60" s="189"/>
      <c r="R60" s="189">
        <f>'[15]HARVESTING KHT'!$AA20</f>
        <v>353449</v>
      </c>
      <c r="S60" s="189">
        <f>'[15]HARVESTING KHT'!$AB20</f>
        <v>203700</v>
      </c>
      <c r="T60" s="189">
        <f>'[15]HARVESTING KHT'!$AC20</f>
        <v>145500</v>
      </c>
      <c r="U60" s="189"/>
      <c r="V60" s="189">
        <f>'[15]HARVESTING KHT'!$AH20</f>
        <v>150000</v>
      </c>
      <c r="W60" s="189">
        <f>'[6]HARVESTING KHT'!$AK42</f>
        <v>0</v>
      </c>
      <c r="X60" s="189">
        <f>'[15]HARVESTING KHT'!$Z20</f>
        <v>2500</v>
      </c>
      <c r="Y60" s="189"/>
      <c r="Z60" s="189"/>
      <c r="AA60" s="189"/>
      <c r="AB60" s="189">
        <f>-'[15]HARVESTING KHT'!$BI20</f>
        <v>0</v>
      </c>
      <c r="AC60" s="189"/>
      <c r="AD60" s="189"/>
      <c r="AE60" s="183">
        <f t="shared" si="8"/>
        <v>4960158</v>
      </c>
      <c r="AF60" s="184">
        <f t="shared" si="9"/>
        <v>0</v>
      </c>
      <c r="AG60" s="95">
        <f t="shared" si="7"/>
        <v>0</v>
      </c>
      <c r="AI60" s="199">
        <f>'[15]HARVESTING KHT'!$AL20</f>
        <v>4783882.2300000004</v>
      </c>
      <c r="AJ60" s="200">
        <f t="shared" si="0"/>
        <v>176276</v>
      </c>
      <c r="AK60" s="199">
        <f t="shared" si="4"/>
        <v>4960158.2300000004</v>
      </c>
      <c r="AL60" s="201">
        <f t="shared" si="1"/>
        <v>0.23000000044703484</v>
      </c>
    </row>
    <row r="61" spans="2:38" s="173" customFormat="1" ht="24.75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>
        <f>'[6]HARVESTING KHT'!$AK43</f>
        <v>0</v>
      </c>
      <c r="X61" s="189"/>
      <c r="Y61" s="189"/>
      <c r="Z61" s="189"/>
      <c r="AA61" s="189"/>
      <c r="AB61" s="189"/>
      <c r="AC61" s="189"/>
      <c r="AD61" s="189"/>
      <c r="AE61" s="183">
        <f t="shared" si="8"/>
        <v>0</v>
      </c>
      <c r="AF61" s="184">
        <f t="shared" si="9"/>
        <v>0</v>
      </c>
      <c r="AG61" s="95">
        <f t="shared" si="7"/>
        <v>0</v>
      </c>
      <c r="AI61" s="199"/>
      <c r="AJ61" s="200">
        <f t="shared" si="0"/>
        <v>0</v>
      </c>
      <c r="AK61" s="199">
        <f t="shared" si="4"/>
        <v>0</v>
      </c>
      <c r="AL61" s="201">
        <f t="shared" si="1"/>
        <v>0</v>
      </c>
    </row>
    <row r="62" spans="2:38" s="173" customFormat="1" ht="24.75" customHeight="1">
      <c r="B62" s="174">
        <v>34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>31*121333.33</f>
        <v>3761333.23</v>
      </c>
      <c r="L62" s="169">
        <f t="shared" si="6"/>
        <v>30575.999999999996</v>
      </c>
      <c r="M62" s="189">
        <f>'[15]HARVESTING KHT'!$AQ21</f>
        <v>146000</v>
      </c>
      <c r="N62" s="189">
        <f>'[15]HARVESTING KHT'!$U21</f>
        <v>167400</v>
      </c>
      <c r="O62" s="189"/>
      <c r="P62" s="189"/>
      <c r="Q62" s="189"/>
      <c r="R62" s="189">
        <f>'[15]HARVESTING KHT'!$AA21</f>
        <v>713892</v>
      </c>
      <c r="S62" s="189">
        <f>'[15]HARVESTING KHT'!$AB21</f>
        <v>217350</v>
      </c>
      <c r="T62" s="189">
        <f>'[15]HARVESTING KHT'!$AC21</f>
        <v>147500</v>
      </c>
      <c r="U62" s="189"/>
      <c r="V62" s="189">
        <f>'[15]HARVESTING KHT'!$AH21</f>
        <v>150000</v>
      </c>
      <c r="W62" s="189">
        <f>'[6]HARVESTING KHT'!$AK44</f>
        <v>0</v>
      </c>
      <c r="X62" s="189">
        <f>'[15]HARVESTING KHT'!$Z21</f>
        <v>10000</v>
      </c>
      <c r="Y62" s="189"/>
      <c r="Z62" s="189"/>
      <c r="AA62" s="189"/>
      <c r="AB62" s="189">
        <f>-'[15]HARVESTING KHT'!$BI21</f>
        <v>0</v>
      </c>
      <c r="AC62" s="189"/>
      <c r="AD62" s="189"/>
      <c r="AE62" s="183">
        <f t="shared" si="8"/>
        <v>5344051</v>
      </c>
      <c r="AF62" s="184">
        <f t="shared" si="9"/>
        <v>0</v>
      </c>
      <c r="AG62" s="95">
        <f t="shared" si="7"/>
        <v>0</v>
      </c>
      <c r="AI62" s="199">
        <f>'[15]HARVESTING KHT'!$AL21</f>
        <v>5167475.2300000004</v>
      </c>
      <c r="AJ62" s="200">
        <f t="shared" si="0"/>
        <v>176576</v>
      </c>
      <c r="AK62" s="199">
        <f t="shared" si="4"/>
        <v>5344051.2300000004</v>
      </c>
      <c r="AL62" s="201">
        <f t="shared" si="1"/>
        <v>0.23000000044703484</v>
      </c>
    </row>
    <row r="63" spans="2:38" s="173" customFormat="1" ht="24.75" customHeight="1">
      <c r="B63" s="174">
        <v>35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 t="shared" ref="K63:K77" si="10">31*121333.33</f>
        <v>3761333.23</v>
      </c>
      <c r="L63" s="169">
        <f t="shared" si="6"/>
        <v>30575.999999999996</v>
      </c>
      <c r="M63" s="189">
        <f>[15]TRANSPORT!$AH11</f>
        <v>146920</v>
      </c>
      <c r="N63" s="189">
        <f>[15]TRANSPORT!$S11</f>
        <v>139500</v>
      </c>
      <c r="O63" s="189">
        <f>[15]TRANSPORT!$V11</f>
        <v>75000</v>
      </c>
      <c r="P63" s="189">
        <f>[15]TRANSPORT!$Y11</f>
        <v>999421.85</v>
      </c>
      <c r="Q63" s="189">
        <f>[15]TRANSPORT!$Z11</f>
        <v>1481185</v>
      </c>
      <c r="R63" s="189"/>
      <c r="S63" s="189"/>
      <c r="T63" s="189"/>
      <c r="U63" s="189"/>
      <c r="V63" s="189"/>
      <c r="W63" s="189"/>
      <c r="X63" s="189">
        <f>[15]TRANSPORT!$X11</f>
        <v>33000</v>
      </c>
      <c r="Y63" s="189"/>
      <c r="Z63" s="189"/>
      <c r="AA63" s="189"/>
      <c r="AB63" s="189">
        <f>-[15]TRANSPORT!$AX11</f>
        <v>0</v>
      </c>
      <c r="AC63" s="189"/>
      <c r="AD63" s="189"/>
      <c r="AE63" s="183">
        <f t="shared" si="8"/>
        <v>6666936</v>
      </c>
      <c r="AF63" s="184">
        <f t="shared" si="9"/>
        <v>5.0000000000000001E-3</v>
      </c>
      <c r="AG63" s="95">
        <f>ROUNDDOWN(IF(E63=0,AE63*AF63*120%,AE63*AF63),0)</f>
        <v>33334</v>
      </c>
      <c r="AI63" s="199">
        <f>[15]TRANSPORT!$AC11</f>
        <v>6489440.0800000001</v>
      </c>
      <c r="AJ63" s="200">
        <f t="shared" si="0"/>
        <v>177496</v>
      </c>
      <c r="AK63" s="199">
        <f t="shared" si="4"/>
        <v>6666936.0800000001</v>
      </c>
      <c r="AL63" s="201">
        <f t="shared" si="1"/>
        <v>8.0000000074505806E-2</v>
      </c>
    </row>
    <row r="64" spans="2:38" s="173" customFormat="1" ht="24.75" customHeight="1">
      <c r="B64" s="174">
        <v>36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 t="shared" si="10"/>
        <v>3761333.23</v>
      </c>
      <c r="L64" s="169">
        <f t="shared" si="6"/>
        <v>30575.999999999996</v>
      </c>
      <c r="M64" s="189">
        <f>[15]TRANSPORT!$AH12</f>
        <v>147480</v>
      </c>
      <c r="N64" s="189">
        <f>[15]TRANSPORT!$S12</f>
        <v>156600</v>
      </c>
      <c r="O64" s="189">
        <f>[15]TRANSPORT!$V12</f>
        <v>50000</v>
      </c>
      <c r="P64" s="189">
        <f>[15]TRANSPORT!$Y12</f>
        <v>1030982.5399999999</v>
      </c>
      <c r="Q64" s="189">
        <f>[15]TRANSPORT!$Z12</f>
        <v>1188150</v>
      </c>
      <c r="R64" s="189"/>
      <c r="S64" s="189"/>
      <c r="T64" s="189"/>
      <c r="U64" s="189"/>
      <c r="V64" s="189"/>
      <c r="W64" s="189"/>
      <c r="X64" s="189">
        <f>[15]TRANSPORT!$X12</f>
        <v>47000</v>
      </c>
      <c r="Y64" s="189"/>
      <c r="Z64" s="189"/>
      <c r="AA64" s="189"/>
      <c r="AB64" s="189">
        <f>-[15]TRANSPORT!$AX12</f>
        <v>-242666.66</v>
      </c>
      <c r="AC64" s="189"/>
      <c r="AD64" s="189"/>
      <c r="AE64" s="183">
        <f t="shared" si="8"/>
        <v>6169455</v>
      </c>
      <c r="AF64" s="184">
        <f t="shared" si="9"/>
        <v>0</v>
      </c>
      <c r="AG64" s="95">
        <f t="shared" si="7"/>
        <v>0</v>
      </c>
      <c r="AI64" s="199">
        <f>[15]TRANSPORT!$AC12</f>
        <v>5991399.1099999994</v>
      </c>
      <c r="AJ64" s="200">
        <f t="shared" si="0"/>
        <v>178056</v>
      </c>
      <c r="AK64" s="199">
        <f t="shared" si="4"/>
        <v>6169455.1099999994</v>
      </c>
      <c r="AL64" s="201">
        <f t="shared" si="1"/>
        <v>0.10999999940395355</v>
      </c>
    </row>
    <row r="65" spans="2:38" s="173" customFormat="1" ht="24.75" customHeight="1">
      <c r="B65" s="174">
        <v>37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 t="shared" si="10"/>
        <v>3761333.23</v>
      </c>
      <c r="L65" s="169">
        <f t="shared" si="6"/>
        <v>30575.999999999996</v>
      </c>
      <c r="M65" s="189">
        <f>[15]TRANSPORT!$AH13</f>
        <v>148040</v>
      </c>
      <c r="N65" s="189">
        <f>[15]TRANSPORT!$S13</f>
        <v>130500</v>
      </c>
      <c r="O65" s="189">
        <f>[15]TRANSPORT!$V13</f>
        <v>72000</v>
      </c>
      <c r="P65" s="189">
        <f>[15]TRANSPORT!$Y13</f>
        <v>1146705.0699999998</v>
      </c>
      <c r="Q65" s="189">
        <f>[15]TRANSPORT!$Z13</f>
        <v>780165</v>
      </c>
      <c r="R65" s="189"/>
      <c r="S65" s="189"/>
      <c r="T65" s="189"/>
      <c r="U65" s="189"/>
      <c r="V65" s="189"/>
      <c r="W65" s="189"/>
      <c r="X65" s="189">
        <f>[15]TRANSPORT!$X13</f>
        <v>61000</v>
      </c>
      <c r="Y65" s="189"/>
      <c r="Z65" s="189"/>
      <c r="AA65" s="189"/>
      <c r="AB65" s="189">
        <f>-[15]TRANSPORT!$AX13</f>
        <v>-242666.66</v>
      </c>
      <c r="AC65" s="189"/>
      <c r="AD65" s="189"/>
      <c r="AE65" s="183">
        <f t="shared" si="8"/>
        <v>5887652</v>
      </c>
      <c r="AF65" s="184">
        <f t="shared" si="9"/>
        <v>0</v>
      </c>
      <c r="AG65" s="95">
        <f t="shared" si="7"/>
        <v>0</v>
      </c>
      <c r="AI65" s="199">
        <f>[15]TRANSPORT!$AC13</f>
        <v>5709036.6399999997</v>
      </c>
      <c r="AJ65" s="200">
        <f t="shared" si="0"/>
        <v>178616</v>
      </c>
      <c r="AK65" s="199">
        <f>AI65+AJ65+AD65</f>
        <v>5887652.6399999997</v>
      </c>
      <c r="AL65" s="201">
        <f t="shared" si="1"/>
        <v>0.63999999966472387</v>
      </c>
    </row>
    <row r="66" spans="2:38" s="173" customFormat="1" ht="24.75" customHeight="1">
      <c r="B66" s="174">
        <v>38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 t="shared" si="10"/>
        <v>3761333.23</v>
      </c>
      <c r="L66" s="169">
        <f t="shared" si="6"/>
        <v>30575.999999999996</v>
      </c>
      <c r="M66" s="189">
        <f>[15]TRANSPORT!$AH14</f>
        <v>146800</v>
      </c>
      <c r="N66" s="189">
        <f>[15]TRANSPORT!$S14</f>
        <v>162000</v>
      </c>
      <c r="O66" s="189">
        <f>[15]TRANSPORT!$V14</f>
        <v>50000</v>
      </c>
      <c r="P66" s="189">
        <f>[15]TRANSPORT!$Y14</f>
        <v>1220346.68</v>
      </c>
      <c r="Q66" s="189">
        <f>[15]TRANSPORT!$Z14</f>
        <v>986795</v>
      </c>
      <c r="R66" s="189"/>
      <c r="S66" s="189"/>
      <c r="T66" s="189"/>
      <c r="U66" s="189"/>
      <c r="V66" s="189"/>
      <c r="W66" s="189"/>
      <c r="X66" s="189">
        <f>[15]TRANSPORT!$X14</f>
        <v>30000</v>
      </c>
      <c r="Y66" s="189"/>
      <c r="Z66" s="189"/>
      <c r="AA66" s="189"/>
      <c r="AB66" s="189">
        <f>-[15]TRANSPORT!$AX14</f>
        <v>-121333.33</v>
      </c>
      <c r="AC66" s="189"/>
      <c r="AD66" s="189"/>
      <c r="AE66" s="183">
        <f>ROUNDDOWN(SUM(K66:AD66),0)</f>
        <v>6266517</v>
      </c>
      <c r="AF66" s="184">
        <f t="shared" si="9"/>
        <v>2.5000000000000001E-3</v>
      </c>
      <c r="AG66" s="95">
        <f t="shared" si="7"/>
        <v>15666</v>
      </c>
      <c r="AI66" s="199">
        <f>[15]TRANSPORT!$AC14</f>
        <v>6089141.5800000001</v>
      </c>
      <c r="AJ66" s="200">
        <f t="shared" si="0"/>
        <v>177376</v>
      </c>
      <c r="AK66" s="199">
        <f t="shared" si="4"/>
        <v>6266517.5800000001</v>
      </c>
      <c r="AL66" s="201">
        <f t="shared" si="1"/>
        <v>0.58000000007450581</v>
      </c>
    </row>
    <row r="67" spans="2:38" s="173" customFormat="1" ht="24.75" customHeight="1">
      <c r="B67" s="174">
        <v>39</v>
      </c>
      <c r="C67" s="271" t="s">
        <v>347</v>
      </c>
      <c r="D67" s="192" t="s">
        <v>359</v>
      </c>
      <c r="E67" s="195" t="s">
        <v>74</v>
      </c>
      <c r="F67" s="157" t="s">
        <v>357</v>
      </c>
      <c r="G67" s="272" t="s">
        <v>293</v>
      </c>
      <c r="H67" s="187" t="s">
        <v>39</v>
      </c>
      <c r="I67" s="188" t="s">
        <v>9</v>
      </c>
      <c r="J67" s="181" t="str">
        <f t="shared" si="2"/>
        <v>TER B</v>
      </c>
      <c r="K67" s="182">
        <f t="shared" si="10"/>
        <v>3761333.23</v>
      </c>
      <c r="L67" s="169">
        <f t="shared" si="6"/>
        <v>30575.999999999996</v>
      </c>
      <c r="M67" s="189">
        <f>'[15]HARVESTING KHT'!$AQ22</f>
        <v>146200</v>
      </c>
      <c r="N67" s="189">
        <f>'[15]HARVESTING KHT'!$U22</f>
        <v>139500</v>
      </c>
      <c r="O67" s="189"/>
      <c r="P67" s="189"/>
      <c r="Q67" s="189"/>
      <c r="R67" s="189">
        <f>'[15]HARVESTING KHT'!$AA22</f>
        <v>21135</v>
      </c>
      <c r="S67" s="189">
        <f>'[15]HARVESTING KHT'!$AB22</f>
        <v>240450</v>
      </c>
      <c r="T67" s="189">
        <f>'[15]HARVESTING KHT'!$AC22</f>
        <v>0</v>
      </c>
      <c r="U67" s="189"/>
      <c r="V67" s="189"/>
      <c r="W67" s="189"/>
      <c r="X67" s="189">
        <f>'[15]HARVESTING KHT'!$Z22</f>
        <v>15000</v>
      </c>
      <c r="Y67" s="189"/>
      <c r="Z67" s="189"/>
      <c r="AA67" s="189"/>
      <c r="AB67" s="189">
        <f>-'[15]HARVESTING KHT'!$BI22</f>
        <v>0</v>
      </c>
      <c r="AC67" s="189"/>
      <c r="AD67" s="189"/>
      <c r="AE67" s="183">
        <f t="shared" ref="AE67:AE77" si="11">ROUNDDOWN(SUM(K67:AD67),0)</f>
        <v>4354194</v>
      </c>
      <c r="AF67" s="184">
        <f>IF(J67="TER A",VLOOKUP(AE67,Ter_A,4,TRUE),IF(J67="TER B",VLOOKUP(AE67,Ter_B,4,TRUE),VLOOKUP(AE67,Ter_C,4,TRUE)))</f>
        <v>0</v>
      </c>
      <c r="AG67" s="95">
        <f t="shared" si="7"/>
        <v>0</v>
      </c>
      <c r="AI67" s="199">
        <f>'[15]HARVESTING KHT'!$AL22</f>
        <v>4177418.23</v>
      </c>
      <c r="AJ67" s="200">
        <f t="shared" si="0"/>
        <v>176776</v>
      </c>
      <c r="AK67" s="199">
        <f>AI67+AJ67+AD67</f>
        <v>4354194.2300000004</v>
      </c>
      <c r="AL67" s="201">
        <f t="shared" si="1"/>
        <v>0.23000000044703484</v>
      </c>
    </row>
    <row r="68" spans="2:38" s="173" customFormat="1" ht="24.75" customHeight="1">
      <c r="B68" s="174">
        <v>40</v>
      </c>
      <c r="C68" s="271" t="s">
        <v>348</v>
      </c>
      <c r="D68" s="192" t="s">
        <v>360</v>
      </c>
      <c r="E68" s="195" t="s">
        <v>74</v>
      </c>
      <c r="F68" s="157" t="s">
        <v>358</v>
      </c>
      <c r="G68" s="272" t="s">
        <v>293</v>
      </c>
      <c r="H68" s="187" t="s">
        <v>39</v>
      </c>
      <c r="I68" s="188" t="s">
        <v>9</v>
      </c>
      <c r="J68" s="181" t="str">
        <f t="shared" si="2"/>
        <v>TER B</v>
      </c>
      <c r="K68" s="182">
        <f t="shared" si="10"/>
        <v>3761333.23</v>
      </c>
      <c r="L68" s="169">
        <f t="shared" si="6"/>
        <v>30575.999999999996</v>
      </c>
      <c r="M68" s="189">
        <f>'[15]HARVESTING KHT'!$AQ23</f>
        <v>146100</v>
      </c>
      <c r="N68" s="189">
        <f>'[15]HARVESTING KHT'!$U23</f>
        <v>139500</v>
      </c>
      <c r="O68" s="189"/>
      <c r="P68" s="189"/>
      <c r="Q68" s="189"/>
      <c r="R68" s="189">
        <f>'[15]HARVESTING KHT'!$AA23</f>
        <v>54951</v>
      </c>
      <c r="S68" s="189">
        <f>'[15]HARVESTING KHT'!$AB23</f>
        <v>241500</v>
      </c>
      <c r="T68" s="189">
        <f>'[15]HARVESTING KHT'!$AC23</f>
        <v>0</v>
      </c>
      <c r="U68" s="189"/>
      <c r="V68" s="189"/>
      <c r="W68" s="189"/>
      <c r="X68" s="189">
        <f>'[15]HARVESTING KHT'!$Z23</f>
        <v>12500</v>
      </c>
      <c r="Y68" s="189"/>
      <c r="Z68" s="189"/>
      <c r="AA68" s="189"/>
      <c r="AB68" s="189">
        <f>-'[15]HARVESTING KHT'!$BI23</f>
        <v>0</v>
      </c>
      <c r="AC68" s="189"/>
      <c r="AD68" s="189"/>
      <c r="AE68" s="183">
        <f t="shared" si="11"/>
        <v>4386460</v>
      </c>
      <c r="AF68" s="184">
        <f t="shared" si="9"/>
        <v>0</v>
      </c>
      <c r="AG68" s="95">
        <f t="shared" si="7"/>
        <v>0</v>
      </c>
      <c r="AI68" s="199">
        <f>'[15]HARVESTING KHT'!$AL23</f>
        <v>4209784.2300000004</v>
      </c>
      <c r="AJ68" s="200">
        <f t="shared" si="0"/>
        <v>176676</v>
      </c>
      <c r="AK68" s="199">
        <f t="shared" si="4"/>
        <v>4386460.2300000004</v>
      </c>
      <c r="AL68" s="201">
        <f t="shared" si="1"/>
        <v>0.23000000044703484</v>
      </c>
    </row>
    <row r="69" spans="2:38" s="173" customFormat="1" ht="24.75" customHeight="1">
      <c r="B69" s="174">
        <v>41</v>
      </c>
      <c r="C69" s="271" t="s">
        <v>349</v>
      </c>
      <c r="D69" s="192" t="s">
        <v>361</v>
      </c>
      <c r="E69" s="195" t="s">
        <v>352</v>
      </c>
      <c r="F69" s="157" t="s">
        <v>362</v>
      </c>
      <c r="G69" s="272" t="s">
        <v>293</v>
      </c>
      <c r="H69" s="187" t="s">
        <v>39</v>
      </c>
      <c r="I69" s="188" t="s">
        <v>11</v>
      </c>
      <c r="J69" s="181" t="str">
        <f t="shared" si="2"/>
        <v>TER B</v>
      </c>
      <c r="K69" s="182">
        <f t="shared" si="10"/>
        <v>3761333.23</v>
      </c>
      <c r="L69" s="169">
        <f t="shared" si="6"/>
        <v>30575.999999999996</v>
      </c>
      <c r="M69" s="189">
        <f>'[15]HARVESTING KHT'!$AQ24</f>
        <v>146560</v>
      </c>
      <c r="N69" s="189">
        <f>'[15]HARVESTING KHT'!$U24</f>
        <v>162000</v>
      </c>
      <c r="O69" s="189"/>
      <c r="P69" s="189"/>
      <c r="Q69" s="189"/>
      <c r="R69" s="189">
        <f>'[15]HARVESTING KHT'!$AA24</f>
        <v>42756</v>
      </c>
      <c r="S69" s="189">
        <f>'[15]HARVESTING KHT'!$AB24</f>
        <v>204750</v>
      </c>
      <c r="T69" s="189">
        <f>'[15]HARVESTING KHT'!$AC24</f>
        <v>0</v>
      </c>
      <c r="U69" s="189"/>
      <c r="V69" s="189"/>
      <c r="W69" s="189"/>
      <c r="X69" s="189">
        <f>'[15]HARVESTING KHT'!$Z24</f>
        <v>24000</v>
      </c>
      <c r="Y69" s="189"/>
      <c r="Z69" s="189"/>
      <c r="AA69" s="189"/>
      <c r="AB69" s="189">
        <f>-'[15]HARVESTING KHT'!$BI24</f>
        <v>-121333.33</v>
      </c>
      <c r="AC69" s="189"/>
      <c r="AD69" s="189"/>
      <c r="AE69" s="183">
        <f t="shared" si="11"/>
        <v>4250641</v>
      </c>
      <c r="AF69" s="184">
        <f t="shared" si="9"/>
        <v>0</v>
      </c>
      <c r="AG69" s="95">
        <f t="shared" si="7"/>
        <v>0</v>
      </c>
      <c r="AI69" s="199">
        <f>'[15]HARVESTING KHT'!$AL24</f>
        <v>4073505.9</v>
      </c>
      <c r="AJ69" s="200">
        <f t="shared" si="0"/>
        <v>177136</v>
      </c>
      <c r="AK69" s="199">
        <f t="shared" si="4"/>
        <v>4250641.9000000004</v>
      </c>
      <c r="AL69" s="201">
        <f t="shared" si="1"/>
        <v>0.90000000037252903</v>
      </c>
    </row>
    <row r="70" spans="2:38" s="173" customFormat="1" ht="24.75" customHeight="1">
      <c r="B70" s="174">
        <v>42</v>
      </c>
      <c r="C70" s="271" t="s">
        <v>350</v>
      </c>
      <c r="D70" s="192" t="s">
        <v>363</v>
      </c>
      <c r="E70" s="195" t="s">
        <v>74</v>
      </c>
      <c r="F70" s="157" t="s">
        <v>364</v>
      </c>
      <c r="G70" s="272" t="s">
        <v>293</v>
      </c>
      <c r="H70" s="187" t="s">
        <v>39</v>
      </c>
      <c r="I70" s="188" t="s">
        <v>9</v>
      </c>
      <c r="J70" s="181" t="str">
        <f t="shared" si="2"/>
        <v>TER B</v>
      </c>
      <c r="K70" s="182">
        <f t="shared" si="10"/>
        <v>3761333.23</v>
      </c>
      <c r="L70" s="169">
        <f t="shared" si="6"/>
        <v>30575.999999999996</v>
      </c>
      <c r="M70" s="189">
        <f>'[15]HARVESTING KHT'!$AQ25</f>
        <v>146000</v>
      </c>
      <c r="N70" s="189">
        <f>'[15]HARVESTING KHT'!$U25</f>
        <v>139500</v>
      </c>
      <c r="O70" s="189"/>
      <c r="P70" s="189"/>
      <c r="Q70" s="189"/>
      <c r="R70" s="189">
        <f>'[15]HARVESTING KHT'!$AA25</f>
        <v>42756</v>
      </c>
      <c r="S70" s="189">
        <f>'[15]HARVESTING KHT'!$AB25</f>
        <v>210000</v>
      </c>
      <c r="T70" s="189">
        <f>'[15]HARVESTING KHT'!$AC25</f>
        <v>0</v>
      </c>
      <c r="U70" s="189"/>
      <c r="V70" s="189"/>
      <c r="W70" s="189"/>
      <c r="X70" s="189">
        <f>'[15]HARVESTING KHT'!$Z25</f>
        <v>10000</v>
      </c>
      <c r="Y70" s="189"/>
      <c r="Z70" s="189"/>
      <c r="AA70" s="189"/>
      <c r="AB70" s="189">
        <f>-'[15]HARVESTING KHT'!$BI25</f>
        <v>0</v>
      </c>
      <c r="AC70" s="189"/>
      <c r="AD70" s="189"/>
      <c r="AE70" s="183">
        <f t="shared" si="11"/>
        <v>4340165</v>
      </c>
      <c r="AF70" s="184">
        <f t="shared" si="9"/>
        <v>0</v>
      </c>
      <c r="AG70" s="95">
        <f t="shared" si="7"/>
        <v>0</v>
      </c>
      <c r="AI70" s="199">
        <f>'[15]HARVESTING KHT'!$AL25</f>
        <v>4163589.23</v>
      </c>
      <c r="AJ70" s="200">
        <f t="shared" ref="AJ70:AJ77" si="12">L70+M70</f>
        <v>176576</v>
      </c>
      <c r="AK70" s="199">
        <f t="shared" si="4"/>
        <v>4340165.2300000004</v>
      </c>
      <c r="AL70" s="201">
        <f t="shared" ref="AL70:AL77" si="13">AK70-AE70</f>
        <v>0.23000000044703484</v>
      </c>
    </row>
    <row r="71" spans="2:38" s="173" customFormat="1" ht="24.75" customHeight="1">
      <c r="B71" s="174">
        <v>43</v>
      </c>
      <c r="C71" s="271" t="s">
        <v>351</v>
      </c>
      <c r="D71" s="192" t="s">
        <v>365</v>
      </c>
      <c r="E71" s="195" t="s">
        <v>353</v>
      </c>
      <c r="F71" s="157" t="s">
        <v>366</v>
      </c>
      <c r="G71" s="272" t="s">
        <v>293</v>
      </c>
      <c r="H71" s="187" t="s">
        <v>39</v>
      </c>
      <c r="I71" s="188" t="s">
        <v>9</v>
      </c>
      <c r="J71" s="181" t="str">
        <f t="shared" si="2"/>
        <v>TER B</v>
      </c>
      <c r="K71" s="182">
        <f t="shared" si="10"/>
        <v>3761333.23</v>
      </c>
      <c r="L71" s="169">
        <f t="shared" si="6"/>
        <v>30575.999999999996</v>
      </c>
      <c r="M71" s="189">
        <f>'[15]HARVESTING KHT'!$AQ26</f>
        <v>147480</v>
      </c>
      <c r="N71" s="189">
        <f>'[15]HARVESTING KHT'!$U26</f>
        <v>130500</v>
      </c>
      <c r="O71" s="189"/>
      <c r="P71" s="189"/>
      <c r="Q71" s="189"/>
      <c r="R71" s="189">
        <f>'[15]HARVESTING KHT'!$AA26</f>
        <v>0</v>
      </c>
      <c r="S71" s="189">
        <f>'[15]HARVESTING KHT'!$AB26</f>
        <v>147000</v>
      </c>
      <c r="T71" s="189">
        <f>'[15]HARVESTING KHT'!$AC26</f>
        <v>0</v>
      </c>
      <c r="U71" s="189"/>
      <c r="V71" s="189"/>
      <c r="W71" s="189"/>
      <c r="X71" s="189">
        <f>'[15]HARVESTING KHT'!$Z26</f>
        <v>47000</v>
      </c>
      <c r="Y71" s="189"/>
      <c r="Z71" s="189"/>
      <c r="AA71" s="189"/>
      <c r="AB71" s="189">
        <f>-'[15]HARVESTING KHT'!$BI26</f>
        <v>-242666.66</v>
      </c>
      <c r="AC71" s="189"/>
      <c r="AD71" s="189"/>
      <c r="AE71" s="183">
        <f t="shared" si="11"/>
        <v>4021222</v>
      </c>
      <c r="AF71" s="184">
        <f t="shared" si="9"/>
        <v>0</v>
      </c>
      <c r="AG71" s="95">
        <f t="shared" si="7"/>
        <v>0</v>
      </c>
      <c r="AI71" s="199">
        <f>'[15]HARVESTING KHT'!$AL26</f>
        <v>3843166.57</v>
      </c>
      <c r="AJ71" s="200">
        <f t="shared" si="12"/>
        <v>178056</v>
      </c>
      <c r="AK71" s="199">
        <f t="shared" ref="AK71:AK77" si="14">AI71+AJ71+AD71</f>
        <v>4021222.57</v>
      </c>
      <c r="AL71" s="201">
        <f t="shared" si="13"/>
        <v>0.56999999983236194</v>
      </c>
    </row>
    <row r="72" spans="2:38" s="173" customFormat="1" ht="24.75" customHeight="1">
      <c r="B72" s="174">
        <v>44</v>
      </c>
      <c r="C72" s="271" t="s">
        <v>369</v>
      </c>
      <c r="D72" s="192" t="s">
        <v>374</v>
      </c>
      <c r="E72" s="195" t="s">
        <v>375</v>
      </c>
      <c r="F72" s="157" t="s">
        <v>376</v>
      </c>
      <c r="G72" s="272" t="s">
        <v>293</v>
      </c>
      <c r="H72" s="187" t="s">
        <v>39</v>
      </c>
      <c r="I72" s="188" t="s">
        <v>11</v>
      </c>
      <c r="J72" s="181" t="str">
        <f t="shared" si="2"/>
        <v>TER B</v>
      </c>
      <c r="K72" s="182">
        <f t="shared" si="10"/>
        <v>3761333.23</v>
      </c>
      <c r="L72" s="169">
        <f t="shared" ref="L72:L77" si="15">3640000*0.84%</f>
        <v>30575.999999999996</v>
      </c>
      <c r="M72" s="189">
        <f>'[15]HARVESTING KHT'!$AQ27</f>
        <v>148040</v>
      </c>
      <c r="N72" s="189">
        <f>'[15]HARVESTING KHT'!$U27</f>
        <v>162000</v>
      </c>
      <c r="O72" s="189"/>
      <c r="P72" s="189"/>
      <c r="Q72" s="189"/>
      <c r="R72" s="189">
        <f>'[15]HARVESTING KHT'!$AA27</f>
        <v>0</v>
      </c>
      <c r="S72" s="189">
        <f>'[15]HARVESTING KHT'!$AB27</f>
        <v>155400</v>
      </c>
      <c r="T72" s="189">
        <f>'[15]HARVESTING KHT'!$AC27</f>
        <v>0</v>
      </c>
      <c r="U72" s="189"/>
      <c r="V72" s="189"/>
      <c r="W72" s="189"/>
      <c r="X72" s="189">
        <f>'[15]HARVESTING KHT'!$Z27</f>
        <v>61000</v>
      </c>
      <c r="Y72" s="189"/>
      <c r="Z72" s="189"/>
      <c r="AA72" s="189"/>
      <c r="AB72" s="189">
        <f>-'[15]HARVESTING KHT'!$BI27</f>
        <v>-121333.33</v>
      </c>
      <c r="AC72" s="189"/>
      <c r="AD72" s="189"/>
      <c r="AE72" s="183">
        <f t="shared" si="11"/>
        <v>4197015</v>
      </c>
      <c r="AF72" s="184">
        <f t="shared" si="9"/>
        <v>0</v>
      </c>
      <c r="AG72" s="95">
        <f t="shared" ref="AG72:AG77" si="16">ROUNDDOWN(IF(E72=0,AE72*AF72*120%,AE72*AF72),0)</f>
        <v>0</v>
      </c>
      <c r="AI72" s="199">
        <f>'[15]HARVESTING KHT'!$AL27</f>
        <v>4018399.9</v>
      </c>
      <c r="AJ72" s="200">
        <f t="shared" si="12"/>
        <v>178616</v>
      </c>
      <c r="AK72" s="199">
        <f t="shared" si="14"/>
        <v>4197015.9000000004</v>
      </c>
      <c r="AL72" s="201">
        <f t="shared" si="13"/>
        <v>0.90000000037252903</v>
      </c>
    </row>
    <row r="73" spans="2:38" s="173" customFormat="1" ht="24.75" customHeight="1">
      <c r="B73" s="174">
        <v>45</v>
      </c>
      <c r="C73" s="271" t="s">
        <v>370</v>
      </c>
      <c r="D73" s="192" t="s">
        <v>377</v>
      </c>
      <c r="E73" s="195" t="s">
        <v>378</v>
      </c>
      <c r="F73" s="157" t="s">
        <v>379</v>
      </c>
      <c r="G73" s="272" t="s">
        <v>293</v>
      </c>
      <c r="H73" s="187" t="s">
        <v>39</v>
      </c>
      <c r="I73" s="188" t="s">
        <v>9</v>
      </c>
      <c r="J73" s="181" t="str">
        <f>IF(ISBLANK(I73),"",IF(OR(I73="TK/0",I73="TK/1",I73="K/0"),"TER A",IF(I73="K/3","TER C","TER B")))</f>
        <v>TER B</v>
      </c>
      <c r="K73" s="182">
        <f t="shared" si="10"/>
        <v>3761333.23</v>
      </c>
      <c r="L73" s="169">
        <f t="shared" si="15"/>
        <v>30575.999999999996</v>
      </c>
      <c r="M73" s="189">
        <f>'[15]HARVESTING KHT'!$AQ28</f>
        <v>146920</v>
      </c>
      <c r="N73" s="189">
        <f>'[15]HARVESTING KHT'!$U28</f>
        <v>139500</v>
      </c>
      <c r="O73" s="189"/>
      <c r="P73" s="189"/>
      <c r="Q73" s="189"/>
      <c r="R73" s="189">
        <f>'[15]HARVESTING KHT'!$AA28</f>
        <v>0</v>
      </c>
      <c r="S73" s="189">
        <f>'[15]HARVESTING KHT'!$AB28</f>
        <v>134400</v>
      </c>
      <c r="T73" s="189">
        <f>'[15]HARVESTING KHT'!$AC28</f>
        <v>0</v>
      </c>
      <c r="U73" s="189"/>
      <c r="V73" s="189"/>
      <c r="W73" s="189"/>
      <c r="X73" s="189">
        <f>'[15]HARVESTING KHT'!$Z28</f>
        <v>33000</v>
      </c>
      <c r="Y73" s="189"/>
      <c r="Z73" s="189"/>
      <c r="AA73" s="189"/>
      <c r="AB73" s="189">
        <f>-'[15]HARVESTING KHT'!$BI28</f>
        <v>0</v>
      </c>
      <c r="AC73" s="189"/>
      <c r="AD73" s="189"/>
      <c r="AE73" s="183">
        <f t="shared" si="11"/>
        <v>4245729</v>
      </c>
      <c r="AF73" s="184">
        <f t="shared" si="9"/>
        <v>0</v>
      </c>
      <c r="AG73" s="95">
        <f t="shared" si="16"/>
        <v>0</v>
      </c>
      <c r="AI73" s="199">
        <f>'[15]HARVESTING KHT'!$AL28</f>
        <v>4068233.23</v>
      </c>
      <c r="AJ73" s="200">
        <f t="shared" si="12"/>
        <v>177496</v>
      </c>
      <c r="AK73" s="199">
        <f t="shared" si="14"/>
        <v>4245729.2300000004</v>
      </c>
      <c r="AL73" s="201">
        <f t="shared" si="13"/>
        <v>0.23000000044703484</v>
      </c>
    </row>
    <row r="74" spans="2:38" s="173" customFormat="1" ht="24.75" customHeight="1">
      <c r="B74" s="174">
        <v>46</v>
      </c>
      <c r="C74" s="271" t="s">
        <v>371</v>
      </c>
      <c r="D74" s="192" t="s">
        <v>380</v>
      </c>
      <c r="E74" s="195" t="s">
        <v>381</v>
      </c>
      <c r="F74" s="157" t="s">
        <v>78</v>
      </c>
      <c r="G74" s="272" t="s">
        <v>293</v>
      </c>
      <c r="H74" s="187" t="s">
        <v>39</v>
      </c>
      <c r="I74" s="188" t="s">
        <v>9</v>
      </c>
      <c r="J74" s="181" t="str">
        <f>IF(ISBLANK(I74),"",IF(OR(I74="TK/0",I74="TK/1",I74="K/0"),"TER A",IF(I74="K/3","TER C","TER B")))</f>
        <v>TER B</v>
      </c>
      <c r="K74" s="182">
        <f t="shared" si="10"/>
        <v>3761333.23</v>
      </c>
      <c r="L74" s="169">
        <f t="shared" si="15"/>
        <v>30575.999999999996</v>
      </c>
      <c r="M74" s="189">
        <f>'[15]HARVESTING KHT'!$AQ29</f>
        <v>146560</v>
      </c>
      <c r="N74" s="189">
        <f>'[15]HARVESTING KHT'!$U29</f>
        <v>94500</v>
      </c>
      <c r="O74" s="189"/>
      <c r="P74" s="189"/>
      <c r="Q74" s="189"/>
      <c r="R74" s="189">
        <f>'[15]HARVESTING KHT'!$AA29</f>
        <v>0</v>
      </c>
      <c r="S74" s="189">
        <f>'[15]HARVESTING KHT'!$AB29</f>
        <v>161700</v>
      </c>
      <c r="T74" s="189">
        <f>'[15]HARVESTING KHT'!$AC29</f>
        <v>0</v>
      </c>
      <c r="U74" s="189"/>
      <c r="V74" s="189"/>
      <c r="W74" s="189"/>
      <c r="X74" s="189">
        <f>'[15]HARVESTING KHT'!$Z29</f>
        <v>24000</v>
      </c>
      <c r="Y74" s="189"/>
      <c r="Z74" s="189"/>
      <c r="AA74" s="189"/>
      <c r="AB74" s="189">
        <f>-'[15]HARVESTING KHT'!$BI29</f>
        <v>-121333.33</v>
      </c>
      <c r="AC74" s="189"/>
      <c r="AD74" s="189"/>
      <c r="AE74" s="183">
        <f t="shared" si="11"/>
        <v>4097335</v>
      </c>
      <c r="AF74" s="184">
        <f t="shared" si="9"/>
        <v>0</v>
      </c>
      <c r="AG74" s="95">
        <f t="shared" si="16"/>
        <v>0</v>
      </c>
      <c r="AI74" s="199">
        <f>'[15]HARVESTING KHT'!$AL29</f>
        <v>3920199.9</v>
      </c>
      <c r="AJ74" s="200">
        <f t="shared" si="12"/>
        <v>177136</v>
      </c>
      <c r="AK74" s="199">
        <f t="shared" si="14"/>
        <v>4097335.9</v>
      </c>
      <c r="AL74" s="201">
        <f t="shared" si="13"/>
        <v>0.89999999990686774</v>
      </c>
    </row>
    <row r="75" spans="2:38" s="173" customFormat="1" ht="24.75" customHeight="1">
      <c r="B75" s="174">
        <v>47</v>
      </c>
      <c r="C75" s="271" t="s">
        <v>372</v>
      </c>
      <c r="D75" s="192" t="s">
        <v>382</v>
      </c>
      <c r="E75" s="195" t="s">
        <v>383</v>
      </c>
      <c r="F75" s="157" t="s">
        <v>384</v>
      </c>
      <c r="G75" s="272" t="s">
        <v>293</v>
      </c>
      <c r="H75" s="187" t="s">
        <v>39</v>
      </c>
      <c r="I75" s="188" t="s">
        <v>9</v>
      </c>
      <c r="J75" s="181" t="str">
        <f>IF(ISBLANK(I75),"",IF(OR(I75="TK/0",I75="TK/1",I75="K/0"),"TER A",IF(I75="K/3","TER C","TER B")))</f>
        <v>TER B</v>
      </c>
      <c r="K75" s="182">
        <f t="shared" si="10"/>
        <v>3761333.23</v>
      </c>
      <c r="L75" s="169">
        <f t="shared" si="15"/>
        <v>30575.999999999996</v>
      </c>
      <c r="M75" s="189">
        <f>'[15]HARVESTING KHT'!$AQ30</f>
        <v>146560</v>
      </c>
      <c r="N75" s="189">
        <f>'[15]HARVESTING KHT'!$U30</f>
        <v>117450</v>
      </c>
      <c r="O75" s="189"/>
      <c r="P75" s="189"/>
      <c r="Q75" s="189"/>
      <c r="R75" s="189">
        <f>'[15]HARVESTING KHT'!$AA30</f>
        <v>0</v>
      </c>
      <c r="S75" s="189">
        <f>'[15]HARVESTING KHT'!$AB30</f>
        <v>131250</v>
      </c>
      <c r="T75" s="189">
        <f>'[15]HARVESTING KHT'!$AC30</f>
        <v>0</v>
      </c>
      <c r="U75" s="189"/>
      <c r="V75" s="189"/>
      <c r="W75" s="189"/>
      <c r="X75" s="189">
        <f>'[15]HARVESTING KHT'!$Z30</f>
        <v>24000</v>
      </c>
      <c r="Y75" s="189"/>
      <c r="Z75" s="189"/>
      <c r="AA75" s="189"/>
      <c r="AB75" s="189">
        <f>-'[15]HARVESTING KHT'!$BI30</f>
        <v>-242666.66</v>
      </c>
      <c r="AC75" s="189"/>
      <c r="AD75" s="189"/>
      <c r="AE75" s="183">
        <f t="shared" si="11"/>
        <v>3968502</v>
      </c>
      <c r="AF75" s="184">
        <f t="shared" si="9"/>
        <v>0</v>
      </c>
      <c r="AG75" s="95">
        <f t="shared" si="16"/>
        <v>0</v>
      </c>
      <c r="AI75" s="199">
        <f>'[15]HARVESTING KHT'!$AL30</f>
        <v>3791366.5700000003</v>
      </c>
      <c r="AJ75" s="200">
        <f t="shared" si="12"/>
        <v>177136</v>
      </c>
      <c r="AK75" s="199">
        <f t="shared" si="14"/>
        <v>3968502.5700000003</v>
      </c>
      <c r="AL75" s="201">
        <f t="shared" si="13"/>
        <v>0.57000000029802322</v>
      </c>
    </row>
    <row r="76" spans="2:38" s="173" customFormat="1" ht="24.75" customHeight="1">
      <c r="B76" s="174">
        <v>48</v>
      </c>
      <c r="C76" s="271" t="s">
        <v>373</v>
      </c>
      <c r="D76" s="192" t="s">
        <v>385</v>
      </c>
      <c r="E76" s="195" t="s">
        <v>386</v>
      </c>
      <c r="F76" s="157" t="s">
        <v>387</v>
      </c>
      <c r="G76" s="272" t="s">
        <v>293</v>
      </c>
      <c r="H76" s="187" t="s">
        <v>39</v>
      </c>
      <c r="I76" s="188" t="s">
        <v>9</v>
      </c>
      <c r="J76" s="181" t="str">
        <f>IF(ISBLANK(I76),"",IF(OR(I76="TK/0",I76="TK/1",I76="K/0"),"TER A",IF(I76="K/3","TER C","TER B")))</f>
        <v>TER B</v>
      </c>
      <c r="K76" s="182">
        <f t="shared" si="10"/>
        <v>3761333.23</v>
      </c>
      <c r="L76" s="169">
        <f t="shared" si="15"/>
        <v>30575.999999999996</v>
      </c>
      <c r="M76" s="189">
        <f>'[15]HARVESTING KHT'!$AQ31</f>
        <v>146680</v>
      </c>
      <c r="N76" s="189">
        <f>'[15]HARVESTING KHT'!$U31</f>
        <v>130500</v>
      </c>
      <c r="O76" s="189"/>
      <c r="P76" s="189"/>
      <c r="Q76" s="189"/>
      <c r="R76" s="189">
        <f>'[15]HARVESTING KHT'!$AA31</f>
        <v>0</v>
      </c>
      <c r="S76" s="189">
        <f>'[15]HARVESTING KHT'!$AB31</f>
        <v>123900</v>
      </c>
      <c r="T76" s="189">
        <f>'[15]HARVESTING KHT'!$AC31</f>
        <v>0</v>
      </c>
      <c r="U76" s="189"/>
      <c r="V76" s="189"/>
      <c r="W76" s="189"/>
      <c r="X76" s="189">
        <f>'[15]HARVESTING KHT'!$Z31</f>
        <v>27000</v>
      </c>
      <c r="Y76" s="189"/>
      <c r="Z76" s="189"/>
      <c r="AA76" s="189"/>
      <c r="AB76" s="189">
        <f>-'[15]HARVESTING KHT'!$BI31</f>
        <v>-242666.66</v>
      </c>
      <c r="AC76" s="189"/>
      <c r="AD76" s="189"/>
      <c r="AE76" s="183">
        <f t="shared" si="11"/>
        <v>3977322</v>
      </c>
      <c r="AF76" s="184">
        <f t="shared" si="9"/>
        <v>0</v>
      </c>
      <c r="AG76" s="95">
        <f t="shared" si="16"/>
        <v>0</v>
      </c>
      <c r="AI76" s="199">
        <f>'[15]HARVESTING KHT'!$AL31</f>
        <v>3800066.57</v>
      </c>
      <c r="AJ76" s="200">
        <f t="shared" si="12"/>
        <v>177256</v>
      </c>
      <c r="AK76" s="199">
        <f t="shared" si="14"/>
        <v>3977322.57</v>
      </c>
      <c r="AL76" s="201">
        <f t="shared" si="13"/>
        <v>0.56999999983236194</v>
      </c>
    </row>
    <row r="77" spans="2:38" s="173" customFormat="1" ht="24.75" customHeight="1" thickBot="1">
      <c r="B77" s="174">
        <v>49</v>
      </c>
      <c r="C77" s="273" t="s">
        <v>354</v>
      </c>
      <c r="D77" s="280" t="s">
        <v>367</v>
      </c>
      <c r="E77" s="274" t="s">
        <v>355</v>
      </c>
      <c r="F77" s="275" t="s">
        <v>368</v>
      </c>
      <c r="G77" s="276" t="s">
        <v>185</v>
      </c>
      <c r="H77" s="277" t="s">
        <v>38</v>
      </c>
      <c r="I77" s="278" t="s">
        <v>7</v>
      </c>
      <c r="J77" s="181" t="str">
        <f>IF(ISBLANK(I77),"",IF(OR(I77="TK/0",I77="TK/1",I77="K/0"),"TER A",IF(I77="K/3","TER C","TER B")))</f>
        <v>TER A</v>
      </c>
      <c r="K77" s="182">
        <f t="shared" si="10"/>
        <v>3761333.23</v>
      </c>
      <c r="L77" s="169">
        <f t="shared" si="15"/>
        <v>30575.999999999996</v>
      </c>
      <c r="M77" s="279">
        <f>[15]MAINTENANCE!$AK32</f>
        <v>146680</v>
      </c>
      <c r="N77" s="189">
        <f>[15]MAINTENANCE!$W32</f>
        <v>69750</v>
      </c>
      <c r="O77" s="279"/>
      <c r="P77" s="279">
        <f>[15]MAINTENANCE!$AE32</f>
        <v>873179.09</v>
      </c>
      <c r="Q77" s="279"/>
      <c r="R77" s="279"/>
      <c r="S77" s="279"/>
      <c r="T77" s="279"/>
      <c r="U77" s="279"/>
      <c r="V77" s="279"/>
      <c r="W77" s="279"/>
      <c r="X77" s="189">
        <f>[15]MAINTENANCE!$AB32</f>
        <v>27000</v>
      </c>
      <c r="Y77" s="279"/>
      <c r="Z77" s="279"/>
      <c r="AA77" s="279"/>
      <c r="AB77" s="189">
        <f>-[15]MAINTENANCE!$BA$32</f>
        <v>0</v>
      </c>
      <c r="AC77" s="279"/>
      <c r="AD77" s="279"/>
      <c r="AE77" s="183">
        <f t="shared" si="11"/>
        <v>4908518</v>
      </c>
      <c r="AF77" s="184">
        <f t="shared" si="9"/>
        <v>0</v>
      </c>
      <c r="AG77" s="95">
        <f t="shared" si="16"/>
        <v>0</v>
      </c>
      <c r="AI77" s="199">
        <f>[15]MAINTENANCE!$AF32</f>
        <v>4731262.32</v>
      </c>
      <c r="AJ77" s="200">
        <f t="shared" si="12"/>
        <v>177256</v>
      </c>
      <c r="AK77" s="199">
        <f t="shared" si="14"/>
        <v>4908518.32</v>
      </c>
      <c r="AL77" s="201">
        <f t="shared" si="13"/>
        <v>0.32000000029802322</v>
      </c>
    </row>
    <row r="78" spans="2:38" s="59" customFormat="1" ht="22.15" customHeight="1" thickBot="1">
      <c r="B78" s="132"/>
      <c r="C78" s="133"/>
      <c r="D78" s="133"/>
      <c r="E78" s="133"/>
      <c r="F78" s="133"/>
      <c r="G78" s="133"/>
      <c r="H78" s="133"/>
      <c r="I78" s="133"/>
      <c r="J78" s="133"/>
      <c r="K78" s="196">
        <f>SUM(K6:K77)</f>
        <v>182152328.32999992</v>
      </c>
      <c r="L78" s="196">
        <f t="shared" ref="L78:AG78" si="17">SUM(L6:L77)</f>
        <v>1498475.9999999998</v>
      </c>
      <c r="M78" s="196">
        <f t="shared" si="17"/>
        <v>7199920</v>
      </c>
      <c r="N78" s="196">
        <f t="shared" si="17"/>
        <v>5409450</v>
      </c>
      <c r="O78" s="196">
        <f>SUM(O6:O77)</f>
        <v>422000</v>
      </c>
      <c r="P78" s="196">
        <f t="shared" si="17"/>
        <v>9731212.7499999981</v>
      </c>
      <c r="Q78" s="196">
        <f t="shared" si="17"/>
        <v>4436295</v>
      </c>
      <c r="R78" s="196">
        <f t="shared" si="17"/>
        <v>2998752</v>
      </c>
      <c r="S78" s="196">
        <f t="shared" si="17"/>
        <v>4081350</v>
      </c>
      <c r="T78" s="196">
        <f t="shared" si="17"/>
        <v>1930500</v>
      </c>
      <c r="U78" s="196">
        <f t="shared" si="17"/>
        <v>0</v>
      </c>
      <c r="V78" s="196">
        <f t="shared" si="17"/>
        <v>1079896</v>
      </c>
      <c r="W78" s="196">
        <f t="shared" si="17"/>
        <v>0</v>
      </c>
      <c r="X78" s="196">
        <f t="shared" si="17"/>
        <v>1608000</v>
      </c>
      <c r="Y78" s="196">
        <f t="shared" si="17"/>
        <v>0</v>
      </c>
      <c r="Z78" s="196">
        <f t="shared" si="17"/>
        <v>0</v>
      </c>
      <c r="AA78" s="196">
        <f t="shared" si="17"/>
        <v>0</v>
      </c>
      <c r="AB78" s="196">
        <f t="shared" si="17"/>
        <v>-3761333.2300000009</v>
      </c>
      <c r="AC78" s="196">
        <f t="shared" si="17"/>
        <v>0</v>
      </c>
      <c r="AD78" s="196">
        <f t="shared" si="17"/>
        <v>0</v>
      </c>
      <c r="AE78" s="196">
        <f t="shared" si="17"/>
        <v>218786827</v>
      </c>
      <c r="AF78" s="196">
        <f t="shared" si="17"/>
        <v>1.2500000000000001E-2</v>
      </c>
      <c r="AG78" s="196">
        <f t="shared" si="17"/>
        <v>77817</v>
      </c>
      <c r="AI78" s="202">
        <f>SUM(AI6:AI77)</f>
        <v>210088450.84999996</v>
      </c>
      <c r="AJ78" s="202">
        <f>SUM(AJ6:AJ77)</f>
        <v>8698396</v>
      </c>
      <c r="AK78" s="202">
        <f>SUM(AK6:AK77)</f>
        <v>218786846.84999996</v>
      </c>
      <c r="AL78" s="202">
        <f>SUM(AL6:AL77)</f>
        <v>19.85000000661239</v>
      </c>
    </row>
    <row r="79" spans="2:38" ht="9.75" customHeight="1">
      <c r="AK79" s="217"/>
    </row>
    <row r="80" spans="2:38" ht="13.5" hidden="1" customHeight="1">
      <c r="B80" s="58" t="s">
        <v>47</v>
      </c>
      <c r="M80" s="62"/>
      <c r="N80" s="62"/>
      <c r="O80" s="62"/>
      <c r="P80" s="62"/>
      <c r="Q80" s="62"/>
      <c r="R80" s="62"/>
      <c r="S80" s="62"/>
    </row>
    <row r="81" spans="2:55" ht="13.5" hidden="1" customHeight="1">
      <c r="B81" s="27" t="s">
        <v>48</v>
      </c>
      <c r="M81" s="62"/>
      <c r="N81" s="62"/>
      <c r="O81" s="62"/>
      <c r="P81" s="62"/>
      <c r="Q81" s="62"/>
      <c r="R81" s="62"/>
      <c r="S81" s="62"/>
    </row>
    <row r="82" spans="2:55" ht="13.5" hidden="1" customHeight="1">
      <c r="B82" s="27" t="s">
        <v>56</v>
      </c>
      <c r="M82" s="62"/>
      <c r="N82" s="62"/>
      <c r="O82" s="62"/>
      <c r="P82" s="62"/>
      <c r="Q82" s="62"/>
      <c r="R82" s="62"/>
      <c r="S82" s="62"/>
    </row>
    <row r="83" spans="2:55" ht="13.5" hidden="1" customHeight="1">
      <c r="B83" s="27" t="s">
        <v>49</v>
      </c>
      <c r="M83" s="62"/>
      <c r="N83" s="62"/>
      <c r="O83" s="62"/>
      <c r="P83" s="62"/>
      <c r="Q83" s="62"/>
      <c r="R83" s="62"/>
      <c r="S83" s="62"/>
    </row>
    <row r="84" spans="2:55" s="33" customFormat="1" ht="13.5" hidden="1" customHeight="1">
      <c r="B84" s="27" t="s">
        <v>57</v>
      </c>
      <c r="C84" s="28"/>
      <c r="D84" s="286"/>
      <c r="E84" s="30"/>
      <c r="F84" s="28"/>
      <c r="G84" s="31"/>
      <c r="H84" s="32"/>
      <c r="I84" s="32"/>
      <c r="J84" s="32"/>
      <c r="K84" s="28"/>
      <c r="L84" s="28"/>
      <c r="M84" s="62"/>
      <c r="N84" s="62"/>
      <c r="O84" s="62"/>
      <c r="P84" s="62"/>
      <c r="Q84" s="62"/>
      <c r="R84" s="62"/>
      <c r="S84" s="62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90"/>
      <c r="AG84" s="9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</row>
    <row r="85" spans="2:55" s="33" customFormat="1" ht="13.5" hidden="1" customHeight="1">
      <c r="B85" s="27" t="s">
        <v>50</v>
      </c>
      <c r="C85" s="28"/>
      <c r="D85" s="286"/>
      <c r="E85" s="30"/>
      <c r="F85" s="28"/>
      <c r="G85" s="31"/>
      <c r="H85" s="32"/>
      <c r="I85" s="32"/>
      <c r="J85" s="32"/>
      <c r="K85" s="28"/>
      <c r="L85" s="28"/>
      <c r="M85" s="62"/>
      <c r="N85" s="62"/>
      <c r="O85" s="62"/>
      <c r="P85" s="62"/>
      <c r="Q85" s="62"/>
      <c r="R85" s="62"/>
      <c r="S85" s="62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90"/>
      <c r="AG85" s="9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</row>
    <row r="86" spans="2:55" s="33" customFormat="1" ht="13.5" hidden="1" customHeight="1">
      <c r="B86" s="27" t="s">
        <v>51</v>
      </c>
      <c r="C86" s="28"/>
      <c r="D86" s="286"/>
      <c r="E86" s="30"/>
      <c r="F86" s="28"/>
      <c r="G86" s="31"/>
      <c r="H86" s="32"/>
      <c r="I86" s="32"/>
      <c r="J86" s="32"/>
      <c r="K86" s="28"/>
      <c r="L86" s="28"/>
      <c r="M86" s="62"/>
      <c r="N86" s="62"/>
      <c r="O86" s="62"/>
      <c r="P86" s="62"/>
      <c r="Q86" s="62"/>
      <c r="R86" s="62"/>
      <c r="S86" s="62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90"/>
      <c r="AG86" s="9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</row>
    <row r="87" spans="2:55" s="33" customFormat="1" ht="13.5" hidden="1" customHeight="1">
      <c r="B87" s="27" t="s">
        <v>52</v>
      </c>
      <c r="C87" s="28"/>
      <c r="D87" s="286"/>
      <c r="E87" s="30"/>
      <c r="F87" s="28"/>
      <c r="G87" s="31"/>
      <c r="H87" s="32"/>
      <c r="I87" s="32"/>
      <c r="J87" s="32"/>
      <c r="K87" s="28"/>
      <c r="L87" s="28"/>
      <c r="M87" s="62"/>
      <c r="N87" s="62"/>
      <c r="O87" s="62"/>
      <c r="P87" s="62"/>
      <c r="Q87" s="62"/>
      <c r="R87" s="62"/>
      <c r="S87" s="62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90"/>
      <c r="AG87" s="9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</row>
    <row r="88" spans="2:55" s="33" customFormat="1" ht="13.5" hidden="1" customHeight="1">
      <c r="B88" s="27" t="s">
        <v>58</v>
      </c>
      <c r="C88" s="28"/>
      <c r="D88" s="286"/>
      <c r="E88" s="30"/>
      <c r="F88" s="28"/>
      <c r="G88" s="31"/>
      <c r="H88" s="32"/>
      <c r="I88" s="32"/>
      <c r="J88" s="32"/>
      <c r="K88" s="28"/>
      <c r="L88" s="28"/>
      <c r="M88" s="62"/>
      <c r="N88" s="62"/>
      <c r="O88" s="62"/>
      <c r="P88" s="62"/>
      <c r="Q88" s="62"/>
      <c r="R88" s="62"/>
      <c r="S88" s="62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90"/>
      <c r="AG88" s="9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</row>
    <row r="89" spans="2:55" s="33" customFormat="1" ht="13.5" hidden="1" customHeight="1">
      <c r="B89" s="27" t="s">
        <v>59</v>
      </c>
      <c r="C89" s="28"/>
      <c r="D89" s="286"/>
      <c r="E89" s="30"/>
      <c r="F89" s="28"/>
      <c r="G89" s="31"/>
      <c r="H89" s="32"/>
      <c r="I89" s="32"/>
      <c r="J89" s="32"/>
      <c r="K89" s="28"/>
      <c r="L89" s="28"/>
      <c r="M89" s="62"/>
      <c r="N89" s="62"/>
      <c r="O89" s="62"/>
      <c r="P89" s="62"/>
      <c r="Q89" s="62"/>
      <c r="R89" s="62"/>
      <c r="S89" s="62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90"/>
      <c r="AG89" s="9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2:55" s="33" customFormat="1" ht="13.5" hidden="1" customHeight="1">
      <c r="B90" s="27" t="s">
        <v>65</v>
      </c>
      <c r="C90" s="28"/>
      <c r="D90" s="286"/>
      <c r="E90" s="30"/>
      <c r="F90" s="28"/>
      <c r="G90" s="31"/>
      <c r="H90" s="32"/>
      <c r="I90" s="32"/>
      <c r="J90" s="32"/>
      <c r="K90" s="28"/>
      <c r="L90" s="28"/>
      <c r="M90" s="62"/>
      <c r="N90" s="62"/>
      <c r="O90" s="62"/>
      <c r="P90" s="62"/>
      <c r="Q90" s="62"/>
      <c r="R90" s="62"/>
      <c r="S90" s="62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90"/>
      <c r="AG90" s="9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2:55" s="33" customFormat="1" ht="11.25" customHeight="1">
      <c r="B91" s="27"/>
      <c r="C91" s="28"/>
      <c r="D91" s="286"/>
      <c r="E91" s="30"/>
      <c r="F91" s="28"/>
      <c r="G91" s="31"/>
      <c r="H91" s="32"/>
      <c r="I91" s="32"/>
      <c r="J91" s="32"/>
      <c r="K91" s="286" t="s">
        <v>324</v>
      </c>
      <c r="L91" s="28"/>
      <c r="M91" s="62"/>
      <c r="N91" s="62"/>
      <c r="O91" s="62"/>
      <c r="P91" s="62"/>
      <c r="Q91" s="62"/>
      <c r="R91" s="62"/>
      <c r="S91" s="62"/>
      <c r="T91" s="28" t="s">
        <v>341</v>
      </c>
      <c r="U91" s="28"/>
      <c r="V91" s="28"/>
      <c r="W91" s="28"/>
      <c r="X91" s="28"/>
      <c r="Y91" s="28"/>
      <c r="Z91" s="28"/>
      <c r="AA91" s="28"/>
      <c r="AB91" s="457" t="s">
        <v>321</v>
      </c>
      <c r="AC91" s="457"/>
      <c r="AD91" s="457"/>
      <c r="AE91" s="457"/>
      <c r="AF91" s="90"/>
      <c r="AG91" s="90"/>
      <c r="AH91" s="60"/>
      <c r="AI91" s="60"/>
      <c r="AJ91" s="60"/>
      <c r="AK91" s="216">
        <f>AC78+AK78</f>
        <v>218786846.84999996</v>
      </c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2:55" ht="11.25" customHeight="1">
      <c r="AL92" s="216"/>
    </row>
    <row r="93" spans="2:55" ht="11.25" customHeight="1">
      <c r="AK93" s="216">
        <f>AK78-AL94</f>
        <v>218786827</v>
      </c>
      <c r="AL93" s="216"/>
    </row>
    <row r="94" spans="2:55" ht="11.25" customHeight="1">
      <c r="K94" s="287" t="s">
        <v>325</v>
      </c>
      <c r="T94" s="256"/>
      <c r="U94" s="256"/>
      <c r="AB94" s="458" t="s">
        <v>322</v>
      </c>
      <c r="AC94" s="458"/>
      <c r="AD94" s="458"/>
      <c r="AE94" s="458"/>
      <c r="AL94" s="216">
        <f>AK91-AE78</f>
        <v>19.849999964237213</v>
      </c>
    </row>
    <row r="95" spans="2:55">
      <c r="K95" s="286" t="s">
        <v>326</v>
      </c>
      <c r="T95" s="28" t="s">
        <v>343</v>
      </c>
      <c r="AB95" s="457" t="s">
        <v>323</v>
      </c>
      <c r="AC95" s="457"/>
      <c r="AD95" s="457"/>
      <c r="AE95" s="457"/>
    </row>
  </sheetData>
  <mergeCells count="3">
    <mergeCell ref="AB91:AE91"/>
    <mergeCell ref="AB94:AE94"/>
    <mergeCell ref="AB95:AE95"/>
  </mergeCells>
  <dataValidations disablePrompts="1" count="2">
    <dataValidation type="list" allowBlank="1" showInputMessage="1" showErrorMessage="1" sqref="I6:I77">
      <formula1>"TK/0,TK/1,TK/2,TK/3,K/0,K/1,K/2,K/3"</formula1>
    </dataValidation>
    <dataValidation type="list" allowBlank="1" showInputMessage="1" showErrorMessage="1" sqref="H6:H77">
      <formula1>"L,P"</formula1>
    </dataValidation>
  </dataValidations>
  <printOptions horizontalCentered="1"/>
  <pageMargins left="0" right="0.59055118110236227" top="0" bottom="0.39370078740157483" header="0.31496062992125984" footer="0.31496062992125984"/>
  <pageSetup paperSize="9" scale="4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00"/>
  <sheetViews>
    <sheetView zoomScaleNormal="100" zoomScaleSheetLayoutView="100" workbookViewId="0">
      <pane xSplit="3" topLeftCell="S1" activePane="topRight" state="frozen"/>
      <selection pane="topRight" activeCell="AE6" sqref="AE6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293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20" width="11.42578125" style="28" customWidth="1"/>
    <col min="21" max="21" width="9.85546875" style="28" hidden="1" customWidth="1"/>
    <col min="22" max="22" width="11" style="28" customWidth="1"/>
    <col min="23" max="23" width="9.7109375" style="28" hidden="1" customWidth="1"/>
    <col min="24" max="24" width="11.5703125" style="28" customWidth="1"/>
    <col min="25" max="25" width="9" style="28" hidden="1" customWidth="1"/>
    <col min="26" max="27" width="12.7109375" style="28" hidden="1" customWidth="1"/>
    <col min="28" max="28" width="11.85546875" style="28" customWidth="1"/>
    <col min="29" max="29" width="11.7109375" style="28" hidden="1" customWidth="1"/>
    <col min="30" max="30" width="10.85546875" style="28" hidden="1" customWidth="1"/>
    <col min="31" max="31" width="13.7109375" style="28" customWidth="1" collapsed="1"/>
    <col min="32" max="32" width="9.140625" style="90" customWidth="1"/>
    <col min="33" max="33" width="10.1406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" style="60" customWidth="1"/>
    <col min="39" max="16384" width="9.28515625" style="60"/>
  </cols>
  <sheetData>
    <row r="1" spans="2:40">
      <c r="B1" s="27" t="s">
        <v>72</v>
      </c>
    </row>
    <row r="2" spans="2:40">
      <c r="B2" s="27" t="s">
        <v>394</v>
      </c>
    </row>
    <row r="3" spans="2:40">
      <c r="B3" s="27" t="s">
        <v>99</v>
      </c>
    </row>
    <row r="4" spans="2:40" s="27" customFormat="1" ht="13.5" thickBot="1">
      <c r="C4" s="87" t="s">
        <v>40</v>
      </c>
      <c r="D4" s="293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0" s="27" customFormat="1" ht="47.25" customHeight="1" thickBot="1">
      <c r="B5" s="290" t="s">
        <v>64</v>
      </c>
      <c r="C5" s="290" t="s">
        <v>25</v>
      </c>
      <c r="D5" s="291" t="s">
        <v>26</v>
      </c>
      <c r="E5" s="292" t="s">
        <v>27</v>
      </c>
      <c r="F5" s="290" t="s">
        <v>28</v>
      </c>
      <c r="G5" s="289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288" t="s">
        <v>68</v>
      </c>
      <c r="M5" s="288" t="s">
        <v>69</v>
      </c>
      <c r="N5" s="288" t="s">
        <v>80</v>
      </c>
      <c r="O5" s="288" t="s">
        <v>81</v>
      </c>
      <c r="P5" s="288" t="s">
        <v>84</v>
      </c>
      <c r="Q5" s="145" t="s">
        <v>319</v>
      </c>
      <c r="R5" s="288" t="s">
        <v>309</v>
      </c>
      <c r="S5" s="288" t="s">
        <v>310</v>
      </c>
      <c r="T5" s="288" t="s">
        <v>320</v>
      </c>
      <c r="U5" s="288" t="s">
        <v>315</v>
      </c>
      <c r="V5" s="288" t="s">
        <v>311</v>
      </c>
      <c r="W5" s="288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0" s="173" customFormat="1" ht="24.75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30*122333.33</f>
        <v>3669999.9</v>
      </c>
      <c r="L6" s="168">
        <f>3670000*0.84%</f>
        <v>30827.999999999996</v>
      </c>
      <c r="M6" s="168">
        <f>[16]MAINTENANCE!$AK10</f>
        <v>148680</v>
      </c>
      <c r="N6" s="168">
        <f>[16]MAINTENANCE!$W10</f>
        <v>162000</v>
      </c>
      <c r="O6" s="168">
        <f>[16]MAINTENANCE!$Z10</f>
        <v>72000</v>
      </c>
      <c r="P6" s="168">
        <f>[16]MAINTENANCE!$AE10</f>
        <v>763699.44000000006</v>
      </c>
      <c r="Q6" s="169"/>
      <c r="R6" s="168"/>
      <c r="S6" s="168"/>
      <c r="T6" s="168"/>
      <c r="U6" s="168"/>
      <c r="V6" s="168"/>
      <c r="W6" s="168"/>
      <c r="X6" s="168">
        <f>[16]MAINTENANCE!$AB10</f>
        <v>47000</v>
      </c>
      <c r="Y6" s="169"/>
      <c r="Z6" s="169"/>
      <c r="AA6" s="169"/>
      <c r="AB6" s="168">
        <f>-[16]MAINTENANCE!$BA10</f>
        <v>0</v>
      </c>
      <c r="AC6" s="168"/>
      <c r="AD6" s="168"/>
      <c r="AE6" s="170">
        <f>ROUNDDOWN(SUM(K6:AD6),0)</f>
        <v>4894207</v>
      </c>
      <c r="AF6" s="171">
        <f>IF(J6="TER A",VLOOKUP(AE6,Ter_A,4,TRUE),IF(J6="TER B",VLOOKUP(AE6,Ter_B,4,TRUE),VLOOKUP(AE6,Ter_C,4,TRUE)))</f>
        <v>0</v>
      </c>
      <c r="AG6" s="94">
        <f>ROUNDDOWN(IF(E6=0,AE6*AF6*120%,AE6*AF6),0)</f>
        <v>0</v>
      </c>
      <c r="AI6" s="199">
        <f>[16]MAINTENANCE!$AF10</f>
        <v>4714699.34</v>
      </c>
      <c r="AJ6" s="200">
        <f t="shared" ref="AJ6:AJ69" si="0">L6+M6</f>
        <v>179508</v>
      </c>
      <c r="AK6" s="199">
        <f>AI6+AJ6+AD6</f>
        <v>4894207.34</v>
      </c>
      <c r="AL6" s="201">
        <f t="shared" ref="AL6:AL69" si="1">AK6-AE6</f>
        <v>0.33999999985098839</v>
      </c>
    </row>
    <row r="7" spans="2:40" s="173" customFormat="1" ht="24.75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72" si="2">IF(ISBLANK(I7),"",IF(OR(I7="TK/0",I7="TK/1",I7="K/0"),"TER A",IF(I7="K/3","TER C","TER B")))</f>
        <v>TER A</v>
      </c>
      <c r="K7" s="182">
        <f>30*121333.33</f>
        <v>3639999.9</v>
      </c>
      <c r="L7" s="169">
        <f>3640000*0.84%</f>
        <v>30575.999999999996</v>
      </c>
      <c r="M7" s="189">
        <f>[16]MAINTENANCE!$AK11</f>
        <v>146800</v>
      </c>
      <c r="N7" s="189">
        <f>[16]MAINTENANCE!$W11</f>
        <v>67500</v>
      </c>
      <c r="O7" s="189"/>
      <c r="P7" s="189">
        <f>[16]MAINTENANCE!$AE11</f>
        <v>0</v>
      </c>
      <c r="Q7" s="169"/>
      <c r="R7" s="169"/>
      <c r="S7" s="169"/>
      <c r="T7" s="169"/>
      <c r="U7" s="169"/>
      <c r="V7" s="169"/>
      <c r="W7" s="169"/>
      <c r="X7" s="189">
        <f>[16]MAINTENANCE!$AB11</f>
        <v>30000</v>
      </c>
      <c r="Y7" s="169"/>
      <c r="Z7" s="169"/>
      <c r="AA7" s="169"/>
      <c r="AB7" s="189">
        <f>-[16]MAINTENANCE!$BA11</f>
        <v>0</v>
      </c>
      <c r="AC7" s="189"/>
      <c r="AD7" s="189"/>
      <c r="AE7" s="183">
        <f>ROUNDDOWN(SUM(K7:AD7),0)</f>
        <v>3914875</v>
      </c>
      <c r="AF7" s="184">
        <f t="shared" ref="AF7:AF37" si="3">IF(J7="TER A",VLOOKUP(AE7,Ter_A,4,TRUE),IF(J7="TER B",VLOOKUP(AE7,Ter_B,4,TRUE),VLOOKUP(AE7,Ter_C,4,TRUE)))</f>
        <v>0</v>
      </c>
      <c r="AG7" s="95">
        <f>ROUNDDOWN(IF(E7=0,AE7*AF7*120%,AE7*AF7),0)</f>
        <v>0</v>
      </c>
      <c r="AI7" s="199">
        <f>[16]MAINTENANCE!$AF11</f>
        <v>3737499.9000000004</v>
      </c>
      <c r="AJ7" s="200">
        <f t="shared" si="0"/>
        <v>177376</v>
      </c>
      <c r="AK7" s="199">
        <f t="shared" ref="AK7:AK70" si="4">AI7+AJ7+AD7</f>
        <v>3914875.9000000004</v>
      </c>
      <c r="AL7" s="201">
        <f t="shared" si="1"/>
        <v>0.90000000037252903</v>
      </c>
    </row>
    <row r="8" spans="2:40" s="173" customFormat="1" ht="24.75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19" si="5">30*121333.33</f>
        <v>3639999.9</v>
      </c>
      <c r="L8" s="169">
        <f t="shared" ref="L8:L71" si="6">3640000*0.84%</f>
        <v>30575.999999999996</v>
      </c>
      <c r="M8" s="189">
        <f>[16]MAINTENANCE!$AK12</f>
        <v>146920</v>
      </c>
      <c r="N8" s="189">
        <f>[16]MAINTENANCE!$W12</f>
        <v>67500</v>
      </c>
      <c r="O8" s="189"/>
      <c r="P8" s="189">
        <f>[16]MAINTENANCE!$AE12</f>
        <v>0</v>
      </c>
      <c r="Q8" s="169"/>
      <c r="R8" s="169"/>
      <c r="S8" s="169"/>
      <c r="T8" s="169"/>
      <c r="U8" s="169"/>
      <c r="V8" s="169"/>
      <c r="W8" s="169"/>
      <c r="X8" s="189">
        <f>[16]MAINTENANCE!$AB12</f>
        <v>33000</v>
      </c>
      <c r="Y8" s="169"/>
      <c r="Z8" s="169"/>
      <c r="AA8" s="169"/>
      <c r="AB8" s="189">
        <f>-[16]MAINTENANCE!$BA12</f>
        <v>0</v>
      </c>
      <c r="AC8" s="189"/>
      <c r="AD8" s="189"/>
      <c r="AE8" s="183">
        <f>ROUNDDOWN(SUM(K8:AD8),0)</f>
        <v>3917995</v>
      </c>
      <c r="AF8" s="184">
        <f t="shared" si="3"/>
        <v>0</v>
      </c>
      <c r="AG8" s="95">
        <f t="shared" ref="AG8:AG71" si="7">ROUNDDOWN(IF(E8=0,AE8*AF8*120%,AE8*AF8),0)</f>
        <v>0</v>
      </c>
      <c r="AI8" s="199">
        <f>[16]MAINTENANCE!$AF12</f>
        <v>3740499.9000000004</v>
      </c>
      <c r="AJ8" s="200">
        <f t="shared" si="0"/>
        <v>177496</v>
      </c>
      <c r="AK8" s="199">
        <f t="shared" si="4"/>
        <v>3917995.9000000004</v>
      </c>
      <c r="AL8" s="201">
        <f t="shared" si="1"/>
        <v>0.90000000037252903</v>
      </c>
      <c r="AN8" s="200">
        <f>AB8+AL8</f>
        <v>0.90000000037252903</v>
      </c>
    </row>
    <row r="9" spans="2:40" s="173" customFormat="1" ht="24.75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5"/>
        <v>3639999.9</v>
      </c>
      <c r="L9" s="169">
        <f t="shared" si="6"/>
        <v>30575.999999999996</v>
      </c>
      <c r="M9" s="189">
        <f>[16]MAINTENANCE!$AK13</f>
        <v>147480</v>
      </c>
      <c r="N9" s="189">
        <f>[16]MAINTENANCE!$W13</f>
        <v>63000</v>
      </c>
      <c r="O9" s="189"/>
      <c r="P9" s="189">
        <f>[16]MAINTENANCE!$AE13</f>
        <v>0</v>
      </c>
      <c r="Q9" s="169"/>
      <c r="R9" s="169"/>
      <c r="S9" s="169"/>
      <c r="T9" s="169"/>
      <c r="U9" s="169"/>
      <c r="V9" s="169"/>
      <c r="W9" s="169"/>
      <c r="X9" s="189">
        <f>[16]MAINTENANCE!$AB13</f>
        <v>47000</v>
      </c>
      <c r="Y9" s="169"/>
      <c r="Z9" s="169"/>
      <c r="AA9" s="169"/>
      <c r="AB9" s="189">
        <f>-[16]MAINTENANCE!$BA13</f>
        <v>-242666.66</v>
      </c>
      <c r="AC9" s="189"/>
      <c r="AD9" s="189"/>
      <c r="AE9" s="183">
        <f t="shared" ref="AE9:AE65" si="8">ROUNDDOWN(SUM(K9:AD9),0)</f>
        <v>3685389</v>
      </c>
      <c r="AF9" s="184">
        <f t="shared" si="3"/>
        <v>0</v>
      </c>
      <c r="AG9" s="95">
        <f t="shared" si="7"/>
        <v>0</v>
      </c>
      <c r="AI9" s="199">
        <f>[16]MAINTENANCE!$AF13</f>
        <v>3507333.24</v>
      </c>
      <c r="AJ9" s="200">
        <f t="shared" si="0"/>
        <v>178056</v>
      </c>
      <c r="AK9" s="199">
        <f t="shared" si="4"/>
        <v>3685389.24</v>
      </c>
      <c r="AL9" s="201">
        <f t="shared" si="1"/>
        <v>0.24000000022351742</v>
      </c>
      <c r="AN9" s="200">
        <f>AB9+AL9</f>
        <v>-242666.41999999978</v>
      </c>
    </row>
    <row r="10" spans="2:40" s="173" customFormat="1" ht="24.75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5"/>
        <v>3639999.9</v>
      </c>
      <c r="L10" s="169">
        <f t="shared" si="6"/>
        <v>30575.999999999996</v>
      </c>
      <c r="M10" s="189">
        <f>[16]MAINTENANCE!$AK14</f>
        <v>146920</v>
      </c>
      <c r="N10" s="189">
        <f>[16]MAINTENANCE!$W14</f>
        <v>65250</v>
      </c>
      <c r="O10" s="189"/>
      <c r="P10" s="189">
        <f>[16]MAINTENANCE!$AE14</f>
        <v>0</v>
      </c>
      <c r="Q10" s="169"/>
      <c r="R10" s="169"/>
      <c r="S10" s="169"/>
      <c r="T10" s="169"/>
      <c r="U10" s="169"/>
      <c r="V10" s="169"/>
      <c r="W10" s="169"/>
      <c r="X10" s="189">
        <f>[16]MAINTENANCE!$AB14</f>
        <v>33000</v>
      </c>
      <c r="Y10" s="169"/>
      <c r="Z10" s="169"/>
      <c r="AA10" s="169"/>
      <c r="AB10" s="189">
        <f>-[16]MAINTENANCE!$BA14</f>
        <v>-121333.33</v>
      </c>
      <c r="AC10" s="189"/>
      <c r="AD10" s="189"/>
      <c r="AE10" s="183">
        <f t="shared" si="8"/>
        <v>3794412</v>
      </c>
      <c r="AF10" s="184">
        <f t="shared" si="3"/>
        <v>0</v>
      </c>
      <c r="AG10" s="95">
        <f t="shared" si="7"/>
        <v>0</v>
      </c>
      <c r="AI10" s="199">
        <f>[16]MAINTENANCE!$AF14</f>
        <v>3616916.5700000003</v>
      </c>
      <c r="AJ10" s="200">
        <f t="shared" si="0"/>
        <v>177496</v>
      </c>
      <c r="AK10" s="199">
        <f t="shared" si="4"/>
        <v>3794412.5700000003</v>
      </c>
      <c r="AL10" s="201">
        <f t="shared" si="1"/>
        <v>0.57000000029802322</v>
      </c>
    </row>
    <row r="11" spans="2:40" s="173" customFormat="1" ht="24.75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5"/>
        <v>3639999.9</v>
      </c>
      <c r="L11" s="169">
        <f t="shared" si="6"/>
        <v>30575.999999999996</v>
      </c>
      <c r="M11" s="189">
        <f>[16]MAINTENANCE!$AK15</f>
        <v>147480</v>
      </c>
      <c r="N11" s="189">
        <f>[16]MAINTENANCE!$W15</f>
        <v>67500</v>
      </c>
      <c r="O11" s="189"/>
      <c r="P11" s="189">
        <f>[16]MAINTENANCE!$AE15</f>
        <v>0</v>
      </c>
      <c r="Q11" s="169"/>
      <c r="R11" s="169"/>
      <c r="S11" s="169"/>
      <c r="T11" s="169"/>
      <c r="U11" s="169"/>
      <c r="V11" s="169"/>
      <c r="W11" s="169"/>
      <c r="X11" s="189">
        <f>[16]MAINTENANCE!$AB15</f>
        <v>47000</v>
      </c>
      <c r="Y11" s="169"/>
      <c r="Z11" s="169"/>
      <c r="AA11" s="169"/>
      <c r="AB11" s="189">
        <f>-[16]MAINTENANCE!$BA15</f>
        <v>0</v>
      </c>
      <c r="AC11" s="189"/>
      <c r="AD11" s="189"/>
      <c r="AE11" s="183">
        <f t="shared" si="8"/>
        <v>3932555</v>
      </c>
      <c r="AF11" s="184">
        <f t="shared" si="3"/>
        <v>0</v>
      </c>
      <c r="AG11" s="95">
        <f t="shared" si="7"/>
        <v>0</v>
      </c>
      <c r="AI11" s="199">
        <f>[16]MAINTENANCE!$AF15</f>
        <v>3754499.9000000004</v>
      </c>
      <c r="AJ11" s="200">
        <f t="shared" si="0"/>
        <v>178056</v>
      </c>
      <c r="AK11" s="199">
        <f t="shared" si="4"/>
        <v>3932555.9000000004</v>
      </c>
      <c r="AL11" s="201">
        <f t="shared" si="1"/>
        <v>0.90000000037252903</v>
      </c>
    </row>
    <row r="12" spans="2:40" s="173" customFormat="1" ht="24.75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5"/>
        <v>3639999.9</v>
      </c>
      <c r="L12" s="169">
        <f t="shared" si="6"/>
        <v>30575.999999999996</v>
      </c>
      <c r="M12" s="189">
        <f>[16]MAINTENANCE!$AK16</f>
        <v>147620</v>
      </c>
      <c r="N12" s="189">
        <f>[16]MAINTENANCE!$W16</f>
        <v>67500</v>
      </c>
      <c r="O12" s="189"/>
      <c r="P12" s="189">
        <f>[16]MAINTENANCE!$AE16</f>
        <v>0</v>
      </c>
      <c r="Q12" s="169"/>
      <c r="R12" s="169"/>
      <c r="S12" s="169"/>
      <c r="T12" s="169"/>
      <c r="U12" s="169"/>
      <c r="V12" s="169"/>
      <c r="W12" s="169"/>
      <c r="X12" s="189">
        <f>[16]MAINTENANCE!$AB16</f>
        <v>50500</v>
      </c>
      <c r="Y12" s="169"/>
      <c r="Z12" s="169"/>
      <c r="AA12" s="169"/>
      <c r="AB12" s="189">
        <f>-[16]MAINTENANCE!$BA16</f>
        <v>0</v>
      </c>
      <c r="AC12" s="189"/>
      <c r="AD12" s="189"/>
      <c r="AE12" s="183">
        <f t="shared" si="8"/>
        <v>3936195</v>
      </c>
      <c r="AF12" s="184">
        <f t="shared" si="3"/>
        <v>0</v>
      </c>
      <c r="AG12" s="95">
        <f t="shared" si="7"/>
        <v>0</v>
      </c>
      <c r="AI12" s="199">
        <f>[16]MAINTENANCE!$AF16</f>
        <v>3757999.9000000004</v>
      </c>
      <c r="AJ12" s="200">
        <f t="shared" si="0"/>
        <v>178196</v>
      </c>
      <c r="AK12" s="199">
        <f t="shared" si="4"/>
        <v>3936195.9000000004</v>
      </c>
      <c r="AL12" s="201">
        <f t="shared" si="1"/>
        <v>0.90000000037252903</v>
      </c>
    </row>
    <row r="13" spans="2:40" s="173" customFormat="1" ht="24.75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5"/>
        <v>3639999.9</v>
      </c>
      <c r="L13" s="169">
        <f t="shared" si="6"/>
        <v>30575.999999999996</v>
      </c>
      <c r="M13" s="189">
        <f>[16]MAINTENANCE!$AK17</f>
        <v>147480</v>
      </c>
      <c r="N13" s="189">
        <f>[16]MAINTENANCE!$W17</f>
        <v>67500</v>
      </c>
      <c r="O13" s="189"/>
      <c r="P13" s="189">
        <f>[16]MAINTENANCE!$AE17</f>
        <v>0</v>
      </c>
      <c r="Q13" s="169"/>
      <c r="R13" s="169"/>
      <c r="S13" s="169"/>
      <c r="T13" s="169"/>
      <c r="U13" s="169"/>
      <c r="V13" s="169"/>
      <c r="W13" s="169"/>
      <c r="X13" s="189">
        <f>[16]MAINTENANCE!$AB17</f>
        <v>47000</v>
      </c>
      <c r="Y13" s="169"/>
      <c r="Z13" s="169"/>
      <c r="AA13" s="169"/>
      <c r="AB13" s="189">
        <f>-[16]MAINTENANCE!$BA17</f>
        <v>0</v>
      </c>
      <c r="AC13" s="189"/>
      <c r="AD13" s="189"/>
      <c r="AE13" s="183">
        <f t="shared" si="8"/>
        <v>3932555</v>
      </c>
      <c r="AF13" s="184">
        <f t="shared" si="3"/>
        <v>0</v>
      </c>
      <c r="AG13" s="95">
        <f t="shared" si="7"/>
        <v>0</v>
      </c>
      <c r="AI13" s="199">
        <f>[16]MAINTENANCE!$AF17</f>
        <v>3754499.9000000004</v>
      </c>
      <c r="AJ13" s="200">
        <f t="shared" si="0"/>
        <v>178056</v>
      </c>
      <c r="AK13" s="199">
        <f t="shared" si="4"/>
        <v>3932555.9000000004</v>
      </c>
      <c r="AL13" s="201">
        <f t="shared" si="1"/>
        <v>0.90000000037252903</v>
      </c>
    </row>
    <row r="14" spans="2:40" s="173" customFormat="1" ht="24.75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5"/>
        <v>3639999.9</v>
      </c>
      <c r="L14" s="169">
        <f t="shared" si="6"/>
        <v>30575.999999999996</v>
      </c>
      <c r="M14" s="189">
        <f>[16]MAINTENANCE!$AK18</f>
        <v>147620</v>
      </c>
      <c r="N14" s="189">
        <f>[16]MAINTENANCE!$W18</f>
        <v>65250</v>
      </c>
      <c r="O14" s="189"/>
      <c r="P14" s="189">
        <f>[16]MAINTENANCE!$AE18</f>
        <v>0</v>
      </c>
      <c r="Q14" s="169"/>
      <c r="R14" s="169"/>
      <c r="S14" s="169"/>
      <c r="T14" s="169"/>
      <c r="U14" s="169"/>
      <c r="V14" s="169"/>
      <c r="W14" s="169"/>
      <c r="X14" s="189">
        <f>[16]MAINTENANCE!$AB18</f>
        <v>50500</v>
      </c>
      <c r="Y14" s="169"/>
      <c r="Z14" s="169"/>
      <c r="AA14" s="169"/>
      <c r="AB14" s="189">
        <f>-[16]MAINTENANCE!$BA18</f>
        <v>-121333.33</v>
      </c>
      <c r="AC14" s="189"/>
      <c r="AD14" s="189"/>
      <c r="AE14" s="183">
        <f t="shared" si="8"/>
        <v>3812612</v>
      </c>
      <c r="AF14" s="184">
        <f t="shared" si="3"/>
        <v>0</v>
      </c>
      <c r="AG14" s="95">
        <f t="shared" si="7"/>
        <v>0</v>
      </c>
      <c r="AI14" s="199">
        <f>[16]MAINTENANCE!$AF18</f>
        <v>3634416.5700000003</v>
      </c>
      <c r="AJ14" s="200">
        <f t="shared" si="0"/>
        <v>178196</v>
      </c>
      <c r="AK14" s="199">
        <f t="shared" si="4"/>
        <v>3812612.5700000003</v>
      </c>
      <c r="AL14" s="201">
        <f t="shared" si="1"/>
        <v>0.57000000029802322</v>
      </c>
    </row>
    <row r="15" spans="2:40" s="173" customFormat="1" ht="24.75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5"/>
        <v>3639999.9</v>
      </c>
      <c r="L15" s="169">
        <f t="shared" si="6"/>
        <v>30575.999999999996</v>
      </c>
      <c r="M15" s="189">
        <f>[16]MAINTENANCE!$AK19</f>
        <v>147760</v>
      </c>
      <c r="N15" s="189">
        <f>[16]MAINTENANCE!$W19</f>
        <v>63000</v>
      </c>
      <c r="O15" s="189"/>
      <c r="P15" s="189">
        <f>[16]MAINTENANCE!$AE19</f>
        <v>0</v>
      </c>
      <c r="Q15" s="169"/>
      <c r="R15" s="169"/>
      <c r="S15" s="169"/>
      <c r="T15" s="169"/>
      <c r="U15" s="169"/>
      <c r="V15" s="169"/>
      <c r="W15" s="169"/>
      <c r="X15" s="189">
        <f>[16]MAINTENANCE!$AB19</f>
        <v>54000</v>
      </c>
      <c r="Y15" s="169"/>
      <c r="Z15" s="169"/>
      <c r="AA15" s="169"/>
      <c r="AB15" s="189">
        <f>-[16]MAINTENANCE!$BA19</f>
        <v>-242666.66</v>
      </c>
      <c r="AC15" s="189"/>
      <c r="AD15" s="189"/>
      <c r="AE15" s="183">
        <f t="shared" si="8"/>
        <v>3692669</v>
      </c>
      <c r="AF15" s="184">
        <f t="shared" si="3"/>
        <v>0</v>
      </c>
      <c r="AG15" s="95">
        <f t="shared" si="7"/>
        <v>0</v>
      </c>
      <c r="AI15" s="199">
        <f>[16]MAINTENANCE!$AF19</f>
        <v>3514333.24</v>
      </c>
      <c r="AJ15" s="200">
        <f t="shared" si="0"/>
        <v>178336</v>
      </c>
      <c r="AK15" s="199">
        <f t="shared" si="4"/>
        <v>3692669.24</v>
      </c>
      <c r="AL15" s="201">
        <f t="shared" si="1"/>
        <v>0.24000000022351742</v>
      </c>
    </row>
    <row r="16" spans="2:40" s="173" customFormat="1" ht="24.75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5"/>
        <v>3639999.9</v>
      </c>
      <c r="L16" s="169">
        <f t="shared" si="6"/>
        <v>30575.999999999996</v>
      </c>
      <c r="M16" s="189">
        <f>[16]MAINTENANCE!$AK20</f>
        <v>147480</v>
      </c>
      <c r="N16" s="189">
        <f>[16]MAINTENANCE!$W20</f>
        <v>65250</v>
      </c>
      <c r="O16" s="189"/>
      <c r="P16" s="189">
        <f>[16]MAINTENANCE!$AE20</f>
        <v>0</v>
      </c>
      <c r="Q16" s="169"/>
      <c r="R16" s="169"/>
      <c r="S16" s="169"/>
      <c r="T16" s="169"/>
      <c r="U16" s="169"/>
      <c r="V16" s="169"/>
      <c r="W16" s="169"/>
      <c r="X16" s="189">
        <f>[16]MAINTENANCE!$AB20</f>
        <v>47000</v>
      </c>
      <c r="Y16" s="169"/>
      <c r="Z16" s="169"/>
      <c r="AA16" s="169"/>
      <c r="AB16" s="189">
        <f>-[16]MAINTENANCE!$BA20</f>
        <v>-121333.33</v>
      </c>
      <c r="AC16" s="189"/>
      <c r="AD16" s="189"/>
      <c r="AE16" s="183">
        <f t="shared" si="8"/>
        <v>3808972</v>
      </c>
      <c r="AF16" s="184">
        <f t="shared" si="3"/>
        <v>0</v>
      </c>
      <c r="AG16" s="95">
        <f t="shared" si="7"/>
        <v>0</v>
      </c>
      <c r="AI16" s="199">
        <f>[16]MAINTENANCE!$AF20</f>
        <v>3630916.5700000003</v>
      </c>
      <c r="AJ16" s="200">
        <f t="shared" si="0"/>
        <v>178056</v>
      </c>
      <c r="AK16" s="199">
        <f t="shared" si="4"/>
        <v>3808972.5700000003</v>
      </c>
      <c r="AL16" s="201">
        <f t="shared" si="1"/>
        <v>0.57000000029802322</v>
      </c>
    </row>
    <row r="17" spans="2:38" s="173" customFormat="1" ht="24.75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5"/>
        <v>3639999.9</v>
      </c>
      <c r="L17" s="169">
        <f t="shared" si="6"/>
        <v>30575.999999999996</v>
      </c>
      <c r="M17" s="189">
        <f>[16]MAINTENANCE!$AK21</f>
        <v>147480</v>
      </c>
      <c r="N17" s="189">
        <f>[16]MAINTENANCE!$W21</f>
        <v>63000</v>
      </c>
      <c r="O17" s="189"/>
      <c r="P17" s="189">
        <f>[16]MAINTENANCE!$AE21</f>
        <v>0</v>
      </c>
      <c r="Q17" s="169"/>
      <c r="R17" s="169"/>
      <c r="S17" s="169"/>
      <c r="T17" s="169"/>
      <c r="U17" s="169"/>
      <c r="V17" s="169"/>
      <c r="W17" s="169"/>
      <c r="X17" s="189">
        <f>[16]MAINTENANCE!$AB21</f>
        <v>47000</v>
      </c>
      <c r="Y17" s="169"/>
      <c r="Z17" s="169"/>
      <c r="AA17" s="169"/>
      <c r="AB17" s="189">
        <f>-[16]MAINTENANCE!$BA21</f>
        <v>-242666.66</v>
      </c>
      <c r="AC17" s="189"/>
      <c r="AD17" s="189"/>
      <c r="AE17" s="183">
        <f t="shared" si="8"/>
        <v>3685389</v>
      </c>
      <c r="AF17" s="184">
        <f t="shared" si="3"/>
        <v>0</v>
      </c>
      <c r="AG17" s="95">
        <f t="shared" si="7"/>
        <v>0</v>
      </c>
      <c r="AI17" s="199">
        <f>[16]MAINTENANCE!$AF21</f>
        <v>3507333.24</v>
      </c>
      <c r="AJ17" s="200">
        <f t="shared" si="0"/>
        <v>178056</v>
      </c>
      <c r="AK17" s="199">
        <f t="shared" si="4"/>
        <v>3685389.24</v>
      </c>
      <c r="AL17" s="201">
        <f t="shared" si="1"/>
        <v>0.24000000022351742</v>
      </c>
    </row>
    <row r="18" spans="2:38" s="173" customFormat="1" ht="24.75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5"/>
        <v>3639999.9</v>
      </c>
      <c r="L18" s="169">
        <f t="shared" si="6"/>
        <v>30575.999999999996</v>
      </c>
      <c r="M18" s="189">
        <f>[16]MAINTENANCE!$AK22</f>
        <v>147480</v>
      </c>
      <c r="N18" s="189">
        <f>[16]MAINTENANCE!$W22</f>
        <v>65250</v>
      </c>
      <c r="O18" s="189"/>
      <c r="P18" s="189">
        <f>[16]MAINTENANCE!$AE22</f>
        <v>31560.69</v>
      </c>
      <c r="Q18" s="169"/>
      <c r="R18" s="169"/>
      <c r="S18" s="169"/>
      <c r="T18" s="169"/>
      <c r="U18" s="169"/>
      <c r="V18" s="169"/>
      <c r="W18" s="169"/>
      <c r="X18" s="189">
        <f>[16]MAINTENANCE!$AB22</f>
        <v>47000</v>
      </c>
      <c r="Y18" s="169"/>
      <c r="Z18" s="169"/>
      <c r="AA18" s="169"/>
      <c r="AB18" s="189">
        <f>-[16]MAINTENANCE!$BA22</f>
        <v>-121333.33</v>
      </c>
      <c r="AC18" s="189"/>
      <c r="AD18" s="189"/>
      <c r="AE18" s="183">
        <f t="shared" si="8"/>
        <v>3840533</v>
      </c>
      <c r="AF18" s="184">
        <f t="shared" si="3"/>
        <v>0</v>
      </c>
      <c r="AG18" s="95">
        <f t="shared" si="7"/>
        <v>0</v>
      </c>
      <c r="AI18" s="199">
        <f>[16]MAINTENANCE!$AF22</f>
        <v>3662477.26</v>
      </c>
      <c r="AJ18" s="200">
        <f t="shared" si="0"/>
        <v>178056</v>
      </c>
      <c r="AK18" s="199">
        <f t="shared" si="4"/>
        <v>3840533.26</v>
      </c>
      <c r="AL18" s="201">
        <f t="shared" si="1"/>
        <v>0.25999999977648258</v>
      </c>
    </row>
    <row r="19" spans="2:38" s="173" customFormat="1" ht="24.75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5"/>
        <v>3639999.9</v>
      </c>
      <c r="L19" s="169">
        <f t="shared" si="6"/>
        <v>30575.999999999996</v>
      </c>
      <c r="M19" s="189">
        <f>[16]MAINTENANCE!$AK23</f>
        <v>146920</v>
      </c>
      <c r="N19" s="189">
        <f>[16]MAINTENANCE!$W23</f>
        <v>65250</v>
      </c>
      <c r="O19" s="189"/>
      <c r="P19" s="189">
        <f>[16]MAINTENANCE!$AE23</f>
        <v>0</v>
      </c>
      <c r="Q19" s="169"/>
      <c r="R19" s="169"/>
      <c r="S19" s="169"/>
      <c r="T19" s="169"/>
      <c r="U19" s="169"/>
      <c r="V19" s="169"/>
      <c r="W19" s="169"/>
      <c r="X19" s="189">
        <f>[16]MAINTENANCE!$AB23</f>
        <v>33000</v>
      </c>
      <c r="Y19" s="169"/>
      <c r="Z19" s="169"/>
      <c r="AA19" s="169"/>
      <c r="AB19" s="189">
        <f>-[16]MAINTENANCE!$BA23</f>
        <v>-121333.33</v>
      </c>
      <c r="AC19" s="189"/>
      <c r="AD19" s="189"/>
      <c r="AE19" s="183">
        <f t="shared" si="8"/>
        <v>3794412</v>
      </c>
      <c r="AF19" s="184">
        <f t="shared" si="3"/>
        <v>0</v>
      </c>
      <c r="AG19" s="95">
        <f t="shared" si="7"/>
        <v>0</v>
      </c>
      <c r="AI19" s="199">
        <f>[16]MAINTENANCE!$AF23</f>
        <v>3616916.5700000003</v>
      </c>
      <c r="AJ19" s="200">
        <f t="shared" si="0"/>
        <v>177496</v>
      </c>
      <c r="AK19" s="199">
        <f t="shared" si="4"/>
        <v>3794412.5700000003</v>
      </c>
      <c r="AL19" s="201">
        <f t="shared" si="1"/>
        <v>0.57000000029802322</v>
      </c>
    </row>
    <row r="20" spans="2:38" s="173" customFormat="1" ht="24.75" customHeight="1">
      <c r="B20" s="174"/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/>
      <c r="L20" s="169"/>
      <c r="M20" s="189"/>
      <c r="N20" s="189"/>
      <c r="O20" s="189"/>
      <c r="P20" s="189"/>
      <c r="Q20" s="169"/>
      <c r="R20" s="169"/>
      <c r="S20" s="169"/>
      <c r="T20" s="169"/>
      <c r="U20" s="169"/>
      <c r="V20" s="169"/>
      <c r="W20" s="169"/>
      <c r="X20" s="189"/>
      <c r="Y20" s="169"/>
      <c r="Z20" s="169"/>
      <c r="AA20" s="169"/>
      <c r="AB20" s="189"/>
      <c r="AC20" s="189"/>
      <c r="AD20" s="189"/>
      <c r="AE20" s="183">
        <f t="shared" si="8"/>
        <v>0</v>
      </c>
      <c r="AF20" s="184">
        <f t="shared" si="3"/>
        <v>0</v>
      </c>
      <c r="AG20" s="95">
        <f t="shared" si="7"/>
        <v>0</v>
      </c>
      <c r="AI20" s="199"/>
      <c r="AJ20" s="200">
        <f t="shared" si="0"/>
        <v>0</v>
      </c>
      <c r="AK20" s="199">
        <f t="shared" si="4"/>
        <v>0</v>
      </c>
      <c r="AL20" s="201">
        <f t="shared" si="1"/>
        <v>0</v>
      </c>
    </row>
    <row r="21" spans="2:38" s="173" customFormat="1" ht="24.75" customHeight="1">
      <c r="B21" s="174">
        <v>15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>30*121333.33</f>
        <v>3639999.9</v>
      </c>
      <c r="L21" s="169">
        <f t="shared" si="6"/>
        <v>30575.999999999996</v>
      </c>
      <c r="M21" s="189">
        <f>[16]MAINTENANCE!$AK24</f>
        <v>146800</v>
      </c>
      <c r="N21" s="189">
        <f>[16]MAINTENANCE!$W24</f>
        <v>121500</v>
      </c>
      <c r="O21" s="189"/>
      <c r="P21" s="189">
        <f>[16]MAINTENANCE!$AE24</f>
        <v>336647.36</v>
      </c>
      <c r="Q21" s="169"/>
      <c r="R21" s="169">
        <f>[16]MAINTENANCE!$AC24</f>
        <v>0</v>
      </c>
      <c r="S21" s="169">
        <f>[16]MAINTENANCE!$AD24</f>
        <v>5250</v>
      </c>
      <c r="T21" s="169"/>
      <c r="U21" s="169"/>
      <c r="V21" s="169"/>
      <c r="W21" s="169"/>
      <c r="X21" s="189">
        <f>[16]MAINTENANCE!$AB24</f>
        <v>30000</v>
      </c>
      <c r="Y21" s="169"/>
      <c r="Z21" s="169"/>
      <c r="AA21" s="169"/>
      <c r="AB21" s="189">
        <f>-[16]MAINTENANCE!$BA24</f>
        <v>0</v>
      </c>
      <c r="AC21" s="189"/>
      <c r="AD21" s="189"/>
      <c r="AE21" s="183">
        <f>ROUNDDOWN(SUM(K21:AD21),0)</f>
        <v>4310773</v>
      </c>
      <c r="AF21" s="184">
        <f t="shared" si="3"/>
        <v>0</v>
      </c>
      <c r="AG21" s="95">
        <f t="shared" si="7"/>
        <v>0</v>
      </c>
      <c r="AI21" s="199">
        <f>[16]MAINTENANCE!$AF24</f>
        <v>4133397.26</v>
      </c>
      <c r="AJ21" s="200">
        <f t="shared" si="0"/>
        <v>177376</v>
      </c>
      <c r="AK21" s="199">
        <f t="shared" si="4"/>
        <v>4310773.26</v>
      </c>
      <c r="AL21" s="201">
        <f t="shared" si="1"/>
        <v>0.25999999977648258</v>
      </c>
    </row>
    <row r="22" spans="2:38" s="173" customFormat="1" ht="24.75" customHeight="1">
      <c r="B22" s="174">
        <v>16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ref="K22:K27" si="9">30*121333.33</f>
        <v>3639999.9</v>
      </c>
      <c r="L22" s="169">
        <f t="shared" si="6"/>
        <v>30575.999999999996</v>
      </c>
      <c r="M22" s="189">
        <f>[16]MAINTENANCE!$AK25</f>
        <v>147480</v>
      </c>
      <c r="N22" s="189">
        <f>[16]MAINTENANCE!$W25</f>
        <v>67500</v>
      </c>
      <c r="O22" s="189"/>
      <c r="P22" s="189">
        <f>[16]MAINTENANCE!$AE25</f>
        <v>105202.29999999999</v>
      </c>
      <c r="Q22" s="169"/>
      <c r="R22" s="169"/>
      <c r="S22" s="169"/>
      <c r="T22" s="169"/>
      <c r="U22" s="169"/>
      <c r="V22" s="169"/>
      <c r="W22" s="169"/>
      <c r="X22" s="189">
        <f>[16]MAINTENANCE!$AB25</f>
        <v>47000</v>
      </c>
      <c r="Y22" s="169"/>
      <c r="Z22" s="169"/>
      <c r="AA22" s="169"/>
      <c r="AB22" s="189">
        <f>-[16]MAINTENANCE!$BA25</f>
        <v>0</v>
      </c>
      <c r="AC22" s="189"/>
      <c r="AD22" s="189"/>
      <c r="AE22" s="183">
        <f t="shared" si="8"/>
        <v>4037758</v>
      </c>
      <c r="AF22" s="184">
        <f t="shared" si="3"/>
        <v>0</v>
      </c>
      <c r="AG22" s="95">
        <f t="shared" si="7"/>
        <v>0</v>
      </c>
      <c r="AI22" s="199">
        <f>[16]MAINTENANCE!$AF25</f>
        <v>3859702.1999999997</v>
      </c>
      <c r="AJ22" s="200">
        <f t="shared" si="0"/>
        <v>178056</v>
      </c>
      <c r="AK22" s="199">
        <f t="shared" si="4"/>
        <v>4037758.1999999997</v>
      </c>
      <c r="AL22" s="201">
        <f t="shared" si="1"/>
        <v>0.19999999972060323</v>
      </c>
    </row>
    <row r="23" spans="2:38" s="173" customFormat="1" ht="24.75" customHeight="1">
      <c r="B23" s="174">
        <v>17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9"/>
        <v>3639999.9</v>
      </c>
      <c r="L23" s="169">
        <f t="shared" si="6"/>
        <v>30575.999999999996</v>
      </c>
      <c r="M23" s="189">
        <f>[16]MAINTENANCE!$AK26</f>
        <v>147480</v>
      </c>
      <c r="N23" s="189">
        <f>[16]MAINTENANCE!$W26</f>
        <v>63000</v>
      </c>
      <c r="O23" s="189"/>
      <c r="P23" s="189">
        <f>[16]MAINTENANCE!$AE26</f>
        <v>0</v>
      </c>
      <c r="Q23" s="169"/>
      <c r="R23" s="189"/>
      <c r="S23" s="189"/>
      <c r="T23" s="189"/>
      <c r="U23" s="189"/>
      <c r="V23" s="189"/>
      <c r="W23" s="189"/>
      <c r="X23" s="189">
        <f>[16]MAINTENANCE!$AB26</f>
        <v>47000</v>
      </c>
      <c r="Y23" s="189"/>
      <c r="Z23" s="189"/>
      <c r="AA23" s="189"/>
      <c r="AB23" s="189">
        <f>-[16]MAINTENANCE!$BA26</f>
        <v>-242666.66</v>
      </c>
      <c r="AC23" s="189"/>
      <c r="AD23" s="189"/>
      <c r="AE23" s="183">
        <f t="shared" si="8"/>
        <v>3685389</v>
      </c>
      <c r="AF23" s="184">
        <f t="shared" si="3"/>
        <v>0</v>
      </c>
      <c r="AG23" s="95">
        <f t="shared" si="7"/>
        <v>0</v>
      </c>
      <c r="AI23" s="199">
        <f>[16]MAINTENANCE!$AF26</f>
        <v>3507333.24</v>
      </c>
      <c r="AJ23" s="200">
        <f t="shared" si="0"/>
        <v>178056</v>
      </c>
      <c r="AK23" s="199">
        <f t="shared" si="4"/>
        <v>3685389.24</v>
      </c>
      <c r="AL23" s="201">
        <f t="shared" si="1"/>
        <v>0.24000000022351742</v>
      </c>
    </row>
    <row r="24" spans="2:38" s="173" customFormat="1" ht="24.75" customHeight="1">
      <c r="B24" s="174">
        <v>18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9"/>
        <v>3639999.9</v>
      </c>
      <c r="L24" s="169">
        <f t="shared" si="6"/>
        <v>30575.999999999996</v>
      </c>
      <c r="M24" s="189">
        <f>[16]MAINTENANCE!$AK27</f>
        <v>146920</v>
      </c>
      <c r="N24" s="189">
        <f>[16]MAINTENANCE!$W27</f>
        <v>67500</v>
      </c>
      <c r="O24" s="189">
        <f>[16]MAINTENANCE!$Z27</f>
        <v>42000</v>
      </c>
      <c r="P24" s="189">
        <f>[16]MAINTENANCE!$AE27</f>
        <v>1662196.3399999999</v>
      </c>
      <c r="Q24" s="169"/>
      <c r="R24" s="189"/>
      <c r="S24" s="189"/>
      <c r="T24" s="189"/>
      <c r="U24" s="189"/>
      <c r="V24" s="189"/>
      <c r="W24" s="189"/>
      <c r="X24" s="189">
        <f>[16]MAINTENANCE!$AB27</f>
        <v>33000</v>
      </c>
      <c r="Y24" s="189"/>
      <c r="Z24" s="189"/>
      <c r="AA24" s="189"/>
      <c r="AB24" s="189">
        <f>-[16]MAINTENANCE!$BA27</f>
        <v>0</v>
      </c>
      <c r="AC24" s="189"/>
      <c r="AD24" s="189"/>
      <c r="AE24" s="183">
        <f>ROUNDDOWN(SUM(K24:AD24),0)</f>
        <v>5622192</v>
      </c>
      <c r="AF24" s="184">
        <f t="shared" si="3"/>
        <v>2.5000000000000001E-3</v>
      </c>
      <c r="AG24" s="95">
        <f t="shared" si="7"/>
        <v>14055</v>
      </c>
      <c r="AI24" s="199">
        <f>[16]MAINTENANCE!$AF27</f>
        <v>5444696.2400000002</v>
      </c>
      <c r="AJ24" s="200">
        <f t="shared" si="0"/>
        <v>177496</v>
      </c>
      <c r="AK24" s="199">
        <f t="shared" si="4"/>
        <v>5622192.2400000002</v>
      </c>
      <c r="AL24" s="201">
        <f t="shared" si="1"/>
        <v>0.24000000022351742</v>
      </c>
    </row>
    <row r="25" spans="2:38" s="173" customFormat="1" ht="24.75" customHeight="1">
      <c r="B25" s="174">
        <v>19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9"/>
        <v>3639999.9</v>
      </c>
      <c r="L25" s="169">
        <f t="shared" si="6"/>
        <v>30575.999999999996</v>
      </c>
      <c r="M25" s="189">
        <f>[16]MAINTENANCE!$AK28</f>
        <v>147480</v>
      </c>
      <c r="N25" s="189">
        <f>[16]MAINTENANCE!$W28</f>
        <v>156600</v>
      </c>
      <c r="O25" s="189"/>
      <c r="P25" s="189">
        <f>[16]MAINTENANCE!$AE28</f>
        <v>1030982.54</v>
      </c>
      <c r="Q25" s="169"/>
      <c r="R25" s="189"/>
      <c r="S25" s="189"/>
      <c r="T25" s="189"/>
      <c r="U25" s="189"/>
      <c r="V25" s="189"/>
      <c r="W25" s="189"/>
      <c r="X25" s="189">
        <f>[16]MAINTENANCE!$AB28</f>
        <v>47000</v>
      </c>
      <c r="Y25" s="189"/>
      <c r="Z25" s="189"/>
      <c r="AA25" s="189"/>
      <c r="AB25" s="189">
        <f>-[16]MAINTENANCE!$BA28</f>
        <v>-121333.33</v>
      </c>
      <c r="AC25" s="189"/>
      <c r="AD25" s="189"/>
      <c r="AE25" s="183">
        <f t="shared" si="8"/>
        <v>4931305</v>
      </c>
      <c r="AF25" s="184">
        <f t="shared" si="3"/>
        <v>0</v>
      </c>
      <c r="AG25" s="95">
        <f t="shared" si="7"/>
        <v>0</v>
      </c>
      <c r="AI25" s="199">
        <f>[16]MAINTENANCE!$AF28</f>
        <v>4753249.1099999994</v>
      </c>
      <c r="AJ25" s="200">
        <f t="shared" si="0"/>
        <v>178056</v>
      </c>
      <c r="AK25" s="199">
        <f t="shared" si="4"/>
        <v>4931305.1099999994</v>
      </c>
      <c r="AL25" s="201">
        <f t="shared" si="1"/>
        <v>0.10999999940395355</v>
      </c>
    </row>
    <row r="26" spans="2:38" s="173" customFormat="1" ht="24.75" customHeight="1">
      <c r="B26" s="174">
        <v>20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9"/>
        <v>3639999.9</v>
      </c>
      <c r="L26" s="169">
        <f t="shared" si="6"/>
        <v>30575.999999999996</v>
      </c>
      <c r="M26" s="189">
        <f>[16]MAINTENANCE!$AK29</f>
        <v>148040</v>
      </c>
      <c r="N26" s="189">
        <f>[16]MAINTENANCE!$W29</f>
        <v>67500</v>
      </c>
      <c r="O26" s="189"/>
      <c r="P26" s="189">
        <f>[16]MAINTENANCE!$AE29</f>
        <v>0</v>
      </c>
      <c r="Q26" s="169"/>
      <c r="R26" s="189"/>
      <c r="S26" s="189"/>
      <c r="T26" s="189"/>
      <c r="U26" s="189"/>
      <c r="V26" s="189"/>
      <c r="W26" s="189"/>
      <c r="X26" s="189">
        <f>[16]MAINTENANCE!$AB29</f>
        <v>61000</v>
      </c>
      <c r="Y26" s="189"/>
      <c r="Z26" s="189"/>
      <c r="AA26" s="189"/>
      <c r="AB26" s="189">
        <f>-[16]MAINTENANCE!$BA29</f>
        <v>0</v>
      </c>
      <c r="AC26" s="189"/>
      <c r="AD26" s="189"/>
      <c r="AE26" s="183">
        <f t="shared" si="8"/>
        <v>3947115</v>
      </c>
      <c r="AF26" s="184">
        <f t="shared" si="3"/>
        <v>0</v>
      </c>
      <c r="AG26" s="95">
        <f t="shared" si="7"/>
        <v>0</v>
      </c>
      <c r="AI26" s="199">
        <f>[16]MAINTENANCE!$AF29</f>
        <v>3768499.9</v>
      </c>
      <c r="AJ26" s="200">
        <f t="shared" si="0"/>
        <v>178616</v>
      </c>
      <c r="AK26" s="199">
        <f t="shared" si="4"/>
        <v>3947115.9</v>
      </c>
      <c r="AL26" s="201">
        <f t="shared" si="1"/>
        <v>0.89999999990686774</v>
      </c>
    </row>
    <row r="27" spans="2:38" s="173" customFormat="1" ht="24.75" customHeight="1">
      <c r="B27" s="174">
        <v>21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9"/>
        <v>3639999.9</v>
      </c>
      <c r="L27" s="169">
        <f t="shared" si="6"/>
        <v>30575.999999999996</v>
      </c>
      <c r="M27" s="189">
        <f>[16]MAINTENANCE!$AK30</f>
        <v>147620</v>
      </c>
      <c r="N27" s="189">
        <f>[16]MAINTENANCE!$W30</f>
        <v>67500</v>
      </c>
      <c r="O27" s="189"/>
      <c r="P27" s="189">
        <f>[16]MAINTENANCE!$AE30</f>
        <v>0</v>
      </c>
      <c r="Q27" s="169"/>
      <c r="R27" s="189"/>
      <c r="S27" s="189"/>
      <c r="T27" s="189"/>
      <c r="U27" s="189"/>
      <c r="V27" s="189"/>
      <c r="W27" s="189"/>
      <c r="X27" s="189">
        <f>[16]MAINTENANCE!$AB30</f>
        <v>50500</v>
      </c>
      <c r="Y27" s="189"/>
      <c r="Z27" s="189"/>
      <c r="AA27" s="189"/>
      <c r="AB27" s="189">
        <f>-[16]MAINTENANCE!$BA30</f>
        <v>0</v>
      </c>
      <c r="AC27" s="189"/>
      <c r="AD27" s="189"/>
      <c r="AE27" s="183">
        <f t="shared" si="8"/>
        <v>3936195</v>
      </c>
      <c r="AF27" s="184">
        <f t="shared" si="3"/>
        <v>0</v>
      </c>
      <c r="AG27" s="95">
        <f t="shared" si="7"/>
        <v>0</v>
      </c>
      <c r="AI27" s="199">
        <f>[16]MAINTENANCE!$AF30</f>
        <v>3757999.9000000004</v>
      </c>
      <c r="AJ27" s="200">
        <f t="shared" si="0"/>
        <v>178196</v>
      </c>
      <c r="AK27" s="199">
        <f t="shared" si="4"/>
        <v>3936195.9000000004</v>
      </c>
      <c r="AL27" s="201">
        <f t="shared" si="1"/>
        <v>0.90000000037252903</v>
      </c>
    </row>
    <row r="28" spans="2:38" s="173" customFormat="1" ht="24.75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>
        <f>'[6]HARVESTING KHT'!$AK10</f>
        <v>0</v>
      </c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3"/>
        <v>0</v>
      </c>
      <c r="AG28" s="95">
        <f t="shared" si="7"/>
        <v>0</v>
      </c>
      <c r="AI28" s="199"/>
      <c r="AJ28" s="200">
        <f t="shared" si="0"/>
        <v>0</v>
      </c>
      <c r="AK28" s="199">
        <f>AI28+AJ28+AD28</f>
        <v>0</v>
      </c>
      <c r="AL28" s="201">
        <f t="shared" si="1"/>
        <v>0</v>
      </c>
    </row>
    <row r="29" spans="2:38" s="173" customFormat="1" ht="24.75" customHeight="1">
      <c r="B29" s="174">
        <v>22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30*121333.33</f>
        <v>3639999.9</v>
      </c>
      <c r="L29" s="169">
        <f t="shared" si="6"/>
        <v>30575.999999999996</v>
      </c>
      <c r="M29" s="189">
        <f>'[16]HARVESTING KHT'!$AQ10</f>
        <v>147620</v>
      </c>
      <c r="N29" s="189">
        <f>'[16]HARVESTING KHT'!$U10</f>
        <v>67500</v>
      </c>
      <c r="O29" s="189">
        <f>'[16]HARVESTING KHT'!$X10</f>
        <v>44000</v>
      </c>
      <c r="P29" s="189">
        <f>'[16]HARVESTING KHT'!$AD10</f>
        <v>631213.79999999993</v>
      </c>
      <c r="Q29" s="189"/>
      <c r="R29" s="189"/>
      <c r="S29" s="189"/>
      <c r="T29" s="189"/>
      <c r="U29" s="189"/>
      <c r="V29" s="189"/>
      <c r="W29" s="189">
        <f>'[6]HARVESTING KHT'!$AK11</f>
        <v>0</v>
      </c>
      <c r="X29" s="189">
        <f>'[16]HARVESTING KHT'!$Z10</f>
        <v>50500</v>
      </c>
      <c r="Y29" s="189"/>
      <c r="Z29" s="189"/>
      <c r="AA29" s="189"/>
      <c r="AB29" s="189">
        <f>-'[16]HARVESTING KHT'!$BI10</f>
        <v>0</v>
      </c>
      <c r="AC29" s="189"/>
      <c r="AD29" s="189"/>
      <c r="AE29" s="183">
        <f t="shared" si="8"/>
        <v>4611409</v>
      </c>
      <c r="AF29" s="184">
        <f t="shared" si="3"/>
        <v>0</v>
      </c>
      <c r="AG29" s="95">
        <f t="shared" si="7"/>
        <v>0</v>
      </c>
      <c r="AI29" s="199">
        <f>'[16]HARVESTING KHT'!$AL$10</f>
        <v>4433213.7</v>
      </c>
      <c r="AJ29" s="200">
        <f t="shared" si="0"/>
        <v>178196</v>
      </c>
      <c r="AK29" s="199">
        <f>AI29+AJ29+AD29</f>
        <v>4611409.7</v>
      </c>
      <c r="AL29" s="201">
        <f t="shared" si="1"/>
        <v>0.70000000018626451</v>
      </c>
    </row>
    <row r="30" spans="2:38" s="173" customFormat="1" ht="24.75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>
        <f>'[6]HARVESTING KHT'!$AK12</f>
        <v>0</v>
      </c>
      <c r="X30" s="189"/>
      <c r="Y30" s="189"/>
      <c r="Z30" s="189"/>
      <c r="AA30" s="189"/>
      <c r="AB30" s="189"/>
      <c r="AC30" s="189"/>
      <c r="AD30" s="189"/>
      <c r="AE30" s="183">
        <f t="shared" si="8"/>
        <v>0</v>
      </c>
      <c r="AF30" s="184">
        <f t="shared" si="3"/>
        <v>0</v>
      </c>
      <c r="AG30" s="95">
        <f t="shared" si="7"/>
        <v>0</v>
      </c>
      <c r="AI30" s="199"/>
      <c r="AJ30" s="200">
        <f t="shared" si="0"/>
        <v>0</v>
      </c>
      <c r="AK30" s="199">
        <f t="shared" si="4"/>
        <v>0</v>
      </c>
      <c r="AL30" s="201">
        <f t="shared" si="1"/>
        <v>0</v>
      </c>
    </row>
    <row r="31" spans="2:38" s="173" customFormat="1" ht="24.75" customHeight="1">
      <c r="B31" s="174">
        <v>23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>30*121333.33</f>
        <v>3639999.9</v>
      </c>
      <c r="L31" s="169">
        <f t="shared" si="6"/>
        <v>30575.999999999996</v>
      </c>
      <c r="M31" s="189">
        <f>'[16]HARVESTING KHT'!$AQ11</f>
        <v>146560</v>
      </c>
      <c r="N31" s="189">
        <f>'[16]HARVESTING KHT'!$U11</f>
        <v>135000</v>
      </c>
      <c r="O31" s="189"/>
      <c r="P31" s="189"/>
      <c r="Q31" s="189"/>
      <c r="R31" s="189">
        <f>'[16]HARVESTING KHT'!$AA11</f>
        <v>0</v>
      </c>
      <c r="S31" s="189">
        <f>'[16]HARVESTING KHT'!$AB11</f>
        <v>208950</v>
      </c>
      <c r="T31" s="189"/>
      <c r="U31" s="189"/>
      <c r="V31" s="189">
        <f>'[16]HARVESTING KHT'!$AH11</f>
        <v>0</v>
      </c>
      <c r="W31" s="189">
        <f>'[6]HARVESTING KHT'!$AK13</f>
        <v>0</v>
      </c>
      <c r="X31" s="189">
        <f>'[16]HARVESTING KHT'!$Z11</f>
        <v>24000</v>
      </c>
      <c r="Y31" s="189"/>
      <c r="Z31" s="189"/>
      <c r="AA31" s="189"/>
      <c r="AB31" s="189">
        <f>-'[16]HARVESTING KHT'!$BI11</f>
        <v>0</v>
      </c>
      <c r="AC31" s="189"/>
      <c r="AD31" s="189"/>
      <c r="AE31" s="183">
        <f t="shared" si="8"/>
        <v>4185085</v>
      </c>
      <c r="AF31" s="184">
        <f t="shared" si="3"/>
        <v>0</v>
      </c>
      <c r="AG31" s="95">
        <f t="shared" si="7"/>
        <v>0</v>
      </c>
      <c r="AI31" s="199">
        <f>'[16]HARVESTING KHT'!$AL$11</f>
        <v>4007949.9</v>
      </c>
      <c r="AJ31" s="200">
        <f t="shared" si="0"/>
        <v>177136</v>
      </c>
      <c r="AK31" s="199">
        <f t="shared" si="4"/>
        <v>4185085.9</v>
      </c>
      <c r="AL31" s="201">
        <f t="shared" si="1"/>
        <v>0.89999999990686774</v>
      </c>
    </row>
    <row r="32" spans="2:38" s="173" customFormat="1" ht="24.75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8"/>
        <v>0</v>
      </c>
      <c r="AF32" s="184">
        <f t="shared" si="3"/>
        <v>0</v>
      </c>
      <c r="AG32" s="95">
        <f t="shared" si="7"/>
        <v>0</v>
      </c>
      <c r="AI32" s="199"/>
      <c r="AJ32" s="200">
        <f t="shared" si="0"/>
        <v>0</v>
      </c>
      <c r="AK32" s="199">
        <f t="shared" si="4"/>
        <v>0</v>
      </c>
      <c r="AL32" s="201">
        <f t="shared" si="1"/>
        <v>0</v>
      </c>
    </row>
    <row r="33" spans="2:38" s="173" customFormat="1" ht="24.75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8"/>
        <v>0</v>
      </c>
      <c r="AF33" s="184">
        <f t="shared" si="3"/>
        <v>0</v>
      </c>
      <c r="AG33" s="95">
        <f t="shared" si="7"/>
        <v>0</v>
      </c>
      <c r="AI33" s="199"/>
      <c r="AJ33" s="200">
        <f t="shared" si="0"/>
        <v>0</v>
      </c>
      <c r="AK33" s="199">
        <f t="shared" si="4"/>
        <v>0</v>
      </c>
      <c r="AL33" s="201">
        <f t="shared" si="1"/>
        <v>0</v>
      </c>
    </row>
    <row r="34" spans="2:38" s="173" customFormat="1" ht="24.75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>
        <f>'[6]HARVESTING KHT'!$AK16</f>
        <v>0</v>
      </c>
      <c r="X34" s="189"/>
      <c r="Y34" s="189"/>
      <c r="Z34" s="189"/>
      <c r="AA34" s="189"/>
      <c r="AB34" s="189"/>
      <c r="AC34" s="189"/>
      <c r="AD34" s="189"/>
      <c r="AE34" s="183">
        <f t="shared" si="8"/>
        <v>0</v>
      </c>
      <c r="AF34" s="184">
        <f t="shared" si="3"/>
        <v>0</v>
      </c>
      <c r="AG34" s="95">
        <f t="shared" si="7"/>
        <v>0</v>
      </c>
      <c r="AI34" s="199"/>
      <c r="AJ34" s="200">
        <f t="shared" si="0"/>
        <v>0</v>
      </c>
      <c r="AK34" s="199">
        <f t="shared" si="4"/>
        <v>0</v>
      </c>
      <c r="AL34" s="201">
        <f t="shared" si="1"/>
        <v>0</v>
      </c>
    </row>
    <row r="35" spans="2:38" s="173" customFormat="1" ht="24.75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>
        <f>'[6]HARVESTING KHT'!$AK17</f>
        <v>0</v>
      </c>
      <c r="X35" s="189"/>
      <c r="Y35" s="189"/>
      <c r="Z35" s="189"/>
      <c r="AA35" s="189"/>
      <c r="AB35" s="189"/>
      <c r="AC35" s="189"/>
      <c r="AD35" s="189"/>
      <c r="AE35" s="183">
        <f t="shared" si="8"/>
        <v>0</v>
      </c>
      <c r="AF35" s="184">
        <f t="shared" si="3"/>
        <v>0</v>
      </c>
      <c r="AG35" s="95">
        <f t="shared" si="7"/>
        <v>0</v>
      </c>
      <c r="AI35" s="199"/>
      <c r="AJ35" s="200">
        <f t="shared" si="0"/>
        <v>0</v>
      </c>
      <c r="AK35" s="199">
        <f t="shared" si="4"/>
        <v>0</v>
      </c>
      <c r="AL35" s="201">
        <f t="shared" si="1"/>
        <v>0</v>
      </c>
    </row>
    <row r="36" spans="2:38" s="173" customFormat="1" ht="24.75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>
        <f>'[6]HARVESTING KHT'!$AK18</f>
        <v>0</v>
      </c>
      <c r="X36" s="189"/>
      <c r="Y36" s="189"/>
      <c r="Z36" s="189"/>
      <c r="AA36" s="189"/>
      <c r="AB36" s="189"/>
      <c r="AC36" s="189"/>
      <c r="AD36" s="189"/>
      <c r="AE36" s="183">
        <f t="shared" si="8"/>
        <v>0</v>
      </c>
      <c r="AF36" s="184">
        <f t="shared" si="3"/>
        <v>0</v>
      </c>
      <c r="AG36" s="95">
        <f t="shared" si="7"/>
        <v>0</v>
      </c>
      <c r="AI36" s="199"/>
      <c r="AJ36" s="200">
        <f t="shared" si="0"/>
        <v>0</v>
      </c>
      <c r="AK36" s="199">
        <f t="shared" si="4"/>
        <v>0</v>
      </c>
      <c r="AL36" s="201">
        <f t="shared" si="1"/>
        <v>0</v>
      </c>
    </row>
    <row r="37" spans="2:38" s="173" customFormat="1" ht="24.75" customHeight="1">
      <c r="B37" s="174">
        <v>24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>30*121333.33</f>
        <v>3639999.9</v>
      </c>
      <c r="L37" s="169">
        <f t="shared" si="6"/>
        <v>30575.999999999996</v>
      </c>
      <c r="M37" s="189">
        <f>'[16]HARVESTING KHT'!$AQ12</f>
        <v>145800</v>
      </c>
      <c r="N37" s="189">
        <f>'[16]HARVESTING KHT'!$U12</f>
        <v>135000</v>
      </c>
      <c r="O37" s="189"/>
      <c r="P37" s="189"/>
      <c r="Q37" s="189"/>
      <c r="R37" s="189">
        <f>'[16]HARVESTING KHT'!$AA12</f>
        <v>0</v>
      </c>
      <c r="S37" s="189">
        <f>'[16]HARVESTING KHT'!$AB12</f>
        <v>79800</v>
      </c>
      <c r="T37" s="189"/>
      <c r="U37" s="189"/>
      <c r="V37" s="189">
        <f>'[16]HARVESTING KHT'!$AH12</f>
        <v>0</v>
      </c>
      <c r="W37" s="189">
        <f>'[6]HARVESTING KHT'!$AK19</f>
        <v>0</v>
      </c>
      <c r="X37" s="189">
        <f>'[16]HARVESTING KHT'!$Z12</f>
        <v>5000</v>
      </c>
      <c r="Y37" s="189"/>
      <c r="Z37" s="189"/>
      <c r="AA37" s="189"/>
      <c r="AB37" s="189">
        <f>-'[16]HARVESTING KHT'!$BI12</f>
        <v>0</v>
      </c>
      <c r="AC37" s="189"/>
      <c r="AD37" s="189"/>
      <c r="AE37" s="183">
        <f t="shared" si="8"/>
        <v>4036175</v>
      </c>
      <c r="AF37" s="184">
        <f t="shared" si="3"/>
        <v>0</v>
      </c>
      <c r="AG37" s="95">
        <f t="shared" si="7"/>
        <v>0</v>
      </c>
      <c r="AI37" s="199">
        <f>'[16]HARVESTING KHT'!$AL$12</f>
        <v>3859799.9</v>
      </c>
      <c r="AJ37" s="200">
        <f t="shared" si="0"/>
        <v>176376</v>
      </c>
      <c r="AK37" s="199">
        <f t="shared" si="4"/>
        <v>4036175.9</v>
      </c>
      <c r="AL37" s="201">
        <f t="shared" si="1"/>
        <v>0.89999999990686774</v>
      </c>
    </row>
    <row r="38" spans="2:38" s="173" customFormat="1" ht="24.75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8"/>
        <v>0</v>
      </c>
      <c r="AF38" s="184">
        <f t="shared" ref="AF38:AF82" si="10">IF(J38="TER A",VLOOKUP(AE38,Ter_A,4,TRUE),IF(J38="TER B",VLOOKUP(AE38,Ter_B,4,TRUE),VLOOKUP(AE38,Ter_C,4,TRUE)))</f>
        <v>0</v>
      </c>
      <c r="AG38" s="95">
        <f t="shared" si="7"/>
        <v>0</v>
      </c>
      <c r="AI38" s="199"/>
      <c r="AJ38" s="200">
        <f t="shared" si="0"/>
        <v>0</v>
      </c>
      <c r="AK38" s="199">
        <f t="shared" si="4"/>
        <v>0</v>
      </c>
      <c r="AL38" s="201">
        <f t="shared" si="1"/>
        <v>0</v>
      </c>
    </row>
    <row r="39" spans="2:38" s="173" customFormat="1" ht="24.75" customHeight="1">
      <c r="B39" s="174"/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/>
      <c r="L39" s="16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3">
        <f t="shared" si="8"/>
        <v>0</v>
      </c>
      <c r="AF39" s="184">
        <f t="shared" si="10"/>
        <v>0</v>
      </c>
      <c r="AG39" s="95">
        <f t="shared" si="7"/>
        <v>0</v>
      </c>
      <c r="AI39" s="199"/>
      <c r="AJ39" s="200">
        <f t="shared" si="0"/>
        <v>0</v>
      </c>
      <c r="AK39" s="199">
        <f t="shared" si="4"/>
        <v>0</v>
      </c>
      <c r="AL39" s="201">
        <f t="shared" si="1"/>
        <v>0</v>
      </c>
    </row>
    <row r="40" spans="2:38" s="173" customFormat="1" ht="24.75" customHeight="1">
      <c r="B40" s="174"/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/>
      <c r="L40" s="16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3">
        <f t="shared" si="8"/>
        <v>0</v>
      </c>
      <c r="AF40" s="184">
        <f t="shared" si="10"/>
        <v>0</v>
      </c>
      <c r="AG40" s="95">
        <f t="shared" si="7"/>
        <v>0</v>
      </c>
      <c r="AI40" s="199"/>
      <c r="AJ40" s="200">
        <f t="shared" si="0"/>
        <v>0</v>
      </c>
      <c r="AK40" s="199">
        <f t="shared" si="4"/>
        <v>0</v>
      </c>
      <c r="AL40" s="201">
        <f t="shared" si="1"/>
        <v>0</v>
      </c>
    </row>
    <row r="41" spans="2:38" s="173" customFormat="1" ht="24.75" customHeight="1">
      <c r="B41" s="174">
        <v>25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>30*121333.33</f>
        <v>3639999.9</v>
      </c>
      <c r="L41" s="169">
        <f t="shared" si="6"/>
        <v>30575.999999999996</v>
      </c>
      <c r="M41" s="189">
        <f>'[16]HARVESTING KHT'!$AQ13</f>
        <v>146320</v>
      </c>
      <c r="N41" s="189">
        <f>'[16]HARVESTING KHT'!$U13</f>
        <v>156600</v>
      </c>
      <c r="O41" s="189"/>
      <c r="P41" s="189"/>
      <c r="Q41" s="189"/>
      <c r="R41" s="189">
        <f>'[16]HARVESTING KHT'!$AA13</f>
        <v>0</v>
      </c>
      <c r="S41" s="189">
        <f>'[16]HARVESTING KHT'!$AB13</f>
        <v>108150</v>
      </c>
      <c r="T41" s="189"/>
      <c r="U41" s="189"/>
      <c r="V41" s="189">
        <f>'[16]HARVESTING KHT'!$AH13</f>
        <v>0</v>
      </c>
      <c r="W41" s="189">
        <f>'[6]HARVESTING KHT'!$AK23</f>
        <v>0</v>
      </c>
      <c r="X41" s="189">
        <f>'[16]HARVESTING KHT'!$Z13</f>
        <v>18000</v>
      </c>
      <c r="Y41" s="189"/>
      <c r="Z41" s="189"/>
      <c r="AA41" s="189"/>
      <c r="AB41" s="189">
        <f>-'[16]HARVESTING KHT'!$BI13</f>
        <v>-121333.33</v>
      </c>
      <c r="AC41" s="189"/>
      <c r="AD41" s="189"/>
      <c r="AE41" s="183">
        <f t="shared" si="8"/>
        <v>3978312</v>
      </c>
      <c r="AF41" s="184">
        <f t="shared" si="10"/>
        <v>0</v>
      </c>
      <c r="AG41" s="95">
        <f t="shared" si="7"/>
        <v>0</v>
      </c>
      <c r="AI41" s="199">
        <f>'[16]HARVESTING KHT'!$AL13</f>
        <v>3801416.5700000003</v>
      </c>
      <c r="AJ41" s="200">
        <f t="shared" si="0"/>
        <v>176896</v>
      </c>
      <c r="AK41" s="199">
        <f t="shared" si="4"/>
        <v>3978312.5700000003</v>
      </c>
      <c r="AL41" s="201">
        <f t="shared" si="1"/>
        <v>0.57000000029802322</v>
      </c>
    </row>
    <row r="42" spans="2:38" s="173" customFormat="1" ht="24.75" customHeight="1">
      <c r="B42" s="174">
        <v>26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>30*121333.33</f>
        <v>3639999.9</v>
      </c>
      <c r="L42" s="169">
        <f t="shared" si="6"/>
        <v>30575.999999999996</v>
      </c>
      <c r="M42" s="189">
        <f>'[16]HARVESTING KHT'!$AQ14</f>
        <v>146560</v>
      </c>
      <c r="N42" s="189">
        <f>'[16]HARVESTING KHT'!$U14</f>
        <v>135000</v>
      </c>
      <c r="O42" s="189"/>
      <c r="P42" s="189"/>
      <c r="Q42" s="189"/>
      <c r="R42" s="189">
        <f>'[16]HARVESTING KHT'!$AA14</f>
        <v>0</v>
      </c>
      <c r="S42" s="189">
        <f>'[16]HARVESTING KHT'!$AB14</f>
        <v>96600</v>
      </c>
      <c r="T42" s="189"/>
      <c r="U42" s="189"/>
      <c r="V42" s="189">
        <f>'[16]HARVESTING KHT'!$AH14</f>
        <v>0</v>
      </c>
      <c r="W42" s="189">
        <f>'[6]HARVESTING KHT'!$AK24</f>
        <v>0</v>
      </c>
      <c r="X42" s="189">
        <f>'[16]HARVESTING KHT'!$Z14</f>
        <v>24000</v>
      </c>
      <c r="Y42" s="189"/>
      <c r="Z42" s="189"/>
      <c r="AA42" s="189"/>
      <c r="AB42" s="189">
        <f>-'[16]HARVESTING KHT'!$BI14</f>
        <v>0</v>
      </c>
      <c r="AC42" s="189"/>
      <c r="AD42" s="189"/>
      <c r="AE42" s="183">
        <f t="shared" si="8"/>
        <v>4072735</v>
      </c>
      <c r="AF42" s="184">
        <f t="shared" si="10"/>
        <v>0</v>
      </c>
      <c r="AG42" s="95">
        <f t="shared" si="7"/>
        <v>0</v>
      </c>
      <c r="AI42" s="199">
        <f>'[16]HARVESTING KHT'!$AL14</f>
        <v>3895599.9</v>
      </c>
      <c r="AJ42" s="200">
        <f t="shared" si="0"/>
        <v>177136</v>
      </c>
      <c r="AK42" s="199">
        <f t="shared" si="4"/>
        <v>4072735.9</v>
      </c>
      <c r="AL42" s="201">
        <f t="shared" si="1"/>
        <v>0.89999999990686774</v>
      </c>
    </row>
    <row r="43" spans="2:38" s="173" customFormat="1" ht="24.75" customHeight="1">
      <c r="B43" s="174"/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/>
      <c r="L43" s="16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3">
        <f t="shared" si="8"/>
        <v>0</v>
      </c>
      <c r="AF43" s="184">
        <f t="shared" si="10"/>
        <v>0</v>
      </c>
      <c r="AG43" s="95">
        <f t="shared" si="7"/>
        <v>0</v>
      </c>
      <c r="AI43" s="199"/>
      <c r="AJ43" s="200">
        <f t="shared" si="0"/>
        <v>0</v>
      </c>
      <c r="AK43" s="199">
        <f t="shared" si="4"/>
        <v>0</v>
      </c>
      <c r="AL43" s="201">
        <f t="shared" si="1"/>
        <v>0</v>
      </c>
    </row>
    <row r="44" spans="2:38" s="173" customFormat="1" ht="24.75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8"/>
        <v>0</v>
      </c>
      <c r="AF44" s="184">
        <f t="shared" si="10"/>
        <v>0</v>
      </c>
      <c r="AG44" s="95">
        <f t="shared" si="7"/>
        <v>0</v>
      </c>
      <c r="AI44" s="199"/>
      <c r="AJ44" s="200">
        <f t="shared" si="0"/>
        <v>0</v>
      </c>
      <c r="AK44" s="199">
        <f t="shared" si="4"/>
        <v>0</v>
      </c>
      <c r="AL44" s="201">
        <f t="shared" si="1"/>
        <v>0</v>
      </c>
    </row>
    <row r="45" spans="2:38" s="173" customFormat="1" ht="24.75" customHeight="1">
      <c r="B45" s="174">
        <v>27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>30*121333.33</f>
        <v>3639999.9</v>
      </c>
      <c r="L45" s="169">
        <f t="shared" si="6"/>
        <v>30575.999999999996</v>
      </c>
      <c r="M45" s="189">
        <f>'[16]HARVESTING KHT'!$AQ15</f>
        <v>145700</v>
      </c>
      <c r="N45" s="189">
        <f>'[16]HARVESTING KHT'!$U15</f>
        <v>162000</v>
      </c>
      <c r="O45" s="189"/>
      <c r="P45" s="189"/>
      <c r="Q45" s="189"/>
      <c r="R45" s="189">
        <f>'[16]HARVESTING KHT'!$AA15</f>
        <v>14542</v>
      </c>
      <c r="S45" s="189">
        <f>'[16]HARVESTING KHT'!$AB15</f>
        <v>186900</v>
      </c>
      <c r="T45" s="189"/>
      <c r="U45" s="189"/>
      <c r="V45" s="189">
        <f>'[16]HARVESTING KHT'!$AH15</f>
        <v>0</v>
      </c>
      <c r="W45" s="189">
        <f>'[6]HARVESTING KHT'!$AK27</f>
        <v>0</v>
      </c>
      <c r="X45" s="189">
        <f>'[16]HARVESTING KHT'!$Z15</f>
        <v>2500</v>
      </c>
      <c r="Y45" s="189"/>
      <c r="Z45" s="189"/>
      <c r="AA45" s="189"/>
      <c r="AB45" s="189">
        <f>-'[16]HARVESTING KHT'!$BI15</f>
        <v>0</v>
      </c>
      <c r="AC45" s="189"/>
      <c r="AD45" s="189"/>
      <c r="AE45" s="183">
        <f t="shared" si="8"/>
        <v>4182217</v>
      </c>
      <c r="AF45" s="184">
        <f t="shared" si="10"/>
        <v>0</v>
      </c>
      <c r="AG45" s="95">
        <f t="shared" si="7"/>
        <v>0</v>
      </c>
      <c r="AI45" s="199">
        <f>'[16]HARVESTING KHT'!$AL15</f>
        <v>4005941.9</v>
      </c>
      <c r="AJ45" s="200">
        <f t="shared" si="0"/>
        <v>176276</v>
      </c>
      <c r="AK45" s="199">
        <f t="shared" si="4"/>
        <v>4182217.9</v>
      </c>
      <c r="AL45" s="201">
        <f>AK45-AE45</f>
        <v>0.89999999990686774</v>
      </c>
    </row>
    <row r="46" spans="2:38" s="173" customFormat="1" ht="24.75" customHeight="1">
      <c r="B46" s="174">
        <v>28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>30*121333.33</f>
        <v>3639999.9</v>
      </c>
      <c r="L46" s="169">
        <f t="shared" si="6"/>
        <v>30575.999999999996</v>
      </c>
      <c r="M46" s="189">
        <f>'[16]HARVESTING KHT'!$AQ16</f>
        <v>145900</v>
      </c>
      <c r="N46" s="189">
        <f>'[16]HARVESTING KHT'!$U16</f>
        <v>67500</v>
      </c>
      <c r="O46" s="189"/>
      <c r="P46" s="189"/>
      <c r="Q46" s="189"/>
      <c r="R46" s="189">
        <f>'[16]HARVESTING KHT'!$AA16</f>
        <v>445514</v>
      </c>
      <c r="S46" s="189">
        <f>'[16]HARVESTING KHT'!$AB16</f>
        <v>130200</v>
      </c>
      <c r="T46" s="189"/>
      <c r="U46" s="189"/>
      <c r="V46" s="189">
        <f>'[16]HARVESTING KHT'!$AH16</f>
        <v>0</v>
      </c>
      <c r="W46" s="189">
        <f>'[6]HARVESTING KHT'!$AK28</f>
        <v>0</v>
      </c>
      <c r="X46" s="189">
        <f>'[16]HARVESTING KHT'!$Z16</f>
        <v>7500</v>
      </c>
      <c r="Y46" s="189"/>
      <c r="Z46" s="189"/>
      <c r="AA46" s="189"/>
      <c r="AB46" s="189">
        <f>-'[16]HARVESTING KHT'!$BI16</f>
        <v>0</v>
      </c>
      <c r="AC46" s="189"/>
      <c r="AD46" s="189"/>
      <c r="AE46" s="183">
        <f t="shared" si="8"/>
        <v>4467189</v>
      </c>
      <c r="AF46" s="184">
        <f t="shared" si="10"/>
        <v>0</v>
      </c>
      <c r="AG46" s="95">
        <f t="shared" si="7"/>
        <v>0</v>
      </c>
      <c r="AI46" s="199">
        <f>'[16]HARVESTING KHT'!$AL16</f>
        <v>4290713.9000000004</v>
      </c>
      <c r="AJ46" s="200">
        <f t="shared" si="0"/>
        <v>176476</v>
      </c>
      <c r="AK46" s="199">
        <f t="shared" si="4"/>
        <v>4467189.9000000004</v>
      </c>
      <c r="AL46" s="201">
        <f>AK46-AE46</f>
        <v>0.90000000037252903</v>
      </c>
    </row>
    <row r="47" spans="2:38" s="173" customFormat="1" ht="24.75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>
        <f>'[6]HARVESTING KHT'!$AK29</f>
        <v>0</v>
      </c>
      <c r="X47" s="189"/>
      <c r="Y47" s="189"/>
      <c r="Z47" s="189"/>
      <c r="AA47" s="189"/>
      <c r="AB47" s="189"/>
      <c r="AC47" s="189"/>
      <c r="AD47" s="189"/>
      <c r="AE47" s="183">
        <f t="shared" si="8"/>
        <v>0</v>
      </c>
      <c r="AF47" s="184">
        <f t="shared" si="10"/>
        <v>0</v>
      </c>
      <c r="AG47" s="95">
        <f t="shared" si="7"/>
        <v>0</v>
      </c>
      <c r="AI47" s="199"/>
      <c r="AJ47" s="200">
        <f t="shared" si="0"/>
        <v>0</v>
      </c>
      <c r="AK47" s="199">
        <f t="shared" si="4"/>
        <v>0</v>
      </c>
      <c r="AL47" s="201">
        <f t="shared" si="1"/>
        <v>0</v>
      </c>
    </row>
    <row r="48" spans="2:38" s="173" customFormat="1" ht="24.75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8"/>
        <v>0</v>
      </c>
      <c r="AF48" s="184">
        <f t="shared" si="10"/>
        <v>0</v>
      </c>
      <c r="AG48" s="95">
        <f t="shared" si="7"/>
        <v>0</v>
      </c>
      <c r="AI48" s="199"/>
      <c r="AJ48" s="200">
        <f t="shared" si="0"/>
        <v>0</v>
      </c>
      <c r="AK48" s="199">
        <f t="shared" si="4"/>
        <v>0</v>
      </c>
      <c r="AL48" s="201">
        <f t="shared" si="1"/>
        <v>0</v>
      </c>
    </row>
    <row r="49" spans="2:38" s="173" customFormat="1" ht="24.75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8"/>
        <v>0</v>
      </c>
      <c r="AF49" s="184">
        <f t="shared" si="10"/>
        <v>0</v>
      </c>
      <c r="AG49" s="95">
        <f t="shared" si="7"/>
        <v>0</v>
      </c>
      <c r="AI49" s="199"/>
      <c r="AJ49" s="200">
        <f t="shared" si="0"/>
        <v>0</v>
      </c>
      <c r="AK49" s="199">
        <f t="shared" si="4"/>
        <v>0</v>
      </c>
      <c r="AL49" s="201">
        <f t="shared" si="1"/>
        <v>0</v>
      </c>
    </row>
    <row r="50" spans="2:38" s="173" customFormat="1" ht="24.75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8"/>
        <v>0</v>
      </c>
      <c r="AF50" s="184">
        <f t="shared" si="10"/>
        <v>0</v>
      </c>
      <c r="AG50" s="95">
        <f t="shared" si="7"/>
        <v>0</v>
      </c>
      <c r="AI50" s="199"/>
      <c r="AJ50" s="200">
        <f t="shared" si="0"/>
        <v>0</v>
      </c>
      <c r="AK50" s="199">
        <f t="shared" si="4"/>
        <v>0</v>
      </c>
      <c r="AL50" s="201">
        <f t="shared" si="1"/>
        <v>0</v>
      </c>
    </row>
    <row r="51" spans="2:38" s="173" customFormat="1" ht="24.75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8"/>
        <v>0</v>
      </c>
      <c r="AF51" s="184">
        <f t="shared" si="10"/>
        <v>0</v>
      </c>
      <c r="AG51" s="95">
        <f t="shared" si="7"/>
        <v>0</v>
      </c>
      <c r="AI51" s="199"/>
      <c r="AJ51" s="200">
        <f t="shared" si="0"/>
        <v>0</v>
      </c>
      <c r="AK51" s="199">
        <f t="shared" si="4"/>
        <v>0</v>
      </c>
      <c r="AL51" s="201">
        <f t="shared" si="1"/>
        <v>0</v>
      </c>
    </row>
    <row r="52" spans="2:38" s="173" customFormat="1" ht="24.75" customHeight="1">
      <c r="B52" s="174"/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/>
      <c r="L52" s="16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3">
        <f t="shared" si="8"/>
        <v>0</v>
      </c>
      <c r="AF52" s="184">
        <f t="shared" si="10"/>
        <v>0</v>
      </c>
      <c r="AG52" s="95">
        <f t="shared" si="7"/>
        <v>0</v>
      </c>
      <c r="AI52" s="199"/>
      <c r="AJ52" s="200">
        <f t="shared" si="0"/>
        <v>0</v>
      </c>
      <c r="AK52" s="199">
        <f t="shared" si="4"/>
        <v>0</v>
      </c>
      <c r="AL52" s="201">
        <f t="shared" si="1"/>
        <v>0</v>
      </c>
    </row>
    <row r="53" spans="2:38" s="173" customFormat="1" ht="24.75" customHeight="1">
      <c r="B53" s="174">
        <v>29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>30*121333.33</f>
        <v>3639999.9</v>
      </c>
      <c r="L53" s="169">
        <f t="shared" si="6"/>
        <v>30575.999999999996</v>
      </c>
      <c r="M53" s="189">
        <f>'[16]HARVESTING KHT'!$AQ17</f>
        <v>145800</v>
      </c>
      <c r="N53" s="189">
        <f>'[16]HARVESTING KHT'!$U17</f>
        <v>162000</v>
      </c>
      <c r="O53" s="189"/>
      <c r="P53" s="189"/>
      <c r="Q53" s="189"/>
      <c r="R53" s="189">
        <f>'[16]HARVESTING KHT'!$AA17</f>
        <v>22474</v>
      </c>
      <c r="S53" s="189">
        <f>'[16]HARVESTING KHT'!$AB17</f>
        <v>112350</v>
      </c>
      <c r="T53" s="189"/>
      <c r="U53" s="189"/>
      <c r="V53" s="189">
        <f>'[16]HARVESTING KHT'!$AH17</f>
        <v>0</v>
      </c>
      <c r="W53" s="189">
        <f>'[6]HARVESTING KHT'!$AK35</f>
        <v>0</v>
      </c>
      <c r="X53" s="189">
        <f>'[16]HARVESTING KHT'!$Z17</f>
        <v>5000</v>
      </c>
      <c r="Y53" s="189"/>
      <c r="Z53" s="189"/>
      <c r="AA53" s="189"/>
      <c r="AB53" s="189">
        <f>-'[16]HARVESTING KHT'!$BI17</f>
        <v>0</v>
      </c>
      <c r="AC53" s="189"/>
      <c r="AD53" s="189"/>
      <c r="AE53" s="183">
        <f t="shared" si="8"/>
        <v>4118199</v>
      </c>
      <c r="AF53" s="184">
        <f t="shared" si="10"/>
        <v>0</v>
      </c>
      <c r="AG53" s="95">
        <f t="shared" si="7"/>
        <v>0</v>
      </c>
      <c r="AI53" s="199">
        <f>'[16]HARVESTING KHT'!$AL$17</f>
        <v>3941823.9</v>
      </c>
      <c r="AJ53" s="200">
        <f t="shared" si="0"/>
        <v>176376</v>
      </c>
      <c r="AK53" s="199">
        <f t="shared" si="4"/>
        <v>4118199.9</v>
      </c>
      <c r="AL53" s="201">
        <f t="shared" si="1"/>
        <v>0.89999999990686774</v>
      </c>
    </row>
    <row r="54" spans="2:38" s="173" customFormat="1" ht="24.75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>
        <f>'[6]HARVESTING KHT'!$AK36</f>
        <v>0</v>
      </c>
      <c r="X54" s="189"/>
      <c r="Y54" s="189"/>
      <c r="Z54" s="189"/>
      <c r="AA54" s="189"/>
      <c r="AB54" s="189"/>
      <c r="AC54" s="189"/>
      <c r="AD54" s="189"/>
      <c r="AE54" s="183">
        <f t="shared" si="8"/>
        <v>0</v>
      </c>
      <c r="AF54" s="184">
        <f t="shared" si="10"/>
        <v>0</v>
      </c>
      <c r="AG54" s="95">
        <f t="shared" si="7"/>
        <v>0</v>
      </c>
      <c r="AI54" s="199"/>
      <c r="AJ54" s="200">
        <f t="shared" si="0"/>
        <v>0</v>
      </c>
      <c r="AK54" s="199">
        <f t="shared" si="4"/>
        <v>0</v>
      </c>
      <c r="AL54" s="201">
        <f t="shared" si="1"/>
        <v>0</v>
      </c>
    </row>
    <row r="55" spans="2:38" s="173" customFormat="1" ht="24.75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>
        <f>'[6]HARVESTING KHT'!$AK37</f>
        <v>0</v>
      </c>
      <c r="X55" s="189"/>
      <c r="Y55" s="189"/>
      <c r="Z55" s="189"/>
      <c r="AA55" s="189"/>
      <c r="AB55" s="189"/>
      <c r="AC55" s="189"/>
      <c r="AD55" s="189"/>
      <c r="AE55" s="183">
        <f t="shared" si="8"/>
        <v>0</v>
      </c>
      <c r="AF55" s="184">
        <f t="shared" si="10"/>
        <v>0</v>
      </c>
      <c r="AG55" s="95">
        <f t="shared" si="7"/>
        <v>0</v>
      </c>
      <c r="AI55" s="199"/>
      <c r="AJ55" s="200">
        <f t="shared" si="0"/>
        <v>0</v>
      </c>
      <c r="AK55" s="199">
        <f t="shared" si="4"/>
        <v>0</v>
      </c>
      <c r="AL55" s="201">
        <f t="shared" si="1"/>
        <v>0</v>
      </c>
    </row>
    <row r="56" spans="2:38" s="173" customFormat="1" ht="24.75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8"/>
        <v>0</v>
      </c>
      <c r="AF56" s="184">
        <f t="shared" si="10"/>
        <v>0</v>
      </c>
      <c r="AG56" s="95">
        <f t="shared" si="7"/>
        <v>0</v>
      </c>
      <c r="AI56" s="199"/>
      <c r="AJ56" s="200">
        <f t="shared" si="0"/>
        <v>0</v>
      </c>
      <c r="AK56" s="199">
        <f t="shared" si="4"/>
        <v>0</v>
      </c>
      <c r="AL56" s="201">
        <f t="shared" si="1"/>
        <v>0</v>
      </c>
    </row>
    <row r="57" spans="2:38" s="173" customFormat="1" ht="24.75" customHeight="1">
      <c r="B57" s="174">
        <v>30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>30*121333.33</f>
        <v>3639999.9</v>
      </c>
      <c r="L57" s="169">
        <f t="shared" si="6"/>
        <v>30575.999999999996</v>
      </c>
      <c r="M57" s="189">
        <f>'[16]HARVESTING KHT'!$AQ18</f>
        <v>146100</v>
      </c>
      <c r="N57" s="189">
        <f>'[16]HARVESTING KHT'!$U18</f>
        <v>162000</v>
      </c>
      <c r="O57" s="189"/>
      <c r="P57" s="189"/>
      <c r="Q57" s="189"/>
      <c r="R57" s="189">
        <f>'[16]HARVESTING KHT'!$AA18</f>
        <v>0</v>
      </c>
      <c r="S57" s="189">
        <f>'[16]HARVESTING KHT'!$AB18</f>
        <v>184800</v>
      </c>
      <c r="T57" s="189"/>
      <c r="U57" s="189"/>
      <c r="V57" s="189">
        <f>'[16]HARVESTING KHT'!$AH18</f>
        <v>0</v>
      </c>
      <c r="W57" s="189">
        <f>'[6]HARVESTING KHT'!$AK39</f>
        <v>0</v>
      </c>
      <c r="X57" s="189">
        <f>'[16]HARVESTING KHT'!$Z18</f>
        <v>12500</v>
      </c>
      <c r="Y57" s="189"/>
      <c r="Z57" s="189"/>
      <c r="AA57" s="189"/>
      <c r="AB57" s="189">
        <f>-'[16]HARVESTING KHT'!$BI18</f>
        <v>0</v>
      </c>
      <c r="AC57" s="189"/>
      <c r="AD57" s="189"/>
      <c r="AE57" s="183">
        <f t="shared" si="8"/>
        <v>4175975</v>
      </c>
      <c r="AF57" s="184">
        <f t="shared" si="10"/>
        <v>0</v>
      </c>
      <c r="AG57" s="95">
        <f t="shared" si="7"/>
        <v>0</v>
      </c>
      <c r="AI57" s="199">
        <f>'[16]HARVESTING KHT'!$AL18</f>
        <v>3999299.9</v>
      </c>
      <c r="AJ57" s="200">
        <f t="shared" si="0"/>
        <v>176676</v>
      </c>
      <c r="AK57" s="199">
        <f t="shared" si="4"/>
        <v>4175975.9</v>
      </c>
      <c r="AL57" s="201">
        <f t="shared" si="1"/>
        <v>0.89999999990686774</v>
      </c>
    </row>
    <row r="58" spans="2:38" s="173" customFormat="1" ht="24.75" customHeight="1">
      <c r="B58" s="174">
        <v>31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>30*121333.33</f>
        <v>3639999.9</v>
      </c>
      <c r="L58" s="169">
        <f t="shared" si="6"/>
        <v>30575.999999999996</v>
      </c>
      <c r="M58" s="189">
        <f>'[16]HARVESTING KHT'!$AQ19</f>
        <v>145700</v>
      </c>
      <c r="N58" s="189">
        <f>'[16]HARVESTING KHT'!$U19</f>
        <v>108000</v>
      </c>
      <c r="O58" s="189"/>
      <c r="P58" s="189"/>
      <c r="Q58" s="189"/>
      <c r="R58" s="189">
        <f>'[16]HARVESTING KHT'!$AA19</f>
        <v>0</v>
      </c>
      <c r="S58" s="189">
        <f>'[16]HARVESTING KHT'!$AB19</f>
        <v>181650</v>
      </c>
      <c r="T58" s="189"/>
      <c r="U58" s="189"/>
      <c r="V58" s="189">
        <f>'[16]HARVESTING KHT'!$AH19</f>
        <v>0</v>
      </c>
      <c r="W58" s="189">
        <f>'[6]HARVESTING KHT'!$AK40</f>
        <v>0</v>
      </c>
      <c r="X58" s="189">
        <f>'[16]HARVESTING KHT'!$Z19</f>
        <v>2500</v>
      </c>
      <c r="Y58" s="189"/>
      <c r="Z58" s="189"/>
      <c r="AA58" s="189"/>
      <c r="AB58" s="189">
        <f>-'[16]HARVESTING KHT'!$BI19</f>
        <v>0</v>
      </c>
      <c r="AC58" s="189"/>
      <c r="AD58" s="189"/>
      <c r="AE58" s="183">
        <f t="shared" si="8"/>
        <v>4108425</v>
      </c>
      <c r="AF58" s="184">
        <f t="shared" si="10"/>
        <v>0</v>
      </c>
      <c r="AG58" s="95">
        <f t="shared" si="7"/>
        <v>0</v>
      </c>
      <c r="AI58" s="199">
        <f>'[16]HARVESTING KHT'!$AL19</f>
        <v>3932149.9</v>
      </c>
      <c r="AJ58" s="200">
        <f t="shared" si="0"/>
        <v>176276</v>
      </c>
      <c r="AK58" s="199">
        <f t="shared" si="4"/>
        <v>4108425.9</v>
      </c>
      <c r="AL58" s="201">
        <f t="shared" si="1"/>
        <v>0.89999999990686774</v>
      </c>
    </row>
    <row r="59" spans="2:38" s="173" customFormat="1" ht="24.75" customHeight="1">
      <c r="B59" s="174"/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/>
      <c r="L59" s="16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3">
        <f t="shared" si="8"/>
        <v>0</v>
      </c>
      <c r="AF59" s="184">
        <f t="shared" si="10"/>
        <v>0</v>
      </c>
      <c r="AG59" s="95">
        <f t="shared" si="7"/>
        <v>0</v>
      </c>
      <c r="AI59" s="199"/>
      <c r="AJ59" s="200">
        <f t="shared" si="0"/>
        <v>0</v>
      </c>
      <c r="AK59" s="199">
        <f t="shared" si="4"/>
        <v>0</v>
      </c>
      <c r="AL59" s="201">
        <f t="shared" si="1"/>
        <v>0</v>
      </c>
    </row>
    <row r="60" spans="2:38" s="173" customFormat="1" ht="24.75" customHeight="1">
      <c r="B60" s="174">
        <v>32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>30*121333.33</f>
        <v>3639999.9</v>
      </c>
      <c r="L60" s="169">
        <f t="shared" si="6"/>
        <v>30575.999999999996</v>
      </c>
      <c r="M60" s="189">
        <f>'[16]HARVESTING KHT'!$AQ20</f>
        <v>145700</v>
      </c>
      <c r="N60" s="189">
        <f>'[16]HARVESTING KHT'!$U20</f>
        <v>162000</v>
      </c>
      <c r="O60" s="189"/>
      <c r="P60" s="189"/>
      <c r="Q60" s="189"/>
      <c r="R60" s="189">
        <f>'[16]HARVESTING KHT'!$AA20</f>
        <v>81964</v>
      </c>
      <c r="S60" s="189">
        <f>'[16]HARVESTING KHT'!$AB20</f>
        <v>137550</v>
      </c>
      <c r="T60" s="189"/>
      <c r="U60" s="189"/>
      <c r="V60" s="189">
        <f>'[16]HARVESTING KHT'!$AH20</f>
        <v>0</v>
      </c>
      <c r="W60" s="189">
        <f>'[6]HARVESTING KHT'!$AK42</f>
        <v>0</v>
      </c>
      <c r="X60" s="189">
        <f>'[16]HARVESTING KHT'!$Z20</f>
        <v>2500</v>
      </c>
      <c r="Y60" s="189"/>
      <c r="Z60" s="189"/>
      <c r="AA60" s="189"/>
      <c r="AB60" s="189">
        <f>-'[16]HARVESTING KHT'!$BI20</f>
        <v>0</v>
      </c>
      <c r="AC60" s="189"/>
      <c r="AD60" s="189"/>
      <c r="AE60" s="183">
        <f t="shared" si="8"/>
        <v>4200289</v>
      </c>
      <c r="AF60" s="184">
        <f t="shared" si="10"/>
        <v>0</v>
      </c>
      <c r="AG60" s="95">
        <f t="shared" si="7"/>
        <v>0</v>
      </c>
      <c r="AI60" s="199">
        <f>'[16]HARVESTING KHT'!$AL$20</f>
        <v>4024013.9</v>
      </c>
      <c r="AJ60" s="200">
        <f t="shared" si="0"/>
        <v>176276</v>
      </c>
      <c r="AK60" s="199">
        <f t="shared" si="4"/>
        <v>4200289.9000000004</v>
      </c>
      <c r="AL60" s="201">
        <f t="shared" si="1"/>
        <v>0.90000000037252903</v>
      </c>
    </row>
    <row r="61" spans="2:38" s="173" customFormat="1" ht="24.75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>
        <f>'[6]HARVESTING KHT'!$AK43</f>
        <v>0</v>
      </c>
      <c r="X61" s="189"/>
      <c r="Y61" s="189"/>
      <c r="Z61" s="189"/>
      <c r="AA61" s="189"/>
      <c r="AB61" s="189"/>
      <c r="AC61" s="189"/>
      <c r="AD61" s="189"/>
      <c r="AE61" s="183">
        <f t="shared" si="8"/>
        <v>0</v>
      </c>
      <c r="AF61" s="184">
        <f t="shared" si="10"/>
        <v>0</v>
      </c>
      <c r="AG61" s="95">
        <f t="shared" si="7"/>
        <v>0</v>
      </c>
      <c r="AI61" s="199"/>
      <c r="AJ61" s="200">
        <f t="shared" si="0"/>
        <v>0</v>
      </c>
      <c r="AK61" s="199">
        <f t="shared" si="4"/>
        <v>0</v>
      </c>
      <c r="AL61" s="201">
        <f t="shared" si="1"/>
        <v>0</v>
      </c>
    </row>
    <row r="62" spans="2:38" s="173" customFormat="1" ht="24.75" customHeight="1">
      <c r="B62" s="174">
        <v>33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>30*121333.33</f>
        <v>3639999.9</v>
      </c>
      <c r="L62" s="169">
        <f t="shared" si="6"/>
        <v>30575.999999999996</v>
      </c>
      <c r="M62" s="189">
        <f>'[16]HARVESTING KHT'!$AQ21</f>
        <v>146000</v>
      </c>
      <c r="N62" s="189">
        <f>'[16]HARVESTING KHT'!$U21</f>
        <v>162000</v>
      </c>
      <c r="O62" s="189"/>
      <c r="P62" s="189"/>
      <c r="Q62" s="189"/>
      <c r="R62" s="189">
        <f>'[16]HARVESTING KHT'!$AA21</f>
        <v>71388</v>
      </c>
      <c r="S62" s="189">
        <f>'[16]HARVESTING KHT'!$AB21</f>
        <v>132300</v>
      </c>
      <c r="T62" s="189"/>
      <c r="U62" s="189"/>
      <c r="V62" s="189">
        <f>'[16]HARVESTING KHT'!$AH21</f>
        <v>0</v>
      </c>
      <c r="W62" s="189">
        <f>'[6]HARVESTING KHT'!$AK44</f>
        <v>0</v>
      </c>
      <c r="X62" s="189">
        <f>'[16]HARVESTING KHT'!$Z21</f>
        <v>10000</v>
      </c>
      <c r="Y62" s="189"/>
      <c r="Z62" s="189"/>
      <c r="AA62" s="189"/>
      <c r="AB62" s="189">
        <f>-'[16]HARVESTING KHT'!$BI21</f>
        <v>0</v>
      </c>
      <c r="AC62" s="189"/>
      <c r="AD62" s="189"/>
      <c r="AE62" s="183">
        <f t="shared" si="8"/>
        <v>4192263</v>
      </c>
      <c r="AF62" s="184">
        <f t="shared" si="10"/>
        <v>0</v>
      </c>
      <c r="AG62" s="95">
        <f t="shared" si="7"/>
        <v>0</v>
      </c>
      <c r="AI62" s="199">
        <f>'[16]HARVESTING KHT'!$AL$21</f>
        <v>4015687.9</v>
      </c>
      <c r="AJ62" s="200">
        <f t="shared" si="0"/>
        <v>176576</v>
      </c>
      <c r="AK62" s="199">
        <f t="shared" si="4"/>
        <v>4192263.9</v>
      </c>
      <c r="AL62" s="201">
        <f t="shared" si="1"/>
        <v>0.89999999990686774</v>
      </c>
    </row>
    <row r="63" spans="2:38" s="173" customFormat="1" ht="24.75" customHeight="1">
      <c r="B63" s="174">
        <v>34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 t="shared" ref="K63:K82" si="11">30*121333.33</f>
        <v>3639999.9</v>
      </c>
      <c r="L63" s="169">
        <f t="shared" si="6"/>
        <v>30575.999999999996</v>
      </c>
      <c r="M63" s="189">
        <f>[15]TRANSPORT!$AH11</f>
        <v>146920</v>
      </c>
      <c r="N63" s="189">
        <f>[16]TRANSPORT!$S11</f>
        <v>130500</v>
      </c>
      <c r="O63" s="189">
        <f>[16]TRANSPORT!$V11</f>
        <v>66000</v>
      </c>
      <c r="P63" s="189">
        <f>[16]TRANSPORT!$Y11</f>
        <v>694335.17999999993</v>
      </c>
      <c r="Q63" s="189">
        <f>[16]TRANSPORT!$Z11</f>
        <v>1763660</v>
      </c>
      <c r="R63" s="189"/>
      <c r="S63" s="189"/>
      <c r="T63" s="189"/>
      <c r="U63" s="189"/>
      <c r="V63" s="189"/>
      <c r="W63" s="189"/>
      <c r="X63" s="189">
        <f>[15]TRANSPORT!$X11</f>
        <v>33000</v>
      </c>
      <c r="Y63" s="189"/>
      <c r="Z63" s="189"/>
      <c r="AA63" s="189"/>
      <c r="AB63" s="189">
        <f>-[16]TRANSPORT!$AX11</f>
        <v>-121333.33</v>
      </c>
      <c r="AC63" s="189"/>
      <c r="AD63" s="189"/>
      <c r="AE63" s="183">
        <f t="shared" si="8"/>
        <v>6383657</v>
      </c>
      <c r="AF63" s="184">
        <f t="shared" si="10"/>
        <v>2.5000000000000001E-3</v>
      </c>
      <c r="AG63" s="95">
        <f>ROUNDDOWN(IF(E63=0,AE63*AF63*120%,AE63*AF63),0)</f>
        <v>15959</v>
      </c>
      <c r="AI63" s="199">
        <f>[16]TRANSPORT!$AC11</f>
        <v>6206161.75</v>
      </c>
      <c r="AJ63" s="200">
        <f t="shared" si="0"/>
        <v>177496</v>
      </c>
      <c r="AK63" s="199">
        <f t="shared" si="4"/>
        <v>6383657.75</v>
      </c>
      <c r="AL63" s="201">
        <f t="shared" si="1"/>
        <v>0.75</v>
      </c>
    </row>
    <row r="64" spans="2:38" s="173" customFormat="1" ht="24.75" customHeight="1">
      <c r="B64" s="174">
        <v>35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 t="shared" si="11"/>
        <v>3639999.9</v>
      </c>
      <c r="L64" s="169">
        <f t="shared" si="6"/>
        <v>30575.999999999996</v>
      </c>
      <c r="M64" s="189">
        <f>[15]TRANSPORT!$AH12</f>
        <v>147480</v>
      </c>
      <c r="N64" s="189">
        <f>[16]TRANSPORT!$S12</f>
        <v>145800</v>
      </c>
      <c r="O64" s="189">
        <f>[16]TRANSPORT!$V12</f>
        <v>42000</v>
      </c>
      <c r="P64" s="189">
        <f>[16]TRANSPORT!$Y12</f>
        <v>736416.1</v>
      </c>
      <c r="Q64" s="189">
        <f>[16]TRANSPORT!$Z12</f>
        <v>1235585</v>
      </c>
      <c r="R64" s="189"/>
      <c r="S64" s="189"/>
      <c r="T64" s="189"/>
      <c r="U64" s="189"/>
      <c r="V64" s="189"/>
      <c r="W64" s="189"/>
      <c r="X64" s="189">
        <f>[15]TRANSPORT!$X12</f>
        <v>47000</v>
      </c>
      <c r="Y64" s="189"/>
      <c r="Z64" s="189"/>
      <c r="AA64" s="189"/>
      <c r="AB64" s="189">
        <f>-[16]TRANSPORT!$AX12</f>
        <v>-363999.99</v>
      </c>
      <c r="AC64" s="189"/>
      <c r="AD64" s="189"/>
      <c r="AE64" s="183">
        <f t="shared" si="8"/>
        <v>5660857</v>
      </c>
      <c r="AF64" s="184">
        <f t="shared" si="10"/>
        <v>0</v>
      </c>
      <c r="AG64" s="95">
        <f t="shared" si="7"/>
        <v>0</v>
      </c>
      <c r="AI64" s="199">
        <f>[16]TRANSPORT!$AC12</f>
        <v>5482801.0099999998</v>
      </c>
      <c r="AJ64" s="200">
        <f t="shared" si="0"/>
        <v>178056</v>
      </c>
      <c r="AK64" s="199">
        <f t="shared" si="4"/>
        <v>5660857.0099999998</v>
      </c>
      <c r="AL64" s="201">
        <f t="shared" si="1"/>
        <v>9.9999997764825821E-3</v>
      </c>
    </row>
    <row r="65" spans="2:38" s="173" customFormat="1" ht="24.75" customHeight="1">
      <c r="B65" s="174">
        <v>36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 t="shared" si="11"/>
        <v>3639999.9</v>
      </c>
      <c r="L65" s="169">
        <f t="shared" si="6"/>
        <v>30575.999999999996</v>
      </c>
      <c r="M65" s="189">
        <f>[15]TRANSPORT!$AH13</f>
        <v>148040</v>
      </c>
      <c r="N65" s="189">
        <f>[16]TRANSPORT!$S13</f>
        <v>130500</v>
      </c>
      <c r="O65" s="189">
        <f>[16]TRANSPORT!$V13</f>
        <v>63000</v>
      </c>
      <c r="P65" s="189">
        <f>[16]TRANSPORT!$Y13</f>
        <v>873179.09</v>
      </c>
      <c r="Q65" s="189">
        <f>[16]TRANSPORT!$Z13</f>
        <v>664675</v>
      </c>
      <c r="R65" s="189"/>
      <c r="S65" s="189"/>
      <c r="T65" s="189"/>
      <c r="U65" s="189"/>
      <c r="V65" s="189"/>
      <c r="W65" s="189"/>
      <c r="X65" s="189">
        <f>[15]TRANSPORT!$X13</f>
        <v>61000</v>
      </c>
      <c r="Y65" s="189"/>
      <c r="Z65" s="189"/>
      <c r="AA65" s="189"/>
      <c r="AB65" s="189">
        <f>-[16]TRANSPORT!$AX13</f>
        <v>-121333.33</v>
      </c>
      <c r="AC65" s="189"/>
      <c r="AD65" s="189"/>
      <c r="AE65" s="183">
        <f t="shared" si="8"/>
        <v>5489636</v>
      </c>
      <c r="AF65" s="184">
        <f t="shared" si="10"/>
        <v>0</v>
      </c>
      <c r="AG65" s="95">
        <f t="shared" si="7"/>
        <v>0</v>
      </c>
      <c r="AI65" s="199">
        <f>[16]TRANSPORT!$AC13</f>
        <v>5311020.66</v>
      </c>
      <c r="AJ65" s="200">
        <f t="shared" si="0"/>
        <v>178616</v>
      </c>
      <c r="AK65" s="199">
        <f>AI65+AJ65+AD65</f>
        <v>5489636.6600000001</v>
      </c>
      <c r="AL65" s="201">
        <f t="shared" si="1"/>
        <v>0.66000000014901161</v>
      </c>
    </row>
    <row r="66" spans="2:38" s="173" customFormat="1" ht="24.75" customHeight="1">
      <c r="B66" s="174">
        <v>37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 t="shared" si="11"/>
        <v>3639999.9</v>
      </c>
      <c r="L66" s="169">
        <f t="shared" si="6"/>
        <v>30575.999999999996</v>
      </c>
      <c r="M66" s="189">
        <f>[15]TRANSPORT!$AH14</f>
        <v>146800</v>
      </c>
      <c r="N66" s="189">
        <f>[16]TRANSPORT!$S14</f>
        <v>162000</v>
      </c>
      <c r="O66" s="189">
        <f>[16]TRANSPORT!$V14</f>
        <v>44000</v>
      </c>
      <c r="P66" s="189">
        <f>[16]TRANSPORT!$Y14</f>
        <v>1073063.46</v>
      </c>
      <c r="Q66" s="189">
        <f>[16]TRANSPORT!$Z14</f>
        <v>643180</v>
      </c>
      <c r="R66" s="189"/>
      <c r="S66" s="189"/>
      <c r="T66" s="189"/>
      <c r="U66" s="189"/>
      <c r="V66" s="189"/>
      <c r="W66" s="189"/>
      <c r="X66" s="189">
        <f>[15]TRANSPORT!$X14</f>
        <v>30000</v>
      </c>
      <c r="Y66" s="189"/>
      <c r="Z66" s="189"/>
      <c r="AA66" s="189"/>
      <c r="AB66" s="189">
        <f>-[16]TRANSPORT!$AX14</f>
        <v>0</v>
      </c>
      <c r="AC66" s="189"/>
      <c r="AD66" s="189"/>
      <c r="AE66" s="183">
        <f>ROUNDDOWN(SUM(K66:AD66),0)</f>
        <v>5769619</v>
      </c>
      <c r="AF66" s="184">
        <f t="shared" si="10"/>
        <v>0</v>
      </c>
      <c r="AG66" s="95">
        <f t="shared" si="7"/>
        <v>0</v>
      </c>
      <c r="AI66" s="199">
        <f>[16]TRANSPORT!$AC14</f>
        <v>5592243.3599999994</v>
      </c>
      <c r="AJ66" s="200">
        <f t="shared" si="0"/>
        <v>177376</v>
      </c>
      <c r="AK66" s="199">
        <f t="shared" si="4"/>
        <v>5769619.3599999994</v>
      </c>
      <c r="AL66" s="201">
        <f t="shared" si="1"/>
        <v>0.35999999940395355</v>
      </c>
    </row>
    <row r="67" spans="2:38" s="173" customFormat="1" ht="24.75" customHeight="1">
      <c r="B67" s="174">
        <v>38</v>
      </c>
      <c r="C67" s="271" t="s">
        <v>347</v>
      </c>
      <c r="D67" s="192" t="s">
        <v>359</v>
      </c>
      <c r="E67" s="195" t="s">
        <v>74</v>
      </c>
      <c r="F67" s="157" t="s">
        <v>357</v>
      </c>
      <c r="G67" s="272" t="s">
        <v>293</v>
      </c>
      <c r="H67" s="187" t="s">
        <v>39</v>
      </c>
      <c r="I67" s="188" t="s">
        <v>9</v>
      </c>
      <c r="J67" s="181" t="str">
        <f t="shared" si="2"/>
        <v>TER B</v>
      </c>
      <c r="K67" s="182">
        <f t="shared" si="11"/>
        <v>3639999.9</v>
      </c>
      <c r="L67" s="169">
        <f t="shared" si="6"/>
        <v>30575.999999999996</v>
      </c>
      <c r="M67" s="189">
        <f>'[16]HARVESTING KHT'!$AQ22</f>
        <v>146200</v>
      </c>
      <c r="N67" s="189">
        <f>'[16]HARVESTING KHT'!$U22</f>
        <v>135000</v>
      </c>
      <c r="O67" s="189"/>
      <c r="P67" s="189"/>
      <c r="Q67" s="189"/>
      <c r="R67" s="189">
        <f>'[16]HARVESTING KHT'!$AA22</f>
        <v>0</v>
      </c>
      <c r="S67" s="189">
        <f>'[16]HARVESTING KHT'!$AB22</f>
        <v>140700</v>
      </c>
      <c r="T67" s="189"/>
      <c r="U67" s="189"/>
      <c r="V67" s="189">
        <f>'[16]HARVESTING KHT'!$AH22</f>
        <v>0</v>
      </c>
      <c r="W67" s="189"/>
      <c r="X67" s="189">
        <f>'[16]HARVESTING KHT'!$Z22</f>
        <v>15000</v>
      </c>
      <c r="Y67" s="189"/>
      <c r="Z67" s="189"/>
      <c r="AA67" s="189"/>
      <c r="AB67" s="189">
        <f>-'[16]HARVESTING KHT'!$BI22</f>
        <v>0</v>
      </c>
      <c r="AC67" s="189"/>
      <c r="AD67" s="189"/>
      <c r="AE67" s="183">
        <f t="shared" ref="AE67:AE82" si="12">ROUNDDOWN(SUM(K67:AD67),0)</f>
        <v>4107475</v>
      </c>
      <c r="AF67" s="184">
        <f>IF(J67="TER A",VLOOKUP(AE67,Ter_A,4,TRUE),IF(J67="TER B",VLOOKUP(AE67,Ter_B,4,TRUE),VLOOKUP(AE67,Ter_C,4,TRUE)))</f>
        <v>0</v>
      </c>
      <c r="AG67" s="95">
        <f t="shared" si="7"/>
        <v>0</v>
      </c>
      <c r="AI67" s="199">
        <f>'[16]HARVESTING KHT'!$AL22</f>
        <v>3930699.9</v>
      </c>
      <c r="AJ67" s="200">
        <f t="shared" si="0"/>
        <v>176776</v>
      </c>
      <c r="AK67" s="199">
        <f>AI67+AJ67+AD67</f>
        <v>4107475.9</v>
      </c>
      <c r="AL67" s="201">
        <f t="shared" si="1"/>
        <v>0.89999999990686774</v>
      </c>
    </row>
    <row r="68" spans="2:38" s="173" customFormat="1" ht="24.75" customHeight="1">
      <c r="B68" s="174">
        <v>39</v>
      </c>
      <c r="C68" s="271" t="s">
        <v>348</v>
      </c>
      <c r="D68" s="192" t="s">
        <v>360</v>
      </c>
      <c r="E68" s="195" t="s">
        <v>74</v>
      </c>
      <c r="F68" s="157" t="s">
        <v>358</v>
      </c>
      <c r="G68" s="272" t="s">
        <v>293</v>
      </c>
      <c r="H68" s="187" t="s">
        <v>39</v>
      </c>
      <c r="I68" s="188" t="s">
        <v>9</v>
      </c>
      <c r="J68" s="181" t="str">
        <f t="shared" si="2"/>
        <v>TER B</v>
      </c>
      <c r="K68" s="182">
        <f t="shared" si="11"/>
        <v>3639999.9</v>
      </c>
      <c r="L68" s="169">
        <f t="shared" si="6"/>
        <v>30575.999999999996</v>
      </c>
      <c r="M68" s="189">
        <f>'[16]HARVESTING KHT'!$AQ23</f>
        <v>146200</v>
      </c>
      <c r="N68" s="189">
        <f>'[16]HARVESTING KHT'!$U23</f>
        <v>135000</v>
      </c>
      <c r="O68" s="189"/>
      <c r="P68" s="189"/>
      <c r="Q68" s="189"/>
      <c r="R68" s="189">
        <f>'[16]HARVESTING KHT'!$AA23</f>
        <v>0</v>
      </c>
      <c r="S68" s="189">
        <f>'[16]HARVESTING KHT'!$AB23</f>
        <v>142800</v>
      </c>
      <c r="T68" s="189"/>
      <c r="U68" s="189"/>
      <c r="V68" s="189">
        <f>'[16]HARVESTING KHT'!$AH23</f>
        <v>0</v>
      </c>
      <c r="W68" s="189"/>
      <c r="X68" s="189">
        <f>'[16]HARVESTING KHT'!$Z23</f>
        <v>15000</v>
      </c>
      <c r="Y68" s="189"/>
      <c r="Z68" s="189"/>
      <c r="AA68" s="189"/>
      <c r="AB68" s="189">
        <f>-'[16]HARVESTING KHT'!$BI23</f>
        <v>0</v>
      </c>
      <c r="AC68" s="189"/>
      <c r="AD68" s="189"/>
      <c r="AE68" s="183">
        <f t="shared" si="12"/>
        <v>4109575</v>
      </c>
      <c r="AF68" s="184">
        <f t="shared" si="10"/>
        <v>0</v>
      </c>
      <c r="AG68" s="95">
        <f t="shared" si="7"/>
        <v>0</v>
      </c>
      <c r="AI68" s="199">
        <f>'[16]HARVESTING KHT'!$AL23</f>
        <v>3932799.9</v>
      </c>
      <c r="AJ68" s="200">
        <f t="shared" si="0"/>
        <v>176776</v>
      </c>
      <c r="AK68" s="199">
        <f t="shared" si="4"/>
        <v>4109575.9</v>
      </c>
      <c r="AL68" s="201">
        <f t="shared" si="1"/>
        <v>0.89999999990686774</v>
      </c>
    </row>
    <row r="69" spans="2:38" s="173" customFormat="1" ht="24.75" customHeight="1">
      <c r="B69" s="174">
        <v>40</v>
      </c>
      <c r="C69" s="271" t="s">
        <v>349</v>
      </c>
      <c r="D69" s="192" t="s">
        <v>361</v>
      </c>
      <c r="E69" s="195" t="s">
        <v>352</v>
      </c>
      <c r="F69" s="157" t="s">
        <v>362</v>
      </c>
      <c r="G69" s="272" t="s">
        <v>293</v>
      </c>
      <c r="H69" s="187" t="s">
        <v>39</v>
      </c>
      <c r="I69" s="188" t="s">
        <v>11</v>
      </c>
      <c r="J69" s="181" t="str">
        <f t="shared" si="2"/>
        <v>TER B</v>
      </c>
      <c r="K69" s="182">
        <f t="shared" si="11"/>
        <v>3639999.9</v>
      </c>
      <c r="L69" s="169">
        <f t="shared" si="6"/>
        <v>30575.999999999996</v>
      </c>
      <c r="M69" s="189">
        <f>'[16]HARVESTING KHT'!$AQ24</f>
        <v>146560</v>
      </c>
      <c r="N69" s="189">
        <f>'[16]HARVESTING KHT'!$U24</f>
        <v>162000</v>
      </c>
      <c r="O69" s="189"/>
      <c r="P69" s="189"/>
      <c r="Q69" s="189"/>
      <c r="R69" s="189">
        <f>'[16]HARVESTING KHT'!$AA24</f>
        <v>0</v>
      </c>
      <c r="S69" s="189">
        <f>'[16]HARVESTING KHT'!$AB24</f>
        <v>107100</v>
      </c>
      <c r="T69" s="189"/>
      <c r="U69" s="189"/>
      <c r="V69" s="189">
        <f>'[16]HARVESTING KHT'!$AH24</f>
        <v>0</v>
      </c>
      <c r="W69" s="189"/>
      <c r="X69" s="189">
        <f>'[16]HARVESTING KHT'!$Z24</f>
        <v>24000</v>
      </c>
      <c r="Y69" s="189"/>
      <c r="Z69" s="189"/>
      <c r="AA69" s="189"/>
      <c r="AB69" s="189">
        <f>-'[16]HARVESTING KHT'!$BI24</f>
        <v>0</v>
      </c>
      <c r="AC69" s="189"/>
      <c r="AD69" s="189"/>
      <c r="AE69" s="183">
        <f t="shared" si="12"/>
        <v>4110235</v>
      </c>
      <c r="AF69" s="184">
        <f t="shared" si="10"/>
        <v>0</v>
      </c>
      <c r="AG69" s="95">
        <f t="shared" si="7"/>
        <v>0</v>
      </c>
      <c r="AI69" s="199">
        <f>'[16]HARVESTING KHT'!$AL24</f>
        <v>3933099.9</v>
      </c>
      <c r="AJ69" s="200">
        <f t="shared" si="0"/>
        <v>177136</v>
      </c>
      <c r="AK69" s="199">
        <f t="shared" si="4"/>
        <v>4110235.9</v>
      </c>
      <c r="AL69" s="201">
        <f t="shared" si="1"/>
        <v>0.89999999990686774</v>
      </c>
    </row>
    <row r="70" spans="2:38" s="173" customFormat="1" ht="24.75" customHeight="1">
      <c r="B70" s="174">
        <v>41</v>
      </c>
      <c r="C70" s="271" t="s">
        <v>350</v>
      </c>
      <c r="D70" s="192" t="s">
        <v>363</v>
      </c>
      <c r="E70" s="195" t="s">
        <v>74</v>
      </c>
      <c r="F70" s="157" t="s">
        <v>364</v>
      </c>
      <c r="G70" s="272" t="s">
        <v>293</v>
      </c>
      <c r="H70" s="187" t="s">
        <v>39</v>
      </c>
      <c r="I70" s="188" t="s">
        <v>9</v>
      </c>
      <c r="J70" s="181" t="str">
        <f t="shared" si="2"/>
        <v>TER B</v>
      </c>
      <c r="K70" s="182">
        <f t="shared" si="11"/>
        <v>3639999.9</v>
      </c>
      <c r="L70" s="169">
        <f t="shared" si="6"/>
        <v>30575.999999999996</v>
      </c>
      <c r="M70" s="189">
        <f>'[16]HARVESTING KHT'!$AQ25</f>
        <v>146000</v>
      </c>
      <c r="N70" s="189">
        <f>'[16]HARVESTING KHT'!$U25</f>
        <v>135000</v>
      </c>
      <c r="O70" s="189"/>
      <c r="P70" s="189"/>
      <c r="Q70" s="189"/>
      <c r="R70" s="189">
        <f>'[16]HARVESTING KHT'!$AA25</f>
        <v>0</v>
      </c>
      <c r="S70" s="189">
        <f>'[16]HARVESTING KHT'!$AB25</f>
        <v>115500</v>
      </c>
      <c r="T70" s="189"/>
      <c r="U70" s="189"/>
      <c r="V70" s="189">
        <f>'[16]HARVESTING KHT'!$AH25</f>
        <v>0</v>
      </c>
      <c r="W70" s="189"/>
      <c r="X70" s="189">
        <f>'[16]HARVESTING KHT'!$Z25</f>
        <v>10000</v>
      </c>
      <c r="Y70" s="189"/>
      <c r="Z70" s="189"/>
      <c r="AA70" s="189"/>
      <c r="AB70" s="189">
        <f>-'[16]HARVESTING KHT'!$BI25</f>
        <v>0</v>
      </c>
      <c r="AC70" s="189"/>
      <c r="AD70" s="189"/>
      <c r="AE70" s="183">
        <f t="shared" si="12"/>
        <v>4077075</v>
      </c>
      <c r="AF70" s="184">
        <f t="shared" si="10"/>
        <v>0</v>
      </c>
      <c r="AG70" s="95">
        <f t="shared" si="7"/>
        <v>0</v>
      </c>
      <c r="AI70" s="199">
        <f>'[16]HARVESTING KHT'!$AL25</f>
        <v>3900499.9</v>
      </c>
      <c r="AJ70" s="200">
        <f t="shared" ref="AJ70:AJ81" si="13">L70+M70</f>
        <v>176576</v>
      </c>
      <c r="AK70" s="199">
        <f t="shared" si="4"/>
        <v>4077075.9</v>
      </c>
      <c r="AL70" s="201">
        <f t="shared" ref="AL70:AL82" si="14">AK70-AE70</f>
        <v>0.89999999990686774</v>
      </c>
    </row>
    <row r="71" spans="2:38" s="173" customFormat="1" ht="24.75" customHeight="1">
      <c r="B71" s="174">
        <v>42</v>
      </c>
      <c r="C71" s="271" t="s">
        <v>351</v>
      </c>
      <c r="D71" s="192" t="s">
        <v>365</v>
      </c>
      <c r="E71" s="195" t="s">
        <v>353</v>
      </c>
      <c r="F71" s="157" t="s">
        <v>366</v>
      </c>
      <c r="G71" s="272" t="s">
        <v>293</v>
      </c>
      <c r="H71" s="187" t="s">
        <v>39</v>
      </c>
      <c r="I71" s="188" t="s">
        <v>9</v>
      </c>
      <c r="J71" s="181" t="str">
        <f t="shared" si="2"/>
        <v>TER B</v>
      </c>
      <c r="K71" s="182">
        <f t="shared" si="11"/>
        <v>3639999.9</v>
      </c>
      <c r="L71" s="169">
        <f t="shared" si="6"/>
        <v>30575.999999999996</v>
      </c>
      <c r="M71" s="189">
        <f>'[16]HARVESTING KHT'!$AQ26</f>
        <v>147480</v>
      </c>
      <c r="N71" s="189">
        <f>'[16]HARVESTING KHT'!$U26</f>
        <v>126000</v>
      </c>
      <c r="O71" s="189"/>
      <c r="P71" s="189"/>
      <c r="Q71" s="189"/>
      <c r="R71" s="189">
        <f>'[16]HARVESTING KHT'!$AA26</f>
        <v>0</v>
      </c>
      <c r="S71" s="189">
        <f>'[16]HARVESTING KHT'!$AB26</f>
        <v>73500</v>
      </c>
      <c r="T71" s="189"/>
      <c r="U71" s="189"/>
      <c r="V71" s="189">
        <f>'[16]HARVESTING KHT'!$AH26</f>
        <v>0</v>
      </c>
      <c r="W71" s="189"/>
      <c r="X71" s="189">
        <f>'[16]HARVESTING KHT'!$Z26</f>
        <v>47000</v>
      </c>
      <c r="Y71" s="189"/>
      <c r="Z71" s="189"/>
      <c r="AA71" s="189"/>
      <c r="AB71" s="189">
        <f>-'[16]HARVESTING KHT'!$BI26</f>
        <v>-242666.66</v>
      </c>
      <c r="AC71" s="189"/>
      <c r="AD71" s="189"/>
      <c r="AE71" s="183">
        <f t="shared" si="12"/>
        <v>3821889</v>
      </c>
      <c r="AF71" s="184">
        <f t="shared" si="10"/>
        <v>0</v>
      </c>
      <c r="AG71" s="95">
        <f t="shared" si="7"/>
        <v>0</v>
      </c>
      <c r="AI71" s="199">
        <f>'[16]HARVESTING KHT'!$AL26</f>
        <v>3643833.24</v>
      </c>
      <c r="AJ71" s="200">
        <f t="shared" si="13"/>
        <v>178056</v>
      </c>
      <c r="AK71" s="199">
        <f t="shared" ref="AK71:AK82" si="15">AI71+AJ71+AD71</f>
        <v>3821889.24</v>
      </c>
      <c r="AL71" s="201">
        <f t="shared" si="14"/>
        <v>0.24000000022351742</v>
      </c>
    </row>
    <row r="72" spans="2:38" s="173" customFormat="1" ht="24.75" customHeight="1">
      <c r="B72" s="174">
        <v>43</v>
      </c>
      <c r="C72" s="271" t="s">
        <v>369</v>
      </c>
      <c r="D72" s="192" t="s">
        <v>374</v>
      </c>
      <c r="E72" s="195" t="s">
        <v>375</v>
      </c>
      <c r="F72" s="157" t="s">
        <v>376</v>
      </c>
      <c r="G72" s="272" t="s">
        <v>293</v>
      </c>
      <c r="H72" s="187" t="s">
        <v>39</v>
      </c>
      <c r="I72" s="188" t="s">
        <v>11</v>
      </c>
      <c r="J72" s="181" t="str">
        <f t="shared" si="2"/>
        <v>TER B</v>
      </c>
      <c r="K72" s="182">
        <f t="shared" si="11"/>
        <v>3639999.9</v>
      </c>
      <c r="L72" s="169">
        <f t="shared" ref="L72:L82" si="16">3640000*0.84%</f>
        <v>30575.999999999996</v>
      </c>
      <c r="M72" s="189">
        <f>'[16]HARVESTING KHT'!$AQ27</f>
        <v>148040</v>
      </c>
      <c r="N72" s="189">
        <f>'[16]HARVESTING KHT'!$U27</f>
        <v>156600</v>
      </c>
      <c r="O72" s="189"/>
      <c r="P72" s="189"/>
      <c r="Q72" s="189"/>
      <c r="R72" s="189">
        <f>'[16]HARVESTING KHT'!$AA27</f>
        <v>0</v>
      </c>
      <c r="S72" s="189">
        <f>'[16]HARVESTING KHT'!$AB27</f>
        <v>96600</v>
      </c>
      <c r="T72" s="189"/>
      <c r="U72" s="189"/>
      <c r="V72" s="189">
        <f>'[16]HARVESTING KHT'!$AH27</f>
        <v>0</v>
      </c>
      <c r="W72" s="189"/>
      <c r="X72" s="189">
        <f>'[16]HARVESTING KHT'!$Z27</f>
        <v>61000</v>
      </c>
      <c r="Y72" s="189"/>
      <c r="Z72" s="189"/>
      <c r="AA72" s="189"/>
      <c r="AB72" s="189">
        <f>-'[16]HARVESTING KHT'!$BI27</f>
        <v>-121333.33</v>
      </c>
      <c r="AC72" s="189"/>
      <c r="AD72" s="189"/>
      <c r="AE72" s="183">
        <f t="shared" si="12"/>
        <v>4011482</v>
      </c>
      <c r="AF72" s="184">
        <f t="shared" si="10"/>
        <v>0</v>
      </c>
      <c r="AG72" s="95">
        <f t="shared" ref="AG72:AG82" si="17">ROUNDDOWN(IF(E72=0,AE72*AF72*120%,AE72*AF72),0)</f>
        <v>0</v>
      </c>
      <c r="AI72" s="199">
        <f>'[16]HARVESTING KHT'!$AL27</f>
        <v>3832866.5700000003</v>
      </c>
      <c r="AJ72" s="200">
        <f t="shared" si="13"/>
        <v>178616</v>
      </c>
      <c r="AK72" s="199">
        <f t="shared" si="15"/>
        <v>4011482.5700000003</v>
      </c>
      <c r="AL72" s="201">
        <f t="shared" si="14"/>
        <v>0.57000000029802322</v>
      </c>
    </row>
    <row r="73" spans="2:38" s="173" customFormat="1" ht="24.75" customHeight="1">
      <c r="B73" s="174">
        <v>44</v>
      </c>
      <c r="C73" s="271" t="s">
        <v>370</v>
      </c>
      <c r="D73" s="192" t="s">
        <v>377</v>
      </c>
      <c r="E73" s="195" t="s">
        <v>378</v>
      </c>
      <c r="F73" s="157" t="s">
        <v>379</v>
      </c>
      <c r="G73" s="272" t="s">
        <v>293</v>
      </c>
      <c r="H73" s="187" t="s">
        <v>39</v>
      </c>
      <c r="I73" s="188" t="s">
        <v>9</v>
      </c>
      <c r="J73" s="181" t="str">
        <f t="shared" ref="J73:J82" si="18">IF(ISBLANK(I73),"",IF(OR(I73="TK/0",I73="TK/1",I73="K/0"),"TER A",IF(I73="K/3","TER C","TER B")))</f>
        <v>TER B</v>
      </c>
      <c r="K73" s="182">
        <f t="shared" si="11"/>
        <v>3639999.9</v>
      </c>
      <c r="L73" s="169">
        <f t="shared" si="16"/>
        <v>30575.999999999996</v>
      </c>
      <c r="M73" s="189">
        <f>'[16]HARVESTING KHT'!$AQ28</f>
        <v>146920</v>
      </c>
      <c r="N73" s="189">
        <f>'[16]HARVESTING KHT'!$U28</f>
        <v>130500</v>
      </c>
      <c r="O73" s="189"/>
      <c r="P73" s="189"/>
      <c r="Q73" s="189"/>
      <c r="R73" s="189">
        <f>'[16]HARVESTING KHT'!$AA28</f>
        <v>0</v>
      </c>
      <c r="S73" s="189">
        <f>'[16]HARVESTING KHT'!$AB28</f>
        <v>79800</v>
      </c>
      <c r="T73" s="189"/>
      <c r="U73" s="189"/>
      <c r="V73" s="189">
        <f>'[16]HARVESTING KHT'!$AH28</f>
        <v>0</v>
      </c>
      <c r="W73" s="189"/>
      <c r="X73" s="189">
        <f>'[16]HARVESTING KHT'!$Z28</f>
        <v>33000</v>
      </c>
      <c r="Y73" s="189"/>
      <c r="Z73" s="189"/>
      <c r="AA73" s="189"/>
      <c r="AB73" s="189">
        <f>-'[16]HARVESTING KHT'!$BI28</f>
        <v>-121333.33</v>
      </c>
      <c r="AC73" s="189"/>
      <c r="AD73" s="189"/>
      <c r="AE73" s="183">
        <f t="shared" si="12"/>
        <v>3939462</v>
      </c>
      <c r="AF73" s="184">
        <f t="shared" si="10"/>
        <v>0</v>
      </c>
      <c r="AG73" s="95">
        <f t="shared" si="17"/>
        <v>0</v>
      </c>
      <c r="AI73" s="199">
        <f>'[16]HARVESTING KHT'!$AL28</f>
        <v>3761966.57</v>
      </c>
      <c r="AJ73" s="200">
        <f t="shared" si="13"/>
        <v>177496</v>
      </c>
      <c r="AK73" s="199">
        <f t="shared" si="15"/>
        <v>3939462.57</v>
      </c>
      <c r="AL73" s="201">
        <f t="shared" si="14"/>
        <v>0.56999999983236194</v>
      </c>
    </row>
    <row r="74" spans="2:38" s="173" customFormat="1" ht="24.75" customHeight="1">
      <c r="B74" s="174">
        <v>45</v>
      </c>
      <c r="C74" s="271" t="s">
        <v>371</v>
      </c>
      <c r="D74" s="192" t="s">
        <v>380</v>
      </c>
      <c r="E74" s="195" t="s">
        <v>381</v>
      </c>
      <c r="F74" s="157" t="s">
        <v>78</v>
      </c>
      <c r="G74" s="272" t="s">
        <v>293</v>
      </c>
      <c r="H74" s="187" t="s">
        <v>39</v>
      </c>
      <c r="I74" s="188" t="s">
        <v>9</v>
      </c>
      <c r="J74" s="181" t="str">
        <f t="shared" si="18"/>
        <v>TER B</v>
      </c>
      <c r="K74" s="182">
        <f t="shared" si="11"/>
        <v>3639999.9</v>
      </c>
      <c r="L74" s="169">
        <f t="shared" si="16"/>
        <v>30575.999999999996</v>
      </c>
      <c r="M74" s="189">
        <f>'[16]HARVESTING KHT'!$AQ29</f>
        <v>146560</v>
      </c>
      <c r="N74" s="189">
        <f>'[16]HARVESTING KHT'!$U29</f>
        <v>88200</v>
      </c>
      <c r="O74" s="189"/>
      <c r="P74" s="189"/>
      <c r="Q74" s="189"/>
      <c r="R74" s="189">
        <f>'[16]HARVESTING KHT'!$AA29</f>
        <v>0</v>
      </c>
      <c r="S74" s="189">
        <f>'[16]HARVESTING KHT'!$AB29</f>
        <v>96600</v>
      </c>
      <c r="T74" s="189"/>
      <c r="U74" s="189"/>
      <c r="V74" s="189">
        <f>'[16]HARVESTING KHT'!$AH29</f>
        <v>0</v>
      </c>
      <c r="W74" s="189"/>
      <c r="X74" s="189">
        <f>'[16]HARVESTING KHT'!$Z29</f>
        <v>24000</v>
      </c>
      <c r="Y74" s="189"/>
      <c r="Z74" s="189"/>
      <c r="AA74" s="189"/>
      <c r="AB74" s="189">
        <f>-'[16]HARVESTING KHT'!$BI29</f>
        <v>-242666.66</v>
      </c>
      <c r="AC74" s="189"/>
      <c r="AD74" s="189"/>
      <c r="AE74" s="183">
        <f t="shared" si="12"/>
        <v>3783269</v>
      </c>
      <c r="AF74" s="184">
        <f t="shared" si="10"/>
        <v>0</v>
      </c>
      <c r="AG74" s="95">
        <f t="shared" si="17"/>
        <v>0</v>
      </c>
      <c r="AI74" s="199">
        <f>'[16]HARVESTING KHT'!$AL29</f>
        <v>3606133.24</v>
      </c>
      <c r="AJ74" s="200">
        <f t="shared" si="13"/>
        <v>177136</v>
      </c>
      <c r="AK74" s="199">
        <f t="shared" si="15"/>
        <v>3783269.24</v>
      </c>
      <c r="AL74" s="201">
        <f t="shared" si="14"/>
        <v>0.24000000022351742</v>
      </c>
    </row>
    <row r="75" spans="2:38" s="173" customFormat="1" ht="24.75" customHeight="1">
      <c r="B75" s="174">
        <v>46</v>
      </c>
      <c r="C75" s="271" t="s">
        <v>372</v>
      </c>
      <c r="D75" s="192" t="s">
        <v>382</v>
      </c>
      <c r="E75" s="195" t="s">
        <v>383</v>
      </c>
      <c r="F75" s="157" t="s">
        <v>384</v>
      </c>
      <c r="G75" s="272" t="s">
        <v>293</v>
      </c>
      <c r="H75" s="187" t="s">
        <v>39</v>
      </c>
      <c r="I75" s="188" t="s">
        <v>9</v>
      </c>
      <c r="J75" s="181" t="str">
        <f t="shared" si="18"/>
        <v>TER B</v>
      </c>
      <c r="K75" s="182">
        <f t="shared" si="11"/>
        <v>3639999.9</v>
      </c>
      <c r="L75" s="169">
        <f t="shared" si="16"/>
        <v>30575.999999999996</v>
      </c>
      <c r="M75" s="189">
        <f>'[16]HARVESTING KHT'!$AQ30</f>
        <v>146560</v>
      </c>
      <c r="N75" s="189">
        <f>'[16]HARVESTING KHT'!$U30</f>
        <v>88200</v>
      </c>
      <c r="O75" s="189"/>
      <c r="P75" s="189"/>
      <c r="Q75" s="189"/>
      <c r="R75" s="189">
        <f>'[16]HARVESTING KHT'!$AA30</f>
        <v>0</v>
      </c>
      <c r="S75" s="189">
        <f>'[16]HARVESTING KHT'!$AB30</f>
        <v>76650</v>
      </c>
      <c r="T75" s="189"/>
      <c r="U75" s="189"/>
      <c r="V75" s="189">
        <f>'[16]HARVESTING KHT'!$AH30</f>
        <v>0</v>
      </c>
      <c r="W75" s="189"/>
      <c r="X75" s="189">
        <f>'[16]HARVESTING KHT'!$Z30</f>
        <v>24000</v>
      </c>
      <c r="Y75" s="189"/>
      <c r="Z75" s="189"/>
      <c r="AA75" s="189"/>
      <c r="AB75" s="189">
        <f>-'[16]HARVESTING KHT'!$BI30</f>
        <v>-242666.66</v>
      </c>
      <c r="AC75" s="189"/>
      <c r="AD75" s="189"/>
      <c r="AE75" s="183">
        <f t="shared" si="12"/>
        <v>3763319</v>
      </c>
      <c r="AF75" s="184">
        <f t="shared" si="10"/>
        <v>0</v>
      </c>
      <c r="AG75" s="95">
        <f t="shared" si="17"/>
        <v>0</v>
      </c>
      <c r="AI75" s="199">
        <f>'[16]HARVESTING KHT'!$AL30</f>
        <v>3586183.24</v>
      </c>
      <c r="AJ75" s="200">
        <f t="shared" si="13"/>
        <v>177136</v>
      </c>
      <c r="AK75" s="199">
        <f t="shared" si="15"/>
        <v>3763319.24</v>
      </c>
      <c r="AL75" s="201">
        <f t="shared" si="14"/>
        <v>0.24000000022351742</v>
      </c>
    </row>
    <row r="76" spans="2:38" s="173" customFormat="1" ht="24.75" customHeight="1">
      <c r="B76" s="174">
        <v>47</v>
      </c>
      <c r="C76" s="271" t="s">
        <v>373</v>
      </c>
      <c r="D76" s="192" t="s">
        <v>385</v>
      </c>
      <c r="E76" s="195" t="s">
        <v>386</v>
      </c>
      <c r="F76" s="157" t="s">
        <v>387</v>
      </c>
      <c r="G76" s="272" t="s">
        <v>293</v>
      </c>
      <c r="H76" s="187" t="s">
        <v>39</v>
      </c>
      <c r="I76" s="188" t="s">
        <v>9</v>
      </c>
      <c r="J76" s="181" t="str">
        <f t="shared" si="18"/>
        <v>TER B</v>
      </c>
      <c r="K76" s="182">
        <f t="shared" si="11"/>
        <v>3639999.9</v>
      </c>
      <c r="L76" s="169">
        <f t="shared" si="16"/>
        <v>30575.999999999996</v>
      </c>
      <c r="M76" s="189">
        <f>'[16]HARVESTING KHT'!$AQ31</f>
        <v>146680</v>
      </c>
      <c r="N76" s="189">
        <f>'[16]HARVESTING KHT'!$U31</f>
        <v>130500</v>
      </c>
      <c r="O76" s="189"/>
      <c r="P76" s="189"/>
      <c r="Q76" s="189"/>
      <c r="R76" s="189">
        <f>'[16]HARVESTING KHT'!$AA31</f>
        <v>0</v>
      </c>
      <c r="S76" s="189">
        <f>'[16]HARVESTING KHT'!$AB31</f>
        <v>76650</v>
      </c>
      <c r="T76" s="189"/>
      <c r="U76" s="189"/>
      <c r="V76" s="189">
        <f>'[16]HARVESTING KHT'!$AH31</f>
        <v>0</v>
      </c>
      <c r="W76" s="189"/>
      <c r="X76" s="189">
        <f>'[16]HARVESTING KHT'!$Z31</f>
        <v>27000</v>
      </c>
      <c r="Y76" s="189"/>
      <c r="Z76" s="189"/>
      <c r="AA76" s="189"/>
      <c r="AB76" s="189">
        <f>-'[16]HARVESTING KHT'!$BI31</f>
        <v>-121333.33</v>
      </c>
      <c r="AC76" s="189"/>
      <c r="AD76" s="189"/>
      <c r="AE76" s="183">
        <f t="shared" si="12"/>
        <v>3930072</v>
      </c>
      <c r="AF76" s="184">
        <f t="shared" si="10"/>
        <v>0</v>
      </c>
      <c r="AG76" s="95">
        <f t="shared" si="17"/>
        <v>0</v>
      </c>
      <c r="AI76" s="199">
        <f>'[16]HARVESTING KHT'!$AL31</f>
        <v>3752816.5700000003</v>
      </c>
      <c r="AJ76" s="200">
        <f t="shared" si="13"/>
        <v>177256</v>
      </c>
      <c r="AK76" s="199">
        <f t="shared" si="15"/>
        <v>3930072.5700000003</v>
      </c>
      <c r="AL76" s="201">
        <f t="shared" si="14"/>
        <v>0.57000000029802322</v>
      </c>
    </row>
    <row r="77" spans="2:38" s="173" customFormat="1" ht="24.75" customHeight="1">
      <c r="B77" s="174">
        <v>48</v>
      </c>
      <c r="C77" s="271" t="s">
        <v>354</v>
      </c>
      <c r="D77" s="295" t="s">
        <v>367</v>
      </c>
      <c r="E77" s="195" t="s">
        <v>355</v>
      </c>
      <c r="F77" s="157" t="s">
        <v>368</v>
      </c>
      <c r="G77" s="272" t="s">
        <v>185</v>
      </c>
      <c r="H77" s="187" t="s">
        <v>38</v>
      </c>
      <c r="I77" s="188" t="s">
        <v>7</v>
      </c>
      <c r="J77" s="181" t="str">
        <f t="shared" si="18"/>
        <v>TER A</v>
      </c>
      <c r="K77" s="189">
        <f t="shared" si="11"/>
        <v>3639999.9</v>
      </c>
      <c r="L77" s="189">
        <f t="shared" si="16"/>
        <v>30575.999999999996</v>
      </c>
      <c r="M77" s="189">
        <f>[16]MAINTENANCE!$AK31</f>
        <v>146680</v>
      </c>
      <c r="N77" s="189">
        <f>[16]MAINTENANCE!$W31</f>
        <v>67500</v>
      </c>
      <c r="O77" s="189"/>
      <c r="P77" s="189">
        <f>[16]MAINTENANCE!$AE31</f>
        <v>305086.67</v>
      </c>
      <c r="Q77" s="189"/>
      <c r="R77" s="189"/>
      <c r="S77" s="189"/>
      <c r="T77" s="189"/>
      <c r="U77" s="189"/>
      <c r="V77" s="189"/>
      <c r="W77" s="189"/>
      <c r="X77" s="189">
        <f>[16]MAINTENANCE!$AB31</f>
        <v>27000</v>
      </c>
      <c r="Y77" s="189"/>
      <c r="Z77" s="189"/>
      <c r="AA77" s="189"/>
      <c r="AB77" s="189">
        <f>-[16]MAINTENANCE!$BA31</f>
        <v>0</v>
      </c>
      <c r="AC77" s="189"/>
      <c r="AD77" s="189"/>
      <c r="AE77" s="183">
        <f t="shared" si="12"/>
        <v>4216842</v>
      </c>
      <c r="AF77" s="184">
        <f t="shared" si="10"/>
        <v>0</v>
      </c>
      <c r="AG77" s="95">
        <f t="shared" si="17"/>
        <v>0</v>
      </c>
      <c r="AI77" s="199">
        <f>[16]MAINTENANCE!$AF31</f>
        <v>4039586.57</v>
      </c>
      <c r="AJ77" s="200">
        <f t="shared" si="13"/>
        <v>177256</v>
      </c>
      <c r="AK77" s="199">
        <f t="shared" si="15"/>
        <v>4216842.57</v>
      </c>
      <c r="AL77" s="201">
        <f t="shared" si="14"/>
        <v>0.57000000029802322</v>
      </c>
    </row>
    <row r="78" spans="2:38" s="173" customFormat="1" ht="24.75" customHeight="1">
      <c r="B78" s="174">
        <v>49</v>
      </c>
      <c r="C78" s="271" t="s">
        <v>389</v>
      </c>
      <c r="D78" s="295" t="s">
        <v>404</v>
      </c>
      <c r="E78" s="195" t="s">
        <v>395</v>
      </c>
      <c r="F78" s="157" t="s">
        <v>396</v>
      </c>
      <c r="G78" s="272" t="s">
        <v>185</v>
      </c>
      <c r="H78" s="187" t="s">
        <v>39</v>
      </c>
      <c r="I78" s="188" t="s">
        <v>11</v>
      </c>
      <c r="J78" s="181" t="str">
        <f t="shared" si="18"/>
        <v>TER B</v>
      </c>
      <c r="K78" s="189">
        <f t="shared" si="11"/>
        <v>3639999.9</v>
      </c>
      <c r="L78" s="189">
        <f t="shared" si="16"/>
        <v>30575.999999999996</v>
      </c>
      <c r="M78" s="189">
        <f>[16]MAINTENANCE!$AK32</f>
        <v>148040</v>
      </c>
      <c r="N78" s="189">
        <f>[16]MAINTENANCE!$W32</f>
        <v>156600</v>
      </c>
      <c r="O78" s="189"/>
      <c r="P78" s="189">
        <f>[16]MAINTENANCE!$AE32</f>
        <v>0</v>
      </c>
      <c r="Q78" s="189"/>
      <c r="R78" s="189"/>
      <c r="S78" s="189"/>
      <c r="T78" s="189"/>
      <c r="U78" s="189"/>
      <c r="V78" s="189"/>
      <c r="W78" s="189"/>
      <c r="X78" s="189">
        <f>[16]MAINTENANCE!$AB32</f>
        <v>61000</v>
      </c>
      <c r="Y78" s="189"/>
      <c r="Z78" s="189"/>
      <c r="AA78" s="189"/>
      <c r="AB78" s="189">
        <f>-[16]MAINTENANCE!$BA32</f>
        <v>-121333.33</v>
      </c>
      <c r="AC78" s="189"/>
      <c r="AD78" s="189"/>
      <c r="AE78" s="183">
        <f t="shared" si="12"/>
        <v>3914882</v>
      </c>
      <c r="AF78" s="184">
        <f>IF(J78="TER A",VLOOKUP(AE78,Ter_A,4,TRUE),IF(J78="TER B",VLOOKUP(AE78,Ter_B,4,TRUE),VLOOKUP(AE78,Ter_C,4,TRUE)))</f>
        <v>0</v>
      </c>
      <c r="AG78" s="95">
        <f t="shared" si="17"/>
        <v>0</v>
      </c>
      <c r="AI78" s="199">
        <f>[16]MAINTENANCE!$AF32</f>
        <v>3736266.5700000003</v>
      </c>
      <c r="AJ78" s="200">
        <f t="shared" si="13"/>
        <v>178616</v>
      </c>
      <c r="AK78" s="199">
        <f t="shared" si="15"/>
        <v>3914882.5700000003</v>
      </c>
      <c r="AL78" s="201">
        <f t="shared" si="14"/>
        <v>0.57000000029802322</v>
      </c>
    </row>
    <row r="79" spans="2:38" s="173" customFormat="1" ht="24.75" customHeight="1">
      <c r="B79" s="174">
        <v>50</v>
      </c>
      <c r="C79" s="271" t="s">
        <v>390</v>
      </c>
      <c r="D79" s="295" t="s">
        <v>405</v>
      </c>
      <c r="E79" s="195" t="s">
        <v>397</v>
      </c>
      <c r="F79" s="157" t="s">
        <v>398</v>
      </c>
      <c r="G79" s="272" t="s">
        <v>185</v>
      </c>
      <c r="H79" s="187" t="s">
        <v>38</v>
      </c>
      <c r="I79" s="188" t="s">
        <v>7</v>
      </c>
      <c r="J79" s="181" t="str">
        <f t="shared" si="18"/>
        <v>TER A</v>
      </c>
      <c r="K79" s="189">
        <f t="shared" si="11"/>
        <v>3639999.9</v>
      </c>
      <c r="L79" s="189">
        <f t="shared" si="16"/>
        <v>30575.999999999996</v>
      </c>
      <c r="M79" s="189">
        <f>[16]MAINTENANCE!$AK33</f>
        <v>146800</v>
      </c>
      <c r="N79" s="189">
        <f>[16]MAINTENANCE!$W33</f>
        <v>67500</v>
      </c>
      <c r="O79" s="189"/>
      <c r="P79" s="189">
        <f>[16]MAINTENANCE!$AE33</f>
        <v>0</v>
      </c>
      <c r="Q79" s="189"/>
      <c r="R79" s="189"/>
      <c r="S79" s="189"/>
      <c r="T79" s="189"/>
      <c r="U79" s="189"/>
      <c r="V79" s="189"/>
      <c r="W79" s="189"/>
      <c r="X79" s="189">
        <f>[16]MAINTENANCE!$AB33</f>
        <v>30000</v>
      </c>
      <c r="Y79" s="189"/>
      <c r="Z79" s="189"/>
      <c r="AA79" s="189"/>
      <c r="AB79" s="189">
        <f>-[16]MAINTENANCE!$BA33</f>
        <v>0</v>
      </c>
      <c r="AC79" s="189"/>
      <c r="AD79" s="189"/>
      <c r="AE79" s="183">
        <f t="shared" si="12"/>
        <v>3914875</v>
      </c>
      <c r="AF79" s="184">
        <f t="shared" si="10"/>
        <v>0</v>
      </c>
      <c r="AG79" s="95">
        <f t="shared" si="17"/>
        <v>0</v>
      </c>
      <c r="AI79" s="199">
        <f>[16]MAINTENANCE!$AF33</f>
        <v>3737499.9</v>
      </c>
      <c r="AJ79" s="200">
        <f t="shared" si="13"/>
        <v>177376</v>
      </c>
      <c r="AK79" s="199">
        <f t="shared" si="15"/>
        <v>3914875.9</v>
      </c>
      <c r="AL79" s="201">
        <f t="shared" si="14"/>
        <v>0.89999999990686774</v>
      </c>
    </row>
    <row r="80" spans="2:38" s="173" customFormat="1" ht="24.75" customHeight="1">
      <c r="B80" s="174">
        <v>51</v>
      </c>
      <c r="C80" s="271" t="s">
        <v>391</v>
      </c>
      <c r="D80" s="295" t="s">
        <v>406</v>
      </c>
      <c r="E80" s="195" t="s">
        <v>399</v>
      </c>
      <c r="F80" s="157" t="s">
        <v>400</v>
      </c>
      <c r="G80" s="272" t="s">
        <v>185</v>
      </c>
      <c r="H80" s="187" t="s">
        <v>38</v>
      </c>
      <c r="I80" s="188" t="s">
        <v>7</v>
      </c>
      <c r="J80" s="181" t="str">
        <f t="shared" si="18"/>
        <v>TER A</v>
      </c>
      <c r="K80" s="189">
        <f t="shared" si="11"/>
        <v>3639999.9</v>
      </c>
      <c r="L80" s="189">
        <f t="shared" si="16"/>
        <v>30575.999999999996</v>
      </c>
      <c r="M80" s="189">
        <f>[16]MAINTENANCE!$AK34</f>
        <v>147480</v>
      </c>
      <c r="N80" s="189">
        <f>[16]MAINTENANCE!$W34</f>
        <v>67500</v>
      </c>
      <c r="O80" s="189"/>
      <c r="P80" s="189">
        <f>[16]MAINTENANCE!$AE34</f>
        <v>0</v>
      </c>
      <c r="Q80" s="189"/>
      <c r="R80" s="189"/>
      <c r="S80" s="189"/>
      <c r="T80" s="189"/>
      <c r="U80" s="189"/>
      <c r="V80" s="189"/>
      <c r="W80" s="189"/>
      <c r="X80" s="189">
        <f>[16]MAINTENANCE!$AB34</f>
        <v>47000</v>
      </c>
      <c r="Y80" s="189"/>
      <c r="Z80" s="189"/>
      <c r="AA80" s="189"/>
      <c r="AB80" s="189">
        <f>-[16]MAINTENANCE!$BA34</f>
        <v>0</v>
      </c>
      <c r="AC80" s="189"/>
      <c r="AD80" s="189"/>
      <c r="AE80" s="183">
        <f t="shared" si="12"/>
        <v>3932555</v>
      </c>
      <c r="AF80" s="184">
        <f t="shared" si="10"/>
        <v>0</v>
      </c>
      <c r="AG80" s="95">
        <f>ROUNDDOWN(IF(E80=0,AE80*AF80*120%,AE80*AF80),0)</f>
        <v>0</v>
      </c>
      <c r="AI80" s="199">
        <f>[16]MAINTENANCE!$AF34</f>
        <v>3754499.9</v>
      </c>
      <c r="AJ80" s="200">
        <f t="shared" si="13"/>
        <v>178056</v>
      </c>
      <c r="AK80" s="199">
        <f t="shared" si="15"/>
        <v>3932555.9</v>
      </c>
      <c r="AL80" s="201">
        <f t="shared" si="14"/>
        <v>0.89999999990686774</v>
      </c>
    </row>
    <row r="81" spans="2:55" s="173" customFormat="1" ht="24.75" customHeight="1">
      <c r="B81" s="174">
        <v>52</v>
      </c>
      <c r="C81" s="271" t="s">
        <v>392</v>
      </c>
      <c r="D81" s="295" t="s">
        <v>407</v>
      </c>
      <c r="E81" s="195" t="s">
        <v>401</v>
      </c>
      <c r="F81" s="157" t="s">
        <v>402</v>
      </c>
      <c r="G81" s="272" t="s">
        <v>185</v>
      </c>
      <c r="H81" s="187" t="s">
        <v>39</v>
      </c>
      <c r="I81" s="188" t="s">
        <v>9</v>
      </c>
      <c r="J81" s="181" t="str">
        <f t="shared" si="18"/>
        <v>TER B</v>
      </c>
      <c r="K81" s="189">
        <f t="shared" si="11"/>
        <v>3639999.9</v>
      </c>
      <c r="L81" s="189">
        <f t="shared" si="16"/>
        <v>30575.999999999996</v>
      </c>
      <c r="M81" s="189">
        <f>[16]MAINTENANCE!$AK35</f>
        <v>146320</v>
      </c>
      <c r="N81" s="189">
        <f>[16]MAINTENANCE!$W35</f>
        <v>135000</v>
      </c>
      <c r="O81" s="189"/>
      <c r="P81" s="189">
        <f>[16]MAINTENANCE!$AE35</f>
        <v>63121.38</v>
      </c>
      <c r="Q81" s="189"/>
      <c r="R81" s="189"/>
      <c r="S81" s="189"/>
      <c r="T81" s="189"/>
      <c r="U81" s="189"/>
      <c r="V81" s="189"/>
      <c r="W81" s="189"/>
      <c r="X81" s="189">
        <f>[16]MAINTENANCE!$AB35</f>
        <v>18000</v>
      </c>
      <c r="Y81" s="189"/>
      <c r="Z81" s="189"/>
      <c r="AA81" s="189"/>
      <c r="AB81" s="189">
        <f>-[16]MAINTENANCE!$BA35</f>
        <v>0</v>
      </c>
      <c r="AC81" s="189"/>
      <c r="AD81" s="189"/>
      <c r="AE81" s="183">
        <f t="shared" si="12"/>
        <v>4033017</v>
      </c>
      <c r="AF81" s="184">
        <f t="shared" si="10"/>
        <v>0</v>
      </c>
      <c r="AG81" s="95">
        <f t="shared" si="17"/>
        <v>0</v>
      </c>
      <c r="AI81" s="199">
        <f>[16]MAINTENANCE!$AF35</f>
        <v>3856121.28</v>
      </c>
      <c r="AJ81" s="200">
        <f t="shared" si="13"/>
        <v>176896</v>
      </c>
      <c r="AK81" s="199">
        <f t="shared" si="15"/>
        <v>4033017.28</v>
      </c>
      <c r="AL81" s="201">
        <f t="shared" si="14"/>
        <v>0.27999999979510903</v>
      </c>
    </row>
    <row r="82" spans="2:55" s="173" customFormat="1" ht="24.75" customHeight="1" thickBot="1">
      <c r="B82" s="174">
        <v>53</v>
      </c>
      <c r="C82" s="273" t="s">
        <v>393</v>
      </c>
      <c r="D82" s="296" t="s">
        <v>408</v>
      </c>
      <c r="E82" s="274" t="s">
        <v>74</v>
      </c>
      <c r="F82" s="275" t="s">
        <v>403</v>
      </c>
      <c r="G82" s="276" t="s">
        <v>293</v>
      </c>
      <c r="H82" s="277" t="s">
        <v>39</v>
      </c>
      <c r="I82" s="278" t="s">
        <v>9</v>
      </c>
      <c r="J82" s="297" t="str">
        <f t="shared" si="18"/>
        <v>TER B</v>
      </c>
      <c r="K82" s="279">
        <f t="shared" si="11"/>
        <v>3639999.9</v>
      </c>
      <c r="L82" s="189">
        <f t="shared" si="16"/>
        <v>30575.999999999996</v>
      </c>
      <c r="M82" s="189">
        <f>'[16]HARVESTING KHT'!$AQ32</f>
        <v>146100</v>
      </c>
      <c r="N82" s="189">
        <f>'[16]HARVESTING KHT'!$U32</f>
        <v>135000</v>
      </c>
      <c r="O82" s="279"/>
      <c r="P82" s="279"/>
      <c r="Q82" s="279"/>
      <c r="R82" s="189">
        <f>'[16]HARVESTING KHT'!$AA32</f>
        <v>0</v>
      </c>
      <c r="S82" s="189">
        <f>'[16]HARVESTING KHT'!$AB32</f>
        <v>100800</v>
      </c>
      <c r="T82" s="279"/>
      <c r="U82" s="279"/>
      <c r="V82" s="189">
        <f>'[16]HARVESTING KHT'!$AH32</f>
        <v>0</v>
      </c>
      <c r="W82" s="279"/>
      <c r="X82" s="189">
        <f>'[16]HARVESTING KHT'!$Z32</f>
        <v>12500</v>
      </c>
      <c r="Y82" s="279"/>
      <c r="Z82" s="279"/>
      <c r="AA82" s="279"/>
      <c r="AB82" s="189">
        <f>-'[16]HARVESTING KHT'!$BI32</f>
        <v>0</v>
      </c>
      <c r="AC82" s="279"/>
      <c r="AD82" s="279"/>
      <c r="AE82" s="298">
        <f t="shared" si="12"/>
        <v>4064975</v>
      </c>
      <c r="AF82" s="299">
        <f t="shared" si="10"/>
        <v>0</v>
      </c>
      <c r="AG82" s="97">
        <f t="shared" si="17"/>
        <v>0</v>
      </c>
      <c r="AI82" s="199">
        <f>'[16]HARVESTING KHT'!$AL$32</f>
        <v>3888299.9</v>
      </c>
      <c r="AJ82" s="200">
        <f>L82+M82</f>
        <v>176676</v>
      </c>
      <c r="AK82" s="199">
        <f t="shared" si="15"/>
        <v>4064975.9</v>
      </c>
      <c r="AL82" s="201">
        <f t="shared" si="14"/>
        <v>0.89999999990686774</v>
      </c>
    </row>
    <row r="83" spans="2:55" s="59" customFormat="1" ht="22.15" customHeight="1" thickBot="1">
      <c r="B83" s="132"/>
      <c r="C83" s="133"/>
      <c r="D83" s="133"/>
      <c r="E83" s="133"/>
      <c r="F83" s="133"/>
      <c r="G83" s="133"/>
      <c r="H83" s="133"/>
      <c r="I83" s="133"/>
      <c r="J83" s="133"/>
      <c r="K83" s="196">
        <f>SUM(K6:K82)</f>
        <v>192949994.70000017</v>
      </c>
      <c r="L83" s="196">
        <f t="shared" ref="L83:AG83" si="19">SUM(L6:L82)</f>
        <v>1620779.9999999998</v>
      </c>
      <c r="M83" s="196">
        <f t="shared" si="19"/>
        <v>7787560</v>
      </c>
      <c r="N83" s="196">
        <f t="shared" si="19"/>
        <v>5725350</v>
      </c>
      <c r="O83" s="196">
        <f t="shared" si="19"/>
        <v>373000</v>
      </c>
      <c r="P83" s="196">
        <f>SUM(P6:P82)</f>
        <v>8306704.3499999987</v>
      </c>
      <c r="Q83" s="196">
        <f t="shared" si="19"/>
        <v>4307100</v>
      </c>
      <c r="R83" s="196">
        <f t="shared" si="19"/>
        <v>635882</v>
      </c>
      <c r="S83" s="196">
        <f t="shared" si="19"/>
        <v>2671200</v>
      </c>
      <c r="T83" s="196">
        <f t="shared" si="19"/>
        <v>0</v>
      </c>
      <c r="U83" s="196">
        <f t="shared" si="19"/>
        <v>0</v>
      </c>
      <c r="V83" s="196">
        <f t="shared" si="19"/>
        <v>0</v>
      </c>
      <c r="W83" s="196">
        <f t="shared" si="19"/>
        <v>0</v>
      </c>
      <c r="X83" s="196">
        <f t="shared" si="19"/>
        <v>1739000</v>
      </c>
      <c r="Y83" s="196">
        <f t="shared" si="19"/>
        <v>0</v>
      </c>
      <c r="Z83" s="196">
        <f t="shared" si="19"/>
        <v>0</v>
      </c>
      <c r="AA83" s="196">
        <f t="shared" si="19"/>
        <v>0</v>
      </c>
      <c r="AB83" s="196">
        <f t="shared" si="19"/>
        <v>-3639999.9000000013</v>
      </c>
      <c r="AC83" s="196">
        <f t="shared" si="19"/>
        <v>0</v>
      </c>
      <c r="AD83" s="196">
        <f t="shared" si="19"/>
        <v>0</v>
      </c>
      <c r="AE83" s="196">
        <f t="shared" si="19"/>
        <v>222476538</v>
      </c>
      <c r="AF83" s="196">
        <f t="shared" si="19"/>
        <v>5.0000000000000001E-3</v>
      </c>
      <c r="AG83" s="196">
        <f t="shared" si="19"/>
        <v>30014</v>
      </c>
      <c r="AI83" s="202">
        <f>SUM(AI6:AI77)</f>
        <v>194095543.60000008</v>
      </c>
      <c r="AJ83" s="202">
        <f>SUM(AJ6:AJ77)</f>
        <v>8520720</v>
      </c>
      <c r="AK83" s="202">
        <f>SUM(AK6:AK77)</f>
        <v>202616263.60000008</v>
      </c>
      <c r="AL83" s="202">
        <f>SUM(AL6:AL77)</f>
        <v>29.600000003818423</v>
      </c>
    </row>
    <row r="84" spans="2:55" ht="9.75" customHeight="1">
      <c r="AK84" s="217"/>
    </row>
    <row r="85" spans="2:55" ht="13.5" hidden="1" customHeight="1">
      <c r="B85" s="58" t="s">
        <v>47</v>
      </c>
      <c r="M85" s="62"/>
      <c r="N85" s="62"/>
      <c r="O85" s="62"/>
      <c r="P85" s="62"/>
      <c r="Q85" s="62"/>
      <c r="R85" s="62"/>
      <c r="S85" s="62"/>
    </row>
    <row r="86" spans="2:55" ht="13.5" hidden="1" customHeight="1">
      <c r="B86" s="27" t="s">
        <v>48</v>
      </c>
      <c r="M86" s="62"/>
      <c r="N86" s="62"/>
      <c r="O86" s="62"/>
      <c r="P86" s="62"/>
      <c r="Q86" s="62"/>
      <c r="R86" s="62"/>
      <c r="S86" s="62"/>
    </row>
    <row r="87" spans="2:55" ht="13.5" hidden="1" customHeight="1">
      <c r="B87" s="27" t="s">
        <v>56</v>
      </c>
      <c r="M87" s="62"/>
      <c r="N87" s="62"/>
      <c r="O87" s="62"/>
      <c r="P87" s="62"/>
      <c r="Q87" s="62"/>
      <c r="R87" s="62"/>
      <c r="S87" s="62"/>
    </row>
    <row r="88" spans="2:55" ht="13.5" hidden="1" customHeight="1">
      <c r="B88" s="27" t="s">
        <v>49</v>
      </c>
      <c r="M88" s="62"/>
      <c r="N88" s="62"/>
      <c r="O88" s="62"/>
      <c r="P88" s="62"/>
      <c r="Q88" s="62"/>
      <c r="R88" s="62"/>
      <c r="S88" s="62"/>
    </row>
    <row r="89" spans="2:55" s="33" customFormat="1" ht="13.5" hidden="1" customHeight="1">
      <c r="B89" s="27" t="s">
        <v>57</v>
      </c>
      <c r="C89" s="28"/>
      <c r="D89" s="293"/>
      <c r="E89" s="30"/>
      <c r="F89" s="28"/>
      <c r="G89" s="31"/>
      <c r="H89" s="32"/>
      <c r="I89" s="32"/>
      <c r="J89" s="32"/>
      <c r="K89" s="28"/>
      <c r="L89" s="28"/>
      <c r="M89" s="62"/>
      <c r="N89" s="62"/>
      <c r="O89" s="62"/>
      <c r="P89" s="62"/>
      <c r="Q89" s="62"/>
      <c r="R89" s="62"/>
      <c r="S89" s="62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90"/>
      <c r="AG89" s="9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2:55" s="33" customFormat="1" ht="13.5" hidden="1" customHeight="1">
      <c r="B90" s="27" t="s">
        <v>50</v>
      </c>
      <c r="C90" s="28"/>
      <c r="D90" s="293"/>
      <c r="E90" s="30"/>
      <c r="F90" s="28"/>
      <c r="G90" s="31"/>
      <c r="H90" s="32"/>
      <c r="I90" s="32"/>
      <c r="J90" s="32"/>
      <c r="K90" s="28"/>
      <c r="L90" s="28"/>
      <c r="M90" s="62"/>
      <c r="N90" s="62"/>
      <c r="O90" s="62"/>
      <c r="P90" s="62"/>
      <c r="Q90" s="62"/>
      <c r="R90" s="62"/>
      <c r="S90" s="62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90"/>
      <c r="AG90" s="9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2:55" s="33" customFormat="1" ht="13.5" hidden="1" customHeight="1">
      <c r="B91" s="27" t="s">
        <v>51</v>
      </c>
      <c r="C91" s="28"/>
      <c r="D91" s="293"/>
      <c r="E91" s="30"/>
      <c r="F91" s="28"/>
      <c r="G91" s="31"/>
      <c r="H91" s="32"/>
      <c r="I91" s="32"/>
      <c r="J91" s="32"/>
      <c r="K91" s="28"/>
      <c r="L91" s="28"/>
      <c r="M91" s="62"/>
      <c r="N91" s="62"/>
      <c r="O91" s="62"/>
      <c r="P91" s="62"/>
      <c r="Q91" s="62"/>
      <c r="R91" s="62"/>
      <c r="S91" s="62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90"/>
      <c r="AG91" s="9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2:55" s="33" customFormat="1" ht="13.5" hidden="1" customHeight="1">
      <c r="B92" s="27" t="s">
        <v>52</v>
      </c>
      <c r="C92" s="28"/>
      <c r="D92" s="293"/>
      <c r="E92" s="30"/>
      <c r="F92" s="28"/>
      <c r="G92" s="31"/>
      <c r="H92" s="32"/>
      <c r="I92" s="32"/>
      <c r="J92" s="32"/>
      <c r="K92" s="28"/>
      <c r="L92" s="28"/>
      <c r="M92" s="62"/>
      <c r="N92" s="62"/>
      <c r="O92" s="62"/>
      <c r="P92" s="62"/>
      <c r="Q92" s="62"/>
      <c r="R92" s="62"/>
      <c r="S92" s="62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90"/>
      <c r="AG92" s="9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</row>
    <row r="93" spans="2:55" s="33" customFormat="1" ht="13.5" hidden="1" customHeight="1">
      <c r="B93" s="27" t="s">
        <v>58</v>
      </c>
      <c r="C93" s="28"/>
      <c r="D93" s="293"/>
      <c r="E93" s="30"/>
      <c r="F93" s="28"/>
      <c r="G93" s="31"/>
      <c r="H93" s="32"/>
      <c r="I93" s="32"/>
      <c r="J93" s="32"/>
      <c r="K93" s="28"/>
      <c r="L93" s="28"/>
      <c r="M93" s="62"/>
      <c r="N93" s="62"/>
      <c r="O93" s="62"/>
      <c r="P93" s="62"/>
      <c r="Q93" s="62"/>
      <c r="R93" s="62"/>
      <c r="S93" s="62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90"/>
      <c r="AG93" s="9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</row>
    <row r="94" spans="2:55" s="33" customFormat="1" ht="13.5" hidden="1" customHeight="1">
      <c r="B94" s="27" t="s">
        <v>59</v>
      </c>
      <c r="C94" s="28"/>
      <c r="D94" s="293"/>
      <c r="E94" s="30"/>
      <c r="F94" s="28"/>
      <c r="G94" s="31"/>
      <c r="H94" s="32"/>
      <c r="I94" s="32"/>
      <c r="J94" s="32"/>
      <c r="K94" s="28"/>
      <c r="L94" s="28"/>
      <c r="M94" s="62"/>
      <c r="N94" s="62"/>
      <c r="O94" s="62"/>
      <c r="P94" s="62"/>
      <c r="Q94" s="62"/>
      <c r="R94" s="62"/>
      <c r="S94" s="62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90"/>
      <c r="AG94" s="9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</row>
    <row r="95" spans="2:55" s="33" customFormat="1" ht="13.5" hidden="1" customHeight="1">
      <c r="B95" s="27" t="s">
        <v>65</v>
      </c>
      <c r="C95" s="28"/>
      <c r="D95" s="293"/>
      <c r="E95" s="30"/>
      <c r="F95" s="28"/>
      <c r="G95" s="31"/>
      <c r="H95" s="32"/>
      <c r="I95" s="32"/>
      <c r="J95" s="32"/>
      <c r="K95" s="28"/>
      <c r="L95" s="28"/>
      <c r="M95" s="62"/>
      <c r="N95" s="62"/>
      <c r="O95" s="62"/>
      <c r="P95" s="62"/>
      <c r="Q95" s="62"/>
      <c r="R95" s="62"/>
      <c r="S95" s="62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90"/>
      <c r="AG95" s="9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</row>
    <row r="96" spans="2:55" s="33" customFormat="1" ht="11.25" customHeight="1">
      <c r="B96" s="27"/>
      <c r="C96" s="28"/>
      <c r="D96" s="293"/>
      <c r="E96" s="30"/>
      <c r="F96" s="28"/>
      <c r="G96" s="31"/>
      <c r="H96" s="32"/>
      <c r="I96" s="32"/>
      <c r="J96" s="32"/>
      <c r="K96" s="293" t="s">
        <v>324</v>
      </c>
      <c r="L96" s="28"/>
      <c r="M96" s="62"/>
      <c r="N96" s="62"/>
      <c r="O96" s="62"/>
      <c r="P96" s="62"/>
      <c r="Q96" s="62"/>
      <c r="R96" s="62"/>
      <c r="S96" s="62"/>
      <c r="T96" s="28" t="s">
        <v>341</v>
      </c>
      <c r="U96" s="28"/>
      <c r="V96" s="28"/>
      <c r="W96" s="28"/>
      <c r="X96" s="28"/>
      <c r="Y96" s="28"/>
      <c r="Z96" s="28"/>
      <c r="AA96" s="28"/>
      <c r="AB96" s="457" t="s">
        <v>321</v>
      </c>
      <c r="AC96" s="457"/>
      <c r="AD96" s="457"/>
      <c r="AE96" s="457"/>
      <c r="AF96" s="90"/>
      <c r="AG96" s="90"/>
      <c r="AH96" s="60"/>
      <c r="AI96" s="60"/>
      <c r="AJ96" s="60"/>
      <c r="AK96" s="216">
        <f>AC83+AK83</f>
        <v>202616263.60000008</v>
      </c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</row>
    <row r="97" spans="11:38" ht="11.25" customHeight="1">
      <c r="AL97" s="216"/>
    </row>
    <row r="98" spans="11:38" ht="11.25" customHeight="1">
      <c r="AK98" s="216">
        <f>AK83-AL99</f>
        <v>222476538</v>
      </c>
      <c r="AL98" s="216"/>
    </row>
    <row r="99" spans="11:38" ht="11.25" customHeight="1">
      <c r="K99" s="294" t="s">
        <v>325</v>
      </c>
      <c r="T99" s="256"/>
      <c r="U99" s="256"/>
      <c r="AB99" s="458" t="s">
        <v>322</v>
      </c>
      <c r="AC99" s="458"/>
      <c r="AD99" s="458"/>
      <c r="AE99" s="458"/>
      <c r="AL99" s="216">
        <f>AK96-AE83</f>
        <v>-19860274.399999917</v>
      </c>
    </row>
    <row r="100" spans="11:38">
      <c r="K100" s="293" t="s">
        <v>326</v>
      </c>
      <c r="T100" s="28" t="s">
        <v>343</v>
      </c>
      <c r="AB100" s="457" t="s">
        <v>323</v>
      </c>
      <c r="AC100" s="457"/>
      <c r="AD100" s="457"/>
      <c r="AE100" s="457"/>
    </row>
  </sheetData>
  <mergeCells count="3">
    <mergeCell ref="AB96:AE96"/>
    <mergeCell ref="AB99:AE99"/>
    <mergeCell ref="AB100:AE100"/>
  </mergeCells>
  <dataValidations count="2">
    <dataValidation type="list" allowBlank="1" showInputMessage="1" showErrorMessage="1" sqref="H6:H82">
      <formula1>"L,P"</formula1>
    </dataValidation>
    <dataValidation type="list" allowBlank="1" showInputMessage="1" showErrorMessage="1" sqref="I6:I82">
      <formula1>"TK/0,TK/1,TK/2,TK/3,K/0,K/1,K/2,K/3"</formula1>
    </dataValidation>
  </dataValidations>
  <printOptions horizontalCentered="1"/>
  <pageMargins left="0" right="0.59055118110236227" top="0" bottom="0.39370078740157483" header="0.31496062992125984" footer="0.31496062992125984"/>
  <pageSetup paperSize="9" scale="45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11"/>
  <sheetViews>
    <sheetView zoomScaleNormal="100" zoomScaleSheetLayoutView="100" workbookViewId="0">
      <pane xSplit="3" topLeftCell="T1" activePane="topRight" state="frozen"/>
      <selection pane="topRight" activeCell="AB94" sqref="AB94"/>
    </sheetView>
  </sheetViews>
  <sheetFormatPr defaultColWidth="9.28515625" defaultRowHeight="12.75" outlineLevelCol="1"/>
  <cols>
    <col min="1" max="1" width="1.5703125" style="60" customWidth="1"/>
    <col min="2" max="2" width="3.7109375" style="27" customWidth="1"/>
    <col min="3" max="3" width="16.85546875" style="28" customWidth="1"/>
    <col min="4" max="4" width="16.85546875" style="305" customWidth="1" outlineLevel="1"/>
    <col min="5" max="5" width="18.5703125" style="30" customWidth="1" outlineLevel="1"/>
    <col min="6" max="6" width="32.5703125" style="28" customWidth="1" outlineLevel="1"/>
    <col min="7" max="7" width="19.42578125" style="31" customWidth="1" outlineLevel="1"/>
    <col min="8" max="8" width="6" style="32" customWidth="1" outlineLevel="1"/>
    <col min="9" max="9" width="5.42578125" style="32" customWidth="1" outlineLevel="1"/>
    <col min="10" max="10" width="9.5703125" style="32" customWidth="1" outlineLevel="1"/>
    <col min="11" max="11" width="11.7109375" style="28" customWidth="1"/>
    <col min="12" max="20" width="11.42578125" style="28" customWidth="1"/>
    <col min="21" max="21" width="9.85546875" style="28" hidden="1" customWidth="1"/>
    <col min="22" max="22" width="11" style="28" customWidth="1"/>
    <col min="23" max="23" width="9.7109375" style="28" hidden="1" customWidth="1"/>
    <col min="24" max="24" width="11.5703125" style="28" customWidth="1"/>
    <col min="25" max="25" width="9" style="28" hidden="1" customWidth="1"/>
    <col min="26" max="27" width="12.7109375" style="28" hidden="1" customWidth="1"/>
    <col min="28" max="28" width="11.85546875" style="28" customWidth="1"/>
    <col min="29" max="29" width="11.7109375" style="28" hidden="1" customWidth="1"/>
    <col min="30" max="30" width="10.85546875" style="28" hidden="1" customWidth="1"/>
    <col min="31" max="31" width="13.7109375" style="28" customWidth="1" collapsed="1"/>
    <col min="32" max="32" width="9.140625" style="90" customWidth="1"/>
    <col min="33" max="33" width="10.140625" style="90" customWidth="1"/>
    <col min="34" max="34" width="9.28515625" style="60"/>
    <col min="35" max="35" width="11.140625" style="60" bestFit="1" customWidth="1"/>
    <col min="36" max="36" width="10" style="60" customWidth="1"/>
    <col min="37" max="37" width="12.28515625" style="60" bestFit="1" customWidth="1"/>
    <col min="38" max="38" width="11" style="60" customWidth="1"/>
    <col min="39" max="39" width="9.28515625" style="60"/>
    <col min="40" max="40" width="14.5703125" style="60" bestFit="1" customWidth="1"/>
    <col min="41" max="42" width="11.140625" style="60" customWidth="1"/>
    <col min="43" max="16384" width="9.28515625" style="60"/>
  </cols>
  <sheetData>
    <row r="1" spans="2:43">
      <c r="B1" s="27" t="s">
        <v>72</v>
      </c>
    </row>
    <row r="2" spans="2:43">
      <c r="B2" s="27" t="s">
        <v>409</v>
      </c>
    </row>
    <row r="3" spans="2:43">
      <c r="B3" s="27" t="s">
        <v>99</v>
      </c>
    </row>
    <row r="4" spans="2:43" s="27" customFormat="1" ht="13.5" thickBot="1">
      <c r="C4" s="87" t="s">
        <v>40</v>
      </c>
      <c r="D4" s="305"/>
      <c r="E4" s="30"/>
      <c r="F4" s="28"/>
      <c r="G4" s="31"/>
      <c r="H4" s="32"/>
      <c r="I4" s="32"/>
      <c r="J4" s="32"/>
      <c r="K4" s="28"/>
      <c r="L4" s="28"/>
      <c r="M4" s="28"/>
      <c r="N4" s="28" t="s">
        <v>97</v>
      </c>
      <c r="O4" s="28" t="s">
        <v>95</v>
      </c>
      <c r="P4" s="28" t="s">
        <v>96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90"/>
      <c r="AG4" s="90"/>
    </row>
    <row r="5" spans="2:43" s="27" customFormat="1" ht="47.25" customHeight="1" thickBot="1">
      <c r="B5" s="301" t="s">
        <v>64</v>
      </c>
      <c r="C5" s="301" t="s">
        <v>25</v>
      </c>
      <c r="D5" s="302" t="s">
        <v>26</v>
      </c>
      <c r="E5" s="303" t="s">
        <v>27</v>
      </c>
      <c r="F5" s="301" t="s">
        <v>28</v>
      </c>
      <c r="G5" s="300" t="s">
        <v>29</v>
      </c>
      <c r="H5" s="130" t="s">
        <v>37</v>
      </c>
      <c r="I5" s="131" t="s">
        <v>6</v>
      </c>
      <c r="J5" s="131" t="s">
        <v>15</v>
      </c>
      <c r="K5" s="129" t="s">
        <v>36</v>
      </c>
      <c r="L5" s="304" t="s">
        <v>68</v>
      </c>
      <c r="M5" s="304" t="s">
        <v>69</v>
      </c>
      <c r="N5" s="304" t="s">
        <v>80</v>
      </c>
      <c r="O5" s="304" t="s">
        <v>81</v>
      </c>
      <c r="P5" s="304" t="s">
        <v>84</v>
      </c>
      <c r="Q5" s="145" t="s">
        <v>319</v>
      </c>
      <c r="R5" s="304" t="s">
        <v>309</v>
      </c>
      <c r="S5" s="304" t="s">
        <v>310</v>
      </c>
      <c r="T5" s="304" t="s">
        <v>320</v>
      </c>
      <c r="U5" s="304" t="s">
        <v>315</v>
      </c>
      <c r="V5" s="304" t="s">
        <v>311</v>
      </c>
      <c r="W5" s="304" t="s">
        <v>312</v>
      </c>
      <c r="X5" s="145" t="s">
        <v>85</v>
      </c>
      <c r="Y5" s="145" t="s">
        <v>313</v>
      </c>
      <c r="Z5" s="145" t="s">
        <v>86</v>
      </c>
      <c r="AA5" s="145" t="s">
        <v>87</v>
      </c>
      <c r="AB5" s="197" t="s">
        <v>98</v>
      </c>
      <c r="AC5" s="145" t="s">
        <v>82</v>
      </c>
      <c r="AD5" s="145" t="s">
        <v>83</v>
      </c>
      <c r="AE5" s="145" t="s">
        <v>41</v>
      </c>
      <c r="AF5" s="150" t="s">
        <v>42</v>
      </c>
      <c r="AG5" s="197" t="s">
        <v>335</v>
      </c>
      <c r="AI5" s="27" t="s">
        <v>316</v>
      </c>
      <c r="AJ5" s="27" t="s">
        <v>317</v>
      </c>
      <c r="AK5" s="27" t="s">
        <v>318</v>
      </c>
    </row>
    <row r="6" spans="2:43" s="173" customFormat="1" ht="24.75" customHeight="1">
      <c r="B6" s="159">
        <v>1</v>
      </c>
      <c r="C6" s="160" t="s">
        <v>100</v>
      </c>
      <c r="D6" s="161" t="s">
        <v>121</v>
      </c>
      <c r="E6" s="162" t="s">
        <v>143</v>
      </c>
      <c r="F6" s="153" t="s">
        <v>165</v>
      </c>
      <c r="G6" s="163" t="s">
        <v>184</v>
      </c>
      <c r="H6" s="164" t="s">
        <v>39</v>
      </c>
      <c r="I6" s="165" t="s">
        <v>11</v>
      </c>
      <c r="J6" s="166" t="str">
        <f>IF(ISBLANK(I6),"",IF(OR(I6="TK/0",I6="TK/1",I6="K/0"),"TER A",IF(I6="K/3","TER C","TER B")))</f>
        <v>TER B</v>
      </c>
      <c r="K6" s="167">
        <f>31*122333.33</f>
        <v>3792333.23</v>
      </c>
      <c r="L6" s="168">
        <f>3670000*0.84%</f>
        <v>30827.999999999996</v>
      </c>
      <c r="M6" s="168">
        <f>[17]MAINTENANCE!$AK10</f>
        <v>148820</v>
      </c>
      <c r="N6" s="168">
        <f>[17]MAINTENANCE!$W10</f>
        <v>167400</v>
      </c>
      <c r="O6" s="168">
        <f>[17]MAINTENANCE!$Z$10</f>
        <v>60000</v>
      </c>
      <c r="P6" s="168">
        <f>[17]MAINTENANCE!$AE$10</f>
        <v>848554.95000000007</v>
      </c>
      <c r="Q6" s="169"/>
      <c r="R6" s="168"/>
      <c r="S6" s="168"/>
      <c r="T6" s="168"/>
      <c r="U6" s="168"/>
      <c r="V6" s="168"/>
      <c r="W6" s="168"/>
      <c r="X6" s="168">
        <f>[17]MAINTENANCE!$AB10</f>
        <v>50500</v>
      </c>
      <c r="Y6" s="169"/>
      <c r="Z6" s="169"/>
      <c r="AA6" s="169"/>
      <c r="AB6" s="168">
        <f>-[17]MAINTENANCE!$BA10</f>
        <v>0</v>
      </c>
      <c r="AC6" s="168"/>
      <c r="AD6" s="168"/>
      <c r="AE6" s="170">
        <f>ROUNDDOWN(SUM(K6:AD6),0)</f>
        <v>5098436</v>
      </c>
      <c r="AF6" s="171">
        <f>IF(J6="TER A",VLOOKUP(AE6,Ter_A,4,TRUE),IF(J6="TER B",VLOOKUP(AE6,Ter_B,4,TRUE),VLOOKUP(AE6,Ter_C,4,TRUE)))</f>
        <v>0</v>
      </c>
      <c r="AG6" s="94">
        <f>ROUNDDOWN(IF(E6=0,AE6*AF6*120%,AE6*AF6),0)</f>
        <v>0</v>
      </c>
      <c r="AI6" s="199">
        <f>[17]MAINTENANCE!$AF10</f>
        <v>4918788.18</v>
      </c>
      <c r="AJ6" s="200">
        <f t="shared" ref="AJ6:AJ69" si="0">L6+M6</f>
        <v>179648</v>
      </c>
      <c r="AK6" s="199">
        <f>AI6+AJ6+AD6</f>
        <v>5098436.18</v>
      </c>
      <c r="AL6" s="201">
        <f t="shared" ref="AL6:AL69" si="1">AK6-AE6</f>
        <v>0.17999999970197678</v>
      </c>
      <c r="AN6" s="200">
        <f>K6+AB6</f>
        <v>3792333.23</v>
      </c>
      <c r="AO6" s="200">
        <f>N6+O6+P6+Q6+R6+S6+T6+V6+X6</f>
        <v>1126454.9500000002</v>
      </c>
      <c r="AP6" s="200">
        <f>L6+M6</f>
        <v>179648</v>
      </c>
      <c r="AQ6" s="201"/>
    </row>
    <row r="7" spans="2:43" s="173" customFormat="1" ht="24.75" customHeight="1">
      <c r="B7" s="174">
        <v>2</v>
      </c>
      <c r="C7" s="175" t="s">
        <v>101</v>
      </c>
      <c r="D7" s="176" t="s">
        <v>122</v>
      </c>
      <c r="E7" s="177" t="s">
        <v>144</v>
      </c>
      <c r="F7" s="154" t="s">
        <v>166</v>
      </c>
      <c r="G7" s="178" t="s">
        <v>185</v>
      </c>
      <c r="H7" s="179" t="s">
        <v>38</v>
      </c>
      <c r="I7" s="180" t="s">
        <v>7</v>
      </c>
      <c r="J7" s="181" t="str">
        <f t="shared" ref="J7:J72" si="2">IF(ISBLANK(I7),"",IF(OR(I7="TK/0",I7="TK/1",I7="K/0"),"TER A",IF(I7="K/3","TER C","TER B")))</f>
        <v>TER A</v>
      </c>
      <c r="K7" s="182">
        <f>31*121333.33</f>
        <v>3761333.23</v>
      </c>
      <c r="L7" s="169">
        <f>3640000*0.84%</f>
        <v>30575.999999999996</v>
      </c>
      <c r="M7" s="189">
        <f>[17]MAINTENANCE!$AK11</f>
        <v>146800</v>
      </c>
      <c r="N7" s="189">
        <f>[17]MAINTENANCE!$W11</f>
        <v>69750</v>
      </c>
      <c r="O7" s="189"/>
      <c r="P7" s="189"/>
      <c r="Q7" s="169"/>
      <c r="R7" s="169"/>
      <c r="S7" s="169"/>
      <c r="T7" s="169"/>
      <c r="U7" s="169"/>
      <c r="V7" s="169"/>
      <c r="W7" s="169"/>
      <c r="X7" s="189">
        <f>[17]MAINTENANCE!$AB11</f>
        <v>30000</v>
      </c>
      <c r="Y7" s="169"/>
      <c r="Z7" s="169"/>
      <c r="AA7" s="169"/>
      <c r="AB7" s="189">
        <f>-[17]MAINTENANCE!$BA11</f>
        <v>0</v>
      </c>
      <c r="AC7" s="189"/>
      <c r="AD7" s="189"/>
      <c r="AE7" s="183">
        <f>ROUNDDOWN(SUM(K7:AD7),0)</f>
        <v>4038459</v>
      </c>
      <c r="AF7" s="184">
        <f t="shared" ref="AF7:AF37" si="3">IF(J7="TER A",VLOOKUP(AE7,Ter_A,4,TRUE),IF(J7="TER B",VLOOKUP(AE7,Ter_B,4,TRUE),VLOOKUP(AE7,Ter_C,4,TRUE)))</f>
        <v>0</v>
      </c>
      <c r="AG7" s="95">
        <f>ROUNDDOWN(IF(E7=0,AE7*AF7*120%,AE7*AF7),0)</f>
        <v>0</v>
      </c>
      <c r="AI7" s="199">
        <f>[17]MAINTENANCE!$AF11</f>
        <v>3861083.23</v>
      </c>
      <c r="AJ7" s="200">
        <f t="shared" si="0"/>
        <v>177376</v>
      </c>
      <c r="AK7" s="199">
        <f t="shared" ref="AK7:AK70" si="4">AI7+AJ7+AD7</f>
        <v>4038459.23</v>
      </c>
      <c r="AL7" s="201">
        <f t="shared" si="1"/>
        <v>0.22999999998137355</v>
      </c>
      <c r="AN7" s="200">
        <f t="shared" ref="AN7:AN70" si="5">K7+AB7</f>
        <v>3761333.23</v>
      </c>
      <c r="AO7" s="200">
        <f t="shared" ref="AO7:AO70" si="6">N7+O7+P7+Q7+R7+S7+T7+V7+X7</f>
        <v>99750</v>
      </c>
      <c r="AP7" s="200">
        <f t="shared" ref="AP7:AP70" si="7">L7+M7</f>
        <v>177376</v>
      </c>
      <c r="AQ7" s="201"/>
    </row>
    <row r="8" spans="2:43" s="173" customFormat="1" ht="24.75" customHeight="1">
      <c r="B8" s="174">
        <v>3</v>
      </c>
      <c r="C8" s="175" t="s">
        <v>102</v>
      </c>
      <c r="D8" s="185" t="s">
        <v>123</v>
      </c>
      <c r="E8" s="177" t="s">
        <v>145</v>
      </c>
      <c r="F8" s="155" t="s">
        <v>167</v>
      </c>
      <c r="G8" s="178" t="s">
        <v>185</v>
      </c>
      <c r="H8" s="179" t="s">
        <v>38</v>
      </c>
      <c r="I8" s="180" t="s">
        <v>7</v>
      </c>
      <c r="J8" s="181" t="str">
        <f t="shared" si="2"/>
        <v>TER A</v>
      </c>
      <c r="K8" s="182">
        <f t="shared" ref="K8:K19" si="8">31*121333.33</f>
        <v>3761333.23</v>
      </c>
      <c r="L8" s="169">
        <f t="shared" ref="L8:L71" si="9">3640000*0.84%</f>
        <v>30575.999999999996</v>
      </c>
      <c r="M8" s="189">
        <f>[17]MAINTENANCE!$AK12</f>
        <v>146920</v>
      </c>
      <c r="N8" s="189">
        <f>[17]MAINTENANCE!$W12</f>
        <v>69750</v>
      </c>
      <c r="O8" s="189"/>
      <c r="P8" s="189"/>
      <c r="Q8" s="169"/>
      <c r="R8" s="169"/>
      <c r="S8" s="169"/>
      <c r="T8" s="169"/>
      <c r="U8" s="169"/>
      <c r="V8" s="169"/>
      <c r="W8" s="169"/>
      <c r="X8" s="189">
        <f>[17]MAINTENANCE!$AB12</f>
        <v>33000</v>
      </c>
      <c r="Y8" s="169"/>
      <c r="Z8" s="169"/>
      <c r="AA8" s="169"/>
      <c r="AB8" s="189">
        <f>-[17]MAINTENANCE!$BA12</f>
        <v>0</v>
      </c>
      <c r="AC8" s="189"/>
      <c r="AD8" s="189"/>
      <c r="AE8" s="183">
        <f>ROUNDDOWN(SUM(K8:AD8),0)</f>
        <v>4041579</v>
      </c>
      <c r="AF8" s="184">
        <f t="shared" si="3"/>
        <v>0</v>
      </c>
      <c r="AG8" s="95">
        <f t="shared" ref="AG8:AG71" si="10">ROUNDDOWN(IF(E8=0,AE8*AF8*120%,AE8*AF8),0)</f>
        <v>0</v>
      </c>
      <c r="AI8" s="199">
        <f>[17]MAINTENANCE!$AF12</f>
        <v>3864083.23</v>
      </c>
      <c r="AJ8" s="200">
        <f t="shared" si="0"/>
        <v>177496</v>
      </c>
      <c r="AK8" s="199">
        <f t="shared" si="4"/>
        <v>4041579.23</v>
      </c>
      <c r="AL8" s="201">
        <f t="shared" si="1"/>
        <v>0.22999999998137355</v>
      </c>
      <c r="AN8" s="200">
        <f t="shared" si="5"/>
        <v>3761333.23</v>
      </c>
      <c r="AO8" s="200">
        <f t="shared" si="6"/>
        <v>102750</v>
      </c>
      <c r="AP8" s="200">
        <f t="shared" si="7"/>
        <v>177496</v>
      </c>
      <c r="AQ8" s="201"/>
    </row>
    <row r="9" spans="2:43" s="173" customFormat="1" ht="24.75" customHeight="1">
      <c r="B9" s="174">
        <v>4</v>
      </c>
      <c r="C9" s="175" t="s">
        <v>103</v>
      </c>
      <c r="D9" s="176" t="s">
        <v>124</v>
      </c>
      <c r="E9" s="177" t="s">
        <v>146</v>
      </c>
      <c r="F9" s="155" t="s">
        <v>168</v>
      </c>
      <c r="G9" s="178" t="s">
        <v>185</v>
      </c>
      <c r="H9" s="179" t="s">
        <v>38</v>
      </c>
      <c r="I9" s="180" t="s">
        <v>7</v>
      </c>
      <c r="J9" s="181" t="str">
        <f t="shared" si="2"/>
        <v>TER A</v>
      </c>
      <c r="K9" s="182">
        <f t="shared" si="8"/>
        <v>3761333.23</v>
      </c>
      <c r="L9" s="169">
        <f t="shared" si="9"/>
        <v>30575.999999999996</v>
      </c>
      <c r="M9" s="189">
        <f>[17]MAINTENANCE!$AK13</f>
        <v>147620</v>
      </c>
      <c r="N9" s="189">
        <f>[17]MAINTENANCE!$W13</f>
        <v>65250</v>
      </c>
      <c r="O9" s="189"/>
      <c r="P9" s="189"/>
      <c r="Q9" s="169"/>
      <c r="R9" s="169"/>
      <c r="S9" s="169"/>
      <c r="T9" s="169"/>
      <c r="U9" s="169"/>
      <c r="V9" s="169"/>
      <c r="W9" s="169"/>
      <c r="X9" s="189">
        <f>[17]MAINTENANCE!$AB13</f>
        <v>50500</v>
      </c>
      <c r="Y9" s="169"/>
      <c r="Z9" s="169"/>
      <c r="AA9" s="169"/>
      <c r="AB9" s="189">
        <f>-[17]MAINTENANCE!$BA13</f>
        <v>-242666.66</v>
      </c>
      <c r="AC9" s="189"/>
      <c r="AD9" s="189"/>
      <c r="AE9" s="183">
        <f t="shared" ref="AE9:AE65" si="11">ROUNDDOWN(SUM(K9:AD9),0)</f>
        <v>3812612</v>
      </c>
      <c r="AF9" s="184">
        <f t="shared" si="3"/>
        <v>0</v>
      </c>
      <c r="AG9" s="95">
        <f t="shared" si="10"/>
        <v>0</v>
      </c>
      <c r="AI9" s="199">
        <f>[17]MAINTENANCE!$AF13</f>
        <v>3634416.5700000003</v>
      </c>
      <c r="AJ9" s="200">
        <f t="shared" si="0"/>
        <v>178196</v>
      </c>
      <c r="AK9" s="199">
        <f t="shared" si="4"/>
        <v>3812612.5700000003</v>
      </c>
      <c r="AL9" s="201">
        <f t="shared" si="1"/>
        <v>0.57000000029802322</v>
      </c>
      <c r="AN9" s="200">
        <f t="shared" si="5"/>
        <v>3518666.57</v>
      </c>
      <c r="AO9" s="200">
        <f t="shared" si="6"/>
        <v>115750</v>
      </c>
      <c r="AP9" s="200">
        <f t="shared" si="7"/>
        <v>178196</v>
      </c>
      <c r="AQ9" s="201"/>
    </row>
    <row r="10" spans="2:43" s="173" customFormat="1" ht="24.75" customHeight="1">
      <c r="B10" s="174">
        <v>5</v>
      </c>
      <c r="C10" s="175" t="s">
        <v>104</v>
      </c>
      <c r="D10" s="185" t="s">
        <v>125</v>
      </c>
      <c r="E10" s="177" t="s">
        <v>147</v>
      </c>
      <c r="F10" s="154" t="s">
        <v>314</v>
      </c>
      <c r="G10" s="178" t="s">
        <v>185</v>
      </c>
      <c r="H10" s="179" t="s">
        <v>38</v>
      </c>
      <c r="I10" s="180" t="s">
        <v>7</v>
      </c>
      <c r="J10" s="181" t="str">
        <f t="shared" si="2"/>
        <v>TER A</v>
      </c>
      <c r="K10" s="182">
        <f t="shared" si="8"/>
        <v>3761333.23</v>
      </c>
      <c r="L10" s="169">
        <f t="shared" si="9"/>
        <v>30575.999999999996</v>
      </c>
      <c r="M10" s="189">
        <f>[17]MAINTENANCE!$AK14</f>
        <v>146920</v>
      </c>
      <c r="N10" s="189">
        <f>[17]MAINTENANCE!$W14</f>
        <v>67500</v>
      </c>
      <c r="O10" s="189"/>
      <c r="P10" s="189"/>
      <c r="Q10" s="169"/>
      <c r="R10" s="169"/>
      <c r="S10" s="169"/>
      <c r="T10" s="169"/>
      <c r="U10" s="169"/>
      <c r="V10" s="169"/>
      <c r="W10" s="169"/>
      <c r="X10" s="189">
        <f>[17]MAINTENANCE!$AB14</f>
        <v>33000</v>
      </c>
      <c r="Y10" s="169"/>
      <c r="Z10" s="169"/>
      <c r="AA10" s="169"/>
      <c r="AB10" s="189">
        <f>-[17]MAINTENANCE!$BA14</f>
        <v>-121333.33</v>
      </c>
      <c r="AC10" s="189"/>
      <c r="AD10" s="189"/>
      <c r="AE10" s="183">
        <f t="shared" si="11"/>
        <v>3917995</v>
      </c>
      <c r="AF10" s="184">
        <f t="shared" si="3"/>
        <v>0</v>
      </c>
      <c r="AG10" s="95">
        <f t="shared" si="10"/>
        <v>0</v>
      </c>
      <c r="AI10" s="199">
        <f>[17]MAINTENANCE!$AF14</f>
        <v>3740499.9000000004</v>
      </c>
      <c r="AJ10" s="200">
        <f t="shared" si="0"/>
        <v>177496</v>
      </c>
      <c r="AK10" s="199">
        <f t="shared" si="4"/>
        <v>3917995.9000000004</v>
      </c>
      <c r="AL10" s="201">
        <f t="shared" si="1"/>
        <v>0.90000000037252903</v>
      </c>
      <c r="AN10" s="200">
        <f t="shared" si="5"/>
        <v>3639999.9</v>
      </c>
      <c r="AO10" s="200">
        <f t="shared" si="6"/>
        <v>100500</v>
      </c>
      <c r="AP10" s="200">
        <f t="shared" si="7"/>
        <v>177496</v>
      </c>
      <c r="AQ10" s="201"/>
    </row>
    <row r="11" spans="2:43" s="173" customFormat="1" ht="24.75" customHeight="1">
      <c r="B11" s="174">
        <v>6</v>
      </c>
      <c r="C11" s="175" t="s">
        <v>105</v>
      </c>
      <c r="D11" s="176" t="s">
        <v>126</v>
      </c>
      <c r="E11" s="177" t="s">
        <v>148</v>
      </c>
      <c r="F11" s="155" t="s">
        <v>169</v>
      </c>
      <c r="G11" s="178" t="s">
        <v>185</v>
      </c>
      <c r="H11" s="179" t="s">
        <v>38</v>
      </c>
      <c r="I11" s="180" t="s">
        <v>7</v>
      </c>
      <c r="J11" s="181" t="str">
        <f t="shared" si="2"/>
        <v>TER A</v>
      </c>
      <c r="K11" s="182">
        <f t="shared" si="8"/>
        <v>3761333.23</v>
      </c>
      <c r="L11" s="169">
        <f t="shared" si="9"/>
        <v>30575.999999999996</v>
      </c>
      <c r="M11" s="189">
        <f>[17]MAINTENANCE!$AK15</f>
        <v>147480</v>
      </c>
      <c r="N11" s="189">
        <f>[17]MAINTENANCE!$W15</f>
        <v>69750</v>
      </c>
      <c r="O11" s="189"/>
      <c r="P11" s="189"/>
      <c r="Q11" s="169"/>
      <c r="R11" s="169"/>
      <c r="S11" s="169"/>
      <c r="T11" s="169"/>
      <c r="U11" s="169"/>
      <c r="V11" s="169"/>
      <c r="W11" s="169"/>
      <c r="X11" s="189">
        <f>[17]MAINTENANCE!$AB15</f>
        <v>47000</v>
      </c>
      <c r="Y11" s="169"/>
      <c r="Z11" s="169"/>
      <c r="AA11" s="169"/>
      <c r="AB11" s="189">
        <f>-[17]MAINTENANCE!$BA15</f>
        <v>0</v>
      </c>
      <c r="AC11" s="189"/>
      <c r="AD11" s="189"/>
      <c r="AE11" s="183">
        <f t="shared" si="11"/>
        <v>4056139</v>
      </c>
      <c r="AF11" s="184">
        <f t="shared" si="3"/>
        <v>0</v>
      </c>
      <c r="AG11" s="95">
        <f t="shared" si="10"/>
        <v>0</v>
      </c>
      <c r="AI11" s="199">
        <f>[17]MAINTENANCE!$AF15</f>
        <v>3878083.23</v>
      </c>
      <c r="AJ11" s="200">
        <f t="shared" si="0"/>
        <v>178056</v>
      </c>
      <c r="AK11" s="199">
        <f t="shared" si="4"/>
        <v>4056139.23</v>
      </c>
      <c r="AL11" s="201">
        <f t="shared" si="1"/>
        <v>0.22999999998137355</v>
      </c>
      <c r="AN11" s="200">
        <f t="shared" si="5"/>
        <v>3761333.23</v>
      </c>
      <c r="AO11" s="200">
        <f t="shared" si="6"/>
        <v>116750</v>
      </c>
      <c r="AP11" s="200">
        <f t="shared" si="7"/>
        <v>178056</v>
      </c>
      <c r="AQ11" s="201"/>
    </row>
    <row r="12" spans="2:43" s="173" customFormat="1" ht="24.75" customHeight="1">
      <c r="B12" s="174">
        <v>7</v>
      </c>
      <c r="C12" s="175" t="s">
        <v>106</v>
      </c>
      <c r="D12" s="185" t="s">
        <v>127</v>
      </c>
      <c r="E12" s="177" t="s">
        <v>149</v>
      </c>
      <c r="F12" s="155" t="s">
        <v>91</v>
      </c>
      <c r="G12" s="178" t="s">
        <v>185</v>
      </c>
      <c r="H12" s="179" t="s">
        <v>38</v>
      </c>
      <c r="I12" s="180" t="s">
        <v>7</v>
      </c>
      <c r="J12" s="181" t="str">
        <f t="shared" si="2"/>
        <v>TER A</v>
      </c>
      <c r="K12" s="182">
        <f t="shared" si="8"/>
        <v>3761333.23</v>
      </c>
      <c r="L12" s="169">
        <f t="shared" si="9"/>
        <v>30575.999999999996</v>
      </c>
      <c r="M12" s="189">
        <f>[17]MAINTENANCE!$AK16</f>
        <v>147620</v>
      </c>
      <c r="N12" s="189">
        <f>[17]MAINTENANCE!$W16</f>
        <v>69750</v>
      </c>
      <c r="O12" s="189"/>
      <c r="P12" s="189"/>
      <c r="Q12" s="169"/>
      <c r="R12" s="169"/>
      <c r="S12" s="169"/>
      <c r="T12" s="169"/>
      <c r="U12" s="169"/>
      <c r="V12" s="169"/>
      <c r="W12" s="169"/>
      <c r="X12" s="189">
        <f>[17]MAINTENANCE!$AB16</f>
        <v>50500</v>
      </c>
      <c r="Y12" s="169"/>
      <c r="Z12" s="169"/>
      <c r="AA12" s="169"/>
      <c r="AB12" s="189">
        <f>-[17]MAINTENANCE!$BA16</f>
        <v>0</v>
      </c>
      <c r="AC12" s="189"/>
      <c r="AD12" s="189"/>
      <c r="AE12" s="183">
        <f t="shared" si="11"/>
        <v>4059779</v>
      </c>
      <c r="AF12" s="184">
        <f t="shared" si="3"/>
        <v>0</v>
      </c>
      <c r="AG12" s="95">
        <f t="shared" si="10"/>
        <v>0</v>
      </c>
      <c r="AI12" s="199">
        <f>[17]MAINTENANCE!$AF16</f>
        <v>3881583.23</v>
      </c>
      <c r="AJ12" s="200">
        <f t="shared" si="0"/>
        <v>178196</v>
      </c>
      <c r="AK12" s="199">
        <f t="shared" si="4"/>
        <v>4059779.23</v>
      </c>
      <c r="AL12" s="201">
        <f t="shared" si="1"/>
        <v>0.22999999998137355</v>
      </c>
      <c r="AN12" s="200">
        <f t="shared" si="5"/>
        <v>3761333.23</v>
      </c>
      <c r="AO12" s="200">
        <f t="shared" si="6"/>
        <v>120250</v>
      </c>
      <c r="AP12" s="200">
        <f t="shared" si="7"/>
        <v>178196</v>
      </c>
      <c r="AQ12" s="201"/>
    </row>
    <row r="13" spans="2:43" s="173" customFormat="1" ht="24.75" customHeight="1">
      <c r="B13" s="174">
        <v>8</v>
      </c>
      <c r="C13" s="175" t="s">
        <v>107</v>
      </c>
      <c r="D13" s="176" t="s">
        <v>128</v>
      </c>
      <c r="E13" s="177" t="s">
        <v>150</v>
      </c>
      <c r="F13" s="155" t="s">
        <v>170</v>
      </c>
      <c r="G13" s="178" t="s">
        <v>185</v>
      </c>
      <c r="H13" s="179" t="s">
        <v>38</v>
      </c>
      <c r="I13" s="180" t="s">
        <v>7</v>
      </c>
      <c r="J13" s="181" t="str">
        <f t="shared" si="2"/>
        <v>TER A</v>
      </c>
      <c r="K13" s="182">
        <f t="shared" si="8"/>
        <v>3761333.23</v>
      </c>
      <c r="L13" s="169">
        <f t="shared" si="9"/>
        <v>30575.999999999996</v>
      </c>
      <c r="M13" s="189">
        <f>[17]MAINTENANCE!$AK17</f>
        <v>147480</v>
      </c>
      <c r="N13" s="189">
        <f>[17]MAINTENANCE!$W17</f>
        <v>69750</v>
      </c>
      <c r="O13" s="189"/>
      <c r="P13" s="189"/>
      <c r="Q13" s="169"/>
      <c r="R13" s="169"/>
      <c r="S13" s="169"/>
      <c r="T13" s="169"/>
      <c r="U13" s="169"/>
      <c r="V13" s="169"/>
      <c r="W13" s="169"/>
      <c r="X13" s="189">
        <f>[17]MAINTENANCE!$AB17</f>
        <v>47000</v>
      </c>
      <c r="Y13" s="169"/>
      <c r="Z13" s="169"/>
      <c r="AA13" s="169"/>
      <c r="AB13" s="189">
        <f>-[17]MAINTENANCE!$BA17</f>
        <v>0</v>
      </c>
      <c r="AC13" s="189"/>
      <c r="AD13" s="189"/>
      <c r="AE13" s="183">
        <f t="shared" si="11"/>
        <v>4056139</v>
      </c>
      <c r="AF13" s="184">
        <f t="shared" si="3"/>
        <v>0</v>
      </c>
      <c r="AG13" s="95">
        <f t="shared" si="10"/>
        <v>0</v>
      </c>
      <c r="AI13" s="199">
        <f>[17]MAINTENANCE!$AF17</f>
        <v>3878083.23</v>
      </c>
      <c r="AJ13" s="200">
        <f t="shared" si="0"/>
        <v>178056</v>
      </c>
      <c r="AK13" s="199">
        <f t="shared" si="4"/>
        <v>4056139.23</v>
      </c>
      <c r="AL13" s="201">
        <f t="shared" si="1"/>
        <v>0.22999999998137355</v>
      </c>
      <c r="AN13" s="200">
        <f t="shared" si="5"/>
        <v>3761333.23</v>
      </c>
      <c r="AO13" s="200">
        <f t="shared" si="6"/>
        <v>116750</v>
      </c>
      <c r="AP13" s="200">
        <f t="shared" si="7"/>
        <v>178056</v>
      </c>
      <c r="AQ13" s="201"/>
    </row>
    <row r="14" spans="2:43" s="173" customFormat="1" ht="24.75" customHeight="1">
      <c r="B14" s="174">
        <v>9</v>
      </c>
      <c r="C14" s="175" t="s">
        <v>108</v>
      </c>
      <c r="D14" s="185" t="s">
        <v>129</v>
      </c>
      <c r="E14" s="177" t="s">
        <v>151</v>
      </c>
      <c r="F14" s="155" t="s">
        <v>171</v>
      </c>
      <c r="G14" s="178" t="s">
        <v>185</v>
      </c>
      <c r="H14" s="179" t="s">
        <v>38</v>
      </c>
      <c r="I14" s="180" t="s">
        <v>7</v>
      </c>
      <c r="J14" s="181" t="str">
        <f t="shared" si="2"/>
        <v>TER A</v>
      </c>
      <c r="K14" s="182">
        <f t="shared" si="8"/>
        <v>3761333.23</v>
      </c>
      <c r="L14" s="169">
        <f t="shared" si="9"/>
        <v>30575.999999999996</v>
      </c>
      <c r="M14" s="189">
        <f>[17]MAINTENANCE!$AK18</f>
        <v>147620</v>
      </c>
      <c r="N14" s="189">
        <f>[17]MAINTENANCE!$W18</f>
        <v>67500</v>
      </c>
      <c r="O14" s="189"/>
      <c r="P14" s="189"/>
      <c r="Q14" s="169"/>
      <c r="R14" s="169"/>
      <c r="S14" s="169"/>
      <c r="T14" s="169"/>
      <c r="U14" s="169"/>
      <c r="V14" s="169"/>
      <c r="W14" s="169"/>
      <c r="X14" s="189">
        <f>[17]MAINTENANCE!$AB18</f>
        <v>50500</v>
      </c>
      <c r="Y14" s="169"/>
      <c r="Z14" s="169"/>
      <c r="AA14" s="169"/>
      <c r="AB14" s="189">
        <f>-[17]MAINTENANCE!$BA18</f>
        <v>-121333.33</v>
      </c>
      <c r="AC14" s="189"/>
      <c r="AD14" s="189"/>
      <c r="AE14" s="183">
        <f t="shared" si="11"/>
        <v>3936195</v>
      </c>
      <c r="AF14" s="184">
        <f t="shared" si="3"/>
        <v>0</v>
      </c>
      <c r="AG14" s="95">
        <f t="shared" si="10"/>
        <v>0</v>
      </c>
      <c r="AI14" s="199">
        <f>[17]MAINTENANCE!$AF18</f>
        <v>3757999.9000000004</v>
      </c>
      <c r="AJ14" s="200">
        <f t="shared" si="0"/>
        <v>178196</v>
      </c>
      <c r="AK14" s="199">
        <f t="shared" si="4"/>
        <v>3936195.9000000004</v>
      </c>
      <c r="AL14" s="201">
        <f t="shared" si="1"/>
        <v>0.90000000037252903</v>
      </c>
      <c r="AN14" s="200">
        <f t="shared" si="5"/>
        <v>3639999.9</v>
      </c>
      <c r="AO14" s="200">
        <f t="shared" si="6"/>
        <v>118000</v>
      </c>
      <c r="AP14" s="200">
        <f t="shared" si="7"/>
        <v>178196</v>
      </c>
      <c r="AQ14" s="201"/>
    </row>
    <row r="15" spans="2:43" s="173" customFormat="1" ht="24.75" customHeight="1">
      <c r="B15" s="174">
        <v>10</v>
      </c>
      <c r="C15" s="175" t="s">
        <v>109</v>
      </c>
      <c r="D15" s="176" t="s">
        <v>130</v>
      </c>
      <c r="E15" s="177" t="s">
        <v>152</v>
      </c>
      <c r="F15" s="155" t="s">
        <v>90</v>
      </c>
      <c r="G15" s="178" t="s">
        <v>185</v>
      </c>
      <c r="H15" s="179" t="s">
        <v>38</v>
      </c>
      <c r="I15" s="180" t="s">
        <v>7</v>
      </c>
      <c r="J15" s="181" t="str">
        <f t="shared" si="2"/>
        <v>TER A</v>
      </c>
      <c r="K15" s="182">
        <f t="shared" si="8"/>
        <v>3761333.23</v>
      </c>
      <c r="L15" s="169">
        <f t="shared" si="9"/>
        <v>30575.999999999996</v>
      </c>
      <c r="M15" s="189">
        <f>[17]MAINTENANCE!$AK19</f>
        <v>147760</v>
      </c>
      <c r="N15" s="189">
        <f>[17]MAINTENANCE!$W19</f>
        <v>65250</v>
      </c>
      <c r="O15" s="189"/>
      <c r="P15" s="189"/>
      <c r="Q15" s="169"/>
      <c r="R15" s="169"/>
      <c r="S15" s="169"/>
      <c r="T15" s="169"/>
      <c r="U15" s="169"/>
      <c r="V15" s="169"/>
      <c r="W15" s="169"/>
      <c r="X15" s="189">
        <f>[17]MAINTENANCE!$AB19</f>
        <v>54000</v>
      </c>
      <c r="Y15" s="169"/>
      <c r="Z15" s="169"/>
      <c r="AA15" s="169"/>
      <c r="AB15" s="189">
        <f>-[17]MAINTENANCE!$BA19</f>
        <v>-242666.66</v>
      </c>
      <c r="AC15" s="189"/>
      <c r="AD15" s="189"/>
      <c r="AE15" s="183">
        <f t="shared" si="11"/>
        <v>3816252</v>
      </c>
      <c r="AF15" s="184">
        <f t="shared" si="3"/>
        <v>0</v>
      </c>
      <c r="AG15" s="95">
        <f t="shared" si="10"/>
        <v>0</v>
      </c>
      <c r="AI15" s="199">
        <f>[17]MAINTENANCE!$AF19</f>
        <v>3637916.5700000003</v>
      </c>
      <c r="AJ15" s="200">
        <f t="shared" si="0"/>
        <v>178336</v>
      </c>
      <c r="AK15" s="199">
        <f t="shared" si="4"/>
        <v>3816252.5700000003</v>
      </c>
      <c r="AL15" s="201">
        <f t="shared" si="1"/>
        <v>0.57000000029802322</v>
      </c>
      <c r="AN15" s="200">
        <f t="shared" si="5"/>
        <v>3518666.57</v>
      </c>
      <c r="AO15" s="200">
        <f t="shared" si="6"/>
        <v>119250</v>
      </c>
      <c r="AP15" s="200">
        <f t="shared" si="7"/>
        <v>178336</v>
      </c>
      <c r="AQ15" s="201"/>
    </row>
    <row r="16" spans="2:43" s="173" customFormat="1" ht="24.75" customHeight="1">
      <c r="B16" s="174">
        <v>11</v>
      </c>
      <c r="C16" s="175" t="s">
        <v>110</v>
      </c>
      <c r="D16" s="176" t="s">
        <v>131</v>
      </c>
      <c r="E16" s="177" t="s">
        <v>153</v>
      </c>
      <c r="F16" s="155" t="s">
        <v>172</v>
      </c>
      <c r="G16" s="178" t="s">
        <v>185</v>
      </c>
      <c r="H16" s="179" t="s">
        <v>38</v>
      </c>
      <c r="I16" s="180" t="s">
        <v>7</v>
      </c>
      <c r="J16" s="181" t="str">
        <f t="shared" si="2"/>
        <v>TER A</v>
      </c>
      <c r="K16" s="182">
        <f t="shared" si="8"/>
        <v>3761333.23</v>
      </c>
      <c r="L16" s="169">
        <f t="shared" si="9"/>
        <v>30575.999999999996</v>
      </c>
      <c r="M16" s="189">
        <f>[17]MAINTENANCE!$AK20</f>
        <v>147480</v>
      </c>
      <c r="N16" s="189">
        <f>[17]MAINTENANCE!$W20</f>
        <v>69750</v>
      </c>
      <c r="O16" s="189"/>
      <c r="P16" s="189"/>
      <c r="Q16" s="169"/>
      <c r="R16" s="169"/>
      <c r="S16" s="169"/>
      <c r="T16" s="169"/>
      <c r="U16" s="169"/>
      <c r="V16" s="169"/>
      <c r="W16" s="169"/>
      <c r="X16" s="189">
        <f>[17]MAINTENANCE!$AB20</f>
        <v>47000</v>
      </c>
      <c r="Y16" s="169"/>
      <c r="Z16" s="169"/>
      <c r="AA16" s="169"/>
      <c r="AB16" s="189">
        <f>-[17]MAINTENANCE!$BA20</f>
        <v>0</v>
      </c>
      <c r="AC16" s="189"/>
      <c r="AD16" s="189"/>
      <c r="AE16" s="183">
        <f t="shared" si="11"/>
        <v>4056139</v>
      </c>
      <c r="AF16" s="184">
        <f t="shared" si="3"/>
        <v>0</v>
      </c>
      <c r="AG16" s="95">
        <f t="shared" si="10"/>
        <v>0</v>
      </c>
      <c r="AI16" s="199">
        <f>[17]MAINTENANCE!$AF20</f>
        <v>3878083.23</v>
      </c>
      <c r="AJ16" s="200">
        <f t="shared" si="0"/>
        <v>178056</v>
      </c>
      <c r="AK16" s="199">
        <f t="shared" si="4"/>
        <v>4056139.23</v>
      </c>
      <c r="AL16" s="201">
        <f t="shared" si="1"/>
        <v>0.22999999998137355</v>
      </c>
      <c r="AN16" s="200">
        <f t="shared" si="5"/>
        <v>3761333.23</v>
      </c>
      <c r="AO16" s="200">
        <f t="shared" si="6"/>
        <v>116750</v>
      </c>
      <c r="AP16" s="200">
        <f t="shared" si="7"/>
        <v>178056</v>
      </c>
      <c r="AQ16" s="201"/>
    </row>
    <row r="17" spans="2:43" s="173" customFormat="1" ht="24.75" customHeight="1">
      <c r="B17" s="174">
        <v>12</v>
      </c>
      <c r="C17" s="175" t="s">
        <v>111</v>
      </c>
      <c r="D17" s="185" t="s">
        <v>132</v>
      </c>
      <c r="E17" s="177" t="s">
        <v>154</v>
      </c>
      <c r="F17" s="155" t="s">
        <v>173</v>
      </c>
      <c r="G17" s="178" t="s">
        <v>185</v>
      </c>
      <c r="H17" s="179" t="s">
        <v>38</v>
      </c>
      <c r="I17" s="180" t="s">
        <v>7</v>
      </c>
      <c r="J17" s="181" t="str">
        <f t="shared" si="2"/>
        <v>TER A</v>
      </c>
      <c r="K17" s="182">
        <f t="shared" si="8"/>
        <v>3761333.23</v>
      </c>
      <c r="L17" s="169">
        <f t="shared" si="9"/>
        <v>30575.999999999996</v>
      </c>
      <c r="M17" s="189">
        <f>[17]MAINTENANCE!$AK21</f>
        <v>147480</v>
      </c>
      <c r="N17" s="189">
        <f>[17]MAINTENANCE!$W21</f>
        <v>65250</v>
      </c>
      <c r="O17" s="189"/>
      <c r="P17" s="189"/>
      <c r="Q17" s="169"/>
      <c r="R17" s="169"/>
      <c r="S17" s="169"/>
      <c r="T17" s="169"/>
      <c r="U17" s="169"/>
      <c r="V17" s="169"/>
      <c r="W17" s="169"/>
      <c r="X17" s="189">
        <f>[17]MAINTENANCE!$AB21</f>
        <v>47000</v>
      </c>
      <c r="Y17" s="169"/>
      <c r="Z17" s="169"/>
      <c r="AA17" s="169"/>
      <c r="AB17" s="189">
        <f>-[17]MAINTENANCE!$BA21</f>
        <v>-242666.66</v>
      </c>
      <c r="AC17" s="189"/>
      <c r="AD17" s="189"/>
      <c r="AE17" s="183">
        <f t="shared" si="11"/>
        <v>3808972</v>
      </c>
      <c r="AF17" s="184">
        <f t="shared" si="3"/>
        <v>0</v>
      </c>
      <c r="AG17" s="95">
        <f t="shared" si="10"/>
        <v>0</v>
      </c>
      <c r="AI17" s="199">
        <f>[17]MAINTENANCE!$AF21</f>
        <v>3630916.57</v>
      </c>
      <c r="AJ17" s="200">
        <f t="shared" si="0"/>
        <v>178056</v>
      </c>
      <c r="AK17" s="199">
        <f t="shared" si="4"/>
        <v>3808972.57</v>
      </c>
      <c r="AL17" s="201">
        <f t="shared" si="1"/>
        <v>0.56999999983236194</v>
      </c>
      <c r="AN17" s="200">
        <f t="shared" si="5"/>
        <v>3518666.57</v>
      </c>
      <c r="AO17" s="200">
        <f t="shared" si="6"/>
        <v>112250</v>
      </c>
      <c r="AP17" s="200">
        <f t="shared" si="7"/>
        <v>178056</v>
      </c>
      <c r="AQ17" s="201"/>
    </row>
    <row r="18" spans="2:43" s="173" customFormat="1" ht="24.75" customHeight="1">
      <c r="B18" s="174">
        <v>13</v>
      </c>
      <c r="C18" s="175" t="s">
        <v>112</v>
      </c>
      <c r="D18" s="176" t="s">
        <v>133</v>
      </c>
      <c r="E18" s="177" t="s">
        <v>155</v>
      </c>
      <c r="F18" s="155" t="s">
        <v>174</v>
      </c>
      <c r="G18" s="178" t="s">
        <v>185</v>
      </c>
      <c r="H18" s="179" t="s">
        <v>39</v>
      </c>
      <c r="I18" s="180" t="s">
        <v>7</v>
      </c>
      <c r="J18" s="181" t="str">
        <f t="shared" si="2"/>
        <v>TER A</v>
      </c>
      <c r="K18" s="182">
        <f t="shared" si="8"/>
        <v>3761333.23</v>
      </c>
      <c r="L18" s="169">
        <f t="shared" si="9"/>
        <v>30575.999999999996</v>
      </c>
      <c r="M18" s="189">
        <f>[17]MAINTENANCE!$AK22</f>
        <v>147480</v>
      </c>
      <c r="N18" s="189">
        <f>[17]MAINTENANCE!$W22</f>
        <v>67500</v>
      </c>
      <c r="O18" s="189"/>
      <c r="P18" s="189"/>
      <c r="Q18" s="169"/>
      <c r="R18" s="169"/>
      <c r="S18" s="169"/>
      <c r="T18" s="169"/>
      <c r="U18" s="169"/>
      <c r="V18" s="169"/>
      <c r="W18" s="169"/>
      <c r="X18" s="189">
        <f>[17]MAINTENANCE!$AB22</f>
        <v>47000</v>
      </c>
      <c r="Y18" s="169"/>
      <c r="Z18" s="169"/>
      <c r="AA18" s="169"/>
      <c r="AB18" s="189">
        <f>-[17]MAINTENANCE!$BA22</f>
        <v>-121333.33</v>
      </c>
      <c r="AC18" s="189"/>
      <c r="AD18" s="189"/>
      <c r="AE18" s="183">
        <f t="shared" si="11"/>
        <v>3932555</v>
      </c>
      <c r="AF18" s="184">
        <f t="shared" si="3"/>
        <v>0</v>
      </c>
      <c r="AG18" s="95">
        <f t="shared" si="10"/>
        <v>0</v>
      </c>
      <c r="AI18" s="199">
        <f>[17]MAINTENANCE!$AF22</f>
        <v>3754499.9</v>
      </c>
      <c r="AJ18" s="200">
        <f t="shared" si="0"/>
        <v>178056</v>
      </c>
      <c r="AK18" s="199">
        <f t="shared" si="4"/>
        <v>3932555.9</v>
      </c>
      <c r="AL18" s="201">
        <f t="shared" si="1"/>
        <v>0.89999999990686774</v>
      </c>
      <c r="AN18" s="200">
        <f t="shared" si="5"/>
        <v>3639999.9</v>
      </c>
      <c r="AO18" s="200">
        <f t="shared" si="6"/>
        <v>114500</v>
      </c>
      <c r="AP18" s="200">
        <f t="shared" si="7"/>
        <v>178056</v>
      </c>
      <c r="AQ18" s="201"/>
    </row>
    <row r="19" spans="2:43" s="173" customFormat="1" ht="24.75" customHeight="1">
      <c r="B19" s="174">
        <v>14</v>
      </c>
      <c r="C19" s="175" t="s">
        <v>113</v>
      </c>
      <c r="D19" s="176" t="s">
        <v>134</v>
      </c>
      <c r="E19" s="177" t="s">
        <v>156</v>
      </c>
      <c r="F19" s="155" t="s">
        <v>175</v>
      </c>
      <c r="G19" s="178" t="s">
        <v>185</v>
      </c>
      <c r="H19" s="179" t="s">
        <v>38</v>
      </c>
      <c r="I19" s="180" t="s">
        <v>7</v>
      </c>
      <c r="J19" s="181" t="str">
        <f t="shared" si="2"/>
        <v>TER A</v>
      </c>
      <c r="K19" s="182">
        <f t="shared" si="8"/>
        <v>3761333.23</v>
      </c>
      <c r="L19" s="169">
        <f t="shared" si="9"/>
        <v>30575.999999999996</v>
      </c>
      <c r="M19" s="189">
        <f>[17]MAINTENANCE!$AK23</f>
        <v>146920</v>
      </c>
      <c r="N19" s="189">
        <f>[17]MAINTENANCE!$W23</f>
        <v>69750</v>
      </c>
      <c r="O19" s="189"/>
      <c r="P19" s="189"/>
      <c r="Q19" s="169"/>
      <c r="R19" s="169"/>
      <c r="S19" s="169"/>
      <c r="T19" s="169"/>
      <c r="U19" s="169"/>
      <c r="V19" s="169"/>
      <c r="W19" s="169"/>
      <c r="X19" s="189">
        <f>[17]MAINTENANCE!$AB23</f>
        <v>33000</v>
      </c>
      <c r="Y19" s="169"/>
      <c r="Z19" s="169"/>
      <c r="AA19" s="169"/>
      <c r="AB19" s="189">
        <f>-[17]MAINTENANCE!$BA23</f>
        <v>0</v>
      </c>
      <c r="AC19" s="189"/>
      <c r="AD19" s="189"/>
      <c r="AE19" s="183">
        <f t="shared" si="11"/>
        <v>4041579</v>
      </c>
      <c r="AF19" s="184">
        <f t="shared" si="3"/>
        <v>0</v>
      </c>
      <c r="AG19" s="95">
        <f t="shared" si="10"/>
        <v>0</v>
      </c>
      <c r="AI19" s="199">
        <f>[17]MAINTENANCE!$AF23</f>
        <v>3864083.2300000004</v>
      </c>
      <c r="AJ19" s="200">
        <f t="shared" si="0"/>
        <v>177496</v>
      </c>
      <c r="AK19" s="199">
        <f t="shared" si="4"/>
        <v>4041579.2300000004</v>
      </c>
      <c r="AL19" s="201">
        <f t="shared" si="1"/>
        <v>0.23000000044703484</v>
      </c>
      <c r="AN19" s="200">
        <f t="shared" si="5"/>
        <v>3761333.23</v>
      </c>
      <c r="AO19" s="200">
        <f t="shared" si="6"/>
        <v>102750</v>
      </c>
      <c r="AP19" s="200">
        <f t="shared" si="7"/>
        <v>177496</v>
      </c>
      <c r="AQ19" s="201"/>
    </row>
    <row r="20" spans="2:43" s="173" customFormat="1" ht="24.75" customHeight="1">
      <c r="B20" s="174"/>
      <c r="C20" s="175" t="s">
        <v>114</v>
      </c>
      <c r="D20" s="176" t="s">
        <v>135</v>
      </c>
      <c r="E20" s="177" t="s">
        <v>157</v>
      </c>
      <c r="F20" s="155" t="s">
        <v>176</v>
      </c>
      <c r="G20" s="178" t="s">
        <v>185</v>
      </c>
      <c r="H20" s="179" t="s">
        <v>39</v>
      </c>
      <c r="I20" s="180" t="s">
        <v>12</v>
      </c>
      <c r="J20" s="181" t="str">
        <f t="shared" si="2"/>
        <v>TER C</v>
      </c>
      <c r="K20" s="182"/>
      <c r="L20" s="169"/>
      <c r="M20" s="189"/>
      <c r="N20" s="189"/>
      <c r="O20" s="189"/>
      <c r="P20" s="189"/>
      <c r="Q20" s="169"/>
      <c r="R20" s="169"/>
      <c r="S20" s="169"/>
      <c r="T20" s="169"/>
      <c r="U20" s="169"/>
      <c r="V20" s="169"/>
      <c r="W20" s="169"/>
      <c r="X20" s="189"/>
      <c r="Y20" s="169"/>
      <c r="Z20" s="169"/>
      <c r="AA20" s="169"/>
      <c r="AB20" s="189"/>
      <c r="AC20" s="189"/>
      <c r="AD20" s="189"/>
      <c r="AE20" s="183">
        <f t="shared" si="11"/>
        <v>0</v>
      </c>
      <c r="AF20" s="184">
        <f t="shared" si="3"/>
        <v>0</v>
      </c>
      <c r="AG20" s="95">
        <f t="shared" si="10"/>
        <v>0</v>
      </c>
      <c r="AI20" s="199"/>
      <c r="AJ20" s="200">
        <f t="shared" si="0"/>
        <v>0</v>
      </c>
      <c r="AK20" s="199">
        <f t="shared" si="4"/>
        <v>0</v>
      </c>
      <c r="AL20" s="201">
        <f t="shared" si="1"/>
        <v>0</v>
      </c>
      <c r="AN20" s="200">
        <f t="shared" si="5"/>
        <v>0</v>
      </c>
      <c r="AO20" s="200">
        <f t="shared" si="6"/>
        <v>0</v>
      </c>
      <c r="AP20" s="200">
        <f t="shared" si="7"/>
        <v>0</v>
      </c>
      <c r="AQ20" s="201"/>
    </row>
    <row r="21" spans="2:43" s="173" customFormat="1" ht="24.75" customHeight="1">
      <c r="B21" s="174">
        <v>15</v>
      </c>
      <c r="C21" s="175" t="s">
        <v>115</v>
      </c>
      <c r="D21" s="176" t="s">
        <v>136</v>
      </c>
      <c r="E21" s="177" t="s">
        <v>158</v>
      </c>
      <c r="F21" s="155" t="s">
        <v>177</v>
      </c>
      <c r="G21" s="178" t="s">
        <v>185</v>
      </c>
      <c r="H21" s="179" t="s">
        <v>39</v>
      </c>
      <c r="I21" s="180" t="s">
        <v>9</v>
      </c>
      <c r="J21" s="181" t="str">
        <f t="shared" si="2"/>
        <v>TER B</v>
      </c>
      <c r="K21" s="182">
        <f>31*121333.33</f>
        <v>3761333.23</v>
      </c>
      <c r="L21" s="169">
        <f t="shared" si="9"/>
        <v>30575.999999999996</v>
      </c>
      <c r="M21" s="189">
        <f>[17]MAINTENANCE!$AK24</f>
        <v>146800</v>
      </c>
      <c r="N21" s="189">
        <f>[17]MAINTENANCE!$W24</f>
        <v>125550</v>
      </c>
      <c r="O21" s="189"/>
      <c r="P21" s="189">
        <f>[17]MAINTENANCE!$AE$24</f>
        <v>336647.36</v>
      </c>
      <c r="Q21" s="169"/>
      <c r="R21" s="169"/>
      <c r="S21" s="169"/>
      <c r="T21" s="169"/>
      <c r="U21" s="169"/>
      <c r="V21" s="169"/>
      <c r="W21" s="169"/>
      <c r="X21" s="189">
        <f>[17]MAINTENANCE!$AB24</f>
        <v>30000</v>
      </c>
      <c r="Y21" s="169"/>
      <c r="Z21" s="169"/>
      <c r="AA21" s="169"/>
      <c r="AB21" s="189">
        <f>-[17]MAINTENANCE!$BA24</f>
        <v>0</v>
      </c>
      <c r="AC21" s="189"/>
      <c r="AD21" s="189"/>
      <c r="AE21" s="183">
        <f>ROUNDDOWN(SUM(K21:AD21),0)</f>
        <v>4430906</v>
      </c>
      <c r="AF21" s="184">
        <f t="shared" si="3"/>
        <v>0</v>
      </c>
      <c r="AG21" s="95">
        <f t="shared" si="10"/>
        <v>0</v>
      </c>
      <c r="AI21" s="199">
        <f>[17]MAINTENANCE!$AF24</f>
        <v>4253530.59</v>
      </c>
      <c r="AJ21" s="200">
        <f t="shared" si="0"/>
        <v>177376</v>
      </c>
      <c r="AK21" s="199">
        <f t="shared" si="4"/>
        <v>4430906.59</v>
      </c>
      <c r="AL21" s="201">
        <f t="shared" si="1"/>
        <v>0.58999999985098839</v>
      </c>
      <c r="AN21" s="200">
        <f t="shared" si="5"/>
        <v>3761333.23</v>
      </c>
      <c r="AO21" s="200">
        <f t="shared" si="6"/>
        <v>492197.36</v>
      </c>
      <c r="AP21" s="200">
        <f t="shared" si="7"/>
        <v>177376</v>
      </c>
      <c r="AQ21" s="201"/>
    </row>
    <row r="22" spans="2:43" s="173" customFormat="1" ht="24.75" customHeight="1">
      <c r="B22" s="174">
        <v>16</v>
      </c>
      <c r="C22" s="175" t="s">
        <v>116</v>
      </c>
      <c r="D22" s="176" t="s">
        <v>137</v>
      </c>
      <c r="E22" s="177" t="s">
        <v>159</v>
      </c>
      <c r="F22" s="155" t="s">
        <v>178</v>
      </c>
      <c r="G22" s="178" t="s">
        <v>185</v>
      </c>
      <c r="H22" s="179" t="s">
        <v>38</v>
      </c>
      <c r="I22" s="180" t="s">
        <v>7</v>
      </c>
      <c r="J22" s="181" t="str">
        <f t="shared" si="2"/>
        <v>TER A</v>
      </c>
      <c r="K22" s="182">
        <f t="shared" ref="K22:K27" si="12">31*121333.33</f>
        <v>3761333.23</v>
      </c>
      <c r="L22" s="169">
        <f t="shared" si="9"/>
        <v>30575.999999999996</v>
      </c>
      <c r="M22" s="189">
        <f>[17]MAINTENANCE!$AK25</f>
        <v>147480</v>
      </c>
      <c r="N22" s="189">
        <f>[17]MAINTENANCE!$W25</f>
        <v>69750</v>
      </c>
      <c r="O22" s="189"/>
      <c r="P22" s="189"/>
      <c r="Q22" s="169"/>
      <c r="R22" s="169"/>
      <c r="S22" s="169"/>
      <c r="T22" s="169"/>
      <c r="U22" s="169"/>
      <c r="V22" s="169"/>
      <c r="W22" s="169"/>
      <c r="X22" s="189">
        <f>[17]MAINTENANCE!$AB25</f>
        <v>47000</v>
      </c>
      <c r="Y22" s="169"/>
      <c r="Z22" s="169"/>
      <c r="AA22" s="169"/>
      <c r="AB22" s="189">
        <f>-[17]MAINTENANCE!$BA25</f>
        <v>0</v>
      </c>
      <c r="AC22" s="189"/>
      <c r="AD22" s="189"/>
      <c r="AE22" s="183">
        <f t="shared" si="11"/>
        <v>4056139</v>
      </c>
      <c r="AF22" s="184">
        <f t="shared" si="3"/>
        <v>0</v>
      </c>
      <c r="AG22" s="95">
        <f t="shared" si="10"/>
        <v>0</v>
      </c>
      <c r="AI22" s="199">
        <f>[17]MAINTENANCE!$AF25</f>
        <v>3878083.23</v>
      </c>
      <c r="AJ22" s="200">
        <f t="shared" si="0"/>
        <v>178056</v>
      </c>
      <c r="AK22" s="199">
        <f t="shared" si="4"/>
        <v>4056139.23</v>
      </c>
      <c r="AL22" s="201">
        <f t="shared" si="1"/>
        <v>0.22999999998137355</v>
      </c>
      <c r="AN22" s="200">
        <f t="shared" si="5"/>
        <v>3761333.23</v>
      </c>
      <c r="AO22" s="200">
        <f t="shared" si="6"/>
        <v>116750</v>
      </c>
      <c r="AP22" s="200">
        <f t="shared" si="7"/>
        <v>178056</v>
      </c>
      <c r="AQ22" s="201"/>
    </row>
    <row r="23" spans="2:43" s="173" customFormat="1" ht="24.75" customHeight="1">
      <c r="B23" s="174">
        <v>17</v>
      </c>
      <c r="C23" s="175" t="s">
        <v>117</v>
      </c>
      <c r="D23" s="185" t="s">
        <v>138</v>
      </c>
      <c r="E23" s="186" t="s">
        <v>160</v>
      </c>
      <c r="F23" s="155" t="s">
        <v>179</v>
      </c>
      <c r="G23" s="178" t="s">
        <v>185</v>
      </c>
      <c r="H23" s="187" t="s">
        <v>38</v>
      </c>
      <c r="I23" s="188" t="s">
        <v>7</v>
      </c>
      <c r="J23" s="181" t="str">
        <f t="shared" si="2"/>
        <v>TER A</v>
      </c>
      <c r="K23" s="182">
        <f t="shared" si="12"/>
        <v>3761333.23</v>
      </c>
      <c r="L23" s="169">
        <f t="shared" si="9"/>
        <v>30575.999999999996</v>
      </c>
      <c r="M23" s="189">
        <f>[17]MAINTENANCE!$AK26</f>
        <v>147480</v>
      </c>
      <c r="N23" s="189">
        <f>[17]MAINTENANCE!$W26</f>
        <v>65250</v>
      </c>
      <c r="O23" s="189"/>
      <c r="P23" s="189"/>
      <c r="Q23" s="169"/>
      <c r="R23" s="189"/>
      <c r="S23" s="189"/>
      <c r="T23" s="189"/>
      <c r="U23" s="189"/>
      <c r="V23" s="189"/>
      <c r="W23" s="189"/>
      <c r="X23" s="189">
        <f>[17]MAINTENANCE!$AB26</f>
        <v>47000</v>
      </c>
      <c r="Y23" s="189"/>
      <c r="Z23" s="189"/>
      <c r="AA23" s="189"/>
      <c r="AB23" s="189">
        <f>-[17]MAINTENANCE!$BA26</f>
        <v>-242666.66</v>
      </c>
      <c r="AC23" s="189"/>
      <c r="AD23" s="189"/>
      <c r="AE23" s="183">
        <f t="shared" si="11"/>
        <v>3808972</v>
      </c>
      <c r="AF23" s="184">
        <f t="shared" si="3"/>
        <v>0</v>
      </c>
      <c r="AG23" s="95">
        <f t="shared" si="10"/>
        <v>0</v>
      </c>
      <c r="AI23" s="199">
        <f>[17]MAINTENANCE!$AF26</f>
        <v>3630916.5700000003</v>
      </c>
      <c r="AJ23" s="200">
        <f t="shared" si="0"/>
        <v>178056</v>
      </c>
      <c r="AK23" s="199">
        <f t="shared" si="4"/>
        <v>3808972.5700000003</v>
      </c>
      <c r="AL23" s="201">
        <f t="shared" si="1"/>
        <v>0.57000000029802322</v>
      </c>
      <c r="AN23" s="200">
        <f t="shared" si="5"/>
        <v>3518666.57</v>
      </c>
      <c r="AO23" s="200">
        <f t="shared" si="6"/>
        <v>112250</v>
      </c>
      <c r="AP23" s="200">
        <f t="shared" si="7"/>
        <v>178056</v>
      </c>
      <c r="AQ23" s="201"/>
    </row>
    <row r="24" spans="2:43" s="173" customFormat="1" ht="24.75" customHeight="1">
      <c r="B24" s="174">
        <v>18</v>
      </c>
      <c r="C24" s="175" t="s">
        <v>118</v>
      </c>
      <c r="D24" s="185" t="s">
        <v>139</v>
      </c>
      <c r="E24" s="190" t="s">
        <v>161</v>
      </c>
      <c r="F24" s="155" t="s">
        <v>180</v>
      </c>
      <c r="G24" s="178" t="s">
        <v>186</v>
      </c>
      <c r="H24" s="187" t="s">
        <v>38</v>
      </c>
      <c r="I24" s="188" t="s">
        <v>7</v>
      </c>
      <c r="J24" s="181" t="str">
        <f t="shared" si="2"/>
        <v>TER A</v>
      </c>
      <c r="K24" s="182">
        <f t="shared" si="12"/>
        <v>3761333.23</v>
      </c>
      <c r="L24" s="169">
        <f t="shared" si="9"/>
        <v>30575.999999999996</v>
      </c>
      <c r="M24" s="189">
        <f>[17]MAINTENANCE!$AK27</f>
        <v>146920</v>
      </c>
      <c r="N24" s="189">
        <f>[17]MAINTENANCE!$W27</f>
        <v>69750</v>
      </c>
      <c r="O24" s="189">
        <f>[17]MAINTENANCE!$Z$27</f>
        <v>40000</v>
      </c>
      <c r="P24" s="189">
        <f>[17]MAINTENANCE!$AE$27</f>
        <v>1746358.18</v>
      </c>
      <c r="Q24" s="169"/>
      <c r="R24" s="189"/>
      <c r="S24" s="189"/>
      <c r="T24" s="189"/>
      <c r="U24" s="189"/>
      <c r="V24" s="189"/>
      <c r="W24" s="189"/>
      <c r="X24" s="189">
        <f>[17]MAINTENANCE!$AB27</f>
        <v>33000</v>
      </c>
      <c r="Y24" s="189"/>
      <c r="Z24" s="189"/>
      <c r="AA24" s="189"/>
      <c r="AB24" s="189">
        <f>-[17]MAINTENANCE!$BA27</f>
        <v>0</v>
      </c>
      <c r="AC24" s="189"/>
      <c r="AD24" s="189"/>
      <c r="AE24" s="183">
        <f>ROUNDDOWN(SUM(K24:AD24),0)</f>
        <v>5827937</v>
      </c>
      <c r="AF24" s="184">
        <f t="shared" si="3"/>
        <v>5.0000000000000001E-3</v>
      </c>
      <c r="AG24" s="95">
        <f t="shared" si="10"/>
        <v>29139</v>
      </c>
      <c r="AI24" s="199">
        <f>[17]MAINTENANCE!$AF27</f>
        <v>5650441.4100000001</v>
      </c>
      <c r="AJ24" s="200">
        <f t="shared" si="0"/>
        <v>177496</v>
      </c>
      <c r="AK24" s="199">
        <f t="shared" si="4"/>
        <v>5827937.4100000001</v>
      </c>
      <c r="AL24" s="201">
        <f t="shared" si="1"/>
        <v>0.41000000014901161</v>
      </c>
      <c r="AN24" s="200">
        <f t="shared" si="5"/>
        <v>3761333.23</v>
      </c>
      <c r="AO24" s="200">
        <f t="shared" si="6"/>
        <v>1889108.18</v>
      </c>
      <c r="AP24" s="200">
        <f t="shared" si="7"/>
        <v>177496</v>
      </c>
      <c r="AQ24" s="201"/>
    </row>
    <row r="25" spans="2:43" s="173" customFormat="1" ht="24.75" customHeight="1">
      <c r="B25" s="174">
        <v>19</v>
      </c>
      <c r="C25" s="175" t="s">
        <v>119</v>
      </c>
      <c r="D25" s="185" t="s">
        <v>140</v>
      </c>
      <c r="E25" s="177" t="s">
        <v>162</v>
      </c>
      <c r="F25" s="155" t="s">
        <v>181</v>
      </c>
      <c r="G25" s="178" t="s">
        <v>185</v>
      </c>
      <c r="H25" s="187" t="s">
        <v>39</v>
      </c>
      <c r="I25" s="188" t="s">
        <v>12</v>
      </c>
      <c r="J25" s="181" t="str">
        <f t="shared" si="2"/>
        <v>TER C</v>
      </c>
      <c r="K25" s="182">
        <f t="shared" si="12"/>
        <v>3761333.23</v>
      </c>
      <c r="L25" s="169">
        <f t="shared" si="9"/>
        <v>30575.999999999996</v>
      </c>
      <c r="M25" s="189">
        <f>[17]MAINTENANCE!$AK28</f>
        <v>147480</v>
      </c>
      <c r="N25" s="189">
        <f>[17]MAINTENANCE!$W28</f>
        <v>167400</v>
      </c>
      <c r="O25" s="189"/>
      <c r="P25" s="189">
        <f>[17]MAINTENANCE!$AE$28</f>
        <v>589132.88</v>
      </c>
      <c r="Q25" s="169"/>
      <c r="R25" s="189"/>
      <c r="S25" s="189"/>
      <c r="T25" s="189"/>
      <c r="U25" s="189"/>
      <c r="V25" s="189"/>
      <c r="W25" s="189"/>
      <c r="X25" s="189">
        <f>[17]MAINTENANCE!$AB28</f>
        <v>47000</v>
      </c>
      <c r="Y25" s="189"/>
      <c r="Z25" s="189"/>
      <c r="AA25" s="189"/>
      <c r="AB25" s="189">
        <f>-[17]MAINTENANCE!$BA28</f>
        <v>0</v>
      </c>
      <c r="AC25" s="189"/>
      <c r="AD25" s="189"/>
      <c r="AE25" s="183">
        <f t="shared" si="11"/>
        <v>4742922</v>
      </c>
      <c r="AF25" s="184">
        <f t="shared" si="3"/>
        <v>0</v>
      </c>
      <c r="AG25" s="95">
        <f t="shared" si="10"/>
        <v>0</v>
      </c>
      <c r="AI25" s="199">
        <f>[17]MAINTENANCE!$AF28</f>
        <v>4564866.1100000003</v>
      </c>
      <c r="AJ25" s="200">
        <f t="shared" si="0"/>
        <v>178056</v>
      </c>
      <c r="AK25" s="199">
        <f t="shared" si="4"/>
        <v>4742922.1100000003</v>
      </c>
      <c r="AL25" s="201">
        <f t="shared" si="1"/>
        <v>0.11000000033527613</v>
      </c>
      <c r="AN25" s="200">
        <f t="shared" si="5"/>
        <v>3761333.23</v>
      </c>
      <c r="AO25" s="200">
        <f t="shared" si="6"/>
        <v>803532.88</v>
      </c>
      <c r="AP25" s="200">
        <f t="shared" si="7"/>
        <v>178056</v>
      </c>
      <c r="AQ25" s="201"/>
    </row>
    <row r="26" spans="2:43" s="173" customFormat="1" ht="24.75" customHeight="1">
      <c r="B26" s="174">
        <v>20</v>
      </c>
      <c r="C26" s="175" t="s">
        <v>104</v>
      </c>
      <c r="D26" s="191" t="s">
        <v>141</v>
      </c>
      <c r="E26" s="177" t="s">
        <v>163</v>
      </c>
      <c r="F26" s="154" t="s">
        <v>182</v>
      </c>
      <c r="G26" s="178" t="s">
        <v>185</v>
      </c>
      <c r="H26" s="187" t="s">
        <v>38</v>
      </c>
      <c r="I26" s="188" t="s">
        <v>7</v>
      </c>
      <c r="J26" s="181" t="str">
        <f t="shared" si="2"/>
        <v>TER A</v>
      </c>
      <c r="K26" s="182">
        <f t="shared" si="12"/>
        <v>3761333.23</v>
      </c>
      <c r="L26" s="169">
        <f t="shared" si="9"/>
        <v>30575.999999999996</v>
      </c>
      <c r="M26" s="189">
        <f>[17]MAINTENANCE!$AK29</f>
        <v>148040</v>
      </c>
      <c r="N26" s="189">
        <f>[17]MAINTENANCE!$W29</f>
        <v>69750</v>
      </c>
      <c r="O26" s="189"/>
      <c r="P26" s="189"/>
      <c r="Q26" s="169"/>
      <c r="R26" s="189"/>
      <c r="S26" s="189"/>
      <c r="T26" s="189"/>
      <c r="U26" s="189"/>
      <c r="V26" s="189"/>
      <c r="W26" s="189"/>
      <c r="X26" s="189">
        <f>[17]MAINTENANCE!$AB29</f>
        <v>61000</v>
      </c>
      <c r="Y26" s="189"/>
      <c r="Z26" s="189"/>
      <c r="AA26" s="189"/>
      <c r="AB26" s="189">
        <f>-[17]MAINTENANCE!$BA29</f>
        <v>0</v>
      </c>
      <c r="AC26" s="189"/>
      <c r="AD26" s="189"/>
      <c r="AE26" s="183">
        <f t="shared" si="11"/>
        <v>4070699</v>
      </c>
      <c r="AF26" s="184">
        <f t="shared" si="3"/>
        <v>0</v>
      </c>
      <c r="AG26" s="95">
        <f t="shared" si="10"/>
        <v>0</v>
      </c>
      <c r="AI26" s="199">
        <f>[17]MAINTENANCE!$AF29</f>
        <v>3892083.23</v>
      </c>
      <c r="AJ26" s="200">
        <f t="shared" si="0"/>
        <v>178616</v>
      </c>
      <c r="AK26" s="199">
        <f t="shared" si="4"/>
        <v>4070699.23</v>
      </c>
      <c r="AL26" s="201">
        <f t="shared" si="1"/>
        <v>0.22999999998137355</v>
      </c>
      <c r="AN26" s="200">
        <f t="shared" si="5"/>
        <v>3761333.23</v>
      </c>
      <c r="AO26" s="200">
        <f t="shared" si="6"/>
        <v>130750</v>
      </c>
      <c r="AP26" s="200">
        <f t="shared" si="7"/>
        <v>178616</v>
      </c>
      <c r="AQ26" s="201"/>
    </row>
    <row r="27" spans="2:43" s="173" customFormat="1" ht="24.75" customHeight="1">
      <c r="B27" s="174">
        <v>21</v>
      </c>
      <c r="C27" s="175" t="s">
        <v>120</v>
      </c>
      <c r="D27" s="191" t="s">
        <v>142</v>
      </c>
      <c r="E27" s="177" t="s">
        <v>164</v>
      </c>
      <c r="F27" s="154" t="s">
        <v>183</v>
      </c>
      <c r="G27" s="178" t="s">
        <v>185</v>
      </c>
      <c r="H27" s="187" t="s">
        <v>38</v>
      </c>
      <c r="I27" s="188" t="s">
        <v>7</v>
      </c>
      <c r="J27" s="181" t="str">
        <f t="shared" si="2"/>
        <v>TER A</v>
      </c>
      <c r="K27" s="182">
        <f t="shared" si="12"/>
        <v>3761333.23</v>
      </c>
      <c r="L27" s="169">
        <f t="shared" si="9"/>
        <v>30575.999999999996</v>
      </c>
      <c r="M27" s="189">
        <f>[17]MAINTENANCE!$AK30</f>
        <v>147620</v>
      </c>
      <c r="N27" s="189">
        <f>[17]MAINTENANCE!$W30</f>
        <v>69750</v>
      </c>
      <c r="O27" s="189"/>
      <c r="P27" s="189"/>
      <c r="Q27" s="169"/>
      <c r="R27" s="189"/>
      <c r="S27" s="189"/>
      <c r="T27" s="189"/>
      <c r="U27" s="189"/>
      <c r="V27" s="189"/>
      <c r="W27" s="189"/>
      <c r="X27" s="189">
        <f>[17]MAINTENANCE!$AB30</f>
        <v>50500</v>
      </c>
      <c r="Y27" s="189"/>
      <c r="Z27" s="189"/>
      <c r="AA27" s="189"/>
      <c r="AB27" s="189">
        <f>-[17]MAINTENANCE!$BA30</f>
        <v>0</v>
      </c>
      <c r="AC27" s="189"/>
      <c r="AD27" s="189"/>
      <c r="AE27" s="183">
        <f t="shared" si="11"/>
        <v>4059779</v>
      </c>
      <c r="AF27" s="184">
        <f t="shared" si="3"/>
        <v>0</v>
      </c>
      <c r="AG27" s="95">
        <f t="shared" si="10"/>
        <v>0</v>
      </c>
      <c r="AI27" s="199">
        <f>[17]MAINTENANCE!$AF30</f>
        <v>3881583.23</v>
      </c>
      <c r="AJ27" s="200">
        <f t="shared" si="0"/>
        <v>178196</v>
      </c>
      <c r="AK27" s="199">
        <f t="shared" si="4"/>
        <v>4059779.23</v>
      </c>
      <c r="AL27" s="201">
        <f t="shared" si="1"/>
        <v>0.22999999998137355</v>
      </c>
      <c r="AN27" s="200">
        <f t="shared" si="5"/>
        <v>3761333.23</v>
      </c>
      <c r="AO27" s="200">
        <f t="shared" si="6"/>
        <v>120250</v>
      </c>
      <c r="AP27" s="200">
        <f t="shared" si="7"/>
        <v>178196</v>
      </c>
      <c r="AQ27" s="201"/>
    </row>
    <row r="28" spans="2:43" s="173" customFormat="1" ht="24.75" customHeight="1">
      <c r="B28" s="174"/>
      <c r="C28" s="158" t="s">
        <v>187</v>
      </c>
      <c r="D28" s="192" t="s">
        <v>224</v>
      </c>
      <c r="E28" s="193" t="s">
        <v>220</v>
      </c>
      <c r="F28" s="156" t="s">
        <v>76</v>
      </c>
      <c r="G28" s="178" t="s">
        <v>94</v>
      </c>
      <c r="H28" s="187" t="s">
        <v>39</v>
      </c>
      <c r="I28" s="188" t="s">
        <v>11</v>
      </c>
      <c r="J28" s="181" t="str">
        <f t="shared" si="2"/>
        <v>TER B</v>
      </c>
      <c r="K28" s="194"/>
      <c r="L28" s="16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3">
        <f>ROUNDDOWN(SUM(K28:AD28),0)</f>
        <v>0</v>
      </c>
      <c r="AF28" s="184">
        <f t="shared" si="3"/>
        <v>0</v>
      </c>
      <c r="AG28" s="95">
        <f t="shared" si="10"/>
        <v>0</v>
      </c>
      <c r="AI28" s="199"/>
      <c r="AJ28" s="200">
        <f t="shared" si="0"/>
        <v>0</v>
      </c>
      <c r="AK28" s="199">
        <f>AI28+AJ28+AD28</f>
        <v>0</v>
      </c>
      <c r="AL28" s="201">
        <f t="shared" si="1"/>
        <v>0</v>
      </c>
      <c r="AN28" s="200">
        <f t="shared" si="5"/>
        <v>0</v>
      </c>
      <c r="AO28" s="200">
        <f t="shared" si="6"/>
        <v>0</v>
      </c>
      <c r="AP28" s="200">
        <f t="shared" si="7"/>
        <v>0</v>
      </c>
      <c r="AQ28" s="201"/>
    </row>
    <row r="29" spans="2:43" s="173" customFormat="1" ht="24.75" customHeight="1">
      <c r="B29" s="174">
        <v>22</v>
      </c>
      <c r="C29" s="158" t="s">
        <v>188</v>
      </c>
      <c r="D29" s="192" t="s">
        <v>225</v>
      </c>
      <c r="E29" s="195" t="s">
        <v>221</v>
      </c>
      <c r="F29" s="157" t="s">
        <v>259</v>
      </c>
      <c r="G29" s="178" t="s">
        <v>292</v>
      </c>
      <c r="H29" s="187" t="s">
        <v>38</v>
      </c>
      <c r="I29" s="188" t="s">
        <v>7</v>
      </c>
      <c r="J29" s="181" t="str">
        <f t="shared" si="2"/>
        <v>TER A</v>
      </c>
      <c r="K29" s="182">
        <f>31*121333.33</f>
        <v>3761333.23</v>
      </c>
      <c r="L29" s="169">
        <f t="shared" si="9"/>
        <v>30575.999999999996</v>
      </c>
      <c r="M29" s="189">
        <f>'[17]HARVESTING KHT'!$AQ10</f>
        <v>147620</v>
      </c>
      <c r="N29" s="189">
        <f>'[17]HARVESTING KHT'!$U10</f>
        <v>69750</v>
      </c>
      <c r="O29" s="189">
        <f>'[17]HARVESTING KHT'!$X$10</f>
        <v>38000</v>
      </c>
      <c r="P29" s="189">
        <f>'[17]HARVESTING KHT'!$AD$10</f>
        <v>1146705.0699999998</v>
      </c>
      <c r="Q29" s="189"/>
      <c r="R29" s="189"/>
      <c r="S29" s="189"/>
      <c r="T29" s="189"/>
      <c r="U29" s="189"/>
      <c r="V29" s="189"/>
      <c r="W29" s="189"/>
      <c r="X29" s="189">
        <f>'[17]HARVESTING KHT'!$Z10</f>
        <v>50500</v>
      </c>
      <c r="Y29" s="189"/>
      <c r="Z29" s="189"/>
      <c r="AA29" s="189"/>
      <c r="AB29" s="189">
        <f>-'[17]HARVESTING KHT'!$BI10</f>
        <v>0</v>
      </c>
      <c r="AC29" s="189"/>
      <c r="AD29" s="189"/>
      <c r="AE29" s="183">
        <f t="shared" si="11"/>
        <v>5244484</v>
      </c>
      <c r="AF29" s="184">
        <f t="shared" si="3"/>
        <v>0</v>
      </c>
      <c r="AG29" s="95">
        <f t="shared" si="10"/>
        <v>0</v>
      </c>
      <c r="AI29" s="199">
        <f>'[17]HARVESTING KHT'!$AL10</f>
        <v>5066288.3</v>
      </c>
      <c r="AJ29" s="200">
        <f t="shared" si="0"/>
        <v>178196</v>
      </c>
      <c r="AK29" s="199">
        <f>AI29+AJ29+AD29</f>
        <v>5244484.3</v>
      </c>
      <c r="AL29" s="201">
        <f t="shared" si="1"/>
        <v>0.29999999981373549</v>
      </c>
      <c r="AN29" s="200">
        <f t="shared" si="5"/>
        <v>3761333.23</v>
      </c>
      <c r="AO29" s="200">
        <f t="shared" si="6"/>
        <v>1304955.0699999998</v>
      </c>
      <c r="AP29" s="200">
        <f t="shared" si="7"/>
        <v>178196</v>
      </c>
      <c r="AQ29" s="201"/>
    </row>
    <row r="30" spans="2:43" s="173" customFormat="1" ht="24.75" customHeight="1">
      <c r="B30" s="174"/>
      <c r="C30" s="158" t="s">
        <v>189</v>
      </c>
      <c r="D30" s="192" t="s">
        <v>226</v>
      </c>
      <c r="E30" s="195" t="s">
        <v>74</v>
      </c>
      <c r="F30" s="157" t="s">
        <v>260</v>
      </c>
      <c r="G30" s="178" t="s">
        <v>293</v>
      </c>
      <c r="H30" s="187" t="s">
        <v>39</v>
      </c>
      <c r="I30" s="188" t="s">
        <v>9</v>
      </c>
      <c r="J30" s="181" t="str">
        <f t="shared" si="2"/>
        <v>TER B</v>
      </c>
      <c r="K30" s="182"/>
      <c r="L30" s="16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3">
        <f t="shared" si="11"/>
        <v>0</v>
      </c>
      <c r="AF30" s="184">
        <f t="shared" si="3"/>
        <v>0</v>
      </c>
      <c r="AG30" s="95">
        <f t="shared" si="10"/>
        <v>0</v>
      </c>
      <c r="AI30" s="199"/>
      <c r="AJ30" s="200">
        <f t="shared" si="0"/>
        <v>0</v>
      </c>
      <c r="AK30" s="199">
        <f t="shared" si="4"/>
        <v>0</v>
      </c>
      <c r="AL30" s="201">
        <f t="shared" si="1"/>
        <v>0</v>
      </c>
      <c r="AN30" s="200">
        <f t="shared" si="5"/>
        <v>0</v>
      </c>
      <c r="AO30" s="200">
        <f t="shared" si="6"/>
        <v>0</v>
      </c>
      <c r="AP30" s="200">
        <f t="shared" si="7"/>
        <v>0</v>
      </c>
      <c r="AQ30" s="201"/>
    </row>
    <row r="31" spans="2:43" s="173" customFormat="1" ht="24.75" customHeight="1">
      <c r="B31" s="174">
        <v>23</v>
      </c>
      <c r="C31" s="158" t="s">
        <v>190</v>
      </c>
      <c r="D31" s="192" t="s">
        <v>227</v>
      </c>
      <c r="E31" s="195" t="s">
        <v>74</v>
      </c>
      <c r="F31" s="157" t="s">
        <v>261</v>
      </c>
      <c r="G31" s="178" t="s">
        <v>293</v>
      </c>
      <c r="H31" s="187" t="s">
        <v>39</v>
      </c>
      <c r="I31" s="188" t="s">
        <v>9</v>
      </c>
      <c r="J31" s="181" t="str">
        <f t="shared" si="2"/>
        <v>TER B</v>
      </c>
      <c r="K31" s="182">
        <f>31*121333.33</f>
        <v>3761333.23</v>
      </c>
      <c r="L31" s="169">
        <f t="shared" si="9"/>
        <v>30575.999999999996</v>
      </c>
      <c r="M31" s="189">
        <f>'[17]HARVESTING KHT'!$AQ11</f>
        <v>146560</v>
      </c>
      <c r="N31" s="189">
        <f>'[17]HARVESTING KHT'!$U11</f>
        <v>139500</v>
      </c>
      <c r="O31" s="189"/>
      <c r="P31" s="189"/>
      <c r="Q31" s="189"/>
      <c r="R31" s="189">
        <f>'[17]HARVESTING KHT'!$AA11</f>
        <v>332609</v>
      </c>
      <c r="S31" s="189">
        <f>'[17]HARVESTING KHT'!$AB11</f>
        <v>204750</v>
      </c>
      <c r="T31" s="189"/>
      <c r="U31" s="189"/>
      <c r="V31" s="189"/>
      <c r="W31" s="189"/>
      <c r="X31" s="189">
        <f>'[17]HARVESTING KHT'!$Z11</f>
        <v>24000</v>
      </c>
      <c r="Y31" s="189"/>
      <c r="Z31" s="189"/>
      <c r="AA31" s="189"/>
      <c r="AB31" s="189">
        <f>-'[17]HARVESTING KHT'!$BI11</f>
        <v>0</v>
      </c>
      <c r="AC31" s="189"/>
      <c r="AD31" s="189"/>
      <c r="AE31" s="183">
        <f t="shared" si="11"/>
        <v>4639328</v>
      </c>
      <c r="AF31" s="184">
        <f t="shared" si="3"/>
        <v>0</v>
      </c>
      <c r="AG31" s="95">
        <f t="shared" si="10"/>
        <v>0</v>
      </c>
      <c r="AI31" s="199">
        <f>'[17]HARVESTING KHT'!$AL11</f>
        <v>4462192.2300000004</v>
      </c>
      <c r="AJ31" s="200">
        <f t="shared" si="0"/>
        <v>177136</v>
      </c>
      <c r="AK31" s="199">
        <f t="shared" si="4"/>
        <v>4639328.2300000004</v>
      </c>
      <c r="AL31" s="201">
        <f t="shared" si="1"/>
        <v>0.23000000044703484</v>
      </c>
      <c r="AN31" s="200">
        <f t="shared" si="5"/>
        <v>3761333.23</v>
      </c>
      <c r="AO31" s="200">
        <f t="shared" si="6"/>
        <v>700859</v>
      </c>
      <c r="AP31" s="200">
        <f t="shared" si="7"/>
        <v>177136</v>
      </c>
      <c r="AQ31" s="201"/>
    </row>
    <row r="32" spans="2:43" s="173" customFormat="1" ht="24.75" customHeight="1">
      <c r="B32" s="174"/>
      <c r="C32" s="158" t="s">
        <v>191</v>
      </c>
      <c r="D32" s="192" t="s">
        <v>228</v>
      </c>
      <c r="E32" s="195" t="s">
        <v>74</v>
      </c>
      <c r="F32" s="157" t="s">
        <v>262</v>
      </c>
      <c r="G32" s="178" t="s">
        <v>293</v>
      </c>
      <c r="H32" s="187" t="s">
        <v>39</v>
      </c>
      <c r="I32" s="188" t="s">
        <v>11</v>
      </c>
      <c r="J32" s="181" t="str">
        <f t="shared" si="2"/>
        <v>TER B</v>
      </c>
      <c r="K32" s="182"/>
      <c r="L32" s="16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3">
        <f t="shared" si="11"/>
        <v>0</v>
      </c>
      <c r="AF32" s="184">
        <f t="shared" si="3"/>
        <v>0</v>
      </c>
      <c r="AG32" s="95">
        <f t="shared" si="10"/>
        <v>0</v>
      </c>
      <c r="AI32" s="199"/>
      <c r="AJ32" s="200">
        <f t="shared" si="0"/>
        <v>0</v>
      </c>
      <c r="AK32" s="199">
        <f t="shared" si="4"/>
        <v>0</v>
      </c>
      <c r="AL32" s="201">
        <f t="shared" si="1"/>
        <v>0</v>
      </c>
      <c r="AN32" s="200">
        <f t="shared" si="5"/>
        <v>0</v>
      </c>
      <c r="AO32" s="200">
        <f t="shared" si="6"/>
        <v>0</v>
      </c>
      <c r="AP32" s="200">
        <f t="shared" si="7"/>
        <v>0</v>
      </c>
      <c r="AQ32" s="201"/>
    </row>
    <row r="33" spans="2:43" s="173" customFormat="1" ht="24.75" customHeight="1">
      <c r="B33" s="174"/>
      <c r="C33" s="158" t="s">
        <v>192</v>
      </c>
      <c r="D33" s="192" t="s">
        <v>229</v>
      </c>
      <c r="E33" s="195" t="s">
        <v>74</v>
      </c>
      <c r="F33" s="157" t="s">
        <v>263</v>
      </c>
      <c r="G33" s="178" t="s">
        <v>293</v>
      </c>
      <c r="H33" s="187" t="s">
        <v>39</v>
      </c>
      <c r="I33" s="188" t="s">
        <v>9</v>
      </c>
      <c r="J33" s="181" t="str">
        <f t="shared" si="2"/>
        <v>TER B</v>
      </c>
      <c r="K33" s="182"/>
      <c r="L33" s="16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3">
        <f t="shared" si="11"/>
        <v>0</v>
      </c>
      <c r="AF33" s="184">
        <f t="shared" si="3"/>
        <v>0</v>
      </c>
      <c r="AG33" s="95">
        <f t="shared" si="10"/>
        <v>0</v>
      </c>
      <c r="AI33" s="199"/>
      <c r="AJ33" s="200">
        <f t="shared" si="0"/>
        <v>0</v>
      </c>
      <c r="AK33" s="199">
        <f t="shared" si="4"/>
        <v>0</v>
      </c>
      <c r="AL33" s="201">
        <f t="shared" si="1"/>
        <v>0</v>
      </c>
      <c r="AN33" s="200">
        <f t="shared" si="5"/>
        <v>0</v>
      </c>
      <c r="AO33" s="200">
        <f t="shared" si="6"/>
        <v>0</v>
      </c>
      <c r="AP33" s="200">
        <f t="shared" si="7"/>
        <v>0</v>
      </c>
      <c r="AQ33" s="201"/>
    </row>
    <row r="34" spans="2:43" s="173" customFormat="1" ht="24.75" customHeight="1">
      <c r="B34" s="174"/>
      <c r="C34" s="158" t="s">
        <v>193</v>
      </c>
      <c r="D34" s="192" t="s">
        <v>230</v>
      </c>
      <c r="E34" s="195" t="s">
        <v>74</v>
      </c>
      <c r="F34" s="157" t="s">
        <v>77</v>
      </c>
      <c r="G34" s="178" t="s">
        <v>293</v>
      </c>
      <c r="H34" s="187" t="s">
        <v>39</v>
      </c>
      <c r="I34" s="188" t="s">
        <v>9</v>
      </c>
      <c r="J34" s="181" t="str">
        <f t="shared" si="2"/>
        <v>TER B</v>
      </c>
      <c r="K34" s="182"/>
      <c r="L34" s="16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3">
        <f t="shared" si="11"/>
        <v>0</v>
      </c>
      <c r="AF34" s="184">
        <f t="shared" si="3"/>
        <v>0</v>
      </c>
      <c r="AG34" s="95">
        <f t="shared" si="10"/>
        <v>0</v>
      </c>
      <c r="AI34" s="199"/>
      <c r="AJ34" s="200">
        <f t="shared" si="0"/>
        <v>0</v>
      </c>
      <c r="AK34" s="199">
        <f t="shared" si="4"/>
        <v>0</v>
      </c>
      <c r="AL34" s="201">
        <f t="shared" si="1"/>
        <v>0</v>
      </c>
      <c r="AN34" s="200">
        <f t="shared" si="5"/>
        <v>0</v>
      </c>
      <c r="AO34" s="200">
        <f t="shared" si="6"/>
        <v>0</v>
      </c>
      <c r="AP34" s="200">
        <f t="shared" si="7"/>
        <v>0</v>
      </c>
      <c r="AQ34" s="201"/>
    </row>
    <row r="35" spans="2:43" s="173" customFormat="1" ht="24.75" customHeight="1">
      <c r="B35" s="174"/>
      <c r="C35" s="158" t="s">
        <v>194</v>
      </c>
      <c r="D35" s="192" t="s">
        <v>231</v>
      </c>
      <c r="E35" s="195" t="s">
        <v>74</v>
      </c>
      <c r="F35" s="157" t="s">
        <v>264</v>
      </c>
      <c r="G35" s="178" t="s">
        <v>293</v>
      </c>
      <c r="H35" s="187" t="s">
        <v>39</v>
      </c>
      <c r="I35" s="188" t="s">
        <v>17</v>
      </c>
      <c r="J35" s="181" t="str">
        <f t="shared" si="2"/>
        <v>TER A</v>
      </c>
      <c r="K35" s="182"/>
      <c r="L35" s="16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3">
        <f t="shared" si="11"/>
        <v>0</v>
      </c>
      <c r="AF35" s="184">
        <f t="shared" si="3"/>
        <v>0</v>
      </c>
      <c r="AG35" s="95">
        <f t="shared" si="10"/>
        <v>0</v>
      </c>
      <c r="AI35" s="199"/>
      <c r="AJ35" s="200">
        <f t="shared" si="0"/>
        <v>0</v>
      </c>
      <c r="AK35" s="199">
        <f t="shared" si="4"/>
        <v>0</v>
      </c>
      <c r="AL35" s="201">
        <f t="shared" si="1"/>
        <v>0</v>
      </c>
      <c r="AN35" s="200">
        <f t="shared" si="5"/>
        <v>0</v>
      </c>
      <c r="AO35" s="200">
        <f t="shared" si="6"/>
        <v>0</v>
      </c>
      <c r="AP35" s="200">
        <f t="shared" si="7"/>
        <v>0</v>
      </c>
      <c r="AQ35" s="201"/>
    </row>
    <row r="36" spans="2:43" s="173" customFormat="1" ht="24.75" customHeight="1">
      <c r="B36" s="174"/>
      <c r="C36" s="158" t="s">
        <v>195</v>
      </c>
      <c r="D36" s="192" t="s">
        <v>232</v>
      </c>
      <c r="E36" s="195" t="s">
        <v>74</v>
      </c>
      <c r="F36" s="157" t="s">
        <v>265</v>
      </c>
      <c r="G36" s="178" t="s">
        <v>293</v>
      </c>
      <c r="H36" s="187" t="s">
        <v>39</v>
      </c>
      <c r="I36" s="188" t="s">
        <v>11</v>
      </c>
      <c r="J36" s="181" t="str">
        <f t="shared" si="2"/>
        <v>TER B</v>
      </c>
      <c r="K36" s="182"/>
      <c r="L36" s="16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3">
        <f t="shared" si="11"/>
        <v>0</v>
      </c>
      <c r="AF36" s="184">
        <f t="shared" si="3"/>
        <v>0</v>
      </c>
      <c r="AG36" s="95">
        <f t="shared" si="10"/>
        <v>0</v>
      </c>
      <c r="AI36" s="199"/>
      <c r="AJ36" s="200">
        <f t="shared" si="0"/>
        <v>0</v>
      </c>
      <c r="AK36" s="199">
        <f t="shared" si="4"/>
        <v>0</v>
      </c>
      <c r="AL36" s="201">
        <f t="shared" si="1"/>
        <v>0</v>
      </c>
      <c r="AN36" s="200">
        <f t="shared" si="5"/>
        <v>0</v>
      </c>
      <c r="AO36" s="200">
        <f t="shared" si="6"/>
        <v>0</v>
      </c>
      <c r="AP36" s="200">
        <f t="shared" si="7"/>
        <v>0</v>
      </c>
      <c r="AQ36" s="201"/>
    </row>
    <row r="37" spans="2:43" s="173" customFormat="1" ht="24.75" customHeight="1">
      <c r="B37" s="174">
        <v>24</v>
      </c>
      <c r="C37" s="158" t="s">
        <v>196</v>
      </c>
      <c r="D37" s="192" t="s">
        <v>233</v>
      </c>
      <c r="E37" s="195" t="s">
        <v>222</v>
      </c>
      <c r="F37" s="157" t="s">
        <v>266</v>
      </c>
      <c r="G37" s="178" t="s">
        <v>293</v>
      </c>
      <c r="H37" s="187" t="s">
        <v>39</v>
      </c>
      <c r="I37" s="188" t="s">
        <v>9</v>
      </c>
      <c r="J37" s="181" t="str">
        <f t="shared" si="2"/>
        <v>TER B</v>
      </c>
      <c r="K37" s="182">
        <f>31*121333.33</f>
        <v>3761333.23</v>
      </c>
      <c r="L37" s="169">
        <f t="shared" si="9"/>
        <v>30575.999999999996</v>
      </c>
      <c r="M37" s="189">
        <f>'[17]HARVESTING KHT'!$AQ$12</f>
        <v>145800</v>
      </c>
      <c r="N37" s="189">
        <f>'[17]HARVESTING KHT'!$U12</f>
        <v>139500</v>
      </c>
      <c r="O37" s="189"/>
      <c r="P37" s="189"/>
      <c r="Q37" s="189"/>
      <c r="R37" s="189">
        <f>'[17]HARVESTING KHT'!$AA12</f>
        <v>258038</v>
      </c>
      <c r="S37" s="189">
        <f>'[17]HARVESTING KHT'!$AB12</f>
        <v>96600</v>
      </c>
      <c r="T37" s="189"/>
      <c r="U37" s="189"/>
      <c r="V37" s="189"/>
      <c r="W37" s="189"/>
      <c r="X37" s="189">
        <f>'[17]HARVESTING KHT'!$Z12</f>
        <v>5000</v>
      </c>
      <c r="Y37" s="189"/>
      <c r="Z37" s="189"/>
      <c r="AA37" s="189"/>
      <c r="AB37" s="189">
        <f>-'[17]HARVESTING KHT'!$BI12</f>
        <v>0</v>
      </c>
      <c r="AC37" s="189"/>
      <c r="AD37" s="189"/>
      <c r="AE37" s="183">
        <f t="shared" si="11"/>
        <v>4436847</v>
      </c>
      <c r="AF37" s="184">
        <f t="shared" si="3"/>
        <v>0</v>
      </c>
      <c r="AG37" s="95">
        <f t="shared" si="10"/>
        <v>0</v>
      </c>
      <c r="AI37" s="199">
        <f>'[17]HARVESTING KHT'!$AL12</f>
        <v>4260471.2300000004</v>
      </c>
      <c r="AJ37" s="200">
        <f t="shared" si="0"/>
        <v>176376</v>
      </c>
      <c r="AK37" s="199">
        <f t="shared" si="4"/>
        <v>4436847.2300000004</v>
      </c>
      <c r="AL37" s="201">
        <f t="shared" si="1"/>
        <v>0.23000000044703484</v>
      </c>
      <c r="AN37" s="200">
        <f t="shared" si="5"/>
        <v>3761333.23</v>
      </c>
      <c r="AO37" s="200">
        <f t="shared" si="6"/>
        <v>499138</v>
      </c>
      <c r="AP37" s="200">
        <f t="shared" si="7"/>
        <v>176376</v>
      </c>
      <c r="AQ37" s="201"/>
    </row>
    <row r="38" spans="2:43" s="173" customFormat="1" ht="24.75" customHeight="1">
      <c r="B38" s="174"/>
      <c r="C38" s="158" t="s">
        <v>197</v>
      </c>
      <c r="D38" s="192" t="s">
        <v>234</v>
      </c>
      <c r="E38" s="195" t="s">
        <v>74</v>
      </c>
      <c r="F38" s="157" t="s">
        <v>267</v>
      </c>
      <c r="G38" s="178" t="s">
        <v>293</v>
      </c>
      <c r="H38" s="187" t="s">
        <v>39</v>
      </c>
      <c r="I38" s="188" t="s">
        <v>9</v>
      </c>
      <c r="J38" s="181" t="str">
        <f t="shared" si="2"/>
        <v>TER B</v>
      </c>
      <c r="K38" s="182"/>
      <c r="L38" s="16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3">
        <f t="shared" si="11"/>
        <v>0</v>
      </c>
      <c r="AF38" s="184">
        <f t="shared" ref="AF38:AF93" si="13">IF(J38="TER A",VLOOKUP(AE38,Ter_A,4,TRUE),IF(J38="TER B",VLOOKUP(AE38,Ter_B,4,TRUE),VLOOKUP(AE38,Ter_C,4,TRUE)))</f>
        <v>0</v>
      </c>
      <c r="AG38" s="95">
        <f t="shared" si="10"/>
        <v>0</v>
      </c>
      <c r="AI38" s="199"/>
      <c r="AJ38" s="200">
        <f t="shared" si="0"/>
        <v>0</v>
      </c>
      <c r="AK38" s="199">
        <f t="shared" si="4"/>
        <v>0</v>
      </c>
      <c r="AL38" s="201">
        <f t="shared" si="1"/>
        <v>0</v>
      </c>
      <c r="AN38" s="200">
        <f t="shared" si="5"/>
        <v>0</v>
      </c>
      <c r="AO38" s="200">
        <f t="shared" si="6"/>
        <v>0</v>
      </c>
      <c r="AP38" s="200">
        <f t="shared" si="7"/>
        <v>0</v>
      </c>
      <c r="AQ38" s="201"/>
    </row>
    <row r="39" spans="2:43" s="173" customFormat="1" ht="24.75" customHeight="1">
      <c r="B39" s="174"/>
      <c r="C39" s="158" t="s">
        <v>198</v>
      </c>
      <c r="D39" s="192" t="s">
        <v>235</v>
      </c>
      <c r="E39" s="195" t="s">
        <v>74</v>
      </c>
      <c r="F39" s="157" t="s">
        <v>268</v>
      </c>
      <c r="G39" s="178" t="s">
        <v>293</v>
      </c>
      <c r="H39" s="187" t="s">
        <v>39</v>
      </c>
      <c r="I39" s="188" t="s">
        <v>11</v>
      </c>
      <c r="J39" s="181" t="str">
        <f t="shared" si="2"/>
        <v>TER B</v>
      </c>
      <c r="K39" s="182"/>
      <c r="L39" s="16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3">
        <f t="shared" si="11"/>
        <v>0</v>
      </c>
      <c r="AF39" s="184">
        <f t="shared" si="13"/>
        <v>0</v>
      </c>
      <c r="AG39" s="95">
        <f t="shared" si="10"/>
        <v>0</v>
      </c>
      <c r="AI39" s="199"/>
      <c r="AJ39" s="200">
        <f t="shared" si="0"/>
        <v>0</v>
      </c>
      <c r="AK39" s="199">
        <f t="shared" si="4"/>
        <v>0</v>
      </c>
      <c r="AL39" s="201">
        <f t="shared" si="1"/>
        <v>0</v>
      </c>
      <c r="AN39" s="200">
        <f t="shared" si="5"/>
        <v>0</v>
      </c>
      <c r="AO39" s="200">
        <f t="shared" si="6"/>
        <v>0</v>
      </c>
      <c r="AP39" s="200">
        <f t="shared" si="7"/>
        <v>0</v>
      </c>
      <c r="AQ39" s="201"/>
    </row>
    <row r="40" spans="2:43" s="173" customFormat="1" ht="24.75" customHeight="1">
      <c r="B40" s="174"/>
      <c r="C40" s="158" t="s">
        <v>199</v>
      </c>
      <c r="D40" s="192" t="s">
        <v>236</v>
      </c>
      <c r="E40" s="195" t="s">
        <v>74</v>
      </c>
      <c r="F40" s="157" t="s">
        <v>269</v>
      </c>
      <c r="G40" s="178" t="s">
        <v>293</v>
      </c>
      <c r="H40" s="187" t="s">
        <v>39</v>
      </c>
      <c r="I40" s="188" t="s">
        <v>7</v>
      </c>
      <c r="J40" s="181" t="str">
        <f t="shared" si="2"/>
        <v>TER A</v>
      </c>
      <c r="K40" s="182"/>
      <c r="L40" s="16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3">
        <f t="shared" si="11"/>
        <v>0</v>
      </c>
      <c r="AF40" s="184">
        <f t="shared" si="13"/>
        <v>0</v>
      </c>
      <c r="AG40" s="95">
        <f t="shared" si="10"/>
        <v>0</v>
      </c>
      <c r="AI40" s="199"/>
      <c r="AJ40" s="200">
        <f t="shared" si="0"/>
        <v>0</v>
      </c>
      <c r="AK40" s="199">
        <f t="shared" si="4"/>
        <v>0</v>
      </c>
      <c r="AL40" s="201">
        <f t="shared" si="1"/>
        <v>0</v>
      </c>
      <c r="AN40" s="200">
        <f t="shared" si="5"/>
        <v>0</v>
      </c>
      <c r="AO40" s="200">
        <f t="shared" si="6"/>
        <v>0</v>
      </c>
      <c r="AP40" s="200">
        <f t="shared" si="7"/>
        <v>0</v>
      </c>
      <c r="AQ40" s="201"/>
    </row>
    <row r="41" spans="2:43" s="173" customFormat="1" ht="24.75" customHeight="1">
      <c r="B41" s="174">
        <v>25</v>
      </c>
      <c r="C41" s="158" t="s">
        <v>200</v>
      </c>
      <c r="D41" s="192" t="s">
        <v>237</v>
      </c>
      <c r="E41" s="195" t="s">
        <v>74</v>
      </c>
      <c r="F41" s="157" t="s">
        <v>270</v>
      </c>
      <c r="G41" s="178" t="s">
        <v>293</v>
      </c>
      <c r="H41" s="187" t="s">
        <v>39</v>
      </c>
      <c r="I41" s="188" t="s">
        <v>11</v>
      </c>
      <c r="J41" s="181" t="str">
        <f t="shared" si="2"/>
        <v>TER B</v>
      </c>
      <c r="K41" s="182">
        <f>31*121333.33</f>
        <v>3761333.23</v>
      </c>
      <c r="L41" s="169">
        <f t="shared" si="9"/>
        <v>30575.999999999996</v>
      </c>
      <c r="M41" s="189">
        <f>'[17]HARVESTING KHT'!$AQ13</f>
        <v>146320</v>
      </c>
      <c r="N41" s="189">
        <f>'[17]HARVESTING KHT'!$U13</f>
        <v>162000</v>
      </c>
      <c r="O41" s="189"/>
      <c r="P41" s="189"/>
      <c r="Q41" s="189"/>
      <c r="R41" s="189">
        <f>'[17]HARVESTING KHT'!$AA13</f>
        <v>211923</v>
      </c>
      <c r="S41" s="189">
        <f>'[17]HARVESTING KHT'!$AB13</f>
        <v>85050</v>
      </c>
      <c r="T41" s="189"/>
      <c r="U41" s="189"/>
      <c r="V41" s="189"/>
      <c r="W41" s="189"/>
      <c r="X41" s="189">
        <f>'[17]HARVESTING KHT'!$Z13</f>
        <v>18000</v>
      </c>
      <c r="Y41" s="189"/>
      <c r="Z41" s="189"/>
      <c r="AA41" s="189"/>
      <c r="AB41" s="189">
        <f>-'[17]HARVESTING KHT'!$BI13</f>
        <v>-121333.33</v>
      </c>
      <c r="AC41" s="189"/>
      <c r="AD41" s="189"/>
      <c r="AE41" s="183">
        <f t="shared" si="11"/>
        <v>4293868</v>
      </c>
      <c r="AF41" s="184">
        <f t="shared" si="13"/>
        <v>0</v>
      </c>
      <c r="AG41" s="95">
        <f t="shared" si="10"/>
        <v>0</v>
      </c>
      <c r="AI41" s="199">
        <f>'[17]HARVESTING KHT'!$AL13</f>
        <v>4116972.9000000004</v>
      </c>
      <c r="AJ41" s="200">
        <f t="shared" si="0"/>
        <v>176896</v>
      </c>
      <c r="AK41" s="199">
        <f t="shared" si="4"/>
        <v>4293868.9000000004</v>
      </c>
      <c r="AL41" s="201">
        <f t="shared" si="1"/>
        <v>0.90000000037252903</v>
      </c>
      <c r="AN41" s="200">
        <f t="shared" si="5"/>
        <v>3639999.9</v>
      </c>
      <c r="AO41" s="200">
        <f t="shared" si="6"/>
        <v>476973</v>
      </c>
      <c r="AP41" s="200">
        <f t="shared" si="7"/>
        <v>176896</v>
      </c>
      <c r="AQ41" s="201"/>
    </row>
    <row r="42" spans="2:43" s="173" customFormat="1" ht="24.75" customHeight="1">
      <c r="B42" s="174">
        <v>26</v>
      </c>
      <c r="C42" s="158" t="s">
        <v>201</v>
      </c>
      <c r="D42" s="192" t="s">
        <v>238</v>
      </c>
      <c r="E42" s="195" t="s">
        <v>223</v>
      </c>
      <c r="F42" s="157" t="s">
        <v>271</v>
      </c>
      <c r="G42" s="178" t="s">
        <v>293</v>
      </c>
      <c r="H42" s="187" t="s">
        <v>39</v>
      </c>
      <c r="I42" s="188" t="s">
        <v>11</v>
      </c>
      <c r="J42" s="181" t="str">
        <f t="shared" si="2"/>
        <v>TER B</v>
      </c>
      <c r="K42" s="182">
        <f>31*121333.33</f>
        <v>3761333.23</v>
      </c>
      <c r="L42" s="169">
        <f t="shared" si="9"/>
        <v>30575.999999999996</v>
      </c>
      <c r="M42" s="189">
        <f>'[17]HARVESTING KHT'!$AQ14</f>
        <v>146560</v>
      </c>
      <c r="N42" s="189">
        <f>'[17]HARVESTING KHT'!$U14</f>
        <v>139500</v>
      </c>
      <c r="O42" s="189"/>
      <c r="P42" s="189"/>
      <c r="Q42" s="189"/>
      <c r="R42" s="189">
        <f>'[17]HARVESTING KHT'!$AA14</f>
        <v>209349</v>
      </c>
      <c r="S42" s="189">
        <f>'[17]HARVESTING KHT'!$AB14</f>
        <v>114450</v>
      </c>
      <c r="T42" s="189"/>
      <c r="U42" s="189"/>
      <c r="V42" s="189"/>
      <c r="W42" s="189"/>
      <c r="X42" s="189">
        <f>'[17]HARVESTING KHT'!$Z14</f>
        <v>24000</v>
      </c>
      <c r="Y42" s="189"/>
      <c r="Z42" s="189"/>
      <c r="AA42" s="189"/>
      <c r="AB42" s="189">
        <f>-'[17]HARVESTING KHT'!$BI14</f>
        <v>0</v>
      </c>
      <c r="AC42" s="189"/>
      <c r="AD42" s="189"/>
      <c r="AE42" s="183">
        <f t="shared" si="11"/>
        <v>4425768</v>
      </c>
      <c r="AF42" s="184">
        <f t="shared" si="13"/>
        <v>0</v>
      </c>
      <c r="AG42" s="95">
        <f t="shared" si="10"/>
        <v>0</v>
      </c>
      <c r="AI42" s="199">
        <f>'[17]HARVESTING KHT'!$AL14</f>
        <v>4248632.2300000004</v>
      </c>
      <c r="AJ42" s="200">
        <f t="shared" si="0"/>
        <v>177136</v>
      </c>
      <c r="AK42" s="199">
        <f t="shared" si="4"/>
        <v>4425768.2300000004</v>
      </c>
      <c r="AL42" s="201">
        <f t="shared" si="1"/>
        <v>0.23000000044703484</v>
      </c>
      <c r="AN42" s="200">
        <f t="shared" si="5"/>
        <v>3761333.23</v>
      </c>
      <c r="AO42" s="200">
        <f t="shared" si="6"/>
        <v>487299</v>
      </c>
      <c r="AP42" s="200">
        <f t="shared" si="7"/>
        <v>177136</v>
      </c>
      <c r="AQ42" s="201"/>
    </row>
    <row r="43" spans="2:43" s="173" customFormat="1" ht="24.75" customHeight="1">
      <c r="B43" s="174"/>
      <c r="C43" s="158" t="s">
        <v>202</v>
      </c>
      <c r="D43" s="192" t="s">
        <v>239</v>
      </c>
      <c r="E43" s="195" t="s">
        <v>74</v>
      </c>
      <c r="F43" s="157" t="s">
        <v>272</v>
      </c>
      <c r="G43" s="178" t="s">
        <v>293</v>
      </c>
      <c r="H43" s="187" t="s">
        <v>39</v>
      </c>
      <c r="I43" s="188" t="s">
        <v>11</v>
      </c>
      <c r="J43" s="181" t="str">
        <f t="shared" si="2"/>
        <v>TER B</v>
      </c>
      <c r="K43" s="182"/>
      <c r="L43" s="16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3">
        <f t="shared" si="11"/>
        <v>0</v>
      </c>
      <c r="AF43" s="184">
        <f t="shared" si="13"/>
        <v>0</v>
      </c>
      <c r="AG43" s="95">
        <f t="shared" si="10"/>
        <v>0</v>
      </c>
      <c r="AI43" s="199"/>
      <c r="AJ43" s="200">
        <f t="shared" si="0"/>
        <v>0</v>
      </c>
      <c r="AK43" s="199">
        <f t="shared" si="4"/>
        <v>0</v>
      </c>
      <c r="AL43" s="201">
        <f t="shared" si="1"/>
        <v>0</v>
      </c>
      <c r="AN43" s="200">
        <f t="shared" si="5"/>
        <v>0</v>
      </c>
      <c r="AO43" s="200">
        <f t="shared" si="6"/>
        <v>0</v>
      </c>
      <c r="AP43" s="200">
        <f t="shared" si="7"/>
        <v>0</v>
      </c>
      <c r="AQ43" s="201"/>
    </row>
    <row r="44" spans="2:43" s="173" customFormat="1" ht="24.75" customHeight="1">
      <c r="B44" s="174"/>
      <c r="C44" s="158" t="s">
        <v>203</v>
      </c>
      <c r="D44" s="192" t="s">
        <v>240</v>
      </c>
      <c r="E44" s="195" t="s">
        <v>74</v>
      </c>
      <c r="F44" s="157" t="s">
        <v>273</v>
      </c>
      <c r="G44" s="178" t="s">
        <v>293</v>
      </c>
      <c r="H44" s="187" t="s">
        <v>39</v>
      </c>
      <c r="I44" s="188" t="s">
        <v>9</v>
      </c>
      <c r="J44" s="181" t="str">
        <f t="shared" si="2"/>
        <v>TER B</v>
      </c>
      <c r="K44" s="182"/>
      <c r="L44" s="16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3">
        <f t="shared" si="11"/>
        <v>0</v>
      </c>
      <c r="AF44" s="184">
        <f t="shared" si="13"/>
        <v>0</v>
      </c>
      <c r="AG44" s="95">
        <f t="shared" si="10"/>
        <v>0</v>
      </c>
      <c r="AI44" s="199"/>
      <c r="AJ44" s="200">
        <f t="shared" si="0"/>
        <v>0</v>
      </c>
      <c r="AK44" s="199">
        <f t="shared" si="4"/>
        <v>0</v>
      </c>
      <c r="AL44" s="201">
        <f t="shared" si="1"/>
        <v>0</v>
      </c>
      <c r="AN44" s="200">
        <f t="shared" si="5"/>
        <v>0</v>
      </c>
      <c r="AO44" s="200">
        <f t="shared" si="6"/>
        <v>0</v>
      </c>
      <c r="AP44" s="200">
        <f t="shared" si="7"/>
        <v>0</v>
      </c>
      <c r="AQ44" s="201"/>
    </row>
    <row r="45" spans="2:43" s="173" customFormat="1" ht="24.75" customHeight="1">
      <c r="B45" s="174">
        <v>27</v>
      </c>
      <c r="C45" s="158" t="s">
        <v>88</v>
      </c>
      <c r="D45" s="192" t="s">
        <v>241</v>
      </c>
      <c r="E45" s="195" t="s">
        <v>74</v>
      </c>
      <c r="F45" s="157" t="s">
        <v>274</v>
      </c>
      <c r="G45" s="178" t="s">
        <v>293</v>
      </c>
      <c r="H45" s="187" t="s">
        <v>39</v>
      </c>
      <c r="I45" s="188" t="s">
        <v>11</v>
      </c>
      <c r="J45" s="181" t="str">
        <f t="shared" si="2"/>
        <v>TER B</v>
      </c>
      <c r="K45" s="182">
        <f>31*121333.33</f>
        <v>3761333.23</v>
      </c>
      <c r="L45" s="169">
        <f t="shared" si="9"/>
        <v>30575.999999999996</v>
      </c>
      <c r="M45" s="189">
        <f>'[17]HARVESTING KHT'!$AQ15</f>
        <v>145800</v>
      </c>
      <c r="N45" s="189">
        <f>'[17]HARVESTING KHT'!$U15</f>
        <v>167400</v>
      </c>
      <c r="O45" s="189"/>
      <c r="P45" s="189"/>
      <c r="Q45" s="189"/>
      <c r="R45" s="189">
        <f>'[17]HARVESTING KHT'!$AA15</f>
        <v>357971</v>
      </c>
      <c r="S45" s="189">
        <f>'[17]HARVESTING KHT'!$AB15</f>
        <v>228900</v>
      </c>
      <c r="T45" s="189"/>
      <c r="U45" s="189"/>
      <c r="V45" s="189"/>
      <c r="W45" s="189"/>
      <c r="X45" s="189">
        <f>'[17]HARVESTING KHT'!$Z15</f>
        <v>5000</v>
      </c>
      <c r="Y45" s="189"/>
      <c r="Z45" s="189"/>
      <c r="AA45" s="189"/>
      <c r="AB45" s="189">
        <f>-'[17]HARVESTING KHT'!$BI15</f>
        <v>0</v>
      </c>
      <c r="AC45" s="189"/>
      <c r="AD45" s="189"/>
      <c r="AE45" s="183">
        <f t="shared" si="11"/>
        <v>4696980</v>
      </c>
      <c r="AF45" s="184">
        <f t="shared" si="13"/>
        <v>0</v>
      </c>
      <c r="AG45" s="95">
        <f t="shared" si="10"/>
        <v>0</v>
      </c>
      <c r="AI45" s="199">
        <f>'[17]HARVESTING KHT'!$AL15</f>
        <v>4520604.2300000004</v>
      </c>
      <c r="AJ45" s="200">
        <f t="shared" si="0"/>
        <v>176376</v>
      </c>
      <c r="AK45" s="199">
        <f t="shared" si="4"/>
        <v>4696980.2300000004</v>
      </c>
      <c r="AL45" s="201">
        <f>AK45-AE45</f>
        <v>0.23000000044703484</v>
      </c>
      <c r="AN45" s="200">
        <f t="shared" si="5"/>
        <v>3761333.23</v>
      </c>
      <c r="AO45" s="200">
        <f t="shared" si="6"/>
        <v>759271</v>
      </c>
      <c r="AP45" s="200">
        <f t="shared" si="7"/>
        <v>176376</v>
      </c>
      <c r="AQ45" s="201"/>
    </row>
    <row r="46" spans="2:43" s="173" customFormat="1" ht="24.75" customHeight="1">
      <c r="B46" s="174">
        <v>28</v>
      </c>
      <c r="C46" s="158" t="s">
        <v>204</v>
      </c>
      <c r="D46" s="192" t="s">
        <v>242</v>
      </c>
      <c r="E46" s="195" t="s">
        <v>74</v>
      </c>
      <c r="F46" s="157" t="s">
        <v>275</v>
      </c>
      <c r="G46" s="178" t="s">
        <v>293</v>
      </c>
      <c r="H46" s="187" t="s">
        <v>39</v>
      </c>
      <c r="I46" s="188" t="s">
        <v>7</v>
      </c>
      <c r="J46" s="181" t="str">
        <f t="shared" si="2"/>
        <v>TER A</v>
      </c>
      <c r="K46" s="182">
        <f>31*121333.33</f>
        <v>3761333.23</v>
      </c>
      <c r="L46" s="169">
        <f t="shared" si="9"/>
        <v>30575.999999999996</v>
      </c>
      <c r="M46" s="189">
        <f>'[17]HARVESTING KHT'!$AQ16</f>
        <v>146000</v>
      </c>
      <c r="N46" s="189">
        <f>'[17]HARVESTING KHT'!$U16</f>
        <v>69750</v>
      </c>
      <c r="O46" s="189"/>
      <c r="P46" s="189">
        <f>'[17]HARVESTING KHT'!$AD$16</f>
        <v>147283.22</v>
      </c>
      <c r="Q46" s="189"/>
      <c r="R46" s="189">
        <f>'[17]HARVESTING KHT'!$AA16</f>
        <v>720600</v>
      </c>
      <c r="S46" s="189">
        <f>'[17]HARVESTING KHT'!$AB16</f>
        <v>148050</v>
      </c>
      <c r="T46" s="189"/>
      <c r="U46" s="189"/>
      <c r="V46" s="189">
        <v>150000</v>
      </c>
      <c r="W46" s="189"/>
      <c r="X46" s="189">
        <f>'[17]HARVESTING KHT'!$Z16</f>
        <v>10000</v>
      </c>
      <c r="Y46" s="189"/>
      <c r="Z46" s="189"/>
      <c r="AA46" s="189"/>
      <c r="AB46" s="189">
        <f>-'[17]HARVESTING KHT'!$BI16</f>
        <v>0</v>
      </c>
      <c r="AC46" s="189"/>
      <c r="AD46" s="189"/>
      <c r="AE46" s="183">
        <f t="shared" si="11"/>
        <v>5183592</v>
      </c>
      <c r="AF46" s="184">
        <f t="shared" si="13"/>
        <v>0</v>
      </c>
      <c r="AG46" s="95">
        <f t="shared" si="10"/>
        <v>0</v>
      </c>
      <c r="AI46" s="199">
        <f>'[17]HARVESTING KHT'!$AL16</f>
        <v>5007016.45</v>
      </c>
      <c r="AJ46" s="200">
        <f t="shared" si="0"/>
        <v>176576</v>
      </c>
      <c r="AK46" s="199">
        <f t="shared" si="4"/>
        <v>5183592.45</v>
      </c>
      <c r="AL46" s="201">
        <f>AK46-AE46</f>
        <v>0.45000000018626451</v>
      </c>
      <c r="AN46" s="200">
        <f t="shared" si="5"/>
        <v>3761333.23</v>
      </c>
      <c r="AO46" s="200">
        <f t="shared" si="6"/>
        <v>1245683.22</v>
      </c>
      <c r="AP46" s="200">
        <f t="shared" si="7"/>
        <v>176576</v>
      </c>
      <c r="AQ46" s="201"/>
    </row>
    <row r="47" spans="2:43" s="173" customFormat="1" ht="24.75" customHeight="1">
      <c r="B47" s="174"/>
      <c r="C47" s="158" t="s">
        <v>205</v>
      </c>
      <c r="D47" s="192" t="s">
        <v>243</v>
      </c>
      <c r="E47" s="195" t="s">
        <v>74</v>
      </c>
      <c r="F47" s="157" t="s">
        <v>276</v>
      </c>
      <c r="G47" s="178" t="s">
        <v>293</v>
      </c>
      <c r="H47" s="187" t="s">
        <v>39</v>
      </c>
      <c r="I47" s="188" t="s">
        <v>11</v>
      </c>
      <c r="J47" s="181" t="str">
        <f t="shared" si="2"/>
        <v>TER B</v>
      </c>
      <c r="K47" s="182"/>
      <c r="L47" s="16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3">
        <f t="shared" si="11"/>
        <v>0</v>
      </c>
      <c r="AF47" s="184">
        <f t="shared" si="13"/>
        <v>0</v>
      </c>
      <c r="AG47" s="95">
        <f t="shared" si="10"/>
        <v>0</v>
      </c>
      <c r="AI47" s="199"/>
      <c r="AJ47" s="200">
        <f t="shared" si="0"/>
        <v>0</v>
      </c>
      <c r="AK47" s="199">
        <f t="shared" si="4"/>
        <v>0</v>
      </c>
      <c r="AL47" s="201">
        <f t="shared" si="1"/>
        <v>0</v>
      </c>
      <c r="AN47" s="200">
        <f t="shared" si="5"/>
        <v>0</v>
      </c>
      <c r="AO47" s="200">
        <f t="shared" si="6"/>
        <v>0</v>
      </c>
      <c r="AP47" s="200">
        <f t="shared" si="7"/>
        <v>0</v>
      </c>
      <c r="AQ47" s="201"/>
    </row>
    <row r="48" spans="2:43" s="173" customFormat="1" ht="24.75" customHeight="1">
      <c r="B48" s="174"/>
      <c r="C48" s="158" t="s">
        <v>206</v>
      </c>
      <c r="D48" s="192" t="s">
        <v>244</v>
      </c>
      <c r="E48" s="195" t="s">
        <v>74</v>
      </c>
      <c r="F48" s="157" t="s">
        <v>277</v>
      </c>
      <c r="G48" s="178" t="s">
        <v>293</v>
      </c>
      <c r="H48" s="187" t="s">
        <v>39</v>
      </c>
      <c r="I48" s="188" t="s">
        <v>7</v>
      </c>
      <c r="J48" s="181" t="str">
        <f t="shared" si="2"/>
        <v>TER A</v>
      </c>
      <c r="K48" s="182"/>
      <c r="L48" s="16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3">
        <f t="shared" si="11"/>
        <v>0</v>
      </c>
      <c r="AF48" s="184">
        <f t="shared" si="13"/>
        <v>0</v>
      </c>
      <c r="AG48" s="95">
        <f t="shared" si="10"/>
        <v>0</v>
      </c>
      <c r="AI48" s="199"/>
      <c r="AJ48" s="200">
        <f t="shared" si="0"/>
        <v>0</v>
      </c>
      <c r="AK48" s="199">
        <f t="shared" si="4"/>
        <v>0</v>
      </c>
      <c r="AL48" s="201">
        <f t="shared" si="1"/>
        <v>0</v>
      </c>
      <c r="AN48" s="200">
        <f t="shared" si="5"/>
        <v>0</v>
      </c>
      <c r="AO48" s="200">
        <f t="shared" si="6"/>
        <v>0</v>
      </c>
      <c r="AP48" s="200">
        <f t="shared" si="7"/>
        <v>0</v>
      </c>
      <c r="AQ48" s="201"/>
    </row>
    <row r="49" spans="2:43" s="173" customFormat="1" ht="24.75" customHeight="1">
      <c r="B49" s="174"/>
      <c r="C49" s="158" t="s">
        <v>207</v>
      </c>
      <c r="D49" s="192" t="s">
        <v>245</v>
      </c>
      <c r="E49" s="195" t="s">
        <v>74</v>
      </c>
      <c r="F49" s="157" t="s">
        <v>278</v>
      </c>
      <c r="G49" s="178" t="s">
        <v>293</v>
      </c>
      <c r="H49" s="187" t="s">
        <v>39</v>
      </c>
      <c r="I49" s="188" t="s">
        <v>7</v>
      </c>
      <c r="J49" s="181" t="str">
        <f t="shared" si="2"/>
        <v>TER A</v>
      </c>
      <c r="K49" s="182"/>
      <c r="L49" s="16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3">
        <f t="shared" si="11"/>
        <v>0</v>
      </c>
      <c r="AF49" s="184">
        <f t="shared" si="13"/>
        <v>0</v>
      </c>
      <c r="AG49" s="95">
        <f t="shared" si="10"/>
        <v>0</v>
      </c>
      <c r="AI49" s="199"/>
      <c r="AJ49" s="200">
        <f t="shared" si="0"/>
        <v>0</v>
      </c>
      <c r="AK49" s="199">
        <f t="shared" si="4"/>
        <v>0</v>
      </c>
      <c r="AL49" s="201">
        <f t="shared" si="1"/>
        <v>0</v>
      </c>
      <c r="AN49" s="200">
        <f t="shared" si="5"/>
        <v>0</v>
      </c>
      <c r="AO49" s="200">
        <f t="shared" si="6"/>
        <v>0</v>
      </c>
      <c r="AP49" s="200">
        <f t="shared" si="7"/>
        <v>0</v>
      </c>
      <c r="AQ49" s="201"/>
    </row>
    <row r="50" spans="2:43" s="173" customFormat="1" ht="24.75" customHeight="1">
      <c r="B50" s="174"/>
      <c r="C50" s="158" t="s">
        <v>208</v>
      </c>
      <c r="D50" s="192" t="s">
        <v>246</v>
      </c>
      <c r="E50" s="195" t="s">
        <v>74</v>
      </c>
      <c r="F50" s="157" t="s">
        <v>279</v>
      </c>
      <c r="G50" s="178" t="s">
        <v>293</v>
      </c>
      <c r="H50" s="187" t="s">
        <v>39</v>
      </c>
      <c r="I50" s="188" t="s">
        <v>7</v>
      </c>
      <c r="J50" s="181" t="str">
        <f t="shared" si="2"/>
        <v>TER A</v>
      </c>
      <c r="K50" s="182"/>
      <c r="L50" s="16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3">
        <f t="shared" si="11"/>
        <v>0</v>
      </c>
      <c r="AF50" s="184">
        <f t="shared" si="13"/>
        <v>0</v>
      </c>
      <c r="AG50" s="95">
        <f t="shared" si="10"/>
        <v>0</v>
      </c>
      <c r="AI50" s="199"/>
      <c r="AJ50" s="200">
        <f t="shared" si="0"/>
        <v>0</v>
      </c>
      <c r="AK50" s="199">
        <f t="shared" si="4"/>
        <v>0</v>
      </c>
      <c r="AL50" s="201">
        <f t="shared" si="1"/>
        <v>0</v>
      </c>
      <c r="AN50" s="200">
        <f t="shared" si="5"/>
        <v>0</v>
      </c>
      <c r="AO50" s="200">
        <f t="shared" si="6"/>
        <v>0</v>
      </c>
      <c r="AP50" s="200">
        <f t="shared" si="7"/>
        <v>0</v>
      </c>
      <c r="AQ50" s="201"/>
    </row>
    <row r="51" spans="2:43" s="173" customFormat="1" ht="24.75" customHeight="1">
      <c r="B51" s="174"/>
      <c r="C51" s="158" t="s">
        <v>209</v>
      </c>
      <c r="D51" s="192" t="s">
        <v>247</v>
      </c>
      <c r="E51" s="195" t="s">
        <v>74</v>
      </c>
      <c r="F51" s="157" t="s">
        <v>280</v>
      </c>
      <c r="G51" s="178" t="s">
        <v>293</v>
      </c>
      <c r="H51" s="187" t="s">
        <v>39</v>
      </c>
      <c r="I51" s="188" t="s">
        <v>11</v>
      </c>
      <c r="J51" s="181" t="str">
        <f t="shared" si="2"/>
        <v>TER B</v>
      </c>
      <c r="K51" s="182"/>
      <c r="L51" s="16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3">
        <f t="shared" si="11"/>
        <v>0</v>
      </c>
      <c r="AF51" s="184">
        <f t="shared" si="13"/>
        <v>0</v>
      </c>
      <c r="AG51" s="95">
        <f t="shared" si="10"/>
        <v>0</v>
      </c>
      <c r="AI51" s="199"/>
      <c r="AJ51" s="200">
        <f t="shared" si="0"/>
        <v>0</v>
      </c>
      <c r="AK51" s="199">
        <f t="shared" si="4"/>
        <v>0</v>
      </c>
      <c r="AL51" s="201">
        <f t="shared" si="1"/>
        <v>0</v>
      </c>
      <c r="AN51" s="200">
        <f t="shared" si="5"/>
        <v>0</v>
      </c>
      <c r="AO51" s="200">
        <f t="shared" si="6"/>
        <v>0</v>
      </c>
      <c r="AP51" s="200">
        <f t="shared" si="7"/>
        <v>0</v>
      </c>
      <c r="AQ51" s="201"/>
    </row>
    <row r="52" spans="2:43" s="173" customFormat="1" ht="24.75" customHeight="1">
      <c r="B52" s="174"/>
      <c r="C52" s="158" t="s">
        <v>210</v>
      </c>
      <c r="D52" s="192" t="s">
        <v>248</v>
      </c>
      <c r="E52" s="195" t="s">
        <v>74</v>
      </c>
      <c r="F52" s="157" t="s">
        <v>281</v>
      </c>
      <c r="G52" s="178" t="s">
        <v>293</v>
      </c>
      <c r="H52" s="187" t="s">
        <v>39</v>
      </c>
      <c r="I52" s="188" t="s">
        <v>11</v>
      </c>
      <c r="J52" s="181" t="str">
        <f t="shared" si="2"/>
        <v>TER B</v>
      </c>
      <c r="K52" s="182"/>
      <c r="L52" s="16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3">
        <f t="shared" si="11"/>
        <v>0</v>
      </c>
      <c r="AF52" s="184">
        <f t="shared" si="13"/>
        <v>0</v>
      </c>
      <c r="AG52" s="95">
        <f t="shared" si="10"/>
        <v>0</v>
      </c>
      <c r="AI52" s="199"/>
      <c r="AJ52" s="200">
        <f t="shared" si="0"/>
        <v>0</v>
      </c>
      <c r="AK52" s="199">
        <f t="shared" si="4"/>
        <v>0</v>
      </c>
      <c r="AL52" s="201">
        <f t="shared" si="1"/>
        <v>0</v>
      </c>
      <c r="AN52" s="200">
        <f t="shared" si="5"/>
        <v>0</v>
      </c>
      <c r="AO52" s="200">
        <f t="shared" si="6"/>
        <v>0</v>
      </c>
      <c r="AP52" s="200">
        <f t="shared" si="7"/>
        <v>0</v>
      </c>
      <c r="AQ52" s="201"/>
    </row>
    <row r="53" spans="2:43" s="173" customFormat="1" ht="24.75" customHeight="1">
      <c r="B53" s="174">
        <v>29</v>
      </c>
      <c r="C53" s="158" t="s">
        <v>211</v>
      </c>
      <c r="D53" s="192" t="s">
        <v>249</v>
      </c>
      <c r="E53" s="195" t="s">
        <v>74</v>
      </c>
      <c r="F53" s="157" t="s">
        <v>282</v>
      </c>
      <c r="G53" s="178" t="s">
        <v>293</v>
      </c>
      <c r="H53" s="187" t="s">
        <v>39</v>
      </c>
      <c r="I53" s="188" t="s">
        <v>11</v>
      </c>
      <c r="J53" s="181" t="str">
        <f t="shared" si="2"/>
        <v>TER B</v>
      </c>
      <c r="K53" s="182">
        <f>31*121333.33</f>
        <v>3761333.23</v>
      </c>
      <c r="L53" s="169">
        <f t="shared" si="9"/>
        <v>30575.999999999996</v>
      </c>
      <c r="M53" s="189">
        <f>'[17]HARVESTING KHT'!$AQ$17</f>
        <v>145800</v>
      </c>
      <c r="N53" s="189">
        <f>'[17]HARVESTING KHT'!$U17</f>
        <v>145800</v>
      </c>
      <c r="O53" s="189"/>
      <c r="P53" s="189"/>
      <c r="Q53" s="189"/>
      <c r="R53" s="189">
        <f>'[17]HARVESTING KHT'!$AA17</f>
        <v>123782</v>
      </c>
      <c r="S53" s="189">
        <f>'[17]HARVESTING KHT'!$AB17</f>
        <v>75600</v>
      </c>
      <c r="T53" s="189"/>
      <c r="U53" s="189"/>
      <c r="V53" s="189"/>
      <c r="W53" s="189"/>
      <c r="X53" s="189">
        <f>'[17]HARVESTING KHT'!$Z17</f>
        <v>5000</v>
      </c>
      <c r="Y53" s="189"/>
      <c r="Z53" s="189"/>
      <c r="AA53" s="189"/>
      <c r="AB53" s="189">
        <f>-'[17]HARVESTING KHT'!$BI17</f>
        <v>-485333.32</v>
      </c>
      <c r="AC53" s="189"/>
      <c r="AD53" s="189"/>
      <c r="AE53" s="183">
        <f t="shared" si="11"/>
        <v>3802557</v>
      </c>
      <c r="AF53" s="184">
        <f t="shared" si="13"/>
        <v>0</v>
      </c>
      <c r="AG53" s="95">
        <f t="shared" si="10"/>
        <v>0</v>
      </c>
      <c r="AI53" s="199">
        <f>'[17]HARVESTING KHT'!$AL17</f>
        <v>3626181.91</v>
      </c>
      <c r="AJ53" s="200">
        <f t="shared" si="0"/>
        <v>176376</v>
      </c>
      <c r="AK53" s="199">
        <f t="shared" si="4"/>
        <v>3802557.91</v>
      </c>
      <c r="AL53" s="201">
        <f t="shared" si="1"/>
        <v>0.91000000014901161</v>
      </c>
      <c r="AN53" s="200">
        <f t="shared" si="5"/>
        <v>3275999.91</v>
      </c>
      <c r="AO53" s="200">
        <f t="shared" si="6"/>
        <v>350182</v>
      </c>
      <c r="AP53" s="200">
        <f t="shared" si="7"/>
        <v>176376</v>
      </c>
      <c r="AQ53" s="201"/>
    </row>
    <row r="54" spans="2:43" s="173" customFormat="1" ht="24.75" customHeight="1">
      <c r="B54" s="174"/>
      <c r="C54" s="158" t="s">
        <v>212</v>
      </c>
      <c r="D54" s="192" t="s">
        <v>250</v>
      </c>
      <c r="E54" s="195" t="s">
        <v>74</v>
      </c>
      <c r="F54" s="157" t="s">
        <v>283</v>
      </c>
      <c r="G54" s="178" t="s">
        <v>293</v>
      </c>
      <c r="H54" s="187" t="s">
        <v>39</v>
      </c>
      <c r="I54" s="188" t="s">
        <v>11</v>
      </c>
      <c r="J54" s="181" t="str">
        <f t="shared" si="2"/>
        <v>TER B</v>
      </c>
      <c r="K54" s="182"/>
      <c r="L54" s="16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3">
        <f t="shared" si="11"/>
        <v>0</v>
      </c>
      <c r="AF54" s="184">
        <f t="shared" si="13"/>
        <v>0</v>
      </c>
      <c r="AG54" s="95">
        <f t="shared" si="10"/>
        <v>0</v>
      </c>
      <c r="AI54" s="199"/>
      <c r="AJ54" s="200">
        <f t="shared" si="0"/>
        <v>0</v>
      </c>
      <c r="AK54" s="199">
        <f t="shared" si="4"/>
        <v>0</v>
      </c>
      <c r="AL54" s="201">
        <f t="shared" si="1"/>
        <v>0</v>
      </c>
      <c r="AN54" s="200">
        <f t="shared" si="5"/>
        <v>0</v>
      </c>
      <c r="AO54" s="200">
        <f t="shared" si="6"/>
        <v>0</v>
      </c>
      <c r="AP54" s="200">
        <f t="shared" si="7"/>
        <v>0</v>
      </c>
      <c r="AQ54" s="201"/>
    </row>
    <row r="55" spans="2:43" s="173" customFormat="1" ht="24.75" customHeight="1">
      <c r="B55" s="174"/>
      <c r="C55" s="158" t="s">
        <v>213</v>
      </c>
      <c r="D55" s="192" t="s">
        <v>251</v>
      </c>
      <c r="E55" s="195" t="s">
        <v>74</v>
      </c>
      <c r="F55" s="157" t="s">
        <v>284</v>
      </c>
      <c r="G55" s="178" t="s">
        <v>293</v>
      </c>
      <c r="H55" s="187" t="s">
        <v>39</v>
      </c>
      <c r="I55" s="188" t="s">
        <v>9</v>
      </c>
      <c r="J55" s="181" t="str">
        <f t="shared" si="2"/>
        <v>TER B</v>
      </c>
      <c r="K55" s="182"/>
      <c r="L55" s="16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3">
        <f t="shared" si="11"/>
        <v>0</v>
      </c>
      <c r="AF55" s="184">
        <f t="shared" si="13"/>
        <v>0</v>
      </c>
      <c r="AG55" s="95">
        <f t="shared" si="10"/>
        <v>0</v>
      </c>
      <c r="AI55" s="199"/>
      <c r="AJ55" s="200">
        <f t="shared" si="0"/>
        <v>0</v>
      </c>
      <c r="AK55" s="199">
        <f t="shared" si="4"/>
        <v>0</v>
      </c>
      <c r="AL55" s="201">
        <f t="shared" si="1"/>
        <v>0</v>
      </c>
      <c r="AN55" s="200">
        <f t="shared" si="5"/>
        <v>0</v>
      </c>
      <c r="AO55" s="200">
        <f t="shared" si="6"/>
        <v>0</v>
      </c>
      <c r="AP55" s="200">
        <f t="shared" si="7"/>
        <v>0</v>
      </c>
      <c r="AQ55" s="201"/>
    </row>
    <row r="56" spans="2:43" s="173" customFormat="1" ht="24.75" customHeight="1">
      <c r="B56" s="174"/>
      <c r="C56" s="158" t="s">
        <v>214</v>
      </c>
      <c r="D56" s="192" t="s">
        <v>252</v>
      </c>
      <c r="E56" s="195" t="s">
        <v>74</v>
      </c>
      <c r="F56" s="157" t="s">
        <v>285</v>
      </c>
      <c r="G56" s="178" t="s">
        <v>293</v>
      </c>
      <c r="H56" s="187" t="s">
        <v>39</v>
      </c>
      <c r="I56" s="188" t="s">
        <v>11</v>
      </c>
      <c r="J56" s="181" t="str">
        <f t="shared" si="2"/>
        <v>TER B</v>
      </c>
      <c r="K56" s="182"/>
      <c r="L56" s="16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3">
        <f t="shared" si="11"/>
        <v>0</v>
      </c>
      <c r="AF56" s="184">
        <f t="shared" si="13"/>
        <v>0</v>
      </c>
      <c r="AG56" s="95">
        <f t="shared" si="10"/>
        <v>0</v>
      </c>
      <c r="AI56" s="199"/>
      <c r="AJ56" s="200">
        <f t="shared" si="0"/>
        <v>0</v>
      </c>
      <c r="AK56" s="199">
        <f t="shared" si="4"/>
        <v>0</v>
      </c>
      <c r="AL56" s="201">
        <f t="shared" si="1"/>
        <v>0</v>
      </c>
      <c r="AN56" s="200">
        <f t="shared" si="5"/>
        <v>0</v>
      </c>
      <c r="AO56" s="200">
        <f t="shared" si="6"/>
        <v>0</v>
      </c>
      <c r="AP56" s="200">
        <f t="shared" si="7"/>
        <v>0</v>
      </c>
      <c r="AQ56" s="201"/>
    </row>
    <row r="57" spans="2:43" s="173" customFormat="1" ht="24.75" customHeight="1">
      <c r="B57" s="174">
        <v>30</v>
      </c>
      <c r="C57" s="158" t="s">
        <v>215</v>
      </c>
      <c r="D57" s="192" t="s">
        <v>253</v>
      </c>
      <c r="E57" s="195" t="s">
        <v>74</v>
      </c>
      <c r="F57" s="157" t="s">
        <v>286</v>
      </c>
      <c r="G57" s="178" t="s">
        <v>293</v>
      </c>
      <c r="H57" s="187" t="s">
        <v>39</v>
      </c>
      <c r="I57" s="188" t="s">
        <v>11</v>
      </c>
      <c r="J57" s="181" t="str">
        <f t="shared" si="2"/>
        <v>TER B</v>
      </c>
      <c r="K57" s="182">
        <f t="shared" ref="K57:K93" si="14">31*121333.33</f>
        <v>3761333.23</v>
      </c>
      <c r="L57" s="169">
        <f t="shared" si="9"/>
        <v>30575.999999999996</v>
      </c>
      <c r="M57" s="189">
        <f>'[17]HARVESTING KHT'!$AQ18</f>
        <v>146100</v>
      </c>
      <c r="N57" s="189">
        <f>'[17]HARVESTING KHT'!$U18</f>
        <v>167400</v>
      </c>
      <c r="O57" s="189"/>
      <c r="P57" s="189"/>
      <c r="Q57" s="189"/>
      <c r="R57" s="189">
        <f>'[17]HARVESTING KHT'!$AA18</f>
        <v>251931</v>
      </c>
      <c r="S57" s="189">
        <f>'[17]HARVESTING KHT'!$AB18</f>
        <v>171150</v>
      </c>
      <c r="T57" s="189"/>
      <c r="U57" s="189"/>
      <c r="V57" s="189"/>
      <c r="W57" s="189"/>
      <c r="X57" s="189">
        <f>'[17]HARVESTING KHT'!$Z18</f>
        <v>12500</v>
      </c>
      <c r="Y57" s="189"/>
      <c r="Z57" s="189"/>
      <c r="AA57" s="189"/>
      <c r="AB57" s="189">
        <f>-'[17]HARVESTING KHT'!$BI18</f>
        <v>0</v>
      </c>
      <c r="AC57" s="189"/>
      <c r="AD57" s="189"/>
      <c r="AE57" s="183">
        <f t="shared" si="11"/>
        <v>4540990</v>
      </c>
      <c r="AF57" s="184">
        <f t="shared" si="13"/>
        <v>0</v>
      </c>
      <c r="AG57" s="95">
        <f t="shared" si="10"/>
        <v>0</v>
      </c>
      <c r="AI57" s="199">
        <f>'[17]HARVESTING KHT'!$AL18</f>
        <v>4364314.2300000004</v>
      </c>
      <c r="AJ57" s="200">
        <f t="shared" si="0"/>
        <v>176676</v>
      </c>
      <c r="AK57" s="199">
        <f t="shared" si="4"/>
        <v>4540990.2300000004</v>
      </c>
      <c r="AL57" s="201">
        <f t="shared" si="1"/>
        <v>0.23000000044703484</v>
      </c>
      <c r="AN57" s="200">
        <f t="shared" si="5"/>
        <v>3761333.23</v>
      </c>
      <c r="AO57" s="200">
        <f t="shared" si="6"/>
        <v>602981</v>
      </c>
      <c r="AP57" s="200">
        <f t="shared" si="7"/>
        <v>176676</v>
      </c>
      <c r="AQ57" s="201"/>
    </row>
    <row r="58" spans="2:43" s="173" customFormat="1" ht="24.75" customHeight="1">
      <c r="B58" s="174">
        <v>31</v>
      </c>
      <c r="C58" s="158" t="s">
        <v>89</v>
      </c>
      <c r="D58" s="192" t="s">
        <v>254</v>
      </c>
      <c r="E58" s="195" t="s">
        <v>74</v>
      </c>
      <c r="F58" s="157" t="s">
        <v>287</v>
      </c>
      <c r="G58" s="178" t="s">
        <v>293</v>
      </c>
      <c r="H58" s="187" t="s">
        <v>39</v>
      </c>
      <c r="I58" s="188" t="s">
        <v>17</v>
      </c>
      <c r="J58" s="181" t="str">
        <f t="shared" si="2"/>
        <v>TER A</v>
      </c>
      <c r="K58" s="182">
        <f t="shared" si="14"/>
        <v>3761333.23</v>
      </c>
      <c r="L58" s="169">
        <f t="shared" si="9"/>
        <v>30575.999999999996</v>
      </c>
      <c r="M58" s="189">
        <f>'[17]HARVESTING KHT'!$AQ19</f>
        <v>145700</v>
      </c>
      <c r="N58" s="189">
        <f>'[17]HARVESTING KHT'!$U19</f>
        <v>111600</v>
      </c>
      <c r="O58" s="189"/>
      <c r="P58" s="189"/>
      <c r="Q58" s="189"/>
      <c r="R58" s="189">
        <f>'[17]HARVESTING KHT'!$AA19</f>
        <v>253427</v>
      </c>
      <c r="S58" s="189">
        <f>'[17]HARVESTING KHT'!$AB19</f>
        <v>165900</v>
      </c>
      <c r="T58" s="189"/>
      <c r="U58" s="189"/>
      <c r="V58" s="189"/>
      <c r="W58" s="189"/>
      <c r="X58" s="189">
        <f>'[17]HARVESTING KHT'!$Z19</f>
        <v>2500</v>
      </c>
      <c r="Y58" s="189"/>
      <c r="Z58" s="189"/>
      <c r="AA58" s="189"/>
      <c r="AB58" s="189">
        <f>-'[17]HARVESTING KHT'!$BI19</f>
        <v>0</v>
      </c>
      <c r="AC58" s="189"/>
      <c r="AD58" s="189"/>
      <c r="AE58" s="183">
        <f t="shared" si="11"/>
        <v>4471036</v>
      </c>
      <c r="AF58" s="184">
        <f t="shared" si="13"/>
        <v>0</v>
      </c>
      <c r="AG58" s="95">
        <f t="shared" si="10"/>
        <v>0</v>
      </c>
      <c r="AI58" s="199">
        <f>'[17]HARVESTING KHT'!$AL19</f>
        <v>4294760.2300000004</v>
      </c>
      <c r="AJ58" s="200">
        <f t="shared" si="0"/>
        <v>176276</v>
      </c>
      <c r="AK58" s="199">
        <f t="shared" si="4"/>
        <v>4471036.2300000004</v>
      </c>
      <c r="AL58" s="201">
        <f t="shared" si="1"/>
        <v>0.23000000044703484</v>
      </c>
      <c r="AN58" s="200">
        <f t="shared" si="5"/>
        <v>3761333.23</v>
      </c>
      <c r="AO58" s="200">
        <f t="shared" si="6"/>
        <v>533427</v>
      </c>
      <c r="AP58" s="200">
        <f t="shared" si="7"/>
        <v>176276</v>
      </c>
      <c r="AQ58" s="201"/>
    </row>
    <row r="59" spans="2:43" s="173" customFormat="1" ht="24.75" customHeight="1">
      <c r="B59" s="174"/>
      <c r="C59" s="158" t="s">
        <v>216</v>
      </c>
      <c r="D59" s="192" t="s">
        <v>255</v>
      </c>
      <c r="E59" s="195" t="s">
        <v>74</v>
      </c>
      <c r="F59" s="157" t="s">
        <v>288</v>
      </c>
      <c r="G59" s="178" t="s">
        <v>293</v>
      </c>
      <c r="H59" s="187" t="s">
        <v>39</v>
      </c>
      <c r="I59" s="188" t="s">
        <v>12</v>
      </c>
      <c r="J59" s="181" t="str">
        <f t="shared" si="2"/>
        <v>TER C</v>
      </c>
      <c r="K59" s="182"/>
      <c r="L59" s="16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3">
        <f t="shared" si="11"/>
        <v>0</v>
      </c>
      <c r="AF59" s="184">
        <f t="shared" si="13"/>
        <v>0</v>
      </c>
      <c r="AG59" s="95">
        <f t="shared" si="10"/>
        <v>0</v>
      </c>
      <c r="AI59" s="199"/>
      <c r="AJ59" s="200">
        <f t="shared" si="0"/>
        <v>0</v>
      </c>
      <c r="AK59" s="199">
        <f t="shared" si="4"/>
        <v>0</v>
      </c>
      <c r="AL59" s="201">
        <f t="shared" si="1"/>
        <v>0</v>
      </c>
      <c r="AN59" s="200">
        <f t="shared" si="5"/>
        <v>0</v>
      </c>
      <c r="AO59" s="200">
        <f t="shared" si="6"/>
        <v>0</v>
      </c>
      <c r="AP59" s="200">
        <f t="shared" si="7"/>
        <v>0</v>
      </c>
      <c r="AQ59" s="201"/>
    </row>
    <row r="60" spans="2:43" s="173" customFormat="1" ht="24.75" customHeight="1">
      <c r="B60" s="174">
        <v>32</v>
      </c>
      <c r="C60" s="158" t="s">
        <v>217</v>
      </c>
      <c r="D60" s="192" t="s">
        <v>256</v>
      </c>
      <c r="E60" s="195" t="s">
        <v>74</v>
      </c>
      <c r="F60" s="157" t="s">
        <v>289</v>
      </c>
      <c r="G60" s="178" t="s">
        <v>293</v>
      </c>
      <c r="H60" s="187" t="s">
        <v>39</v>
      </c>
      <c r="I60" s="188" t="s">
        <v>12</v>
      </c>
      <c r="J60" s="181" t="str">
        <f t="shared" si="2"/>
        <v>TER C</v>
      </c>
      <c r="K60" s="182">
        <f t="shared" si="14"/>
        <v>3761333.23</v>
      </c>
      <c r="L60" s="169">
        <f t="shared" si="9"/>
        <v>30575.999999999996</v>
      </c>
      <c r="M60" s="189">
        <f>'[17]HARVESTING KHT'!$AQ20</f>
        <v>145700</v>
      </c>
      <c r="N60" s="189">
        <f>'[17]HARVESTING KHT'!$U20</f>
        <v>167400</v>
      </c>
      <c r="O60" s="189"/>
      <c r="P60" s="189">
        <f>'[17]HARVESTING KHT'!$AD$20</f>
        <v>73641.61</v>
      </c>
      <c r="Q60" s="189"/>
      <c r="R60" s="189">
        <f>'[17]HARVESTING KHT'!$AA20</f>
        <v>343985</v>
      </c>
      <c r="S60" s="189">
        <f>'[17]HARVESTING KHT'!$AB20</f>
        <v>123900</v>
      </c>
      <c r="T60" s="189"/>
      <c r="U60" s="189"/>
      <c r="V60" s="189"/>
      <c r="W60" s="189"/>
      <c r="X60" s="189">
        <f>'[17]HARVESTING KHT'!$Z20</f>
        <v>2500</v>
      </c>
      <c r="Y60" s="189"/>
      <c r="Z60" s="189"/>
      <c r="AA60" s="189"/>
      <c r="AB60" s="189">
        <f>-'[17]HARVESTING KHT'!$BI20</f>
        <v>0</v>
      </c>
      <c r="AC60" s="189"/>
      <c r="AD60" s="189"/>
      <c r="AE60" s="183">
        <f t="shared" si="11"/>
        <v>4649035</v>
      </c>
      <c r="AF60" s="184">
        <f t="shared" si="13"/>
        <v>0</v>
      </c>
      <c r="AG60" s="95">
        <f t="shared" si="10"/>
        <v>0</v>
      </c>
      <c r="AI60" s="199">
        <f>'[17]HARVESTING KHT'!$AL20</f>
        <v>4472759.8400000008</v>
      </c>
      <c r="AJ60" s="200">
        <f t="shared" si="0"/>
        <v>176276</v>
      </c>
      <c r="AK60" s="199">
        <f t="shared" si="4"/>
        <v>4649035.8400000008</v>
      </c>
      <c r="AL60" s="201">
        <f t="shared" si="1"/>
        <v>0.84000000078231096</v>
      </c>
      <c r="AN60" s="200">
        <f t="shared" si="5"/>
        <v>3761333.23</v>
      </c>
      <c r="AO60" s="200">
        <f t="shared" si="6"/>
        <v>711426.61</v>
      </c>
      <c r="AP60" s="200">
        <f t="shared" si="7"/>
        <v>176276</v>
      </c>
      <c r="AQ60" s="201"/>
    </row>
    <row r="61" spans="2:43" s="173" customFormat="1" ht="24.75" customHeight="1">
      <c r="B61" s="174"/>
      <c r="C61" s="158" t="s">
        <v>218</v>
      </c>
      <c r="D61" s="192" t="s">
        <v>257</v>
      </c>
      <c r="E61" s="195" t="s">
        <v>74</v>
      </c>
      <c r="F61" s="157" t="s">
        <v>290</v>
      </c>
      <c r="G61" s="178" t="s">
        <v>293</v>
      </c>
      <c r="H61" s="187" t="s">
        <v>39</v>
      </c>
      <c r="I61" s="188" t="s">
        <v>11</v>
      </c>
      <c r="J61" s="181" t="str">
        <f t="shared" si="2"/>
        <v>TER B</v>
      </c>
      <c r="K61" s="182"/>
      <c r="L61" s="16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3">
        <f t="shared" si="11"/>
        <v>0</v>
      </c>
      <c r="AF61" s="184">
        <f t="shared" si="13"/>
        <v>0</v>
      </c>
      <c r="AG61" s="95">
        <f t="shared" si="10"/>
        <v>0</v>
      </c>
      <c r="AI61" s="199"/>
      <c r="AJ61" s="200">
        <f t="shared" si="0"/>
        <v>0</v>
      </c>
      <c r="AK61" s="199">
        <f t="shared" si="4"/>
        <v>0</v>
      </c>
      <c r="AL61" s="201">
        <f t="shared" si="1"/>
        <v>0</v>
      </c>
      <c r="AN61" s="200">
        <f t="shared" si="5"/>
        <v>0</v>
      </c>
      <c r="AO61" s="200">
        <f t="shared" si="6"/>
        <v>0</v>
      </c>
      <c r="AP61" s="200">
        <f t="shared" si="7"/>
        <v>0</v>
      </c>
      <c r="AQ61" s="201"/>
    </row>
    <row r="62" spans="2:43" s="173" customFormat="1" ht="24.75" customHeight="1">
      <c r="B62" s="174">
        <v>33</v>
      </c>
      <c r="C62" s="158" t="s">
        <v>219</v>
      </c>
      <c r="D62" s="192" t="s">
        <v>258</v>
      </c>
      <c r="E62" s="195" t="s">
        <v>74</v>
      </c>
      <c r="F62" s="157" t="s">
        <v>291</v>
      </c>
      <c r="G62" s="178" t="s">
        <v>293</v>
      </c>
      <c r="H62" s="187" t="s">
        <v>39</v>
      </c>
      <c r="I62" s="188" t="s">
        <v>11</v>
      </c>
      <c r="J62" s="181" t="str">
        <f t="shared" si="2"/>
        <v>TER B</v>
      </c>
      <c r="K62" s="182">
        <f t="shared" si="14"/>
        <v>3761333.23</v>
      </c>
      <c r="L62" s="169">
        <f t="shared" si="9"/>
        <v>30575.999999999996</v>
      </c>
      <c r="M62" s="189">
        <f>'[17]HARVESTING KHT'!$AQ21</f>
        <v>146000</v>
      </c>
      <c r="N62" s="189">
        <f>'[17]HARVESTING KHT'!$U21</f>
        <v>167400</v>
      </c>
      <c r="O62" s="189"/>
      <c r="P62" s="189"/>
      <c r="Q62" s="189"/>
      <c r="R62" s="189">
        <f>'[17]HARVESTING KHT'!$AA21</f>
        <v>312395</v>
      </c>
      <c r="S62" s="189">
        <f>'[17]HARVESTING KHT'!$AB21</f>
        <v>111300</v>
      </c>
      <c r="T62" s="189"/>
      <c r="U62" s="189"/>
      <c r="V62" s="189"/>
      <c r="W62" s="189"/>
      <c r="X62" s="189">
        <f>'[17]HARVESTING KHT'!$Z21</f>
        <v>10000</v>
      </c>
      <c r="Y62" s="189"/>
      <c r="Z62" s="189"/>
      <c r="AA62" s="189"/>
      <c r="AB62" s="189">
        <f>-'[17]HARVESTING KHT'!$BI21</f>
        <v>0</v>
      </c>
      <c r="AC62" s="189"/>
      <c r="AD62" s="189"/>
      <c r="AE62" s="183">
        <f t="shared" si="11"/>
        <v>4539004</v>
      </c>
      <c r="AF62" s="184">
        <f t="shared" si="13"/>
        <v>0</v>
      </c>
      <c r="AG62" s="95">
        <f t="shared" si="10"/>
        <v>0</v>
      </c>
      <c r="AI62" s="199">
        <f>'[17]HARVESTING KHT'!$AL21</f>
        <v>4362428.2300000004</v>
      </c>
      <c r="AJ62" s="200">
        <f t="shared" si="0"/>
        <v>176576</v>
      </c>
      <c r="AK62" s="199">
        <f t="shared" si="4"/>
        <v>4539004.2300000004</v>
      </c>
      <c r="AL62" s="201">
        <f t="shared" si="1"/>
        <v>0.23000000044703484</v>
      </c>
      <c r="AN62" s="200">
        <f t="shared" si="5"/>
        <v>3761333.23</v>
      </c>
      <c r="AO62" s="200">
        <f t="shared" si="6"/>
        <v>601095</v>
      </c>
      <c r="AP62" s="200">
        <f t="shared" si="7"/>
        <v>176576</v>
      </c>
      <c r="AQ62" s="201"/>
    </row>
    <row r="63" spans="2:43" s="173" customFormat="1" ht="24.75" customHeight="1">
      <c r="B63" s="174">
        <v>34</v>
      </c>
      <c r="C63" s="158" t="s">
        <v>294</v>
      </c>
      <c r="D63" s="192" t="s">
        <v>298</v>
      </c>
      <c r="E63" s="195" t="s">
        <v>74</v>
      </c>
      <c r="F63" s="157" t="s">
        <v>305</v>
      </c>
      <c r="G63" s="178" t="s">
        <v>92</v>
      </c>
      <c r="H63" s="187" t="s">
        <v>39</v>
      </c>
      <c r="I63" s="188" t="s">
        <v>9</v>
      </c>
      <c r="J63" s="181" t="str">
        <f t="shared" si="2"/>
        <v>TER B</v>
      </c>
      <c r="K63" s="182">
        <f t="shared" si="14"/>
        <v>3761333.23</v>
      </c>
      <c r="L63" s="169">
        <f t="shared" si="9"/>
        <v>30575.999999999996</v>
      </c>
      <c r="M63" s="189">
        <f>[17]TRANSPORT!$AH11</f>
        <v>146920</v>
      </c>
      <c r="N63" s="189">
        <f>[17]TRANSPORT!$S11</f>
        <v>139500</v>
      </c>
      <c r="O63" s="189">
        <f>[17]TRANSPORT!$V11</f>
        <v>60000</v>
      </c>
      <c r="P63" s="189">
        <f>[17]TRANSPORT!$Y11</f>
        <v>399768.74</v>
      </c>
      <c r="Q63" s="189">
        <f>[17]TRANSPORT!$Z11</f>
        <v>718655</v>
      </c>
      <c r="R63" s="189"/>
      <c r="S63" s="189"/>
      <c r="T63" s="189"/>
      <c r="U63" s="189"/>
      <c r="V63" s="189"/>
      <c r="W63" s="189"/>
      <c r="X63" s="189">
        <f>[17]TRANSPORT!$X11</f>
        <v>33000</v>
      </c>
      <c r="Y63" s="189"/>
      <c r="Z63" s="189"/>
      <c r="AA63" s="189"/>
      <c r="AB63" s="189">
        <f>-[17]TRANSPORT!$AX11</f>
        <v>0</v>
      </c>
      <c r="AC63" s="189"/>
      <c r="AD63" s="189"/>
      <c r="AE63" s="183">
        <f t="shared" si="11"/>
        <v>5289752</v>
      </c>
      <c r="AF63" s="184">
        <f t="shared" si="13"/>
        <v>0</v>
      </c>
      <c r="AG63" s="95">
        <f>ROUNDDOWN(IF(E63=0,AE63*AF63*120%,AE63*AF63),0)</f>
        <v>0</v>
      </c>
      <c r="AI63" s="199">
        <f>[17]TRANSPORT!$AC11</f>
        <v>5112256.97</v>
      </c>
      <c r="AJ63" s="200">
        <f>L63+M63</f>
        <v>177496</v>
      </c>
      <c r="AK63" s="199">
        <f t="shared" si="4"/>
        <v>5289752.97</v>
      </c>
      <c r="AL63" s="201">
        <f t="shared" si="1"/>
        <v>0.96999999973922968</v>
      </c>
      <c r="AN63" s="200">
        <f t="shared" si="5"/>
        <v>3761333.23</v>
      </c>
      <c r="AO63" s="200">
        <f t="shared" si="6"/>
        <v>1350923.74</v>
      </c>
      <c r="AP63" s="200">
        <f t="shared" si="7"/>
        <v>177496</v>
      </c>
      <c r="AQ63" s="201"/>
    </row>
    <row r="64" spans="2:43" s="173" customFormat="1" ht="24.75" customHeight="1">
      <c r="B64" s="174">
        <v>35</v>
      </c>
      <c r="C64" s="158" t="s">
        <v>295</v>
      </c>
      <c r="D64" s="192" t="s">
        <v>299</v>
      </c>
      <c r="E64" s="195" t="s">
        <v>302</v>
      </c>
      <c r="F64" s="157" t="s">
        <v>306</v>
      </c>
      <c r="G64" s="178" t="s">
        <v>93</v>
      </c>
      <c r="H64" s="187" t="s">
        <v>39</v>
      </c>
      <c r="I64" s="188" t="s">
        <v>9</v>
      </c>
      <c r="J64" s="181" t="str">
        <f t="shared" si="2"/>
        <v>TER B</v>
      </c>
      <c r="K64" s="182">
        <f t="shared" si="14"/>
        <v>3761333.23</v>
      </c>
      <c r="L64" s="169">
        <f t="shared" si="9"/>
        <v>30575.999999999996</v>
      </c>
      <c r="M64" s="189">
        <f>[17]TRANSPORT!$AH12</f>
        <v>147480</v>
      </c>
      <c r="N64" s="189">
        <f>[17]TRANSPORT!$S12</f>
        <v>167400</v>
      </c>
      <c r="O64" s="189">
        <f>[17]TRANSPORT!$V12</f>
        <v>46000</v>
      </c>
      <c r="P64" s="189">
        <f>[17]TRANSPORT!$Y12</f>
        <v>441849.66</v>
      </c>
      <c r="Q64" s="189">
        <f>[17]TRANSPORT!$Z12</f>
        <v>1064995</v>
      </c>
      <c r="R64" s="189"/>
      <c r="S64" s="189"/>
      <c r="T64" s="189"/>
      <c r="U64" s="189"/>
      <c r="V64" s="189"/>
      <c r="W64" s="189"/>
      <c r="X64" s="189">
        <f>[17]TRANSPORT!$X12</f>
        <v>47000</v>
      </c>
      <c r="Y64" s="189"/>
      <c r="Z64" s="189"/>
      <c r="AA64" s="189"/>
      <c r="AB64" s="189">
        <f>-[17]TRANSPORT!$AX12</f>
        <v>0</v>
      </c>
      <c r="AC64" s="189"/>
      <c r="AD64" s="189"/>
      <c r="AE64" s="183">
        <f t="shared" si="11"/>
        <v>5706633</v>
      </c>
      <c r="AF64" s="184">
        <f t="shared" si="13"/>
        <v>0</v>
      </c>
      <c r="AG64" s="95">
        <f t="shared" si="10"/>
        <v>0</v>
      </c>
      <c r="AI64" s="199">
        <f>[17]TRANSPORT!$AC12</f>
        <v>5528577.8899999997</v>
      </c>
      <c r="AJ64" s="200">
        <f t="shared" si="0"/>
        <v>178056</v>
      </c>
      <c r="AK64" s="199">
        <f t="shared" si="4"/>
        <v>5706633.8899999997</v>
      </c>
      <c r="AL64" s="201">
        <f t="shared" si="1"/>
        <v>0.88999999966472387</v>
      </c>
      <c r="AN64" s="200">
        <f t="shared" si="5"/>
        <v>3761333.23</v>
      </c>
      <c r="AO64" s="200">
        <f t="shared" si="6"/>
        <v>1767244.66</v>
      </c>
      <c r="AP64" s="200">
        <f t="shared" si="7"/>
        <v>178056</v>
      </c>
      <c r="AQ64" s="201"/>
    </row>
    <row r="65" spans="2:43" s="173" customFormat="1" ht="24.75" customHeight="1">
      <c r="B65" s="174">
        <v>36</v>
      </c>
      <c r="C65" s="158" t="s">
        <v>296</v>
      </c>
      <c r="D65" s="192" t="s">
        <v>300</v>
      </c>
      <c r="E65" s="195" t="s">
        <v>303</v>
      </c>
      <c r="F65" s="157" t="s">
        <v>307</v>
      </c>
      <c r="G65" s="178" t="s">
        <v>92</v>
      </c>
      <c r="H65" s="187" t="s">
        <v>39</v>
      </c>
      <c r="I65" s="188" t="s">
        <v>9</v>
      </c>
      <c r="J65" s="181" t="str">
        <f t="shared" si="2"/>
        <v>TER B</v>
      </c>
      <c r="K65" s="182">
        <f t="shared" si="14"/>
        <v>3761333.23</v>
      </c>
      <c r="L65" s="169">
        <f t="shared" si="9"/>
        <v>30575.999999999996</v>
      </c>
      <c r="M65" s="189">
        <f>[17]TRANSPORT!$AH13</f>
        <v>148040</v>
      </c>
      <c r="N65" s="189">
        <f>[17]TRANSPORT!$S13</f>
        <v>130500</v>
      </c>
      <c r="O65" s="189">
        <f>[17]TRANSPORT!$V13</f>
        <v>60000</v>
      </c>
      <c r="P65" s="189">
        <f>[17]TRANSPORT!$Y13</f>
        <v>862658.85999999987</v>
      </c>
      <c r="Q65" s="189">
        <f>[17]TRANSPORT!$Z13</f>
        <v>1043570</v>
      </c>
      <c r="R65" s="189"/>
      <c r="S65" s="189"/>
      <c r="T65" s="189"/>
      <c r="U65" s="189"/>
      <c r="V65" s="189"/>
      <c r="W65" s="189"/>
      <c r="X65" s="189">
        <f>[17]TRANSPORT!$X13</f>
        <v>61000</v>
      </c>
      <c r="Y65" s="189"/>
      <c r="Z65" s="189"/>
      <c r="AA65" s="189"/>
      <c r="AB65" s="189">
        <f>-[17]TRANSPORT!$AX13</f>
        <v>-242666.66</v>
      </c>
      <c r="AC65" s="189"/>
      <c r="AD65" s="189"/>
      <c r="AE65" s="183">
        <f t="shared" si="11"/>
        <v>5855011</v>
      </c>
      <c r="AF65" s="184">
        <f t="shared" si="13"/>
        <v>0</v>
      </c>
      <c r="AG65" s="95">
        <f t="shared" si="10"/>
        <v>0</v>
      </c>
      <c r="AI65" s="199">
        <f>[17]TRANSPORT!$AC13</f>
        <v>5676395.4299999997</v>
      </c>
      <c r="AJ65" s="200">
        <f t="shared" si="0"/>
        <v>178616</v>
      </c>
      <c r="AK65" s="199">
        <f t="shared" si="4"/>
        <v>5855011.4299999997</v>
      </c>
      <c r="AL65" s="201">
        <f t="shared" si="1"/>
        <v>0.42999999970197678</v>
      </c>
      <c r="AN65" s="200">
        <f t="shared" si="5"/>
        <v>3518666.57</v>
      </c>
      <c r="AO65" s="200">
        <f t="shared" si="6"/>
        <v>2157728.86</v>
      </c>
      <c r="AP65" s="200">
        <f t="shared" si="7"/>
        <v>178616</v>
      </c>
      <c r="AQ65" s="201"/>
    </row>
    <row r="66" spans="2:43" s="173" customFormat="1" ht="24.75" customHeight="1">
      <c r="B66" s="174">
        <v>37</v>
      </c>
      <c r="C66" s="158" t="s">
        <v>297</v>
      </c>
      <c r="D66" s="192" t="s">
        <v>301</v>
      </c>
      <c r="E66" s="195" t="s">
        <v>304</v>
      </c>
      <c r="F66" s="157" t="s">
        <v>308</v>
      </c>
      <c r="G66" s="178" t="s">
        <v>93</v>
      </c>
      <c r="H66" s="187" t="s">
        <v>39</v>
      </c>
      <c r="I66" s="188" t="s">
        <v>11</v>
      </c>
      <c r="J66" s="181" t="str">
        <f t="shared" si="2"/>
        <v>TER B</v>
      </c>
      <c r="K66" s="182">
        <f t="shared" si="14"/>
        <v>3761333.23</v>
      </c>
      <c r="L66" s="169">
        <f t="shared" si="9"/>
        <v>30575.999999999996</v>
      </c>
      <c r="M66" s="189">
        <f>[17]TRANSPORT!$AH14</f>
        <v>146800</v>
      </c>
      <c r="N66" s="189">
        <f>[17]TRANSPORT!$S14</f>
        <v>167400</v>
      </c>
      <c r="O66" s="189">
        <f>[17]TRANSPORT!$V14</f>
        <v>44000</v>
      </c>
      <c r="P66" s="189">
        <f>[17]TRANSPORT!$Y14</f>
        <v>999421.85</v>
      </c>
      <c r="Q66" s="189">
        <f>[17]TRANSPORT!$Z14</f>
        <v>1309255</v>
      </c>
      <c r="R66" s="189"/>
      <c r="S66" s="189"/>
      <c r="T66" s="189"/>
      <c r="U66" s="189"/>
      <c r="V66" s="189"/>
      <c r="W66" s="189"/>
      <c r="X66" s="189">
        <f>[17]TRANSPORT!$X14</f>
        <v>30000</v>
      </c>
      <c r="Y66" s="189"/>
      <c r="Z66" s="189"/>
      <c r="AA66" s="189"/>
      <c r="AB66" s="189">
        <f>-[17]TRANSPORT!$AX14</f>
        <v>0</v>
      </c>
      <c r="AC66" s="189"/>
      <c r="AD66" s="189"/>
      <c r="AE66" s="183">
        <f>ROUNDDOWN(SUM(K66:AD66),0)</f>
        <v>6488786</v>
      </c>
      <c r="AF66" s="184">
        <f t="shared" si="13"/>
        <v>2.5000000000000001E-3</v>
      </c>
      <c r="AG66" s="95">
        <f t="shared" si="10"/>
        <v>16221</v>
      </c>
      <c r="AI66" s="199">
        <f>[17]TRANSPORT!$AC14</f>
        <v>6311410.0800000001</v>
      </c>
      <c r="AJ66" s="200">
        <f t="shared" si="0"/>
        <v>177376</v>
      </c>
      <c r="AK66" s="199">
        <f t="shared" si="4"/>
        <v>6488786.0800000001</v>
      </c>
      <c r="AL66" s="201">
        <f t="shared" si="1"/>
        <v>8.0000000074505806E-2</v>
      </c>
      <c r="AN66" s="200">
        <f t="shared" si="5"/>
        <v>3761333.23</v>
      </c>
      <c r="AO66" s="200">
        <f t="shared" si="6"/>
        <v>2550076.85</v>
      </c>
      <c r="AP66" s="200">
        <f t="shared" si="7"/>
        <v>177376</v>
      </c>
      <c r="AQ66" s="201"/>
    </row>
    <row r="67" spans="2:43" s="173" customFormat="1" ht="24.75" customHeight="1">
      <c r="B67" s="174">
        <v>38</v>
      </c>
      <c r="C67" s="271" t="s">
        <v>347</v>
      </c>
      <c r="D67" s="192" t="s">
        <v>359</v>
      </c>
      <c r="E67" s="195" t="s">
        <v>74</v>
      </c>
      <c r="F67" s="157" t="s">
        <v>357</v>
      </c>
      <c r="G67" s="272" t="s">
        <v>293</v>
      </c>
      <c r="H67" s="187" t="s">
        <v>39</v>
      </c>
      <c r="I67" s="188" t="s">
        <v>9</v>
      </c>
      <c r="J67" s="181" t="str">
        <f t="shared" si="2"/>
        <v>TER B</v>
      </c>
      <c r="K67" s="182">
        <f t="shared" si="14"/>
        <v>3761333.23</v>
      </c>
      <c r="L67" s="169">
        <f t="shared" si="9"/>
        <v>30575.999999999996</v>
      </c>
      <c r="M67" s="189">
        <f>'[17]HARVESTING KHT'!$AQ22</f>
        <v>146200</v>
      </c>
      <c r="N67" s="189">
        <f>'[17]HARVESTING KHT'!$U22</f>
        <v>139500</v>
      </c>
      <c r="O67" s="189"/>
      <c r="P67" s="189"/>
      <c r="Q67" s="189"/>
      <c r="R67" s="189">
        <f>'[17]HARVESTING KHT'!$AA22</f>
        <v>182735</v>
      </c>
      <c r="S67" s="189">
        <f>'[17]HARVESTING KHT'!$AB22</f>
        <v>131250</v>
      </c>
      <c r="T67" s="189"/>
      <c r="U67" s="189"/>
      <c r="V67" s="189"/>
      <c r="W67" s="189"/>
      <c r="X67" s="189">
        <f>'[17]HARVESTING KHT'!$Z22</f>
        <v>15000</v>
      </c>
      <c r="Y67" s="189"/>
      <c r="Z67" s="189"/>
      <c r="AA67" s="189"/>
      <c r="AB67" s="189">
        <f>-'[17]HARVESTING KHT'!$BI22</f>
        <v>0</v>
      </c>
      <c r="AC67" s="189"/>
      <c r="AD67" s="189"/>
      <c r="AE67" s="183">
        <f t="shared" ref="AE67:AE93" si="15">ROUNDDOWN(SUM(K67:AD67),0)</f>
        <v>4406594</v>
      </c>
      <c r="AF67" s="184">
        <f>IF(J67="TER A",VLOOKUP(AE67,Ter_A,4,TRUE),IF(J67="TER B",VLOOKUP(AE67,Ter_B,4,TRUE),VLOOKUP(AE67,Ter_C,4,TRUE)))</f>
        <v>0</v>
      </c>
      <c r="AG67" s="95">
        <f t="shared" si="10"/>
        <v>0</v>
      </c>
      <c r="AI67" s="199">
        <f>'[17]HARVESTING KHT'!$AL22</f>
        <v>4229818.2300000004</v>
      </c>
      <c r="AJ67" s="200">
        <f t="shared" si="0"/>
        <v>176776</v>
      </c>
      <c r="AK67" s="199">
        <f>AI67+AJ67+AD67</f>
        <v>4406594.2300000004</v>
      </c>
      <c r="AL67" s="201">
        <f t="shared" si="1"/>
        <v>0.23000000044703484</v>
      </c>
      <c r="AN67" s="200">
        <f t="shared" si="5"/>
        <v>3761333.23</v>
      </c>
      <c r="AO67" s="200">
        <f t="shared" si="6"/>
        <v>468485</v>
      </c>
      <c r="AP67" s="200">
        <f t="shared" si="7"/>
        <v>176776</v>
      </c>
      <c r="AQ67" s="201"/>
    </row>
    <row r="68" spans="2:43" s="173" customFormat="1" ht="24.75" customHeight="1">
      <c r="B68" s="174">
        <v>39</v>
      </c>
      <c r="C68" s="271" t="s">
        <v>348</v>
      </c>
      <c r="D68" s="192" t="s">
        <v>360</v>
      </c>
      <c r="E68" s="195" t="s">
        <v>74</v>
      </c>
      <c r="F68" s="157" t="s">
        <v>358</v>
      </c>
      <c r="G68" s="272" t="s">
        <v>293</v>
      </c>
      <c r="H68" s="187" t="s">
        <v>39</v>
      </c>
      <c r="I68" s="188" t="s">
        <v>9</v>
      </c>
      <c r="J68" s="181" t="str">
        <f t="shared" si="2"/>
        <v>TER B</v>
      </c>
      <c r="K68" s="182">
        <f t="shared" si="14"/>
        <v>3761333.23</v>
      </c>
      <c r="L68" s="169">
        <f t="shared" si="9"/>
        <v>30575.999999999996</v>
      </c>
      <c r="M68" s="189">
        <f>'[17]HARVESTING KHT'!$AQ23</f>
        <v>146200</v>
      </c>
      <c r="N68" s="189">
        <f>'[17]HARVESTING KHT'!$U23</f>
        <v>139500</v>
      </c>
      <c r="O68" s="189"/>
      <c r="P68" s="189"/>
      <c r="Q68" s="189"/>
      <c r="R68" s="189">
        <f>'[17]HARVESTING KHT'!$AA23</f>
        <v>235546</v>
      </c>
      <c r="S68" s="189">
        <f>'[17]HARVESTING KHT'!$AB23</f>
        <v>135450</v>
      </c>
      <c r="T68" s="189"/>
      <c r="U68" s="189"/>
      <c r="V68" s="189"/>
      <c r="W68" s="189"/>
      <c r="X68" s="189">
        <f>'[17]HARVESTING KHT'!$Z23</f>
        <v>15000</v>
      </c>
      <c r="Y68" s="189"/>
      <c r="Z68" s="189"/>
      <c r="AA68" s="189"/>
      <c r="AB68" s="189">
        <f>-'[17]HARVESTING KHT'!$BI23</f>
        <v>0</v>
      </c>
      <c r="AC68" s="189"/>
      <c r="AD68" s="189"/>
      <c r="AE68" s="183">
        <f t="shared" si="15"/>
        <v>4463605</v>
      </c>
      <c r="AF68" s="184">
        <f t="shared" si="13"/>
        <v>0</v>
      </c>
      <c r="AG68" s="95">
        <f t="shared" si="10"/>
        <v>0</v>
      </c>
      <c r="AI68" s="199">
        <f>'[17]HARVESTING KHT'!$AL23</f>
        <v>4286829.2300000004</v>
      </c>
      <c r="AJ68" s="200">
        <f t="shared" si="0"/>
        <v>176776</v>
      </c>
      <c r="AK68" s="199">
        <f t="shared" si="4"/>
        <v>4463605.2300000004</v>
      </c>
      <c r="AL68" s="201">
        <f t="shared" si="1"/>
        <v>0.23000000044703484</v>
      </c>
      <c r="AN68" s="200">
        <f t="shared" si="5"/>
        <v>3761333.23</v>
      </c>
      <c r="AO68" s="200">
        <f t="shared" si="6"/>
        <v>525496</v>
      </c>
      <c r="AP68" s="200">
        <f t="shared" si="7"/>
        <v>176776</v>
      </c>
      <c r="AQ68" s="201"/>
    </row>
    <row r="69" spans="2:43" s="173" customFormat="1" ht="24.75" customHeight="1">
      <c r="B69" s="174">
        <v>40</v>
      </c>
      <c r="C69" s="271" t="s">
        <v>349</v>
      </c>
      <c r="D69" s="192" t="s">
        <v>361</v>
      </c>
      <c r="E69" s="195" t="s">
        <v>352</v>
      </c>
      <c r="F69" s="157" t="s">
        <v>362</v>
      </c>
      <c r="G69" s="272" t="s">
        <v>293</v>
      </c>
      <c r="H69" s="187" t="s">
        <v>39</v>
      </c>
      <c r="I69" s="188" t="s">
        <v>11</v>
      </c>
      <c r="J69" s="181" t="str">
        <f t="shared" si="2"/>
        <v>TER B</v>
      </c>
      <c r="K69" s="182">
        <f t="shared" si="14"/>
        <v>3761333.23</v>
      </c>
      <c r="L69" s="169">
        <f t="shared" si="9"/>
        <v>30575.999999999996</v>
      </c>
      <c r="M69" s="189">
        <f>'[17]HARVESTING KHT'!$AQ24</f>
        <v>146560</v>
      </c>
      <c r="N69" s="189">
        <f>'[17]HARVESTING KHT'!$U24</f>
        <v>162000</v>
      </c>
      <c r="O69" s="189"/>
      <c r="P69" s="189"/>
      <c r="Q69" s="189"/>
      <c r="R69" s="189">
        <f>'[17]HARVESTING KHT'!$AA24</f>
        <v>189729</v>
      </c>
      <c r="S69" s="189">
        <f>'[17]HARVESTING KHT'!$AB24</f>
        <v>101850</v>
      </c>
      <c r="T69" s="189"/>
      <c r="U69" s="189"/>
      <c r="V69" s="189"/>
      <c r="W69" s="189"/>
      <c r="X69" s="189">
        <f>'[17]HARVESTING KHT'!$Z24</f>
        <v>24000</v>
      </c>
      <c r="Y69" s="189"/>
      <c r="Z69" s="189"/>
      <c r="AA69" s="189"/>
      <c r="AB69" s="189">
        <f>-'[17]HARVESTING KHT'!$BI24</f>
        <v>-121333.33</v>
      </c>
      <c r="AC69" s="189"/>
      <c r="AD69" s="189"/>
      <c r="AE69" s="183">
        <f t="shared" si="15"/>
        <v>4294714</v>
      </c>
      <c r="AF69" s="184">
        <f t="shared" si="13"/>
        <v>0</v>
      </c>
      <c r="AG69" s="95">
        <f t="shared" si="10"/>
        <v>0</v>
      </c>
      <c r="AI69" s="199">
        <f>'[17]HARVESTING KHT'!$AL24</f>
        <v>4117578.9000000004</v>
      </c>
      <c r="AJ69" s="200">
        <f t="shared" si="0"/>
        <v>177136</v>
      </c>
      <c r="AK69" s="199">
        <f t="shared" si="4"/>
        <v>4294714.9000000004</v>
      </c>
      <c r="AL69" s="201">
        <f t="shared" si="1"/>
        <v>0.90000000037252903</v>
      </c>
      <c r="AN69" s="200">
        <f t="shared" si="5"/>
        <v>3639999.9</v>
      </c>
      <c r="AO69" s="200">
        <f t="shared" si="6"/>
        <v>477579</v>
      </c>
      <c r="AP69" s="200">
        <f t="shared" si="7"/>
        <v>177136</v>
      </c>
      <c r="AQ69" s="201"/>
    </row>
    <row r="70" spans="2:43" s="173" customFormat="1" ht="24.75" customHeight="1">
      <c r="B70" s="174">
        <v>41</v>
      </c>
      <c r="C70" s="271" t="s">
        <v>350</v>
      </c>
      <c r="D70" s="192" t="s">
        <v>363</v>
      </c>
      <c r="E70" s="195" t="s">
        <v>74</v>
      </c>
      <c r="F70" s="157" t="s">
        <v>364</v>
      </c>
      <c r="G70" s="272" t="s">
        <v>293</v>
      </c>
      <c r="H70" s="187" t="s">
        <v>39</v>
      </c>
      <c r="I70" s="188" t="s">
        <v>9</v>
      </c>
      <c r="J70" s="181" t="str">
        <f t="shared" si="2"/>
        <v>TER B</v>
      </c>
      <c r="K70" s="182">
        <f t="shared" si="14"/>
        <v>3761333.23</v>
      </c>
      <c r="L70" s="169">
        <f t="shared" si="9"/>
        <v>30575.999999999996</v>
      </c>
      <c r="M70" s="189">
        <f>'[17]HARVESTING KHT'!$AQ25</f>
        <v>146000</v>
      </c>
      <c r="N70" s="189">
        <f>'[17]HARVESTING KHT'!$U25</f>
        <v>139500</v>
      </c>
      <c r="O70" s="189"/>
      <c r="P70" s="189"/>
      <c r="Q70" s="189"/>
      <c r="R70" s="189">
        <f>'[17]HARVESTING KHT'!$AA25</f>
        <v>170732</v>
      </c>
      <c r="S70" s="189">
        <f>'[17]HARVESTING KHT'!$AB25</f>
        <v>101850</v>
      </c>
      <c r="T70" s="189"/>
      <c r="U70" s="189"/>
      <c r="V70" s="189"/>
      <c r="W70" s="189"/>
      <c r="X70" s="189">
        <f>'[17]HARVESTING KHT'!$Z25</f>
        <v>10000</v>
      </c>
      <c r="Y70" s="189"/>
      <c r="Z70" s="189"/>
      <c r="AA70" s="189"/>
      <c r="AB70" s="189">
        <f>-'[17]HARVESTING KHT'!$BI25</f>
        <v>0</v>
      </c>
      <c r="AC70" s="189"/>
      <c r="AD70" s="189"/>
      <c r="AE70" s="183">
        <f t="shared" si="15"/>
        <v>4359991</v>
      </c>
      <c r="AF70" s="184">
        <f t="shared" si="13"/>
        <v>0</v>
      </c>
      <c r="AG70" s="95">
        <f t="shared" si="10"/>
        <v>0</v>
      </c>
      <c r="AI70" s="199">
        <f>'[17]HARVESTING KHT'!$AL25</f>
        <v>4183415.23</v>
      </c>
      <c r="AJ70" s="200">
        <f t="shared" ref="AJ70:AJ81" si="16">L70+M70</f>
        <v>176576</v>
      </c>
      <c r="AK70" s="199">
        <f t="shared" si="4"/>
        <v>4359991.2300000004</v>
      </c>
      <c r="AL70" s="201">
        <f t="shared" ref="AL70:AL93" si="17">AK70-AE70</f>
        <v>0.23000000044703484</v>
      </c>
      <c r="AN70" s="200">
        <f t="shared" si="5"/>
        <v>3761333.23</v>
      </c>
      <c r="AO70" s="200">
        <f t="shared" si="6"/>
        <v>422082</v>
      </c>
      <c r="AP70" s="200">
        <f t="shared" si="7"/>
        <v>176576</v>
      </c>
      <c r="AQ70" s="201"/>
    </row>
    <row r="71" spans="2:43" s="173" customFormat="1" ht="24.75" customHeight="1">
      <c r="B71" s="174">
        <v>42</v>
      </c>
      <c r="C71" s="271" t="s">
        <v>351</v>
      </c>
      <c r="D71" s="192" t="s">
        <v>365</v>
      </c>
      <c r="E71" s="195" t="s">
        <v>353</v>
      </c>
      <c r="F71" s="157" t="s">
        <v>366</v>
      </c>
      <c r="G71" s="272" t="s">
        <v>293</v>
      </c>
      <c r="H71" s="187" t="s">
        <v>39</v>
      </c>
      <c r="I71" s="188" t="s">
        <v>9</v>
      </c>
      <c r="J71" s="181" t="str">
        <f t="shared" si="2"/>
        <v>TER B</v>
      </c>
      <c r="K71" s="182">
        <f t="shared" si="14"/>
        <v>3761333.23</v>
      </c>
      <c r="L71" s="169">
        <f t="shared" si="9"/>
        <v>30575.999999999996</v>
      </c>
      <c r="M71" s="189">
        <f>'[17]HARVESTING KHT'!$AQ26</f>
        <v>147480</v>
      </c>
      <c r="N71" s="189">
        <f>'[17]HARVESTING KHT'!$U26</f>
        <v>126000</v>
      </c>
      <c r="O71" s="189"/>
      <c r="P71" s="189"/>
      <c r="Q71" s="189"/>
      <c r="R71" s="189">
        <f>'[17]HARVESTING KHT'!$AA26</f>
        <v>116958</v>
      </c>
      <c r="S71" s="189">
        <f>'[17]HARVESTING KHT'!$AB26</f>
        <v>72450</v>
      </c>
      <c r="T71" s="189"/>
      <c r="U71" s="189"/>
      <c r="V71" s="189"/>
      <c r="W71" s="189"/>
      <c r="X71" s="189">
        <f>'[17]HARVESTING KHT'!$Z26</f>
        <v>47000</v>
      </c>
      <c r="Y71" s="189"/>
      <c r="Z71" s="189"/>
      <c r="AA71" s="189"/>
      <c r="AB71" s="189">
        <f>-'[17]HARVESTING KHT'!$BI26</f>
        <v>-363999.99</v>
      </c>
      <c r="AC71" s="189"/>
      <c r="AD71" s="189"/>
      <c r="AE71" s="183">
        <f t="shared" si="15"/>
        <v>3937797</v>
      </c>
      <c r="AF71" s="184">
        <f t="shared" si="13"/>
        <v>0</v>
      </c>
      <c r="AG71" s="95">
        <f t="shared" si="10"/>
        <v>0</v>
      </c>
      <c r="AI71" s="199">
        <f>'[17]HARVESTING KHT'!$AL26</f>
        <v>3759741.24</v>
      </c>
      <c r="AJ71" s="200">
        <f t="shared" si="16"/>
        <v>178056</v>
      </c>
      <c r="AK71" s="199">
        <f t="shared" ref="AK71:AK92" si="18">AI71+AJ71+AD71</f>
        <v>3937797.24</v>
      </c>
      <c r="AL71" s="201">
        <f t="shared" si="17"/>
        <v>0.24000000022351742</v>
      </c>
      <c r="AN71" s="200">
        <f t="shared" ref="AN71:AN93" si="19">K71+AB71</f>
        <v>3397333.24</v>
      </c>
      <c r="AO71" s="200">
        <f t="shared" ref="AO71:AO93" si="20">N71+O71+P71+Q71+R71+S71+T71+V71+X71</f>
        <v>362408</v>
      </c>
      <c r="AP71" s="200">
        <f t="shared" ref="AP71:AP93" si="21">L71+M71</f>
        <v>178056</v>
      </c>
      <c r="AQ71" s="201"/>
    </row>
    <row r="72" spans="2:43" s="173" customFormat="1" ht="24.75" customHeight="1">
      <c r="B72" s="174">
        <v>43</v>
      </c>
      <c r="C72" s="271" t="s">
        <v>369</v>
      </c>
      <c r="D72" s="192" t="s">
        <v>374</v>
      </c>
      <c r="E72" s="195" t="s">
        <v>375</v>
      </c>
      <c r="F72" s="157" t="s">
        <v>376</v>
      </c>
      <c r="G72" s="272" t="s">
        <v>293</v>
      </c>
      <c r="H72" s="187" t="s">
        <v>39</v>
      </c>
      <c r="I72" s="188" t="s">
        <v>11</v>
      </c>
      <c r="J72" s="181" t="str">
        <f t="shared" si="2"/>
        <v>TER B</v>
      </c>
      <c r="K72" s="182">
        <f t="shared" si="14"/>
        <v>3761333.23</v>
      </c>
      <c r="L72" s="169">
        <f t="shared" ref="L72:L93" si="22">3640000*0.84%</f>
        <v>30575.999999999996</v>
      </c>
      <c r="M72" s="189">
        <f>'[17]HARVESTING KHT'!$AQ27</f>
        <v>148040</v>
      </c>
      <c r="N72" s="189">
        <f>'[17]HARVESTING KHT'!$U27</f>
        <v>167400</v>
      </c>
      <c r="O72" s="189"/>
      <c r="P72" s="189"/>
      <c r="Q72" s="189"/>
      <c r="R72" s="189">
        <f>'[17]HARVESTING KHT'!$AA27</f>
        <v>152711</v>
      </c>
      <c r="S72" s="189">
        <f>'[17]HARVESTING KHT'!$AB27</f>
        <v>98700</v>
      </c>
      <c r="T72" s="189"/>
      <c r="U72" s="189"/>
      <c r="V72" s="189"/>
      <c r="W72" s="189"/>
      <c r="X72" s="189">
        <f>'[17]HARVESTING KHT'!$Z27</f>
        <v>61000</v>
      </c>
      <c r="Y72" s="189"/>
      <c r="Z72" s="189"/>
      <c r="AA72" s="189"/>
      <c r="AB72" s="189">
        <f>-'[17]HARVESTING KHT'!$BI27</f>
        <v>0</v>
      </c>
      <c r="AC72" s="189"/>
      <c r="AD72" s="189"/>
      <c r="AE72" s="183">
        <f t="shared" si="15"/>
        <v>4419760</v>
      </c>
      <c r="AF72" s="184">
        <f t="shared" si="13"/>
        <v>0</v>
      </c>
      <c r="AG72" s="95">
        <f t="shared" ref="AG72:AG93" si="23">ROUNDDOWN(IF(E72=0,AE72*AF72*120%,AE72*AF72),0)</f>
        <v>0</v>
      </c>
      <c r="AI72" s="199">
        <f>'[17]HARVESTING KHT'!$AL27</f>
        <v>4241144.2300000004</v>
      </c>
      <c r="AJ72" s="200">
        <f t="shared" si="16"/>
        <v>178616</v>
      </c>
      <c r="AK72" s="199">
        <f t="shared" si="18"/>
        <v>4419760.2300000004</v>
      </c>
      <c r="AL72" s="201">
        <f t="shared" si="17"/>
        <v>0.23000000044703484</v>
      </c>
      <c r="AN72" s="200">
        <f t="shared" si="19"/>
        <v>3761333.23</v>
      </c>
      <c r="AO72" s="200">
        <f t="shared" si="20"/>
        <v>479811</v>
      </c>
      <c r="AP72" s="200">
        <f t="shared" si="21"/>
        <v>178616</v>
      </c>
      <c r="AQ72" s="201"/>
    </row>
    <row r="73" spans="2:43" s="173" customFormat="1" ht="24.75" customHeight="1">
      <c r="B73" s="174">
        <v>44</v>
      </c>
      <c r="C73" s="271" t="s">
        <v>370</v>
      </c>
      <c r="D73" s="192" t="s">
        <v>377</v>
      </c>
      <c r="E73" s="195" t="s">
        <v>378</v>
      </c>
      <c r="F73" s="157" t="s">
        <v>379</v>
      </c>
      <c r="G73" s="272" t="s">
        <v>293</v>
      </c>
      <c r="H73" s="187" t="s">
        <v>39</v>
      </c>
      <c r="I73" s="188" t="s">
        <v>9</v>
      </c>
      <c r="J73" s="181" t="str">
        <f t="shared" ref="J73:J92" si="24">IF(ISBLANK(I73),"",IF(OR(I73="TK/0",I73="TK/1",I73="K/0"),"TER A",IF(I73="K/3","TER C","TER B")))</f>
        <v>TER B</v>
      </c>
      <c r="K73" s="182">
        <f t="shared" si="14"/>
        <v>3761333.23</v>
      </c>
      <c r="L73" s="169">
        <f t="shared" si="22"/>
        <v>30575.999999999996</v>
      </c>
      <c r="M73" s="189">
        <f>'[17]HARVESTING KHT'!$AQ28</f>
        <v>147060</v>
      </c>
      <c r="N73" s="189">
        <f>'[17]HARVESTING KHT'!$U28</f>
        <v>135000</v>
      </c>
      <c r="O73" s="189"/>
      <c r="P73" s="189"/>
      <c r="Q73" s="189"/>
      <c r="R73" s="189">
        <f>'[17]HARVESTING KHT'!$AA28</f>
        <v>140024</v>
      </c>
      <c r="S73" s="189">
        <f>'[17]HARVESTING KHT'!$AB28</f>
        <v>86100</v>
      </c>
      <c r="T73" s="189"/>
      <c r="U73" s="189"/>
      <c r="V73" s="189"/>
      <c r="W73" s="189"/>
      <c r="X73" s="189">
        <f>'[17]HARVESTING KHT'!$Z28</f>
        <v>36500</v>
      </c>
      <c r="Y73" s="189"/>
      <c r="Z73" s="189"/>
      <c r="AA73" s="189"/>
      <c r="AB73" s="189">
        <f>-'[17]HARVESTING KHT'!$BI28</f>
        <v>-121333.33</v>
      </c>
      <c r="AC73" s="189"/>
      <c r="AD73" s="189"/>
      <c r="AE73" s="183">
        <f t="shared" si="15"/>
        <v>4215259</v>
      </c>
      <c r="AF73" s="184">
        <f t="shared" si="13"/>
        <v>0</v>
      </c>
      <c r="AG73" s="95">
        <f t="shared" si="23"/>
        <v>0</v>
      </c>
      <c r="AI73" s="199">
        <f>'[17]HARVESTING KHT'!$AL28</f>
        <v>4037623.9</v>
      </c>
      <c r="AJ73" s="200">
        <f t="shared" si="16"/>
        <v>177636</v>
      </c>
      <c r="AK73" s="199">
        <f t="shared" si="18"/>
        <v>4215259.9000000004</v>
      </c>
      <c r="AL73" s="201">
        <f t="shared" si="17"/>
        <v>0.90000000037252903</v>
      </c>
      <c r="AN73" s="200">
        <f t="shared" si="19"/>
        <v>3639999.9</v>
      </c>
      <c r="AO73" s="200">
        <f t="shared" si="20"/>
        <v>397624</v>
      </c>
      <c r="AP73" s="200">
        <f t="shared" si="21"/>
        <v>177636</v>
      </c>
      <c r="AQ73" s="201"/>
    </row>
    <row r="74" spans="2:43" s="173" customFormat="1" ht="24.75" customHeight="1">
      <c r="B74" s="174">
        <v>45</v>
      </c>
      <c r="C74" s="271" t="s">
        <v>371</v>
      </c>
      <c r="D74" s="192" t="s">
        <v>380</v>
      </c>
      <c r="E74" s="195" t="s">
        <v>381</v>
      </c>
      <c r="F74" s="157" t="s">
        <v>78</v>
      </c>
      <c r="G74" s="272" t="s">
        <v>293</v>
      </c>
      <c r="H74" s="187" t="s">
        <v>39</v>
      </c>
      <c r="I74" s="188" t="s">
        <v>9</v>
      </c>
      <c r="J74" s="181" t="str">
        <f t="shared" si="24"/>
        <v>TER B</v>
      </c>
      <c r="K74" s="182">
        <f t="shared" si="14"/>
        <v>3761333.23</v>
      </c>
      <c r="L74" s="169">
        <f t="shared" si="22"/>
        <v>30575.999999999996</v>
      </c>
      <c r="M74" s="189">
        <f>'[17]HARVESTING KHT'!$AQ29</f>
        <v>146560</v>
      </c>
      <c r="N74" s="189">
        <f>'[17]HARVESTING KHT'!$U29</f>
        <v>97650</v>
      </c>
      <c r="O74" s="189"/>
      <c r="P74" s="189"/>
      <c r="Q74" s="189"/>
      <c r="R74" s="189">
        <f>'[17]HARVESTING KHT'!$AA29</f>
        <v>186282</v>
      </c>
      <c r="S74" s="189">
        <f>'[17]HARVESTING KHT'!$AB29</f>
        <v>102900</v>
      </c>
      <c r="T74" s="189"/>
      <c r="U74" s="189"/>
      <c r="V74" s="189"/>
      <c r="W74" s="189"/>
      <c r="X74" s="189">
        <f>'[17]HARVESTING KHT'!$Z29</f>
        <v>24000</v>
      </c>
      <c r="Y74" s="189"/>
      <c r="Z74" s="189"/>
      <c r="AA74" s="189"/>
      <c r="AB74" s="189">
        <f>-'[17]HARVESTING KHT'!$BI29</f>
        <v>0</v>
      </c>
      <c r="AC74" s="189"/>
      <c r="AD74" s="189"/>
      <c r="AE74" s="183">
        <f t="shared" si="15"/>
        <v>4349301</v>
      </c>
      <c r="AF74" s="184">
        <f t="shared" si="13"/>
        <v>0</v>
      </c>
      <c r="AG74" s="95">
        <f t="shared" si="23"/>
        <v>0</v>
      </c>
      <c r="AI74" s="199">
        <f>'[17]HARVESTING KHT'!$AL29</f>
        <v>4172165.23</v>
      </c>
      <c r="AJ74" s="200">
        <f t="shared" si="16"/>
        <v>177136</v>
      </c>
      <c r="AK74" s="199">
        <f t="shared" si="18"/>
        <v>4349301.2300000004</v>
      </c>
      <c r="AL74" s="201">
        <f t="shared" si="17"/>
        <v>0.23000000044703484</v>
      </c>
      <c r="AN74" s="200">
        <f t="shared" si="19"/>
        <v>3761333.23</v>
      </c>
      <c r="AO74" s="200">
        <f t="shared" si="20"/>
        <v>410832</v>
      </c>
      <c r="AP74" s="200">
        <f t="shared" si="21"/>
        <v>177136</v>
      </c>
      <c r="AQ74" s="201"/>
    </row>
    <row r="75" spans="2:43" s="173" customFormat="1" ht="24.75" customHeight="1">
      <c r="B75" s="174">
        <v>46</v>
      </c>
      <c r="C75" s="271" t="s">
        <v>372</v>
      </c>
      <c r="D75" s="192" t="s">
        <v>382</v>
      </c>
      <c r="E75" s="195" t="s">
        <v>383</v>
      </c>
      <c r="F75" s="157" t="s">
        <v>384</v>
      </c>
      <c r="G75" s="272" t="s">
        <v>293</v>
      </c>
      <c r="H75" s="187" t="s">
        <v>39</v>
      </c>
      <c r="I75" s="188" t="s">
        <v>9</v>
      </c>
      <c r="J75" s="181" t="str">
        <f t="shared" si="24"/>
        <v>TER B</v>
      </c>
      <c r="K75" s="182">
        <f t="shared" si="14"/>
        <v>3761333.23</v>
      </c>
      <c r="L75" s="169">
        <f t="shared" si="22"/>
        <v>30575.999999999996</v>
      </c>
      <c r="M75" s="189">
        <f>'[17]HARVESTING KHT'!$AQ30</f>
        <v>146560</v>
      </c>
      <c r="N75" s="189">
        <f>'[17]HARVESTING KHT'!$U30</f>
        <v>121500</v>
      </c>
      <c r="O75" s="189"/>
      <c r="P75" s="189"/>
      <c r="Q75" s="189"/>
      <c r="R75" s="189">
        <f>'[17]HARVESTING KHT'!$AA30</f>
        <v>156167</v>
      </c>
      <c r="S75" s="189">
        <f>'[17]HARVESTING KHT'!$AB30</f>
        <v>74550</v>
      </c>
      <c r="T75" s="189"/>
      <c r="U75" s="189"/>
      <c r="V75" s="189"/>
      <c r="W75" s="189"/>
      <c r="X75" s="189">
        <f>'[17]HARVESTING KHT'!$Z30</f>
        <v>24000</v>
      </c>
      <c r="Y75" s="189"/>
      <c r="Z75" s="189"/>
      <c r="AA75" s="189"/>
      <c r="AB75" s="189">
        <f>-'[17]HARVESTING KHT'!$BI30</f>
        <v>-121333.33</v>
      </c>
      <c r="AC75" s="189"/>
      <c r="AD75" s="189"/>
      <c r="AE75" s="183">
        <f t="shared" si="15"/>
        <v>4193352</v>
      </c>
      <c r="AF75" s="184">
        <f t="shared" si="13"/>
        <v>0</v>
      </c>
      <c r="AG75" s="95">
        <f t="shared" si="23"/>
        <v>0</v>
      </c>
      <c r="AI75" s="199">
        <f>'[17]HARVESTING KHT'!$AL30</f>
        <v>4016216.9000000004</v>
      </c>
      <c r="AJ75" s="200">
        <f t="shared" si="16"/>
        <v>177136</v>
      </c>
      <c r="AK75" s="199">
        <f t="shared" si="18"/>
        <v>4193352.9000000004</v>
      </c>
      <c r="AL75" s="201">
        <f t="shared" si="17"/>
        <v>0.90000000037252903</v>
      </c>
      <c r="AN75" s="200">
        <f t="shared" si="19"/>
        <v>3639999.9</v>
      </c>
      <c r="AO75" s="200">
        <f t="shared" si="20"/>
        <v>376217</v>
      </c>
      <c r="AP75" s="200">
        <f t="shared" si="21"/>
        <v>177136</v>
      </c>
      <c r="AQ75" s="201"/>
    </row>
    <row r="76" spans="2:43" s="173" customFormat="1" ht="24.75" customHeight="1">
      <c r="B76" s="174">
        <v>47</v>
      </c>
      <c r="C76" s="271" t="s">
        <v>373</v>
      </c>
      <c r="D76" s="192" t="s">
        <v>385</v>
      </c>
      <c r="E76" s="195" t="s">
        <v>386</v>
      </c>
      <c r="F76" s="157" t="s">
        <v>387</v>
      </c>
      <c r="G76" s="272" t="s">
        <v>293</v>
      </c>
      <c r="H76" s="187" t="s">
        <v>39</v>
      </c>
      <c r="I76" s="188" t="s">
        <v>9</v>
      </c>
      <c r="J76" s="181" t="str">
        <f t="shared" si="24"/>
        <v>TER B</v>
      </c>
      <c r="K76" s="182">
        <f t="shared" si="14"/>
        <v>3761333.23</v>
      </c>
      <c r="L76" s="169">
        <f t="shared" si="22"/>
        <v>30575.999999999996</v>
      </c>
      <c r="M76" s="189">
        <f>'[17]HARVESTING KHT'!$AQ31</f>
        <v>146680</v>
      </c>
      <c r="N76" s="189">
        <f>'[17]HARVESTING KHT'!$U31</f>
        <v>130500</v>
      </c>
      <c r="O76" s="189"/>
      <c r="P76" s="189"/>
      <c r="Q76" s="189"/>
      <c r="R76" s="189">
        <f>'[17]HARVESTING KHT'!$AA31</f>
        <v>128995</v>
      </c>
      <c r="S76" s="189">
        <f>'[17]HARVESTING KHT'!$AB31</f>
        <v>72450</v>
      </c>
      <c r="T76" s="189"/>
      <c r="U76" s="189"/>
      <c r="V76" s="189"/>
      <c r="W76" s="189"/>
      <c r="X76" s="189">
        <f>'[17]HARVESTING KHT'!$Z31</f>
        <v>27000</v>
      </c>
      <c r="Y76" s="189"/>
      <c r="Z76" s="189"/>
      <c r="AA76" s="189"/>
      <c r="AB76" s="189">
        <f>-'[17]HARVESTING KHT'!$BI31</f>
        <v>-242666.66</v>
      </c>
      <c r="AC76" s="189"/>
      <c r="AD76" s="189"/>
      <c r="AE76" s="183">
        <f t="shared" si="15"/>
        <v>4054867</v>
      </c>
      <c r="AF76" s="184">
        <f t="shared" si="13"/>
        <v>0</v>
      </c>
      <c r="AG76" s="95">
        <f t="shared" si="23"/>
        <v>0</v>
      </c>
      <c r="AI76" s="199">
        <f>'[17]HARVESTING KHT'!$AL31</f>
        <v>3877611.57</v>
      </c>
      <c r="AJ76" s="200">
        <f t="shared" si="16"/>
        <v>177256</v>
      </c>
      <c r="AK76" s="199">
        <f t="shared" si="18"/>
        <v>4054867.57</v>
      </c>
      <c r="AL76" s="201">
        <f t="shared" si="17"/>
        <v>0.56999999983236194</v>
      </c>
      <c r="AN76" s="200">
        <f t="shared" si="19"/>
        <v>3518666.57</v>
      </c>
      <c r="AO76" s="200">
        <f t="shared" si="20"/>
        <v>358945</v>
      </c>
      <c r="AP76" s="200">
        <f t="shared" si="21"/>
        <v>177256</v>
      </c>
      <c r="AQ76" s="201"/>
    </row>
    <row r="77" spans="2:43" s="173" customFormat="1" ht="24.75" customHeight="1">
      <c r="B77" s="174">
        <v>48</v>
      </c>
      <c r="C77" s="271" t="s">
        <v>354</v>
      </c>
      <c r="D77" s="192" t="s">
        <v>367</v>
      </c>
      <c r="E77" s="195" t="s">
        <v>355</v>
      </c>
      <c r="F77" s="157" t="s">
        <v>368</v>
      </c>
      <c r="G77" s="272" t="s">
        <v>185</v>
      </c>
      <c r="H77" s="187" t="s">
        <v>38</v>
      </c>
      <c r="I77" s="188" t="s">
        <v>7</v>
      </c>
      <c r="J77" s="181" t="str">
        <f t="shared" si="24"/>
        <v>TER A</v>
      </c>
      <c r="K77" s="182">
        <f t="shared" si="14"/>
        <v>3761333.23</v>
      </c>
      <c r="L77" s="189">
        <f t="shared" si="22"/>
        <v>30575.999999999996</v>
      </c>
      <c r="M77" s="189">
        <f>[17]MAINTENANCE!$AK31</f>
        <v>146680</v>
      </c>
      <c r="N77" s="189">
        <f>[17]MAINTENANCE!$W31</f>
        <v>69750</v>
      </c>
      <c r="O77" s="189"/>
      <c r="P77" s="189"/>
      <c r="Q77" s="189"/>
      <c r="R77" s="189"/>
      <c r="S77" s="189"/>
      <c r="T77" s="189"/>
      <c r="U77" s="189"/>
      <c r="V77" s="189"/>
      <c r="W77" s="189"/>
      <c r="X77" s="189">
        <f>[17]MAINTENANCE!$AB31</f>
        <v>27000</v>
      </c>
      <c r="Y77" s="189"/>
      <c r="Z77" s="189"/>
      <c r="AA77" s="189"/>
      <c r="AB77" s="189">
        <f>-[17]MAINTENANCE!$BA31</f>
        <v>0</v>
      </c>
      <c r="AC77" s="189"/>
      <c r="AD77" s="189"/>
      <c r="AE77" s="183">
        <f t="shared" si="15"/>
        <v>4035339</v>
      </c>
      <c r="AF77" s="184">
        <f t="shared" si="13"/>
        <v>0</v>
      </c>
      <c r="AG77" s="95">
        <f t="shared" si="23"/>
        <v>0</v>
      </c>
      <c r="AI77" s="199">
        <f>[17]MAINTENANCE!$AF31</f>
        <v>3858083.23</v>
      </c>
      <c r="AJ77" s="200">
        <f t="shared" si="16"/>
        <v>177256</v>
      </c>
      <c r="AK77" s="199">
        <f t="shared" si="18"/>
        <v>4035339.23</v>
      </c>
      <c r="AL77" s="201">
        <f t="shared" si="17"/>
        <v>0.22999999998137355</v>
      </c>
      <c r="AN77" s="200">
        <f t="shared" si="19"/>
        <v>3761333.23</v>
      </c>
      <c r="AO77" s="200">
        <f t="shared" si="20"/>
        <v>96750</v>
      </c>
      <c r="AP77" s="200">
        <f t="shared" si="21"/>
        <v>177256</v>
      </c>
      <c r="AQ77" s="201"/>
    </row>
    <row r="78" spans="2:43" s="173" customFormat="1" ht="24.75" customHeight="1">
      <c r="B78" s="174">
        <v>49</v>
      </c>
      <c r="C78" s="271" t="s">
        <v>389</v>
      </c>
      <c r="D78" s="192" t="s">
        <v>404</v>
      </c>
      <c r="E78" s="195" t="s">
        <v>395</v>
      </c>
      <c r="F78" s="157" t="s">
        <v>396</v>
      </c>
      <c r="G78" s="272" t="s">
        <v>185</v>
      </c>
      <c r="H78" s="187" t="s">
        <v>39</v>
      </c>
      <c r="I78" s="188" t="s">
        <v>11</v>
      </c>
      <c r="J78" s="181" t="str">
        <f t="shared" si="24"/>
        <v>TER B</v>
      </c>
      <c r="K78" s="182">
        <f t="shared" si="14"/>
        <v>3761333.23</v>
      </c>
      <c r="L78" s="189">
        <f t="shared" si="22"/>
        <v>30575.999999999996</v>
      </c>
      <c r="M78" s="189">
        <f>[17]MAINTENANCE!$AK32</f>
        <v>148040</v>
      </c>
      <c r="N78" s="189">
        <f>[17]MAINTENANCE!$W32</f>
        <v>162000</v>
      </c>
      <c r="O78" s="189"/>
      <c r="P78" s="189"/>
      <c r="Q78" s="189"/>
      <c r="R78" s="189"/>
      <c r="S78" s="189"/>
      <c r="T78" s="189"/>
      <c r="U78" s="189"/>
      <c r="V78" s="189"/>
      <c r="W78" s="189"/>
      <c r="X78" s="189">
        <f>[17]MAINTENANCE!$AB32</f>
        <v>61000</v>
      </c>
      <c r="Y78" s="189"/>
      <c r="Z78" s="189"/>
      <c r="AA78" s="189"/>
      <c r="AB78" s="189">
        <f>-[17]MAINTENANCE!$BA32</f>
        <v>-121333.33</v>
      </c>
      <c r="AC78" s="189"/>
      <c r="AD78" s="189"/>
      <c r="AE78" s="183">
        <f t="shared" si="15"/>
        <v>4041615</v>
      </c>
      <c r="AF78" s="184">
        <f>IF(J78="TER A",VLOOKUP(AE78,Ter_A,4,TRUE),IF(J78="TER B",VLOOKUP(AE78,Ter_B,4,TRUE),VLOOKUP(AE78,Ter_C,4,TRUE)))</f>
        <v>0</v>
      </c>
      <c r="AG78" s="95">
        <f t="shared" si="23"/>
        <v>0</v>
      </c>
      <c r="AI78" s="199">
        <f>[17]MAINTENANCE!$AF32</f>
        <v>3862999.9000000004</v>
      </c>
      <c r="AJ78" s="200">
        <f t="shared" si="16"/>
        <v>178616</v>
      </c>
      <c r="AK78" s="199">
        <f t="shared" si="18"/>
        <v>4041615.9000000004</v>
      </c>
      <c r="AL78" s="201">
        <f t="shared" si="17"/>
        <v>0.90000000037252903</v>
      </c>
      <c r="AN78" s="200">
        <f t="shared" si="19"/>
        <v>3639999.9</v>
      </c>
      <c r="AO78" s="200">
        <f t="shared" si="20"/>
        <v>223000</v>
      </c>
      <c r="AP78" s="200">
        <f t="shared" si="21"/>
        <v>178616</v>
      </c>
      <c r="AQ78" s="201"/>
    </row>
    <row r="79" spans="2:43" s="173" customFormat="1" ht="24.75" customHeight="1">
      <c r="B79" s="174">
        <v>50</v>
      </c>
      <c r="C79" s="271" t="s">
        <v>390</v>
      </c>
      <c r="D79" s="192" t="s">
        <v>405</v>
      </c>
      <c r="E79" s="195" t="s">
        <v>397</v>
      </c>
      <c r="F79" s="157" t="s">
        <v>398</v>
      </c>
      <c r="G79" s="272" t="s">
        <v>185</v>
      </c>
      <c r="H79" s="187" t="s">
        <v>38</v>
      </c>
      <c r="I79" s="188" t="s">
        <v>7</v>
      </c>
      <c r="J79" s="181" t="str">
        <f t="shared" si="24"/>
        <v>TER A</v>
      </c>
      <c r="K79" s="182">
        <f t="shared" si="14"/>
        <v>3761333.23</v>
      </c>
      <c r="L79" s="189">
        <f t="shared" si="22"/>
        <v>30575.999999999996</v>
      </c>
      <c r="M79" s="189">
        <f>[17]MAINTENANCE!$AK33</f>
        <v>146800</v>
      </c>
      <c r="N79" s="189">
        <f>[17]MAINTENANCE!$W33</f>
        <v>69750</v>
      </c>
      <c r="O79" s="189"/>
      <c r="P79" s="189"/>
      <c r="Q79" s="189"/>
      <c r="R79" s="189"/>
      <c r="S79" s="189"/>
      <c r="T79" s="189"/>
      <c r="U79" s="189"/>
      <c r="V79" s="189"/>
      <c r="W79" s="189"/>
      <c r="X79" s="189">
        <f>[17]MAINTENANCE!$AB33</f>
        <v>30000</v>
      </c>
      <c r="Y79" s="189"/>
      <c r="Z79" s="189"/>
      <c r="AA79" s="189"/>
      <c r="AB79" s="189">
        <f>-[17]MAINTENANCE!$BA33</f>
        <v>0</v>
      </c>
      <c r="AC79" s="189"/>
      <c r="AD79" s="189"/>
      <c r="AE79" s="183">
        <f t="shared" si="15"/>
        <v>4038459</v>
      </c>
      <c r="AF79" s="184">
        <f t="shared" si="13"/>
        <v>0</v>
      </c>
      <c r="AG79" s="95">
        <f t="shared" si="23"/>
        <v>0</v>
      </c>
      <c r="AI79" s="199">
        <f>[17]MAINTENANCE!$AF33</f>
        <v>3861083.23</v>
      </c>
      <c r="AJ79" s="200">
        <f t="shared" si="16"/>
        <v>177376</v>
      </c>
      <c r="AK79" s="199">
        <f t="shared" si="18"/>
        <v>4038459.23</v>
      </c>
      <c r="AL79" s="201">
        <f t="shared" si="17"/>
        <v>0.22999999998137355</v>
      </c>
      <c r="AN79" s="200">
        <f t="shared" si="19"/>
        <v>3761333.23</v>
      </c>
      <c r="AO79" s="200">
        <f t="shared" si="20"/>
        <v>99750</v>
      </c>
      <c r="AP79" s="200">
        <f t="shared" si="21"/>
        <v>177376</v>
      </c>
      <c r="AQ79" s="201"/>
    </row>
    <row r="80" spans="2:43" s="173" customFormat="1" ht="24.75" customHeight="1">
      <c r="B80" s="174">
        <v>51</v>
      </c>
      <c r="C80" s="271" t="s">
        <v>391</v>
      </c>
      <c r="D80" s="192" t="s">
        <v>406</v>
      </c>
      <c r="E80" s="195" t="s">
        <v>399</v>
      </c>
      <c r="F80" s="157" t="s">
        <v>400</v>
      </c>
      <c r="G80" s="272" t="s">
        <v>185</v>
      </c>
      <c r="H80" s="187" t="s">
        <v>38</v>
      </c>
      <c r="I80" s="188" t="s">
        <v>7</v>
      </c>
      <c r="J80" s="181" t="str">
        <f t="shared" si="24"/>
        <v>TER A</v>
      </c>
      <c r="K80" s="182">
        <f t="shared" si="14"/>
        <v>3761333.23</v>
      </c>
      <c r="L80" s="189">
        <f t="shared" si="22"/>
        <v>30575.999999999996</v>
      </c>
      <c r="M80" s="189">
        <f>[17]MAINTENANCE!$AK34</f>
        <v>147480</v>
      </c>
      <c r="N80" s="189">
        <f>[17]MAINTENANCE!$W34</f>
        <v>69750</v>
      </c>
      <c r="O80" s="189"/>
      <c r="P80" s="189"/>
      <c r="Q80" s="189"/>
      <c r="R80" s="189"/>
      <c r="S80" s="189"/>
      <c r="T80" s="189"/>
      <c r="U80" s="189"/>
      <c r="V80" s="189"/>
      <c r="W80" s="189"/>
      <c r="X80" s="189">
        <f>[17]MAINTENANCE!$AB34</f>
        <v>47000</v>
      </c>
      <c r="Y80" s="189"/>
      <c r="Z80" s="189"/>
      <c r="AA80" s="189"/>
      <c r="AB80" s="189">
        <f>-[17]MAINTENANCE!$BA34</f>
        <v>0</v>
      </c>
      <c r="AC80" s="189"/>
      <c r="AD80" s="189"/>
      <c r="AE80" s="183">
        <f t="shared" si="15"/>
        <v>4056139</v>
      </c>
      <c r="AF80" s="184">
        <f t="shared" si="13"/>
        <v>0</v>
      </c>
      <c r="AG80" s="95">
        <f t="shared" si="23"/>
        <v>0</v>
      </c>
      <c r="AI80" s="199">
        <f>[17]MAINTENANCE!$AF34</f>
        <v>3878083.23</v>
      </c>
      <c r="AJ80" s="200">
        <f t="shared" si="16"/>
        <v>178056</v>
      </c>
      <c r="AK80" s="199">
        <f t="shared" si="18"/>
        <v>4056139.23</v>
      </c>
      <c r="AL80" s="201">
        <f t="shared" si="17"/>
        <v>0.22999999998137355</v>
      </c>
      <c r="AN80" s="200">
        <f t="shared" si="19"/>
        <v>3761333.23</v>
      </c>
      <c r="AO80" s="200">
        <f t="shared" si="20"/>
        <v>116750</v>
      </c>
      <c r="AP80" s="200">
        <f t="shared" si="21"/>
        <v>178056</v>
      </c>
      <c r="AQ80" s="201"/>
    </row>
    <row r="81" spans="2:43" s="173" customFormat="1" ht="24.75" customHeight="1">
      <c r="B81" s="174">
        <v>52</v>
      </c>
      <c r="C81" s="271" t="s">
        <v>392</v>
      </c>
      <c r="D81" s="192" t="s">
        <v>407</v>
      </c>
      <c r="E81" s="195" t="s">
        <v>401</v>
      </c>
      <c r="F81" s="157" t="s">
        <v>402</v>
      </c>
      <c r="G81" s="272" t="s">
        <v>185</v>
      </c>
      <c r="H81" s="187" t="s">
        <v>39</v>
      </c>
      <c r="I81" s="188" t="s">
        <v>9</v>
      </c>
      <c r="J81" s="181" t="str">
        <f t="shared" si="24"/>
        <v>TER B</v>
      </c>
      <c r="K81" s="182">
        <f t="shared" si="14"/>
        <v>3761333.23</v>
      </c>
      <c r="L81" s="189">
        <f t="shared" si="22"/>
        <v>30575.999999999996</v>
      </c>
      <c r="M81" s="189">
        <f>[17]MAINTENANCE!$AK35</f>
        <v>146320</v>
      </c>
      <c r="N81" s="189">
        <f>[17]MAINTENANCE!$W35</f>
        <v>139500</v>
      </c>
      <c r="O81" s="189"/>
      <c r="P81" s="189"/>
      <c r="Q81" s="189"/>
      <c r="R81" s="189"/>
      <c r="S81" s="189"/>
      <c r="T81" s="189"/>
      <c r="U81" s="189"/>
      <c r="V81" s="189"/>
      <c r="W81" s="189"/>
      <c r="X81" s="189">
        <f>[17]MAINTENANCE!$AB35</f>
        <v>18000</v>
      </c>
      <c r="Y81" s="189"/>
      <c r="Z81" s="189"/>
      <c r="AA81" s="189"/>
      <c r="AB81" s="189">
        <f>-[17]MAINTENANCE!$BA35</f>
        <v>0</v>
      </c>
      <c r="AC81" s="189"/>
      <c r="AD81" s="189"/>
      <c r="AE81" s="183">
        <f t="shared" si="15"/>
        <v>4095729</v>
      </c>
      <c r="AF81" s="184">
        <f t="shared" si="13"/>
        <v>0</v>
      </c>
      <c r="AG81" s="95">
        <f t="shared" si="23"/>
        <v>0</v>
      </c>
      <c r="AI81" s="199">
        <f>[17]MAINTENANCE!$AF35</f>
        <v>3918833.2300000004</v>
      </c>
      <c r="AJ81" s="200">
        <f t="shared" si="16"/>
        <v>176896</v>
      </c>
      <c r="AK81" s="199">
        <f t="shared" si="18"/>
        <v>4095729.2300000004</v>
      </c>
      <c r="AL81" s="201">
        <f t="shared" si="17"/>
        <v>0.23000000044703484</v>
      </c>
      <c r="AN81" s="200">
        <f t="shared" si="19"/>
        <v>3761333.23</v>
      </c>
      <c r="AO81" s="200">
        <f t="shared" si="20"/>
        <v>157500</v>
      </c>
      <c r="AP81" s="200">
        <f t="shared" si="21"/>
        <v>176896</v>
      </c>
      <c r="AQ81" s="201"/>
    </row>
    <row r="82" spans="2:43" s="173" customFormat="1" ht="24.75" customHeight="1">
      <c r="B82" s="174">
        <v>53</v>
      </c>
      <c r="C82" s="271" t="s">
        <v>393</v>
      </c>
      <c r="D82" s="192" t="s">
        <v>408</v>
      </c>
      <c r="E82" s="195" t="s">
        <v>74</v>
      </c>
      <c r="F82" s="157" t="s">
        <v>403</v>
      </c>
      <c r="G82" s="272" t="s">
        <v>293</v>
      </c>
      <c r="H82" s="187" t="s">
        <v>39</v>
      </c>
      <c r="I82" s="188" t="s">
        <v>9</v>
      </c>
      <c r="J82" s="181" t="str">
        <f t="shared" si="24"/>
        <v>TER B</v>
      </c>
      <c r="K82" s="189">
        <f t="shared" si="14"/>
        <v>3761333.23</v>
      </c>
      <c r="L82" s="189">
        <f t="shared" si="22"/>
        <v>30575.999999999996</v>
      </c>
      <c r="M82" s="189">
        <f>'[17]HARVESTING KHT'!$AQ32</f>
        <v>146100</v>
      </c>
      <c r="N82" s="189">
        <f>'[17]HARVESTING KHT'!$U32</f>
        <v>139500</v>
      </c>
      <c r="O82" s="189"/>
      <c r="P82" s="189"/>
      <c r="Q82" s="189"/>
      <c r="R82" s="189">
        <f>'[17]HARVESTING KHT'!$AA32</f>
        <v>211923</v>
      </c>
      <c r="S82" s="189">
        <f>'[17]HARVESTING KHT'!$AB32</f>
        <v>105000</v>
      </c>
      <c r="T82" s="189"/>
      <c r="U82" s="189"/>
      <c r="V82" s="189"/>
      <c r="W82" s="189"/>
      <c r="X82" s="189">
        <f>'[17]HARVESTING KHT'!$Z32</f>
        <v>12500</v>
      </c>
      <c r="Y82" s="189"/>
      <c r="Z82" s="189"/>
      <c r="AA82" s="189"/>
      <c r="AB82" s="189">
        <f>-'[17]HARVESTING KHT'!$BI32</f>
        <v>0</v>
      </c>
      <c r="AC82" s="189"/>
      <c r="AD82" s="189"/>
      <c r="AE82" s="183">
        <f t="shared" si="15"/>
        <v>4406932</v>
      </c>
      <c r="AF82" s="184">
        <f t="shared" si="13"/>
        <v>0</v>
      </c>
      <c r="AG82" s="95">
        <f t="shared" si="23"/>
        <v>0</v>
      </c>
      <c r="AI82" s="199">
        <f>'[17]HARVESTING KHT'!$AL32</f>
        <v>4230256.2300000004</v>
      </c>
      <c r="AJ82" s="200">
        <f>L82+M82</f>
        <v>176676</v>
      </c>
      <c r="AK82" s="199">
        <f t="shared" si="18"/>
        <v>4406932.2300000004</v>
      </c>
      <c r="AL82" s="201">
        <f t="shared" si="17"/>
        <v>0.23000000044703484</v>
      </c>
      <c r="AN82" s="200">
        <f t="shared" si="19"/>
        <v>3761333.23</v>
      </c>
      <c r="AO82" s="200">
        <f t="shared" si="20"/>
        <v>468923</v>
      </c>
      <c r="AP82" s="200">
        <f t="shared" si="21"/>
        <v>176676</v>
      </c>
      <c r="AQ82" s="201"/>
    </row>
    <row r="83" spans="2:43" s="173" customFormat="1" ht="24.75" customHeight="1">
      <c r="B83" s="174">
        <v>54</v>
      </c>
      <c r="C83" s="271" t="s">
        <v>410</v>
      </c>
      <c r="D83" s="192" t="s">
        <v>442</v>
      </c>
      <c r="E83" s="195">
        <v>972376990305000</v>
      </c>
      <c r="F83" s="157" t="s">
        <v>443</v>
      </c>
      <c r="G83" s="272" t="s">
        <v>426</v>
      </c>
      <c r="H83" s="311" t="s">
        <v>38</v>
      </c>
      <c r="I83" s="51" t="s">
        <v>7</v>
      </c>
      <c r="J83" s="181" t="str">
        <f t="shared" si="24"/>
        <v>TER A</v>
      </c>
      <c r="K83" s="189">
        <f t="shared" si="14"/>
        <v>3761333.23</v>
      </c>
      <c r="L83" s="189">
        <f t="shared" si="22"/>
        <v>30575.999999999996</v>
      </c>
      <c r="M83" s="189">
        <f>[17]MAINTENANCE!$AK36</f>
        <v>147620</v>
      </c>
      <c r="N83" s="189">
        <f>[17]MAINTENANCE!$W36</f>
        <v>58500</v>
      </c>
      <c r="O83" s="189"/>
      <c r="P83" s="189"/>
      <c r="Q83" s="189"/>
      <c r="R83" s="189"/>
      <c r="S83" s="189"/>
      <c r="T83" s="189"/>
      <c r="U83" s="189"/>
      <c r="V83" s="189"/>
      <c r="W83" s="189"/>
      <c r="X83" s="189">
        <f>[17]MAINTENANCE!$AB36</f>
        <v>50500</v>
      </c>
      <c r="Y83" s="189"/>
      <c r="Z83" s="189"/>
      <c r="AA83" s="189"/>
      <c r="AB83" s="189">
        <f>-[17]MAINTENANCE!$BA36</f>
        <v>-606666.65</v>
      </c>
      <c r="AC83" s="189"/>
      <c r="AD83" s="189"/>
      <c r="AE83" s="183">
        <f t="shared" si="15"/>
        <v>3441862</v>
      </c>
      <c r="AF83" s="184">
        <f t="shared" si="13"/>
        <v>0</v>
      </c>
      <c r="AG83" s="95">
        <f t="shared" si="23"/>
        <v>0</v>
      </c>
      <c r="AI83" s="199">
        <f>[17]MAINTENANCE!$AF36</f>
        <v>3263666.58</v>
      </c>
      <c r="AJ83" s="200">
        <f t="shared" ref="AJ83:AJ93" si="25">L83+M83</f>
        <v>178196</v>
      </c>
      <c r="AK83" s="199">
        <f t="shared" si="18"/>
        <v>3441862.58</v>
      </c>
      <c r="AL83" s="201">
        <f t="shared" si="17"/>
        <v>0.58000000007450581</v>
      </c>
      <c r="AN83" s="200">
        <f t="shared" si="19"/>
        <v>3154666.58</v>
      </c>
      <c r="AO83" s="200">
        <f t="shared" si="20"/>
        <v>109000</v>
      </c>
      <c r="AP83" s="200">
        <f t="shared" si="21"/>
        <v>178196</v>
      </c>
      <c r="AQ83" s="201"/>
    </row>
    <row r="84" spans="2:43" s="173" customFormat="1" ht="24.75" customHeight="1">
      <c r="B84" s="174">
        <v>55</v>
      </c>
      <c r="C84" s="271" t="s">
        <v>411</v>
      </c>
      <c r="D84" s="192" t="s">
        <v>444</v>
      </c>
      <c r="E84" s="195">
        <v>972377113305000</v>
      </c>
      <c r="F84" s="157" t="s">
        <v>445</v>
      </c>
      <c r="G84" s="272" t="s">
        <v>426</v>
      </c>
      <c r="H84" s="311" t="s">
        <v>39</v>
      </c>
      <c r="I84" s="51" t="s">
        <v>9</v>
      </c>
      <c r="J84" s="181" t="str">
        <f t="shared" si="24"/>
        <v>TER B</v>
      </c>
      <c r="K84" s="189">
        <f t="shared" si="14"/>
        <v>3761333.23</v>
      </c>
      <c r="L84" s="189">
        <f t="shared" si="22"/>
        <v>30575.999999999996</v>
      </c>
      <c r="M84" s="189">
        <f>[17]MAINTENANCE!$AK37</f>
        <v>147040</v>
      </c>
      <c r="N84" s="189">
        <f>[17]MAINTENANCE!$W37</f>
        <v>135000</v>
      </c>
      <c r="O84" s="189"/>
      <c r="P84" s="189"/>
      <c r="Q84" s="189"/>
      <c r="R84" s="189"/>
      <c r="S84" s="189"/>
      <c r="T84" s="189"/>
      <c r="U84" s="189"/>
      <c r="V84" s="189"/>
      <c r="W84" s="189"/>
      <c r="X84" s="189">
        <f>[17]MAINTENANCE!$AB37</f>
        <v>36000</v>
      </c>
      <c r="Y84" s="189"/>
      <c r="Z84" s="189"/>
      <c r="AA84" s="189"/>
      <c r="AB84" s="189">
        <f>-[17]MAINTENANCE!$BA37</f>
        <v>-121333.33</v>
      </c>
      <c r="AC84" s="189"/>
      <c r="AD84" s="189"/>
      <c r="AE84" s="183">
        <f t="shared" si="15"/>
        <v>3988615</v>
      </c>
      <c r="AF84" s="184">
        <f t="shared" si="13"/>
        <v>0</v>
      </c>
      <c r="AG84" s="95">
        <f t="shared" si="23"/>
        <v>0</v>
      </c>
      <c r="AI84" s="199">
        <f>[17]MAINTENANCE!$AF37</f>
        <v>3810999.9000000004</v>
      </c>
      <c r="AJ84" s="200">
        <f t="shared" si="25"/>
        <v>177616</v>
      </c>
      <c r="AK84" s="199">
        <f t="shared" si="18"/>
        <v>3988615.9000000004</v>
      </c>
      <c r="AL84" s="201">
        <f t="shared" si="17"/>
        <v>0.90000000037252903</v>
      </c>
      <c r="AN84" s="200">
        <f t="shared" si="19"/>
        <v>3639999.9</v>
      </c>
      <c r="AO84" s="200">
        <f t="shared" si="20"/>
        <v>171000</v>
      </c>
      <c r="AP84" s="200">
        <f t="shared" si="21"/>
        <v>177616</v>
      </c>
      <c r="AQ84" s="201"/>
    </row>
    <row r="85" spans="2:43" s="173" customFormat="1" ht="24.75" customHeight="1">
      <c r="B85" s="174">
        <v>56</v>
      </c>
      <c r="C85" s="271" t="s">
        <v>412</v>
      </c>
      <c r="D85" s="192" t="s">
        <v>436</v>
      </c>
      <c r="E85" s="195">
        <v>909302556305000</v>
      </c>
      <c r="F85" s="157" t="s">
        <v>437</v>
      </c>
      <c r="G85" s="272" t="s">
        <v>426</v>
      </c>
      <c r="H85" s="311" t="s">
        <v>39</v>
      </c>
      <c r="I85" s="51" t="s">
        <v>11</v>
      </c>
      <c r="J85" s="181" t="str">
        <f t="shared" si="24"/>
        <v>TER B</v>
      </c>
      <c r="K85" s="189">
        <f t="shared" si="14"/>
        <v>3761333.23</v>
      </c>
      <c r="L85" s="189">
        <f t="shared" si="22"/>
        <v>30575.999999999996</v>
      </c>
      <c r="M85" s="189">
        <f>[17]MAINTENANCE!$AK38</f>
        <v>146320</v>
      </c>
      <c r="N85" s="189">
        <f>[17]MAINTENANCE!$W38</f>
        <v>135000</v>
      </c>
      <c r="O85" s="189"/>
      <c r="P85" s="189">
        <f>[17]MAINTENANCE!$AE$38</f>
        <v>168323.68</v>
      </c>
      <c r="Q85" s="189"/>
      <c r="R85" s="189"/>
      <c r="S85" s="189"/>
      <c r="T85" s="189"/>
      <c r="U85" s="189"/>
      <c r="V85" s="189"/>
      <c r="W85" s="189"/>
      <c r="X85" s="189">
        <f>[17]MAINTENANCE!$AB38</f>
        <v>18000</v>
      </c>
      <c r="Y85" s="189"/>
      <c r="Z85" s="189"/>
      <c r="AA85" s="189"/>
      <c r="AB85" s="189">
        <f>-[17]MAINTENANCE!$BA38</f>
        <v>-121333.33</v>
      </c>
      <c r="AC85" s="189"/>
      <c r="AD85" s="189"/>
      <c r="AE85" s="183">
        <f t="shared" si="15"/>
        <v>4138219</v>
      </c>
      <c r="AF85" s="184">
        <f t="shared" si="13"/>
        <v>0</v>
      </c>
      <c r="AG85" s="95">
        <f t="shared" si="23"/>
        <v>0</v>
      </c>
      <c r="AI85" s="199">
        <f>[17]MAINTENANCE!$AF38</f>
        <v>3961323.58</v>
      </c>
      <c r="AJ85" s="200">
        <f t="shared" si="25"/>
        <v>176896</v>
      </c>
      <c r="AK85" s="199">
        <f t="shared" si="18"/>
        <v>4138219.58</v>
      </c>
      <c r="AL85" s="201">
        <f t="shared" si="17"/>
        <v>0.58000000007450581</v>
      </c>
      <c r="AN85" s="200">
        <f t="shared" si="19"/>
        <v>3639999.9</v>
      </c>
      <c r="AO85" s="310">
        <f t="shared" si="20"/>
        <v>321323.68</v>
      </c>
      <c r="AP85" s="200">
        <f t="shared" si="21"/>
        <v>176896</v>
      </c>
      <c r="AQ85" s="201"/>
    </row>
    <row r="86" spans="2:43" s="173" customFormat="1" ht="24.75" customHeight="1">
      <c r="B86" s="174">
        <v>57</v>
      </c>
      <c r="C86" s="271" t="s">
        <v>413</v>
      </c>
      <c r="D86" s="192" t="s">
        <v>431</v>
      </c>
      <c r="E86" s="195">
        <v>972376818305000</v>
      </c>
      <c r="F86" s="157" t="s">
        <v>432</v>
      </c>
      <c r="G86" s="272" t="s">
        <v>426</v>
      </c>
      <c r="H86" s="311" t="s">
        <v>38</v>
      </c>
      <c r="I86" s="51" t="s">
        <v>7</v>
      </c>
      <c r="J86" s="181" t="str">
        <f t="shared" si="24"/>
        <v>TER A</v>
      </c>
      <c r="K86" s="189">
        <f t="shared" si="14"/>
        <v>3761333.23</v>
      </c>
      <c r="L86" s="189">
        <f t="shared" si="22"/>
        <v>30575.999999999996</v>
      </c>
      <c r="M86" s="189">
        <f>[17]MAINTENANCE!$AK39</f>
        <v>147480</v>
      </c>
      <c r="N86" s="189">
        <f>[17]MAINTENANCE!$W39</f>
        <v>94500</v>
      </c>
      <c r="O86" s="189"/>
      <c r="P86" s="189"/>
      <c r="Q86" s="189"/>
      <c r="R86" s="189"/>
      <c r="S86" s="189"/>
      <c r="T86" s="189"/>
      <c r="U86" s="189"/>
      <c r="V86" s="189"/>
      <c r="W86" s="189"/>
      <c r="X86" s="189">
        <f>[17]MAINTENANCE!$AB39</f>
        <v>47000</v>
      </c>
      <c r="Y86" s="189"/>
      <c r="Z86" s="189"/>
      <c r="AA86" s="189"/>
      <c r="AB86" s="189">
        <f>-[17]MAINTENANCE!$BA39</f>
        <v>-121333.33</v>
      </c>
      <c r="AC86" s="189"/>
      <c r="AD86" s="189"/>
      <c r="AE86" s="183">
        <f t="shared" si="15"/>
        <v>3959555</v>
      </c>
      <c r="AF86" s="184">
        <f t="shared" si="13"/>
        <v>0</v>
      </c>
      <c r="AG86" s="95">
        <f t="shared" si="23"/>
        <v>0</v>
      </c>
      <c r="AI86" s="199">
        <f>[17]MAINTENANCE!$AF39</f>
        <v>3781499.9</v>
      </c>
      <c r="AJ86" s="200">
        <f t="shared" si="25"/>
        <v>178056</v>
      </c>
      <c r="AK86" s="199">
        <f t="shared" si="18"/>
        <v>3959555.9</v>
      </c>
      <c r="AL86" s="201">
        <f t="shared" si="17"/>
        <v>0.89999999990686774</v>
      </c>
      <c r="AN86" s="200">
        <f t="shared" si="19"/>
        <v>3639999.9</v>
      </c>
      <c r="AO86" s="200">
        <f t="shared" si="20"/>
        <v>141500</v>
      </c>
      <c r="AP86" s="200">
        <f t="shared" si="21"/>
        <v>178056</v>
      </c>
      <c r="AQ86" s="201"/>
    </row>
    <row r="87" spans="2:43" s="173" customFormat="1" ht="24.75" customHeight="1">
      <c r="B87" s="174">
        <v>58</v>
      </c>
      <c r="C87" s="271" t="s">
        <v>414</v>
      </c>
      <c r="D87" s="192" t="s">
        <v>424</v>
      </c>
      <c r="E87" s="195">
        <v>972375315305000</v>
      </c>
      <c r="F87" s="157" t="s">
        <v>425</v>
      </c>
      <c r="G87" s="272" t="s">
        <v>426</v>
      </c>
      <c r="H87" s="311" t="s">
        <v>38</v>
      </c>
      <c r="I87" s="51" t="s">
        <v>7</v>
      </c>
      <c r="J87" s="181" t="str">
        <f t="shared" si="24"/>
        <v>TER A</v>
      </c>
      <c r="K87" s="189">
        <f t="shared" si="14"/>
        <v>3761333.23</v>
      </c>
      <c r="L87" s="189">
        <f t="shared" si="22"/>
        <v>30575.999999999996</v>
      </c>
      <c r="M87" s="189">
        <f>[17]MAINTENANCE!$AK40</f>
        <v>146440</v>
      </c>
      <c r="N87" s="189">
        <f>[17]MAINTENANCE!$W40</f>
        <v>67500</v>
      </c>
      <c r="O87" s="189"/>
      <c r="P87" s="189"/>
      <c r="Q87" s="189"/>
      <c r="R87" s="189"/>
      <c r="S87" s="189"/>
      <c r="T87" s="189"/>
      <c r="U87" s="189"/>
      <c r="V87" s="189"/>
      <c r="W87" s="189"/>
      <c r="X87" s="189">
        <f>[17]MAINTENANCE!$AB40</f>
        <v>21000</v>
      </c>
      <c r="Y87" s="189"/>
      <c r="Z87" s="189"/>
      <c r="AA87" s="189"/>
      <c r="AB87" s="189">
        <f>-[17]MAINTENANCE!$BA40</f>
        <v>-121333.33</v>
      </c>
      <c r="AC87" s="189"/>
      <c r="AD87" s="189"/>
      <c r="AE87" s="183">
        <f t="shared" si="15"/>
        <v>3905515</v>
      </c>
      <c r="AF87" s="184">
        <f t="shared" si="13"/>
        <v>0</v>
      </c>
      <c r="AG87" s="95">
        <f t="shared" si="23"/>
        <v>0</v>
      </c>
      <c r="AI87" s="199">
        <f>[17]MAINTENANCE!$AF40</f>
        <v>3728499.9000000004</v>
      </c>
      <c r="AJ87" s="200">
        <f t="shared" si="25"/>
        <v>177016</v>
      </c>
      <c r="AK87" s="199">
        <f t="shared" si="18"/>
        <v>3905515.9000000004</v>
      </c>
      <c r="AL87" s="201">
        <f t="shared" si="17"/>
        <v>0.90000000037252903</v>
      </c>
      <c r="AN87" s="200">
        <f t="shared" si="19"/>
        <v>3639999.9</v>
      </c>
      <c r="AO87" s="200">
        <f t="shared" si="20"/>
        <v>88500</v>
      </c>
      <c r="AP87" s="200">
        <f t="shared" si="21"/>
        <v>177016</v>
      </c>
      <c r="AQ87" s="201"/>
    </row>
    <row r="88" spans="2:43" s="173" customFormat="1" ht="24.75" customHeight="1">
      <c r="B88" s="174">
        <v>59</v>
      </c>
      <c r="C88" s="271" t="s">
        <v>415</v>
      </c>
      <c r="D88" s="192" t="s">
        <v>427</v>
      </c>
      <c r="E88" s="195">
        <v>808289870305000</v>
      </c>
      <c r="F88" s="157" t="s">
        <v>428</v>
      </c>
      <c r="G88" s="272" t="s">
        <v>426</v>
      </c>
      <c r="H88" s="311" t="s">
        <v>38</v>
      </c>
      <c r="I88" s="51" t="s">
        <v>7</v>
      </c>
      <c r="J88" s="181" t="str">
        <f t="shared" si="24"/>
        <v>TER A</v>
      </c>
      <c r="K88" s="189">
        <f t="shared" si="14"/>
        <v>3761333.23</v>
      </c>
      <c r="L88" s="189">
        <f t="shared" si="22"/>
        <v>30575.999999999996</v>
      </c>
      <c r="M88" s="189">
        <f>[17]MAINTENANCE!$AK41</f>
        <v>146320</v>
      </c>
      <c r="N88" s="189">
        <f>[17]MAINTENANCE!$W41</f>
        <v>69750</v>
      </c>
      <c r="O88" s="189"/>
      <c r="P88" s="189"/>
      <c r="Q88" s="189"/>
      <c r="R88" s="189"/>
      <c r="S88" s="189"/>
      <c r="T88" s="189"/>
      <c r="U88" s="189"/>
      <c r="V88" s="189"/>
      <c r="W88" s="189"/>
      <c r="X88" s="189">
        <f>[17]MAINTENANCE!$AB41</f>
        <v>18000</v>
      </c>
      <c r="Y88" s="189"/>
      <c r="Z88" s="189"/>
      <c r="AA88" s="189"/>
      <c r="AB88" s="189">
        <f>-[17]MAINTENANCE!$BA41</f>
        <v>0</v>
      </c>
      <c r="AC88" s="189"/>
      <c r="AD88" s="189"/>
      <c r="AE88" s="183">
        <f t="shared" si="15"/>
        <v>4025979</v>
      </c>
      <c r="AF88" s="184">
        <f t="shared" si="13"/>
        <v>0</v>
      </c>
      <c r="AG88" s="95">
        <f t="shared" si="23"/>
        <v>0</v>
      </c>
      <c r="AI88" s="199">
        <f>[17]MAINTENANCE!$AF41</f>
        <v>3849083.23</v>
      </c>
      <c r="AJ88" s="200">
        <f t="shared" si="25"/>
        <v>176896</v>
      </c>
      <c r="AK88" s="199">
        <f t="shared" si="18"/>
        <v>4025979.23</v>
      </c>
      <c r="AL88" s="201">
        <f t="shared" si="17"/>
        <v>0.22999999998137355</v>
      </c>
      <c r="AN88" s="200">
        <f t="shared" si="19"/>
        <v>3761333.23</v>
      </c>
      <c r="AO88" s="200">
        <f t="shared" si="20"/>
        <v>87750</v>
      </c>
      <c r="AP88" s="200">
        <f t="shared" si="21"/>
        <v>176896</v>
      </c>
      <c r="AQ88" s="201"/>
    </row>
    <row r="89" spans="2:43" s="173" customFormat="1" ht="24.75" customHeight="1">
      <c r="B89" s="174">
        <v>60</v>
      </c>
      <c r="C89" s="271" t="s">
        <v>416</v>
      </c>
      <c r="D89" s="192" t="s">
        <v>429</v>
      </c>
      <c r="E89" s="195">
        <v>942993841305000</v>
      </c>
      <c r="F89" s="157" t="s">
        <v>430</v>
      </c>
      <c r="G89" s="272" t="s">
        <v>426</v>
      </c>
      <c r="H89" s="187" t="s">
        <v>38</v>
      </c>
      <c r="I89" s="188" t="s">
        <v>7</v>
      </c>
      <c r="J89" s="181" t="str">
        <f t="shared" si="24"/>
        <v>TER A</v>
      </c>
      <c r="K89" s="189">
        <f t="shared" si="14"/>
        <v>3761333.23</v>
      </c>
      <c r="L89" s="189">
        <f t="shared" si="22"/>
        <v>30575.999999999996</v>
      </c>
      <c r="M89" s="189">
        <f>[17]MAINTENANCE!$AK42</f>
        <v>146320</v>
      </c>
      <c r="N89" s="189">
        <f>[17]MAINTENANCE!$W42</f>
        <v>69750</v>
      </c>
      <c r="O89" s="189"/>
      <c r="P89" s="189"/>
      <c r="Q89" s="189"/>
      <c r="R89" s="189"/>
      <c r="S89" s="189"/>
      <c r="T89" s="189"/>
      <c r="U89" s="189"/>
      <c r="V89" s="189"/>
      <c r="W89" s="189"/>
      <c r="X89" s="189">
        <f>[17]MAINTENANCE!$AB42</f>
        <v>18000</v>
      </c>
      <c r="Y89" s="189"/>
      <c r="Z89" s="189"/>
      <c r="AA89" s="189"/>
      <c r="AB89" s="189">
        <f>-[17]MAINTENANCE!$BA42</f>
        <v>0</v>
      </c>
      <c r="AC89" s="189"/>
      <c r="AD89" s="189"/>
      <c r="AE89" s="183">
        <f t="shared" si="15"/>
        <v>4025979</v>
      </c>
      <c r="AF89" s="184">
        <f t="shared" si="13"/>
        <v>0</v>
      </c>
      <c r="AG89" s="95">
        <f t="shared" si="23"/>
        <v>0</v>
      </c>
      <c r="AI89" s="199">
        <f>[17]MAINTENANCE!$AF42</f>
        <v>3849083.23</v>
      </c>
      <c r="AJ89" s="200">
        <f t="shared" si="25"/>
        <v>176896</v>
      </c>
      <c r="AK89" s="199">
        <f t="shared" si="18"/>
        <v>4025979.23</v>
      </c>
      <c r="AL89" s="201">
        <f t="shared" si="17"/>
        <v>0.22999999998137355</v>
      </c>
      <c r="AN89" s="200">
        <f t="shared" si="19"/>
        <v>3761333.23</v>
      </c>
      <c r="AO89" s="200">
        <f t="shared" si="20"/>
        <v>87750</v>
      </c>
      <c r="AP89" s="200">
        <f t="shared" si="21"/>
        <v>176896</v>
      </c>
      <c r="AQ89" s="201"/>
    </row>
    <row r="90" spans="2:43" s="173" customFormat="1" ht="24.75" customHeight="1">
      <c r="B90" s="174">
        <v>61</v>
      </c>
      <c r="C90" s="271" t="s">
        <v>417</v>
      </c>
      <c r="D90" s="192" t="s">
        <v>438</v>
      </c>
      <c r="E90" s="195" t="s">
        <v>74</v>
      </c>
      <c r="F90" s="157" t="s">
        <v>439</v>
      </c>
      <c r="G90" s="272" t="s">
        <v>426</v>
      </c>
      <c r="H90" s="311" t="s">
        <v>39</v>
      </c>
      <c r="I90" s="51" t="s">
        <v>9</v>
      </c>
      <c r="J90" s="181" t="str">
        <f t="shared" si="24"/>
        <v>TER B</v>
      </c>
      <c r="K90" s="189">
        <f t="shared" si="14"/>
        <v>3761333.23</v>
      </c>
      <c r="L90" s="189">
        <f t="shared" si="22"/>
        <v>30575.999999999996</v>
      </c>
      <c r="M90" s="189">
        <f>[17]MAINTENANCE!$AK43</f>
        <v>146560</v>
      </c>
      <c r="N90" s="189">
        <f>[17]MAINTENANCE!$W43</f>
        <v>135000</v>
      </c>
      <c r="O90" s="189"/>
      <c r="P90" s="189"/>
      <c r="Q90" s="189"/>
      <c r="R90" s="189"/>
      <c r="S90" s="189"/>
      <c r="T90" s="189"/>
      <c r="U90" s="189"/>
      <c r="V90" s="189"/>
      <c r="W90" s="189"/>
      <c r="X90" s="189">
        <f>[17]MAINTENANCE!$AB43</f>
        <v>24000</v>
      </c>
      <c r="Y90" s="189"/>
      <c r="Z90" s="189"/>
      <c r="AA90" s="189"/>
      <c r="AB90" s="189">
        <f>-[17]MAINTENANCE!$BA43</f>
        <v>-121333.33</v>
      </c>
      <c r="AC90" s="189"/>
      <c r="AD90" s="189"/>
      <c r="AE90" s="183">
        <f t="shared" si="15"/>
        <v>3976135</v>
      </c>
      <c r="AF90" s="184">
        <f t="shared" si="13"/>
        <v>0</v>
      </c>
      <c r="AG90" s="95">
        <f t="shared" si="23"/>
        <v>0</v>
      </c>
      <c r="AI90" s="199">
        <f>[17]MAINTENANCE!$AF43</f>
        <v>3798999.9</v>
      </c>
      <c r="AJ90" s="200">
        <f t="shared" si="25"/>
        <v>177136</v>
      </c>
      <c r="AK90" s="199">
        <f t="shared" si="18"/>
        <v>3976135.9</v>
      </c>
      <c r="AL90" s="201">
        <f t="shared" si="17"/>
        <v>0.89999999990686774</v>
      </c>
      <c r="AN90" s="200">
        <f t="shared" si="19"/>
        <v>3639999.9</v>
      </c>
      <c r="AO90" s="200">
        <f t="shared" si="20"/>
        <v>159000</v>
      </c>
      <c r="AP90" s="200">
        <f t="shared" si="21"/>
        <v>177136</v>
      </c>
      <c r="AQ90" s="201"/>
    </row>
    <row r="91" spans="2:43" s="173" customFormat="1" ht="24.75" customHeight="1">
      <c r="B91" s="174">
        <v>62</v>
      </c>
      <c r="C91" s="271" t="s">
        <v>418</v>
      </c>
      <c r="D91" s="192" t="s">
        <v>433</v>
      </c>
      <c r="E91" s="195" t="s">
        <v>434</v>
      </c>
      <c r="F91" s="157" t="s">
        <v>435</v>
      </c>
      <c r="G91" s="272" t="s">
        <v>426</v>
      </c>
      <c r="H91" s="311" t="s">
        <v>39</v>
      </c>
      <c r="I91" s="51" t="s">
        <v>11</v>
      </c>
      <c r="J91" s="181" t="str">
        <f t="shared" si="24"/>
        <v>TER B</v>
      </c>
      <c r="K91" s="189">
        <f t="shared" si="14"/>
        <v>3761333.23</v>
      </c>
      <c r="L91" s="189">
        <f t="shared" si="22"/>
        <v>30575.999999999996</v>
      </c>
      <c r="M91" s="189">
        <f>[17]MAINTENANCE!$AK44</f>
        <v>147340</v>
      </c>
      <c r="N91" s="189">
        <f>[17]MAINTENANCE!$W44</f>
        <v>151200</v>
      </c>
      <c r="O91" s="189"/>
      <c r="P91" s="189">
        <f>[17]MAINTENANCE!$AE$44</f>
        <v>73641.61</v>
      </c>
      <c r="Q91" s="189"/>
      <c r="R91" s="189"/>
      <c r="S91" s="189"/>
      <c r="T91" s="189"/>
      <c r="U91" s="189"/>
      <c r="V91" s="189"/>
      <c r="W91" s="189"/>
      <c r="X91" s="189">
        <f>[17]MAINTENANCE!$AB44</f>
        <v>43500</v>
      </c>
      <c r="Y91" s="189"/>
      <c r="Z91" s="189"/>
      <c r="AA91" s="189"/>
      <c r="AB91" s="189">
        <f>-[17]MAINTENANCE!$BA44</f>
        <v>-363999.99</v>
      </c>
      <c r="AC91" s="189"/>
      <c r="AD91" s="189"/>
      <c r="AE91" s="183">
        <f t="shared" si="15"/>
        <v>3843590</v>
      </c>
      <c r="AF91" s="184">
        <f t="shared" si="13"/>
        <v>0</v>
      </c>
      <c r="AG91" s="95">
        <f t="shared" si="23"/>
        <v>0</v>
      </c>
      <c r="AI91" s="199">
        <f>[17]MAINTENANCE!$AF44</f>
        <v>3665674.85</v>
      </c>
      <c r="AJ91" s="200">
        <f t="shared" si="25"/>
        <v>177916</v>
      </c>
      <c r="AK91" s="199">
        <f t="shared" si="18"/>
        <v>3843590.85</v>
      </c>
      <c r="AL91" s="201">
        <f t="shared" si="17"/>
        <v>0.85000000009313226</v>
      </c>
      <c r="AN91" s="200">
        <f t="shared" si="19"/>
        <v>3397333.24</v>
      </c>
      <c r="AO91" s="200">
        <f t="shared" si="20"/>
        <v>268341.61</v>
      </c>
      <c r="AP91" s="200">
        <f t="shared" si="21"/>
        <v>177916</v>
      </c>
      <c r="AQ91" s="201"/>
    </row>
    <row r="92" spans="2:43" s="173" customFormat="1" ht="24.75" customHeight="1">
      <c r="B92" s="174">
        <v>63</v>
      </c>
      <c r="C92" s="271" t="s">
        <v>419</v>
      </c>
      <c r="D92" s="192" t="s">
        <v>440</v>
      </c>
      <c r="E92" s="195" t="s">
        <v>74</v>
      </c>
      <c r="F92" s="157" t="s">
        <v>441</v>
      </c>
      <c r="G92" s="272" t="s">
        <v>426</v>
      </c>
      <c r="H92" s="311" t="s">
        <v>39</v>
      </c>
      <c r="I92" s="51" t="s">
        <v>9</v>
      </c>
      <c r="J92" s="181" t="str">
        <f t="shared" si="24"/>
        <v>TER B</v>
      </c>
      <c r="K92" s="189">
        <f t="shared" si="14"/>
        <v>3761333.23</v>
      </c>
      <c r="L92" s="189">
        <f t="shared" si="22"/>
        <v>30575.999999999996</v>
      </c>
      <c r="M92" s="189">
        <f>[17]MAINTENANCE!$AK45</f>
        <v>146560</v>
      </c>
      <c r="N92" s="189">
        <f>[17]MAINTENANCE!$W45</f>
        <v>104400</v>
      </c>
      <c r="O92" s="189"/>
      <c r="P92" s="189"/>
      <c r="Q92" s="189"/>
      <c r="R92" s="189"/>
      <c r="S92" s="189"/>
      <c r="T92" s="189"/>
      <c r="U92" s="189"/>
      <c r="V92" s="189"/>
      <c r="W92" s="189"/>
      <c r="X92" s="189">
        <f>[17]MAINTENANCE!$AB45</f>
        <v>24000</v>
      </c>
      <c r="Y92" s="189"/>
      <c r="Z92" s="189"/>
      <c r="AA92" s="189"/>
      <c r="AB92" s="189">
        <f>-[17]MAINTENANCE!$BA45</f>
        <v>-242666.66</v>
      </c>
      <c r="AC92" s="189"/>
      <c r="AD92" s="189"/>
      <c r="AE92" s="183">
        <f t="shared" si="15"/>
        <v>3824202</v>
      </c>
      <c r="AF92" s="184">
        <f t="shared" si="13"/>
        <v>0</v>
      </c>
      <c r="AG92" s="95">
        <f t="shared" si="23"/>
        <v>0</v>
      </c>
      <c r="AI92" s="199">
        <f>[17]MAINTENANCE!$AF45</f>
        <v>3647066.5700000003</v>
      </c>
      <c r="AJ92" s="200">
        <f t="shared" si="25"/>
        <v>177136</v>
      </c>
      <c r="AK92" s="199">
        <f t="shared" si="18"/>
        <v>3824202.5700000003</v>
      </c>
      <c r="AL92" s="201">
        <f t="shared" si="17"/>
        <v>0.57000000029802322</v>
      </c>
      <c r="AN92" s="200">
        <f t="shared" si="19"/>
        <v>3518666.57</v>
      </c>
      <c r="AO92" s="200">
        <f t="shared" si="20"/>
        <v>128400</v>
      </c>
      <c r="AP92" s="200">
        <f t="shared" si="21"/>
        <v>177136</v>
      </c>
      <c r="AQ92" s="201"/>
    </row>
    <row r="93" spans="2:43" s="173" customFormat="1" ht="24.75" customHeight="1" thickBot="1">
      <c r="B93" s="174">
        <v>64</v>
      </c>
      <c r="C93" s="271" t="s">
        <v>420</v>
      </c>
      <c r="D93" s="192" t="s">
        <v>422</v>
      </c>
      <c r="E93" s="195" t="s">
        <v>74</v>
      </c>
      <c r="F93" s="157" t="s">
        <v>423</v>
      </c>
      <c r="G93" s="272" t="s">
        <v>185</v>
      </c>
      <c r="H93" s="277" t="s">
        <v>39</v>
      </c>
      <c r="I93" s="188" t="s">
        <v>7</v>
      </c>
      <c r="J93" s="181" t="str">
        <f>IF(ISBLANK(I93),"",IF(OR(I93="TK/0",I93="TK/1",I93="K/0"),"TER A",IF(I93="K/3","TER C","TER B")))</f>
        <v>TER A</v>
      </c>
      <c r="K93" s="189">
        <f t="shared" si="14"/>
        <v>3761333.23</v>
      </c>
      <c r="L93" s="189">
        <f t="shared" si="22"/>
        <v>30575.999999999996</v>
      </c>
      <c r="M93" s="189">
        <f>[17]MAINTENANCE!$AK46</f>
        <v>145600</v>
      </c>
      <c r="N93" s="189">
        <f>[17]MAINTENANCE!$W46</f>
        <v>58500</v>
      </c>
      <c r="O93" s="279"/>
      <c r="P93" s="279"/>
      <c r="Q93" s="279"/>
      <c r="R93" s="279"/>
      <c r="S93" s="279"/>
      <c r="T93" s="279"/>
      <c r="U93" s="279"/>
      <c r="V93" s="279"/>
      <c r="W93" s="279"/>
      <c r="X93" s="189">
        <f>[17]MAINTENANCE!$AB46</f>
        <v>0</v>
      </c>
      <c r="Y93" s="279"/>
      <c r="Z93" s="279"/>
      <c r="AA93" s="279"/>
      <c r="AB93" s="189">
        <f>-[17]MAINTENANCE!$BA46</f>
        <v>-606666.65</v>
      </c>
      <c r="AC93" s="279"/>
      <c r="AD93" s="279"/>
      <c r="AE93" s="183">
        <f t="shared" si="15"/>
        <v>3389342</v>
      </c>
      <c r="AF93" s="184">
        <f t="shared" si="13"/>
        <v>0</v>
      </c>
      <c r="AG93" s="95">
        <f t="shared" si="23"/>
        <v>0</v>
      </c>
      <c r="AI93" s="199">
        <f>[17]MAINTENANCE!$AF46</f>
        <v>3213166.58</v>
      </c>
      <c r="AJ93" s="200">
        <f t="shared" si="25"/>
        <v>176176</v>
      </c>
      <c r="AK93" s="199">
        <f>AI93+AJ93+AD93</f>
        <v>3389342.58</v>
      </c>
      <c r="AL93" s="201">
        <f t="shared" si="17"/>
        <v>0.58000000007450581</v>
      </c>
      <c r="AN93" s="200">
        <f t="shared" si="19"/>
        <v>3154666.58</v>
      </c>
      <c r="AO93" s="200">
        <f t="shared" si="20"/>
        <v>58500</v>
      </c>
      <c r="AP93" s="200">
        <f t="shared" si="21"/>
        <v>176176</v>
      </c>
      <c r="AQ93" s="201"/>
    </row>
    <row r="94" spans="2:43" s="59" customFormat="1" ht="22.15" customHeight="1" thickBot="1">
      <c r="B94" s="132"/>
      <c r="C94" s="133"/>
      <c r="D94" s="133"/>
      <c r="E94" s="133"/>
      <c r="F94" s="133"/>
      <c r="G94" s="133"/>
      <c r="H94" s="133"/>
      <c r="I94" s="133"/>
      <c r="J94" s="133"/>
      <c r="K94" s="196">
        <f>SUM(K6:K92)</f>
        <v>236994993.48999974</v>
      </c>
      <c r="L94" s="196">
        <f t="shared" ref="L94:AG94" si="26">SUM(L6:L92)</f>
        <v>1926539.9999999998</v>
      </c>
      <c r="M94" s="196">
        <f t="shared" si="26"/>
        <v>9256180</v>
      </c>
      <c r="N94" s="196">
        <f t="shared" si="26"/>
        <v>6972300</v>
      </c>
      <c r="O94" s="196">
        <f t="shared" si="26"/>
        <v>348000</v>
      </c>
      <c r="P94" s="196">
        <f t="shared" si="26"/>
        <v>7833987.669999999</v>
      </c>
      <c r="Q94" s="196">
        <f t="shared" si="26"/>
        <v>4136475</v>
      </c>
      <c r="R94" s="196">
        <f t="shared" si="26"/>
        <v>5247812</v>
      </c>
      <c r="S94" s="196">
        <f t="shared" si="26"/>
        <v>2608200</v>
      </c>
      <c r="T94" s="196">
        <f t="shared" si="26"/>
        <v>0</v>
      </c>
      <c r="U94" s="196">
        <f t="shared" si="26"/>
        <v>0</v>
      </c>
      <c r="V94" s="196">
        <f t="shared" si="26"/>
        <v>150000</v>
      </c>
      <c r="W94" s="196">
        <f t="shared" si="26"/>
        <v>0</v>
      </c>
      <c r="X94" s="196">
        <f t="shared" si="26"/>
        <v>2054500</v>
      </c>
      <c r="Y94" s="196">
        <f t="shared" si="26"/>
        <v>0</v>
      </c>
      <c r="Z94" s="196">
        <f t="shared" si="26"/>
        <v>0</v>
      </c>
      <c r="AA94" s="196">
        <f t="shared" si="26"/>
        <v>0</v>
      </c>
      <c r="AB94" s="196">
        <f t="shared" si="26"/>
        <v>-5095999.8600000003</v>
      </c>
      <c r="AC94" s="196">
        <f t="shared" si="26"/>
        <v>0</v>
      </c>
      <c r="AD94" s="196">
        <f t="shared" si="26"/>
        <v>0</v>
      </c>
      <c r="AE94" s="196">
        <f t="shared" si="26"/>
        <v>272432959</v>
      </c>
      <c r="AF94" s="196">
        <f t="shared" si="26"/>
        <v>7.4999999999999997E-3</v>
      </c>
      <c r="AG94" s="196">
        <f t="shared" si="26"/>
        <v>45360</v>
      </c>
      <c r="AI94" s="202">
        <f>SUM(AI6:AI93)</f>
        <v>264463434.88</v>
      </c>
      <c r="AJ94" s="202">
        <f>SUM(AJ6:AJ93)</f>
        <v>11358896</v>
      </c>
      <c r="AK94" s="202">
        <f>SUM(AK6:AK93)</f>
        <v>275822330.87999994</v>
      </c>
      <c r="AL94" s="202">
        <f>SUM(AL6:AL93)</f>
        <v>29.880000011064112</v>
      </c>
      <c r="AN94" s="307">
        <f>SUM(AN6:AN93)</f>
        <v>235053660.20999998</v>
      </c>
      <c r="AO94" s="307">
        <f>SUM(AO6:AO93)</f>
        <v>29409774.669999998</v>
      </c>
      <c r="AP94" s="307">
        <f>SUM(AP6:AP93)</f>
        <v>11358896</v>
      </c>
    </row>
    <row r="95" spans="2:43" ht="9.75" customHeight="1">
      <c r="AK95" s="217"/>
    </row>
    <row r="96" spans="2:43" ht="13.5" hidden="1" customHeight="1">
      <c r="B96" s="58" t="s">
        <v>47</v>
      </c>
      <c r="M96" s="62"/>
      <c r="N96" s="62"/>
      <c r="O96" s="62"/>
      <c r="P96" s="62"/>
      <c r="Q96" s="62"/>
      <c r="R96" s="62"/>
      <c r="S96" s="62"/>
    </row>
    <row r="97" spans="2:55" ht="13.5" hidden="1" customHeight="1">
      <c r="B97" s="27" t="s">
        <v>48</v>
      </c>
      <c r="M97" s="62"/>
      <c r="N97" s="62"/>
      <c r="O97" s="62"/>
      <c r="P97" s="62"/>
      <c r="Q97" s="62"/>
      <c r="R97" s="62"/>
      <c r="S97" s="62"/>
    </row>
    <row r="98" spans="2:55" ht="13.5" hidden="1" customHeight="1">
      <c r="B98" s="27" t="s">
        <v>56</v>
      </c>
      <c r="M98" s="62"/>
      <c r="N98" s="62"/>
      <c r="O98" s="62"/>
      <c r="P98" s="62"/>
      <c r="Q98" s="62"/>
      <c r="R98" s="62"/>
      <c r="S98" s="62"/>
    </row>
    <row r="99" spans="2:55" ht="13.5" hidden="1" customHeight="1">
      <c r="B99" s="27" t="s">
        <v>49</v>
      </c>
      <c r="M99" s="62"/>
      <c r="N99" s="62"/>
      <c r="O99" s="62"/>
      <c r="P99" s="62"/>
      <c r="Q99" s="62"/>
      <c r="R99" s="62"/>
      <c r="S99" s="62"/>
    </row>
    <row r="100" spans="2:55" s="33" customFormat="1" ht="13.5" hidden="1" customHeight="1">
      <c r="B100" s="27" t="s">
        <v>57</v>
      </c>
      <c r="C100" s="28"/>
      <c r="D100" s="305"/>
      <c r="E100" s="30"/>
      <c r="F100" s="28"/>
      <c r="G100" s="31"/>
      <c r="H100" s="32"/>
      <c r="I100" s="32"/>
      <c r="J100" s="32"/>
      <c r="K100" s="28"/>
      <c r="L100" s="28"/>
      <c r="M100" s="62"/>
      <c r="N100" s="62"/>
      <c r="O100" s="62"/>
      <c r="P100" s="62"/>
      <c r="Q100" s="62"/>
      <c r="R100" s="62"/>
      <c r="S100" s="62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90"/>
      <c r="AG100" s="9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</row>
    <row r="101" spans="2:55" s="33" customFormat="1" ht="13.5" hidden="1" customHeight="1">
      <c r="B101" s="27" t="s">
        <v>50</v>
      </c>
      <c r="C101" s="28"/>
      <c r="D101" s="305"/>
      <c r="E101" s="30"/>
      <c r="F101" s="28"/>
      <c r="G101" s="31"/>
      <c r="H101" s="32"/>
      <c r="I101" s="32"/>
      <c r="J101" s="32"/>
      <c r="K101" s="28"/>
      <c r="L101" s="28"/>
      <c r="M101" s="62"/>
      <c r="N101" s="62"/>
      <c r="O101" s="62"/>
      <c r="P101" s="62"/>
      <c r="Q101" s="62"/>
      <c r="R101" s="62"/>
      <c r="S101" s="62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90"/>
      <c r="AG101" s="9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</row>
    <row r="102" spans="2:55" s="33" customFormat="1" ht="13.5" hidden="1" customHeight="1">
      <c r="B102" s="27" t="s">
        <v>51</v>
      </c>
      <c r="C102" s="28"/>
      <c r="D102" s="305"/>
      <c r="E102" s="30"/>
      <c r="F102" s="28"/>
      <c r="G102" s="31"/>
      <c r="H102" s="32"/>
      <c r="I102" s="32"/>
      <c r="J102" s="32"/>
      <c r="K102" s="28"/>
      <c r="L102" s="28"/>
      <c r="M102" s="62"/>
      <c r="N102" s="62"/>
      <c r="O102" s="62"/>
      <c r="P102" s="62"/>
      <c r="Q102" s="62"/>
      <c r="R102" s="62"/>
      <c r="S102" s="62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90"/>
      <c r="AG102" s="9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</row>
    <row r="103" spans="2:55" s="33" customFormat="1" ht="13.5" hidden="1" customHeight="1">
      <c r="B103" s="27" t="s">
        <v>52</v>
      </c>
      <c r="C103" s="28"/>
      <c r="D103" s="305"/>
      <c r="E103" s="30"/>
      <c r="F103" s="28"/>
      <c r="G103" s="31"/>
      <c r="H103" s="32"/>
      <c r="I103" s="32"/>
      <c r="J103" s="32"/>
      <c r="K103" s="28"/>
      <c r="L103" s="28"/>
      <c r="M103" s="62"/>
      <c r="N103" s="62"/>
      <c r="O103" s="62"/>
      <c r="P103" s="62"/>
      <c r="Q103" s="62"/>
      <c r="R103" s="62"/>
      <c r="S103" s="62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90"/>
      <c r="AG103" s="9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</row>
    <row r="104" spans="2:55" s="33" customFormat="1" ht="13.5" hidden="1" customHeight="1">
      <c r="B104" s="27" t="s">
        <v>58</v>
      </c>
      <c r="C104" s="28"/>
      <c r="D104" s="305"/>
      <c r="E104" s="30"/>
      <c r="F104" s="28"/>
      <c r="G104" s="31"/>
      <c r="H104" s="32"/>
      <c r="I104" s="32"/>
      <c r="J104" s="32"/>
      <c r="K104" s="28"/>
      <c r="L104" s="28"/>
      <c r="M104" s="62"/>
      <c r="N104" s="62"/>
      <c r="O104" s="62"/>
      <c r="P104" s="62"/>
      <c r="Q104" s="62"/>
      <c r="R104" s="62"/>
      <c r="S104" s="62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90"/>
      <c r="AG104" s="9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</row>
    <row r="105" spans="2:55" s="33" customFormat="1" ht="13.5" hidden="1" customHeight="1">
      <c r="B105" s="27" t="s">
        <v>59</v>
      </c>
      <c r="C105" s="28"/>
      <c r="D105" s="305"/>
      <c r="E105" s="30"/>
      <c r="F105" s="28"/>
      <c r="G105" s="31"/>
      <c r="H105" s="32"/>
      <c r="I105" s="32"/>
      <c r="J105" s="32"/>
      <c r="K105" s="28"/>
      <c r="L105" s="28"/>
      <c r="M105" s="62"/>
      <c r="N105" s="62"/>
      <c r="O105" s="62"/>
      <c r="P105" s="62"/>
      <c r="Q105" s="62"/>
      <c r="R105" s="62"/>
      <c r="S105" s="62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90"/>
      <c r="AG105" s="9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2:55" s="33" customFormat="1" ht="13.5" hidden="1" customHeight="1">
      <c r="B106" s="27" t="s">
        <v>65</v>
      </c>
      <c r="C106" s="28"/>
      <c r="D106" s="305"/>
      <c r="E106" s="30"/>
      <c r="F106" s="28"/>
      <c r="G106" s="31"/>
      <c r="H106" s="32"/>
      <c r="I106" s="32"/>
      <c r="J106" s="32"/>
      <c r="K106" s="28"/>
      <c r="L106" s="28"/>
      <c r="M106" s="62"/>
      <c r="N106" s="62"/>
      <c r="O106" s="62"/>
      <c r="P106" s="62"/>
      <c r="Q106" s="62"/>
      <c r="R106" s="62"/>
      <c r="S106" s="62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90"/>
      <c r="AG106" s="9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</row>
    <row r="107" spans="2:55" s="33" customFormat="1" ht="11.25" customHeight="1">
      <c r="B107" s="27"/>
      <c r="C107" s="28"/>
      <c r="D107" s="305"/>
      <c r="E107" s="30"/>
      <c r="F107" s="28"/>
      <c r="G107" s="31"/>
      <c r="H107" s="32"/>
      <c r="I107" s="32"/>
      <c r="J107" s="32"/>
      <c r="K107" s="305" t="s">
        <v>324</v>
      </c>
      <c r="L107" s="28"/>
      <c r="M107" s="62"/>
      <c r="N107" s="62"/>
      <c r="O107" s="62"/>
      <c r="P107" s="62"/>
      <c r="Q107" s="62"/>
      <c r="R107" s="62"/>
      <c r="S107" s="62"/>
      <c r="T107" s="28" t="s">
        <v>341</v>
      </c>
      <c r="U107" s="28"/>
      <c r="V107" s="28"/>
      <c r="W107" s="28"/>
      <c r="X107" s="28"/>
      <c r="Y107" s="28"/>
      <c r="Z107" s="28"/>
      <c r="AA107" s="28"/>
      <c r="AB107" s="457" t="s">
        <v>321</v>
      </c>
      <c r="AC107" s="457"/>
      <c r="AD107" s="457"/>
      <c r="AE107" s="457"/>
      <c r="AF107" s="90"/>
      <c r="AG107" s="90"/>
      <c r="AH107" s="60"/>
      <c r="AI107" s="60"/>
      <c r="AJ107" s="60"/>
      <c r="AK107" s="216">
        <f>AC94+AK94</f>
        <v>275822330.87999994</v>
      </c>
      <c r="AL107" s="60"/>
      <c r="AM107" s="60"/>
      <c r="AN107" s="308">
        <f>AN94+AO94</f>
        <v>264463434.87999997</v>
      </c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</row>
    <row r="108" spans="2:55" ht="11.25" customHeight="1">
      <c r="AL108" s="216"/>
    </row>
    <row r="109" spans="2:55" ht="11.25" customHeight="1">
      <c r="AK109" s="216">
        <f>AK94-AL110</f>
        <v>272432959</v>
      </c>
      <c r="AL109" s="216"/>
      <c r="AN109" s="309"/>
    </row>
    <row r="110" spans="2:55" ht="11.25" customHeight="1">
      <c r="K110" s="306" t="s">
        <v>325</v>
      </c>
      <c r="T110" s="256" t="s">
        <v>421</v>
      </c>
      <c r="U110" s="256"/>
      <c r="AB110" s="458" t="s">
        <v>322</v>
      </c>
      <c r="AC110" s="458"/>
      <c r="AD110" s="458"/>
      <c r="AE110" s="458"/>
      <c r="AL110" s="216">
        <f>AK107-AE94</f>
        <v>3389371.8799999356</v>
      </c>
    </row>
    <row r="111" spans="2:55">
      <c r="K111" s="305" t="s">
        <v>326</v>
      </c>
      <c r="T111" s="28" t="s">
        <v>343</v>
      </c>
      <c r="AB111" s="457" t="s">
        <v>323</v>
      </c>
      <c r="AC111" s="457"/>
      <c r="AD111" s="457"/>
      <c r="AE111" s="457"/>
      <c r="AJ111" s="216"/>
    </row>
  </sheetData>
  <mergeCells count="3">
    <mergeCell ref="AB107:AE107"/>
    <mergeCell ref="AB110:AE110"/>
    <mergeCell ref="AB111:AE111"/>
  </mergeCells>
  <dataValidations count="2">
    <dataValidation type="list" allowBlank="1" showInputMessage="1" showErrorMessage="1" sqref="I6:I93">
      <formula1>"TK/0,TK/1,TK/2,TK/3,K/0,K/1,K/2,K/3"</formula1>
    </dataValidation>
    <dataValidation type="list" allowBlank="1" showInputMessage="1" showErrorMessage="1" sqref="H6:H93">
      <formula1>"L,P"</formula1>
    </dataValidation>
  </dataValidations>
  <printOptions horizontalCentered="1"/>
  <pageMargins left="0" right="0.59055118110236227" top="0" bottom="0.39370078740157483" header="0.31496062992125984" footer="0.31496062992125984"/>
  <pageSetup paperSize="9" scale="45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100"/>
  <sheetViews>
    <sheetView tabSelected="1" topLeftCell="B4" zoomScaleNormal="100" workbookViewId="0">
      <pane xSplit="2" ySplit="2" topLeftCell="D63" activePane="bottomRight" state="frozen"/>
      <selection activeCell="B4" sqref="B4"/>
      <selection pane="topRight" activeCell="D4" sqref="D4"/>
      <selection pane="bottomLeft" activeCell="B6" sqref="B6"/>
      <selection pane="bottomRight" activeCell="D69" sqref="D69"/>
    </sheetView>
  </sheetViews>
  <sheetFormatPr defaultColWidth="9.28515625" defaultRowHeight="12.75" outlineLevelCol="1"/>
  <cols>
    <col min="1" max="1" width="1.5703125" style="60" customWidth="1"/>
    <col min="2" max="2" width="4.28515625" style="27" customWidth="1"/>
    <col min="3" max="3" width="17.85546875" style="28" customWidth="1"/>
    <col min="4" max="4" width="18.5703125" style="412" customWidth="1" outlineLevel="1"/>
    <col min="5" max="5" width="19.42578125" style="30" customWidth="1" outlineLevel="1"/>
    <col min="6" max="6" width="18.140625" style="28" customWidth="1" outlineLevel="1"/>
    <col min="7" max="7" width="15.5703125" style="31" customWidth="1" outlineLevel="1"/>
    <col min="8" max="8" width="4.42578125" style="32" customWidth="1" outlineLevel="1"/>
    <col min="9" max="9" width="5.85546875" style="32" customWidth="1" outlineLevel="1"/>
    <col min="10" max="10" width="7.140625" style="32" customWidth="1" outlineLevel="1"/>
    <col min="11" max="11" width="12.140625" style="28" customWidth="1"/>
    <col min="12" max="12" width="10.140625" style="28" customWidth="1"/>
    <col min="13" max="13" width="11" style="28" customWidth="1"/>
    <col min="14" max="14" width="10.28515625" style="28" customWidth="1"/>
    <col min="15" max="15" width="11.140625" style="28" customWidth="1"/>
    <col min="16" max="16" width="11.5703125" style="28" customWidth="1"/>
    <col min="17" max="17" width="10.42578125" style="28" customWidth="1"/>
    <col min="18" max="18" width="10.140625" style="28" hidden="1" customWidth="1"/>
    <col min="19" max="19" width="9.140625" style="28" hidden="1" customWidth="1"/>
    <col min="20" max="20" width="10.28515625" style="28" hidden="1" customWidth="1"/>
    <col min="21" max="21" width="9.140625" style="28" hidden="1" customWidth="1"/>
    <col min="22" max="22" width="10" style="28" hidden="1" customWidth="1"/>
    <col min="23" max="23" width="10.5703125" style="28" customWidth="1"/>
    <col min="24" max="24" width="10.42578125" style="28" customWidth="1"/>
    <col min="25" max="25" width="12" style="28" customWidth="1"/>
    <col min="26" max="26" width="12.7109375" style="28" hidden="1" customWidth="1"/>
    <col min="27" max="28" width="12.140625" style="28" hidden="1" customWidth="1"/>
    <col min="29" max="29" width="12" style="28" customWidth="1" collapsed="1"/>
    <col min="30" max="30" width="6.5703125" style="90" customWidth="1"/>
    <col min="31" max="31" width="10.140625" style="90" customWidth="1"/>
    <col min="32" max="32" width="10.140625" style="90" hidden="1" customWidth="1"/>
    <col min="33" max="33" width="8.5703125" style="28" hidden="1" customWidth="1"/>
    <col min="34" max="34" width="9.140625" style="143" hidden="1" customWidth="1"/>
    <col min="35" max="35" width="10.140625" style="27" hidden="1" customWidth="1"/>
    <col min="36" max="36" width="10.28515625" style="27" hidden="1" customWidth="1"/>
    <col min="37" max="37" width="9.28515625" style="27"/>
    <col min="38" max="38" width="11.140625" style="27" customWidth="1"/>
    <col min="39" max="39" width="10.42578125" style="27" customWidth="1"/>
    <col min="40" max="40" width="13.42578125" style="60" customWidth="1"/>
    <col min="41" max="41" width="13.140625" style="60" customWidth="1"/>
    <col min="42" max="43" width="9.28515625" style="60" customWidth="1"/>
    <col min="44" max="44" width="11.140625" style="60" customWidth="1"/>
    <col min="45" max="45" width="12" style="60" customWidth="1"/>
    <col min="46" max="46" width="10.140625" style="60" customWidth="1"/>
    <col min="47" max="16384" width="9.28515625" style="60"/>
  </cols>
  <sheetData>
    <row r="1" spans="2:51">
      <c r="B1" s="27" t="s">
        <v>72</v>
      </c>
    </row>
    <row r="2" spans="2:51">
      <c r="B2" s="27" t="s">
        <v>563</v>
      </c>
    </row>
    <row r="3" spans="2:51">
      <c r="B3" s="27" t="s">
        <v>75</v>
      </c>
    </row>
    <row r="4" spans="2:51" s="27" customFormat="1" ht="13.5" thickBot="1">
      <c r="C4" s="87" t="s">
        <v>40</v>
      </c>
      <c r="D4" s="412"/>
      <c r="E4" s="30"/>
      <c r="F4" s="28"/>
      <c r="G4" s="31"/>
      <c r="H4" s="32"/>
      <c r="I4" s="32"/>
      <c r="J4" s="32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90"/>
      <c r="AE4" s="90"/>
      <c r="AF4" s="90"/>
      <c r="AG4" s="28"/>
      <c r="AH4" s="143"/>
    </row>
    <row r="5" spans="2:51" s="27" customFormat="1" ht="54.75" customHeight="1" thickBot="1">
      <c r="B5" s="409" t="s">
        <v>64</v>
      </c>
      <c r="C5" s="409" t="s">
        <v>25</v>
      </c>
      <c r="D5" s="410" t="s">
        <v>26</v>
      </c>
      <c r="E5" s="411" t="s">
        <v>27</v>
      </c>
      <c r="F5" s="409" t="s">
        <v>28</v>
      </c>
      <c r="G5" s="408" t="s">
        <v>29</v>
      </c>
      <c r="H5" s="130" t="s">
        <v>37</v>
      </c>
      <c r="I5" s="131" t="s">
        <v>6</v>
      </c>
      <c r="J5" s="131" t="s">
        <v>15</v>
      </c>
      <c r="K5" s="345" t="s">
        <v>36</v>
      </c>
      <c r="L5" s="145" t="s">
        <v>68</v>
      </c>
      <c r="M5" s="407" t="s">
        <v>69</v>
      </c>
      <c r="N5" s="407" t="s">
        <v>80</v>
      </c>
      <c r="O5" s="407" t="s">
        <v>81</v>
      </c>
      <c r="P5" s="407" t="s">
        <v>84</v>
      </c>
      <c r="Q5" s="145" t="s">
        <v>319</v>
      </c>
      <c r="R5" s="407" t="s">
        <v>309</v>
      </c>
      <c r="S5" s="407" t="s">
        <v>310</v>
      </c>
      <c r="T5" s="407" t="s">
        <v>320</v>
      </c>
      <c r="U5" s="407" t="s">
        <v>315</v>
      </c>
      <c r="V5" s="407" t="s">
        <v>311</v>
      </c>
      <c r="W5" s="145" t="s">
        <v>85</v>
      </c>
      <c r="X5" s="145" t="s">
        <v>313</v>
      </c>
      <c r="Y5" s="197" t="s">
        <v>98</v>
      </c>
      <c r="Z5" s="407" t="s">
        <v>44</v>
      </c>
      <c r="AA5" s="145" t="s">
        <v>82</v>
      </c>
      <c r="AB5" s="145" t="s">
        <v>532</v>
      </c>
      <c r="AC5" s="145" t="s">
        <v>41</v>
      </c>
      <c r="AD5" s="150" t="s">
        <v>42</v>
      </c>
      <c r="AE5" s="150" t="s">
        <v>335</v>
      </c>
      <c r="AF5" s="150" t="s">
        <v>331</v>
      </c>
      <c r="AG5" s="145" t="s">
        <v>330</v>
      </c>
      <c r="AH5" s="145" t="s">
        <v>334</v>
      </c>
      <c r="AI5" s="145" t="s">
        <v>71</v>
      </c>
      <c r="AJ5" s="145" t="s">
        <v>73</v>
      </c>
      <c r="AL5" s="347" t="s">
        <v>494</v>
      </c>
      <c r="AM5" s="347" t="s">
        <v>495</v>
      </c>
      <c r="AN5" s="347" t="s">
        <v>496</v>
      </c>
      <c r="AO5" s="347"/>
      <c r="AR5" s="27" t="s">
        <v>566</v>
      </c>
      <c r="AS5" s="27" t="s">
        <v>567</v>
      </c>
      <c r="AT5" s="27" t="s">
        <v>568</v>
      </c>
    </row>
    <row r="6" spans="2:51" s="325" customFormat="1" ht="15.75" customHeight="1">
      <c r="B6" s="312">
        <v>1</v>
      </c>
      <c r="C6" s="313" t="s">
        <v>100</v>
      </c>
      <c r="D6" s="314" t="s">
        <v>121</v>
      </c>
      <c r="E6" s="315" t="s">
        <v>143</v>
      </c>
      <c r="F6" s="313" t="s">
        <v>165</v>
      </c>
      <c r="G6" s="313" t="s">
        <v>595</v>
      </c>
      <c r="H6" s="316" t="s">
        <v>39</v>
      </c>
      <c r="I6" s="317" t="s">
        <v>11</v>
      </c>
      <c r="J6" s="318" t="str">
        <f>IF(ISBLANK(I6),"",IF(OR(I6="TK/0",I6="TK/1",I6="K/0"),"TER A",IF(I6="K/3","TER C","TER B")))</f>
        <v>TER B</v>
      </c>
      <c r="K6" s="334">
        <f>31*134500</f>
        <v>4169500</v>
      </c>
      <c r="L6" s="335">
        <f>(4035000+W6)*0.84%</f>
        <v>34347.599999999999</v>
      </c>
      <c r="M6" s="319">
        <f>[18]MAINTENANCE!AL10</f>
        <v>163560</v>
      </c>
      <c r="N6" s="319">
        <f>[18]MAINTENANCE!W10</f>
        <v>172050</v>
      </c>
      <c r="O6" s="319">
        <v>87500</v>
      </c>
      <c r="P6" s="319">
        <f>[18]MAINTENANCE!AE10</f>
        <v>932948</v>
      </c>
      <c r="Q6" s="319"/>
      <c r="R6" s="319"/>
      <c r="S6" s="319"/>
      <c r="T6" s="319"/>
      <c r="U6" s="319"/>
      <c r="V6" s="319"/>
      <c r="W6" s="319">
        <f>[18]MAINTENANCE!AB10</f>
        <v>54000</v>
      </c>
      <c r="X6" s="319"/>
      <c r="Y6" s="319">
        <f>-[18]MAINTENANCE!BB10</f>
        <v>0</v>
      </c>
      <c r="Z6" s="320"/>
      <c r="AA6" s="335"/>
      <c r="AB6" s="335"/>
      <c r="AC6" s="343">
        <f>ROUND(SUM(K6:AB6),0)</f>
        <v>5613906</v>
      </c>
      <c r="AD6" s="344">
        <f t="shared" ref="AD6:AD58" si="0">IF(J6="TER A",VLOOKUP(AC6,Ter_A,4,TRUE),IF(J6="TER B",VLOOKUP(AC6,Ter_B,4,TRUE),VLOOKUP(AC6,Ter_C,4,TRUE)))</f>
        <v>0</v>
      </c>
      <c r="AE6" s="320">
        <f>ROUND(IF(E6=0,AC6*AD6*120%,AC6*AD6),0)</f>
        <v>0</v>
      </c>
      <c r="AF6" s="353"/>
      <c r="AG6" s="321">
        <f>AE6-AF6</f>
        <v>0</v>
      </c>
      <c r="AH6" s="357">
        <f>AE6-AF6</f>
        <v>0</v>
      </c>
      <c r="AI6" s="323">
        <f>AH6-AG6</f>
        <v>0</v>
      </c>
      <c r="AJ6" s="324"/>
      <c r="AL6" s="346">
        <f>[18]MAINTENANCE!AG10</f>
        <v>5415998</v>
      </c>
      <c r="AM6" s="341">
        <f>L6+M6</f>
        <v>197907.6</v>
      </c>
      <c r="AN6" s="351">
        <f>AL6+AM6</f>
        <v>5613905.5999999996</v>
      </c>
      <c r="AO6" s="351">
        <f t="shared" ref="AO6:AO58" si="1">AN6-AC6</f>
        <v>-0.40000000037252903</v>
      </c>
      <c r="AR6" s="341">
        <f>K6+Y6</f>
        <v>4169500</v>
      </c>
      <c r="AS6" s="341">
        <f>N6+O6+P6+Q6+W6</f>
        <v>1246498</v>
      </c>
      <c r="AT6" s="341">
        <f>L6+M6</f>
        <v>197907.6</v>
      </c>
      <c r="AU6" s="413" t="s">
        <v>11</v>
      </c>
      <c r="AV6" s="325" t="s">
        <v>100</v>
      </c>
      <c r="AW6" s="325" t="s">
        <v>121</v>
      </c>
      <c r="AX6" s="325" t="s">
        <v>143</v>
      </c>
      <c r="AY6" s="325" t="s">
        <v>165</v>
      </c>
    </row>
    <row r="7" spans="2:51" s="325" customFormat="1" ht="15.75" customHeight="1">
      <c r="B7" s="326">
        <v>2</v>
      </c>
      <c r="C7" s="327" t="s">
        <v>101</v>
      </c>
      <c r="D7" s="328" t="s">
        <v>122</v>
      </c>
      <c r="E7" s="329" t="s">
        <v>144</v>
      </c>
      <c r="F7" s="330" t="s">
        <v>166</v>
      </c>
      <c r="G7" s="330" t="s">
        <v>596</v>
      </c>
      <c r="H7" s="331" t="s">
        <v>38</v>
      </c>
      <c r="I7" s="332" t="s">
        <v>7</v>
      </c>
      <c r="J7" s="333" t="str">
        <f t="shared" ref="J7:J58" si="2">IF(ISBLANK(I7),"",IF(OR(I7="TK/0",I7="TK/1",I7="K/0"),"TER A",IF(I7="K/3","TER C","TER B")))</f>
        <v>TER A</v>
      </c>
      <c r="K7" s="334">
        <f t="shared" ref="K7:K70" si="3">31*134500</f>
        <v>4169500</v>
      </c>
      <c r="L7" s="335">
        <f t="shared" ref="L7:L70" si="4">(4035000+W7)*0.84%</f>
        <v>34171.199999999997</v>
      </c>
      <c r="M7" s="340">
        <f>[18]MAINTENANCE!AL11</f>
        <v>162720</v>
      </c>
      <c r="N7" s="340">
        <f>[18]MAINTENANCE!W11</f>
        <v>69750</v>
      </c>
      <c r="O7" s="340"/>
      <c r="P7" s="340">
        <f>[18]MAINTENANCE!AE11</f>
        <v>0</v>
      </c>
      <c r="Q7" s="335"/>
      <c r="R7" s="335"/>
      <c r="S7" s="335"/>
      <c r="T7" s="335"/>
      <c r="U7" s="335"/>
      <c r="V7" s="335"/>
      <c r="W7" s="340">
        <f>[18]MAINTENANCE!AB11</f>
        <v>33000</v>
      </c>
      <c r="X7" s="335"/>
      <c r="Y7" s="340">
        <f>-[18]MAINTENANCE!BB11</f>
        <v>0</v>
      </c>
      <c r="Z7" s="321"/>
      <c r="AA7" s="335"/>
      <c r="AB7" s="335"/>
      <c r="AC7" s="343">
        <f>ROUND(SUM(K7:AB7),0)</f>
        <v>4469141</v>
      </c>
      <c r="AD7" s="322">
        <f t="shared" si="0"/>
        <v>0</v>
      </c>
      <c r="AE7" s="321">
        <f t="shared" ref="AE7:AE58" si="5">ROUND(IF(E7=0,AC7*AD7*120%,AC7*AD7),0)</f>
        <v>0</v>
      </c>
      <c r="AF7" s="353"/>
      <c r="AG7" s="321">
        <f>AE7-AF7</f>
        <v>0</v>
      </c>
      <c r="AH7" s="354"/>
      <c r="AI7" s="323">
        <f>AH7-AG7</f>
        <v>0</v>
      </c>
      <c r="AJ7" s="324"/>
      <c r="AL7" s="346">
        <f>[18]MAINTENANCE!AG11</f>
        <v>4272250</v>
      </c>
      <c r="AM7" s="341">
        <f t="shared" ref="AM7:AM58" si="6">L7+M7</f>
        <v>196891.2</v>
      </c>
      <c r="AN7" s="351">
        <f t="shared" ref="AN7:AN31" si="7">AL7+AM7</f>
        <v>4469141.2</v>
      </c>
      <c r="AO7" s="351">
        <f t="shared" si="1"/>
        <v>0.20000000018626451</v>
      </c>
      <c r="AR7" s="341">
        <f t="shared" ref="AR7:AR58" si="8">K7+Y7</f>
        <v>4169500</v>
      </c>
      <c r="AS7" s="341">
        <f t="shared" ref="AS7:AS58" si="9">N7+O7+P7+Q7+W7</f>
        <v>102750</v>
      </c>
      <c r="AT7" s="341">
        <f t="shared" ref="AT7:AT58" si="10">L7+M7</f>
        <v>196891.2</v>
      </c>
      <c r="AU7" s="413" t="s">
        <v>7</v>
      </c>
      <c r="AV7" s="325" t="s">
        <v>101</v>
      </c>
      <c r="AW7" s="325" t="s">
        <v>122</v>
      </c>
      <c r="AX7" s="325" t="s">
        <v>144</v>
      </c>
      <c r="AY7" s="325" t="s">
        <v>166</v>
      </c>
    </row>
    <row r="8" spans="2:51" s="325" customFormat="1" ht="15.75" customHeight="1">
      <c r="B8" s="326">
        <v>3</v>
      </c>
      <c r="C8" s="327" t="s">
        <v>102</v>
      </c>
      <c r="D8" s="328" t="s">
        <v>123</v>
      </c>
      <c r="E8" s="329" t="s">
        <v>145</v>
      </c>
      <c r="F8" s="330" t="s">
        <v>167</v>
      </c>
      <c r="G8" s="330" t="s">
        <v>596</v>
      </c>
      <c r="H8" s="331" t="s">
        <v>38</v>
      </c>
      <c r="I8" s="332" t="s">
        <v>7</v>
      </c>
      <c r="J8" s="333" t="str">
        <f t="shared" si="2"/>
        <v>TER A</v>
      </c>
      <c r="K8" s="334">
        <f t="shared" si="3"/>
        <v>4169500</v>
      </c>
      <c r="L8" s="335">
        <f t="shared" si="4"/>
        <v>34200.6</v>
      </c>
      <c r="M8" s="340">
        <f>[18]MAINTENANCE!AL12</f>
        <v>162860</v>
      </c>
      <c r="N8" s="340">
        <f>[18]MAINTENANCE!W12</f>
        <v>67500</v>
      </c>
      <c r="O8" s="340"/>
      <c r="P8" s="340">
        <f>[18]MAINTENANCE!AE12</f>
        <v>0</v>
      </c>
      <c r="Q8" s="335"/>
      <c r="R8" s="335"/>
      <c r="S8" s="335"/>
      <c r="T8" s="335"/>
      <c r="U8" s="335"/>
      <c r="V8" s="335"/>
      <c r="W8" s="340">
        <f>[18]MAINTENANCE!AB12</f>
        <v>36500</v>
      </c>
      <c r="X8" s="335"/>
      <c r="Y8" s="340">
        <f>-[18]MAINTENANCE!BB12</f>
        <v>-134500</v>
      </c>
      <c r="Z8" s="321"/>
      <c r="AA8" s="335"/>
      <c r="AB8" s="335"/>
      <c r="AC8" s="343">
        <f t="shared" ref="AC8:AC32" si="11">ROUND(SUM(K8:AB8),0)</f>
        <v>4336061</v>
      </c>
      <c r="AD8" s="322">
        <f t="shared" si="0"/>
        <v>0</v>
      </c>
      <c r="AE8" s="321">
        <f t="shared" si="5"/>
        <v>0</v>
      </c>
      <c r="AF8" s="353"/>
      <c r="AG8" s="321">
        <f t="shared" ref="AG8:AG57" si="12">AE8-AF8</f>
        <v>0</v>
      </c>
      <c r="AH8" s="354"/>
      <c r="AI8" s="323">
        <f t="shared" ref="AI8:AI63" si="13">AH8-AG8</f>
        <v>0</v>
      </c>
      <c r="AJ8" s="324"/>
      <c r="AL8" s="346">
        <f>[18]MAINTENANCE!AG12</f>
        <v>4139000</v>
      </c>
      <c r="AM8" s="341">
        <f t="shared" si="6"/>
        <v>197060.6</v>
      </c>
      <c r="AN8" s="351">
        <f t="shared" si="7"/>
        <v>4336060.5999999996</v>
      </c>
      <c r="AO8" s="351">
        <f t="shared" si="1"/>
        <v>-0.40000000037252903</v>
      </c>
      <c r="AR8" s="341">
        <f t="shared" si="8"/>
        <v>4035000</v>
      </c>
      <c r="AS8" s="341">
        <f t="shared" si="9"/>
        <v>104000</v>
      </c>
      <c r="AT8" s="341">
        <f t="shared" si="10"/>
        <v>197060.6</v>
      </c>
      <c r="AU8" s="413" t="s">
        <v>7</v>
      </c>
      <c r="AV8" s="325" t="s">
        <v>102</v>
      </c>
      <c r="AW8" s="325" t="s">
        <v>123</v>
      </c>
      <c r="AX8" s="325" t="s">
        <v>145</v>
      </c>
      <c r="AY8" s="325" t="s">
        <v>167</v>
      </c>
    </row>
    <row r="9" spans="2:51" s="325" customFormat="1" ht="15.75" customHeight="1">
      <c r="B9" s="326">
        <v>4</v>
      </c>
      <c r="C9" s="327" t="s">
        <v>103</v>
      </c>
      <c r="D9" s="328" t="s">
        <v>124</v>
      </c>
      <c r="E9" s="329" t="s">
        <v>146</v>
      </c>
      <c r="F9" s="330" t="s">
        <v>168</v>
      </c>
      <c r="G9" s="330" t="s">
        <v>596</v>
      </c>
      <c r="H9" s="331" t="s">
        <v>38</v>
      </c>
      <c r="I9" s="332" t="s">
        <v>7</v>
      </c>
      <c r="J9" s="333" t="str">
        <f t="shared" si="2"/>
        <v>TER A</v>
      </c>
      <c r="K9" s="334">
        <f t="shared" si="3"/>
        <v>4169500</v>
      </c>
      <c r="L9" s="335">
        <f t="shared" si="4"/>
        <v>34347.599999999999</v>
      </c>
      <c r="M9" s="340">
        <f>[18]MAINTENANCE!AL13</f>
        <v>163560</v>
      </c>
      <c r="N9" s="340">
        <f>[18]MAINTENANCE!W13</f>
        <v>65250</v>
      </c>
      <c r="O9" s="340"/>
      <c r="P9" s="340">
        <f>[18]MAINTENANCE!AE13</f>
        <v>0</v>
      </c>
      <c r="Q9" s="335"/>
      <c r="R9" s="335"/>
      <c r="S9" s="335"/>
      <c r="T9" s="335"/>
      <c r="U9" s="335"/>
      <c r="V9" s="335"/>
      <c r="W9" s="340">
        <f>[18]MAINTENANCE!AB13</f>
        <v>54000</v>
      </c>
      <c r="X9" s="335"/>
      <c r="Y9" s="340">
        <f>-[18]MAINTENANCE!BB13</f>
        <v>-269000</v>
      </c>
      <c r="Z9" s="321"/>
      <c r="AA9" s="335"/>
      <c r="AB9" s="335"/>
      <c r="AC9" s="343">
        <f t="shared" si="11"/>
        <v>4217658</v>
      </c>
      <c r="AD9" s="322">
        <f t="shared" si="0"/>
        <v>0</v>
      </c>
      <c r="AE9" s="321">
        <f t="shared" si="5"/>
        <v>0</v>
      </c>
      <c r="AF9" s="353"/>
      <c r="AG9" s="321">
        <f t="shared" si="12"/>
        <v>0</v>
      </c>
      <c r="AH9" s="354"/>
      <c r="AI9" s="323">
        <f t="shared" si="13"/>
        <v>0</v>
      </c>
      <c r="AJ9" s="324"/>
      <c r="AL9" s="346">
        <f>[18]MAINTENANCE!AG13</f>
        <v>4019750</v>
      </c>
      <c r="AM9" s="341">
        <f>L9+M9</f>
        <v>197907.6</v>
      </c>
      <c r="AN9" s="351">
        <f t="shared" si="7"/>
        <v>4217657.5999999996</v>
      </c>
      <c r="AO9" s="351">
        <f t="shared" si="1"/>
        <v>-0.40000000037252903</v>
      </c>
      <c r="AR9" s="341">
        <f t="shared" si="8"/>
        <v>3900500</v>
      </c>
      <c r="AS9" s="341">
        <f t="shared" si="9"/>
        <v>119250</v>
      </c>
      <c r="AT9" s="341">
        <f t="shared" si="10"/>
        <v>197907.6</v>
      </c>
      <c r="AU9" s="413" t="s">
        <v>7</v>
      </c>
      <c r="AV9" s="325" t="s">
        <v>103</v>
      </c>
      <c r="AW9" s="325" t="s">
        <v>124</v>
      </c>
      <c r="AX9" s="325" t="s">
        <v>146</v>
      </c>
      <c r="AY9" s="325" t="s">
        <v>168</v>
      </c>
    </row>
    <row r="10" spans="2:51" s="325" customFormat="1" ht="15.75" customHeight="1">
      <c r="B10" s="326">
        <v>5</v>
      </c>
      <c r="C10" s="327" t="s">
        <v>590</v>
      </c>
      <c r="D10" s="328" t="s">
        <v>125</v>
      </c>
      <c r="E10" s="329" t="s">
        <v>147</v>
      </c>
      <c r="F10" s="330" t="s">
        <v>314</v>
      </c>
      <c r="G10" s="330" t="s">
        <v>596</v>
      </c>
      <c r="H10" s="331" t="s">
        <v>38</v>
      </c>
      <c r="I10" s="332" t="s">
        <v>7</v>
      </c>
      <c r="J10" s="333" t="str">
        <f t="shared" si="2"/>
        <v>TER A</v>
      </c>
      <c r="K10" s="334">
        <f t="shared" si="3"/>
        <v>4169500</v>
      </c>
      <c r="L10" s="335">
        <f t="shared" si="4"/>
        <v>34200.6</v>
      </c>
      <c r="M10" s="340">
        <f>[18]MAINTENANCE!AL14</f>
        <v>162860</v>
      </c>
      <c r="N10" s="340">
        <f>[18]MAINTENANCE!W14</f>
        <v>65250</v>
      </c>
      <c r="O10" s="340"/>
      <c r="P10" s="340">
        <f>[18]MAINTENANCE!AE14</f>
        <v>0</v>
      </c>
      <c r="Q10" s="335"/>
      <c r="R10" s="335"/>
      <c r="S10" s="335"/>
      <c r="T10" s="335"/>
      <c r="U10" s="335"/>
      <c r="V10" s="335"/>
      <c r="W10" s="340">
        <f>[18]MAINTENANCE!AB14</f>
        <v>36500</v>
      </c>
      <c r="X10" s="335"/>
      <c r="Y10" s="340">
        <f>-[18]MAINTENANCE!BB14</f>
        <v>-269000</v>
      </c>
      <c r="Z10" s="321"/>
      <c r="AA10" s="335"/>
      <c r="AB10" s="335"/>
      <c r="AC10" s="343">
        <f t="shared" si="11"/>
        <v>4199311</v>
      </c>
      <c r="AD10" s="322">
        <f t="shared" si="0"/>
        <v>0</v>
      </c>
      <c r="AE10" s="321">
        <f t="shared" si="5"/>
        <v>0</v>
      </c>
      <c r="AF10" s="353"/>
      <c r="AG10" s="321">
        <f t="shared" si="12"/>
        <v>0</v>
      </c>
      <c r="AH10" s="354"/>
      <c r="AI10" s="323">
        <f t="shared" si="13"/>
        <v>0</v>
      </c>
      <c r="AJ10" s="324"/>
      <c r="AL10" s="346">
        <f>[18]MAINTENANCE!AG14</f>
        <v>4002250</v>
      </c>
      <c r="AM10" s="341">
        <f t="shared" si="6"/>
        <v>197060.6</v>
      </c>
      <c r="AN10" s="351">
        <f t="shared" si="7"/>
        <v>4199310.5999999996</v>
      </c>
      <c r="AO10" s="351">
        <f t="shared" si="1"/>
        <v>-0.40000000037252903</v>
      </c>
      <c r="AR10" s="341">
        <f t="shared" si="8"/>
        <v>3900500</v>
      </c>
      <c r="AS10" s="341">
        <f t="shared" si="9"/>
        <v>101750</v>
      </c>
      <c r="AT10" s="341">
        <f t="shared" si="10"/>
        <v>197060.6</v>
      </c>
      <c r="AU10" s="413" t="s">
        <v>7</v>
      </c>
      <c r="AV10" s="325" t="s">
        <v>104</v>
      </c>
      <c r="AW10" s="325" t="s">
        <v>125</v>
      </c>
      <c r="AX10" s="325" t="s">
        <v>147</v>
      </c>
      <c r="AY10" s="325" t="s">
        <v>314</v>
      </c>
    </row>
    <row r="11" spans="2:51" s="325" customFormat="1" ht="15.75" customHeight="1">
      <c r="B11" s="326">
        <v>6</v>
      </c>
      <c r="C11" s="327" t="s">
        <v>105</v>
      </c>
      <c r="D11" s="328" t="s">
        <v>126</v>
      </c>
      <c r="E11" s="329" t="s">
        <v>148</v>
      </c>
      <c r="F11" s="330" t="s">
        <v>169</v>
      </c>
      <c r="G11" s="330" t="s">
        <v>596</v>
      </c>
      <c r="H11" s="331" t="s">
        <v>38</v>
      </c>
      <c r="I11" s="332" t="s">
        <v>7</v>
      </c>
      <c r="J11" s="333" t="str">
        <f t="shared" si="2"/>
        <v>TER A</v>
      </c>
      <c r="K11" s="334">
        <f t="shared" si="3"/>
        <v>4169500</v>
      </c>
      <c r="L11" s="335">
        <f t="shared" si="4"/>
        <v>34318.199999999997</v>
      </c>
      <c r="M11" s="340">
        <f>[18]MAINTENANCE!AL15</f>
        <v>163420</v>
      </c>
      <c r="N11" s="340">
        <f>[18]MAINTENANCE!W15</f>
        <v>69750</v>
      </c>
      <c r="O11" s="340"/>
      <c r="P11" s="340">
        <f>[18]MAINTENANCE!AE15</f>
        <v>0</v>
      </c>
      <c r="Q11" s="335"/>
      <c r="R11" s="335"/>
      <c r="S11" s="335"/>
      <c r="T11" s="335"/>
      <c r="U11" s="335"/>
      <c r="V11" s="335"/>
      <c r="W11" s="340">
        <f>[18]MAINTENANCE!AB15</f>
        <v>50500</v>
      </c>
      <c r="X11" s="335"/>
      <c r="Y11" s="340">
        <f>-[18]MAINTENANCE!BB15</f>
        <v>0</v>
      </c>
      <c r="Z11" s="321"/>
      <c r="AA11" s="335"/>
      <c r="AB11" s="335"/>
      <c r="AC11" s="343">
        <f t="shared" si="11"/>
        <v>4487488</v>
      </c>
      <c r="AD11" s="322">
        <f t="shared" si="0"/>
        <v>0</v>
      </c>
      <c r="AE11" s="321">
        <f t="shared" si="5"/>
        <v>0</v>
      </c>
      <c r="AF11" s="353"/>
      <c r="AG11" s="321">
        <f t="shared" si="12"/>
        <v>0</v>
      </c>
      <c r="AH11" s="354"/>
      <c r="AI11" s="323">
        <f t="shared" si="13"/>
        <v>0</v>
      </c>
      <c r="AJ11" s="324"/>
      <c r="AL11" s="346">
        <f>[18]MAINTENANCE!AG15</f>
        <v>4289750</v>
      </c>
      <c r="AM11" s="341">
        <f t="shared" si="6"/>
        <v>197738.2</v>
      </c>
      <c r="AN11" s="351">
        <f t="shared" si="7"/>
        <v>4487488.2</v>
      </c>
      <c r="AO11" s="351">
        <f t="shared" si="1"/>
        <v>0.20000000018626451</v>
      </c>
      <c r="AR11" s="341">
        <f t="shared" si="8"/>
        <v>4169500</v>
      </c>
      <c r="AS11" s="341">
        <f t="shared" si="9"/>
        <v>120250</v>
      </c>
      <c r="AT11" s="341">
        <f t="shared" si="10"/>
        <v>197738.2</v>
      </c>
      <c r="AU11" s="413" t="s">
        <v>7</v>
      </c>
      <c r="AV11" s="325" t="s">
        <v>105</v>
      </c>
      <c r="AW11" s="325" t="s">
        <v>126</v>
      </c>
      <c r="AX11" s="325" t="s">
        <v>148</v>
      </c>
      <c r="AY11" s="325" t="s">
        <v>169</v>
      </c>
    </row>
    <row r="12" spans="2:51" s="325" customFormat="1" ht="15.75" customHeight="1">
      <c r="B12" s="326">
        <v>7</v>
      </c>
      <c r="C12" s="327" t="s">
        <v>107</v>
      </c>
      <c r="D12" s="328" t="s">
        <v>128</v>
      </c>
      <c r="E12" s="329" t="s">
        <v>150</v>
      </c>
      <c r="F12" s="330" t="s">
        <v>170</v>
      </c>
      <c r="G12" s="330" t="s">
        <v>596</v>
      </c>
      <c r="H12" s="331" t="s">
        <v>38</v>
      </c>
      <c r="I12" s="332" t="s">
        <v>7</v>
      </c>
      <c r="J12" s="333" t="str">
        <f t="shared" si="2"/>
        <v>TER A</v>
      </c>
      <c r="K12" s="334">
        <f t="shared" si="3"/>
        <v>4169500</v>
      </c>
      <c r="L12" s="335">
        <f t="shared" si="4"/>
        <v>34318.199999999997</v>
      </c>
      <c r="M12" s="340">
        <f>[18]MAINTENANCE!AL16</f>
        <v>163420</v>
      </c>
      <c r="N12" s="340">
        <f>[18]MAINTENANCE!W16</f>
        <v>69750</v>
      </c>
      <c r="O12" s="340"/>
      <c r="P12" s="340">
        <f>[18]MAINTENANCE!AE16</f>
        <v>0</v>
      </c>
      <c r="Q12" s="335"/>
      <c r="R12" s="335"/>
      <c r="S12" s="335"/>
      <c r="T12" s="335"/>
      <c r="U12" s="335"/>
      <c r="V12" s="335"/>
      <c r="W12" s="340">
        <f>[18]MAINTENANCE!AB16</f>
        <v>50500</v>
      </c>
      <c r="X12" s="335"/>
      <c r="Y12" s="340">
        <f>-[18]MAINTENANCE!BB16</f>
        <v>0</v>
      </c>
      <c r="Z12" s="321"/>
      <c r="AA12" s="335"/>
      <c r="AB12" s="335"/>
      <c r="AC12" s="343">
        <f t="shared" si="11"/>
        <v>4487488</v>
      </c>
      <c r="AD12" s="322">
        <f t="shared" si="0"/>
        <v>0</v>
      </c>
      <c r="AE12" s="321">
        <f t="shared" si="5"/>
        <v>0</v>
      </c>
      <c r="AF12" s="353"/>
      <c r="AG12" s="321">
        <f t="shared" si="12"/>
        <v>0</v>
      </c>
      <c r="AH12" s="354"/>
      <c r="AI12" s="323">
        <f t="shared" si="13"/>
        <v>0</v>
      </c>
      <c r="AJ12" s="324"/>
      <c r="AL12" s="346">
        <f>[18]MAINTENANCE!AG16</f>
        <v>4289750</v>
      </c>
      <c r="AM12" s="341">
        <f t="shared" si="6"/>
        <v>197738.2</v>
      </c>
      <c r="AN12" s="351">
        <f t="shared" si="7"/>
        <v>4487488.2</v>
      </c>
      <c r="AO12" s="351">
        <f t="shared" si="1"/>
        <v>0.20000000018626451</v>
      </c>
      <c r="AR12" s="341">
        <f t="shared" si="8"/>
        <v>4169500</v>
      </c>
      <c r="AS12" s="341">
        <f t="shared" si="9"/>
        <v>120250</v>
      </c>
      <c r="AT12" s="341">
        <f t="shared" si="10"/>
        <v>197738.2</v>
      </c>
      <c r="AU12" s="413" t="s">
        <v>7</v>
      </c>
      <c r="AV12" s="325" t="s">
        <v>107</v>
      </c>
      <c r="AW12" s="325" t="s">
        <v>128</v>
      </c>
      <c r="AX12" s="325" t="s">
        <v>150</v>
      </c>
      <c r="AY12" s="325" t="s">
        <v>170</v>
      </c>
    </row>
    <row r="13" spans="2:51" s="325" customFormat="1" ht="15.75" customHeight="1">
      <c r="B13" s="326">
        <v>8</v>
      </c>
      <c r="C13" s="327" t="s">
        <v>108</v>
      </c>
      <c r="D13" s="328" t="s">
        <v>129</v>
      </c>
      <c r="E13" s="329" t="s">
        <v>151</v>
      </c>
      <c r="F13" s="330" t="s">
        <v>171</v>
      </c>
      <c r="G13" s="330" t="s">
        <v>596</v>
      </c>
      <c r="H13" s="331" t="s">
        <v>38</v>
      </c>
      <c r="I13" s="332" t="s">
        <v>7</v>
      </c>
      <c r="J13" s="333" t="str">
        <f t="shared" si="2"/>
        <v>TER A</v>
      </c>
      <c r="K13" s="334">
        <f t="shared" si="3"/>
        <v>4169500</v>
      </c>
      <c r="L13" s="335">
        <f t="shared" si="4"/>
        <v>34347.599999999999</v>
      </c>
      <c r="M13" s="340">
        <f>[18]MAINTENANCE!AL17</f>
        <v>163560</v>
      </c>
      <c r="N13" s="340">
        <f>[18]MAINTENANCE!W17</f>
        <v>69750</v>
      </c>
      <c r="O13" s="340"/>
      <c r="P13" s="340">
        <f>[18]MAINTENANCE!AE17</f>
        <v>0</v>
      </c>
      <c r="Q13" s="335"/>
      <c r="R13" s="335"/>
      <c r="S13" s="335"/>
      <c r="T13" s="335"/>
      <c r="U13" s="335"/>
      <c r="V13" s="335"/>
      <c r="W13" s="340">
        <f>[18]MAINTENANCE!AB17</f>
        <v>54000</v>
      </c>
      <c r="X13" s="335"/>
      <c r="Y13" s="340">
        <f>-[18]MAINTENANCE!BB17</f>
        <v>0</v>
      </c>
      <c r="Z13" s="321"/>
      <c r="AA13" s="335"/>
      <c r="AB13" s="335"/>
      <c r="AC13" s="343">
        <f t="shared" si="11"/>
        <v>4491158</v>
      </c>
      <c r="AD13" s="322">
        <f t="shared" si="0"/>
        <v>0</v>
      </c>
      <c r="AE13" s="321">
        <f t="shared" si="5"/>
        <v>0</v>
      </c>
      <c r="AF13" s="353"/>
      <c r="AG13" s="321">
        <f t="shared" si="12"/>
        <v>0</v>
      </c>
      <c r="AH13" s="354"/>
      <c r="AI13" s="323">
        <f t="shared" si="13"/>
        <v>0</v>
      </c>
      <c r="AJ13" s="324"/>
      <c r="AL13" s="346">
        <f>[18]MAINTENANCE!AG17</f>
        <v>4293250</v>
      </c>
      <c r="AM13" s="341">
        <f t="shared" si="6"/>
        <v>197907.6</v>
      </c>
      <c r="AN13" s="351">
        <f t="shared" si="7"/>
        <v>4491157.5999999996</v>
      </c>
      <c r="AO13" s="351">
        <f t="shared" si="1"/>
        <v>-0.40000000037252903</v>
      </c>
      <c r="AR13" s="341">
        <f t="shared" si="8"/>
        <v>4169500</v>
      </c>
      <c r="AS13" s="341">
        <f t="shared" si="9"/>
        <v>123750</v>
      </c>
      <c r="AT13" s="341">
        <f t="shared" si="10"/>
        <v>197907.6</v>
      </c>
      <c r="AU13" s="413" t="s">
        <v>7</v>
      </c>
      <c r="AV13" s="325" t="s">
        <v>108</v>
      </c>
      <c r="AW13" s="325" t="s">
        <v>129</v>
      </c>
      <c r="AX13" s="325" t="s">
        <v>151</v>
      </c>
      <c r="AY13" s="325" t="s">
        <v>171</v>
      </c>
    </row>
    <row r="14" spans="2:51" s="325" customFormat="1" ht="15.75" customHeight="1">
      <c r="B14" s="326">
        <v>9</v>
      </c>
      <c r="C14" s="327" t="s">
        <v>109</v>
      </c>
      <c r="D14" s="328" t="s">
        <v>130</v>
      </c>
      <c r="E14" s="329" t="s">
        <v>152</v>
      </c>
      <c r="F14" s="330" t="s">
        <v>90</v>
      </c>
      <c r="G14" s="330" t="s">
        <v>596</v>
      </c>
      <c r="H14" s="331" t="s">
        <v>38</v>
      </c>
      <c r="I14" s="332" t="s">
        <v>7</v>
      </c>
      <c r="J14" s="333" t="str">
        <f t="shared" si="2"/>
        <v>TER A</v>
      </c>
      <c r="K14" s="334">
        <f t="shared" si="3"/>
        <v>4169500</v>
      </c>
      <c r="L14" s="335">
        <f t="shared" si="4"/>
        <v>34377</v>
      </c>
      <c r="M14" s="340">
        <f>[18]MAINTENANCE!AL18</f>
        <v>163700</v>
      </c>
      <c r="N14" s="340">
        <f>[18]MAINTENANCE!W18</f>
        <v>60750</v>
      </c>
      <c r="O14" s="340"/>
      <c r="P14" s="340">
        <f>[18]MAINTENANCE!AE18</f>
        <v>0</v>
      </c>
      <c r="Q14" s="335"/>
      <c r="R14" s="335"/>
      <c r="S14" s="335"/>
      <c r="T14" s="335"/>
      <c r="U14" s="335"/>
      <c r="V14" s="335"/>
      <c r="W14" s="340">
        <f>[18]MAINTENANCE!AB18</f>
        <v>57500</v>
      </c>
      <c r="X14" s="335"/>
      <c r="Y14" s="340">
        <f>-[18]MAINTENANCE!BB18</f>
        <v>-538000</v>
      </c>
      <c r="Z14" s="321"/>
      <c r="AA14" s="335"/>
      <c r="AB14" s="335"/>
      <c r="AC14" s="343">
        <f t="shared" si="11"/>
        <v>3947827</v>
      </c>
      <c r="AD14" s="322">
        <f t="shared" si="0"/>
        <v>0</v>
      </c>
      <c r="AE14" s="321">
        <f t="shared" si="5"/>
        <v>0</v>
      </c>
      <c r="AF14" s="353"/>
      <c r="AG14" s="321">
        <f t="shared" si="12"/>
        <v>0</v>
      </c>
      <c r="AH14" s="354"/>
      <c r="AI14" s="323">
        <f t="shared" si="13"/>
        <v>0</v>
      </c>
      <c r="AJ14" s="324"/>
      <c r="AL14" s="346">
        <f>[18]MAINTENANCE!AG18</f>
        <v>3749750</v>
      </c>
      <c r="AM14" s="341">
        <f t="shared" si="6"/>
        <v>198077</v>
      </c>
      <c r="AN14" s="351">
        <f t="shared" si="7"/>
        <v>3947827</v>
      </c>
      <c r="AO14" s="351">
        <f t="shared" si="1"/>
        <v>0</v>
      </c>
      <c r="AR14" s="341">
        <f t="shared" si="8"/>
        <v>3631500</v>
      </c>
      <c r="AS14" s="341">
        <f t="shared" si="9"/>
        <v>118250</v>
      </c>
      <c r="AT14" s="341">
        <f t="shared" si="10"/>
        <v>198077</v>
      </c>
      <c r="AU14" s="413" t="s">
        <v>7</v>
      </c>
      <c r="AV14" s="325" t="s">
        <v>109</v>
      </c>
      <c r="AW14" s="325" t="s">
        <v>130</v>
      </c>
      <c r="AX14" s="325" t="s">
        <v>152</v>
      </c>
      <c r="AY14" s="325" t="s">
        <v>90</v>
      </c>
    </row>
    <row r="15" spans="2:51" s="325" customFormat="1" ht="15.75" customHeight="1">
      <c r="B15" s="326">
        <v>10</v>
      </c>
      <c r="C15" s="327" t="s">
        <v>110</v>
      </c>
      <c r="D15" s="328" t="s">
        <v>131</v>
      </c>
      <c r="E15" s="329" t="s">
        <v>153</v>
      </c>
      <c r="F15" s="330" t="s">
        <v>172</v>
      </c>
      <c r="G15" s="330" t="s">
        <v>596</v>
      </c>
      <c r="H15" s="331" t="s">
        <v>38</v>
      </c>
      <c r="I15" s="332" t="s">
        <v>7</v>
      </c>
      <c r="J15" s="333" t="str">
        <f t="shared" si="2"/>
        <v>TER A</v>
      </c>
      <c r="K15" s="334">
        <f t="shared" si="3"/>
        <v>4169500</v>
      </c>
      <c r="L15" s="335">
        <f t="shared" si="4"/>
        <v>34318.199999999997</v>
      </c>
      <c r="M15" s="340">
        <f>[18]MAINTENANCE!AL19</f>
        <v>163420</v>
      </c>
      <c r="N15" s="340">
        <f>[18]MAINTENANCE!W19</f>
        <v>69750</v>
      </c>
      <c r="O15" s="340"/>
      <c r="P15" s="340">
        <f>[18]MAINTENANCE!AE19</f>
        <v>0</v>
      </c>
      <c r="Q15" s="335"/>
      <c r="R15" s="335"/>
      <c r="S15" s="335"/>
      <c r="T15" s="335"/>
      <c r="U15" s="335"/>
      <c r="V15" s="335"/>
      <c r="W15" s="340">
        <f>[18]MAINTENANCE!AB19</f>
        <v>50500</v>
      </c>
      <c r="X15" s="335"/>
      <c r="Y15" s="340">
        <f>-[18]MAINTENANCE!BB19</f>
        <v>0</v>
      </c>
      <c r="Z15" s="321"/>
      <c r="AA15" s="335"/>
      <c r="AB15" s="335"/>
      <c r="AC15" s="343">
        <f t="shared" si="11"/>
        <v>4487488</v>
      </c>
      <c r="AD15" s="322">
        <f t="shared" si="0"/>
        <v>0</v>
      </c>
      <c r="AE15" s="321">
        <f t="shared" si="5"/>
        <v>0</v>
      </c>
      <c r="AF15" s="353"/>
      <c r="AG15" s="321">
        <f t="shared" si="12"/>
        <v>0</v>
      </c>
      <c r="AH15" s="354"/>
      <c r="AI15" s="323">
        <f t="shared" si="13"/>
        <v>0</v>
      </c>
      <c r="AJ15" s="324"/>
      <c r="AL15" s="346">
        <f>[18]MAINTENANCE!AG19</f>
        <v>4289750</v>
      </c>
      <c r="AM15" s="341">
        <f t="shared" si="6"/>
        <v>197738.2</v>
      </c>
      <c r="AN15" s="351">
        <f t="shared" si="7"/>
        <v>4487488.2</v>
      </c>
      <c r="AO15" s="351">
        <f t="shared" si="1"/>
        <v>0.20000000018626451</v>
      </c>
      <c r="AR15" s="341">
        <f t="shared" si="8"/>
        <v>4169500</v>
      </c>
      <c r="AS15" s="341">
        <f t="shared" si="9"/>
        <v>120250</v>
      </c>
      <c r="AT15" s="341">
        <f t="shared" si="10"/>
        <v>197738.2</v>
      </c>
      <c r="AU15" s="413" t="s">
        <v>7</v>
      </c>
      <c r="AV15" s="325" t="s">
        <v>110</v>
      </c>
      <c r="AW15" s="325" t="s">
        <v>131</v>
      </c>
      <c r="AX15" s="325" t="s">
        <v>153</v>
      </c>
      <c r="AY15" s="325" t="s">
        <v>172</v>
      </c>
    </row>
    <row r="16" spans="2:51" s="325" customFormat="1" ht="15.75" customHeight="1">
      <c r="B16" s="326">
        <v>11</v>
      </c>
      <c r="C16" s="327" t="s">
        <v>111</v>
      </c>
      <c r="D16" s="328" t="s">
        <v>132</v>
      </c>
      <c r="E16" s="329" t="s">
        <v>154</v>
      </c>
      <c r="F16" s="330" t="s">
        <v>173</v>
      </c>
      <c r="G16" s="330" t="s">
        <v>596</v>
      </c>
      <c r="H16" s="331" t="s">
        <v>38</v>
      </c>
      <c r="I16" s="332" t="s">
        <v>7</v>
      </c>
      <c r="J16" s="333" t="str">
        <f t="shared" si="2"/>
        <v>TER A</v>
      </c>
      <c r="K16" s="334">
        <f t="shared" si="3"/>
        <v>4169500</v>
      </c>
      <c r="L16" s="335">
        <f t="shared" si="4"/>
        <v>34318.199999999997</v>
      </c>
      <c r="M16" s="340">
        <f>[18]MAINTENANCE!AL20</f>
        <v>163420</v>
      </c>
      <c r="N16" s="340">
        <f>[18]MAINTENANCE!W20</f>
        <v>67500</v>
      </c>
      <c r="O16" s="340"/>
      <c r="P16" s="340">
        <f>[18]MAINTENANCE!AE20</f>
        <v>0</v>
      </c>
      <c r="Q16" s="335"/>
      <c r="R16" s="335"/>
      <c r="S16" s="335"/>
      <c r="T16" s="335"/>
      <c r="U16" s="335"/>
      <c r="V16" s="335"/>
      <c r="W16" s="340">
        <f>[18]MAINTENANCE!AB20</f>
        <v>50500</v>
      </c>
      <c r="X16" s="335"/>
      <c r="Y16" s="340">
        <f>-[18]MAINTENANCE!BB20</f>
        <v>-134500</v>
      </c>
      <c r="Z16" s="321"/>
      <c r="AA16" s="335"/>
      <c r="AB16" s="335"/>
      <c r="AC16" s="343">
        <f t="shared" si="11"/>
        <v>4350738</v>
      </c>
      <c r="AD16" s="322">
        <f t="shared" si="0"/>
        <v>0</v>
      </c>
      <c r="AE16" s="321">
        <f t="shared" si="5"/>
        <v>0</v>
      </c>
      <c r="AF16" s="353"/>
      <c r="AG16" s="321">
        <f t="shared" si="12"/>
        <v>0</v>
      </c>
      <c r="AH16" s="354"/>
      <c r="AI16" s="323">
        <f t="shared" si="13"/>
        <v>0</v>
      </c>
      <c r="AJ16" s="324"/>
      <c r="AL16" s="346">
        <f>[18]MAINTENANCE!AG20</f>
        <v>4153000</v>
      </c>
      <c r="AM16" s="341">
        <f t="shared" si="6"/>
        <v>197738.2</v>
      </c>
      <c r="AN16" s="351">
        <f t="shared" si="7"/>
        <v>4350738.2</v>
      </c>
      <c r="AO16" s="351">
        <f t="shared" si="1"/>
        <v>0.20000000018626451</v>
      </c>
      <c r="AR16" s="341">
        <f t="shared" si="8"/>
        <v>4035000</v>
      </c>
      <c r="AS16" s="341">
        <f t="shared" si="9"/>
        <v>118000</v>
      </c>
      <c r="AT16" s="341">
        <f t="shared" si="10"/>
        <v>197738.2</v>
      </c>
      <c r="AU16" s="413" t="s">
        <v>7</v>
      </c>
      <c r="AV16" s="325" t="s">
        <v>111</v>
      </c>
      <c r="AW16" s="325" t="s">
        <v>132</v>
      </c>
      <c r="AX16" s="325" t="s">
        <v>154</v>
      </c>
      <c r="AY16" s="325" t="s">
        <v>173</v>
      </c>
    </row>
    <row r="17" spans="2:51" s="325" customFormat="1" ht="15.75" customHeight="1">
      <c r="B17" s="326">
        <v>12</v>
      </c>
      <c r="C17" s="327" t="s">
        <v>112</v>
      </c>
      <c r="D17" s="328" t="s">
        <v>133</v>
      </c>
      <c r="E17" s="329" t="s">
        <v>155</v>
      </c>
      <c r="F17" s="330" t="s">
        <v>174</v>
      </c>
      <c r="G17" s="330" t="s">
        <v>596</v>
      </c>
      <c r="H17" s="331" t="s">
        <v>39</v>
      </c>
      <c r="I17" s="332" t="s">
        <v>7</v>
      </c>
      <c r="J17" s="333" t="str">
        <f t="shared" si="2"/>
        <v>TER A</v>
      </c>
      <c r="K17" s="334">
        <f t="shared" si="3"/>
        <v>4169500</v>
      </c>
      <c r="L17" s="335">
        <f t="shared" si="4"/>
        <v>34318.199999999997</v>
      </c>
      <c r="M17" s="340">
        <f>[18]MAINTENANCE!AL21</f>
        <v>163420</v>
      </c>
      <c r="N17" s="340">
        <f>[18]MAINTENANCE!W21</f>
        <v>69750</v>
      </c>
      <c r="O17" s="340"/>
      <c r="P17" s="340">
        <f>[18]MAINTENANCE!AE21</f>
        <v>116618.5</v>
      </c>
      <c r="Q17" s="335"/>
      <c r="R17" s="335"/>
      <c r="S17" s="335"/>
      <c r="T17" s="335"/>
      <c r="U17" s="335"/>
      <c r="V17" s="335"/>
      <c r="W17" s="340">
        <f>[18]MAINTENANCE!AB21</f>
        <v>50500</v>
      </c>
      <c r="X17" s="335"/>
      <c r="Y17" s="340">
        <f>-[18]MAINTENANCE!BB21</f>
        <v>0</v>
      </c>
      <c r="Z17" s="321"/>
      <c r="AA17" s="335"/>
      <c r="AB17" s="335"/>
      <c r="AC17" s="343">
        <f t="shared" si="11"/>
        <v>4604107</v>
      </c>
      <c r="AD17" s="322">
        <f t="shared" si="0"/>
        <v>0</v>
      </c>
      <c r="AE17" s="321">
        <f t="shared" si="5"/>
        <v>0</v>
      </c>
      <c r="AF17" s="353"/>
      <c r="AG17" s="321">
        <f t="shared" si="12"/>
        <v>0</v>
      </c>
      <c r="AH17" s="354"/>
      <c r="AI17" s="323">
        <f t="shared" si="13"/>
        <v>0</v>
      </c>
      <c r="AJ17" s="324"/>
      <c r="AL17" s="346">
        <f>[18]MAINTENANCE!AG21</f>
        <v>4406368.5</v>
      </c>
      <c r="AM17" s="341">
        <f t="shared" si="6"/>
        <v>197738.2</v>
      </c>
      <c r="AN17" s="351">
        <f t="shared" si="7"/>
        <v>4604106.7</v>
      </c>
      <c r="AO17" s="351">
        <f t="shared" si="1"/>
        <v>-0.29999999981373549</v>
      </c>
      <c r="AR17" s="341">
        <f t="shared" si="8"/>
        <v>4169500</v>
      </c>
      <c r="AS17" s="341">
        <f t="shared" si="9"/>
        <v>236868.5</v>
      </c>
      <c r="AT17" s="341">
        <f t="shared" si="10"/>
        <v>197738.2</v>
      </c>
      <c r="AU17" s="413" t="s">
        <v>7</v>
      </c>
      <c r="AV17" s="325" t="s">
        <v>112</v>
      </c>
      <c r="AW17" s="325" t="s">
        <v>133</v>
      </c>
      <c r="AX17" s="325" t="s">
        <v>155</v>
      </c>
      <c r="AY17" s="325" t="s">
        <v>174</v>
      </c>
    </row>
    <row r="18" spans="2:51" s="325" customFormat="1" ht="15.75" customHeight="1">
      <c r="B18" s="326">
        <v>13</v>
      </c>
      <c r="C18" s="327" t="s">
        <v>113</v>
      </c>
      <c r="D18" s="328" t="s">
        <v>134</v>
      </c>
      <c r="E18" s="329" t="s">
        <v>156</v>
      </c>
      <c r="F18" s="330" t="s">
        <v>175</v>
      </c>
      <c r="G18" s="330" t="s">
        <v>596</v>
      </c>
      <c r="H18" s="331" t="s">
        <v>38</v>
      </c>
      <c r="I18" s="332" t="s">
        <v>7</v>
      </c>
      <c r="J18" s="333" t="str">
        <f t="shared" si="2"/>
        <v>TER A</v>
      </c>
      <c r="K18" s="334">
        <f t="shared" si="3"/>
        <v>4169500</v>
      </c>
      <c r="L18" s="335">
        <f t="shared" si="4"/>
        <v>34200.6</v>
      </c>
      <c r="M18" s="340">
        <f>[18]MAINTENANCE!AL22</f>
        <v>162860</v>
      </c>
      <c r="N18" s="340">
        <f>[18]MAINTENANCE!W22</f>
        <v>69750</v>
      </c>
      <c r="O18" s="340"/>
      <c r="P18" s="340">
        <f>[18]MAINTENANCE!AE22</f>
        <v>0</v>
      </c>
      <c r="Q18" s="335"/>
      <c r="R18" s="335"/>
      <c r="S18" s="335"/>
      <c r="T18" s="335"/>
      <c r="U18" s="335"/>
      <c r="V18" s="335"/>
      <c r="W18" s="340">
        <f>[18]MAINTENANCE!AB22</f>
        <v>36500</v>
      </c>
      <c r="X18" s="335"/>
      <c r="Y18" s="340">
        <f>-[18]MAINTENANCE!BB22</f>
        <v>0</v>
      </c>
      <c r="Z18" s="321"/>
      <c r="AA18" s="335"/>
      <c r="AB18" s="335"/>
      <c r="AC18" s="343">
        <f t="shared" si="11"/>
        <v>4472811</v>
      </c>
      <c r="AD18" s="322">
        <f t="shared" si="0"/>
        <v>0</v>
      </c>
      <c r="AE18" s="321">
        <f t="shared" si="5"/>
        <v>0</v>
      </c>
      <c r="AF18" s="353"/>
      <c r="AG18" s="321">
        <f t="shared" si="12"/>
        <v>0</v>
      </c>
      <c r="AH18" s="354"/>
      <c r="AI18" s="323">
        <f t="shared" si="13"/>
        <v>0</v>
      </c>
      <c r="AJ18" s="324"/>
      <c r="AL18" s="346">
        <f>[18]MAINTENANCE!AG22</f>
        <v>4275750</v>
      </c>
      <c r="AM18" s="341">
        <f t="shared" si="6"/>
        <v>197060.6</v>
      </c>
      <c r="AN18" s="351">
        <f t="shared" si="7"/>
        <v>4472810.5999999996</v>
      </c>
      <c r="AO18" s="351">
        <f t="shared" si="1"/>
        <v>-0.40000000037252903</v>
      </c>
      <c r="AR18" s="341">
        <f t="shared" si="8"/>
        <v>4169500</v>
      </c>
      <c r="AS18" s="341">
        <f t="shared" si="9"/>
        <v>106250</v>
      </c>
      <c r="AT18" s="341">
        <f t="shared" si="10"/>
        <v>197060.6</v>
      </c>
      <c r="AU18" s="413" t="s">
        <v>7</v>
      </c>
      <c r="AV18" s="325" t="s">
        <v>113</v>
      </c>
      <c r="AW18" s="325" t="s">
        <v>134</v>
      </c>
      <c r="AX18" s="325" t="s">
        <v>156</v>
      </c>
      <c r="AY18" s="325" t="s">
        <v>175</v>
      </c>
    </row>
    <row r="19" spans="2:51" s="325" customFormat="1" ht="15.75" customHeight="1">
      <c r="B19" s="326">
        <v>14</v>
      </c>
      <c r="C19" s="327" t="s">
        <v>115</v>
      </c>
      <c r="D19" s="328" t="s">
        <v>136</v>
      </c>
      <c r="E19" s="329" t="s">
        <v>158</v>
      </c>
      <c r="F19" s="330" t="s">
        <v>177</v>
      </c>
      <c r="G19" s="330" t="s">
        <v>596</v>
      </c>
      <c r="H19" s="331" t="s">
        <v>39</v>
      </c>
      <c r="I19" s="332" t="s">
        <v>17</v>
      </c>
      <c r="J19" s="333" t="str">
        <f t="shared" si="2"/>
        <v>TER A</v>
      </c>
      <c r="K19" s="334">
        <f t="shared" si="3"/>
        <v>4169500</v>
      </c>
      <c r="L19" s="335">
        <f t="shared" si="4"/>
        <v>34171.199999999997</v>
      </c>
      <c r="M19" s="340">
        <f>[18]MAINTENANCE!AL23</f>
        <v>162720</v>
      </c>
      <c r="N19" s="340">
        <f>[18]MAINTENANCE!W23</f>
        <v>130200</v>
      </c>
      <c r="O19" s="340"/>
      <c r="P19" s="340">
        <f>[18]MAINTENANCE!AE23</f>
        <v>0</v>
      </c>
      <c r="Q19" s="335"/>
      <c r="R19" s="335"/>
      <c r="S19" s="335"/>
      <c r="T19" s="335"/>
      <c r="U19" s="335"/>
      <c r="V19" s="335"/>
      <c r="W19" s="340">
        <f>[18]MAINTENANCE!AB23</f>
        <v>33000</v>
      </c>
      <c r="X19" s="335"/>
      <c r="Y19" s="340">
        <f>-[18]MAINTENANCE!BB23</f>
        <v>0</v>
      </c>
      <c r="Z19" s="321"/>
      <c r="AA19" s="335"/>
      <c r="AB19" s="335"/>
      <c r="AC19" s="343">
        <f t="shared" si="11"/>
        <v>4529591</v>
      </c>
      <c r="AD19" s="322">
        <f t="shared" si="0"/>
        <v>0</v>
      </c>
      <c r="AE19" s="321">
        <f t="shared" si="5"/>
        <v>0</v>
      </c>
      <c r="AF19" s="353"/>
      <c r="AG19" s="321">
        <f t="shared" si="12"/>
        <v>0</v>
      </c>
      <c r="AH19" s="354"/>
      <c r="AI19" s="323">
        <f t="shared" si="13"/>
        <v>0</v>
      </c>
      <c r="AJ19" s="324"/>
      <c r="AL19" s="346">
        <f>[18]MAINTENANCE!AG23</f>
        <v>4332700</v>
      </c>
      <c r="AM19" s="341">
        <f t="shared" si="6"/>
        <v>196891.2</v>
      </c>
      <c r="AN19" s="351">
        <f t="shared" si="7"/>
        <v>4529591.2</v>
      </c>
      <c r="AO19" s="351">
        <f t="shared" si="1"/>
        <v>0.20000000018626451</v>
      </c>
      <c r="AR19" s="341">
        <f t="shared" si="8"/>
        <v>4169500</v>
      </c>
      <c r="AS19" s="341">
        <f t="shared" si="9"/>
        <v>163200</v>
      </c>
      <c r="AT19" s="341">
        <f t="shared" si="10"/>
        <v>196891.2</v>
      </c>
      <c r="AU19" s="413" t="s">
        <v>17</v>
      </c>
      <c r="AV19" s="325" t="s">
        <v>115</v>
      </c>
      <c r="AW19" s="325" t="s">
        <v>136</v>
      </c>
      <c r="AX19" s="325" t="s">
        <v>158</v>
      </c>
      <c r="AY19" s="325" t="s">
        <v>177</v>
      </c>
    </row>
    <row r="20" spans="2:51" s="325" customFormat="1" ht="15.75" customHeight="1">
      <c r="B20" s="326">
        <v>15</v>
      </c>
      <c r="C20" s="327" t="s">
        <v>119</v>
      </c>
      <c r="D20" s="328" t="s">
        <v>140</v>
      </c>
      <c r="E20" s="329" t="s">
        <v>162</v>
      </c>
      <c r="F20" s="330" t="s">
        <v>181</v>
      </c>
      <c r="G20" s="330" t="s">
        <v>596</v>
      </c>
      <c r="H20" s="331" t="s">
        <v>39</v>
      </c>
      <c r="I20" s="332" t="s">
        <v>12</v>
      </c>
      <c r="J20" s="333" t="str">
        <f t="shared" si="2"/>
        <v>TER C</v>
      </c>
      <c r="K20" s="334">
        <f t="shared" si="3"/>
        <v>4169500</v>
      </c>
      <c r="L20" s="335">
        <f t="shared" si="4"/>
        <v>34318.199999999997</v>
      </c>
      <c r="M20" s="340">
        <f>[18]MAINTENANCE!AL24</f>
        <v>163420</v>
      </c>
      <c r="N20" s="340">
        <f>[18]MAINTENANCE!W24</f>
        <v>172050</v>
      </c>
      <c r="O20" s="340"/>
      <c r="P20" s="340">
        <f>[18]MAINTENANCE!AE24</f>
        <v>0</v>
      </c>
      <c r="Q20" s="335"/>
      <c r="R20" s="335"/>
      <c r="S20" s="335"/>
      <c r="T20" s="335"/>
      <c r="U20" s="335"/>
      <c r="V20" s="335"/>
      <c r="W20" s="340">
        <f>[18]MAINTENANCE!AB24</f>
        <v>50500</v>
      </c>
      <c r="X20" s="335"/>
      <c r="Y20" s="340">
        <f>-[18]MAINTENANCE!BB24</f>
        <v>0</v>
      </c>
      <c r="Z20" s="321"/>
      <c r="AA20" s="335"/>
      <c r="AB20" s="335"/>
      <c r="AC20" s="343">
        <f t="shared" si="11"/>
        <v>4589788</v>
      </c>
      <c r="AD20" s="322">
        <f t="shared" si="0"/>
        <v>0</v>
      </c>
      <c r="AE20" s="321">
        <f t="shared" si="5"/>
        <v>0</v>
      </c>
      <c r="AF20" s="353"/>
      <c r="AG20" s="321">
        <f t="shared" si="12"/>
        <v>0</v>
      </c>
      <c r="AH20" s="354"/>
      <c r="AI20" s="323">
        <f t="shared" si="13"/>
        <v>0</v>
      </c>
      <c r="AJ20" s="324"/>
      <c r="AL20" s="346">
        <f>[18]MAINTENANCE!AG24</f>
        <v>4392050</v>
      </c>
      <c r="AM20" s="341">
        <f t="shared" si="6"/>
        <v>197738.2</v>
      </c>
      <c r="AN20" s="351">
        <f t="shared" si="7"/>
        <v>4589788.2</v>
      </c>
      <c r="AO20" s="351">
        <f t="shared" si="1"/>
        <v>0.20000000018626451</v>
      </c>
      <c r="AR20" s="341">
        <f t="shared" si="8"/>
        <v>4169500</v>
      </c>
      <c r="AS20" s="341">
        <f t="shared" si="9"/>
        <v>222550</v>
      </c>
      <c r="AT20" s="341">
        <f t="shared" si="10"/>
        <v>197738.2</v>
      </c>
      <c r="AU20" s="413" t="s">
        <v>7</v>
      </c>
      <c r="AV20" s="325" t="s">
        <v>117</v>
      </c>
      <c r="AW20" s="325" t="s">
        <v>138</v>
      </c>
      <c r="AX20" s="325" t="s">
        <v>160</v>
      </c>
      <c r="AY20" s="325" t="s">
        <v>179</v>
      </c>
    </row>
    <row r="21" spans="2:51" s="419" customFormat="1" ht="15.75" customHeight="1">
      <c r="B21" s="326">
        <v>16</v>
      </c>
      <c r="C21" s="414" t="s">
        <v>188</v>
      </c>
      <c r="D21" s="415" t="s">
        <v>225</v>
      </c>
      <c r="E21" s="329" t="s">
        <v>221</v>
      </c>
      <c r="F21" s="348" t="s">
        <v>259</v>
      </c>
      <c r="G21" s="348" t="s">
        <v>596</v>
      </c>
      <c r="H21" s="416" t="s">
        <v>38</v>
      </c>
      <c r="I21" s="417" t="s">
        <v>7</v>
      </c>
      <c r="J21" s="333" t="str">
        <f t="shared" si="2"/>
        <v>TER A</v>
      </c>
      <c r="K21" s="334">
        <f t="shared" si="3"/>
        <v>4169500</v>
      </c>
      <c r="L21" s="335">
        <f t="shared" si="4"/>
        <v>34377</v>
      </c>
      <c r="M21" s="340">
        <f>[18]MAINTENANCE!AL25</f>
        <v>163700</v>
      </c>
      <c r="N21" s="340">
        <f>[18]MAINTENANCE!W25</f>
        <v>69750</v>
      </c>
      <c r="O21" s="340"/>
      <c r="P21" s="340">
        <f>[18]MAINTENANCE!AE25</f>
        <v>0</v>
      </c>
      <c r="Q21" s="335"/>
      <c r="R21" s="335"/>
      <c r="S21" s="335"/>
      <c r="T21" s="335"/>
      <c r="U21" s="335"/>
      <c r="V21" s="335"/>
      <c r="W21" s="340">
        <f>[18]MAINTENANCE!AB25</f>
        <v>57500</v>
      </c>
      <c r="X21" s="335"/>
      <c r="Y21" s="340">
        <f>-[18]MAINTENANCE!BB25</f>
        <v>0</v>
      </c>
      <c r="Z21" s="340"/>
      <c r="AA21" s="335"/>
      <c r="AB21" s="335"/>
      <c r="AC21" s="343">
        <f>ROUND(SUM(K21:AB21),0)</f>
        <v>4494827</v>
      </c>
      <c r="AD21" s="322">
        <f t="shared" si="0"/>
        <v>0</v>
      </c>
      <c r="AE21" s="321">
        <f t="shared" si="5"/>
        <v>0</v>
      </c>
      <c r="AF21" s="418"/>
      <c r="AG21" s="340">
        <f t="shared" si="12"/>
        <v>0</v>
      </c>
      <c r="AH21" s="354"/>
      <c r="AI21" s="323">
        <f t="shared" si="13"/>
        <v>0</v>
      </c>
      <c r="AJ21" s="324"/>
      <c r="AL21" s="346">
        <f>[18]MAINTENANCE!AG25</f>
        <v>4296750</v>
      </c>
      <c r="AM21" s="420">
        <f t="shared" si="6"/>
        <v>198077</v>
      </c>
      <c r="AN21" s="421">
        <f t="shared" si="7"/>
        <v>4494827</v>
      </c>
      <c r="AO21" s="421">
        <f t="shared" si="1"/>
        <v>0</v>
      </c>
      <c r="AR21" s="420">
        <f t="shared" si="8"/>
        <v>4169500</v>
      </c>
      <c r="AS21" s="420">
        <f t="shared" si="9"/>
        <v>127250</v>
      </c>
      <c r="AT21" s="420">
        <f t="shared" si="10"/>
        <v>198077</v>
      </c>
      <c r="AU21" s="422" t="s">
        <v>7</v>
      </c>
      <c r="AV21" s="419" t="s">
        <v>118</v>
      </c>
      <c r="AW21" s="419" t="s">
        <v>139</v>
      </c>
      <c r="AX21" s="419" t="s">
        <v>161</v>
      </c>
      <c r="AY21" s="419" t="s">
        <v>180</v>
      </c>
    </row>
    <row r="22" spans="2:51" s="325" customFormat="1" ht="15.75" customHeight="1">
      <c r="B22" s="326">
        <v>17</v>
      </c>
      <c r="C22" s="327" t="s">
        <v>117</v>
      </c>
      <c r="D22" s="328" t="s">
        <v>138</v>
      </c>
      <c r="E22" s="329" t="s">
        <v>160</v>
      </c>
      <c r="F22" s="330" t="s">
        <v>179</v>
      </c>
      <c r="G22" s="330" t="s">
        <v>596</v>
      </c>
      <c r="H22" s="331" t="s">
        <v>38</v>
      </c>
      <c r="I22" s="332" t="s">
        <v>7</v>
      </c>
      <c r="J22" s="333" t="str">
        <f t="shared" si="2"/>
        <v>TER A</v>
      </c>
      <c r="K22" s="334">
        <f t="shared" si="3"/>
        <v>4169500</v>
      </c>
      <c r="L22" s="335">
        <f t="shared" si="4"/>
        <v>34318.199999999997</v>
      </c>
      <c r="M22" s="340">
        <f>[18]MAINTENANCE!AL26</f>
        <v>163420</v>
      </c>
      <c r="N22" s="340">
        <f>[18]MAINTENANCE!W26</f>
        <v>67500</v>
      </c>
      <c r="O22" s="340"/>
      <c r="P22" s="340">
        <f>[18]MAINTENANCE!AE26</f>
        <v>0</v>
      </c>
      <c r="Q22" s="335"/>
      <c r="R22" s="335"/>
      <c r="S22" s="335"/>
      <c r="T22" s="335"/>
      <c r="U22" s="335"/>
      <c r="V22" s="335"/>
      <c r="W22" s="340">
        <f>[18]MAINTENANCE!AB26</f>
        <v>50500</v>
      </c>
      <c r="X22" s="335"/>
      <c r="Y22" s="340">
        <f>-[18]MAINTENANCE!BB26</f>
        <v>-134500</v>
      </c>
      <c r="Z22" s="321"/>
      <c r="AA22" s="335"/>
      <c r="AB22" s="335"/>
      <c r="AC22" s="343">
        <f t="shared" si="11"/>
        <v>4350738</v>
      </c>
      <c r="AD22" s="322">
        <f t="shared" si="0"/>
        <v>0</v>
      </c>
      <c r="AE22" s="321">
        <f t="shared" si="5"/>
        <v>0</v>
      </c>
      <c r="AF22" s="353"/>
      <c r="AG22" s="321">
        <f t="shared" si="12"/>
        <v>0</v>
      </c>
      <c r="AH22" s="354"/>
      <c r="AI22" s="323">
        <f t="shared" si="13"/>
        <v>0</v>
      </c>
      <c r="AJ22" s="324"/>
      <c r="AL22" s="346">
        <f>[18]MAINTENANCE!AG26</f>
        <v>4153000</v>
      </c>
      <c r="AM22" s="341">
        <f t="shared" si="6"/>
        <v>197738.2</v>
      </c>
      <c r="AN22" s="351">
        <f t="shared" si="7"/>
        <v>4350738.2</v>
      </c>
      <c r="AO22" s="351">
        <f t="shared" si="1"/>
        <v>0.20000000018626451</v>
      </c>
      <c r="AR22" s="341">
        <f t="shared" si="8"/>
        <v>4035000</v>
      </c>
      <c r="AS22" s="341">
        <f t="shared" si="9"/>
        <v>118000</v>
      </c>
      <c r="AT22" s="341">
        <f t="shared" si="10"/>
        <v>197738.2</v>
      </c>
      <c r="AU22" s="413" t="s">
        <v>12</v>
      </c>
      <c r="AV22" s="325" t="s">
        <v>119</v>
      </c>
      <c r="AW22" s="325" t="s">
        <v>140</v>
      </c>
      <c r="AX22" s="325" t="s">
        <v>162</v>
      </c>
      <c r="AY22" s="325" t="s">
        <v>181</v>
      </c>
    </row>
    <row r="23" spans="2:51" s="325" customFormat="1" ht="15.75" customHeight="1">
      <c r="B23" s="326">
        <v>18</v>
      </c>
      <c r="C23" s="327" t="s">
        <v>591</v>
      </c>
      <c r="D23" s="328" t="s">
        <v>141</v>
      </c>
      <c r="E23" s="329" t="s">
        <v>163</v>
      </c>
      <c r="F23" s="330" t="s">
        <v>182</v>
      </c>
      <c r="G23" s="330" t="s">
        <v>596</v>
      </c>
      <c r="H23" s="331" t="s">
        <v>38</v>
      </c>
      <c r="I23" s="332" t="s">
        <v>7</v>
      </c>
      <c r="J23" s="333" t="str">
        <f t="shared" si="2"/>
        <v>TER A</v>
      </c>
      <c r="K23" s="334">
        <f t="shared" si="3"/>
        <v>4169500</v>
      </c>
      <c r="L23" s="335">
        <f t="shared" si="4"/>
        <v>34671</v>
      </c>
      <c r="M23" s="340">
        <f>[18]MAINTENANCE!AL27</f>
        <v>165100</v>
      </c>
      <c r="N23" s="340">
        <f>[18]MAINTENANCE!W27</f>
        <v>67500</v>
      </c>
      <c r="O23" s="340"/>
      <c r="P23" s="340">
        <f>[18]MAINTENANCE!AE27</f>
        <v>0</v>
      </c>
      <c r="Q23" s="335"/>
      <c r="R23" s="335"/>
      <c r="S23" s="335"/>
      <c r="T23" s="335"/>
      <c r="U23" s="335"/>
      <c r="V23" s="335"/>
      <c r="W23" s="340">
        <f>[18]MAINTENANCE!AB27</f>
        <v>92500</v>
      </c>
      <c r="X23" s="335"/>
      <c r="Y23" s="340">
        <f>-[18]MAINTENANCE!BB27</f>
        <v>-134500</v>
      </c>
      <c r="Z23" s="321"/>
      <c r="AA23" s="335"/>
      <c r="AB23" s="335"/>
      <c r="AC23" s="343">
        <f t="shared" si="11"/>
        <v>4394771</v>
      </c>
      <c r="AD23" s="322">
        <f t="shared" si="0"/>
        <v>0</v>
      </c>
      <c r="AE23" s="321">
        <f t="shared" si="5"/>
        <v>0</v>
      </c>
      <c r="AF23" s="353"/>
      <c r="AG23" s="321">
        <f t="shared" si="12"/>
        <v>0</v>
      </c>
      <c r="AH23" s="354"/>
      <c r="AI23" s="323">
        <f t="shared" si="13"/>
        <v>0</v>
      </c>
      <c r="AJ23" s="324"/>
      <c r="AL23" s="346">
        <f>[18]MAINTENANCE!AG27</f>
        <v>4195000</v>
      </c>
      <c r="AM23" s="341">
        <f t="shared" si="6"/>
        <v>199771</v>
      </c>
      <c r="AN23" s="351">
        <f t="shared" si="7"/>
        <v>4394771</v>
      </c>
      <c r="AO23" s="351">
        <f t="shared" si="1"/>
        <v>0</v>
      </c>
      <c r="AR23" s="341">
        <f t="shared" si="8"/>
        <v>4035000</v>
      </c>
      <c r="AS23" s="341">
        <f t="shared" si="9"/>
        <v>160000</v>
      </c>
      <c r="AT23" s="341">
        <f t="shared" si="10"/>
        <v>199771</v>
      </c>
      <c r="AU23" s="413" t="s">
        <v>7</v>
      </c>
      <c r="AV23" s="325" t="s">
        <v>104</v>
      </c>
      <c r="AW23" s="325" t="s">
        <v>141</v>
      </c>
      <c r="AX23" s="325" t="s">
        <v>163</v>
      </c>
      <c r="AY23" s="325" t="s">
        <v>182</v>
      </c>
    </row>
    <row r="24" spans="2:51" s="325" customFormat="1" ht="15.75" customHeight="1">
      <c r="B24" s="326">
        <v>19</v>
      </c>
      <c r="C24" s="327" t="s">
        <v>592</v>
      </c>
      <c r="D24" s="328" t="s">
        <v>534</v>
      </c>
      <c r="E24" s="329" t="s">
        <v>535</v>
      </c>
      <c r="F24" s="330" t="s">
        <v>536</v>
      </c>
      <c r="G24" s="330" t="s">
        <v>596</v>
      </c>
      <c r="H24" s="331" t="s">
        <v>39</v>
      </c>
      <c r="I24" s="332" t="s">
        <v>11</v>
      </c>
      <c r="J24" s="333" t="str">
        <f t="shared" si="2"/>
        <v>TER B</v>
      </c>
      <c r="K24" s="334">
        <f t="shared" si="3"/>
        <v>4169500</v>
      </c>
      <c r="L24" s="335">
        <f t="shared" si="4"/>
        <v>34347.599999999999</v>
      </c>
      <c r="M24" s="340">
        <f>[18]MAINTENANCE!AL28</f>
        <v>163560</v>
      </c>
      <c r="N24" s="340">
        <f>[18]MAINTENANCE!W28</f>
        <v>166500</v>
      </c>
      <c r="O24" s="340"/>
      <c r="P24" s="340">
        <f>[18]MAINTENANCE!AE28</f>
        <v>0</v>
      </c>
      <c r="Q24" s="335"/>
      <c r="R24" s="335"/>
      <c r="S24" s="335"/>
      <c r="T24" s="335"/>
      <c r="U24" s="335"/>
      <c r="V24" s="335"/>
      <c r="W24" s="340">
        <f>[18]MAINTENANCE!AB28</f>
        <v>54000</v>
      </c>
      <c r="X24" s="335"/>
      <c r="Y24" s="340">
        <f>-[18]MAINTENANCE!BB28</f>
        <v>-134500</v>
      </c>
      <c r="Z24" s="321"/>
      <c r="AA24" s="335"/>
      <c r="AB24" s="335"/>
      <c r="AC24" s="343">
        <f t="shared" si="11"/>
        <v>4453408</v>
      </c>
      <c r="AD24" s="322">
        <f t="shared" si="0"/>
        <v>0</v>
      </c>
      <c r="AE24" s="321">
        <f t="shared" si="5"/>
        <v>0</v>
      </c>
      <c r="AF24" s="353"/>
      <c r="AG24" s="321">
        <f t="shared" si="12"/>
        <v>0</v>
      </c>
      <c r="AH24" s="354"/>
      <c r="AI24" s="323">
        <f t="shared" si="13"/>
        <v>0</v>
      </c>
      <c r="AJ24" s="324"/>
      <c r="AL24" s="346">
        <f>[18]MAINTENANCE!AG28</f>
        <v>4255500</v>
      </c>
      <c r="AM24" s="341">
        <f t="shared" si="6"/>
        <v>197907.6</v>
      </c>
      <c r="AN24" s="351">
        <f t="shared" si="7"/>
        <v>4453407.5999999996</v>
      </c>
      <c r="AO24" s="351">
        <f t="shared" si="1"/>
        <v>-0.40000000037252903</v>
      </c>
      <c r="AR24" s="341">
        <f t="shared" si="8"/>
        <v>4035000</v>
      </c>
      <c r="AS24" s="341">
        <f t="shared" si="9"/>
        <v>220500</v>
      </c>
      <c r="AT24" s="341">
        <f t="shared" si="10"/>
        <v>197907.6</v>
      </c>
      <c r="AU24" s="413" t="s">
        <v>7</v>
      </c>
      <c r="AV24" s="325" t="s">
        <v>120</v>
      </c>
      <c r="AW24" s="325" t="s">
        <v>142</v>
      </c>
      <c r="AX24" s="325" t="s">
        <v>164</v>
      </c>
      <c r="AY24" s="325" t="s">
        <v>183</v>
      </c>
    </row>
    <row r="25" spans="2:51" s="325" customFormat="1" ht="15.75" customHeight="1">
      <c r="B25" s="326">
        <v>20</v>
      </c>
      <c r="C25" s="327" t="s">
        <v>120</v>
      </c>
      <c r="D25" s="328" t="s">
        <v>142</v>
      </c>
      <c r="E25" s="329" t="s">
        <v>164</v>
      </c>
      <c r="F25" s="330" t="s">
        <v>183</v>
      </c>
      <c r="G25" s="330" t="s">
        <v>596</v>
      </c>
      <c r="H25" s="331" t="s">
        <v>38</v>
      </c>
      <c r="I25" s="332" t="s">
        <v>7</v>
      </c>
      <c r="J25" s="333" t="str">
        <f t="shared" si="2"/>
        <v>TER A</v>
      </c>
      <c r="K25" s="334">
        <f t="shared" si="3"/>
        <v>4169500</v>
      </c>
      <c r="L25" s="335">
        <f t="shared" si="4"/>
        <v>34347.599999999999</v>
      </c>
      <c r="M25" s="340">
        <f>[18]MAINTENANCE!AL29</f>
        <v>163560</v>
      </c>
      <c r="N25" s="340">
        <f>[18]MAINTENANCE!W29</f>
        <v>67500</v>
      </c>
      <c r="O25" s="340"/>
      <c r="P25" s="340">
        <f>[18]MAINTENANCE!AE29</f>
        <v>0</v>
      </c>
      <c r="Q25" s="335"/>
      <c r="R25" s="335"/>
      <c r="S25" s="335"/>
      <c r="T25" s="335"/>
      <c r="U25" s="335"/>
      <c r="V25" s="335"/>
      <c r="W25" s="340">
        <f>[18]MAINTENANCE!AB29</f>
        <v>54000</v>
      </c>
      <c r="X25" s="335"/>
      <c r="Y25" s="340">
        <f>-[18]MAINTENANCE!BB29</f>
        <v>-134500</v>
      </c>
      <c r="Z25" s="321"/>
      <c r="AA25" s="335"/>
      <c r="AB25" s="335"/>
      <c r="AC25" s="343">
        <f t="shared" si="11"/>
        <v>4354408</v>
      </c>
      <c r="AD25" s="322">
        <f t="shared" si="0"/>
        <v>0</v>
      </c>
      <c r="AE25" s="321">
        <f t="shared" si="5"/>
        <v>0</v>
      </c>
      <c r="AF25" s="353"/>
      <c r="AG25" s="321">
        <f t="shared" si="12"/>
        <v>0</v>
      </c>
      <c r="AH25" s="354"/>
      <c r="AI25" s="323">
        <f t="shared" si="13"/>
        <v>0</v>
      </c>
      <c r="AJ25" s="324"/>
      <c r="AL25" s="346">
        <f>[18]MAINTENANCE!AG29</f>
        <v>4156500</v>
      </c>
      <c r="AM25" s="341">
        <f t="shared" si="6"/>
        <v>197907.6</v>
      </c>
      <c r="AN25" s="351">
        <f t="shared" si="7"/>
        <v>4354407.5999999996</v>
      </c>
      <c r="AO25" s="351">
        <f t="shared" si="1"/>
        <v>-0.40000000037252903</v>
      </c>
      <c r="AR25" s="341">
        <f t="shared" si="8"/>
        <v>4035000</v>
      </c>
      <c r="AS25" s="341">
        <f t="shared" si="9"/>
        <v>121500</v>
      </c>
      <c r="AT25" s="341">
        <f t="shared" si="10"/>
        <v>197907.6</v>
      </c>
      <c r="AU25" s="413" t="s">
        <v>7</v>
      </c>
      <c r="AV25" s="325" t="s">
        <v>354</v>
      </c>
      <c r="AW25" s="325" t="s">
        <v>367</v>
      </c>
      <c r="AX25" s="325" t="s">
        <v>355</v>
      </c>
      <c r="AY25" s="325" t="s">
        <v>368</v>
      </c>
    </row>
    <row r="26" spans="2:51" s="325" customFormat="1" ht="15.75" customHeight="1">
      <c r="B26" s="326">
        <v>21</v>
      </c>
      <c r="C26" s="327" t="s">
        <v>118</v>
      </c>
      <c r="D26" s="328" t="s">
        <v>139</v>
      </c>
      <c r="E26" s="329" t="s">
        <v>161</v>
      </c>
      <c r="F26" s="330" t="s">
        <v>180</v>
      </c>
      <c r="G26" s="330" t="s">
        <v>596</v>
      </c>
      <c r="H26" s="331" t="s">
        <v>38</v>
      </c>
      <c r="I26" s="332" t="s">
        <v>7</v>
      </c>
      <c r="J26" s="333" t="str">
        <f t="shared" si="2"/>
        <v>TER A</v>
      </c>
      <c r="K26" s="334">
        <f t="shared" si="3"/>
        <v>4169500</v>
      </c>
      <c r="L26" s="335">
        <f t="shared" si="4"/>
        <v>34200.6</v>
      </c>
      <c r="M26" s="340">
        <f>[18]MAINTENANCE!AL30</f>
        <v>162860</v>
      </c>
      <c r="N26" s="340">
        <f>[18]MAINTENANCE!W30</f>
        <v>69750</v>
      </c>
      <c r="O26" s="340"/>
      <c r="P26" s="340">
        <f>[18]MAINTENANCE!AE30</f>
        <v>186589.6</v>
      </c>
      <c r="Q26" s="335"/>
      <c r="R26" s="335"/>
      <c r="S26" s="335"/>
      <c r="T26" s="335"/>
      <c r="U26" s="335"/>
      <c r="V26" s="335"/>
      <c r="W26" s="340">
        <f>[18]MAINTENANCE!AB30</f>
        <v>36500</v>
      </c>
      <c r="X26" s="335"/>
      <c r="Y26" s="340">
        <f>-[18]MAINTENANCE!BB30</f>
        <v>0</v>
      </c>
      <c r="Z26" s="321"/>
      <c r="AA26" s="335"/>
      <c r="AB26" s="335"/>
      <c r="AC26" s="343">
        <f t="shared" si="11"/>
        <v>4659400</v>
      </c>
      <c r="AD26" s="322">
        <f t="shared" si="0"/>
        <v>0</v>
      </c>
      <c r="AE26" s="321">
        <f t="shared" si="5"/>
        <v>0</v>
      </c>
      <c r="AF26" s="353"/>
      <c r="AG26" s="321">
        <f t="shared" si="12"/>
        <v>0</v>
      </c>
      <c r="AH26" s="354"/>
      <c r="AI26" s="323">
        <f t="shared" si="13"/>
        <v>0</v>
      </c>
      <c r="AJ26" s="324"/>
      <c r="AL26" s="346">
        <f>[18]MAINTENANCE!AG30</f>
        <v>4462339.5999999996</v>
      </c>
      <c r="AM26" s="341">
        <f t="shared" si="6"/>
        <v>197060.6</v>
      </c>
      <c r="AN26" s="351">
        <f t="shared" si="7"/>
        <v>4659400.1999999993</v>
      </c>
      <c r="AO26" s="351">
        <f t="shared" si="1"/>
        <v>0.19999999925494194</v>
      </c>
      <c r="AR26" s="341">
        <f t="shared" si="8"/>
        <v>4169500</v>
      </c>
      <c r="AS26" s="341">
        <f t="shared" si="9"/>
        <v>292839.59999999998</v>
      </c>
      <c r="AT26" s="341">
        <f t="shared" si="10"/>
        <v>197060.6</v>
      </c>
      <c r="AU26" s="413" t="s">
        <v>11</v>
      </c>
      <c r="AV26" s="325" t="s">
        <v>569</v>
      </c>
      <c r="AW26" s="325" t="s">
        <v>404</v>
      </c>
      <c r="AX26" s="325" t="s">
        <v>395</v>
      </c>
      <c r="AY26" s="325" t="s">
        <v>396</v>
      </c>
    </row>
    <row r="27" spans="2:51" s="325" customFormat="1" ht="15.75" customHeight="1">
      <c r="B27" s="326">
        <v>22</v>
      </c>
      <c r="C27" s="327" t="s">
        <v>354</v>
      </c>
      <c r="D27" s="328" t="s">
        <v>367</v>
      </c>
      <c r="E27" s="329" t="s">
        <v>355</v>
      </c>
      <c r="F27" s="330" t="s">
        <v>368</v>
      </c>
      <c r="G27" s="330" t="s">
        <v>596</v>
      </c>
      <c r="H27" s="331" t="s">
        <v>38</v>
      </c>
      <c r="I27" s="332" t="s">
        <v>7</v>
      </c>
      <c r="J27" s="333" t="str">
        <f t="shared" si="2"/>
        <v>TER A</v>
      </c>
      <c r="K27" s="334">
        <f t="shared" si="3"/>
        <v>4169500</v>
      </c>
      <c r="L27" s="335">
        <f t="shared" si="4"/>
        <v>34171.199999999997</v>
      </c>
      <c r="M27" s="340">
        <f>[18]MAINTENANCE!AL31</f>
        <v>162720</v>
      </c>
      <c r="N27" s="340">
        <f>[18]MAINTENANCE!W31</f>
        <v>69750</v>
      </c>
      <c r="O27" s="340"/>
      <c r="P27" s="340">
        <f>[18]MAINTENANCE!AE31</f>
        <v>0</v>
      </c>
      <c r="Q27" s="335"/>
      <c r="R27" s="335"/>
      <c r="S27" s="335"/>
      <c r="T27" s="335"/>
      <c r="U27" s="335"/>
      <c r="V27" s="335"/>
      <c r="W27" s="340">
        <f>[18]MAINTENANCE!AB31</f>
        <v>33000</v>
      </c>
      <c r="X27" s="335"/>
      <c r="Y27" s="340">
        <f>-[18]MAINTENANCE!BB31</f>
        <v>0</v>
      </c>
      <c r="Z27" s="321"/>
      <c r="AA27" s="335"/>
      <c r="AB27" s="335"/>
      <c r="AC27" s="343">
        <f t="shared" si="11"/>
        <v>4469141</v>
      </c>
      <c r="AD27" s="322">
        <f t="shared" si="0"/>
        <v>0</v>
      </c>
      <c r="AE27" s="321">
        <f t="shared" si="5"/>
        <v>0</v>
      </c>
      <c r="AF27" s="353"/>
      <c r="AG27" s="321">
        <f t="shared" si="12"/>
        <v>0</v>
      </c>
      <c r="AH27" s="354"/>
      <c r="AI27" s="323">
        <f t="shared" si="13"/>
        <v>0</v>
      </c>
      <c r="AJ27" s="324"/>
      <c r="AL27" s="346">
        <f>[18]MAINTENANCE!AG31</f>
        <v>4272250</v>
      </c>
      <c r="AM27" s="341">
        <f t="shared" si="6"/>
        <v>196891.2</v>
      </c>
      <c r="AN27" s="351">
        <f t="shared" si="7"/>
        <v>4469141.2</v>
      </c>
      <c r="AO27" s="351">
        <f t="shared" si="1"/>
        <v>0.20000000018626451</v>
      </c>
      <c r="AR27" s="341">
        <f t="shared" si="8"/>
        <v>4169500</v>
      </c>
      <c r="AS27" s="341">
        <f t="shared" si="9"/>
        <v>102750</v>
      </c>
      <c r="AT27" s="341">
        <f t="shared" si="10"/>
        <v>196891.2</v>
      </c>
      <c r="AU27" s="413" t="s">
        <v>7</v>
      </c>
      <c r="AV27" s="325" t="s">
        <v>390</v>
      </c>
      <c r="AW27" s="325" t="s">
        <v>405</v>
      </c>
      <c r="AX27" s="325" t="s">
        <v>397</v>
      </c>
      <c r="AY27" s="325" t="s">
        <v>398</v>
      </c>
    </row>
    <row r="28" spans="2:51" s="325" customFormat="1" ht="15.75" customHeight="1">
      <c r="B28" s="326">
        <v>23</v>
      </c>
      <c r="C28" s="327" t="s">
        <v>569</v>
      </c>
      <c r="D28" s="328" t="s">
        <v>404</v>
      </c>
      <c r="E28" s="329" t="s">
        <v>395</v>
      </c>
      <c r="F28" s="330" t="s">
        <v>396</v>
      </c>
      <c r="G28" s="330" t="s">
        <v>596</v>
      </c>
      <c r="H28" s="331" t="s">
        <v>39</v>
      </c>
      <c r="I28" s="332" t="s">
        <v>11</v>
      </c>
      <c r="J28" s="333" t="str">
        <f t="shared" si="2"/>
        <v>TER B</v>
      </c>
      <c r="K28" s="334">
        <f t="shared" si="3"/>
        <v>4169500</v>
      </c>
      <c r="L28" s="335">
        <f t="shared" si="4"/>
        <v>34671</v>
      </c>
      <c r="M28" s="340">
        <f>[18]MAINTENANCE!AL32</f>
        <v>165100</v>
      </c>
      <c r="N28" s="340">
        <f>[18]MAINTENANCE!W32</f>
        <v>166500</v>
      </c>
      <c r="O28" s="340"/>
      <c r="P28" s="340">
        <f>[18]MAINTENANCE!AE32</f>
        <v>0</v>
      </c>
      <c r="Q28" s="335"/>
      <c r="R28" s="335"/>
      <c r="S28" s="335"/>
      <c r="T28" s="335"/>
      <c r="U28" s="335"/>
      <c r="V28" s="335"/>
      <c r="W28" s="340">
        <f>[18]MAINTENANCE!AB32</f>
        <v>92500</v>
      </c>
      <c r="X28" s="335"/>
      <c r="Y28" s="340">
        <f>-[18]MAINTENANCE!BB32</f>
        <v>-134500</v>
      </c>
      <c r="Z28" s="321"/>
      <c r="AA28" s="335"/>
      <c r="AB28" s="335"/>
      <c r="AC28" s="343">
        <f t="shared" si="11"/>
        <v>4493771</v>
      </c>
      <c r="AD28" s="322">
        <f t="shared" si="0"/>
        <v>0</v>
      </c>
      <c r="AE28" s="321">
        <f t="shared" si="5"/>
        <v>0</v>
      </c>
      <c r="AF28" s="353"/>
      <c r="AG28" s="321">
        <f t="shared" si="12"/>
        <v>0</v>
      </c>
      <c r="AH28" s="354"/>
      <c r="AI28" s="323">
        <f t="shared" si="13"/>
        <v>0</v>
      </c>
      <c r="AJ28" s="324"/>
      <c r="AL28" s="346">
        <f>[18]MAINTENANCE!AG32</f>
        <v>4294000</v>
      </c>
      <c r="AM28" s="341">
        <f t="shared" si="6"/>
        <v>199771</v>
      </c>
      <c r="AN28" s="351">
        <f t="shared" si="7"/>
        <v>4493771</v>
      </c>
      <c r="AO28" s="351">
        <f t="shared" si="1"/>
        <v>0</v>
      </c>
      <c r="AR28" s="341">
        <f t="shared" si="8"/>
        <v>4035000</v>
      </c>
      <c r="AS28" s="341">
        <f t="shared" si="9"/>
        <v>259000</v>
      </c>
      <c r="AT28" s="341">
        <f t="shared" si="10"/>
        <v>199771</v>
      </c>
      <c r="AU28" s="413" t="s">
        <v>7</v>
      </c>
      <c r="AV28" s="325" t="s">
        <v>391</v>
      </c>
      <c r="AW28" s="325" t="s">
        <v>406</v>
      </c>
      <c r="AX28" s="325" t="s">
        <v>399</v>
      </c>
      <c r="AY28" s="325" t="s">
        <v>400</v>
      </c>
    </row>
    <row r="29" spans="2:51" s="325" customFormat="1" ht="15.75" customHeight="1">
      <c r="B29" s="326">
        <v>24</v>
      </c>
      <c r="C29" s="327" t="s">
        <v>390</v>
      </c>
      <c r="D29" s="328" t="s">
        <v>405</v>
      </c>
      <c r="E29" s="329" t="s">
        <v>397</v>
      </c>
      <c r="F29" s="330" t="s">
        <v>398</v>
      </c>
      <c r="G29" s="330" t="s">
        <v>596</v>
      </c>
      <c r="H29" s="331" t="s">
        <v>38</v>
      </c>
      <c r="I29" s="332" t="s">
        <v>7</v>
      </c>
      <c r="J29" s="333" t="str">
        <f t="shared" si="2"/>
        <v>TER A</v>
      </c>
      <c r="K29" s="334">
        <f t="shared" si="3"/>
        <v>4169500</v>
      </c>
      <c r="L29" s="335">
        <f t="shared" si="4"/>
        <v>34171.199999999997</v>
      </c>
      <c r="M29" s="340">
        <f>[18]MAINTENANCE!AL33</f>
        <v>162720</v>
      </c>
      <c r="N29" s="340">
        <f>[18]MAINTENANCE!W33</f>
        <v>69750</v>
      </c>
      <c r="O29" s="340"/>
      <c r="P29" s="340">
        <f>[18]MAINTENANCE!AE33</f>
        <v>0</v>
      </c>
      <c r="Q29" s="335"/>
      <c r="R29" s="335"/>
      <c r="S29" s="335"/>
      <c r="T29" s="335"/>
      <c r="U29" s="335"/>
      <c r="V29" s="335"/>
      <c r="W29" s="340">
        <f>[18]MAINTENANCE!AB33</f>
        <v>33000</v>
      </c>
      <c r="X29" s="335"/>
      <c r="Y29" s="340">
        <f>-[18]MAINTENANCE!BB33</f>
        <v>0</v>
      </c>
      <c r="Z29" s="321"/>
      <c r="AA29" s="335"/>
      <c r="AB29" s="335"/>
      <c r="AC29" s="343">
        <f t="shared" si="11"/>
        <v>4469141</v>
      </c>
      <c r="AD29" s="322">
        <f t="shared" si="0"/>
        <v>0</v>
      </c>
      <c r="AE29" s="321">
        <f t="shared" si="5"/>
        <v>0</v>
      </c>
      <c r="AF29" s="353"/>
      <c r="AG29" s="321">
        <f t="shared" si="12"/>
        <v>0</v>
      </c>
      <c r="AH29" s="354"/>
      <c r="AI29" s="323">
        <f t="shared" si="13"/>
        <v>0</v>
      </c>
      <c r="AJ29" s="324"/>
      <c r="AL29" s="346">
        <f>[18]MAINTENANCE!AG33</f>
        <v>4272250</v>
      </c>
      <c r="AM29" s="341">
        <f t="shared" si="6"/>
        <v>196891.2</v>
      </c>
      <c r="AN29" s="351">
        <f t="shared" si="7"/>
        <v>4469141.2</v>
      </c>
      <c r="AO29" s="351">
        <f t="shared" si="1"/>
        <v>0.20000000018626451</v>
      </c>
      <c r="AR29" s="341">
        <f t="shared" si="8"/>
        <v>4169500</v>
      </c>
      <c r="AS29" s="341">
        <f t="shared" si="9"/>
        <v>102750</v>
      </c>
      <c r="AT29" s="341">
        <f t="shared" si="10"/>
        <v>196891.2</v>
      </c>
      <c r="AU29" s="413" t="s">
        <v>9</v>
      </c>
      <c r="AV29" s="325" t="s">
        <v>392</v>
      </c>
      <c r="AW29" s="325" t="s">
        <v>407</v>
      </c>
      <c r="AX29" s="325" t="s">
        <v>401</v>
      </c>
      <c r="AY29" s="325" t="s">
        <v>402</v>
      </c>
    </row>
    <row r="30" spans="2:51" s="325" customFormat="1" ht="15.75" customHeight="1">
      <c r="B30" s="326">
        <v>25</v>
      </c>
      <c r="C30" s="327" t="s">
        <v>391</v>
      </c>
      <c r="D30" s="342" t="s">
        <v>406</v>
      </c>
      <c r="E30" s="329" t="s">
        <v>399</v>
      </c>
      <c r="F30" s="330" t="s">
        <v>400</v>
      </c>
      <c r="G30" s="330" t="s">
        <v>596</v>
      </c>
      <c r="H30" s="331" t="s">
        <v>38</v>
      </c>
      <c r="I30" s="332" t="s">
        <v>7</v>
      </c>
      <c r="J30" s="333" t="str">
        <f t="shared" si="2"/>
        <v>TER A</v>
      </c>
      <c r="K30" s="334">
        <f t="shared" si="3"/>
        <v>4169500</v>
      </c>
      <c r="L30" s="335">
        <f t="shared" si="4"/>
        <v>34318.199999999997</v>
      </c>
      <c r="M30" s="340">
        <f>[18]MAINTENANCE!AL34</f>
        <v>163420</v>
      </c>
      <c r="N30" s="340">
        <f>[18]MAINTENANCE!W34</f>
        <v>67500</v>
      </c>
      <c r="O30" s="340"/>
      <c r="P30" s="340">
        <f>[18]MAINTENANCE!AE34</f>
        <v>0</v>
      </c>
      <c r="Q30" s="335"/>
      <c r="R30" s="335"/>
      <c r="S30" s="335"/>
      <c r="T30" s="335"/>
      <c r="U30" s="335"/>
      <c r="V30" s="335"/>
      <c r="W30" s="340">
        <f>[18]MAINTENANCE!AB34</f>
        <v>50500</v>
      </c>
      <c r="X30" s="335"/>
      <c r="Y30" s="340">
        <f>-[18]MAINTENANCE!BB34</f>
        <v>-134500</v>
      </c>
      <c r="Z30" s="321"/>
      <c r="AA30" s="335"/>
      <c r="AB30" s="335"/>
      <c r="AC30" s="343">
        <f t="shared" si="11"/>
        <v>4350738</v>
      </c>
      <c r="AD30" s="322">
        <f t="shared" si="0"/>
        <v>0</v>
      </c>
      <c r="AE30" s="321">
        <f t="shared" si="5"/>
        <v>0</v>
      </c>
      <c r="AF30" s="353"/>
      <c r="AG30" s="321">
        <f t="shared" si="12"/>
        <v>0</v>
      </c>
      <c r="AH30" s="354"/>
      <c r="AI30" s="323">
        <f t="shared" si="13"/>
        <v>0</v>
      </c>
      <c r="AJ30" s="324"/>
      <c r="AL30" s="346">
        <f>[18]MAINTENANCE!AG34</f>
        <v>4153000</v>
      </c>
      <c r="AM30" s="341">
        <f t="shared" si="6"/>
        <v>197738.2</v>
      </c>
      <c r="AN30" s="351">
        <f t="shared" si="7"/>
        <v>4350738.2</v>
      </c>
      <c r="AO30" s="351">
        <f t="shared" si="1"/>
        <v>0.20000000018626451</v>
      </c>
      <c r="AR30" s="341">
        <f t="shared" si="8"/>
        <v>4035000</v>
      </c>
      <c r="AS30" s="341">
        <f t="shared" si="9"/>
        <v>118000</v>
      </c>
      <c r="AT30" s="341">
        <f t="shared" si="10"/>
        <v>197738.2</v>
      </c>
      <c r="AU30" s="413" t="s">
        <v>7</v>
      </c>
      <c r="AV30" s="325" t="s">
        <v>410</v>
      </c>
      <c r="AW30" s="325" t="s">
        <v>564</v>
      </c>
      <c r="AX30" s="325" t="s">
        <v>489</v>
      </c>
      <c r="AY30" s="325" t="s">
        <v>443</v>
      </c>
    </row>
    <row r="31" spans="2:51" s="325" customFormat="1" ht="15.75" customHeight="1">
      <c r="B31" s="326">
        <v>26</v>
      </c>
      <c r="C31" s="327" t="s">
        <v>392</v>
      </c>
      <c r="D31" s="328" t="s">
        <v>407</v>
      </c>
      <c r="E31" s="329" t="s">
        <v>401</v>
      </c>
      <c r="F31" s="348" t="s">
        <v>402</v>
      </c>
      <c r="G31" s="330" t="s">
        <v>596</v>
      </c>
      <c r="H31" s="331" t="s">
        <v>39</v>
      </c>
      <c r="I31" s="332" t="s">
        <v>9</v>
      </c>
      <c r="J31" s="333" t="str">
        <f t="shared" si="2"/>
        <v>TER B</v>
      </c>
      <c r="K31" s="334">
        <f t="shared" si="3"/>
        <v>4169500</v>
      </c>
      <c r="L31" s="335">
        <f t="shared" si="4"/>
        <v>34070.400000000001</v>
      </c>
      <c r="M31" s="340">
        <f>[18]MAINTENANCE!AL35</f>
        <v>162240</v>
      </c>
      <c r="N31" s="340">
        <f>[18]MAINTENANCE!W35</f>
        <v>144150</v>
      </c>
      <c r="O31" s="340"/>
      <c r="P31" s="340">
        <f>[18]MAINTENANCE!AE35</f>
        <v>0</v>
      </c>
      <c r="Q31" s="335"/>
      <c r="R31" s="335"/>
      <c r="S31" s="335"/>
      <c r="T31" s="335"/>
      <c r="U31" s="335"/>
      <c r="V31" s="335"/>
      <c r="W31" s="340">
        <f>[18]MAINTENANCE!AB35</f>
        <v>21000</v>
      </c>
      <c r="X31" s="335"/>
      <c r="Y31" s="340">
        <f>-[18]MAINTENANCE!BB35</f>
        <v>0</v>
      </c>
      <c r="Z31" s="321"/>
      <c r="AA31" s="335"/>
      <c r="AB31" s="335"/>
      <c r="AC31" s="343">
        <f t="shared" si="11"/>
        <v>4530960</v>
      </c>
      <c r="AD31" s="322">
        <f t="shared" si="0"/>
        <v>0</v>
      </c>
      <c r="AE31" s="321">
        <f t="shared" si="5"/>
        <v>0</v>
      </c>
      <c r="AF31" s="353"/>
      <c r="AG31" s="321">
        <f t="shared" si="12"/>
        <v>0</v>
      </c>
      <c r="AH31" s="356"/>
      <c r="AI31" s="323">
        <f t="shared" si="13"/>
        <v>0</v>
      </c>
      <c r="AJ31" s="324"/>
      <c r="AL31" s="346">
        <f>[18]MAINTENANCE!AG35</f>
        <v>4334650</v>
      </c>
      <c r="AM31" s="341">
        <f t="shared" si="6"/>
        <v>196310.39999999999</v>
      </c>
      <c r="AN31" s="351">
        <f t="shared" si="7"/>
        <v>4530960.4000000004</v>
      </c>
      <c r="AO31" s="351">
        <f t="shared" si="1"/>
        <v>0.40000000037252903</v>
      </c>
      <c r="AR31" s="341">
        <f t="shared" si="8"/>
        <v>4169500</v>
      </c>
      <c r="AS31" s="341">
        <f t="shared" si="9"/>
        <v>165150</v>
      </c>
      <c r="AT31" s="341">
        <f t="shared" si="10"/>
        <v>196310.39999999999</v>
      </c>
      <c r="AU31" s="413" t="s">
        <v>9</v>
      </c>
      <c r="AV31" s="325" t="s">
        <v>411</v>
      </c>
      <c r="AW31" s="325" t="s">
        <v>444</v>
      </c>
      <c r="AX31" s="325" t="s">
        <v>490</v>
      </c>
      <c r="AY31" s="325" t="s">
        <v>513</v>
      </c>
    </row>
    <row r="32" spans="2:51" s="325" customFormat="1" ht="15.75" customHeight="1">
      <c r="B32" s="326">
        <v>27</v>
      </c>
      <c r="C32" s="327" t="s">
        <v>410</v>
      </c>
      <c r="D32" s="328" t="s">
        <v>564</v>
      </c>
      <c r="E32" s="329" t="s">
        <v>489</v>
      </c>
      <c r="F32" s="330" t="s">
        <v>443</v>
      </c>
      <c r="G32" s="330" t="s">
        <v>596</v>
      </c>
      <c r="H32" s="331" t="s">
        <v>39</v>
      </c>
      <c r="I32" s="332" t="s">
        <v>7</v>
      </c>
      <c r="J32" s="333" t="str">
        <f t="shared" si="2"/>
        <v>TER A</v>
      </c>
      <c r="K32" s="334">
        <f t="shared" si="3"/>
        <v>4169500</v>
      </c>
      <c r="L32" s="335">
        <f t="shared" si="4"/>
        <v>34347.599999999999</v>
      </c>
      <c r="M32" s="340">
        <f>[18]MAINTENANCE!AL36</f>
        <v>163560</v>
      </c>
      <c r="N32" s="340">
        <f>[18]MAINTENANCE!W36</f>
        <v>63000</v>
      </c>
      <c r="O32" s="340"/>
      <c r="P32" s="340">
        <f>[18]MAINTENANCE!AE36</f>
        <v>0</v>
      </c>
      <c r="Q32" s="335"/>
      <c r="R32" s="335"/>
      <c r="S32" s="335"/>
      <c r="T32" s="335"/>
      <c r="U32" s="335"/>
      <c r="V32" s="335"/>
      <c r="W32" s="340">
        <f>[18]MAINTENANCE!AB36</f>
        <v>54000</v>
      </c>
      <c r="X32" s="335"/>
      <c r="Y32" s="340">
        <f>-[18]MAINTENANCE!BB36</f>
        <v>-403500</v>
      </c>
      <c r="Z32" s="321"/>
      <c r="AA32" s="335"/>
      <c r="AB32" s="335"/>
      <c r="AC32" s="343">
        <f t="shared" si="11"/>
        <v>4080908</v>
      </c>
      <c r="AD32" s="322">
        <f t="shared" si="0"/>
        <v>0</v>
      </c>
      <c r="AE32" s="321">
        <f t="shared" si="5"/>
        <v>0</v>
      </c>
      <c r="AF32" s="353"/>
      <c r="AG32" s="321"/>
      <c r="AH32" s="358">
        <f>AE32-AF32</f>
        <v>0</v>
      </c>
      <c r="AI32" s="323">
        <f t="shared" si="13"/>
        <v>0</v>
      </c>
      <c r="AJ32" s="324"/>
      <c r="AL32" s="346">
        <f>[18]MAINTENANCE!AG36</f>
        <v>3883000</v>
      </c>
      <c r="AM32" s="341">
        <f t="shared" si="6"/>
        <v>197907.6</v>
      </c>
      <c r="AN32" s="351">
        <f>AL32+AM32</f>
        <v>4080907.6</v>
      </c>
      <c r="AO32" s="351">
        <f t="shared" si="1"/>
        <v>-0.39999999990686774</v>
      </c>
      <c r="AR32" s="341">
        <f t="shared" si="8"/>
        <v>3766000</v>
      </c>
      <c r="AS32" s="341">
        <f t="shared" si="9"/>
        <v>117000</v>
      </c>
      <c r="AT32" s="341">
        <f t="shared" si="10"/>
        <v>197907.6</v>
      </c>
      <c r="AU32" s="413" t="s">
        <v>9</v>
      </c>
      <c r="AV32" s="325" t="s">
        <v>412</v>
      </c>
      <c r="AW32" s="325" t="s">
        <v>436</v>
      </c>
      <c r="AX32" s="325" t="s">
        <v>491</v>
      </c>
      <c r="AY32" s="325" t="s">
        <v>437</v>
      </c>
    </row>
    <row r="33" spans="2:51" s="419" customFormat="1" ht="15.75" customHeight="1">
      <c r="B33" s="326">
        <v>28</v>
      </c>
      <c r="C33" s="414" t="s">
        <v>411</v>
      </c>
      <c r="D33" s="415" t="s">
        <v>444</v>
      </c>
      <c r="E33" s="329" t="s">
        <v>490</v>
      </c>
      <c r="F33" s="348" t="s">
        <v>513</v>
      </c>
      <c r="G33" s="348" t="s">
        <v>596</v>
      </c>
      <c r="H33" s="416" t="s">
        <v>39</v>
      </c>
      <c r="I33" s="417" t="s">
        <v>9</v>
      </c>
      <c r="J33" s="333" t="str">
        <f t="shared" si="2"/>
        <v>TER B</v>
      </c>
      <c r="K33" s="334">
        <f t="shared" si="3"/>
        <v>4169500</v>
      </c>
      <c r="L33" s="335">
        <f t="shared" si="4"/>
        <v>34259.4</v>
      </c>
      <c r="M33" s="340">
        <f>[18]MAINTENANCE!AL37</f>
        <v>163140</v>
      </c>
      <c r="N33" s="340">
        <f>[18]MAINTENANCE!W37</f>
        <v>139500</v>
      </c>
      <c r="O33" s="340"/>
      <c r="P33" s="340">
        <f>[18]MAINTENANCE!AE37</f>
        <v>0</v>
      </c>
      <c r="Q33" s="335"/>
      <c r="R33" s="335"/>
      <c r="S33" s="335"/>
      <c r="T33" s="335"/>
      <c r="U33" s="335"/>
      <c r="V33" s="335"/>
      <c r="W33" s="340">
        <f>[18]MAINTENANCE!AB37</f>
        <v>43500</v>
      </c>
      <c r="X33" s="335"/>
      <c r="Y33" s="340">
        <f>-[18]MAINTENANCE!BB37</f>
        <v>-134500</v>
      </c>
      <c r="Z33" s="340"/>
      <c r="AA33" s="335"/>
      <c r="AB33" s="335"/>
      <c r="AC33" s="343">
        <f>ROUND(SUM(K33:AB33),0)</f>
        <v>4415399</v>
      </c>
      <c r="AD33" s="322">
        <f t="shared" si="0"/>
        <v>0</v>
      </c>
      <c r="AE33" s="321">
        <f t="shared" si="5"/>
        <v>0</v>
      </c>
      <c r="AF33" s="418"/>
      <c r="AG33" s="340">
        <f t="shared" si="12"/>
        <v>0</v>
      </c>
      <c r="AH33" s="354"/>
      <c r="AI33" s="323">
        <f t="shared" si="13"/>
        <v>0</v>
      </c>
      <c r="AJ33" s="324"/>
      <c r="AL33" s="346">
        <f>[18]MAINTENANCE!AG37</f>
        <v>4218000</v>
      </c>
      <c r="AM33" s="420">
        <f t="shared" si="6"/>
        <v>197399.4</v>
      </c>
      <c r="AN33" s="421">
        <f t="shared" ref="AN33:AN63" si="14">AL33+AM33</f>
        <v>4415399.4000000004</v>
      </c>
      <c r="AO33" s="421">
        <f t="shared" si="1"/>
        <v>0.40000000037252903</v>
      </c>
      <c r="AR33" s="420">
        <f t="shared" si="8"/>
        <v>4035000</v>
      </c>
      <c r="AS33" s="420">
        <f t="shared" si="9"/>
        <v>183000</v>
      </c>
      <c r="AT33" s="420">
        <f t="shared" si="10"/>
        <v>197399.4</v>
      </c>
      <c r="AU33" s="422" t="s">
        <v>7</v>
      </c>
      <c r="AV33" s="419" t="s">
        <v>414</v>
      </c>
      <c r="AW33" s="419" t="s">
        <v>424</v>
      </c>
      <c r="AX33" s="419" t="s">
        <v>492</v>
      </c>
      <c r="AY33" s="419" t="s">
        <v>425</v>
      </c>
    </row>
    <row r="34" spans="2:51" s="325" customFormat="1" ht="15.75" customHeight="1">
      <c r="B34" s="326">
        <v>29</v>
      </c>
      <c r="C34" s="327" t="s">
        <v>593</v>
      </c>
      <c r="D34" s="328" t="s">
        <v>436</v>
      </c>
      <c r="E34" s="329" t="s">
        <v>491</v>
      </c>
      <c r="F34" s="330" t="s">
        <v>437</v>
      </c>
      <c r="G34" s="330" t="s">
        <v>596</v>
      </c>
      <c r="H34" s="331" t="s">
        <v>39</v>
      </c>
      <c r="I34" s="332" t="s">
        <v>9</v>
      </c>
      <c r="J34" s="333" t="str">
        <f t="shared" si="2"/>
        <v>TER B</v>
      </c>
      <c r="K34" s="334">
        <f t="shared" si="3"/>
        <v>4169500</v>
      </c>
      <c r="L34" s="335">
        <f t="shared" si="4"/>
        <v>34070.400000000001</v>
      </c>
      <c r="M34" s="340">
        <f>[18]MAINTENANCE!AL38</f>
        <v>162240</v>
      </c>
      <c r="N34" s="340">
        <f>[18]MAINTENANCE!W38</f>
        <v>144150</v>
      </c>
      <c r="O34" s="340"/>
      <c r="P34" s="340">
        <f>[18]MAINTENANCE!AE38</f>
        <v>338193.65</v>
      </c>
      <c r="Q34" s="335"/>
      <c r="R34" s="335"/>
      <c r="S34" s="335"/>
      <c r="T34" s="335"/>
      <c r="U34" s="335"/>
      <c r="V34" s="335"/>
      <c r="W34" s="340">
        <f>[18]MAINTENANCE!AB38</f>
        <v>21000</v>
      </c>
      <c r="X34" s="335"/>
      <c r="Y34" s="340">
        <f>-[18]MAINTENANCE!BB38</f>
        <v>0</v>
      </c>
      <c r="Z34" s="321"/>
      <c r="AA34" s="335"/>
      <c r="AB34" s="335"/>
      <c r="AC34" s="343">
        <f>ROUND(SUM(K34:AB34),0)</f>
        <v>4869154</v>
      </c>
      <c r="AD34" s="322">
        <f t="shared" si="0"/>
        <v>0</v>
      </c>
      <c r="AE34" s="321">
        <f t="shared" si="5"/>
        <v>0</v>
      </c>
      <c r="AF34" s="353"/>
      <c r="AG34" s="321">
        <f t="shared" si="12"/>
        <v>0</v>
      </c>
      <c r="AH34" s="354"/>
      <c r="AI34" s="323">
        <f t="shared" si="13"/>
        <v>0</v>
      </c>
      <c r="AJ34" s="324"/>
      <c r="AL34" s="346">
        <f>[18]MAINTENANCE!AG38</f>
        <v>4672843.6500000004</v>
      </c>
      <c r="AM34" s="341">
        <f t="shared" si="6"/>
        <v>196310.39999999999</v>
      </c>
      <c r="AN34" s="351">
        <f t="shared" si="14"/>
        <v>4869154.0500000007</v>
      </c>
      <c r="AO34" s="351">
        <f t="shared" si="1"/>
        <v>5.000000074505806E-2</v>
      </c>
      <c r="AR34" s="341">
        <f t="shared" si="8"/>
        <v>4169500</v>
      </c>
      <c r="AS34" s="341">
        <f t="shared" si="9"/>
        <v>503343.65</v>
      </c>
      <c r="AT34" s="341">
        <f t="shared" si="10"/>
        <v>196310.39999999999</v>
      </c>
      <c r="AU34" s="413" t="s">
        <v>7</v>
      </c>
      <c r="AV34" s="325" t="s">
        <v>415</v>
      </c>
      <c r="AW34" s="325" t="s">
        <v>427</v>
      </c>
      <c r="AX34" s="325" t="s">
        <v>493</v>
      </c>
      <c r="AY34" s="325" t="s">
        <v>428</v>
      </c>
    </row>
    <row r="35" spans="2:51" s="325" customFormat="1" ht="15.75" customHeight="1">
      <c r="B35" s="326">
        <v>30</v>
      </c>
      <c r="C35" s="327" t="s">
        <v>414</v>
      </c>
      <c r="D35" s="328" t="s">
        <v>424</v>
      </c>
      <c r="E35" s="329" t="s">
        <v>492</v>
      </c>
      <c r="F35" s="330" t="s">
        <v>425</v>
      </c>
      <c r="G35" s="330" t="s">
        <v>596</v>
      </c>
      <c r="H35" s="331" t="s">
        <v>38</v>
      </c>
      <c r="I35" s="332" t="s">
        <v>7</v>
      </c>
      <c r="J35" s="333" t="str">
        <f t="shared" si="2"/>
        <v>TER A</v>
      </c>
      <c r="K35" s="334">
        <f t="shared" si="3"/>
        <v>4169500</v>
      </c>
      <c r="L35" s="335">
        <f t="shared" si="4"/>
        <v>34095.599999999999</v>
      </c>
      <c r="M35" s="340">
        <f>[18]MAINTENANCE!AL39</f>
        <v>162360</v>
      </c>
      <c r="N35" s="340">
        <f>[18]MAINTENANCE!W39</f>
        <v>69750</v>
      </c>
      <c r="O35" s="340"/>
      <c r="P35" s="340">
        <f>[18]MAINTENANCE!AE39</f>
        <v>513121.4</v>
      </c>
      <c r="Q35" s="335"/>
      <c r="R35" s="335"/>
      <c r="S35" s="335"/>
      <c r="T35" s="335"/>
      <c r="U35" s="335"/>
      <c r="V35" s="335"/>
      <c r="W35" s="340">
        <f>[18]MAINTENANCE!AB39</f>
        <v>24000</v>
      </c>
      <c r="X35" s="335"/>
      <c r="Y35" s="340">
        <f>-[18]MAINTENANCE!BB39</f>
        <v>0</v>
      </c>
      <c r="Z35" s="321"/>
      <c r="AA35" s="335"/>
      <c r="AB35" s="335"/>
      <c r="AC35" s="343">
        <f>ROUND(SUM(K35:AB35),0)</f>
        <v>4972827</v>
      </c>
      <c r="AD35" s="322">
        <f t="shared" si="0"/>
        <v>0</v>
      </c>
      <c r="AE35" s="321">
        <f t="shared" si="5"/>
        <v>0</v>
      </c>
      <c r="AF35" s="353"/>
      <c r="AG35" s="321">
        <f t="shared" si="12"/>
        <v>0</v>
      </c>
      <c r="AH35" s="354"/>
      <c r="AI35" s="323">
        <f t="shared" si="13"/>
        <v>0</v>
      </c>
      <c r="AJ35" s="324"/>
      <c r="AL35" s="346">
        <f>[18]MAINTENANCE!AG39</f>
        <v>4776371.4000000004</v>
      </c>
      <c r="AM35" s="341">
        <f t="shared" si="6"/>
        <v>196455.6</v>
      </c>
      <c r="AN35" s="351">
        <f t="shared" si="14"/>
        <v>4972827</v>
      </c>
      <c r="AO35" s="351">
        <f t="shared" si="1"/>
        <v>0</v>
      </c>
      <c r="AR35" s="341">
        <f t="shared" si="8"/>
        <v>4169500</v>
      </c>
      <c r="AS35" s="341">
        <f t="shared" si="9"/>
        <v>606871.4</v>
      </c>
      <c r="AT35" s="341">
        <f t="shared" si="10"/>
        <v>196455.6</v>
      </c>
      <c r="AU35" s="413" t="s">
        <v>11</v>
      </c>
      <c r="AV35" s="325" t="s">
        <v>418</v>
      </c>
      <c r="AW35" s="325" t="s">
        <v>433</v>
      </c>
      <c r="AX35" s="325" t="s">
        <v>434</v>
      </c>
      <c r="AY35" s="325" t="s">
        <v>435</v>
      </c>
    </row>
    <row r="36" spans="2:51" s="325" customFormat="1" ht="15.75" customHeight="1">
      <c r="B36" s="326">
        <v>31</v>
      </c>
      <c r="C36" s="327" t="s">
        <v>415</v>
      </c>
      <c r="D36" s="328" t="s">
        <v>427</v>
      </c>
      <c r="E36" s="329" t="s">
        <v>493</v>
      </c>
      <c r="F36" s="330" t="s">
        <v>428</v>
      </c>
      <c r="G36" s="330" t="s">
        <v>596</v>
      </c>
      <c r="H36" s="331" t="s">
        <v>38</v>
      </c>
      <c r="I36" s="332" t="s">
        <v>7</v>
      </c>
      <c r="J36" s="333" t="str">
        <f t="shared" si="2"/>
        <v>TER A</v>
      </c>
      <c r="K36" s="334">
        <f t="shared" si="3"/>
        <v>4169500</v>
      </c>
      <c r="L36" s="335">
        <f t="shared" si="4"/>
        <v>34070.400000000001</v>
      </c>
      <c r="M36" s="340">
        <f>[18]MAINTENANCE!AL40</f>
        <v>162240</v>
      </c>
      <c r="N36" s="340">
        <f>[18]MAINTENANCE!W40</f>
        <v>69750</v>
      </c>
      <c r="O36" s="340"/>
      <c r="P36" s="340">
        <f>[18]MAINTENANCE!AE40</f>
        <v>0</v>
      </c>
      <c r="Q36" s="335"/>
      <c r="R36" s="335"/>
      <c r="S36" s="335"/>
      <c r="T36" s="335"/>
      <c r="U36" s="335"/>
      <c r="V36" s="335"/>
      <c r="W36" s="340">
        <f>[18]MAINTENANCE!AB40</f>
        <v>21000</v>
      </c>
      <c r="X36" s="335"/>
      <c r="Y36" s="340">
        <f>-[18]MAINTENANCE!BB40</f>
        <v>0</v>
      </c>
      <c r="Z36" s="321"/>
      <c r="AA36" s="335"/>
      <c r="AB36" s="335"/>
      <c r="AC36" s="343">
        <f t="shared" ref="AC36:AC53" si="15">ROUND(SUM(K36:AB36),0)</f>
        <v>4456560</v>
      </c>
      <c r="AD36" s="322">
        <f t="shared" si="0"/>
        <v>0</v>
      </c>
      <c r="AE36" s="321">
        <f t="shared" si="5"/>
        <v>0</v>
      </c>
      <c r="AF36" s="353"/>
      <c r="AG36" s="321">
        <f t="shared" si="12"/>
        <v>0</v>
      </c>
      <c r="AH36" s="354"/>
      <c r="AI36" s="323">
        <f t="shared" si="13"/>
        <v>0</v>
      </c>
      <c r="AJ36" s="324"/>
      <c r="AL36" s="346">
        <f>[18]MAINTENANCE!AG40</f>
        <v>4260250</v>
      </c>
      <c r="AM36" s="341">
        <f t="shared" si="6"/>
        <v>196310.39999999999</v>
      </c>
      <c r="AN36" s="351">
        <f t="shared" si="14"/>
        <v>4456560.4000000004</v>
      </c>
      <c r="AO36" s="351">
        <f t="shared" si="1"/>
        <v>0.40000000037252903</v>
      </c>
      <c r="AR36" s="341">
        <f t="shared" si="8"/>
        <v>4169500</v>
      </c>
      <c r="AS36" s="341">
        <f t="shared" si="9"/>
        <v>90750</v>
      </c>
      <c r="AT36" s="341">
        <f t="shared" si="10"/>
        <v>196310.39999999999</v>
      </c>
      <c r="AU36" s="413" t="s">
        <v>17</v>
      </c>
      <c r="AV36" s="325" t="s">
        <v>419</v>
      </c>
      <c r="AW36" s="325" t="s">
        <v>440</v>
      </c>
      <c r="AX36" s="325" t="s">
        <v>74</v>
      </c>
      <c r="AY36" s="325" t="s">
        <v>441</v>
      </c>
    </row>
    <row r="37" spans="2:51" s="325" customFormat="1" ht="15.75" customHeight="1">
      <c r="B37" s="326">
        <v>32</v>
      </c>
      <c r="C37" s="327" t="s">
        <v>418</v>
      </c>
      <c r="D37" s="328" t="s">
        <v>433</v>
      </c>
      <c r="E37" s="329" t="s">
        <v>434</v>
      </c>
      <c r="F37" s="330" t="s">
        <v>435</v>
      </c>
      <c r="G37" s="330" t="s">
        <v>596</v>
      </c>
      <c r="H37" s="331" t="s">
        <v>39</v>
      </c>
      <c r="I37" s="332" t="s">
        <v>11</v>
      </c>
      <c r="J37" s="333" t="str">
        <f t="shared" si="2"/>
        <v>TER B</v>
      </c>
      <c r="K37" s="334">
        <f t="shared" si="3"/>
        <v>4169500</v>
      </c>
      <c r="L37" s="335">
        <f t="shared" si="4"/>
        <v>34288.799999999996</v>
      </c>
      <c r="M37" s="340">
        <f>[18]MAINTENANCE!AL41</f>
        <v>163280</v>
      </c>
      <c r="N37" s="340">
        <f>[18]MAINTENANCE!W41</f>
        <v>160950</v>
      </c>
      <c r="O37" s="340"/>
      <c r="P37" s="340">
        <f>[18]MAINTENANCE!AE41</f>
        <v>0</v>
      </c>
      <c r="Q37" s="335"/>
      <c r="R37" s="335"/>
      <c r="S37" s="335"/>
      <c r="T37" s="335"/>
      <c r="U37" s="335"/>
      <c r="V37" s="335"/>
      <c r="W37" s="340">
        <f>[18]MAINTENANCE!AB41</f>
        <v>47000</v>
      </c>
      <c r="X37" s="335"/>
      <c r="Y37" s="340">
        <f>-[18]MAINTENANCE!BB41</f>
        <v>-269000</v>
      </c>
      <c r="Z37" s="321"/>
      <c r="AA37" s="335"/>
      <c r="AB37" s="335"/>
      <c r="AC37" s="343">
        <f t="shared" si="15"/>
        <v>4306019</v>
      </c>
      <c r="AD37" s="322">
        <f t="shared" si="0"/>
        <v>0</v>
      </c>
      <c r="AE37" s="321">
        <f t="shared" si="5"/>
        <v>0</v>
      </c>
      <c r="AF37" s="353"/>
      <c r="AG37" s="321">
        <f t="shared" si="12"/>
        <v>0</v>
      </c>
      <c r="AH37" s="354"/>
      <c r="AI37" s="323">
        <f t="shared" si="13"/>
        <v>0</v>
      </c>
      <c r="AJ37" s="324"/>
      <c r="AL37" s="346">
        <f>[18]MAINTENANCE!AG41</f>
        <v>4108450</v>
      </c>
      <c r="AM37" s="341">
        <f t="shared" si="6"/>
        <v>197568.8</v>
      </c>
      <c r="AN37" s="351">
        <f t="shared" si="14"/>
        <v>4306018.8</v>
      </c>
      <c r="AO37" s="351">
        <f t="shared" si="1"/>
        <v>-0.20000000018626451</v>
      </c>
      <c r="AR37" s="341">
        <f t="shared" si="8"/>
        <v>3900500</v>
      </c>
      <c r="AS37" s="341">
        <f t="shared" si="9"/>
        <v>207950</v>
      </c>
      <c r="AT37" s="341">
        <f t="shared" si="10"/>
        <v>197568.8</v>
      </c>
      <c r="AU37" s="413" t="s">
        <v>7</v>
      </c>
      <c r="AV37" s="325" t="s">
        <v>420</v>
      </c>
      <c r="AW37" s="325" t="s">
        <v>422</v>
      </c>
      <c r="AX37" s="325" t="s">
        <v>74</v>
      </c>
      <c r="AY37" s="325" t="s">
        <v>423</v>
      </c>
    </row>
    <row r="38" spans="2:51" s="325" customFormat="1" ht="15.75" customHeight="1">
      <c r="B38" s="326">
        <v>33</v>
      </c>
      <c r="C38" s="327" t="s">
        <v>419</v>
      </c>
      <c r="D38" s="342" t="s">
        <v>440</v>
      </c>
      <c r="E38" s="329" t="s">
        <v>74</v>
      </c>
      <c r="F38" s="330" t="s">
        <v>441</v>
      </c>
      <c r="G38" s="330" t="s">
        <v>596</v>
      </c>
      <c r="H38" s="331" t="s">
        <v>39</v>
      </c>
      <c r="I38" s="332" t="s">
        <v>17</v>
      </c>
      <c r="J38" s="333" t="str">
        <f t="shared" si="2"/>
        <v>TER A</v>
      </c>
      <c r="K38" s="334">
        <f t="shared" si="3"/>
        <v>4169500</v>
      </c>
      <c r="L38" s="335">
        <f t="shared" si="4"/>
        <v>34120.799999999996</v>
      </c>
      <c r="M38" s="340">
        <f>[18]MAINTENANCE!AL42</f>
        <v>162480</v>
      </c>
      <c r="N38" s="340">
        <f>[18]MAINTENANCE!W42</f>
        <v>111000</v>
      </c>
      <c r="O38" s="340"/>
      <c r="P38" s="340">
        <f>[18]MAINTENANCE!AE42</f>
        <v>0</v>
      </c>
      <c r="Q38" s="335"/>
      <c r="R38" s="335"/>
      <c r="S38" s="335"/>
      <c r="T38" s="335"/>
      <c r="U38" s="335"/>
      <c r="V38" s="335"/>
      <c r="W38" s="340">
        <f>[18]MAINTENANCE!AB42</f>
        <v>27000</v>
      </c>
      <c r="X38" s="335"/>
      <c r="Y38" s="340">
        <f>-[18]MAINTENANCE!BB42</f>
        <v>-134500</v>
      </c>
      <c r="Z38" s="321"/>
      <c r="AA38" s="335"/>
      <c r="AB38" s="335"/>
      <c r="AC38" s="343">
        <f t="shared" si="15"/>
        <v>4369601</v>
      </c>
      <c r="AD38" s="322">
        <f t="shared" si="0"/>
        <v>0</v>
      </c>
      <c r="AE38" s="321">
        <f t="shared" si="5"/>
        <v>0</v>
      </c>
      <c r="AF38" s="353"/>
      <c r="AG38" s="321">
        <f t="shared" si="12"/>
        <v>0</v>
      </c>
      <c r="AH38" s="354"/>
      <c r="AI38" s="323">
        <f t="shared" si="13"/>
        <v>0</v>
      </c>
      <c r="AJ38" s="324"/>
      <c r="AL38" s="346">
        <f>[18]MAINTENANCE!AG42</f>
        <v>4173000</v>
      </c>
      <c r="AM38" s="341">
        <f t="shared" si="6"/>
        <v>196600.8</v>
      </c>
      <c r="AN38" s="351">
        <f t="shared" si="14"/>
        <v>4369600.8</v>
      </c>
      <c r="AO38" s="351">
        <f t="shared" si="1"/>
        <v>-0.20000000018626451</v>
      </c>
      <c r="AR38" s="341">
        <f t="shared" si="8"/>
        <v>4035000</v>
      </c>
      <c r="AS38" s="341">
        <f t="shared" si="9"/>
        <v>138000</v>
      </c>
      <c r="AT38" s="341">
        <f t="shared" si="10"/>
        <v>196600.8</v>
      </c>
      <c r="AU38" s="413" t="s">
        <v>9</v>
      </c>
      <c r="AV38" s="325" t="s">
        <v>570</v>
      </c>
      <c r="AW38" s="325" t="s">
        <v>446</v>
      </c>
      <c r="AX38" s="325" t="s">
        <v>447</v>
      </c>
      <c r="AY38" s="325" t="s">
        <v>448</v>
      </c>
    </row>
    <row r="39" spans="2:51" s="325" customFormat="1" ht="15.75" customHeight="1">
      <c r="B39" s="326">
        <v>34</v>
      </c>
      <c r="C39" s="327" t="s">
        <v>420</v>
      </c>
      <c r="D39" s="342" t="s">
        <v>422</v>
      </c>
      <c r="E39" s="329" t="s">
        <v>74</v>
      </c>
      <c r="F39" s="330" t="s">
        <v>423</v>
      </c>
      <c r="G39" s="330" t="s">
        <v>596</v>
      </c>
      <c r="H39" s="331" t="s">
        <v>39</v>
      </c>
      <c r="I39" s="332" t="s">
        <v>7</v>
      </c>
      <c r="J39" s="333" t="str">
        <f t="shared" si="2"/>
        <v>TER A</v>
      </c>
      <c r="K39" s="334">
        <f t="shared" si="3"/>
        <v>4169500</v>
      </c>
      <c r="L39" s="335">
        <f t="shared" si="4"/>
        <v>33915</v>
      </c>
      <c r="M39" s="340">
        <f>[18]MAINTENANCE!AL43</f>
        <v>161500</v>
      </c>
      <c r="N39" s="340">
        <f>[18]MAINTENANCE!W43</f>
        <v>60750</v>
      </c>
      <c r="O39" s="340"/>
      <c r="P39" s="340">
        <f>[18]MAINTENANCE!AE43</f>
        <v>221575.15</v>
      </c>
      <c r="Q39" s="335"/>
      <c r="R39" s="335"/>
      <c r="S39" s="335"/>
      <c r="T39" s="335"/>
      <c r="U39" s="335"/>
      <c r="V39" s="335"/>
      <c r="W39" s="340">
        <f>[18]MAINTENANCE!AB43</f>
        <v>2500</v>
      </c>
      <c r="X39" s="335"/>
      <c r="Y39" s="340">
        <f>-[18]MAINTENANCE!BB43</f>
        <v>-538000</v>
      </c>
      <c r="Z39" s="321"/>
      <c r="AA39" s="335"/>
      <c r="AB39" s="335"/>
      <c r="AC39" s="343">
        <f t="shared" si="15"/>
        <v>4111740</v>
      </c>
      <c r="AD39" s="322">
        <f t="shared" si="0"/>
        <v>0</v>
      </c>
      <c r="AE39" s="321">
        <f t="shared" si="5"/>
        <v>0</v>
      </c>
      <c r="AF39" s="353"/>
      <c r="AG39" s="321">
        <f t="shared" si="12"/>
        <v>0</v>
      </c>
      <c r="AH39" s="354"/>
      <c r="AI39" s="323">
        <f t="shared" si="13"/>
        <v>0</v>
      </c>
      <c r="AJ39" s="324"/>
      <c r="AL39" s="346">
        <f>[18]MAINTENANCE!AG43</f>
        <v>3916325.15</v>
      </c>
      <c r="AM39" s="341">
        <f t="shared" si="6"/>
        <v>195415</v>
      </c>
      <c r="AN39" s="351">
        <f t="shared" si="14"/>
        <v>4111740.15</v>
      </c>
      <c r="AO39" s="351">
        <f t="shared" si="1"/>
        <v>0.14999999990686774</v>
      </c>
      <c r="AR39" s="341">
        <f t="shared" si="8"/>
        <v>3631500</v>
      </c>
      <c r="AS39" s="341">
        <f t="shared" si="9"/>
        <v>284825.15000000002</v>
      </c>
      <c r="AT39" s="341">
        <f t="shared" si="10"/>
        <v>195415</v>
      </c>
      <c r="AU39" s="413" t="s">
        <v>9</v>
      </c>
      <c r="AV39" s="325" t="s">
        <v>571</v>
      </c>
      <c r="AW39" s="325" t="s">
        <v>449</v>
      </c>
      <c r="AX39" s="325" t="s">
        <v>450</v>
      </c>
      <c r="AY39" s="325" t="s">
        <v>451</v>
      </c>
    </row>
    <row r="40" spans="2:51" s="325" customFormat="1" ht="15.75" customHeight="1">
      <c r="B40" s="326">
        <v>35</v>
      </c>
      <c r="C40" s="327" t="s">
        <v>570</v>
      </c>
      <c r="D40" s="342" t="s">
        <v>446</v>
      </c>
      <c r="E40" s="329" t="s">
        <v>447</v>
      </c>
      <c r="F40" s="330" t="s">
        <v>448</v>
      </c>
      <c r="G40" s="330" t="s">
        <v>596</v>
      </c>
      <c r="H40" s="331" t="s">
        <v>39</v>
      </c>
      <c r="I40" s="332" t="s">
        <v>9</v>
      </c>
      <c r="J40" s="333" t="str">
        <f t="shared" si="2"/>
        <v>TER B</v>
      </c>
      <c r="K40" s="334">
        <f t="shared" si="3"/>
        <v>4169500</v>
      </c>
      <c r="L40" s="335">
        <f t="shared" si="4"/>
        <v>34347.599999999999</v>
      </c>
      <c r="M40" s="340">
        <f>[18]MAINTENANCE!AL44</f>
        <v>163560</v>
      </c>
      <c r="N40" s="340">
        <f>[18]MAINTENANCE!W44</f>
        <v>126000</v>
      </c>
      <c r="O40" s="340"/>
      <c r="P40" s="340">
        <f>[18]MAINTENANCE!AE44</f>
        <v>0</v>
      </c>
      <c r="Q40" s="335"/>
      <c r="R40" s="335"/>
      <c r="S40" s="335"/>
      <c r="T40" s="335"/>
      <c r="U40" s="335"/>
      <c r="V40" s="335"/>
      <c r="W40" s="340">
        <f>[18]MAINTENANCE!AB44</f>
        <v>54000</v>
      </c>
      <c r="X40" s="335"/>
      <c r="Y40" s="340">
        <f>-[18]MAINTENANCE!BB44</f>
        <v>-134500</v>
      </c>
      <c r="Z40" s="321"/>
      <c r="AA40" s="335"/>
      <c r="AB40" s="335"/>
      <c r="AC40" s="343">
        <f t="shared" si="15"/>
        <v>4412908</v>
      </c>
      <c r="AD40" s="322">
        <f t="shared" si="0"/>
        <v>0</v>
      </c>
      <c r="AE40" s="321">
        <f t="shared" si="5"/>
        <v>0</v>
      </c>
      <c r="AF40" s="353"/>
      <c r="AG40" s="321">
        <f t="shared" si="12"/>
        <v>0</v>
      </c>
      <c r="AH40" s="354"/>
      <c r="AI40" s="323">
        <f t="shared" si="13"/>
        <v>0</v>
      </c>
      <c r="AJ40" s="324"/>
      <c r="AL40" s="346">
        <f>[18]MAINTENANCE!AG44</f>
        <v>4215000</v>
      </c>
      <c r="AM40" s="341">
        <f t="shared" si="6"/>
        <v>197907.6</v>
      </c>
      <c r="AN40" s="351">
        <f t="shared" si="14"/>
        <v>4412907.5999999996</v>
      </c>
      <c r="AO40" s="351">
        <f t="shared" si="1"/>
        <v>-0.40000000037252903</v>
      </c>
      <c r="AR40" s="341">
        <f t="shared" si="8"/>
        <v>4035000</v>
      </c>
      <c r="AS40" s="341">
        <f t="shared" si="9"/>
        <v>180000</v>
      </c>
      <c r="AT40" s="341">
        <f t="shared" si="10"/>
        <v>197907.6</v>
      </c>
      <c r="AU40" s="413" t="s">
        <v>11</v>
      </c>
      <c r="AV40" s="325" t="s">
        <v>572</v>
      </c>
      <c r="AW40" s="325" t="s">
        <v>452</v>
      </c>
      <c r="AX40" s="325" t="s">
        <v>453</v>
      </c>
      <c r="AY40" s="325" t="s">
        <v>454</v>
      </c>
    </row>
    <row r="41" spans="2:51" s="325" customFormat="1" ht="15.75" customHeight="1">
      <c r="B41" s="326">
        <v>36</v>
      </c>
      <c r="C41" s="327" t="s">
        <v>571</v>
      </c>
      <c r="D41" s="328" t="s">
        <v>449</v>
      </c>
      <c r="E41" s="329" t="s">
        <v>450</v>
      </c>
      <c r="F41" s="330" t="s">
        <v>451</v>
      </c>
      <c r="G41" s="330" t="s">
        <v>596</v>
      </c>
      <c r="H41" s="331" t="s">
        <v>39</v>
      </c>
      <c r="I41" s="332" t="s">
        <v>9</v>
      </c>
      <c r="J41" s="333" t="str">
        <f t="shared" si="2"/>
        <v>TER B</v>
      </c>
      <c r="K41" s="334">
        <f t="shared" si="3"/>
        <v>4169500</v>
      </c>
      <c r="L41" s="335">
        <f t="shared" si="4"/>
        <v>34200.6</v>
      </c>
      <c r="M41" s="340">
        <f>[18]MAINTENANCE!AL45</f>
        <v>162860</v>
      </c>
      <c r="N41" s="340">
        <f>[18]MAINTENANCE!W45</f>
        <v>139500</v>
      </c>
      <c r="O41" s="340"/>
      <c r="P41" s="340">
        <f>[18]MAINTENANCE!AE45</f>
        <v>0</v>
      </c>
      <c r="Q41" s="335"/>
      <c r="R41" s="335"/>
      <c r="S41" s="335"/>
      <c r="T41" s="335"/>
      <c r="U41" s="335"/>
      <c r="V41" s="335"/>
      <c r="W41" s="340">
        <f>[18]MAINTENANCE!AB45</f>
        <v>36500</v>
      </c>
      <c r="X41" s="335"/>
      <c r="Y41" s="340">
        <f>-[18]MAINTENANCE!BB45</f>
        <v>-134500</v>
      </c>
      <c r="Z41" s="321"/>
      <c r="AA41" s="335"/>
      <c r="AB41" s="335"/>
      <c r="AC41" s="343">
        <f t="shared" si="15"/>
        <v>4408061</v>
      </c>
      <c r="AD41" s="322">
        <f t="shared" si="0"/>
        <v>0</v>
      </c>
      <c r="AE41" s="321">
        <f t="shared" si="5"/>
        <v>0</v>
      </c>
      <c r="AF41" s="353"/>
      <c r="AG41" s="321">
        <f t="shared" si="12"/>
        <v>0</v>
      </c>
      <c r="AH41" s="354"/>
      <c r="AI41" s="323">
        <f t="shared" si="13"/>
        <v>0</v>
      </c>
      <c r="AJ41" s="324"/>
      <c r="AL41" s="346">
        <f>[18]MAINTENANCE!AG45</f>
        <v>4211000</v>
      </c>
      <c r="AM41" s="341">
        <f t="shared" si="6"/>
        <v>197060.6</v>
      </c>
      <c r="AN41" s="351">
        <f t="shared" si="14"/>
        <v>4408060.5999999996</v>
      </c>
      <c r="AO41" s="351">
        <f t="shared" si="1"/>
        <v>-0.40000000037252903</v>
      </c>
      <c r="AR41" s="341">
        <f t="shared" si="8"/>
        <v>4035000</v>
      </c>
      <c r="AS41" s="341">
        <f t="shared" si="9"/>
        <v>176000</v>
      </c>
      <c r="AT41" s="341">
        <f t="shared" si="10"/>
        <v>197060.6</v>
      </c>
      <c r="AU41" s="413" t="s">
        <v>11</v>
      </c>
      <c r="AV41" s="325" t="s">
        <v>573</v>
      </c>
      <c r="AW41" s="325">
        <v>1214011708740000</v>
      </c>
      <c r="AX41" s="325" t="s">
        <v>455</v>
      </c>
      <c r="AY41" s="325" t="s">
        <v>456</v>
      </c>
    </row>
    <row r="42" spans="2:51" s="325" customFormat="1" ht="15.75" customHeight="1">
      <c r="B42" s="326">
        <v>37</v>
      </c>
      <c r="C42" s="327" t="s">
        <v>572</v>
      </c>
      <c r="D42" s="342" t="s">
        <v>452</v>
      </c>
      <c r="E42" s="329" t="s">
        <v>453</v>
      </c>
      <c r="F42" s="330" t="s">
        <v>454</v>
      </c>
      <c r="G42" s="330" t="s">
        <v>596</v>
      </c>
      <c r="H42" s="331" t="s">
        <v>39</v>
      </c>
      <c r="I42" s="332" t="s">
        <v>11</v>
      </c>
      <c r="J42" s="333" t="str">
        <f t="shared" si="2"/>
        <v>TER B</v>
      </c>
      <c r="K42" s="334">
        <f t="shared" si="3"/>
        <v>4169500</v>
      </c>
      <c r="L42" s="335">
        <f t="shared" si="4"/>
        <v>34347.599999999999</v>
      </c>
      <c r="M42" s="340">
        <f>[18]MAINTENANCE!AL46</f>
        <v>163560</v>
      </c>
      <c r="N42" s="340">
        <f>[18]MAINTENANCE!W46</f>
        <v>166500</v>
      </c>
      <c r="O42" s="340"/>
      <c r="P42" s="340">
        <f>[18]MAINTENANCE!AE46</f>
        <v>0</v>
      </c>
      <c r="Q42" s="335"/>
      <c r="R42" s="335"/>
      <c r="S42" s="335"/>
      <c r="T42" s="335"/>
      <c r="U42" s="335"/>
      <c r="V42" s="335"/>
      <c r="W42" s="340">
        <f>[18]MAINTENANCE!AB46</f>
        <v>54000</v>
      </c>
      <c r="X42" s="335"/>
      <c r="Y42" s="340">
        <f>-[18]MAINTENANCE!BB46</f>
        <v>-134500</v>
      </c>
      <c r="Z42" s="321"/>
      <c r="AA42" s="335"/>
      <c r="AB42" s="335"/>
      <c r="AC42" s="343">
        <f t="shared" si="15"/>
        <v>4453408</v>
      </c>
      <c r="AD42" s="322">
        <f t="shared" si="0"/>
        <v>0</v>
      </c>
      <c r="AE42" s="321">
        <f t="shared" si="5"/>
        <v>0</v>
      </c>
      <c r="AF42" s="353"/>
      <c r="AG42" s="321">
        <f t="shared" si="12"/>
        <v>0</v>
      </c>
      <c r="AH42" s="354"/>
      <c r="AI42" s="323">
        <f t="shared" si="13"/>
        <v>0</v>
      </c>
      <c r="AJ42" s="324"/>
      <c r="AL42" s="346">
        <f>[18]MAINTENANCE!AG46</f>
        <v>4255500</v>
      </c>
      <c r="AM42" s="341">
        <f t="shared" si="6"/>
        <v>197907.6</v>
      </c>
      <c r="AN42" s="351">
        <f t="shared" si="14"/>
        <v>4453407.5999999996</v>
      </c>
      <c r="AO42" s="351">
        <f t="shared" si="1"/>
        <v>-0.40000000037252903</v>
      </c>
      <c r="AR42" s="341">
        <f t="shared" si="8"/>
        <v>4035000</v>
      </c>
      <c r="AS42" s="341">
        <f t="shared" si="9"/>
        <v>220500</v>
      </c>
      <c r="AT42" s="341">
        <f t="shared" si="10"/>
        <v>197907.6</v>
      </c>
      <c r="AU42" s="413" t="s">
        <v>11</v>
      </c>
      <c r="AV42" s="325" t="s">
        <v>574</v>
      </c>
      <c r="AW42" s="325" t="s">
        <v>457</v>
      </c>
      <c r="AX42" s="325" t="s">
        <v>458</v>
      </c>
      <c r="AY42" s="325" t="s">
        <v>459</v>
      </c>
    </row>
    <row r="43" spans="2:51" s="325" customFormat="1" ht="15.75" customHeight="1">
      <c r="B43" s="326">
        <v>38</v>
      </c>
      <c r="C43" s="327" t="s">
        <v>573</v>
      </c>
      <c r="D43" s="342" t="s">
        <v>600</v>
      </c>
      <c r="E43" s="329" t="s">
        <v>455</v>
      </c>
      <c r="F43" s="330" t="s">
        <v>456</v>
      </c>
      <c r="G43" s="330" t="s">
        <v>596</v>
      </c>
      <c r="H43" s="331" t="s">
        <v>39</v>
      </c>
      <c r="I43" s="332" t="s">
        <v>11</v>
      </c>
      <c r="J43" s="333" t="str">
        <f t="shared" si="2"/>
        <v>TER B</v>
      </c>
      <c r="K43" s="334">
        <f t="shared" si="3"/>
        <v>4169500</v>
      </c>
      <c r="L43" s="335">
        <f t="shared" si="4"/>
        <v>34045.199999999997</v>
      </c>
      <c r="M43" s="340">
        <f>[18]MAINTENANCE!AL47</f>
        <v>162120</v>
      </c>
      <c r="N43" s="340">
        <f>[18]MAINTENANCE!W47</f>
        <v>172050</v>
      </c>
      <c r="O43" s="340"/>
      <c r="P43" s="340">
        <f>[18]MAINTENANCE!AE47</f>
        <v>0</v>
      </c>
      <c r="Q43" s="335"/>
      <c r="R43" s="335"/>
      <c r="S43" s="335"/>
      <c r="T43" s="335"/>
      <c r="U43" s="335"/>
      <c r="V43" s="335"/>
      <c r="W43" s="340">
        <f>[18]MAINTENANCE!AB47</f>
        <v>18000</v>
      </c>
      <c r="X43" s="335"/>
      <c r="Y43" s="340">
        <f>-[18]MAINTENANCE!BB47</f>
        <v>0</v>
      </c>
      <c r="Z43" s="321"/>
      <c r="AA43" s="335"/>
      <c r="AB43" s="335"/>
      <c r="AC43" s="343">
        <f t="shared" si="15"/>
        <v>4555715</v>
      </c>
      <c r="AD43" s="322">
        <f t="shared" si="0"/>
        <v>0</v>
      </c>
      <c r="AE43" s="321">
        <f t="shared" si="5"/>
        <v>0</v>
      </c>
      <c r="AF43" s="353"/>
      <c r="AG43" s="321">
        <f t="shared" si="12"/>
        <v>0</v>
      </c>
      <c r="AH43" s="354"/>
      <c r="AI43" s="323">
        <f t="shared" si="13"/>
        <v>0</v>
      </c>
      <c r="AJ43" s="324"/>
      <c r="AL43" s="346">
        <f>[18]MAINTENANCE!AG47</f>
        <v>4359550</v>
      </c>
      <c r="AM43" s="341">
        <f t="shared" si="6"/>
        <v>196165.2</v>
      </c>
      <c r="AN43" s="351">
        <f t="shared" si="14"/>
        <v>4555715.2</v>
      </c>
      <c r="AO43" s="351">
        <f t="shared" si="1"/>
        <v>0.20000000018626451</v>
      </c>
      <c r="AR43" s="341">
        <f t="shared" si="8"/>
        <v>4169500</v>
      </c>
      <c r="AS43" s="341">
        <f t="shared" si="9"/>
        <v>190050</v>
      </c>
      <c r="AT43" s="341">
        <f t="shared" si="10"/>
        <v>196165.2</v>
      </c>
      <c r="AU43" s="413" t="s">
        <v>7</v>
      </c>
      <c r="AV43" s="325" t="s">
        <v>575</v>
      </c>
      <c r="AW43" s="325" t="s">
        <v>460</v>
      </c>
      <c r="AX43" s="325" t="s">
        <v>74</v>
      </c>
      <c r="AY43" s="325" t="s">
        <v>461</v>
      </c>
    </row>
    <row r="44" spans="2:51" s="325" customFormat="1" ht="15.75" customHeight="1">
      <c r="B44" s="326">
        <v>39</v>
      </c>
      <c r="C44" s="327" t="s">
        <v>574</v>
      </c>
      <c r="D44" s="342" t="s">
        <v>457</v>
      </c>
      <c r="E44" s="329" t="s">
        <v>458</v>
      </c>
      <c r="F44" s="330" t="s">
        <v>459</v>
      </c>
      <c r="G44" s="330" t="s">
        <v>596</v>
      </c>
      <c r="H44" s="331" t="s">
        <v>39</v>
      </c>
      <c r="I44" s="332" t="s">
        <v>11</v>
      </c>
      <c r="J44" s="333" t="str">
        <f t="shared" si="2"/>
        <v>TER B</v>
      </c>
      <c r="K44" s="334">
        <f t="shared" si="3"/>
        <v>4169500</v>
      </c>
      <c r="L44" s="335">
        <f t="shared" si="4"/>
        <v>34171.199999999997</v>
      </c>
      <c r="M44" s="340">
        <f>[18]MAINTENANCE!AL48</f>
        <v>162720</v>
      </c>
      <c r="N44" s="340">
        <f>[18]MAINTENANCE!W48</f>
        <v>172050</v>
      </c>
      <c r="O44" s="340"/>
      <c r="P44" s="340">
        <f>[18]MAINTENANCE!AE48</f>
        <v>0</v>
      </c>
      <c r="Q44" s="335"/>
      <c r="R44" s="335"/>
      <c r="S44" s="335"/>
      <c r="T44" s="335"/>
      <c r="U44" s="335"/>
      <c r="V44" s="335"/>
      <c r="W44" s="340">
        <f>[18]MAINTENANCE!AB48</f>
        <v>33000</v>
      </c>
      <c r="X44" s="335"/>
      <c r="Y44" s="340">
        <f>-[18]MAINTENANCE!BB48</f>
        <v>0</v>
      </c>
      <c r="Z44" s="321"/>
      <c r="AA44" s="335"/>
      <c r="AB44" s="335"/>
      <c r="AC44" s="343">
        <f t="shared" si="15"/>
        <v>4571441</v>
      </c>
      <c r="AD44" s="322">
        <f t="shared" si="0"/>
        <v>0</v>
      </c>
      <c r="AE44" s="321">
        <f t="shared" si="5"/>
        <v>0</v>
      </c>
      <c r="AF44" s="353"/>
      <c r="AG44" s="321">
        <f t="shared" si="12"/>
        <v>0</v>
      </c>
      <c r="AH44" s="354"/>
      <c r="AI44" s="323">
        <f t="shared" si="13"/>
        <v>0</v>
      </c>
      <c r="AJ44" s="324"/>
      <c r="AL44" s="346">
        <f>[18]MAINTENANCE!AG48</f>
        <v>4374550</v>
      </c>
      <c r="AM44" s="341">
        <f t="shared" si="6"/>
        <v>196891.2</v>
      </c>
      <c r="AN44" s="351">
        <f t="shared" si="14"/>
        <v>4571441.2</v>
      </c>
      <c r="AO44" s="351">
        <f t="shared" si="1"/>
        <v>0.20000000018626451</v>
      </c>
      <c r="AR44" s="341">
        <f t="shared" si="8"/>
        <v>4169500</v>
      </c>
      <c r="AS44" s="341">
        <f t="shared" si="9"/>
        <v>205050</v>
      </c>
      <c r="AT44" s="341">
        <f t="shared" si="10"/>
        <v>196891.2</v>
      </c>
      <c r="AU44" s="413" t="s">
        <v>7</v>
      </c>
      <c r="AV44" s="325" t="s">
        <v>576</v>
      </c>
      <c r="AW44" s="325" t="s">
        <v>462</v>
      </c>
      <c r="AX44" s="325" t="s">
        <v>463</v>
      </c>
      <c r="AY44" s="325" t="s">
        <v>464</v>
      </c>
    </row>
    <row r="45" spans="2:51" s="325" customFormat="1" ht="15.75" customHeight="1">
      <c r="B45" s="326">
        <v>40</v>
      </c>
      <c r="C45" s="327" t="s">
        <v>575</v>
      </c>
      <c r="D45" s="342" t="s">
        <v>460</v>
      </c>
      <c r="E45" s="329" t="s">
        <v>74</v>
      </c>
      <c r="F45" s="330" t="s">
        <v>461</v>
      </c>
      <c r="G45" s="330" t="s">
        <v>596</v>
      </c>
      <c r="H45" s="331" t="s">
        <v>39</v>
      </c>
      <c r="I45" s="332" t="s">
        <v>7</v>
      </c>
      <c r="J45" s="333" t="str">
        <f t="shared" si="2"/>
        <v>TER A</v>
      </c>
      <c r="K45" s="334">
        <f t="shared" si="3"/>
        <v>4169500</v>
      </c>
      <c r="L45" s="335">
        <f t="shared" si="4"/>
        <v>33957</v>
      </c>
      <c r="M45" s="340">
        <f>[18]MAINTENANCE!AL49</f>
        <v>161700</v>
      </c>
      <c r="N45" s="340">
        <f>[18]MAINTENANCE!W49</f>
        <v>65250</v>
      </c>
      <c r="O45" s="340"/>
      <c r="P45" s="340">
        <f>[18]MAINTENANCE!AE49</f>
        <v>0</v>
      </c>
      <c r="Q45" s="335"/>
      <c r="R45" s="335"/>
      <c r="S45" s="335"/>
      <c r="T45" s="335"/>
      <c r="U45" s="335"/>
      <c r="V45" s="335"/>
      <c r="W45" s="340">
        <f>[18]MAINTENANCE!AB49</f>
        <v>7500</v>
      </c>
      <c r="X45" s="335"/>
      <c r="Y45" s="340">
        <f>-[18]MAINTENANCE!BB49</f>
        <v>-269000</v>
      </c>
      <c r="Z45" s="321"/>
      <c r="AA45" s="335"/>
      <c r="AB45" s="335"/>
      <c r="AC45" s="343">
        <f t="shared" si="15"/>
        <v>4168907</v>
      </c>
      <c r="AD45" s="322">
        <f t="shared" si="0"/>
        <v>0</v>
      </c>
      <c r="AE45" s="321">
        <f t="shared" si="5"/>
        <v>0</v>
      </c>
      <c r="AF45" s="353"/>
      <c r="AG45" s="321">
        <f t="shared" si="12"/>
        <v>0</v>
      </c>
      <c r="AH45" s="354"/>
      <c r="AI45" s="323">
        <f t="shared" si="13"/>
        <v>0</v>
      </c>
      <c r="AJ45" s="324"/>
      <c r="AL45" s="346">
        <f>[18]MAINTENANCE!AG49</f>
        <v>3973250</v>
      </c>
      <c r="AM45" s="341">
        <f t="shared" si="6"/>
        <v>195657</v>
      </c>
      <c r="AN45" s="351">
        <f t="shared" si="14"/>
        <v>4168907</v>
      </c>
      <c r="AO45" s="351">
        <f t="shared" si="1"/>
        <v>0</v>
      </c>
      <c r="AR45" s="341">
        <f t="shared" si="8"/>
        <v>3900500</v>
      </c>
      <c r="AS45" s="341">
        <f t="shared" si="9"/>
        <v>72750</v>
      </c>
      <c r="AT45" s="341">
        <f t="shared" si="10"/>
        <v>195657</v>
      </c>
      <c r="AU45" s="413" t="s">
        <v>7</v>
      </c>
      <c r="AV45" s="325" t="s">
        <v>577</v>
      </c>
      <c r="AW45" s="325" t="s">
        <v>465</v>
      </c>
      <c r="AX45" s="325" t="s">
        <v>466</v>
      </c>
      <c r="AY45" s="325" t="s">
        <v>467</v>
      </c>
    </row>
    <row r="46" spans="2:51" s="325" customFormat="1" ht="15.75" customHeight="1">
      <c r="B46" s="326">
        <v>41</v>
      </c>
      <c r="C46" s="327" t="s">
        <v>576</v>
      </c>
      <c r="D46" s="342" t="s">
        <v>462</v>
      </c>
      <c r="E46" s="329" t="s">
        <v>463</v>
      </c>
      <c r="F46" s="330" t="s">
        <v>464</v>
      </c>
      <c r="G46" s="330" t="s">
        <v>596</v>
      </c>
      <c r="H46" s="331" t="s">
        <v>38</v>
      </c>
      <c r="I46" s="332" t="s">
        <v>7</v>
      </c>
      <c r="J46" s="333" t="str">
        <f t="shared" si="2"/>
        <v>TER A</v>
      </c>
      <c r="K46" s="334">
        <f t="shared" si="3"/>
        <v>4169500</v>
      </c>
      <c r="L46" s="335">
        <f t="shared" si="4"/>
        <v>34347.599999999999</v>
      </c>
      <c r="M46" s="340">
        <f>[18]MAINTENANCE!AL50</f>
        <v>163560</v>
      </c>
      <c r="N46" s="340">
        <f>[18]MAINTENANCE!W50</f>
        <v>69750</v>
      </c>
      <c r="O46" s="340"/>
      <c r="P46" s="340">
        <f>[18]MAINTENANCE!AE50</f>
        <v>0</v>
      </c>
      <c r="Q46" s="335"/>
      <c r="R46" s="335"/>
      <c r="S46" s="335"/>
      <c r="T46" s="335"/>
      <c r="U46" s="335"/>
      <c r="V46" s="335"/>
      <c r="W46" s="340">
        <f>[18]MAINTENANCE!AB50</f>
        <v>54000</v>
      </c>
      <c r="X46" s="335"/>
      <c r="Y46" s="340">
        <f>-[18]MAINTENANCE!BB50</f>
        <v>0</v>
      </c>
      <c r="Z46" s="321"/>
      <c r="AA46" s="335"/>
      <c r="AB46" s="335"/>
      <c r="AC46" s="343">
        <f t="shared" si="15"/>
        <v>4491158</v>
      </c>
      <c r="AD46" s="322">
        <f t="shared" si="0"/>
        <v>0</v>
      </c>
      <c r="AE46" s="321">
        <f t="shared" si="5"/>
        <v>0</v>
      </c>
      <c r="AF46" s="353"/>
      <c r="AG46" s="321">
        <f t="shared" si="12"/>
        <v>0</v>
      </c>
      <c r="AH46" s="354"/>
      <c r="AI46" s="323">
        <f t="shared" si="13"/>
        <v>0</v>
      </c>
      <c r="AJ46" s="324"/>
      <c r="AL46" s="346">
        <f>[18]MAINTENANCE!AG50</f>
        <v>4293250</v>
      </c>
      <c r="AM46" s="341">
        <f t="shared" si="6"/>
        <v>197907.6</v>
      </c>
      <c r="AN46" s="351">
        <f t="shared" si="14"/>
        <v>4491157.5999999996</v>
      </c>
      <c r="AO46" s="351">
        <f t="shared" si="1"/>
        <v>-0.40000000037252903</v>
      </c>
      <c r="AR46" s="341">
        <f t="shared" si="8"/>
        <v>4169500</v>
      </c>
      <c r="AS46" s="341">
        <f t="shared" si="9"/>
        <v>123750</v>
      </c>
      <c r="AT46" s="341">
        <f t="shared" si="10"/>
        <v>197907.6</v>
      </c>
      <c r="AU46" s="413" t="s">
        <v>7</v>
      </c>
      <c r="AV46" s="325" t="s">
        <v>578</v>
      </c>
      <c r="AW46" s="325" t="s">
        <v>468</v>
      </c>
      <c r="AX46" s="325" t="s">
        <v>469</v>
      </c>
      <c r="AY46" s="325" t="s">
        <v>470</v>
      </c>
    </row>
    <row r="47" spans="2:51" s="325" customFormat="1" ht="15.75" customHeight="1">
      <c r="B47" s="326">
        <v>42</v>
      </c>
      <c r="C47" s="327" t="s">
        <v>577</v>
      </c>
      <c r="D47" s="342" t="s">
        <v>465</v>
      </c>
      <c r="E47" s="329" t="s">
        <v>466</v>
      </c>
      <c r="F47" s="330" t="s">
        <v>467</v>
      </c>
      <c r="G47" s="330" t="s">
        <v>596</v>
      </c>
      <c r="H47" s="331" t="s">
        <v>38</v>
      </c>
      <c r="I47" s="332" t="s">
        <v>7</v>
      </c>
      <c r="J47" s="333" t="str">
        <f t="shared" si="2"/>
        <v>TER A</v>
      </c>
      <c r="K47" s="334">
        <f t="shared" si="3"/>
        <v>4169500</v>
      </c>
      <c r="L47" s="335">
        <f t="shared" si="4"/>
        <v>34318.199999999997</v>
      </c>
      <c r="M47" s="340">
        <f>[18]MAINTENANCE!AL51</f>
        <v>163420</v>
      </c>
      <c r="N47" s="340">
        <f>[18]MAINTENANCE!W51</f>
        <v>63000</v>
      </c>
      <c r="O47" s="340"/>
      <c r="P47" s="340">
        <f>[18]MAINTENANCE!AE51</f>
        <v>0</v>
      </c>
      <c r="Q47" s="335"/>
      <c r="R47" s="335"/>
      <c r="S47" s="335"/>
      <c r="T47" s="335"/>
      <c r="U47" s="335"/>
      <c r="V47" s="335"/>
      <c r="W47" s="340">
        <f>[18]MAINTENANCE!AB51</f>
        <v>50500</v>
      </c>
      <c r="X47" s="335"/>
      <c r="Y47" s="340">
        <f>-[18]MAINTENANCE!BB51</f>
        <v>-403500</v>
      </c>
      <c r="Z47" s="321"/>
      <c r="AA47" s="335"/>
      <c r="AB47" s="335"/>
      <c r="AC47" s="343">
        <f t="shared" si="15"/>
        <v>4077238</v>
      </c>
      <c r="AD47" s="322">
        <f t="shared" si="0"/>
        <v>0</v>
      </c>
      <c r="AE47" s="321">
        <f t="shared" si="5"/>
        <v>0</v>
      </c>
      <c r="AF47" s="353"/>
      <c r="AG47" s="321">
        <f t="shared" si="12"/>
        <v>0</v>
      </c>
      <c r="AH47" s="354"/>
      <c r="AI47" s="323">
        <f t="shared" si="13"/>
        <v>0</v>
      </c>
      <c r="AJ47" s="324"/>
      <c r="AL47" s="346">
        <f>[18]MAINTENANCE!AG51</f>
        <v>3879500</v>
      </c>
      <c r="AM47" s="341">
        <f t="shared" si="6"/>
        <v>197738.2</v>
      </c>
      <c r="AN47" s="351">
        <f t="shared" si="14"/>
        <v>4077238.2</v>
      </c>
      <c r="AO47" s="351">
        <f t="shared" si="1"/>
        <v>0.20000000018626451</v>
      </c>
      <c r="AR47" s="341">
        <f t="shared" si="8"/>
        <v>3766000</v>
      </c>
      <c r="AS47" s="341">
        <f t="shared" si="9"/>
        <v>113500</v>
      </c>
      <c r="AT47" s="341">
        <f t="shared" si="10"/>
        <v>197738.2</v>
      </c>
      <c r="AU47" s="413" t="s">
        <v>7</v>
      </c>
      <c r="AV47" s="325" t="s">
        <v>579</v>
      </c>
      <c r="AW47" s="325" t="s">
        <v>471</v>
      </c>
      <c r="AX47" s="325" t="s">
        <v>472</v>
      </c>
      <c r="AY47" s="325" t="s">
        <v>473</v>
      </c>
    </row>
    <row r="48" spans="2:51" s="325" customFormat="1" ht="15.75" customHeight="1">
      <c r="B48" s="326">
        <v>43</v>
      </c>
      <c r="C48" s="327" t="s">
        <v>578</v>
      </c>
      <c r="D48" s="342" t="s">
        <v>468</v>
      </c>
      <c r="E48" s="329" t="s">
        <v>469</v>
      </c>
      <c r="F48" s="330" t="s">
        <v>470</v>
      </c>
      <c r="G48" s="330" t="s">
        <v>596</v>
      </c>
      <c r="H48" s="331" t="s">
        <v>38</v>
      </c>
      <c r="I48" s="332" t="s">
        <v>7</v>
      </c>
      <c r="J48" s="333" t="str">
        <f t="shared" si="2"/>
        <v>TER A</v>
      </c>
      <c r="K48" s="334">
        <f t="shared" si="3"/>
        <v>4169500</v>
      </c>
      <c r="L48" s="335">
        <f t="shared" si="4"/>
        <v>34318.199999999997</v>
      </c>
      <c r="M48" s="340">
        <f>[18]MAINTENANCE!AL52</f>
        <v>163420</v>
      </c>
      <c r="N48" s="340">
        <f>[18]MAINTENANCE!W52</f>
        <v>69750</v>
      </c>
      <c r="O48" s="340"/>
      <c r="P48" s="340">
        <f>[18]MAINTENANCE!AE52</f>
        <v>0</v>
      </c>
      <c r="Q48" s="335"/>
      <c r="R48" s="335"/>
      <c r="S48" s="335"/>
      <c r="T48" s="335"/>
      <c r="U48" s="335"/>
      <c r="V48" s="335"/>
      <c r="W48" s="340">
        <f>[18]MAINTENANCE!AB52</f>
        <v>50500</v>
      </c>
      <c r="X48" s="335"/>
      <c r="Y48" s="340">
        <f>-[18]MAINTENANCE!BB52</f>
        <v>0</v>
      </c>
      <c r="Z48" s="321"/>
      <c r="AA48" s="335"/>
      <c r="AB48" s="335"/>
      <c r="AC48" s="343">
        <f t="shared" si="15"/>
        <v>4487488</v>
      </c>
      <c r="AD48" s="322">
        <f t="shared" si="0"/>
        <v>0</v>
      </c>
      <c r="AE48" s="321">
        <f t="shared" si="5"/>
        <v>0</v>
      </c>
      <c r="AF48" s="353"/>
      <c r="AG48" s="321">
        <f t="shared" si="12"/>
        <v>0</v>
      </c>
      <c r="AH48" s="354"/>
      <c r="AI48" s="323">
        <f t="shared" si="13"/>
        <v>0</v>
      </c>
      <c r="AJ48" s="324"/>
      <c r="AL48" s="346">
        <f>[18]MAINTENANCE!AG52</f>
        <v>4289750</v>
      </c>
      <c r="AM48" s="341">
        <f t="shared" si="6"/>
        <v>197738.2</v>
      </c>
      <c r="AN48" s="351">
        <f t="shared" si="14"/>
        <v>4487488.2</v>
      </c>
      <c r="AO48" s="351">
        <f t="shared" si="1"/>
        <v>0.20000000018626451</v>
      </c>
      <c r="AR48" s="341">
        <f t="shared" si="8"/>
        <v>4169500</v>
      </c>
      <c r="AS48" s="341">
        <f t="shared" si="9"/>
        <v>120250</v>
      </c>
      <c r="AT48" s="341">
        <f t="shared" si="10"/>
        <v>197738.2</v>
      </c>
      <c r="AU48" s="413" t="s">
        <v>7</v>
      </c>
      <c r="AV48" s="325" t="s">
        <v>580</v>
      </c>
      <c r="AW48" s="325" t="s">
        <v>474</v>
      </c>
      <c r="AX48" s="325" t="s">
        <v>475</v>
      </c>
      <c r="AY48" s="325" t="s">
        <v>476</v>
      </c>
    </row>
    <row r="49" spans="2:51" s="325" customFormat="1" ht="15.75" customHeight="1">
      <c r="B49" s="326">
        <v>44</v>
      </c>
      <c r="C49" s="327" t="s">
        <v>579</v>
      </c>
      <c r="D49" s="342" t="s">
        <v>471</v>
      </c>
      <c r="E49" s="329" t="s">
        <v>472</v>
      </c>
      <c r="F49" s="330" t="s">
        <v>473</v>
      </c>
      <c r="G49" s="330" t="s">
        <v>596</v>
      </c>
      <c r="H49" s="331" t="s">
        <v>38</v>
      </c>
      <c r="I49" s="332" t="s">
        <v>7</v>
      </c>
      <c r="J49" s="333" t="str">
        <f t="shared" si="2"/>
        <v>TER A</v>
      </c>
      <c r="K49" s="334">
        <f t="shared" si="3"/>
        <v>4169500</v>
      </c>
      <c r="L49" s="335">
        <f t="shared" si="4"/>
        <v>34318.199999999997</v>
      </c>
      <c r="M49" s="340">
        <f>[18]MAINTENANCE!AL53</f>
        <v>163420</v>
      </c>
      <c r="N49" s="340">
        <f>[18]MAINTENANCE!W53</f>
        <v>69750</v>
      </c>
      <c r="O49" s="340"/>
      <c r="P49" s="340">
        <f>[18]MAINTENANCE!AE53</f>
        <v>0</v>
      </c>
      <c r="Q49" s="335"/>
      <c r="R49" s="335"/>
      <c r="S49" s="335"/>
      <c r="T49" s="335"/>
      <c r="U49" s="335"/>
      <c r="V49" s="335"/>
      <c r="W49" s="340">
        <f>[18]MAINTENANCE!AB53</f>
        <v>50500</v>
      </c>
      <c r="X49" s="335"/>
      <c r="Y49" s="340">
        <f>-[18]MAINTENANCE!BB53</f>
        <v>0</v>
      </c>
      <c r="Z49" s="321"/>
      <c r="AA49" s="335"/>
      <c r="AB49" s="335"/>
      <c r="AC49" s="343">
        <f t="shared" si="15"/>
        <v>4487488</v>
      </c>
      <c r="AD49" s="322">
        <f t="shared" si="0"/>
        <v>0</v>
      </c>
      <c r="AE49" s="321">
        <f t="shared" si="5"/>
        <v>0</v>
      </c>
      <c r="AF49" s="353"/>
      <c r="AG49" s="321">
        <f t="shared" si="12"/>
        <v>0</v>
      </c>
      <c r="AH49" s="354"/>
      <c r="AI49" s="323">
        <f t="shared" si="13"/>
        <v>0</v>
      </c>
      <c r="AJ49" s="324"/>
      <c r="AL49" s="346">
        <f>[18]MAINTENANCE!AG53</f>
        <v>4289750</v>
      </c>
      <c r="AM49" s="341">
        <f t="shared" si="6"/>
        <v>197738.2</v>
      </c>
      <c r="AN49" s="351">
        <f t="shared" si="14"/>
        <v>4487488.2</v>
      </c>
      <c r="AO49" s="351">
        <f t="shared" si="1"/>
        <v>0.20000000018626451</v>
      </c>
      <c r="AR49" s="341">
        <f t="shared" si="8"/>
        <v>4169500</v>
      </c>
      <c r="AS49" s="341">
        <f t="shared" si="9"/>
        <v>120250</v>
      </c>
      <c r="AT49" s="341">
        <f t="shared" si="10"/>
        <v>197738.2</v>
      </c>
      <c r="AU49" s="413" t="s">
        <v>7</v>
      </c>
      <c r="AV49" s="325" t="s">
        <v>581</v>
      </c>
      <c r="AW49" s="325" t="s">
        <v>477</v>
      </c>
      <c r="AX49" s="325" t="s">
        <v>478</v>
      </c>
      <c r="AY49" s="325" t="s">
        <v>479</v>
      </c>
    </row>
    <row r="50" spans="2:51" s="325" customFormat="1" ht="15.75" customHeight="1">
      <c r="B50" s="326">
        <v>45</v>
      </c>
      <c r="C50" s="327" t="s">
        <v>580</v>
      </c>
      <c r="D50" s="350" t="s">
        <v>474</v>
      </c>
      <c r="E50" s="329" t="s">
        <v>475</v>
      </c>
      <c r="F50" s="330" t="s">
        <v>476</v>
      </c>
      <c r="G50" s="330" t="s">
        <v>596</v>
      </c>
      <c r="H50" s="331" t="s">
        <v>38</v>
      </c>
      <c r="I50" s="332" t="s">
        <v>7</v>
      </c>
      <c r="J50" s="333" t="str">
        <f t="shared" si="2"/>
        <v>TER A</v>
      </c>
      <c r="K50" s="334">
        <f t="shared" si="3"/>
        <v>4169500</v>
      </c>
      <c r="L50" s="335">
        <f t="shared" si="4"/>
        <v>34318.199999999997</v>
      </c>
      <c r="M50" s="340">
        <f>[18]MAINTENANCE!AL54</f>
        <v>163420</v>
      </c>
      <c r="N50" s="340">
        <f>[18]MAINTENANCE!W54</f>
        <v>63000</v>
      </c>
      <c r="O50" s="340"/>
      <c r="P50" s="340">
        <f>[18]MAINTENANCE!AE54</f>
        <v>0</v>
      </c>
      <c r="Q50" s="335"/>
      <c r="R50" s="335"/>
      <c r="S50" s="335"/>
      <c r="T50" s="335"/>
      <c r="U50" s="335"/>
      <c r="V50" s="335"/>
      <c r="W50" s="340">
        <f>[18]MAINTENANCE!AB54</f>
        <v>50500</v>
      </c>
      <c r="X50" s="335"/>
      <c r="Y50" s="340">
        <f>-[18]MAINTENANCE!BB54</f>
        <v>-403500</v>
      </c>
      <c r="Z50" s="321"/>
      <c r="AA50" s="335"/>
      <c r="AB50" s="335"/>
      <c r="AC50" s="343">
        <f t="shared" si="15"/>
        <v>4077238</v>
      </c>
      <c r="AD50" s="322">
        <f t="shared" si="0"/>
        <v>0</v>
      </c>
      <c r="AE50" s="321">
        <f>ROUND(IF(E50=0,AC50*AD50*120%,AC50*AD50),0)</f>
        <v>0</v>
      </c>
      <c r="AF50" s="353"/>
      <c r="AG50" s="321">
        <f t="shared" si="12"/>
        <v>0</v>
      </c>
      <c r="AH50" s="354"/>
      <c r="AI50" s="323">
        <f t="shared" si="13"/>
        <v>0</v>
      </c>
      <c r="AJ50" s="324"/>
      <c r="AL50" s="346">
        <f>[18]MAINTENANCE!AG54</f>
        <v>3879500</v>
      </c>
      <c r="AM50" s="341">
        <f t="shared" si="6"/>
        <v>197738.2</v>
      </c>
      <c r="AN50" s="351">
        <f t="shared" si="14"/>
        <v>4077238.2</v>
      </c>
      <c r="AO50" s="351">
        <f t="shared" si="1"/>
        <v>0.20000000018626451</v>
      </c>
      <c r="AR50" s="341">
        <f t="shared" si="8"/>
        <v>3766000</v>
      </c>
      <c r="AS50" s="341">
        <f t="shared" si="9"/>
        <v>113500</v>
      </c>
      <c r="AT50" s="341">
        <f t="shared" si="10"/>
        <v>197738.2</v>
      </c>
      <c r="AU50" s="413" t="s">
        <v>17</v>
      </c>
      <c r="AV50" s="325" t="s">
        <v>582</v>
      </c>
      <c r="AW50" s="325" t="s">
        <v>506</v>
      </c>
      <c r="AX50" s="325" t="s">
        <v>74</v>
      </c>
      <c r="AY50" s="325" t="s">
        <v>497</v>
      </c>
    </row>
    <row r="51" spans="2:51" s="325" customFormat="1" ht="15.75" customHeight="1">
      <c r="B51" s="326">
        <v>46</v>
      </c>
      <c r="C51" s="327" t="s">
        <v>581</v>
      </c>
      <c r="D51" s="350" t="s">
        <v>477</v>
      </c>
      <c r="E51" s="329" t="s">
        <v>478</v>
      </c>
      <c r="F51" s="330" t="s">
        <v>479</v>
      </c>
      <c r="G51" s="330" t="s">
        <v>596</v>
      </c>
      <c r="H51" s="331" t="s">
        <v>38</v>
      </c>
      <c r="I51" s="332" t="s">
        <v>7</v>
      </c>
      <c r="J51" s="333" t="str">
        <f t="shared" si="2"/>
        <v>TER A</v>
      </c>
      <c r="K51" s="334">
        <f t="shared" si="3"/>
        <v>4169500</v>
      </c>
      <c r="L51" s="335">
        <f t="shared" si="4"/>
        <v>34318.199999999997</v>
      </c>
      <c r="M51" s="340">
        <f>[18]MAINTENANCE!AL55</f>
        <v>163420</v>
      </c>
      <c r="N51" s="340">
        <f>[18]MAINTENANCE!W55</f>
        <v>65250</v>
      </c>
      <c r="O51" s="340"/>
      <c r="P51" s="340">
        <f>[18]MAINTENANCE!AE55</f>
        <v>0</v>
      </c>
      <c r="Q51" s="335"/>
      <c r="R51" s="335"/>
      <c r="S51" s="335"/>
      <c r="T51" s="335"/>
      <c r="U51" s="335"/>
      <c r="V51" s="335"/>
      <c r="W51" s="340">
        <f>[18]MAINTENANCE!AB55</f>
        <v>50500</v>
      </c>
      <c r="X51" s="335"/>
      <c r="Y51" s="340">
        <f>-[18]MAINTENANCE!BB55</f>
        <v>-269000</v>
      </c>
      <c r="Z51" s="321"/>
      <c r="AA51" s="335"/>
      <c r="AB51" s="335"/>
      <c r="AC51" s="343">
        <f t="shared" si="15"/>
        <v>4213988</v>
      </c>
      <c r="AD51" s="322">
        <f t="shared" si="0"/>
        <v>0</v>
      </c>
      <c r="AE51" s="321">
        <f t="shared" si="5"/>
        <v>0</v>
      </c>
      <c r="AF51" s="353"/>
      <c r="AG51" s="321">
        <f t="shared" si="12"/>
        <v>0</v>
      </c>
      <c r="AH51" s="354"/>
      <c r="AI51" s="323">
        <f t="shared" si="13"/>
        <v>0</v>
      </c>
      <c r="AJ51" s="324"/>
      <c r="AL51" s="346">
        <f>[18]MAINTENANCE!AG55</f>
        <v>4016250</v>
      </c>
      <c r="AM51" s="341">
        <f t="shared" si="6"/>
        <v>197738.2</v>
      </c>
      <c r="AN51" s="351">
        <f t="shared" si="14"/>
        <v>4213988.2</v>
      </c>
      <c r="AO51" s="351">
        <f t="shared" si="1"/>
        <v>0.20000000018626451</v>
      </c>
      <c r="AR51" s="341">
        <f t="shared" si="8"/>
        <v>3900500</v>
      </c>
      <c r="AS51" s="341">
        <f t="shared" si="9"/>
        <v>115750</v>
      </c>
      <c r="AT51" s="341">
        <f t="shared" si="10"/>
        <v>197738.2</v>
      </c>
      <c r="AU51" s="413" t="s">
        <v>11</v>
      </c>
      <c r="AV51" s="325" t="s">
        <v>583</v>
      </c>
      <c r="AW51" s="325" t="s">
        <v>507</v>
      </c>
      <c r="AX51" s="325" t="s">
        <v>498</v>
      </c>
      <c r="AY51" s="325" t="s">
        <v>499</v>
      </c>
    </row>
    <row r="52" spans="2:51" s="325" customFormat="1" ht="15.75" customHeight="1">
      <c r="B52" s="326">
        <v>47</v>
      </c>
      <c r="C52" s="327" t="s">
        <v>582</v>
      </c>
      <c r="D52" s="342" t="s">
        <v>506</v>
      </c>
      <c r="E52" s="329" t="s">
        <v>74</v>
      </c>
      <c r="F52" s="330" t="s">
        <v>497</v>
      </c>
      <c r="G52" s="330" t="s">
        <v>596</v>
      </c>
      <c r="H52" s="331" t="s">
        <v>39</v>
      </c>
      <c r="I52" s="332" t="s">
        <v>17</v>
      </c>
      <c r="J52" s="333" t="str">
        <f t="shared" si="2"/>
        <v>TER A</v>
      </c>
      <c r="K52" s="334">
        <f t="shared" si="3"/>
        <v>4169500</v>
      </c>
      <c r="L52" s="335">
        <f t="shared" si="4"/>
        <v>34095.599999999999</v>
      </c>
      <c r="M52" s="340">
        <f>[18]MAINTENANCE!AL56</f>
        <v>162360</v>
      </c>
      <c r="N52" s="340">
        <f>[18]MAINTENANCE!W56</f>
        <v>99900</v>
      </c>
      <c r="O52" s="340"/>
      <c r="P52" s="340">
        <f>[18]MAINTENANCE!AE56</f>
        <v>0</v>
      </c>
      <c r="Q52" s="335"/>
      <c r="R52" s="335"/>
      <c r="S52" s="335"/>
      <c r="T52" s="335"/>
      <c r="U52" s="335"/>
      <c r="V52" s="335"/>
      <c r="W52" s="340">
        <f>[18]MAINTENANCE!AB56</f>
        <v>24000</v>
      </c>
      <c r="X52" s="335"/>
      <c r="Y52" s="340">
        <f>-[18]MAINTENANCE!BB56</f>
        <v>-538000</v>
      </c>
      <c r="Z52" s="321"/>
      <c r="AA52" s="335"/>
      <c r="AB52" s="335"/>
      <c r="AC52" s="343">
        <f t="shared" si="15"/>
        <v>3951856</v>
      </c>
      <c r="AD52" s="322">
        <f t="shared" si="0"/>
        <v>0</v>
      </c>
      <c r="AE52" s="321">
        <f t="shared" si="5"/>
        <v>0</v>
      </c>
      <c r="AF52" s="353"/>
      <c r="AG52" s="321">
        <f t="shared" si="12"/>
        <v>0</v>
      </c>
      <c r="AH52" s="354"/>
      <c r="AI52" s="323">
        <f t="shared" si="13"/>
        <v>0</v>
      </c>
      <c r="AJ52" s="324"/>
      <c r="AL52" s="346">
        <f>[18]MAINTENANCE!AG56</f>
        <v>3755400</v>
      </c>
      <c r="AM52" s="341">
        <f t="shared" si="6"/>
        <v>196455.6</v>
      </c>
      <c r="AN52" s="351">
        <f t="shared" si="14"/>
        <v>3951855.6</v>
      </c>
      <c r="AO52" s="351">
        <f t="shared" si="1"/>
        <v>-0.39999999990686774</v>
      </c>
      <c r="AR52" s="341">
        <f t="shared" si="8"/>
        <v>3631500</v>
      </c>
      <c r="AS52" s="341">
        <f t="shared" si="9"/>
        <v>123900</v>
      </c>
      <c r="AT52" s="341">
        <f t="shared" si="10"/>
        <v>196455.6</v>
      </c>
      <c r="AU52" s="413" t="s">
        <v>17</v>
      </c>
      <c r="AV52" s="325" t="s">
        <v>584</v>
      </c>
      <c r="AW52" s="325" t="s">
        <v>500</v>
      </c>
      <c r="AX52" s="325" t="s">
        <v>501</v>
      </c>
      <c r="AY52" s="325" t="s">
        <v>502</v>
      </c>
    </row>
    <row r="53" spans="2:51" s="325" customFormat="1" ht="15.75" customHeight="1">
      <c r="B53" s="326">
        <v>48</v>
      </c>
      <c r="C53" s="327" t="s">
        <v>583</v>
      </c>
      <c r="D53" s="342" t="s">
        <v>507</v>
      </c>
      <c r="E53" s="329" t="s">
        <v>498</v>
      </c>
      <c r="F53" s="348" t="s">
        <v>499</v>
      </c>
      <c r="G53" s="330" t="s">
        <v>596</v>
      </c>
      <c r="H53" s="331" t="s">
        <v>39</v>
      </c>
      <c r="I53" s="332" t="s">
        <v>11</v>
      </c>
      <c r="J53" s="333" t="str">
        <f t="shared" si="2"/>
        <v>TER B</v>
      </c>
      <c r="K53" s="334">
        <f t="shared" si="3"/>
        <v>4169500</v>
      </c>
      <c r="L53" s="335">
        <f t="shared" si="4"/>
        <v>34318.199999999997</v>
      </c>
      <c r="M53" s="340">
        <f>[18]MAINTENANCE!AL57</f>
        <v>163420</v>
      </c>
      <c r="N53" s="340">
        <f>[18]MAINTENANCE!W57</f>
        <v>172050</v>
      </c>
      <c r="O53" s="340"/>
      <c r="P53" s="340">
        <f>[18]MAINTENANCE!AE57</f>
        <v>0</v>
      </c>
      <c r="Q53" s="335"/>
      <c r="R53" s="335"/>
      <c r="S53" s="335"/>
      <c r="T53" s="335"/>
      <c r="U53" s="335"/>
      <c r="V53" s="335"/>
      <c r="W53" s="340">
        <f>[18]MAINTENANCE!AB57</f>
        <v>50500</v>
      </c>
      <c r="X53" s="335"/>
      <c r="Y53" s="340">
        <f>-[18]MAINTENANCE!BB57</f>
        <v>0</v>
      </c>
      <c r="Z53" s="321"/>
      <c r="AA53" s="335"/>
      <c r="AB53" s="335"/>
      <c r="AC53" s="343">
        <f t="shared" si="15"/>
        <v>4589788</v>
      </c>
      <c r="AD53" s="322">
        <f t="shared" si="0"/>
        <v>0</v>
      </c>
      <c r="AE53" s="321">
        <f t="shared" si="5"/>
        <v>0</v>
      </c>
      <c r="AF53" s="353"/>
      <c r="AG53" s="321">
        <f t="shared" si="12"/>
        <v>0</v>
      </c>
      <c r="AH53" s="354"/>
      <c r="AI53" s="323">
        <f t="shared" si="13"/>
        <v>0</v>
      </c>
      <c r="AJ53" s="324"/>
      <c r="AL53" s="346">
        <f>[18]MAINTENANCE!AG57</f>
        <v>4392050</v>
      </c>
      <c r="AM53" s="341">
        <f t="shared" si="6"/>
        <v>197738.2</v>
      </c>
      <c r="AN53" s="351">
        <f t="shared" si="14"/>
        <v>4589788.2</v>
      </c>
      <c r="AO53" s="351">
        <f t="shared" si="1"/>
        <v>0.20000000018626451</v>
      </c>
      <c r="AR53" s="341">
        <f t="shared" si="8"/>
        <v>4169500</v>
      </c>
      <c r="AS53" s="341">
        <f t="shared" si="9"/>
        <v>222550</v>
      </c>
      <c r="AT53" s="341">
        <f t="shared" si="10"/>
        <v>197738.2</v>
      </c>
      <c r="AU53" s="413" t="s">
        <v>11</v>
      </c>
      <c r="AV53" s="325" t="s">
        <v>585</v>
      </c>
      <c r="AW53" s="325" t="s">
        <v>503</v>
      </c>
      <c r="AX53" s="325" t="s">
        <v>504</v>
      </c>
      <c r="AY53" s="325" t="s">
        <v>505</v>
      </c>
    </row>
    <row r="54" spans="2:51" s="325" customFormat="1" ht="15.75" customHeight="1">
      <c r="B54" s="326">
        <v>49</v>
      </c>
      <c r="C54" s="327" t="s">
        <v>584</v>
      </c>
      <c r="D54" s="342" t="s">
        <v>500</v>
      </c>
      <c r="E54" s="329" t="s">
        <v>501</v>
      </c>
      <c r="F54" s="330" t="s">
        <v>502</v>
      </c>
      <c r="G54" s="330" t="s">
        <v>596</v>
      </c>
      <c r="H54" s="331" t="s">
        <v>39</v>
      </c>
      <c r="I54" s="332" t="s">
        <v>17</v>
      </c>
      <c r="J54" s="333" t="str">
        <f t="shared" si="2"/>
        <v>TER A</v>
      </c>
      <c r="K54" s="334">
        <f t="shared" si="3"/>
        <v>4169500</v>
      </c>
      <c r="L54" s="335">
        <f t="shared" si="4"/>
        <v>34347.599999999999</v>
      </c>
      <c r="M54" s="340">
        <f>[18]MAINTENANCE!AL58</f>
        <v>163560</v>
      </c>
      <c r="N54" s="340">
        <f>[18]MAINTENANCE!W58</f>
        <v>100750</v>
      </c>
      <c r="O54" s="340"/>
      <c r="P54" s="340">
        <f>[18]MAINTENANCE!AE58</f>
        <v>1014580.95</v>
      </c>
      <c r="Q54" s="335"/>
      <c r="R54" s="335"/>
      <c r="S54" s="335"/>
      <c r="T54" s="335"/>
      <c r="U54" s="335"/>
      <c r="V54" s="335"/>
      <c r="W54" s="340">
        <f>[18]MAINTENANCE!AB58</f>
        <v>54000</v>
      </c>
      <c r="X54" s="335"/>
      <c r="Y54" s="340">
        <f>-[18]MAINTENANCE!BB58</f>
        <v>0</v>
      </c>
      <c r="Z54" s="321"/>
      <c r="AA54" s="335"/>
      <c r="AB54" s="335"/>
      <c r="AC54" s="343">
        <f>ROUND(SUM(K54:AB54),0)</f>
        <v>5536739</v>
      </c>
      <c r="AD54" s="322">
        <f t="shared" si="0"/>
        <v>2.5000000000000001E-3</v>
      </c>
      <c r="AE54" s="321">
        <f t="shared" si="5"/>
        <v>13842</v>
      </c>
      <c r="AF54" s="353"/>
      <c r="AG54" s="321">
        <f t="shared" si="12"/>
        <v>13842</v>
      </c>
      <c r="AH54" s="354"/>
      <c r="AI54" s="323">
        <f t="shared" si="13"/>
        <v>-13842</v>
      </c>
      <c r="AJ54" s="324"/>
      <c r="AL54" s="346">
        <f>[18]MAINTENANCE!AG58</f>
        <v>5338830.95</v>
      </c>
      <c r="AM54" s="341">
        <f t="shared" si="6"/>
        <v>197907.6</v>
      </c>
      <c r="AN54" s="351">
        <f t="shared" si="14"/>
        <v>5536738.5499999998</v>
      </c>
      <c r="AO54" s="351">
        <f t="shared" si="1"/>
        <v>-0.45000000018626451</v>
      </c>
      <c r="AR54" s="341">
        <f t="shared" si="8"/>
        <v>4169500</v>
      </c>
      <c r="AS54" s="341">
        <f t="shared" si="9"/>
        <v>1169330.95</v>
      </c>
      <c r="AT54" s="341">
        <f t="shared" si="10"/>
        <v>197907.6</v>
      </c>
      <c r="AU54" s="413" t="s">
        <v>9</v>
      </c>
      <c r="AV54" s="325" t="s">
        <v>586</v>
      </c>
      <c r="AW54" s="325" t="s">
        <v>484</v>
      </c>
      <c r="AX54" s="325" t="s">
        <v>74</v>
      </c>
      <c r="AY54" s="325" t="s">
        <v>485</v>
      </c>
    </row>
    <row r="55" spans="2:51" s="325" customFormat="1" ht="15.75" customHeight="1">
      <c r="B55" s="326">
        <v>50</v>
      </c>
      <c r="C55" s="327" t="s">
        <v>585</v>
      </c>
      <c r="D55" s="342" t="s">
        <v>503</v>
      </c>
      <c r="E55" s="329" t="s">
        <v>504</v>
      </c>
      <c r="F55" s="330" t="s">
        <v>505</v>
      </c>
      <c r="G55" s="330" t="s">
        <v>596</v>
      </c>
      <c r="H55" s="331" t="s">
        <v>39</v>
      </c>
      <c r="I55" s="332" t="s">
        <v>11</v>
      </c>
      <c r="J55" s="333" t="str">
        <f t="shared" si="2"/>
        <v>TER B</v>
      </c>
      <c r="K55" s="334">
        <f t="shared" si="3"/>
        <v>4169500</v>
      </c>
      <c r="L55" s="335">
        <f t="shared" si="4"/>
        <v>34671</v>
      </c>
      <c r="M55" s="340">
        <f>[18]MAINTENANCE!AL59</f>
        <v>165100</v>
      </c>
      <c r="N55" s="340">
        <f>[18]MAINTENANCE!W59</f>
        <v>172050</v>
      </c>
      <c r="O55" s="340"/>
      <c r="P55" s="340">
        <f>[18]MAINTENANCE!AE59</f>
        <v>0</v>
      </c>
      <c r="Q55" s="335"/>
      <c r="R55" s="335"/>
      <c r="S55" s="335"/>
      <c r="T55" s="335"/>
      <c r="U55" s="335"/>
      <c r="V55" s="335"/>
      <c r="W55" s="340">
        <f>[18]MAINTENANCE!AB59</f>
        <v>92500</v>
      </c>
      <c r="X55" s="335"/>
      <c r="Y55" s="340">
        <f>-[18]MAINTENANCE!BB59</f>
        <v>0</v>
      </c>
      <c r="Z55" s="321"/>
      <c r="AA55" s="335"/>
      <c r="AB55" s="335"/>
      <c r="AC55" s="343">
        <f t="shared" ref="AC55:AC58" si="16">ROUND(SUM(K55:AB55),0)</f>
        <v>4633821</v>
      </c>
      <c r="AD55" s="322">
        <f t="shared" si="0"/>
        <v>0</v>
      </c>
      <c r="AE55" s="321">
        <f t="shared" si="5"/>
        <v>0</v>
      </c>
      <c r="AF55" s="353"/>
      <c r="AG55" s="321">
        <f t="shared" si="12"/>
        <v>0</v>
      </c>
      <c r="AH55" s="354"/>
      <c r="AI55" s="323">
        <f t="shared" si="13"/>
        <v>0</v>
      </c>
      <c r="AJ55" s="324"/>
      <c r="AL55" s="346">
        <f>[18]MAINTENANCE!AG59</f>
        <v>4434050</v>
      </c>
      <c r="AM55" s="341">
        <f t="shared" si="6"/>
        <v>199771</v>
      </c>
      <c r="AN55" s="351">
        <f t="shared" si="14"/>
        <v>4633821</v>
      </c>
      <c r="AO55" s="351">
        <f t="shared" si="1"/>
        <v>0</v>
      </c>
      <c r="AR55" s="341">
        <f t="shared" si="8"/>
        <v>4169500</v>
      </c>
      <c r="AS55" s="341">
        <f t="shared" si="9"/>
        <v>264550</v>
      </c>
      <c r="AT55" s="341">
        <f t="shared" si="10"/>
        <v>199771</v>
      </c>
      <c r="AU55" s="413" t="s">
        <v>17</v>
      </c>
      <c r="AV55" s="325" t="s">
        <v>587</v>
      </c>
      <c r="AW55" s="325" t="s">
        <v>486</v>
      </c>
      <c r="AX55" s="325" t="s">
        <v>487</v>
      </c>
      <c r="AY55" s="325" t="s">
        <v>488</v>
      </c>
    </row>
    <row r="56" spans="2:51" s="325" customFormat="1" ht="15.75" customHeight="1">
      <c r="B56" s="326">
        <v>51</v>
      </c>
      <c r="C56" s="327" t="s">
        <v>586</v>
      </c>
      <c r="D56" s="342" t="s">
        <v>484</v>
      </c>
      <c r="E56" s="329" t="s">
        <v>74</v>
      </c>
      <c r="F56" s="330" t="s">
        <v>485</v>
      </c>
      <c r="G56" s="330" t="s">
        <v>596</v>
      </c>
      <c r="H56" s="331" t="s">
        <v>39</v>
      </c>
      <c r="I56" s="332" t="s">
        <v>9</v>
      </c>
      <c r="J56" s="333" t="str">
        <f t="shared" si="2"/>
        <v>TER B</v>
      </c>
      <c r="K56" s="334">
        <f t="shared" si="3"/>
        <v>4169500</v>
      </c>
      <c r="L56" s="335">
        <f t="shared" si="4"/>
        <v>34120.799999999996</v>
      </c>
      <c r="M56" s="340">
        <f>[18]MAINTENANCE!AL60</f>
        <v>162480</v>
      </c>
      <c r="N56" s="340">
        <f>[18]MAINTENANCE!W60</f>
        <v>144150</v>
      </c>
      <c r="O56" s="340"/>
      <c r="P56" s="340">
        <f>[18]MAINTENANCE!AE60</f>
        <v>0</v>
      </c>
      <c r="Q56" s="335"/>
      <c r="R56" s="335"/>
      <c r="S56" s="335"/>
      <c r="T56" s="335"/>
      <c r="U56" s="335"/>
      <c r="V56" s="335"/>
      <c r="W56" s="340">
        <f>[18]MAINTENANCE!AB60</f>
        <v>27000</v>
      </c>
      <c r="X56" s="335"/>
      <c r="Y56" s="340">
        <f>-[18]MAINTENANCE!BB60</f>
        <v>0</v>
      </c>
      <c r="Z56" s="321"/>
      <c r="AA56" s="335"/>
      <c r="AB56" s="335"/>
      <c r="AC56" s="343">
        <f t="shared" si="16"/>
        <v>4537251</v>
      </c>
      <c r="AD56" s="322">
        <f t="shared" si="0"/>
        <v>0</v>
      </c>
      <c r="AE56" s="321">
        <f t="shared" si="5"/>
        <v>0</v>
      </c>
      <c r="AF56" s="353"/>
      <c r="AG56" s="321">
        <f t="shared" si="12"/>
        <v>0</v>
      </c>
      <c r="AH56" s="354"/>
      <c r="AI56" s="323">
        <f t="shared" si="13"/>
        <v>0</v>
      </c>
      <c r="AJ56" s="324"/>
      <c r="AL56" s="346">
        <f>[18]MAINTENANCE!AG60</f>
        <v>4340650</v>
      </c>
      <c r="AM56" s="341">
        <f t="shared" si="6"/>
        <v>196600.8</v>
      </c>
      <c r="AN56" s="351">
        <f t="shared" si="14"/>
        <v>4537250.8</v>
      </c>
      <c r="AO56" s="351">
        <f t="shared" si="1"/>
        <v>-0.20000000018626451</v>
      </c>
      <c r="AR56" s="341">
        <f t="shared" si="8"/>
        <v>4169500</v>
      </c>
      <c r="AS56" s="341">
        <f t="shared" si="9"/>
        <v>171150</v>
      </c>
      <c r="AT56" s="341">
        <f t="shared" si="10"/>
        <v>196600.8</v>
      </c>
      <c r="AU56" s="413" t="s">
        <v>9</v>
      </c>
      <c r="AV56" s="325" t="s">
        <v>588</v>
      </c>
      <c r="AW56" s="325" t="s">
        <v>480</v>
      </c>
      <c r="AX56" s="325" t="s">
        <v>74</v>
      </c>
      <c r="AY56" s="325" t="s">
        <v>481</v>
      </c>
    </row>
    <row r="57" spans="2:51" s="325" customFormat="1" ht="15.75" customHeight="1">
      <c r="B57" s="326">
        <v>52</v>
      </c>
      <c r="C57" s="327" t="s">
        <v>587</v>
      </c>
      <c r="D57" s="342" t="s">
        <v>486</v>
      </c>
      <c r="E57" s="329" t="s">
        <v>487</v>
      </c>
      <c r="F57" s="330" t="s">
        <v>488</v>
      </c>
      <c r="G57" s="330" t="s">
        <v>596</v>
      </c>
      <c r="H57" s="331" t="s">
        <v>39</v>
      </c>
      <c r="I57" s="332" t="s">
        <v>17</v>
      </c>
      <c r="J57" s="333" t="str">
        <f t="shared" si="2"/>
        <v>TER A</v>
      </c>
      <c r="K57" s="334">
        <f t="shared" si="3"/>
        <v>4169500</v>
      </c>
      <c r="L57" s="335">
        <f t="shared" si="4"/>
        <v>34120.799999999996</v>
      </c>
      <c r="M57" s="340">
        <f>[18]MAINTENANCE!AL61</f>
        <v>162480</v>
      </c>
      <c r="N57" s="340">
        <f>[18]MAINTENANCE!W61</f>
        <v>111000</v>
      </c>
      <c r="O57" s="340"/>
      <c r="P57" s="340">
        <f>[18]MAINTENANCE!AE61</f>
        <v>0</v>
      </c>
      <c r="Q57" s="335"/>
      <c r="R57" s="335"/>
      <c r="S57" s="335"/>
      <c r="T57" s="335"/>
      <c r="U57" s="335"/>
      <c r="V57" s="335"/>
      <c r="W57" s="340">
        <f>[18]MAINTENANCE!AB61</f>
        <v>27000</v>
      </c>
      <c r="X57" s="335"/>
      <c r="Y57" s="340">
        <f>-[18]MAINTENANCE!BB61</f>
        <v>-134500</v>
      </c>
      <c r="Z57" s="321"/>
      <c r="AA57" s="335"/>
      <c r="AB57" s="335"/>
      <c r="AC57" s="343">
        <f t="shared" si="16"/>
        <v>4369601</v>
      </c>
      <c r="AD57" s="322">
        <f t="shared" si="0"/>
        <v>0</v>
      </c>
      <c r="AE57" s="321">
        <f t="shared" si="5"/>
        <v>0</v>
      </c>
      <c r="AF57" s="353"/>
      <c r="AG57" s="321">
        <f t="shared" si="12"/>
        <v>0</v>
      </c>
      <c r="AH57" s="354"/>
      <c r="AI57" s="323">
        <f t="shared" si="13"/>
        <v>0</v>
      </c>
      <c r="AJ57" s="324"/>
      <c r="AL57" s="346">
        <f>[18]MAINTENANCE!AG61</f>
        <v>4173000</v>
      </c>
      <c r="AM57" s="341">
        <f t="shared" si="6"/>
        <v>196600.8</v>
      </c>
      <c r="AN57" s="351">
        <f t="shared" si="14"/>
        <v>4369600.8</v>
      </c>
      <c r="AO57" s="351">
        <f t="shared" si="1"/>
        <v>-0.20000000018626451</v>
      </c>
      <c r="AR57" s="341">
        <f t="shared" si="8"/>
        <v>4035000</v>
      </c>
      <c r="AS57" s="341">
        <f t="shared" si="9"/>
        <v>138000</v>
      </c>
      <c r="AT57" s="341">
        <f t="shared" si="10"/>
        <v>196600.8</v>
      </c>
      <c r="AU57" s="413" t="s">
        <v>9</v>
      </c>
      <c r="AV57" s="325" t="s">
        <v>589</v>
      </c>
      <c r="AW57" s="325" t="s">
        <v>482</v>
      </c>
      <c r="AX57" s="325" t="s">
        <v>74</v>
      </c>
      <c r="AY57" s="325" t="s">
        <v>483</v>
      </c>
    </row>
    <row r="58" spans="2:51" s="325" customFormat="1" ht="15.75" customHeight="1">
      <c r="B58" s="326">
        <v>53</v>
      </c>
      <c r="C58" s="330" t="s">
        <v>588</v>
      </c>
      <c r="D58" s="328" t="s">
        <v>480</v>
      </c>
      <c r="E58" s="329" t="s">
        <v>74</v>
      </c>
      <c r="F58" s="330" t="s">
        <v>481</v>
      </c>
      <c r="G58" s="330" t="s">
        <v>596</v>
      </c>
      <c r="H58" s="331" t="s">
        <v>39</v>
      </c>
      <c r="I58" s="332" t="s">
        <v>9</v>
      </c>
      <c r="J58" s="333" t="str">
        <f t="shared" si="2"/>
        <v>TER B</v>
      </c>
      <c r="K58" s="334">
        <f t="shared" si="3"/>
        <v>4169500</v>
      </c>
      <c r="L58" s="335">
        <f t="shared" si="4"/>
        <v>34070.400000000001</v>
      </c>
      <c r="M58" s="340">
        <f>[18]MAINTENANCE!AL62</f>
        <v>162240</v>
      </c>
      <c r="N58" s="340">
        <f>[18]MAINTENANCE!W62</f>
        <v>139500</v>
      </c>
      <c r="O58" s="335"/>
      <c r="P58" s="340">
        <f>[18]MAINTENANCE!AE62</f>
        <v>0</v>
      </c>
      <c r="Q58" s="335"/>
      <c r="R58" s="335"/>
      <c r="S58" s="335"/>
      <c r="T58" s="335"/>
      <c r="U58" s="335"/>
      <c r="V58" s="335"/>
      <c r="W58" s="340">
        <f>[18]MAINTENANCE!AB62</f>
        <v>21000</v>
      </c>
      <c r="X58" s="335"/>
      <c r="Y58" s="340">
        <f>-[18]MAINTENANCE!BB62</f>
        <v>-134500</v>
      </c>
      <c r="Z58" s="321"/>
      <c r="AA58" s="335"/>
      <c r="AB58" s="335"/>
      <c r="AC58" s="343">
        <f t="shared" si="16"/>
        <v>4391810</v>
      </c>
      <c r="AD58" s="322">
        <f t="shared" si="0"/>
        <v>0</v>
      </c>
      <c r="AE58" s="321">
        <f t="shared" si="5"/>
        <v>0</v>
      </c>
      <c r="AF58" s="353"/>
      <c r="AG58" s="321"/>
      <c r="AH58" s="358">
        <f>AE58-AF58</f>
        <v>0</v>
      </c>
      <c r="AI58" s="323">
        <f t="shared" si="13"/>
        <v>0</v>
      </c>
      <c r="AJ58" s="324"/>
      <c r="AL58" s="346">
        <f>[18]MAINTENANCE!AG62</f>
        <v>4195500</v>
      </c>
      <c r="AM58" s="341">
        <f t="shared" si="6"/>
        <v>196310.39999999999</v>
      </c>
      <c r="AN58" s="351">
        <f t="shared" si="14"/>
        <v>4391810.4000000004</v>
      </c>
      <c r="AO58" s="351">
        <f t="shared" si="1"/>
        <v>0.40000000037252903</v>
      </c>
      <c r="AR58" s="341">
        <f t="shared" si="8"/>
        <v>4035000</v>
      </c>
      <c r="AS58" s="341">
        <f t="shared" si="9"/>
        <v>160500</v>
      </c>
      <c r="AT58" s="341">
        <f t="shared" si="10"/>
        <v>196310.39999999999</v>
      </c>
      <c r="AU58" s="413" t="s">
        <v>7</v>
      </c>
      <c r="AV58" s="325" t="s">
        <v>188</v>
      </c>
      <c r="AW58" s="325" t="s">
        <v>225</v>
      </c>
      <c r="AX58" s="325" t="s">
        <v>221</v>
      </c>
      <c r="AY58" s="325" t="s">
        <v>259</v>
      </c>
    </row>
    <row r="59" spans="2:51" s="325" customFormat="1" ht="15.75" customHeight="1">
      <c r="B59" s="326">
        <v>54</v>
      </c>
      <c r="C59" s="330" t="s">
        <v>589</v>
      </c>
      <c r="D59" s="336" t="s">
        <v>482</v>
      </c>
      <c r="E59" s="337" t="s">
        <v>74</v>
      </c>
      <c r="F59" s="327" t="s">
        <v>483</v>
      </c>
      <c r="G59" s="327" t="s">
        <v>596</v>
      </c>
      <c r="H59" s="338" t="s">
        <v>39</v>
      </c>
      <c r="I59" s="339" t="s">
        <v>9</v>
      </c>
      <c r="J59" s="333" t="str">
        <f t="shared" ref="J59:J75" si="17">IF(ISBLANK(I59),"",IF(OR(I59="TK/0",I59="TK/1",I59="K/0"),"TER A",IF(I59="K/3","TER C","TER B")))</f>
        <v>TER B</v>
      </c>
      <c r="K59" s="334">
        <f t="shared" si="3"/>
        <v>4169500</v>
      </c>
      <c r="L59" s="335">
        <f t="shared" si="4"/>
        <v>34318.199999999997</v>
      </c>
      <c r="M59" s="340">
        <f>[18]MAINTENANCE!AL63</f>
        <v>163420</v>
      </c>
      <c r="N59" s="340">
        <f>[18]MAINTENANCE!W63</f>
        <v>144150</v>
      </c>
      <c r="O59" s="340"/>
      <c r="P59" s="340">
        <f>[18]MAINTENANCE!AE63</f>
        <v>0</v>
      </c>
      <c r="Q59" s="340"/>
      <c r="R59" s="340"/>
      <c r="S59" s="340"/>
      <c r="T59" s="340"/>
      <c r="U59" s="340"/>
      <c r="V59" s="340"/>
      <c r="W59" s="340">
        <f>[18]MAINTENANCE!AB63</f>
        <v>50500</v>
      </c>
      <c r="X59" s="340"/>
      <c r="Y59" s="340">
        <f>-[18]MAINTENANCE!BB63</f>
        <v>0</v>
      </c>
      <c r="Z59" s="321"/>
      <c r="AA59" s="335"/>
      <c r="AB59" s="335"/>
      <c r="AC59" s="343">
        <f>ROUND(SUM(K59:AB59),0)</f>
        <v>4561888</v>
      </c>
      <c r="AD59" s="322">
        <f t="shared" ref="AD59:AD75" si="18">IF(J59="TER A",VLOOKUP(AC59,Ter_A,4,TRUE),IF(J59="TER B",VLOOKUP(AC59,Ter_B,4,TRUE),VLOOKUP(AC59,Ter_C,4,TRUE)))</f>
        <v>0</v>
      </c>
      <c r="AE59" s="321">
        <f t="shared" ref="AE59:AE75" si="19">ROUND(IF(E59=0,AC59*AD59*120%,AC59*AD59),0)</f>
        <v>0</v>
      </c>
      <c r="AF59" s="353"/>
      <c r="AG59" s="321">
        <f t="shared" ref="AG59" si="20">AE59-AF59</f>
        <v>0</v>
      </c>
      <c r="AH59" s="358"/>
      <c r="AI59" s="323">
        <f t="shared" si="13"/>
        <v>0</v>
      </c>
      <c r="AJ59" s="324"/>
      <c r="AL59" s="346">
        <f>[18]MAINTENANCE!AG63</f>
        <v>4364150</v>
      </c>
      <c r="AM59" s="341">
        <f t="shared" ref="AM59:AM66" si="21">L59+M59</f>
        <v>197738.2</v>
      </c>
      <c r="AN59" s="351">
        <f t="shared" si="14"/>
        <v>4561888.2</v>
      </c>
      <c r="AO59" s="351">
        <f t="shared" ref="AO59:AO75" si="22">AN59-AC59</f>
        <v>0.20000000018626451</v>
      </c>
      <c r="AR59" s="341">
        <f t="shared" ref="AR59:AR75" si="23">K59+Y59</f>
        <v>4169500</v>
      </c>
      <c r="AS59" s="341">
        <f t="shared" ref="AS59:AS75" si="24">N59+O59+P59+Q59+W59</f>
        <v>194650</v>
      </c>
      <c r="AT59" s="341">
        <f t="shared" ref="AT59:AT75" si="25">L59+M59</f>
        <v>197738.2</v>
      </c>
      <c r="AU59" s="413" t="s">
        <v>9</v>
      </c>
      <c r="AV59" s="325" t="s">
        <v>296</v>
      </c>
      <c r="AW59" s="325" t="s">
        <v>300</v>
      </c>
      <c r="AX59" s="325" t="s">
        <v>303</v>
      </c>
      <c r="AY59" s="325" t="s">
        <v>307</v>
      </c>
    </row>
    <row r="60" spans="2:51" s="325" customFormat="1" ht="15.75" customHeight="1">
      <c r="B60" s="326">
        <v>55</v>
      </c>
      <c r="C60" s="330" t="s">
        <v>508</v>
      </c>
      <c r="D60" s="336" t="s">
        <v>512</v>
      </c>
      <c r="E60" s="337" t="s">
        <v>74</v>
      </c>
      <c r="F60" s="327" t="s">
        <v>511</v>
      </c>
      <c r="G60" s="327" t="s">
        <v>596</v>
      </c>
      <c r="H60" s="338" t="s">
        <v>39</v>
      </c>
      <c r="I60" s="339" t="s">
        <v>12</v>
      </c>
      <c r="J60" s="333" t="str">
        <f t="shared" si="17"/>
        <v>TER C</v>
      </c>
      <c r="K60" s="334">
        <f t="shared" si="3"/>
        <v>4169500</v>
      </c>
      <c r="L60" s="335">
        <f t="shared" si="4"/>
        <v>34070.400000000001</v>
      </c>
      <c r="M60" s="340">
        <f>[18]MAINTENANCE!AL64</f>
        <v>162240</v>
      </c>
      <c r="N60" s="340">
        <f>[18]MAINTENANCE!W64</f>
        <v>166500</v>
      </c>
      <c r="O60" s="340"/>
      <c r="P60" s="340">
        <f>[18]MAINTENANCE!AE64</f>
        <v>0</v>
      </c>
      <c r="Q60" s="340"/>
      <c r="R60" s="340"/>
      <c r="S60" s="340"/>
      <c r="T60" s="340"/>
      <c r="U60" s="340"/>
      <c r="V60" s="340"/>
      <c r="W60" s="340">
        <f>[18]MAINTENANCE!AB64</f>
        <v>21000</v>
      </c>
      <c r="X60" s="340"/>
      <c r="Y60" s="340">
        <f>-[18]MAINTENANCE!BB64</f>
        <v>-134500</v>
      </c>
      <c r="Z60" s="321"/>
      <c r="AA60" s="335"/>
      <c r="AB60" s="335"/>
      <c r="AC60" s="343">
        <f>ROUND(SUM(K60:AB60),0)</f>
        <v>4418810</v>
      </c>
      <c r="AD60" s="322">
        <f t="shared" si="18"/>
        <v>0</v>
      </c>
      <c r="AE60" s="321">
        <f t="shared" si="19"/>
        <v>0</v>
      </c>
      <c r="AF60" s="353"/>
      <c r="AG60" s="321"/>
      <c r="AH60" s="358">
        <f t="shared" ref="AH60" si="26">AE60-AF60</f>
        <v>0</v>
      </c>
      <c r="AI60" s="323">
        <f t="shared" si="13"/>
        <v>0</v>
      </c>
      <c r="AJ60" s="324"/>
      <c r="AL60" s="346">
        <f>[18]MAINTENANCE!AG64</f>
        <v>4222500</v>
      </c>
      <c r="AM60" s="341">
        <f t="shared" si="21"/>
        <v>196310.39999999999</v>
      </c>
      <c r="AN60" s="351">
        <f t="shared" si="14"/>
        <v>4418810.4000000004</v>
      </c>
      <c r="AO60" s="351">
        <f t="shared" si="22"/>
        <v>0.40000000037252903</v>
      </c>
      <c r="AR60" s="341">
        <f t="shared" si="23"/>
        <v>4035000</v>
      </c>
      <c r="AS60" s="341">
        <f t="shared" si="24"/>
        <v>187500</v>
      </c>
      <c r="AT60" s="341">
        <f t="shared" si="25"/>
        <v>196310.39999999999</v>
      </c>
      <c r="AU60" s="413" t="s">
        <v>11</v>
      </c>
      <c r="AV60" s="325" t="s">
        <v>297</v>
      </c>
      <c r="AW60" s="325" t="s">
        <v>301</v>
      </c>
      <c r="AX60" s="325" t="s">
        <v>304</v>
      </c>
      <c r="AY60" s="325" t="s">
        <v>308</v>
      </c>
    </row>
    <row r="61" spans="2:51" s="325" customFormat="1" ht="15.75" customHeight="1">
      <c r="B61" s="326">
        <v>56</v>
      </c>
      <c r="C61" s="330" t="s">
        <v>521</v>
      </c>
      <c r="D61" s="349" t="s">
        <v>514</v>
      </c>
      <c r="E61" s="337" t="s">
        <v>74</v>
      </c>
      <c r="F61" s="327" t="s">
        <v>516</v>
      </c>
      <c r="G61" s="327" t="s">
        <v>596</v>
      </c>
      <c r="H61" s="338" t="s">
        <v>39</v>
      </c>
      <c r="I61" s="339" t="s">
        <v>12</v>
      </c>
      <c r="J61" s="333" t="str">
        <f t="shared" si="17"/>
        <v>TER C</v>
      </c>
      <c r="K61" s="334">
        <f t="shared" si="3"/>
        <v>4169500</v>
      </c>
      <c r="L61" s="335">
        <f t="shared" si="4"/>
        <v>34120.799999999996</v>
      </c>
      <c r="M61" s="340">
        <f>[18]MAINTENANCE!AL65</f>
        <v>162480</v>
      </c>
      <c r="N61" s="340">
        <f>[18]MAINTENANCE!W65</f>
        <v>155400</v>
      </c>
      <c r="O61" s="340"/>
      <c r="P61" s="340">
        <f>[18]MAINTENANCE!AE65</f>
        <v>0</v>
      </c>
      <c r="Q61" s="340"/>
      <c r="R61" s="340"/>
      <c r="S61" s="340"/>
      <c r="T61" s="340"/>
      <c r="U61" s="340"/>
      <c r="V61" s="340"/>
      <c r="W61" s="340">
        <f>[18]MAINTENANCE!AB65</f>
        <v>27000</v>
      </c>
      <c r="X61" s="340"/>
      <c r="Y61" s="340">
        <f>-[18]MAINTENANCE!BB65</f>
        <v>-403500</v>
      </c>
      <c r="Z61" s="321"/>
      <c r="AA61" s="335"/>
      <c r="AB61" s="335"/>
      <c r="AC61" s="343">
        <f>ROUND(SUM(K61:AB61),0)</f>
        <v>4145001</v>
      </c>
      <c r="AD61" s="322">
        <f t="shared" si="18"/>
        <v>0</v>
      </c>
      <c r="AE61" s="321">
        <f t="shared" si="19"/>
        <v>0</v>
      </c>
      <c r="AF61" s="353"/>
      <c r="AG61" s="321">
        <f t="shared" ref="AG61:AG63" si="27">AE61-AF61</f>
        <v>0</v>
      </c>
      <c r="AH61" s="354"/>
      <c r="AI61" s="323"/>
      <c r="AJ61" s="324"/>
      <c r="AL61" s="346">
        <f>[18]MAINTENANCE!AG65</f>
        <v>3948400</v>
      </c>
      <c r="AM61" s="341">
        <f t="shared" si="21"/>
        <v>196600.8</v>
      </c>
      <c r="AN61" s="351">
        <f t="shared" si="14"/>
        <v>4145000.8</v>
      </c>
      <c r="AO61" s="351">
        <f t="shared" si="22"/>
        <v>-0.20000000018626451</v>
      </c>
      <c r="AR61" s="341">
        <f t="shared" si="23"/>
        <v>3766000</v>
      </c>
      <c r="AS61" s="341">
        <f t="shared" si="24"/>
        <v>182400</v>
      </c>
      <c r="AT61" s="341">
        <f t="shared" si="25"/>
        <v>196600.8</v>
      </c>
      <c r="AU61" s="413" t="s">
        <v>12</v>
      </c>
      <c r="AV61" s="325" t="s">
        <v>508</v>
      </c>
      <c r="AW61" s="325" t="s">
        <v>512</v>
      </c>
      <c r="AX61" s="325" t="s">
        <v>74</v>
      </c>
      <c r="AY61" s="325" t="s">
        <v>511</v>
      </c>
    </row>
    <row r="62" spans="2:51" s="325" customFormat="1" ht="15.75" customHeight="1">
      <c r="B62" s="326">
        <v>57</v>
      </c>
      <c r="C62" s="330" t="s">
        <v>509</v>
      </c>
      <c r="D62" s="349" t="s">
        <v>515</v>
      </c>
      <c r="E62" s="337" t="s">
        <v>510</v>
      </c>
      <c r="F62" s="327" t="s">
        <v>517</v>
      </c>
      <c r="G62" s="327" t="s">
        <v>596</v>
      </c>
      <c r="H62" s="338" t="s">
        <v>39</v>
      </c>
      <c r="I62" s="339" t="s">
        <v>11</v>
      </c>
      <c r="J62" s="333" t="str">
        <f t="shared" si="17"/>
        <v>TER B</v>
      </c>
      <c r="K62" s="334">
        <f t="shared" si="3"/>
        <v>4169500</v>
      </c>
      <c r="L62" s="335">
        <f t="shared" si="4"/>
        <v>34120.799999999996</v>
      </c>
      <c r="M62" s="340">
        <f>[18]MAINTENANCE!AL66</f>
        <v>162480</v>
      </c>
      <c r="N62" s="340">
        <f>[18]MAINTENANCE!W66</f>
        <v>160950</v>
      </c>
      <c r="O62" s="340"/>
      <c r="P62" s="340">
        <f>[18]MAINTENANCE!AE66</f>
        <v>0</v>
      </c>
      <c r="Q62" s="340"/>
      <c r="R62" s="340"/>
      <c r="S62" s="340"/>
      <c r="T62" s="340"/>
      <c r="U62" s="340"/>
      <c r="V62" s="340"/>
      <c r="W62" s="340">
        <f>[18]MAINTENANCE!AB66</f>
        <v>27000</v>
      </c>
      <c r="X62" s="340"/>
      <c r="Y62" s="340">
        <f>-[18]MAINTENANCE!BB66</f>
        <v>-269000</v>
      </c>
      <c r="Z62" s="321"/>
      <c r="AA62" s="335"/>
      <c r="AB62" s="335"/>
      <c r="AC62" s="343">
        <f t="shared" ref="AC62:AC64" si="28">ROUND(SUM(K62:AB62),0)</f>
        <v>4285051</v>
      </c>
      <c r="AD62" s="322">
        <f t="shared" si="18"/>
        <v>0</v>
      </c>
      <c r="AE62" s="321">
        <f t="shared" si="19"/>
        <v>0</v>
      </c>
      <c r="AF62" s="353"/>
      <c r="AG62" s="321">
        <f t="shared" si="27"/>
        <v>0</v>
      </c>
      <c r="AH62" s="354"/>
      <c r="AI62" s="323"/>
      <c r="AJ62" s="324"/>
      <c r="AL62" s="346">
        <f>[18]MAINTENANCE!AG66</f>
        <v>4088450</v>
      </c>
      <c r="AM62" s="341">
        <f t="shared" si="21"/>
        <v>196600.8</v>
      </c>
      <c r="AN62" s="351">
        <f t="shared" si="14"/>
        <v>4285050.8</v>
      </c>
      <c r="AO62" s="351">
        <f t="shared" si="22"/>
        <v>-0.20000000018626451</v>
      </c>
      <c r="AR62" s="341">
        <f t="shared" si="23"/>
        <v>3900500</v>
      </c>
      <c r="AS62" s="341">
        <f t="shared" si="24"/>
        <v>187950</v>
      </c>
      <c r="AT62" s="341">
        <f t="shared" si="25"/>
        <v>196600.8</v>
      </c>
      <c r="AU62" s="413" t="s">
        <v>12</v>
      </c>
      <c r="AV62" s="325" t="s">
        <v>521</v>
      </c>
      <c r="AW62" s="325" t="s">
        <v>514</v>
      </c>
      <c r="AX62" s="325" t="s">
        <v>74</v>
      </c>
      <c r="AY62" s="325" t="s">
        <v>516</v>
      </c>
    </row>
    <row r="63" spans="2:51" s="325" customFormat="1" ht="15.75" customHeight="1">
      <c r="B63" s="326">
        <v>58</v>
      </c>
      <c r="C63" s="330" t="s">
        <v>522</v>
      </c>
      <c r="D63" s="349" t="s">
        <v>525</v>
      </c>
      <c r="E63" s="337" t="s">
        <v>526</v>
      </c>
      <c r="F63" s="327" t="s">
        <v>527</v>
      </c>
      <c r="G63" s="327" t="s">
        <v>596</v>
      </c>
      <c r="H63" s="338" t="s">
        <v>38</v>
      </c>
      <c r="I63" s="339" t="s">
        <v>7</v>
      </c>
      <c r="J63" s="333" t="str">
        <f t="shared" si="17"/>
        <v>TER A</v>
      </c>
      <c r="K63" s="334">
        <f t="shared" si="3"/>
        <v>4169500</v>
      </c>
      <c r="L63" s="335">
        <f t="shared" si="4"/>
        <v>34200.6</v>
      </c>
      <c r="M63" s="340">
        <f>[18]MAINTENANCE!AL67</f>
        <v>162860</v>
      </c>
      <c r="N63" s="340">
        <f>[18]MAINTENANCE!W67</f>
        <v>94250</v>
      </c>
      <c r="O63" s="340"/>
      <c r="P63" s="340">
        <f>[18]MAINTENANCE!AE67</f>
        <v>0</v>
      </c>
      <c r="Q63" s="340"/>
      <c r="R63" s="340"/>
      <c r="S63" s="340"/>
      <c r="T63" s="340"/>
      <c r="U63" s="340"/>
      <c r="V63" s="340"/>
      <c r="W63" s="340">
        <f>[18]MAINTENANCE!AB67</f>
        <v>36500</v>
      </c>
      <c r="X63" s="340"/>
      <c r="Y63" s="340">
        <f>-[18]MAINTENANCE!BB67</f>
        <v>-269000</v>
      </c>
      <c r="Z63" s="321"/>
      <c r="AA63" s="335"/>
      <c r="AB63" s="335"/>
      <c r="AC63" s="343">
        <f t="shared" si="28"/>
        <v>4228311</v>
      </c>
      <c r="AD63" s="322">
        <f t="shared" si="18"/>
        <v>0</v>
      </c>
      <c r="AE63" s="321">
        <f t="shared" si="19"/>
        <v>0</v>
      </c>
      <c r="AF63" s="353"/>
      <c r="AG63" s="321">
        <f t="shared" si="27"/>
        <v>0</v>
      </c>
      <c r="AH63" s="354"/>
      <c r="AI63" s="323">
        <f t="shared" si="13"/>
        <v>0</v>
      </c>
      <c r="AJ63" s="324"/>
      <c r="AL63" s="346">
        <f>[18]MAINTENANCE!AG67</f>
        <v>4031250</v>
      </c>
      <c r="AM63" s="341">
        <f t="shared" si="21"/>
        <v>197060.6</v>
      </c>
      <c r="AN63" s="351">
        <f t="shared" si="14"/>
        <v>4228310.5999999996</v>
      </c>
      <c r="AO63" s="351">
        <f t="shared" si="22"/>
        <v>-0.40000000037252903</v>
      </c>
      <c r="AR63" s="341">
        <f t="shared" si="23"/>
        <v>3900500</v>
      </c>
      <c r="AS63" s="341">
        <f t="shared" si="24"/>
        <v>130750</v>
      </c>
      <c r="AT63" s="341">
        <f t="shared" si="25"/>
        <v>197060.6</v>
      </c>
      <c r="AU63" s="413" t="s">
        <v>11</v>
      </c>
      <c r="AV63" s="325" t="s">
        <v>509</v>
      </c>
      <c r="AW63" s="325" t="s">
        <v>515</v>
      </c>
      <c r="AX63" s="325" t="s">
        <v>510</v>
      </c>
      <c r="AY63" s="325" t="s">
        <v>517</v>
      </c>
    </row>
    <row r="64" spans="2:51" s="325" customFormat="1" ht="15.75" customHeight="1">
      <c r="B64" s="326">
        <v>59</v>
      </c>
      <c r="C64" s="330" t="s">
        <v>523</v>
      </c>
      <c r="D64" s="349" t="s">
        <v>528</v>
      </c>
      <c r="E64" s="337" t="s">
        <v>74</v>
      </c>
      <c r="F64" s="327" t="s">
        <v>529</v>
      </c>
      <c r="G64" s="327" t="s">
        <v>596</v>
      </c>
      <c r="H64" s="338" t="s">
        <v>39</v>
      </c>
      <c r="I64" s="339" t="s">
        <v>9</v>
      </c>
      <c r="J64" s="333" t="str">
        <f t="shared" si="17"/>
        <v>TER B</v>
      </c>
      <c r="K64" s="334">
        <f t="shared" si="3"/>
        <v>4169500</v>
      </c>
      <c r="L64" s="335">
        <f t="shared" si="4"/>
        <v>34070.400000000001</v>
      </c>
      <c r="M64" s="340">
        <f>[18]MAINTENANCE!AL68</f>
        <v>162240</v>
      </c>
      <c r="N64" s="340">
        <f>[18]MAINTENANCE!W68</f>
        <v>144150</v>
      </c>
      <c r="O64" s="340"/>
      <c r="P64" s="340">
        <f>[18]MAINTENANCE!AE68</f>
        <v>0</v>
      </c>
      <c r="Q64" s="340"/>
      <c r="R64" s="340"/>
      <c r="S64" s="340"/>
      <c r="T64" s="340"/>
      <c r="U64" s="340"/>
      <c r="V64" s="340"/>
      <c r="W64" s="340">
        <f>[18]MAINTENANCE!AB68</f>
        <v>21000</v>
      </c>
      <c r="X64" s="340"/>
      <c r="Y64" s="340">
        <f>-[18]MAINTENANCE!BB68</f>
        <v>0</v>
      </c>
      <c r="Z64" s="321"/>
      <c r="AA64" s="335"/>
      <c r="AB64" s="335"/>
      <c r="AC64" s="343">
        <f t="shared" si="28"/>
        <v>4530960</v>
      </c>
      <c r="AD64" s="322">
        <f t="shared" si="18"/>
        <v>0</v>
      </c>
      <c r="AE64" s="321">
        <f t="shared" si="19"/>
        <v>0</v>
      </c>
      <c r="AF64" s="360"/>
      <c r="AG64" s="359"/>
      <c r="AH64" s="361"/>
      <c r="AI64" s="362"/>
      <c r="AJ64" s="363"/>
      <c r="AL64" s="346">
        <f>[18]MAINTENANCE!AG68</f>
        <v>4334650</v>
      </c>
      <c r="AM64" s="341">
        <f t="shared" si="21"/>
        <v>196310.39999999999</v>
      </c>
      <c r="AN64" s="351">
        <f t="shared" ref="AN64:AN75" si="29">AL64+AM64</f>
        <v>4530960.4000000004</v>
      </c>
      <c r="AO64" s="351">
        <f t="shared" si="22"/>
        <v>0.40000000037252903</v>
      </c>
      <c r="AR64" s="341">
        <f t="shared" si="23"/>
        <v>4169500</v>
      </c>
      <c r="AS64" s="341">
        <f t="shared" si="24"/>
        <v>165150</v>
      </c>
      <c r="AT64" s="341">
        <f t="shared" si="25"/>
        <v>196310.39999999999</v>
      </c>
      <c r="AU64" s="413" t="s">
        <v>7</v>
      </c>
      <c r="AV64" s="325" t="s">
        <v>522</v>
      </c>
      <c r="AW64" s="325" t="s">
        <v>525</v>
      </c>
      <c r="AX64" s="325" t="s">
        <v>526</v>
      </c>
      <c r="AY64" s="325" t="s">
        <v>527</v>
      </c>
    </row>
    <row r="65" spans="2:51" s="325" customFormat="1" ht="15.75" customHeight="1">
      <c r="B65" s="326">
        <v>60</v>
      </c>
      <c r="C65" s="330" t="s">
        <v>524</v>
      </c>
      <c r="D65" s="349" t="s">
        <v>530</v>
      </c>
      <c r="E65" s="337" t="s">
        <v>74</v>
      </c>
      <c r="F65" s="327" t="s">
        <v>531</v>
      </c>
      <c r="G65" s="327" t="s">
        <v>596</v>
      </c>
      <c r="H65" s="338" t="s">
        <v>39</v>
      </c>
      <c r="I65" s="339" t="s">
        <v>7</v>
      </c>
      <c r="J65" s="333" t="str">
        <f t="shared" si="17"/>
        <v>TER A</v>
      </c>
      <c r="K65" s="334">
        <f t="shared" si="3"/>
        <v>4169500</v>
      </c>
      <c r="L65" s="335">
        <f t="shared" si="4"/>
        <v>33915</v>
      </c>
      <c r="M65" s="340">
        <f>[18]MAINTENANCE!AL69</f>
        <v>161500</v>
      </c>
      <c r="N65" s="340">
        <f>[18]MAINTENANCE!W69</f>
        <v>69750</v>
      </c>
      <c r="O65" s="340"/>
      <c r="P65" s="340">
        <f>[18]MAINTENANCE!AE69</f>
        <v>2787182.15</v>
      </c>
      <c r="Q65" s="340"/>
      <c r="R65" s="340"/>
      <c r="S65" s="340"/>
      <c r="T65" s="340"/>
      <c r="U65" s="340"/>
      <c r="V65" s="340"/>
      <c r="W65" s="340">
        <f>[18]MAINTENANCE!AB69</f>
        <v>2500</v>
      </c>
      <c r="X65" s="340"/>
      <c r="Y65" s="340">
        <f>-[18]MAINTENANCE!BB69</f>
        <v>0</v>
      </c>
      <c r="Z65" s="321"/>
      <c r="AA65" s="335"/>
      <c r="AB65" s="335"/>
      <c r="AC65" s="343">
        <f>ROUND(SUM(K65:AB65),0)</f>
        <v>7224347</v>
      </c>
      <c r="AD65" s="322">
        <f t="shared" si="18"/>
        <v>1.2500000000000001E-2</v>
      </c>
      <c r="AE65" s="321">
        <f t="shared" si="19"/>
        <v>90304</v>
      </c>
      <c r="AF65" s="360"/>
      <c r="AG65" s="359"/>
      <c r="AH65" s="361"/>
      <c r="AI65" s="362"/>
      <c r="AJ65" s="363"/>
      <c r="AL65" s="346">
        <f>[18]MAINTENANCE!AG69</f>
        <v>7028932.1500000004</v>
      </c>
      <c r="AM65" s="341">
        <f t="shared" si="21"/>
        <v>195415</v>
      </c>
      <c r="AN65" s="351">
        <f t="shared" si="29"/>
        <v>7224347.1500000004</v>
      </c>
      <c r="AO65" s="351">
        <f t="shared" si="22"/>
        <v>0.15000000037252903</v>
      </c>
      <c r="AR65" s="341">
        <f t="shared" si="23"/>
        <v>4169500</v>
      </c>
      <c r="AS65" s="341">
        <f t="shared" si="24"/>
        <v>2859432.15</v>
      </c>
      <c r="AT65" s="341">
        <f t="shared" si="25"/>
        <v>195415</v>
      </c>
      <c r="AU65" s="413" t="s">
        <v>9</v>
      </c>
      <c r="AV65" s="325" t="s">
        <v>523</v>
      </c>
      <c r="AW65" s="325" t="s">
        <v>528</v>
      </c>
      <c r="AX65" s="325" t="s">
        <v>74</v>
      </c>
      <c r="AY65" s="325" t="s">
        <v>529</v>
      </c>
    </row>
    <row r="66" spans="2:51" s="325" customFormat="1" ht="15.75" customHeight="1">
      <c r="B66" s="326">
        <v>61</v>
      </c>
      <c r="C66" s="330" t="s">
        <v>412</v>
      </c>
      <c r="D66" s="349" t="s">
        <v>542</v>
      </c>
      <c r="E66" s="337"/>
      <c r="F66" s="327" t="s">
        <v>541</v>
      </c>
      <c r="G66" s="327" t="s">
        <v>596</v>
      </c>
      <c r="H66" s="338" t="s">
        <v>39</v>
      </c>
      <c r="I66" s="339" t="s">
        <v>9</v>
      </c>
      <c r="J66" s="333" t="str">
        <f t="shared" si="17"/>
        <v>TER B</v>
      </c>
      <c r="K66" s="334">
        <f t="shared" si="3"/>
        <v>4169500</v>
      </c>
      <c r="L66" s="335">
        <f t="shared" si="4"/>
        <v>34045.199999999997</v>
      </c>
      <c r="M66" s="340">
        <f>[18]MAINTENANCE!AL70</f>
        <v>162120</v>
      </c>
      <c r="N66" s="340">
        <f>[18]MAINTENANCE!W70</f>
        <v>144150</v>
      </c>
      <c r="O66" s="340"/>
      <c r="P66" s="340">
        <f>[18]MAINTENANCE!AE70</f>
        <v>0</v>
      </c>
      <c r="Q66" s="340"/>
      <c r="R66" s="340"/>
      <c r="S66" s="340"/>
      <c r="T66" s="340"/>
      <c r="U66" s="340"/>
      <c r="V66" s="340"/>
      <c r="W66" s="340">
        <f>[18]MAINTENANCE!AB70</f>
        <v>18000</v>
      </c>
      <c r="X66" s="340"/>
      <c r="Y66" s="340">
        <f>-[18]MAINTENANCE!BB70</f>
        <v>0</v>
      </c>
      <c r="Z66" s="321"/>
      <c r="AA66" s="335"/>
      <c r="AB66" s="335"/>
      <c r="AC66" s="343">
        <f t="shared" ref="AC66:AC75" si="30">ROUND(SUM(K66:AB66),0)</f>
        <v>4527815</v>
      </c>
      <c r="AD66" s="322">
        <f t="shared" si="18"/>
        <v>0</v>
      </c>
      <c r="AE66" s="321">
        <f t="shared" si="19"/>
        <v>0</v>
      </c>
      <c r="AF66" s="360"/>
      <c r="AG66" s="359"/>
      <c r="AH66" s="361"/>
      <c r="AI66" s="362"/>
      <c r="AJ66" s="363"/>
      <c r="AL66" s="346">
        <f>[18]MAINTENANCE!AG70</f>
        <v>4331650</v>
      </c>
      <c r="AM66" s="341">
        <f t="shared" si="21"/>
        <v>196165.2</v>
      </c>
      <c r="AN66" s="351">
        <f t="shared" si="29"/>
        <v>4527815.2</v>
      </c>
      <c r="AO66" s="351">
        <f t="shared" si="22"/>
        <v>0.20000000018626451</v>
      </c>
      <c r="AR66" s="341">
        <f t="shared" si="23"/>
        <v>4169500</v>
      </c>
      <c r="AS66" s="341">
        <f t="shared" si="24"/>
        <v>162150</v>
      </c>
      <c r="AT66" s="341">
        <f t="shared" si="25"/>
        <v>196165.2</v>
      </c>
      <c r="AU66" s="413" t="s">
        <v>7</v>
      </c>
      <c r="AV66" s="325" t="s">
        <v>524</v>
      </c>
      <c r="AW66" s="325" t="s">
        <v>530</v>
      </c>
      <c r="AX66" s="325" t="s">
        <v>74</v>
      </c>
      <c r="AY66" s="325" t="s">
        <v>531</v>
      </c>
    </row>
    <row r="67" spans="2:51" s="325" customFormat="1" ht="15.75" customHeight="1">
      <c r="B67" s="326">
        <v>62</v>
      </c>
      <c r="C67" s="364" t="s">
        <v>537</v>
      </c>
      <c r="D67" s="368" t="s">
        <v>543</v>
      </c>
      <c r="E67" s="369" t="s">
        <v>544</v>
      </c>
      <c r="F67" s="370" t="s">
        <v>545</v>
      </c>
      <c r="G67" s="370" t="s">
        <v>596</v>
      </c>
      <c r="H67" s="371" t="s">
        <v>39</v>
      </c>
      <c r="I67" s="372" t="s">
        <v>11</v>
      </c>
      <c r="J67" s="373" t="str">
        <f t="shared" si="17"/>
        <v>TER B</v>
      </c>
      <c r="K67" s="334">
        <f t="shared" si="3"/>
        <v>4169500</v>
      </c>
      <c r="L67" s="335">
        <f t="shared" si="4"/>
        <v>34120.799999999996</v>
      </c>
      <c r="M67" s="340">
        <f>[18]MAINTENANCE!AL71</f>
        <v>162480</v>
      </c>
      <c r="N67" s="340">
        <f>[18]MAINTENANCE!W71</f>
        <v>149850</v>
      </c>
      <c r="O67" s="374"/>
      <c r="P67" s="340">
        <f>[18]MAINTENANCE!AE71</f>
        <v>0</v>
      </c>
      <c r="Q67" s="374"/>
      <c r="R67" s="374"/>
      <c r="S67" s="374"/>
      <c r="T67" s="374"/>
      <c r="U67" s="374"/>
      <c r="V67" s="374"/>
      <c r="W67" s="340">
        <f>[18]MAINTENANCE!AB71</f>
        <v>27000</v>
      </c>
      <c r="X67" s="374"/>
      <c r="Y67" s="340">
        <f>-[18]MAINTENANCE!BB71</f>
        <v>-538000</v>
      </c>
      <c r="Z67" s="376"/>
      <c r="AA67" s="374"/>
      <c r="AB67" s="374"/>
      <c r="AC67" s="376">
        <f t="shared" si="30"/>
        <v>4004951</v>
      </c>
      <c r="AD67" s="377">
        <f t="shared" si="18"/>
        <v>0</v>
      </c>
      <c r="AE67" s="359">
        <f t="shared" si="19"/>
        <v>0</v>
      </c>
      <c r="AF67" s="360"/>
      <c r="AG67" s="365"/>
      <c r="AH67" s="366"/>
      <c r="AI67" s="362"/>
      <c r="AJ67" s="363"/>
      <c r="AL67" s="346">
        <f>[18]MAINTENANCE!AG71</f>
        <v>3808350</v>
      </c>
      <c r="AM67" s="341">
        <f>L67+M67</f>
        <v>196600.8</v>
      </c>
      <c r="AN67" s="351">
        <f t="shared" si="29"/>
        <v>4004950.8</v>
      </c>
      <c r="AO67" s="351">
        <f t="shared" si="22"/>
        <v>-0.20000000018626451</v>
      </c>
      <c r="AR67" s="341">
        <f t="shared" si="23"/>
        <v>3631500</v>
      </c>
      <c r="AS67" s="341">
        <f t="shared" si="24"/>
        <v>176850</v>
      </c>
      <c r="AT67" s="341">
        <f t="shared" si="25"/>
        <v>196600.8</v>
      </c>
      <c r="AU67" s="413" t="s">
        <v>11</v>
      </c>
      <c r="AV67" s="325" t="s">
        <v>533</v>
      </c>
      <c r="AW67" s="325" t="s">
        <v>534</v>
      </c>
      <c r="AX67" s="325" t="s">
        <v>535</v>
      </c>
      <c r="AY67" s="325" t="s">
        <v>536</v>
      </c>
    </row>
    <row r="68" spans="2:51" s="325" customFormat="1" ht="15.75" customHeight="1">
      <c r="B68" s="326">
        <v>63</v>
      </c>
      <c r="C68" s="327" t="s">
        <v>538</v>
      </c>
      <c r="D68" s="349" t="s">
        <v>603</v>
      </c>
      <c r="E68" s="337" t="s">
        <v>74</v>
      </c>
      <c r="F68" s="327" t="s">
        <v>547</v>
      </c>
      <c r="G68" s="327" t="s">
        <v>596</v>
      </c>
      <c r="H68" s="338" t="s">
        <v>39</v>
      </c>
      <c r="I68" s="339" t="s">
        <v>7</v>
      </c>
      <c r="J68" s="333" t="str">
        <f t="shared" si="17"/>
        <v>TER A</v>
      </c>
      <c r="K68" s="334">
        <f t="shared" si="3"/>
        <v>4169500</v>
      </c>
      <c r="L68" s="335">
        <f t="shared" si="4"/>
        <v>34045.199999999997</v>
      </c>
      <c r="M68" s="340">
        <f>[18]MAINTENANCE!AL72</f>
        <v>162120</v>
      </c>
      <c r="N68" s="340">
        <f>[18]MAINTENANCE!W72</f>
        <v>65250</v>
      </c>
      <c r="O68" s="340"/>
      <c r="P68" s="340">
        <f>[18]MAINTENANCE!AE72</f>
        <v>0</v>
      </c>
      <c r="Q68" s="340"/>
      <c r="R68" s="340"/>
      <c r="S68" s="340"/>
      <c r="T68" s="340"/>
      <c r="U68" s="340"/>
      <c r="V68" s="340"/>
      <c r="W68" s="340">
        <f>[18]MAINTENANCE!AB72</f>
        <v>18000</v>
      </c>
      <c r="X68" s="340"/>
      <c r="Y68" s="340">
        <f>-[18]MAINTENANCE!BB72</f>
        <v>-269000</v>
      </c>
      <c r="Z68" s="321"/>
      <c r="AA68" s="340"/>
      <c r="AB68" s="340"/>
      <c r="AC68" s="321">
        <f t="shared" si="30"/>
        <v>4179915</v>
      </c>
      <c r="AD68" s="377">
        <f t="shared" si="18"/>
        <v>0</v>
      </c>
      <c r="AE68" s="359">
        <f t="shared" si="19"/>
        <v>0</v>
      </c>
      <c r="AF68" s="360"/>
      <c r="AG68" s="365"/>
      <c r="AH68" s="366"/>
      <c r="AI68" s="362"/>
      <c r="AJ68" s="363"/>
      <c r="AL68" s="346">
        <f>[18]MAINTENANCE!AG72</f>
        <v>3983750</v>
      </c>
      <c r="AM68" s="341">
        <f t="shared" ref="AM68:AM75" si="31">L68+M68</f>
        <v>196165.2</v>
      </c>
      <c r="AN68" s="351">
        <f t="shared" si="29"/>
        <v>4179915.2</v>
      </c>
      <c r="AO68" s="351">
        <f t="shared" si="22"/>
        <v>0.20000000018626451</v>
      </c>
      <c r="AR68" s="341">
        <f t="shared" si="23"/>
        <v>3900500</v>
      </c>
      <c r="AS68" s="341">
        <f t="shared" si="24"/>
        <v>83250</v>
      </c>
      <c r="AT68" s="341">
        <f t="shared" si="25"/>
        <v>196165.2</v>
      </c>
      <c r="AU68" s="413" t="s">
        <v>9</v>
      </c>
      <c r="AV68" s="325" t="s">
        <v>412</v>
      </c>
      <c r="AW68" s="325" t="s">
        <v>542</v>
      </c>
      <c r="AY68" s="325" t="s">
        <v>541</v>
      </c>
    </row>
    <row r="69" spans="2:51" s="325" customFormat="1" ht="15.75" customHeight="1">
      <c r="B69" s="326">
        <v>64</v>
      </c>
      <c r="C69" s="327" t="s">
        <v>539</v>
      </c>
      <c r="D69" s="349" t="s">
        <v>602</v>
      </c>
      <c r="E69" s="337" t="s">
        <v>74</v>
      </c>
      <c r="F69" s="327" t="s">
        <v>549</v>
      </c>
      <c r="G69" s="327" t="s">
        <v>596</v>
      </c>
      <c r="H69" s="338" t="s">
        <v>39</v>
      </c>
      <c r="I69" s="339" t="s">
        <v>9</v>
      </c>
      <c r="J69" s="333" t="str">
        <f t="shared" si="17"/>
        <v>TER B</v>
      </c>
      <c r="K69" s="334">
        <f t="shared" si="3"/>
        <v>4169500</v>
      </c>
      <c r="L69" s="335">
        <f t="shared" si="4"/>
        <v>33936</v>
      </c>
      <c r="M69" s="340">
        <f>[18]MAINTENANCE!AL73</f>
        <v>161600</v>
      </c>
      <c r="N69" s="340">
        <f>[18]MAINTENANCE!W73</f>
        <v>139500</v>
      </c>
      <c r="O69" s="340"/>
      <c r="P69" s="340">
        <f>[18]MAINTENANCE!AE73</f>
        <v>0</v>
      </c>
      <c r="Q69" s="340"/>
      <c r="R69" s="340"/>
      <c r="S69" s="340"/>
      <c r="T69" s="340"/>
      <c r="U69" s="340"/>
      <c r="V69" s="340"/>
      <c r="W69" s="340">
        <f>[18]MAINTENANCE!AB73</f>
        <v>5000</v>
      </c>
      <c r="X69" s="340"/>
      <c r="Y69" s="340">
        <f>-[18]MAINTENANCE!BB73</f>
        <v>-134500</v>
      </c>
      <c r="Z69" s="321"/>
      <c r="AA69" s="340"/>
      <c r="AB69" s="340"/>
      <c r="AC69" s="321">
        <f t="shared" si="30"/>
        <v>4375036</v>
      </c>
      <c r="AD69" s="377">
        <f t="shared" si="18"/>
        <v>0</v>
      </c>
      <c r="AE69" s="359">
        <f t="shared" si="19"/>
        <v>0</v>
      </c>
      <c r="AF69" s="360"/>
      <c r="AG69" s="365"/>
      <c r="AH69" s="366"/>
      <c r="AI69" s="362"/>
      <c r="AJ69" s="363"/>
      <c r="AL69" s="346">
        <f>[18]MAINTENANCE!AG73</f>
        <v>4179500</v>
      </c>
      <c r="AM69" s="341">
        <f t="shared" si="31"/>
        <v>195536</v>
      </c>
      <c r="AN69" s="351">
        <f t="shared" si="29"/>
        <v>4375036</v>
      </c>
      <c r="AO69" s="351">
        <f t="shared" si="22"/>
        <v>0</v>
      </c>
      <c r="AR69" s="341">
        <f t="shared" si="23"/>
        <v>4035000</v>
      </c>
      <c r="AS69" s="341">
        <f t="shared" si="24"/>
        <v>144500</v>
      </c>
      <c r="AT69" s="341">
        <f t="shared" si="25"/>
        <v>195536</v>
      </c>
      <c r="AU69" s="413" t="s">
        <v>11</v>
      </c>
      <c r="AV69" s="325" t="s">
        <v>537</v>
      </c>
      <c r="AW69" s="325" t="s">
        <v>543</v>
      </c>
      <c r="AX69" s="325" t="s">
        <v>544</v>
      </c>
      <c r="AY69" s="325" t="s">
        <v>545</v>
      </c>
    </row>
    <row r="70" spans="2:51" s="325" customFormat="1" ht="15.75" customHeight="1">
      <c r="B70" s="326">
        <v>65</v>
      </c>
      <c r="C70" s="327" t="s">
        <v>540</v>
      </c>
      <c r="D70" s="349" t="s">
        <v>550</v>
      </c>
      <c r="E70" s="337" t="s">
        <v>551</v>
      </c>
      <c r="F70" s="327" t="s">
        <v>552</v>
      </c>
      <c r="G70" s="327" t="s">
        <v>596</v>
      </c>
      <c r="H70" s="338" t="s">
        <v>39</v>
      </c>
      <c r="I70" s="339" t="s">
        <v>9</v>
      </c>
      <c r="J70" s="333" t="str">
        <f t="shared" si="17"/>
        <v>TER B</v>
      </c>
      <c r="K70" s="334">
        <f t="shared" si="3"/>
        <v>4169500</v>
      </c>
      <c r="L70" s="335">
        <f t="shared" si="4"/>
        <v>34120.799999999996</v>
      </c>
      <c r="M70" s="340">
        <f>[18]MAINTENANCE!AL74</f>
        <v>162480</v>
      </c>
      <c r="N70" s="340">
        <f>[18]MAINTENANCE!W74</f>
        <v>134850</v>
      </c>
      <c r="O70" s="340"/>
      <c r="P70" s="340">
        <f>[18]MAINTENANCE!AE74</f>
        <v>0</v>
      </c>
      <c r="Q70" s="340"/>
      <c r="R70" s="340"/>
      <c r="S70" s="340"/>
      <c r="T70" s="340"/>
      <c r="U70" s="340"/>
      <c r="V70" s="340"/>
      <c r="W70" s="340">
        <f>[18]MAINTENANCE!AB74</f>
        <v>27000</v>
      </c>
      <c r="X70" s="340"/>
      <c r="Y70" s="340">
        <f>-[18]MAINTENANCE!BB74</f>
        <v>-269000</v>
      </c>
      <c r="Z70" s="321"/>
      <c r="AA70" s="340"/>
      <c r="AB70" s="340"/>
      <c r="AC70" s="321">
        <f t="shared" si="30"/>
        <v>4258951</v>
      </c>
      <c r="AD70" s="377">
        <f t="shared" si="18"/>
        <v>0</v>
      </c>
      <c r="AE70" s="359">
        <f t="shared" si="19"/>
        <v>0</v>
      </c>
      <c r="AF70" s="360"/>
      <c r="AG70" s="365"/>
      <c r="AH70" s="366"/>
      <c r="AI70" s="362"/>
      <c r="AJ70" s="363"/>
      <c r="AL70" s="346">
        <f>[18]MAINTENANCE!AG74</f>
        <v>4062350</v>
      </c>
      <c r="AM70" s="341">
        <f t="shared" si="31"/>
        <v>196600.8</v>
      </c>
      <c r="AN70" s="351">
        <f t="shared" si="29"/>
        <v>4258950.8</v>
      </c>
      <c r="AO70" s="351">
        <f t="shared" si="22"/>
        <v>-0.20000000018626451</v>
      </c>
      <c r="AR70" s="341">
        <f t="shared" si="23"/>
        <v>3900500</v>
      </c>
      <c r="AS70" s="341">
        <f t="shared" si="24"/>
        <v>161850</v>
      </c>
      <c r="AT70" s="341">
        <f t="shared" si="25"/>
        <v>196600.8</v>
      </c>
      <c r="AU70" s="413" t="s">
        <v>7</v>
      </c>
      <c r="AV70" s="325" t="s">
        <v>538</v>
      </c>
      <c r="AW70" s="325" t="s">
        <v>546</v>
      </c>
      <c r="AX70" s="325" t="s">
        <v>74</v>
      </c>
      <c r="AY70" s="325" t="s">
        <v>547</v>
      </c>
    </row>
    <row r="71" spans="2:51" s="325" customFormat="1" ht="15.75" customHeight="1">
      <c r="B71" s="326">
        <v>66</v>
      </c>
      <c r="C71" s="327" t="s">
        <v>558</v>
      </c>
      <c r="D71" s="349" t="s">
        <v>561</v>
      </c>
      <c r="E71" s="337"/>
      <c r="F71" s="327" t="s">
        <v>425</v>
      </c>
      <c r="G71" s="327" t="s">
        <v>596</v>
      </c>
      <c r="H71" s="338" t="s">
        <v>39</v>
      </c>
      <c r="I71" s="339" t="s">
        <v>7</v>
      </c>
      <c r="J71" s="333" t="str">
        <f t="shared" si="17"/>
        <v>TER A</v>
      </c>
      <c r="K71" s="334">
        <f t="shared" ref="K71:K75" si="32">31*134500</f>
        <v>4169500</v>
      </c>
      <c r="L71" s="335">
        <f t="shared" ref="L71:L75" si="33">(4035000+W71)*0.84%</f>
        <v>33894</v>
      </c>
      <c r="M71" s="340">
        <f>[18]MAINTENANCE!AL75</f>
        <v>161400</v>
      </c>
      <c r="N71" s="340">
        <f>[18]MAINTENANCE!W75</f>
        <v>69750</v>
      </c>
      <c r="O71" s="340"/>
      <c r="P71" s="340">
        <f>[18]MAINTENANCE!AE75</f>
        <v>0</v>
      </c>
      <c r="Q71" s="340"/>
      <c r="R71" s="340"/>
      <c r="S71" s="340"/>
      <c r="T71" s="340"/>
      <c r="U71" s="340"/>
      <c r="V71" s="340"/>
      <c r="W71" s="340">
        <f>[18]MAINTENANCE!AB75</f>
        <v>0</v>
      </c>
      <c r="X71" s="340"/>
      <c r="Y71" s="340">
        <f>-[18]MAINTENANCE!BB75</f>
        <v>0</v>
      </c>
      <c r="Z71" s="321"/>
      <c r="AA71" s="340"/>
      <c r="AB71" s="340"/>
      <c r="AC71" s="321">
        <f t="shared" si="30"/>
        <v>4434544</v>
      </c>
      <c r="AD71" s="377">
        <f t="shared" si="18"/>
        <v>0</v>
      </c>
      <c r="AE71" s="359">
        <f t="shared" si="19"/>
        <v>0</v>
      </c>
      <c r="AF71" s="360"/>
      <c r="AG71" s="365"/>
      <c r="AH71" s="366"/>
      <c r="AI71" s="362"/>
      <c r="AJ71" s="363"/>
      <c r="AL71" s="346">
        <f>[18]MAINTENANCE!AG75</f>
        <v>4239250</v>
      </c>
      <c r="AM71" s="341">
        <f t="shared" si="31"/>
        <v>195294</v>
      </c>
      <c r="AN71" s="351">
        <f t="shared" si="29"/>
        <v>4434544</v>
      </c>
      <c r="AO71" s="351">
        <f t="shared" si="22"/>
        <v>0</v>
      </c>
      <c r="AR71" s="341">
        <f t="shared" si="23"/>
        <v>4169500</v>
      </c>
      <c r="AS71" s="341">
        <f t="shared" si="24"/>
        <v>69750</v>
      </c>
      <c r="AT71" s="341">
        <f t="shared" si="25"/>
        <v>195294</v>
      </c>
      <c r="AU71" s="413" t="s">
        <v>9</v>
      </c>
      <c r="AV71" s="325" t="s">
        <v>539</v>
      </c>
      <c r="AW71" s="325" t="s">
        <v>548</v>
      </c>
      <c r="AX71" s="325" t="s">
        <v>74</v>
      </c>
      <c r="AY71" s="325" t="s">
        <v>549</v>
      </c>
    </row>
    <row r="72" spans="2:51" s="325" customFormat="1" ht="15.75" customHeight="1">
      <c r="B72" s="326">
        <v>67</v>
      </c>
      <c r="C72" s="384" t="s">
        <v>559</v>
      </c>
      <c r="D72" s="385" t="s">
        <v>560</v>
      </c>
      <c r="E72" s="386" t="s">
        <v>565</v>
      </c>
      <c r="F72" s="327" t="s">
        <v>562</v>
      </c>
      <c r="G72" s="384" t="s">
        <v>596</v>
      </c>
      <c r="H72" s="387" t="s">
        <v>39</v>
      </c>
      <c r="I72" s="388" t="s">
        <v>7</v>
      </c>
      <c r="J72" s="389" t="str">
        <f t="shared" si="17"/>
        <v>TER A</v>
      </c>
      <c r="K72" s="334">
        <f t="shared" si="32"/>
        <v>4169500</v>
      </c>
      <c r="L72" s="335">
        <f t="shared" si="33"/>
        <v>33894</v>
      </c>
      <c r="M72" s="340">
        <f>[18]MAINTENANCE!AL76</f>
        <v>161400</v>
      </c>
      <c r="N72" s="340">
        <f>[18]MAINTENANCE!W76</f>
        <v>69750</v>
      </c>
      <c r="O72" s="375"/>
      <c r="P72" s="340">
        <f>[18]MAINTENANCE!AE76</f>
        <v>0</v>
      </c>
      <c r="Q72" s="375"/>
      <c r="R72" s="375"/>
      <c r="S72" s="375"/>
      <c r="T72" s="375"/>
      <c r="U72" s="375"/>
      <c r="V72" s="375"/>
      <c r="W72" s="340">
        <f>[18]MAINTENANCE!AB76</f>
        <v>0</v>
      </c>
      <c r="X72" s="375"/>
      <c r="Y72" s="340">
        <f>-[18]MAINTENANCE!BB76</f>
        <v>0</v>
      </c>
      <c r="Z72" s="359"/>
      <c r="AA72" s="375"/>
      <c r="AB72" s="375"/>
      <c r="AC72" s="359">
        <f t="shared" si="30"/>
        <v>4434544</v>
      </c>
      <c r="AD72" s="377">
        <f t="shared" si="18"/>
        <v>0</v>
      </c>
      <c r="AE72" s="359">
        <f t="shared" si="19"/>
        <v>0</v>
      </c>
      <c r="AF72" s="360"/>
      <c r="AG72" s="365"/>
      <c r="AH72" s="366"/>
      <c r="AI72" s="362"/>
      <c r="AJ72" s="363"/>
      <c r="AL72" s="346">
        <f>[18]MAINTENANCE!AG76</f>
        <v>4239250</v>
      </c>
      <c r="AM72" s="341">
        <f t="shared" si="31"/>
        <v>195294</v>
      </c>
      <c r="AN72" s="351">
        <f t="shared" si="29"/>
        <v>4434544</v>
      </c>
      <c r="AO72" s="351">
        <f t="shared" si="22"/>
        <v>0</v>
      </c>
      <c r="AR72" s="341">
        <f t="shared" si="23"/>
        <v>4169500</v>
      </c>
      <c r="AS72" s="341">
        <f t="shared" si="24"/>
        <v>69750</v>
      </c>
      <c r="AT72" s="341">
        <f t="shared" si="25"/>
        <v>195294</v>
      </c>
      <c r="AU72" s="413" t="s">
        <v>9</v>
      </c>
      <c r="AV72" s="325" t="s">
        <v>540</v>
      </c>
      <c r="AW72" s="325" t="s">
        <v>550</v>
      </c>
      <c r="AX72" s="325" t="s">
        <v>551</v>
      </c>
      <c r="AY72" s="325" t="s">
        <v>552</v>
      </c>
    </row>
    <row r="73" spans="2:51" s="325" customFormat="1" ht="15.75" customHeight="1">
      <c r="B73" s="326">
        <v>68</v>
      </c>
      <c r="C73" s="423" t="s">
        <v>594</v>
      </c>
      <c r="D73" s="385" t="s">
        <v>601</v>
      </c>
      <c r="E73" s="386"/>
      <c r="F73" s="391" t="s">
        <v>597</v>
      </c>
      <c r="G73" s="384" t="s">
        <v>596</v>
      </c>
      <c r="H73" s="387" t="s">
        <v>39</v>
      </c>
      <c r="I73" s="388" t="s">
        <v>9</v>
      </c>
      <c r="J73" s="389" t="str">
        <f t="shared" si="17"/>
        <v>TER B</v>
      </c>
      <c r="K73" s="334">
        <f t="shared" si="32"/>
        <v>4169500</v>
      </c>
      <c r="L73" s="335">
        <f t="shared" si="33"/>
        <v>34200.6</v>
      </c>
      <c r="M73" s="340">
        <f>[18]MAINTENANCE!AL77</f>
        <v>162860</v>
      </c>
      <c r="N73" s="340">
        <f>[18]MAINTENANCE!W77</f>
        <v>100750</v>
      </c>
      <c r="O73" s="375"/>
      <c r="P73" s="340">
        <f>[18]MAINTENANCE!AE77</f>
        <v>163265.9</v>
      </c>
      <c r="Q73" s="375"/>
      <c r="R73" s="375"/>
      <c r="S73" s="375"/>
      <c r="T73" s="375"/>
      <c r="U73" s="375"/>
      <c r="V73" s="375"/>
      <c r="W73" s="340">
        <f>[18]MAINTENANCE!AB77</f>
        <v>36500</v>
      </c>
      <c r="X73" s="375"/>
      <c r="Y73" s="340">
        <f>-[18]MAINTENANCE!BB77</f>
        <v>0</v>
      </c>
      <c r="Z73" s="359"/>
      <c r="AA73" s="375"/>
      <c r="AB73" s="375"/>
      <c r="AC73" s="359">
        <f t="shared" si="30"/>
        <v>4667077</v>
      </c>
      <c r="AD73" s="377">
        <f t="shared" si="18"/>
        <v>0</v>
      </c>
      <c r="AE73" s="359">
        <f t="shared" si="19"/>
        <v>0</v>
      </c>
      <c r="AF73" s="360"/>
      <c r="AG73" s="365"/>
      <c r="AH73" s="366"/>
      <c r="AI73" s="362"/>
      <c r="AJ73" s="363"/>
      <c r="AL73" s="346">
        <f>[18]MAINTENANCE!AG77</f>
        <v>4470015.9000000004</v>
      </c>
      <c r="AM73" s="341">
        <f t="shared" si="31"/>
        <v>197060.6</v>
      </c>
      <c r="AN73" s="351">
        <f t="shared" si="29"/>
        <v>4667076.5</v>
      </c>
      <c r="AO73" s="351">
        <f t="shared" si="22"/>
        <v>-0.5</v>
      </c>
      <c r="AR73" s="341">
        <f t="shared" si="23"/>
        <v>4169500</v>
      </c>
      <c r="AS73" s="341">
        <f t="shared" si="24"/>
        <v>300515.90000000002</v>
      </c>
      <c r="AT73" s="341">
        <f t="shared" si="25"/>
        <v>197060.6</v>
      </c>
      <c r="AU73" s="413" t="s">
        <v>7</v>
      </c>
      <c r="AV73" s="325" t="s">
        <v>553</v>
      </c>
      <c r="AW73" s="325" t="s">
        <v>554</v>
      </c>
      <c r="AX73" s="325" t="s">
        <v>74</v>
      </c>
      <c r="AY73" s="325" t="s">
        <v>555</v>
      </c>
    </row>
    <row r="74" spans="2:51" s="325" customFormat="1" ht="15.75" customHeight="1">
      <c r="B74" s="326">
        <v>69</v>
      </c>
      <c r="C74" s="327" t="s">
        <v>296</v>
      </c>
      <c r="D74" s="349" t="s">
        <v>300</v>
      </c>
      <c r="E74" s="337" t="s">
        <v>303</v>
      </c>
      <c r="F74" s="392" t="s">
        <v>307</v>
      </c>
      <c r="G74" s="327" t="s">
        <v>92</v>
      </c>
      <c r="H74" s="338" t="s">
        <v>39</v>
      </c>
      <c r="I74" s="339" t="s">
        <v>9</v>
      </c>
      <c r="J74" s="333" t="str">
        <f t="shared" si="17"/>
        <v>TER B</v>
      </c>
      <c r="K74" s="334">
        <f t="shared" si="32"/>
        <v>4169500</v>
      </c>
      <c r="L74" s="335">
        <f t="shared" si="33"/>
        <v>34671</v>
      </c>
      <c r="M74" s="340">
        <f>[18]TRANSPORT!AH11</f>
        <v>165100</v>
      </c>
      <c r="N74" s="340">
        <f>[18]TRANSPORT!S11</f>
        <v>139500</v>
      </c>
      <c r="O74" s="340">
        <v>84000</v>
      </c>
      <c r="P74" s="340">
        <f>[18]TRANSPORT!Y11</f>
        <v>1434390</v>
      </c>
      <c r="Q74" s="340">
        <f>[18]TRANSPORT!Z11</f>
        <v>867280</v>
      </c>
      <c r="R74" s="340"/>
      <c r="S74" s="340"/>
      <c r="T74" s="340"/>
      <c r="U74" s="340"/>
      <c r="V74" s="340"/>
      <c r="W74" s="340">
        <f>[18]TRANSPORT!X11</f>
        <v>92500</v>
      </c>
      <c r="X74" s="340"/>
      <c r="Y74" s="340">
        <f>-[18]TRANSPORT!AX11</f>
        <v>-134500</v>
      </c>
      <c r="Z74" s="321"/>
      <c r="AA74" s="340"/>
      <c r="AB74" s="340"/>
      <c r="AC74" s="359">
        <f t="shared" si="30"/>
        <v>6852441</v>
      </c>
      <c r="AD74" s="377">
        <f t="shared" si="18"/>
        <v>7.4999999999999997E-3</v>
      </c>
      <c r="AE74" s="359">
        <f t="shared" si="19"/>
        <v>51393</v>
      </c>
      <c r="AF74" s="360"/>
      <c r="AG74" s="365"/>
      <c r="AH74" s="366"/>
      <c r="AI74" s="362"/>
      <c r="AJ74" s="363"/>
      <c r="AL74" s="346">
        <f>[18]TRANSPORT!AC11</f>
        <v>6652670</v>
      </c>
      <c r="AM74" s="341">
        <f t="shared" si="31"/>
        <v>199771</v>
      </c>
      <c r="AN74" s="351">
        <f t="shared" si="29"/>
        <v>6852441</v>
      </c>
      <c r="AO74" s="351">
        <f t="shared" si="22"/>
        <v>0</v>
      </c>
      <c r="AR74" s="341">
        <f t="shared" si="23"/>
        <v>4035000</v>
      </c>
      <c r="AS74" s="341">
        <f t="shared" si="24"/>
        <v>2617670</v>
      </c>
      <c r="AT74" s="341">
        <f t="shared" si="25"/>
        <v>199771</v>
      </c>
      <c r="AU74" s="413" t="s">
        <v>7</v>
      </c>
      <c r="AV74" s="325" t="s">
        <v>558</v>
      </c>
      <c r="AW74" s="325" t="s">
        <v>561</v>
      </c>
      <c r="AY74" s="325" t="s">
        <v>425</v>
      </c>
    </row>
    <row r="75" spans="2:51" s="325" customFormat="1" ht="15.75" customHeight="1" thickBot="1">
      <c r="B75" s="326">
        <v>70</v>
      </c>
      <c r="C75" s="378" t="s">
        <v>297</v>
      </c>
      <c r="D75" s="379" t="s">
        <v>301</v>
      </c>
      <c r="E75" s="380" t="s">
        <v>304</v>
      </c>
      <c r="F75" s="393" t="s">
        <v>308</v>
      </c>
      <c r="G75" s="378" t="s">
        <v>93</v>
      </c>
      <c r="H75" s="390" t="s">
        <v>39</v>
      </c>
      <c r="I75" s="381" t="s">
        <v>11</v>
      </c>
      <c r="J75" s="382" t="str">
        <f t="shared" si="17"/>
        <v>TER B</v>
      </c>
      <c r="K75" s="334">
        <f t="shared" si="32"/>
        <v>4169500</v>
      </c>
      <c r="L75" s="335">
        <f t="shared" si="33"/>
        <v>34171.199999999997</v>
      </c>
      <c r="M75" s="340">
        <f>[18]TRANSPORT!AH12</f>
        <v>162720</v>
      </c>
      <c r="N75" s="340">
        <f>[18]TRANSPORT!S12</f>
        <v>172050</v>
      </c>
      <c r="O75" s="383">
        <v>62500</v>
      </c>
      <c r="P75" s="340">
        <f>[18]TRANSPORT!Y12</f>
        <v>1481037</v>
      </c>
      <c r="Q75" s="340">
        <f>[18]TRANSPORT!Z12</f>
        <v>942100</v>
      </c>
      <c r="R75" s="383"/>
      <c r="S75" s="383"/>
      <c r="T75" s="383"/>
      <c r="U75" s="383"/>
      <c r="V75" s="383"/>
      <c r="W75" s="340">
        <f>[18]TRANSPORT!X12</f>
        <v>33000</v>
      </c>
      <c r="X75" s="383"/>
      <c r="Y75" s="340">
        <f>-[18]TRANSPORT!AX12</f>
        <v>0</v>
      </c>
      <c r="Z75" s="355"/>
      <c r="AA75" s="383"/>
      <c r="AB75" s="383"/>
      <c r="AC75" s="359">
        <f t="shared" si="30"/>
        <v>7057078</v>
      </c>
      <c r="AD75" s="377">
        <f t="shared" si="18"/>
        <v>7.4999999999999997E-3</v>
      </c>
      <c r="AE75" s="359">
        <f t="shared" si="19"/>
        <v>52928</v>
      </c>
      <c r="AF75" s="360"/>
      <c r="AG75" s="365"/>
      <c r="AH75" s="366"/>
      <c r="AI75" s="362"/>
      <c r="AJ75" s="363"/>
      <c r="AL75" s="346">
        <f>[18]TRANSPORT!AC12</f>
        <v>6860187</v>
      </c>
      <c r="AM75" s="341">
        <f t="shared" si="31"/>
        <v>196891.2</v>
      </c>
      <c r="AN75" s="351">
        <f t="shared" si="29"/>
        <v>7057078.2000000002</v>
      </c>
      <c r="AO75" s="351">
        <f t="shared" si="22"/>
        <v>0.20000000018626451</v>
      </c>
      <c r="AR75" s="341">
        <f t="shared" si="23"/>
        <v>4169500</v>
      </c>
      <c r="AS75" s="341">
        <f t="shared" si="24"/>
        <v>2690687</v>
      </c>
      <c r="AT75" s="341">
        <f t="shared" si="25"/>
        <v>196891.2</v>
      </c>
      <c r="AU75" s="413" t="s">
        <v>7</v>
      </c>
      <c r="AV75" s="325" t="s">
        <v>559</v>
      </c>
      <c r="AW75" s="325" t="s">
        <v>560</v>
      </c>
      <c r="AX75" s="325" t="s">
        <v>565</v>
      </c>
      <c r="AY75" s="325" t="s">
        <v>562</v>
      </c>
    </row>
    <row r="76" spans="2:51" s="59" customFormat="1" ht="18" customHeight="1" thickBot="1">
      <c r="B76" s="367"/>
      <c r="C76" s="133"/>
      <c r="D76" s="133"/>
      <c r="E76" s="133"/>
      <c r="F76" s="133"/>
      <c r="G76" s="133"/>
      <c r="H76" s="133"/>
      <c r="I76" s="133"/>
      <c r="J76" s="133"/>
      <c r="K76" s="134">
        <f t="shared" ref="K76:AE76" si="34">SUM(K6:K75)</f>
        <v>291865000</v>
      </c>
      <c r="L76" s="134">
        <f t="shared" si="34"/>
        <v>2395772.4</v>
      </c>
      <c r="M76" s="134">
        <f t="shared" si="34"/>
        <v>11408440</v>
      </c>
      <c r="N76" s="134">
        <f t="shared" si="34"/>
        <v>7435600</v>
      </c>
      <c r="O76" s="134">
        <f t="shared" si="34"/>
        <v>234000</v>
      </c>
      <c r="P76" s="134">
        <f t="shared" si="34"/>
        <v>9189502.3000000007</v>
      </c>
      <c r="Q76" s="134">
        <f t="shared" si="34"/>
        <v>1809380</v>
      </c>
      <c r="R76" s="134">
        <f t="shared" si="34"/>
        <v>0</v>
      </c>
      <c r="S76" s="134">
        <f t="shared" si="34"/>
        <v>0</v>
      </c>
      <c r="T76" s="134">
        <f t="shared" si="34"/>
        <v>0</v>
      </c>
      <c r="U76" s="134">
        <f t="shared" si="34"/>
        <v>0</v>
      </c>
      <c r="V76" s="134">
        <f t="shared" si="34"/>
        <v>0</v>
      </c>
      <c r="W76" s="134">
        <f t="shared" si="34"/>
        <v>2761000</v>
      </c>
      <c r="X76" s="134">
        <f t="shared" si="34"/>
        <v>0</v>
      </c>
      <c r="Y76" s="134">
        <f t="shared" si="34"/>
        <v>-8608000</v>
      </c>
      <c r="Z76" s="134">
        <f t="shared" si="34"/>
        <v>0</v>
      </c>
      <c r="AA76" s="134">
        <f t="shared" si="34"/>
        <v>0</v>
      </c>
      <c r="AB76" s="134">
        <f t="shared" si="34"/>
        <v>0</v>
      </c>
      <c r="AC76" s="134">
        <f t="shared" si="34"/>
        <v>318490696</v>
      </c>
      <c r="AD76" s="134">
        <f t="shared" si="34"/>
        <v>0.03</v>
      </c>
      <c r="AE76" s="134">
        <f t="shared" si="34"/>
        <v>208467</v>
      </c>
      <c r="AF76" s="134">
        <f>SUM(AF6:AF73)</f>
        <v>0</v>
      </c>
      <c r="AG76" s="134">
        <f>SUM(AG6:AG73)</f>
        <v>13842</v>
      </c>
      <c r="AH76" s="134">
        <f>SUM(AH6:AH73)</f>
        <v>0</v>
      </c>
      <c r="AI76" s="134">
        <f>SUM(AI6:AI73)</f>
        <v>-13842</v>
      </c>
      <c r="AJ76" s="134">
        <f>SUM(AJ6:AJ73)</f>
        <v>0</v>
      </c>
      <c r="AK76" s="58"/>
      <c r="AL76" s="352">
        <f>SUM(AL6:AL75)</f>
        <v>304686482.29999995</v>
      </c>
      <c r="AM76" s="352">
        <f t="shared" ref="AM76:AT76" si="35">SUM(AM6:AM75)</f>
        <v>13804212.399999999</v>
      </c>
      <c r="AN76" s="352">
        <f t="shared" si="35"/>
        <v>318490694.69999999</v>
      </c>
      <c r="AO76" s="352">
        <f t="shared" si="35"/>
        <v>-1.2999999993480742</v>
      </c>
      <c r="AP76" s="352"/>
      <c r="AQ76" s="352"/>
      <c r="AR76" s="352">
        <f t="shared" si="35"/>
        <v>283257000</v>
      </c>
      <c r="AS76" s="352">
        <f t="shared" si="35"/>
        <v>21429482.300000001</v>
      </c>
      <c r="AT76" s="352">
        <f t="shared" si="35"/>
        <v>13804212.399999999</v>
      </c>
    </row>
    <row r="77" spans="2:51" s="406" customFormat="1" ht="17.25" customHeight="1">
      <c r="B77" s="397"/>
      <c r="C77" s="398"/>
      <c r="D77" s="399"/>
      <c r="E77" s="400"/>
      <c r="F77" s="398"/>
      <c r="G77" s="401"/>
      <c r="H77" s="402"/>
      <c r="I77" s="402"/>
      <c r="J77" s="402"/>
      <c r="K77" s="398"/>
      <c r="L77" s="398"/>
      <c r="M77" s="398">
        <f>[18]MAINTENANCE!$AL$78+[18]TRANSPORT!$AH$13</f>
        <v>11408440</v>
      </c>
      <c r="N77" s="398">
        <f>[18]MAINTENANCE!$W$78+[18]TRANSPORT!$S$13</f>
        <v>7435600</v>
      </c>
      <c r="O77" s="398">
        <f>[18]MAINTENANCE!$Z$78+[18]TRANSPORT!$V$13</f>
        <v>234000</v>
      </c>
      <c r="P77" s="398">
        <f>[18]MAINTENANCE!$AE$78+[18]TRANSPORT!$Y$13</f>
        <v>9189502.3000000007</v>
      </c>
      <c r="Q77" s="398">
        <f>[18]TRANSPORT!$Z$13</f>
        <v>1809380</v>
      </c>
      <c r="R77" s="398"/>
      <c r="S77" s="398"/>
      <c r="T77" s="398"/>
      <c r="U77" s="398"/>
      <c r="V77" s="398"/>
      <c r="W77" s="398">
        <f>[18]MAINTENANCE!$AB$78+[18]TRANSPORT!$X$13</f>
        <v>2761000</v>
      </c>
      <c r="X77" s="398"/>
      <c r="Y77" s="405">
        <f>[18]MAINTENANCE!$BB$78+[18]TRANSPORT!$AX$13</f>
        <v>8608000</v>
      </c>
      <c r="Z77" s="398"/>
      <c r="AA77" s="398"/>
      <c r="AB77" s="398"/>
      <c r="AC77" s="398"/>
      <c r="AD77" s="398"/>
      <c r="AE77" s="398">
        <f>[18]TRANSPORT!$AM$13+[18]MAINTENANCE!$AQ$78</f>
        <v>208467</v>
      </c>
      <c r="AF77" s="403"/>
      <c r="AG77" s="398"/>
      <c r="AH77" s="404"/>
      <c r="AI77" s="397"/>
      <c r="AJ77" s="397"/>
      <c r="AK77" s="397"/>
      <c r="AL77" s="405">
        <f>[19]MAINTENANCE!$AG$78+[19]TRANSPORT!$AC$13</f>
        <v>287486101.30000001</v>
      </c>
      <c r="AM77" s="397"/>
    </row>
    <row r="78" spans="2:51" ht="15" customHeight="1">
      <c r="D78" s="394"/>
      <c r="E78" s="395"/>
      <c r="F78" s="396"/>
      <c r="I78" s="457" t="s">
        <v>324</v>
      </c>
      <c r="J78" s="457"/>
      <c r="K78" s="457"/>
      <c r="M78" s="459" t="s">
        <v>341</v>
      </c>
      <c r="N78" s="459"/>
      <c r="O78" s="62"/>
      <c r="P78" s="457" t="s">
        <v>321</v>
      </c>
      <c r="Q78" s="457"/>
      <c r="R78" s="457"/>
      <c r="S78" s="457"/>
      <c r="T78" s="457"/>
      <c r="U78" s="457"/>
      <c r="V78" s="457"/>
      <c r="AC78" s="457" t="s">
        <v>518</v>
      </c>
      <c r="AD78" s="457"/>
      <c r="AE78" s="457"/>
      <c r="AF78" s="457"/>
      <c r="AG78" s="457"/>
      <c r="AH78" s="457"/>
      <c r="AI78" s="457"/>
    </row>
    <row r="79" spans="2:51" ht="15" customHeight="1">
      <c r="AD79" s="28"/>
      <c r="AE79" s="28"/>
      <c r="AF79" s="28"/>
      <c r="AH79" s="28"/>
      <c r="AI79" s="28"/>
    </row>
    <row r="80" spans="2:51" ht="15" customHeight="1">
      <c r="AD80" s="28"/>
      <c r="AE80" s="28"/>
      <c r="AF80" s="28"/>
      <c r="AH80" s="28"/>
      <c r="AI80" s="28"/>
    </row>
    <row r="81" spans="2:61" ht="15" customHeight="1">
      <c r="I81" s="458" t="s">
        <v>599</v>
      </c>
      <c r="J81" s="458"/>
      <c r="K81" s="458"/>
      <c r="M81" s="458" t="s">
        <v>556</v>
      </c>
      <c r="N81" s="458"/>
      <c r="O81" s="458" t="s">
        <v>342</v>
      </c>
      <c r="P81" s="458"/>
      <c r="Q81" s="458"/>
      <c r="R81" s="458"/>
      <c r="S81" s="458"/>
      <c r="T81" s="458"/>
      <c r="U81" s="458"/>
      <c r="V81" s="458"/>
      <c r="W81" s="458"/>
      <c r="AC81" s="458" t="s">
        <v>519</v>
      </c>
      <c r="AD81" s="458"/>
      <c r="AE81" s="458"/>
      <c r="AF81" s="458"/>
      <c r="AG81" s="458"/>
      <c r="AH81" s="458"/>
      <c r="AI81" s="458"/>
    </row>
    <row r="82" spans="2:61" ht="15" customHeight="1">
      <c r="I82" s="457" t="s">
        <v>326</v>
      </c>
      <c r="J82" s="457"/>
      <c r="K82" s="457"/>
      <c r="M82" s="457" t="s">
        <v>557</v>
      </c>
      <c r="N82" s="457"/>
      <c r="P82" s="457" t="s">
        <v>598</v>
      </c>
      <c r="Q82" s="457"/>
      <c r="R82" s="457"/>
      <c r="S82" s="457"/>
      <c r="T82" s="457"/>
      <c r="U82" s="457"/>
      <c r="V82" s="457"/>
      <c r="AC82" s="457" t="s">
        <v>520</v>
      </c>
      <c r="AD82" s="457"/>
      <c r="AE82" s="457"/>
      <c r="AF82" s="457"/>
      <c r="AG82" s="457"/>
      <c r="AH82" s="457"/>
      <c r="AI82" s="457"/>
    </row>
    <row r="83" spans="2:61" ht="15" customHeight="1">
      <c r="AD83" s="28"/>
      <c r="AE83" s="28"/>
      <c r="AF83" s="28"/>
      <c r="AH83" s="28"/>
      <c r="AI83" s="28"/>
    </row>
    <row r="84" spans="2:61" ht="15" customHeight="1"/>
    <row r="85" spans="2:61" ht="15" customHeight="1"/>
    <row r="86" spans="2:61" ht="15" customHeight="1"/>
    <row r="87" spans="2:61" ht="15" hidden="1" customHeight="1">
      <c r="B87" s="58" t="s">
        <v>47</v>
      </c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 spans="2:61" ht="15" hidden="1" customHeight="1">
      <c r="B88" s="27" t="s">
        <v>48</v>
      </c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spans="2:61" ht="15" hidden="1" customHeight="1">
      <c r="B89" s="27" t="s">
        <v>56</v>
      </c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spans="2:61" ht="15" hidden="1" customHeight="1">
      <c r="B90" s="27" t="s">
        <v>49</v>
      </c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 spans="2:61" s="33" customFormat="1" ht="15" hidden="1" customHeight="1">
      <c r="B91" s="27" t="s">
        <v>57</v>
      </c>
      <c r="C91" s="28"/>
      <c r="D91" s="412"/>
      <c r="E91" s="30"/>
      <c r="F91" s="28"/>
      <c r="G91" s="31"/>
      <c r="H91" s="32"/>
      <c r="I91" s="32"/>
      <c r="J91" s="32"/>
      <c r="K91" s="28"/>
      <c r="L91" s="28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28"/>
      <c r="AA91" s="28"/>
      <c r="AB91" s="28"/>
      <c r="AC91" s="28"/>
      <c r="AD91" s="90"/>
      <c r="AE91" s="90"/>
      <c r="AF91" s="90"/>
      <c r="AG91" s="28"/>
      <c r="AH91" s="143"/>
      <c r="AI91" s="27"/>
      <c r="AJ91" s="27"/>
      <c r="AK91" s="27"/>
      <c r="AL91" s="27"/>
      <c r="AM91" s="27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</row>
    <row r="92" spans="2:61" s="33" customFormat="1" ht="15" hidden="1" customHeight="1">
      <c r="B92" s="27" t="s">
        <v>50</v>
      </c>
      <c r="C92" s="28"/>
      <c r="D92" s="412"/>
      <c r="E92" s="30"/>
      <c r="F92" s="28"/>
      <c r="G92" s="31"/>
      <c r="H92" s="32"/>
      <c r="I92" s="32"/>
      <c r="J92" s="32"/>
      <c r="K92" s="28"/>
      <c r="L92" s="28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28"/>
      <c r="AA92" s="28"/>
      <c r="AB92" s="28"/>
      <c r="AC92" s="28"/>
      <c r="AD92" s="90"/>
      <c r="AE92" s="90"/>
      <c r="AF92" s="90"/>
      <c r="AG92" s="28"/>
      <c r="AH92" s="143"/>
      <c r="AI92" s="27"/>
      <c r="AJ92" s="27"/>
      <c r="AK92" s="27"/>
      <c r="AL92" s="27"/>
      <c r="AM92" s="27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</row>
    <row r="93" spans="2:61" s="33" customFormat="1" ht="15" hidden="1" customHeight="1">
      <c r="B93" s="27" t="s">
        <v>51</v>
      </c>
      <c r="C93" s="28"/>
      <c r="D93" s="412"/>
      <c r="E93" s="30"/>
      <c r="F93" s="28"/>
      <c r="G93" s="31"/>
      <c r="H93" s="32"/>
      <c r="I93" s="32"/>
      <c r="J93" s="32"/>
      <c r="K93" s="28"/>
      <c r="L93" s="28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28"/>
      <c r="AA93" s="28"/>
      <c r="AB93" s="28"/>
      <c r="AC93" s="28"/>
      <c r="AD93" s="90"/>
      <c r="AE93" s="90"/>
      <c r="AF93" s="90"/>
      <c r="AG93" s="28"/>
      <c r="AH93" s="143"/>
      <c r="AI93" s="27"/>
      <c r="AJ93" s="27"/>
      <c r="AK93" s="27"/>
      <c r="AL93" s="27"/>
      <c r="AM93" s="27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</row>
    <row r="94" spans="2:61" s="33" customFormat="1" ht="15" hidden="1" customHeight="1">
      <c r="B94" s="27" t="s">
        <v>52</v>
      </c>
      <c r="C94" s="28"/>
      <c r="D94" s="412"/>
      <c r="E94" s="30"/>
      <c r="F94" s="28"/>
      <c r="G94" s="31"/>
      <c r="H94" s="32"/>
      <c r="I94" s="32"/>
      <c r="J94" s="32"/>
      <c r="K94" s="28"/>
      <c r="L94" s="28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28"/>
      <c r="AA94" s="28"/>
      <c r="AB94" s="28"/>
      <c r="AC94" s="28"/>
      <c r="AD94" s="90"/>
      <c r="AE94" s="90"/>
      <c r="AF94" s="90"/>
      <c r="AG94" s="28"/>
      <c r="AH94" s="143"/>
      <c r="AI94" s="27"/>
      <c r="AJ94" s="27"/>
      <c r="AK94" s="27"/>
      <c r="AL94" s="27"/>
      <c r="AM94" s="27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</row>
    <row r="95" spans="2:61" s="33" customFormat="1" ht="15" hidden="1" customHeight="1">
      <c r="B95" s="27" t="s">
        <v>58</v>
      </c>
      <c r="C95" s="28"/>
      <c r="D95" s="412"/>
      <c r="E95" s="30"/>
      <c r="F95" s="28"/>
      <c r="G95" s="31"/>
      <c r="H95" s="32"/>
      <c r="I95" s="32"/>
      <c r="J95" s="32"/>
      <c r="K95" s="28"/>
      <c r="L95" s="28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28"/>
      <c r="AA95" s="28"/>
      <c r="AB95" s="28"/>
      <c r="AC95" s="28"/>
      <c r="AD95" s="90"/>
      <c r="AE95" s="90"/>
      <c r="AF95" s="90"/>
      <c r="AG95" s="28"/>
      <c r="AH95" s="143"/>
      <c r="AI95" s="27"/>
      <c r="AJ95" s="27"/>
      <c r="AK95" s="27"/>
      <c r="AL95" s="27"/>
      <c r="AM95" s="27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</row>
    <row r="96" spans="2:61" s="33" customFormat="1" ht="15" hidden="1" customHeight="1">
      <c r="B96" s="27" t="s">
        <v>59</v>
      </c>
      <c r="C96" s="28"/>
      <c r="D96" s="412"/>
      <c r="E96" s="30"/>
      <c r="F96" s="28"/>
      <c r="G96" s="31"/>
      <c r="H96" s="32"/>
      <c r="I96" s="32"/>
      <c r="J96" s="32"/>
      <c r="K96" s="28"/>
      <c r="L96" s="28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28"/>
      <c r="AA96" s="28"/>
      <c r="AB96" s="28"/>
      <c r="AC96" s="28"/>
      <c r="AD96" s="90"/>
      <c r="AE96" s="90"/>
      <c r="AF96" s="90"/>
      <c r="AG96" s="28"/>
      <c r="AH96" s="143"/>
      <c r="AI96" s="27"/>
      <c r="AJ96" s="27"/>
      <c r="AK96" s="27"/>
      <c r="AL96" s="27"/>
      <c r="AM96" s="27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</row>
    <row r="97" spans="2:61" s="33" customFormat="1" ht="15" hidden="1" customHeight="1">
      <c r="B97" s="27" t="s">
        <v>65</v>
      </c>
      <c r="C97" s="28"/>
      <c r="D97" s="412"/>
      <c r="E97" s="30"/>
      <c r="F97" s="28"/>
      <c r="G97" s="31"/>
      <c r="H97" s="32"/>
      <c r="I97" s="32"/>
      <c r="J97" s="32"/>
      <c r="K97" s="28"/>
      <c r="L97" s="28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28"/>
      <c r="AA97" s="28"/>
      <c r="AB97" s="28"/>
      <c r="AC97" s="28"/>
      <c r="AD97" s="90"/>
      <c r="AE97" s="90"/>
      <c r="AF97" s="90"/>
      <c r="AG97" s="28"/>
      <c r="AH97" s="143"/>
      <c r="AI97" s="27"/>
      <c r="AJ97" s="27"/>
      <c r="AK97" s="27"/>
      <c r="AL97" s="27"/>
      <c r="AM97" s="27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</row>
    <row r="98" spans="2:61" s="33" customFormat="1" ht="15" customHeight="1">
      <c r="B98" s="27"/>
      <c r="C98" s="28"/>
      <c r="D98" s="412"/>
      <c r="E98" s="30"/>
      <c r="F98" s="28"/>
      <c r="G98" s="31"/>
      <c r="H98" s="32"/>
      <c r="I98" s="32"/>
      <c r="J98" s="32"/>
      <c r="K98" s="28"/>
      <c r="L98" s="28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28"/>
      <c r="AA98" s="28"/>
      <c r="AB98" s="28"/>
      <c r="AC98" s="28"/>
      <c r="AD98" s="90"/>
      <c r="AE98" s="90"/>
      <c r="AF98" s="90"/>
      <c r="AG98" s="28"/>
      <c r="AH98" s="143"/>
      <c r="AI98" s="27"/>
      <c r="AJ98" s="27"/>
      <c r="AK98" s="27"/>
      <c r="AL98" s="27"/>
      <c r="AM98" s="27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</row>
    <row r="99" spans="2:61" s="33" customFormat="1" ht="15" customHeight="1">
      <c r="B99" s="27"/>
      <c r="C99" s="28"/>
      <c r="D99" s="412"/>
      <c r="E99" s="30"/>
      <c r="F99" s="28"/>
      <c r="G99" s="31"/>
      <c r="H99" s="32"/>
      <c r="I99" s="32"/>
      <c r="J99" s="32"/>
      <c r="K99" s="28"/>
      <c r="L99" s="28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28"/>
      <c r="AA99" s="28"/>
      <c r="AB99" s="28"/>
      <c r="AC99" s="28"/>
      <c r="AD99" s="90"/>
      <c r="AE99" s="90"/>
      <c r="AF99" s="90"/>
      <c r="AG99" s="28"/>
      <c r="AH99" s="143"/>
      <c r="AI99" s="27"/>
      <c r="AJ99" s="27"/>
      <c r="AK99" s="27"/>
      <c r="AL99" s="27"/>
      <c r="AM99" s="27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</row>
    <row r="100" spans="2:61" s="33" customFormat="1" ht="15" customHeight="1">
      <c r="B100" s="27"/>
      <c r="C100" s="28"/>
      <c r="D100" s="412"/>
      <c r="E100" s="30"/>
      <c r="F100" s="28"/>
      <c r="G100" s="31"/>
      <c r="H100" s="32"/>
      <c r="I100" s="32"/>
      <c r="J100" s="32"/>
      <c r="K100" s="28"/>
      <c r="L100" s="28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28"/>
      <c r="AA100" s="28"/>
      <c r="AB100" s="28"/>
      <c r="AC100" s="28"/>
      <c r="AD100" s="90"/>
      <c r="AE100" s="90"/>
      <c r="AF100" s="90"/>
      <c r="AG100" s="28"/>
      <c r="AH100" s="143"/>
      <c r="AI100" s="27"/>
      <c r="AJ100" s="27"/>
      <c r="AK100" s="27"/>
      <c r="AL100" s="27"/>
      <c r="AM100" s="27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</row>
  </sheetData>
  <mergeCells count="12">
    <mergeCell ref="AC82:AI82"/>
    <mergeCell ref="M78:N78"/>
    <mergeCell ref="P78:V78"/>
    <mergeCell ref="AC78:AI78"/>
    <mergeCell ref="M81:N81"/>
    <mergeCell ref="O81:W81"/>
    <mergeCell ref="AC81:AI81"/>
    <mergeCell ref="I81:K81"/>
    <mergeCell ref="I78:K78"/>
    <mergeCell ref="I82:K82"/>
    <mergeCell ref="M82:N82"/>
    <mergeCell ref="P82:V82"/>
  </mergeCells>
  <conditionalFormatting sqref="AJ6:AJ75">
    <cfRule type="containsText" dxfId="0" priority="1" operator="containsText" text="KURANG POT">
      <formula>NOT(ISERROR(SEARCH("KURANG POT",AJ6)))</formula>
    </cfRule>
  </conditionalFormatting>
  <dataValidations disablePrompts="1" count="2">
    <dataValidation type="list" allowBlank="1" showInputMessage="1" showErrorMessage="1" sqref="I6:I75">
      <formula1>"TK/0,TK/1,TK/2,TK/3,K/0,K/1,K/2,K/3"</formula1>
    </dataValidation>
    <dataValidation type="list" allowBlank="1" showInputMessage="1" showErrorMessage="1" sqref="H6:H75">
      <formula1>"L,P"</formula1>
    </dataValidation>
  </dataValidations>
  <pageMargins left="0" right="0" top="0" bottom="0" header="0.31496062992125984" footer="0.31496062992125984"/>
  <pageSetup paperSize="10000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TARIF</vt:lpstr>
      <vt:lpstr>Des</vt:lpstr>
      <vt:lpstr>THR'24</vt:lpstr>
      <vt:lpstr>MARET'24 </vt:lpstr>
      <vt:lpstr>APRIL'24</vt:lpstr>
      <vt:lpstr>EXGRATIA'24</vt:lpstr>
      <vt:lpstr>MEI'24</vt:lpstr>
      <vt:lpstr>JUNI'24</vt:lpstr>
      <vt:lpstr>JULI'24</vt:lpstr>
      <vt:lpstr>AGUSTUS'24</vt:lpstr>
      <vt:lpstr>SEPTEMBER'24</vt:lpstr>
      <vt:lpstr>OKTOBER'24</vt:lpstr>
      <vt:lpstr>NOVEMBER'24</vt:lpstr>
      <vt:lpstr>DESEMBER'24</vt:lpstr>
      <vt:lpstr>JAN'26</vt:lpstr>
      <vt:lpstr>Ter_A</vt:lpstr>
      <vt:lpstr>Ter_B</vt:lpstr>
      <vt:lpstr>Ter_C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PG1A</cp:lastModifiedBy>
  <cp:lastPrinted>2026-02-02T04:04:07Z</cp:lastPrinted>
  <dcterms:created xsi:type="dcterms:W3CDTF">2023-11-09T03:35:36Z</dcterms:created>
  <dcterms:modified xsi:type="dcterms:W3CDTF">2026-02-10T03:46:13Z</dcterms:modified>
</cp:coreProperties>
</file>