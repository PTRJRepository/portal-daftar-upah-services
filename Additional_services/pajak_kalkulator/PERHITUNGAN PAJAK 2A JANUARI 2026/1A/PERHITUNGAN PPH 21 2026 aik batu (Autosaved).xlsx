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60" windowWidth="15480" windowHeight="7275" tabRatio="499" activeTab="2"/>
  </bookViews>
  <sheets>
    <sheet name="TARIF" sheetId="1" r:id="rId1"/>
    <sheet name="Des" sheetId="3" state="hidden" r:id="rId2"/>
    <sheet name="JANUARI'26" sheetId="44" r:id="rId3"/>
  </sheets>
  <externalReferences>
    <externalReference r:id="rId4"/>
    <externalReference r:id="rId5"/>
  </externalReferences>
  <definedNames>
    <definedName name="PH" localSheetId="2">[1]TARIF!#REF!</definedName>
    <definedName name="PH">TARIF!#REF!</definedName>
    <definedName name="PTKP" localSheetId="2">[1]TARIF!#REF!</definedName>
    <definedName name="PTKP">TARIF!#REF!</definedName>
    <definedName name="Ter_A" localSheetId="2">[1]TARIF!$B$3:$E$46</definedName>
    <definedName name="Ter_A">TARIF!$B$3:$E$46</definedName>
    <definedName name="Ter_B" localSheetId="2">[1]TARIF!$H$3:$K$42</definedName>
    <definedName name="Ter_B">TARIF!$H$3:$K$42</definedName>
    <definedName name="Ter_C" localSheetId="2">[1]TARIF!$N$3:$Q$43</definedName>
    <definedName name="Ter_C">TARIF!$N$3:$Q$43</definedName>
  </definedNames>
  <calcPr calcId="144525"/>
</workbook>
</file>

<file path=xl/calcChain.xml><?xml version="1.0" encoding="utf-8"?>
<calcChain xmlns="http://schemas.openxmlformats.org/spreadsheetml/2006/main">
  <c r="Y31" i="44" l="1"/>
  <c r="Y32" i="44"/>
  <c r="Y33" i="44"/>
  <c r="Y34" i="44"/>
  <c r="Y35" i="44"/>
  <c r="Y36" i="44"/>
  <c r="Y37" i="44"/>
  <c r="Y38" i="44"/>
  <c r="Y39" i="44"/>
  <c r="Y40" i="44"/>
  <c r="Y41" i="44"/>
  <c r="Y42" i="44"/>
  <c r="Y43" i="44"/>
  <c r="Y44" i="44"/>
  <c r="Y45" i="44"/>
  <c r="Y46" i="44"/>
  <c r="Y47" i="44"/>
  <c r="Y48" i="44"/>
  <c r="Y49" i="44"/>
  <c r="Y50" i="44"/>
  <c r="Y51" i="44"/>
  <c r="Y52" i="44"/>
  <c r="Y53" i="44"/>
  <c r="Y54" i="44"/>
  <c r="Y55" i="44"/>
  <c r="Y56" i="44"/>
  <c r="Y57" i="44"/>
  <c r="Y58" i="44"/>
  <c r="Y59" i="44"/>
  <c r="Y30" i="44"/>
  <c r="Q61" i="44" l="1"/>
  <c r="Q62" i="44"/>
  <c r="Q63" i="44"/>
  <c r="Q60" i="44"/>
  <c r="T82" i="44"/>
  <c r="T31" i="44"/>
  <c r="T32" i="44"/>
  <c r="T33" i="44"/>
  <c r="T34" i="44"/>
  <c r="T35" i="44"/>
  <c r="T36" i="44"/>
  <c r="T37" i="44"/>
  <c r="T38" i="44"/>
  <c r="T39" i="44"/>
  <c r="T40" i="44"/>
  <c r="T41" i="44"/>
  <c r="T42" i="44"/>
  <c r="T43" i="44"/>
  <c r="T44" i="44"/>
  <c r="T45" i="44"/>
  <c r="T46" i="44"/>
  <c r="T47" i="44"/>
  <c r="T48" i="44"/>
  <c r="T49" i="44"/>
  <c r="T50" i="44"/>
  <c r="T51" i="44"/>
  <c r="T52" i="44"/>
  <c r="T53" i="44"/>
  <c r="T54" i="44"/>
  <c r="T55" i="44"/>
  <c r="T56" i="44"/>
  <c r="T57" i="44"/>
  <c r="T58" i="44"/>
  <c r="T59" i="44"/>
  <c r="T30" i="44"/>
  <c r="R82" i="44"/>
  <c r="R31" i="44"/>
  <c r="R32" i="44"/>
  <c r="R33" i="44"/>
  <c r="R34" i="44"/>
  <c r="R35" i="44"/>
  <c r="R36" i="44"/>
  <c r="R37" i="44"/>
  <c r="R38" i="44"/>
  <c r="R39" i="44"/>
  <c r="R40" i="44"/>
  <c r="R41" i="44"/>
  <c r="R42" i="44"/>
  <c r="R43" i="44"/>
  <c r="R44" i="44"/>
  <c r="R45" i="44"/>
  <c r="R46" i="44"/>
  <c r="R47" i="44"/>
  <c r="R48" i="44"/>
  <c r="R49" i="44"/>
  <c r="R50" i="44"/>
  <c r="R51" i="44"/>
  <c r="R52" i="44"/>
  <c r="R53" i="44"/>
  <c r="R54" i="44"/>
  <c r="R55" i="44"/>
  <c r="R56" i="44"/>
  <c r="R57" i="44"/>
  <c r="R58" i="44"/>
  <c r="R59" i="44"/>
  <c r="R30" i="44"/>
  <c r="O61" i="44"/>
  <c r="O62" i="44"/>
  <c r="O63" i="44"/>
  <c r="O60" i="44"/>
  <c r="V82" i="44"/>
  <c r="S82" i="44"/>
  <c r="Z61" i="44"/>
  <c r="Z62" i="44"/>
  <c r="Z63" i="44"/>
  <c r="P61" i="44"/>
  <c r="P62" i="44"/>
  <c r="P63" i="44"/>
  <c r="P60" i="44"/>
  <c r="O28" i="44"/>
  <c r="O29" i="44"/>
  <c r="O27" i="44"/>
  <c r="V28" i="44"/>
  <c r="V29" i="44"/>
  <c r="V27" i="44"/>
  <c r="P28" i="44"/>
  <c r="P29" i="44"/>
  <c r="P30" i="44"/>
  <c r="P31" i="44"/>
  <c r="P32" i="44"/>
  <c r="P33" i="44"/>
  <c r="P27" i="44"/>
  <c r="P7" i="44"/>
  <c r="P8" i="44"/>
  <c r="P9" i="44"/>
  <c r="P10" i="44"/>
  <c r="P11" i="44"/>
  <c r="P12" i="44"/>
  <c r="P13" i="44"/>
  <c r="P14" i="44"/>
  <c r="P15" i="44"/>
  <c r="P16" i="44"/>
  <c r="P17" i="44"/>
  <c r="P18" i="44"/>
  <c r="P19" i="44"/>
  <c r="P20" i="44"/>
  <c r="P21" i="44"/>
  <c r="P22" i="44"/>
  <c r="P23" i="44"/>
  <c r="P24" i="44"/>
  <c r="P25" i="44"/>
  <c r="P26" i="44"/>
  <c r="P6" i="44"/>
  <c r="Z7" i="44" l="1"/>
  <c r="Z8" i="44"/>
  <c r="Z9" i="44"/>
  <c r="Z10" i="44"/>
  <c r="Z11" i="44"/>
  <c r="Z12" i="44"/>
  <c r="Z13" i="44"/>
  <c r="Z14" i="44"/>
  <c r="Z15" i="44"/>
  <c r="Z16" i="44"/>
  <c r="Z17" i="44"/>
  <c r="Z18" i="44"/>
  <c r="Z19" i="44"/>
  <c r="Z20" i="44"/>
  <c r="Z21" i="44"/>
  <c r="Z22" i="44"/>
  <c r="Z23" i="44"/>
  <c r="Z24" i="44"/>
  <c r="Z25" i="44"/>
  <c r="Z26" i="44"/>
  <c r="Z6" i="44"/>
  <c r="Z28" i="44"/>
  <c r="Z29" i="44"/>
  <c r="Z30" i="44"/>
  <c r="Z31" i="44"/>
  <c r="Z32" i="44"/>
  <c r="Z33" i="44"/>
  <c r="Z34" i="44"/>
  <c r="Z35" i="44"/>
  <c r="Z36" i="44"/>
  <c r="Z37" i="44"/>
  <c r="Z38" i="44"/>
  <c r="Z39" i="44"/>
  <c r="Z40" i="44"/>
  <c r="Z41" i="44"/>
  <c r="Z42" i="44"/>
  <c r="Z43" i="44"/>
  <c r="Z44" i="44"/>
  <c r="Z45" i="44"/>
  <c r="Z46" i="44"/>
  <c r="Z47" i="44"/>
  <c r="Z48" i="44"/>
  <c r="Z49" i="44"/>
  <c r="Z50" i="44"/>
  <c r="Z51" i="44"/>
  <c r="Z52" i="44"/>
  <c r="Z53" i="44"/>
  <c r="Z54" i="44"/>
  <c r="Z55" i="44"/>
  <c r="Z56" i="44"/>
  <c r="Z57" i="44"/>
  <c r="Z58" i="44"/>
  <c r="Z59" i="44"/>
  <c r="Z27" i="44"/>
  <c r="S31" i="44"/>
  <c r="S32" i="44"/>
  <c r="S33" i="44"/>
  <c r="S34" i="44"/>
  <c r="S35" i="44"/>
  <c r="S36" i="44"/>
  <c r="S37" i="44"/>
  <c r="S38" i="44"/>
  <c r="S39" i="44"/>
  <c r="S40" i="44"/>
  <c r="S41" i="44"/>
  <c r="S42" i="44"/>
  <c r="S43" i="44"/>
  <c r="S44" i="44"/>
  <c r="S45" i="44"/>
  <c r="S46" i="44"/>
  <c r="S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30" i="44"/>
  <c r="K42" i="44"/>
  <c r="AJ28" i="44" l="1"/>
  <c r="AJ29" i="44"/>
  <c r="AJ27" i="44"/>
  <c r="X61" i="44"/>
  <c r="X62" i="44"/>
  <c r="X63" i="44"/>
  <c r="X60" i="44"/>
  <c r="X28" i="44"/>
  <c r="X29" i="44"/>
  <c r="X30" i="44"/>
  <c r="X31" i="44"/>
  <c r="X32" i="44"/>
  <c r="X33" i="44"/>
  <c r="X34" i="44"/>
  <c r="X35" i="44"/>
  <c r="X36" i="44"/>
  <c r="X37" i="44"/>
  <c r="X38" i="44"/>
  <c r="X39" i="44"/>
  <c r="X40" i="44"/>
  <c r="X41" i="44"/>
  <c r="X42" i="44"/>
  <c r="X43" i="44"/>
  <c r="X44" i="44"/>
  <c r="X45" i="44"/>
  <c r="X46" i="44"/>
  <c r="X47" i="44"/>
  <c r="X48" i="44"/>
  <c r="X49" i="44"/>
  <c r="X50" i="44"/>
  <c r="X51" i="44"/>
  <c r="X52" i="44"/>
  <c r="X53" i="44"/>
  <c r="X54" i="44"/>
  <c r="X55" i="44"/>
  <c r="X56" i="44"/>
  <c r="X57" i="44"/>
  <c r="X58" i="44"/>
  <c r="X59" i="44"/>
  <c r="X27" i="44"/>
  <c r="X7" i="44"/>
  <c r="X8" i="44"/>
  <c r="X9" i="44"/>
  <c r="X10" i="44"/>
  <c r="X11" i="44"/>
  <c r="X12" i="44"/>
  <c r="X13" i="44"/>
  <c r="X14" i="44"/>
  <c r="X15" i="44"/>
  <c r="X16" i="44"/>
  <c r="X17" i="44"/>
  <c r="X18" i="44"/>
  <c r="X19" i="44"/>
  <c r="X20" i="44"/>
  <c r="X21" i="44"/>
  <c r="X22" i="44"/>
  <c r="X23" i="44"/>
  <c r="X24" i="44"/>
  <c r="X25" i="44"/>
  <c r="X26" i="44"/>
  <c r="X6" i="44"/>
  <c r="N28" i="44"/>
  <c r="N29" i="44"/>
  <c r="N30" i="44"/>
  <c r="N31" i="44"/>
  <c r="N32" i="44"/>
  <c r="N33" i="44"/>
  <c r="N34" i="44"/>
  <c r="N35" i="44"/>
  <c r="N36" i="44"/>
  <c r="N37" i="44"/>
  <c r="N38" i="44"/>
  <c r="N39" i="44"/>
  <c r="N40" i="44"/>
  <c r="N41" i="44"/>
  <c r="N42" i="44"/>
  <c r="N43" i="44"/>
  <c r="N44" i="44"/>
  <c r="N45" i="44"/>
  <c r="N46" i="44"/>
  <c r="N47" i="44"/>
  <c r="N49" i="44"/>
  <c r="N50" i="44"/>
  <c r="N51" i="44"/>
  <c r="N52" i="44"/>
  <c r="N53" i="44"/>
  <c r="N54" i="44"/>
  <c r="N55" i="44"/>
  <c r="N56" i="44"/>
  <c r="N57" i="44"/>
  <c r="N58" i="44"/>
  <c r="N59" i="44"/>
  <c r="N27" i="44"/>
  <c r="M61" i="44"/>
  <c r="M62" i="44"/>
  <c r="M63" i="44"/>
  <c r="M60" i="44"/>
  <c r="M28" i="44"/>
  <c r="M29" i="44"/>
  <c r="M30" i="44"/>
  <c r="M31" i="44"/>
  <c r="M32" i="44"/>
  <c r="M33" i="44"/>
  <c r="M34" i="44"/>
  <c r="M35" i="44"/>
  <c r="M36" i="44"/>
  <c r="M37" i="44"/>
  <c r="M38" i="44"/>
  <c r="M39" i="44"/>
  <c r="M40" i="44"/>
  <c r="M41" i="44"/>
  <c r="M42" i="44"/>
  <c r="M43" i="44"/>
  <c r="M44" i="44"/>
  <c r="M45" i="44"/>
  <c r="M46" i="44"/>
  <c r="M47" i="44"/>
  <c r="M49" i="44"/>
  <c r="M50" i="44"/>
  <c r="M51" i="44"/>
  <c r="M52" i="44"/>
  <c r="M53" i="44"/>
  <c r="M54" i="44"/>
  <c r="M55" i="44"/>
  <c r="M56" i="44"/>
  <c r="M57" i="44"/>
  <c r="M58" i="44"/>
  <c r="M59" i="44"/>
  <c r="M27" i="44"/>
  <c r="M7" i="44"/>
  <c r="M8" i="44"/>
  <c r="M9" i="44"/>
  <c r="M10" i="44"/>
  <c r="M11" i="44"/>
  <c r="M12" i="44"/>
  <c r="M13" i="44"/>
  <c r="M14" i="44"/>
  <c r="M15" i="44"/>
  <c r="M16" i="44"/>
  <c r="M17" i="44"/>
  <c r="M18" i="44"/>
  <c r="M19" i="44"/>
  <c r="M20" i="44"/>
  <c r="M21" i="44"/>
  <c r="M22" i="44"/>
  <c r="M23" i="44"/>
  <c r="M24" i="44"/>
  <c r="M25" i="44"/>
  <c r="M26" i="44"/>
  <c r="M6" i="44"/>
  <c r="O65" i="44" l="1"/>
  <c r="O66" i="44"/>
  <c r="O67" i="44"/>
  <c r="O68" i="44"/>
  <c r="O69" i="44"/>
  <c r="O70" i="44"/>
  <c r="O71" i="44"/>
  <c r="O72" i="44"/>
  <c r="O73" i="44"/>
  <c r="O74" i="44"/>
  <c r="O75" i="44"/>
  <c r="O76" i="44"/>
  <c r="O77" i="44"/>
  <c r="O78" i="44"/>
  <c r="O79" i="44"/>
  <c r="O80" i="44"/>
  <c r="K7" i="44" l="1"/>
  <c r="K8" i="44"/>
  <c r="K9" i="44"/>
  <c r="K10" i="44"/>
  <c r="K11" i="44"/>
  <c r="K12" i="44"/>
  <c r="K13" i="44"/>
  <c r="K14" i="44"/>
  <c r="K15" i="44"/>
  <c r="K16" i="44"/>
  <c r="K17" i="44"/>
  <c r="K18" i="44"/>
  <c r="K19" i="44"/>
  <c r="K20" i="44"/>
  <c r="K21" i="44"/>
  <c r="K22" i="44"/>
  <c r="K23" i="44"/>
  <c r="K24" i="44"/>
  <c r="K25" i="44"/>
  <c r="K26" i="44"/>
  <c r="K27" i="44"/>
  <c r="K28" i="44"/>
  <c r="K29" i="44"/>
  <c r="K30" i="44"/>
  <c r="K31" i="44"/>
  <c r="K32" i="44"/>
  <c r="K33" i="44"/>
  <c r="K34" i="44"/>
  <c r="K35" i="44"/>
  <c r="K36" i="44"/>
  <c r="K37" i="44"/>
  <c r="K38" i="44"/>
  <c r="K39" i="44"/>
  <c r="K40" i="44"/>
  <c r="K41" i="44"/>
  <c r="K43" i="44"/>
  <c r="K44" i="44"/>
  <c r="K45" i="44"/>
  <c r="K46" i="44"/>
  <c r="K47" i="44"/>
  <c r="K48" i="44"/>
  <c r="K49" i="44"/>
  <c r="K50" i="44"/>
  <c r="K51" i="44"/>
  <c r="K52" i="44"/>
  <c r="K53" i="44"/>
  <c r="K54" i="44"/>
  <c r="K55" i="44"/>
  <c r="K56" i="44"/>
  <c r="K57" i="44"/>
  <c r="K58" i="44"/>
  <c r="K59" i="44"/>
  <c r="K60" i="44"/>
  <c r="K61" i="44"/>
  <c r="K62" i="44"/>
  <c r="K63" i="44"/>
  <c r="L7" i="44"/>
  <c r="L8" i="44"/>
  <c r="L9" i="44"/>
  <c r="L10" i="44"/>
  <c r="L11" i="44"/>
  <c r="L12" i="44"/>
  <c r="L13" i="44"/>
  <c r="L14" i="44"/>
  <c r="L15" i="44"/>
  <c r="L16" i="44"/>
  <c r="L17" i="44"/>
  <c r="L18" i="44"/>
  <c r="L19" i="44"/>
  <c r="L20" i="44"/>
  <c r="L21" i="44"/>
  <c r="L22" i="44"/>
  <c r="L23" i="44"/>
  <c r="L24" i="44"/>
  <c r="L25" i="44"/>
  <c r="L26" i="44"/>
  <c r="L27" i="44"/>
  <c r="L28" i="44"/>
  <c r="AC28" i="44" s="1"/>
  <c r="L29" i="44"/>
  <c r="AC29" i="44" s="1"/>
  <c r="L30" i="44"/>
  <c r="AC30" i="44" s="1"/>
  <c r="L31" i="44"/>
  <c r="AC31" i="44" s="1"/>
  <c r="L32" i="44"/>
  <c r="AC32" i="44" s="1"/>
  <c r="L33" i="44"/>
  <c r="L34" i="44"/>
  <c r="AC34" i="44" s="1"/>
  <c r="L35" i="44"/>
  <c r="L36" i="44"/>
  <c r="AC36" i="44" s="1"/>
  <c r="L37" i="44"/>
  <c r="AC37" i="44" s="1"/>
  <c r="L38" i="44"/>
  <c r="AC38" i="44" s="1"/>
  <c r="L39" i="44"/>
  <c r="AC39" i="44" s="1"/>
  <c r="L40" i="44"/>
  <c r="AC40" i="44" s="1"/>
  <c r="L41" i="44"/>
  <c r="L42" i="44"/>
  <c r="AC42" i="44" s="1"/>
  <c r="L43" i="44"/>
  <c r="L44" i="44"/>
  <c r="AC44" i="44" s="1"/>
  <c r="L45" i="44"/>
  <c r="AC45" i="44" s="1"/>
  <c r="L46" i="44"/>
  <c r="AC46" i="44" s="1"/>
  <c r="L47" i="44"/>
  <c r="AK47" i="44" s="1"/>
  <c r="L48" i="44"/>
  <c r="L49" i="44"/>
  <c r="AK49" i="44" s="1"/>
  <c r="L50" i="44"/>
  <c r="L51" i="44"/>
  <c r="AK51" i="44" s="1"/>
  <c r="L52" i="44"/>
  <c r="AK52" i="44" s="1"/>
  <c r="L53" i="44"/>
  <c r="AK53" i="44" s="1"/>
  <c r="L54" i="44"/>
  <c r="AK54" i="44" s="1"/>
  <c r="L55" i="44"/>
  <c r="AK55" i="44" s="1"/>
  <c r="L56" i="44"/>
  <c r="AK56" i="44" s="1"/>
  <c r="L57" i="44"/>
  <c r="AK57" i="44" s="1"/>
  <c r="L58" i="44"/>
  <c r="L59" i="44"/>
  <c r="AK59" i="44" s="1"/>
  <c r="L60" i="44"/>
  <c r="AK60" i="44" s="1"/>
  <c r="L61" i="44"/>
  <c r="AK61" i="44" s="1"/>
  <c r="L62" i="44"/>
  <c r="AK62" i="44" s="1"/>
  <c r="L63" i="44"/>
  <c r="AK63" i="44" s="1"/>
  <c r="L6" i="44"/>
  <c r="K6" i="44"/>
  <c r="AC52" i="44" l="1"/>
  <c r="AC47" i="44"/>
  <c r="AC58" i="44"/>
  <c r="AK58" i="44"/>
  <c r="AC59" i="44"/>
  <c r="AC57" i="44"/>
  <c r="AC56" i="44"/>
  <c r="AC35" i="44"/>
  <c r="AC49" i="44"/>
  <c r="AC41" i="44"/>
  <c r="AC33" i="44"/>
  <c r="AC55" i="44"/>
  <c r="AC50" i="44"/>
  <c r="AK50" i="44"/>
  <c r="AC51" i="44"/>
  <c r="AC43" i="44"/>
  <c r="AC54" i="44"/>
  <c r="AC53" i="44"/>
  <c r="AH81" i="44" l="1"/>
  <c r="AG81" i="44"/>
  <c r="AB81" i="44"/>
  <c r="AA81" i="44"/>
  <c r="AM97" i="44" s="1"/>
  <c r="W81" i="44"/>
  <c r="U81" i="44"/>
  <c r="R81" i="44"/>
  <c r="AF80" i="44"/>
  <c r="J79" i="44"/>
  <c r="J78" i="44"/>
  <c r="J77" i="44"/>
  <c r="J76" i="44"/>
  <c r="J75" i="44"/>
  <c r="J74" i="44"/>
  <c r="J73" i="44"/>
  <c r="J72" i="44"/>
  <c r="J71" i="44"/>
  <c r="J70" i="44"/>
  <c r="J69" i="44"/>
  <c r="J68" i="44"/>
  <c r="J67" i="44"/>
  <c r="J66" i="44"/>
  <c r="J65" i="44"/>
  <c r="J64" i="44"/>
  <c r="J63" i="44"/>
  <c r="J62" i="44"/>
  <c r="J61" i="44"/>
  <c r="J60" i="44"/>
  <c r="J59" i="44"/>
  <c r="AD59" i="44" s="1"/>
  <c r="AE59" i="44" s="1"/>
  <c r="J58" i="44"/>
  <c r="AD58" i="44" s="1"/>
  <c r="AE58" i="44" s="1"/>
  <c r="Q81" i="44"/>
  <c r="J57" i="44"/>
  <c r="AD57" i="44" s="1"/>
  <c r="AE57" i="44" s="1"/>
  <c r="J56" i="44"/>
  <c r="AD56" i="44" s="1"/>
  <c r="AE56" i="44" s="1"/>
  <c r="J55" i="44"/>
  <c r="AD55" i="44" s="1"/>
  <c r="AE55" i="44" s="1"/>
  <c r="J54" i="44"/>
  <c r="AD54" i="44" s="1"/>
  <c r="AE54" i="44" s="1"/>
  <c r="J53" i="44"/>
  <c r="AD53" i="44" s="1"/>
  <c r="AE53" i="44" s="1"/>
  <c r="J52" i="44"/>
  <c r="AD52" i="44" s="1"/>
  <c r="AE52" i="44" s="1"/>
  <c r="J51" i="44"/>
  <c r="AD51" i="44" s="1"/>
  <c r="AE51" i="44" s="1"/>
  <c r="J50" i="44"/>
  <c r="AD50" i="44" s="1"/>
  <c r="AE50" i="44" s="1"/>
  <c r="J49" i="44"/>
  <c r="AD49" i="44" s="1"/>
  <c r="AE49" i="44" s="1"/>
  <c r="J48" i="44"/>
  <c r="J47" i="44"/>
  <c r="AD47" i="44" s="1"/>
  <c r="AE47" i="44" s="1"/>
  <c r="J46" i="44"/>
  <c r="AD46" i="44" s="1"/>
  <c r="AE46" i="44" s="1"/>
  <c r="AK45" i="44"/>
  <c r="J45" i="44"/>
  <c r="AD45" i="44" s="1"/>
  <c r="AE45" i="44" s="1"/>
  <c r="AK44" i="44"/>
  <c r="J44" i="44"/>
  <c r="AD44" i="44" s="1"/>
  <c r="AE44" i="44" s="1"/>
  <c r="AK43" i="44"/>
  <c r="J43" i="44"/>
  <c r="AD43" i="44" s="1"/>
  <c r="AE43" i="44" s="1"/>
  <c r="AK42" i="44"/>
  <c r="J42" i="44"/>
  <c r="AD42" i="44" s="1"/>
  <c r="AE42" i="44" s="1"/>
  <c r="J41" i="44"/>
  <c r="AD41" i="44" s="1"/>
  <c r="AE41" i="44" s="1"/>
  <c r="AK40" i="44"/>
  <c r="J40" i="44"/>
  <c r="AD40" i="44" s="1"/>
  <c r="AE40" i="44" s="1"/>
  <c r="AK39" i="44"/>
  <c r="J39" i="44"/>
  <c r="AD39" i="44" s="1"/>
  <c r="AE39" i="44" s="1"/>
  <c r="J38" i="44"/>
  <c r="AD38" i="44" s="1"/>
  <c r="AE38" i="44" s="1"/>
  <c r="AK37" i="44"/>
  <c r="J37" i="44"/>
  <c r="AD37" i="44" s="1"/>
  <c r="AE37" i="44" s="1"/>
  <c r="AK36" i="44"/>
  <c r="J36" i="44"/>
  <c r="AD36" i="44" s="1"/>
  <c r="AE36" i="44" s="1"/>
  <c r="J35" i="44"/>
  <c r="AD35" i="44" s="1"/>
  <c r="AE35" i="44" s="1"/>
  <c r="AK34" i="44"/>
  <c r="J34" i="44"/>
  <c r="AD34" i="44" s="1"/>
  <c r="AE34" i="44" s="1"/>
  <c r="AK33" i="44"/>
  <c r="J33" i="44"/>
  <c r="AD33" i="44" s="1"/>
  <c r="AE33" i="44" s="1"/>
  <c r="AK32" i="44"/>
  <c r="J32" i="44"/>
  <c r="AD32" i="44" s="1"/>
  <c r="AE32" i="44" s="1"/>
  <c r="J31" i="44"/>
  <c r="AD31" i="44" s="1"/>
  <c r="AE31" i="44" s="1"/>
  <c r="AK30" i="44"/>
  <c r="J30" i="44"/>
  <c r="AD30" i="44" s="1"/>
  <c r="AE30" i="44" s="1"/>
  <c r="AK29" i="44"/>
  <c r="J29" i="44"/>
  <c r="AD29" i="44" s="1"/>
  <c r="AE29" i="44" s="1"/>
  <c r="AK28" i="44"/>
  <c r="AL28" i="44" s="1"/>
  <c r="AM28" i="44" s="1"/>
  <c r="J28" i="44"/>
  <c r="AD28" i="44" s="1"/>
  <c r="AE28" i="44" s="1"/>
  <c r="J27" i="44"/>
  <c r="J26" i="44"/>
  <c r="J25" i="44"/>
  <c r="J24" i="44"/>
  <c r="J23" i="44"/>
  <c r="J22" i="44"/>
  <c r="AK21" i="44"/>
  <c r="J21" i="44"/>
  <c r="AK20" i="44"/>
  <c r="J20" i="44"/>
  <c r="AK19" i="44"/>
  <c r="J19" i="44"/>
  <c r="AK18" i="44"/>
  <c r="J18" i="44"/>
  <c r="AK17" i="44"/>
  <c r="J17" i="44"/>
  <c r="AK16" i="44"/>
  <c r="J16" i="44"/>
  <c r="J15" i="44"/>
  <c r="AK14" i="44"/>
  <c r="J14" i="44"/>
  <c r="AK13" i="44"/>
  <c r="J13" i="44"/>
  <c r="J12" i="44"/>
  <c r="AK11" i="44"/>
  <c r="J11" i="44"/>
  <c r="AK10" i="44"/>
  <c r="J10" i="44"/>
  <c r="J9" i="44"/>
  <c r="AK8" i="44"/>
  <c r="J8" i="44"/>
  <c r="V81" i="44"/>
  <c r="J7" i="44"/>
  <c r="AK6" i="44"/>
  <c r="J6" i="44"/>
  <c r="AK27" i="44" l="1"/>
  <c r="AL27" i="44" s="1"/>
  <c r="AK25" i="44"/>
  <c r="AK35" i="44"/>
  <c r="AK26" i="44"/>
  <c r="AK7" i="44"/>
  <c r="AK9" i="44"/>
  <c r="AK22" i="44"/>
  <c r="AK31" i="44"/>
  <c r="AK41" i="44"/>
  <c r="L81" i="44"/>
  <c r="AK23" i="44"/>
  <c r="AK24" i="44"/>
  <c r="AK12" i="44"/>
  <c r="AC27" i="44"/>
  <c r="AK38" i="44"/>
  <c r="P81" i="44"/>
  <c r="S81" i="44"/>
  <c r="X81" i="44"/>
  <c r="T81" i="44"/>
  <c r="AL29" i="44"/>
  <c r="AK46" i="44"/>
  <c r="K81" i="44"/>
  <c r="AK15" i="44"/>
  <c r="Y81" i="44"/>
  <c r="AM29" i="44" l="1"/>
  <c r="AM27" i="44"/>
  <c r="AD27" i="44"/>
  <c r="AE27" i="44" s="1"/>
  <c r="AF78" i="44" l="1"/>
  <c r="AF77" i="44"/>
  <c r="AF79" i="44"/>
  <c r="AF81" i="44" l="1"/>
  <c r="B46" i="1" l="1"/>
  <c r="B45" i="1"/>
  <c r="B44" i="1"/>
  <c r="N43" i="1"/>
  <c r="B43" i="1"/>
  <c r="N42" i="1"/>
  <c r="H42" i="1"/>
  <c r="B42" i="1"/>
  <c r="N41" i="1"/>
  <c r="H41" i="1"/>
  <c r="B41" i="1"/>
  <c r="N40" i="1"/>
  <c r="H40" i="1"/>
  <c r="B40" i="1"/>
  <c r="N39" i="1"/>
  <c r="H39" i="1"/>
  <c r="B39" i="1"/>
  <c r="N38" i="1"/>
  <c r="H38" i="1"/>
  <c r="B38" i="1"/>
  <c r="N37" i="1"/>
  <c r="H37" i="1"/>
  <c r="B37" i="1"/>
  <c r="N36" i="1"/>
  <c r="H36" i="1"/>
  <c r="B36" i="1"/>
  <c r="N35" i="1"/>
  <c r="H35" i="1"/>
  <c r="B35" i="1"/>
  <c r="N34" i="1"/>
  <c r="H34" i="1"/>
  <c r="B34" i="1"/>
  <c r="N33" i="1"/>
  <c r="H33" i="1"/>
  <c r="B33" i="1"/>
  <c r="N32" i="1"/>
  <c r="H32" i="1"/>
  <c r="B32" i="1"/>
  <c r="N31" i="1"/>
  <c r="H31" i="1"/>
  <c r="B31" i="1"/>
  <c r="N30" i="1"/>
  <c r="H30" i="1"/>
  <c r="B30" i="1"/>
  <c r="N29" i="1"/>
  <c r="H29" i="1"/>
  <c r="B29" i="1"/>
  <c r="N28" i="1"/>
  <c r="H28" i="1"/>
  <c r="B28" i="1"/>
  <c r="N27" i="1"/>
  <c r="H27" i="1"/>
  <c r="B27" i="1"/>
  <c r="N26" i="1"/>
  <c r="H26" i="1"/>
  <c r="B26" i="1"/>
  <c r="N25" i="1"/>
  <c r="H25" i="1"/>
  <c r="B25" i="1"/>
  <c r="N24" i="1"/>
  <c r="H24" i="1"/>
  <c r="B24" i="1"/>
  <c r="N23" i="1"/>
  <c r="H23" i="1"/>
  <c r="B23" i="1"/>
  <c r="N22" i="1"/>
  <c r="H22" i="1"/>
  <c r="B22" i="1"/>
  <c r="N21" i="1"/>
  <c r="H21" i="1"/>
  <c r="B21" i="1"/>
  <c r="N20" i="1"/>
  <c r="H20" i="1"/>
  <c r="B20" i="1"/>
  <c r="N19" i="1"/>
  <c r="H19" i="1"/>
  <c r="B19" i="1"/>
  <c r="N18" i="1"/>
  <c r="H18" i="1"/>
  <c r="B18" i="1"/>
  <c r="N17" i="1"/>
  <c r="H17" i="1"/>
  <c r="B17" i="1"/>
  <c r="N16" i="1"/>
  <c r="H16" i="1"/>
  <c r="B16" i="1"/>
  <c r="N15" i="1"/>
  <c r="H15" i="1"/>
  <c r="B15" i="1"/>
  <c r="N14" i="1"/>
  <c r="H14" i="1"/>
  <c r="B14" i="1"/>
  <c r="S13" i="1"/>
  <c r="N13" i="1"/>
  <c r="H13" i="1"/>
  <c r="B13" i="1"/>
  <c r="S12" i="1"/>
  <c r="N12" i="1"/>
  <c r="H12" i="1"/>
  <c r="B12" i="1"/>
  <c r="S11" i="1"/>
  <c r="N11" i="1"/>
  <c r="H11" i="1"/>
  <c r="B11" i="1"/>
  <c r="S10" i="1"/>
  <c r="N10" i="1"/>
  <c r="H10" i="1"/>
  <c r="B10" i="1"/>
  <c r="N9" i="1"/>
  <c r="H9" i="1"/>
  <c r="B9" i="1"/>
  <c r="N8" i="1"/>
  <c r="H8" i="1"/>
  <c r="B8" i="1"/>
  <c r="N7" i="1"/>
  <c r="H7" i="1"/>
  <c r="B7" i="1"/>
  <c r="N6" i="1"/>
  <c r="H6" i="1"/>
  <c r="B6" i="1"/>
  <c r="N5" i="1"/>
  <c r="H5" i="1"/>
  <c r="B5" i="1"/>
  <c r="N4" i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H4" i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B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R6" i="3" l="1"/>
  <c r="O6" i="3"/>
  <c r="V17" i="3" l="1"/>
  <c r="O17" i="3" l="1"/>
  <c r="N17" i="3"/>
  <c r="M17" i="3"/>
  <c r="R16" i="3"/>
  <c r="R15" i="3"/>
  <c r="R14" i="3"/>
  <c r="R13" i="3"/>
  <c r="R12" i="3"/>
  <c r="R11" i="3"/>
  <c r="R10" i="3"/>
  <c r="R9" i="3"/>
  <c r="R8" i="3"/>
  <c r="R7" i="3"/>
  <c r="J16" i="3"/>
  <c r="J15" i="3"/>
  <c r="J14" i="3"/>
  <c r="J13" i="3"/>
  <c r="J12" i="3"/>
  <c r="J11" i="3"/>
  <c r="J10" i="3"/>
  <c r="J9" i="3"/>
  <c r="J8" i="3"/>
  <c r="J7" i="3"/>
  <c r="J6" i="3"/>
  <c r="R17" i="3" l="1"/>
  <c r="U24" i="3" l="1"/>
  <c r="S6" i="3" l="1"/>
  <c r="S17" i="3" s="1"/>
  <c r="S11" i="3"/>
  <c r="T11" i="3" s="1"/>
  <c r="U11" i="3" s="1"/>
  <c r="W11" i="3" s="1"/>
  <c r="P11" i="3" s="1"/>
  <c r="Q11" i="3" s="1"/>
  <c r="S9" i="3"/>
  <c r="T9" i="3" s="1"/>
  <c r="U9" i="3" s="1"/>
  <c r="W9" i="3" s="1"/>
  <c r="P9" i="3" s="1"/>
  <c r="Q9" i="3" s="1"/>
  <c r="S15" i="3"/>
  <c r="T15" i="3" s="1"/>
  <c r="U15" i="3" s="1"/>
  <c r="W15" i="3" s="1"/>
  <c r="P15" i="3" s="1"/>
  <c r="Q15" i="3" s="1"/>
  <c r="S14" i="3"/>
  <c r="T14" i="3" s="1"/>
  <c r="U14" i="3" s="1"/>
  <c r="W14" i="3" s="1"/>
  <c r="P14" i="3" s="1"/>
  <c r="Q14" i="3" s="1"/>
  <c r="S16" i="3"/>
  <c r="T16" i="3" s="1"/>
  <c r="U16" i="3" s="1"/>
  <c r="W16" i="3" s="1"/>
  <c r="P16" i="3" s="1"/>
  <c r="Q16" i="3" s="1"/>
  <c r="S13" i="3"/>
  <c r="T13" i="3" s="1"/>
  <c r="U13" i="3" s="1"/>
  <c r="W13" i="3" s="1"/>
  <c r="P13" i="3" s="1"/>
  <c r="Q13" i="3" s="1"/>
  <c r="S12" i="3"/>
  <c r="T12" i="3" s="1"/>
  <c r="U12" i="3" s="1"/>
  <c r="W12" i="3" s="1"/>
  <c r="P12" i="3" s="1"/>
  <c r="Q12" i="3" s="1"/>
  <c r="S8" i="3"/>
  <c r="T8" i="3" s="1"/>
  <c r="U8" i="3" s="1"/>
  <c r="W8" i="3" s="1"/>
  <c r="P8" i="3" s="1"/>
  <c r="Q8" i="3" s="1"/>
  <c r="S7" i="3"/>
  <c r="T7" i="3" s="1"/>
  <c r="U7" i="3" s="1"/>
  <c r="W7" i="3" s="1"/>
  <c r="P7" i="3" s="1"/>
  <c r="Q7" i="3" s="1"/>
  <c r="S10" i="3"/>
  <c r="T10" i="3" s="1"/>
  <c r="U10" i="3" s="1"/>
  <c r="W10" i="3" s="1"/>
  <c r="P10" i="3" s="1"/>
  <c r="Q10" i="3" s="1"/>
  <c r="T6" i="3" l="1"/>
  <c r="U6" i="3" s="1"/>
  <c r="W6" i="3" s="1"/>
  <c r="T17" i="3" l="1"/>
  <c r="U17" i="3"/>
  <c r="W17" i="3"/>
  <c r="P17" i="3" l="1"/>
  <c r="Q6" i="3"/>
  <c r="Q17" i="3" s="1"/>
  <c r="N60" i="44" l="1"/>
  <c r="N61" i="44"/>
  <c r="AC61" i="44" s="1"/>
  <c r="N63" i="44"/>
  <c r="AC63" i="44" s="1"/>
  <c r="AD63" i="44" s="1"/>
  <c r="AE63" i="44" s="1"/>
  <c r="AD61" i="44" l="1"/>
  <c r="AE61" i="44" s="1"/>
  <c r="O64" i="44" l="1"/>
  <c r="O81" i="44" s="1"/>
  <c r="N25" i="44" l="1"/>
  <c r="AC25" i="44" s="1"/>
  <c r="AD25" i="44" s="1"/>
  <c r="AE25" i="44" s="1"/>
  <c r="AJ25" i="44" l="1"/>
  <c r="AL25" i="44" s="1"/>
  <c r="AM25" i="44" s="1"/>
  <c r="N24" i="44" l="1"/>
  <c r="AC24" i="44" s="1"/>
  <c r="AD24" i="44" l="1"/>
  <c r="AE24" i="44" s="1"/>
  <c r="AJ24" i="44"/>
  <c r="AL24" i="44" s="1"/>
  <c r="AM24" i="44" s="1"/>
  <c r="N23" i="44" l="1"/>
  <c r="AC23" i="44" s="1"/>
  <c r="AD23" i="44" s="1"/>
  <c r="AE23" i="44" s="1"/>
  <c r="N18" i="44" l="1"/>
  <c r="AC18" i="44" s="1"/>
  <c r="AD18" i="44" s="1"/>
  <c r="AE18" i="44" s="1"/>
  <c r="N19" i="44"/>
  <c r="AC19" i="44" s="1"/>
  <c r="AD19" i="44" s="1"/>
  <c r="AE19" i="44" s="1"/>
  <c r="N8" i="44"/>
  <c r="AC8" i="44" s="1"/>
  <c r="AD8" i="44" s="1"/>
  <c r="AE8" i="44" s="1"/>
  <c r="N9" i="44"/>
  <c r="AC9" i="44" s="1"/>
  <c r="AD9" i="44" s="1"/>
  <c r="AE9" i="44" s="1"/>
  <c r="N10" i="44"/>
  <c r="AC10" i="44" s="1"/>
  <c r="N11" i="44"/>
  <c r="AC11" i="44" s="1"/>
  <c r="AD11" i="44" s="1"/>
  <c r="AE11" i="44" s="1"/>
  <c r="N15" i="44"/>
  <c r="AC15" i="44" s="1"/>
  <c r="AD15" i="44" s="1"/>
  <c r="AE15" i="44" s="1"/>
  <c r="N21" i="44"/>
  <c r="AC21" i="44" s="1"/>
  <c r="AD21" i="44" s="1"/>
  <c r="AE21" i="44" s="1"/>
  <c r="N6" i="44"/>
  <c r="N13" i="44"/>
  <c r="AC13" i="44" s="1"/>
  <c r="AD13" i="44" s="1"/>
  <c r="AE13" i="44" s="1"/>
  <c r="N12" i="44"/>
  <c r="AC12" i="44" s="1"/>
  <c r="N14" i="44"/>
  <c r="AC14" i="44" s="1"/>
  <c r="N20" i="44"/>
  <c r="AC20" i="44" s="1"/>
  <c r="AD20" i="44" s="1"/>
  <c r="AE20" i="44" s="1"/>
  <c r="N17" i="44"/>
  <c r="AC17" i="44" s="1"/>
  <c r="AD17" i="44" s="1"/>
  <c r="AE17" i="44" s="1"/>
  <c r="N7" i="44"/>
  <c r="AC7" i="44" s="1"/>
  <c r="N16" i="44" l="1"/>
  <c r="AC16" i="44" s="1"/>
  <c r="AD16" i="44" s="1"/>
  <c r="AE16" i="44" s="1"/>
  <c r="AD14" i="44"/>
  <c r="AE14" i="44" s="1"/>
  <c r="AD12" i="44"/>
  <c r="AE12" i="44" s="1"/>
  <c r="AD10" i="44"/>
  <c r="AE10" i="44" s="1"/>
  <c r="AD7" i="44"/>
  <c r="AE7" i="44" s="1"/>
  <c r="AC6" i="44"/>
  <c r="AJ11" i="44"/>
  <c r="AL11" i="44" s="1"/>
  <c r="AM11" i="44" s="1"/>
  <c r="AJ9" i="44"/>
  <c r="AL9" i="44" s="1"/>
  <c r="AM9" i="44" s="1"/>
  <c r="AJ19" i="44"/>
  <c r="AL19" i="44" s="1"/>
  <c r="AM19" i="44" s="1"/>
  <c r="AJ17" i="44"/>
  <c r="AL17" i="44" s="1"/>
  <c r="AM17" i="44" s="1"/>
  <c r="AJ12" i="44"/>
  <c r="AL12" i="44" s="1"/>
  <c r="AM12" i="44" s="1"/>
  <c r="AJ20" i="44"/>
  <c r="AL20" i="44" s="1"/>
  <c r="AM20" i="44" s="1"/>
  <c r="AJ13" i="44"/>
  <c r="AL13" i="44" s="1"/>
  <c r="AM13" i="44" s="1"/>
  <c r="AJ15" i="44"/>
  <c r="AL15" i="44" s="1"/>
  <c r="AM15" i="44" s="1"/>
  <c r="AJ10" i="44"/>
  <c r="AL10" i="44" s="1"/>
  <c r="AM10" i="44" s="1"/>
  <c r="AJ8" i="44"/>
  <c r="AL8" i="44" s="1"/>
  <c r="AM8" i="44" s="1"/>
  <c r="AJ18" i="44"/>
  <c r="AL18" i="44" s="1"/>
  <c r="AM18" i="44" s="1"/>
  <c r="AD6" i="44" l="1"/>
  <c r="AE6" i="44" l="1"/>
  <c r="AJ58" i="44" l="1"/>
  <c r="AL58" i="44" s="1"/>
  <c r="AM58" i="44" s="1"/>
  <c r="AJ59" i="44" l="1"/>
  <c r="AL59" i="44" s="1"/>
  <c r="AM59" i="44" s="1"/>
  <c r="AJ53" i="44" l="1"/>
  <c r="AL53" i="44" s="1"/>
  <c r="AM53" i="44" s="1"/>
  <c r="AJ57" i="44" l="1"/>
  <c r="AL57" i="44" s="1"/>
  <c r="AM57" i="44" s="1"/>
  <c r="AJ52" i="44"/>
  <c r="AL52" i="44" s="1"/>
  <c r="AM52" i="44" s="1"/>
  <c r="AJ56" i="44"/>
  <c r="AL56" i="44" s="1"/>
  <c r="AM56" i="44" s="1"/>
  <c r="AJ55" i="44"/>
  <c r="AL55" i="44" s="1"/>
  <c r="AM55" i="44" s="1"/>
  <c r="AJ54" i="44"/>
  <c r="AL54" i="44" s="1"/>
  <c r="AM54" i="44" s="1"/>
  <c r="Z60" i="44" l="1"/>
  <c r="Q82" i="44"/>
  <c r="Z81" i="44" l="1"/>
  <c r="AC60" i="44"/>
  <c r="AJ49" i="44"/>
  <c r="AL49" i="44" s="1"/>
  <c r="AM49" i="44" s="1"/>
  <c r="AJ51" i="44"/>
  <c r="AL51" i="44" s="1"/>
  <c r="AM51" i="44" s="1"/>
  <c r="AJ50" i="44"/>
  <c r="AL50" i="44" s="1"/>
  <c r="AM50" i="44" s="1"/>
  <c r="AJ47" i="44"/>
  <c r="AL47" i="44" s="1"/>
  <c r="AM47" i="44" s="1"/>
  <c r="Z82" i="44"/>
  <c r="AD60" i="44" l="1"/>
  <c r="AE60" i="44" s="1"/>
  <c r="AJ46" i="44" l="1"/>
  <c r="AL46" i="44" s="1"/>
  <c r="AM46" i="44" s="1"/>
  <c r="AJ45" i="44" l="1"/>
  <c r="AL45" i="44" s="1"/>
  <c r="AM45" i="44" s="1"/>
  <c r="AJ60" i="44" l="1"/>
  <c r="AL60" i="44" l="1"/>
  <c r="AM60" i="44" l="1"/>
  <c r="AJ61" i="44" l="1"/>
  <c r="AL61" i="44" l="1"/>
  <c r="AM61" i="44" l="1"/>
  <c r="AJ44" i="44"/>
  <c r="AL44" i="44" s="1"/>
  <c r="AM44" i="44" s="1"/>
  <c r="AJ43" i="44"/>
  <c r="AL43" i="44" s="1"/>
  <c r="AM43" i="44" s="1"/>
  <c r="AJ42" i="44" l="1"/>
  <c r="AL42" i="44" s="1"/>
  <c r="AM42" i="44" s="1"/>
  <c r="AJ63" i="44" l="1"/>
  <c r="AL63" i="44" l="1"/>
  <c r="AM63" i="44" l="1"/>
  <c r="AJ41" i="44" l="1"/>
  <c r="AL41" i="44" s="1"/>
  <c r="AM41" i="44" s="1"/>
  <c r="AJ40" i="44"/>
  <c r="AL40" i="44" s="1"/>
  <c r="AM40" i="44" s="1"/>
  <c r="AJ39" i="44" l="1"/>
  <c r="AL39" i="44" s="1"/>
  <c r="AM39" i="44" s="1"/>
  <c r="AJ38" i="44" l="1"/>
  <c r="AL38" i="44" s="1"/>
  <c r="AM38" i="44" s="1"/>
  <c r="AJ37" i="44" l="1"/>
  <c r="AL37" i="44" s="1"/>
  <c r="AM37" i="44" s="1"/>
  <c r="AJ23" i="44" l="1"/>
  <c r="AL23" i="44" s="1"/>
  <c r="AM23" i="44" s="1"/>
  <c r="AJ36" i="44" l="1"/>
  <c r="AL36" i="44" s="1"/>
  <c r="AM36" i="44" s="1"/>
  <c r="N22" i="44" l="1"/>
  <c r="AC22" i="44" l="1"/>
  <c r="O82" i="44"/>
  <c r="AJ6" i="44"/>
  <c r="AJ7" i="44"/>
  <c r="AL7" i="44" s="1"/>
  <c r="AM7" i="44" s="1"/>
  <c r="AJ14" i="44"/>
  <c r="AL14" i="44" s="1"/>
  <c r="AM14" i="44" s="1"/>
  <c r="AJ21" i="44"/>
  <c r="AL21" i="44" s="1"/>
  <c r="AM21" i="44" s="1"/>
  <c r="AJ22" i="44"/>
  <c r="AL22" i="44" s="1"/>
  <c r="AM22" i="44" s="1"/>
  <c r="AJ35" i="44"/>
  <c r="AL35" i="44" s="1"/>
  <c r="AM35" i="44" s="1"/>
  <c r="AJ34" i="44"/>
  <c r="AL34" i="44" s="1"/>
  <c r="AM34" i="44" s="1"/>
  <c r="AJ33" i="44"/>
  <c r="AL33" i="44" s="1"/>
  <c r="AM33" i="44" s="1"/>
  <c r="AJ32" i="44"/>
  <c r="AL32" i="44" s="1"/>
  <c r="AM32" i="44" s="1"/>
  <c r="AJ31" i="44"/>
  <c r="AL31" i="44" s="1"/>
  <c r="AM31" i="44" s="1"/>
  <c r="AJ30" i="44" l="1"/>
  <c r="AL30" i="44" s="1"/>
  <c r="AM30" i="44" s="1"/>
  <c r="AD22" i="44"/>
  <c r="AL6" i="44"/>
  <c r="AE22" i="44" l="1"/>
  <c r="AM6" i="44"/>
  <c r="P82" i="44" l="1"/>
  <c r="N26" i="44" l="1"/>
  <c r="AC26" i="44" l="1"/>
  <c r="AJ26" i="44" l="1"/>
  <c r="AD26" i="44"/>
  <c r="AE26" i="44" l="1"/>
  <c r="AL26" i="44"/>
  <c r="AM26" i="44" l="1"/>
  <c r="M48" i="44" l="1"/>
  <c r="AK48" i="44" l="1"/>
  <c r="AK81" i="44" s="1"/>
  <c r="M81" i="44"/>
  <c r="N62" i="44" l="1"/>
  <c r="AC62" i="44" s="1"/>
  <c r="AD62" i="44" s="1"/>
  <c r="AE62" i="44" s="1"/>
  <c r="N48" i="44" l="1"/>
  <c r="N81" i="44" l="1"/>
  <c r="AC48" i="44"/>
  <c r="AJ48" i="44"/>
  <c r="AL48" i="44" s="1"/>
  <c r="AM48" i="44" l="1"/>
  <c r="AD48" i="44"/>
  <c r="AD81" i="44" s="1"/>
  <c r="AC81" i="44"/>
  <c r="AE48" i="44" l="1"/>
  <c r="AE81" i="44" s="1"/>
  <c r="AJ62" i="44" l="1"/>
  <c r="AL62" i="44" s="1"/>
  <c r="AM62" i="44" s="1"/>
  <c r="X82" i="44" l="1"/>
  <c r="M82" i="44" l="1"/>
  <c r="N82" i="44" l="1"/>
  <c r="AJ16" i="44" l="1"/>
  <c r="AJ82" i="44" l="1"/>
  <c r="AL16" i="44"/>
  <c r="AJ81" i="44"/>
  <c r="AJ96" i="44" s="1"/>
  <c r="AM16" i="44" l="1"/>
  <c r="AM81" i="44" s="1"/>
  <c r="AL81" i="44"/>
  <c r="AE82" i="44" l="1"/>
  <c r="J56" i="1"/>
  <c r="J57" i="1"/>
  <c r="J61" i="1"/>
</calcChain>
</file>

<file path=xl/comments1.xml><?xml version="1.0" encoding="utf-8"?>
<comments xmlns="http://schemas.openxmlformats.org/spreadsheetml/2006/main">
  <authors>
    <author>NSP</author>
  </authors>
  <commentList>
    <comment ref="O381" authorId="0">
      <text>
        <r>
          <rPr>
            <b/>
            <sz val="8"/>
            <color indexed="81"/>
            <rFont val="Tahoma"/>
            <family val="2"/>
          </rPr>
          <t>NSP:</t>
        </r>
        <r>
          <rPr>
            <sz val="8"/>
            <color indexed="81"/>
            <rFont val="Tahoma"/>
            <family val="2"/>
          </rPr>
          <t xml:space="preserve">
BELUM TERIMA UPAH POKOK DARI CKG, JADI GSK BAYAR UPAH POKOK FULL
</t>
        </r>
      </text>
    </comment>
  </commentList>
</comments>
</file>

<file path=xl/sharedStrings.xml><?xml version="1.0" encoding="utf-8"?>
<sst xmlns="http://schemas.openxmlformats.org/spreadsheetml/2006/main" count="677" uniqueCount="319">
  <si>
    <t>No</t>
  </si>
  <si>
    <t>TER A</t>
  </si>
  <si>
    <t>s.d</t>
  </si>
  <si>
    <t>Lapisan Penghasilan bruto (Rp.)</t>
  </si>
  <si>
    <t>TER B</t>
  </si>
  <si>
    <t>TER C</t>
  </si>
  <si>
    <t>PTKP</t>
  </si>
  <si>
    <t>TK/0</t>
  </si>
  <si>
    <t>TK/2</t>
  </si>
  <si>
    <t>K/1</t>
  </si>
  <si>
    <t>TK/3</t>
  </si>
  <si>
    <t>K/2</t>
  </si>
  <si>
    <t>K/3</t>
  </si>
  <si>
    <t>Tarif</t>
  </si>
  <si>
    <t>Penghasilan Bruto</t>
  </si>
  <si>
    <t>TER</t>
  </si>
  <si>
    <t>TK/1</t>
  </si>
  <si>
    <t>K/0</t>
  </si>
  <si>
    <t>~~</t>
  </si>
  <si>
    <t>Status</t>
  </si>
  <si>
    <t>Jumlah</t>
  </si>
  <si>
    <t>HARIAN</t>
  </si>
  <si>
    <t>Lapisan PKP</t>
  </si>
  <si>
    <t>TARIF PASAL 17 WPOP</t>
  </si>
  <si>
    <t>Nomor Urut</t>
  </si>
  <si>
    <t>NAMA KARYAWAN</t>
  </si>
  <si>
    <t>N I K / 
PASPOR</t>
  </si>
  <si>
    <t>N P W P</t>
  </si>
  <si>
    <t>A L A M A T</t>
  </si>
  <si>
    <t>JABATAN</t>
  </si>
  <si>
    <t>MASA KERJA</t>
  </si>
  <si>
    <t>DESEMBER</t>
  </si>
  <si>
    <t>P T K P</t>
  </si>
  <si>
    <t>P K P</t>
  </si>
  <si>
    <t>PPH PASAL 21
JAN S.D NOP</t>
  </si>
  <si>
    <t>PPH PASAL 21
DESEMBER</t>
  </si>
  <si>
    <t>Gaji Pokok</t>
  </si>
  <si>
    <t>L/P</t>
  </si>
  <si>
    <t>P</t>
  </si>
  <si>
    <t>L</t>
  </si>
  <si>
    <t>yang berwarna ini rumus</t>
  </si>
  <si>
    <t>Penghasilan
Bruto</t>
  </si>
  <si>
    <t>Tarif
TER</t>
  </si>
  <si>
    <t>Total
Tunjangan</t>
  </si>
  <si>
    <t>Tunjangan
PPh</t>
  </si>
  <si>
    <t>Premi
JKK, JKM, Kes</t>
  </si>
  <si>
    <t>STATUS KARYAWAN</t>
  </si>
  <si>
    <t>Catatan :</t>
  </si>
  <si>
    <t>1. yang berwarna adalah rumus</t>
  </si>
  <si>
    <t>3. kolom pengurang JHT/JP tetap wajib diisi, sebagai pengurang pada masa pajak desember</t>
  </si>
  <si>
    <t>5. perubahan status PTKP ditentukan keadaan awal tahun, misal nikah/punya anak ditanggal 2 januari 2024, maka berubah status PTKP nya tahun 2025</t>
  </si>
  <si>
    <t>6. PPh 21 terutang tersebut sudah memperhitungkan bagi yang tidak memiliki NPWP dengan jumlah PPh Terutang 20% lebih besar.</t>
  </si>
  <si>
    <t>7. untuk yang tidak mempunyai NPWP dapat diisi dengan angka Nol</t>
  </si>
  <si>
    <t>INCLUDE NON NPWP</t>
  </si>
  <si>
    <t>SETAHUN</t>
  </si>
  <si>
    <t>PPH PASAL 21</t>
  </si>
  <si>
    <t>2. dalam hal terdapat tunjangan PPh, maka ceklis "enable iterative calculation" pada menu (option =&gt; formula =&gt; pada bagian kanan atas)</t>
  </si>
  <si>
    <t>4. komponen penghasilan bruto dapat disesuaikan/ditambahkan kolom, sesuai dengan kebutuhan masing2 perusahaan</t>
  </si>
  <si>
    <t>8. untuk perhitungan pph 21 (THR, Bonus, Tantiem) rumus penghasilan brutonya dapat disesuaikan dengan masa pajak THR tersebut diberikan</t>
  </si>
  <si>
    <t>9. khusus untuk perhitungan pph 21 masa pajak desember, dapat di cek kembali rumus total per komponen penghasilan brutonya (jika ada penambahan/pengurangan kolom)</t>
  </si>
  <si>
    <t>DD</t>
  </si>
  <si>
    <t>PTKP (TK/0, TK/1, K/0)</t>
  </si>
  <si>
    <t>PTKP (TK/2, TK/3, K/1, K/2)</t>
  </si>
  <si>
    <t>PTKP (K/3)</t>
  </si>
  <si>
    <t>NO.</t>
  </si>
  <si>
    <t>10. untuk jan s.d nop dapat diduplicate sheetnya</t>
  </si>
  <si>
    <t>8. khusus untuk perhitungan pph 21 masa pajak desember, dapat di cek kembali total per komponen penghasilan brutonya</t>
  </si>
  <si>
    <t>AGUS SRI ASTUTI</t>
  </si>
  <si>
    <t>Astek Ins (0,84%)</t>
  </si>
  <si>
    <t>BPJS KESEHATAN (4%)</t>
  </si>
  <si>
    <t>Selisih</t>
  </si>
  <si>
    <t>PT. REBINMAS JAYA</t>
  </si>
  <si>
    <t>Rice  Allow</t>
  </si>
  <si>
    <t>Structural  Allow</t>
  </si>
  <si>
    <t>THR</t>
  </si>
  <si>
    <t>Bonus</t>
  </si>
  <si>
    <t>Service Time Allow</t>
  </si>
  <si>
    <t>Masa Kerja</t>
  </si>
  <si>
    <t>HARIYADI</t>
  </si>
  <si>
    <t>DEVI YULIANTI</t>
  </si>
  <si>
    <t>MILA</t>
  </si>
  <si>
    <t>AYU RAHAYU</t>
  </si>
  <si>
    <t>ROSTINA</t>
  </si>
  <si>
    <t>RATNA</t>
  </si>
  <si>
    <t>DIANA</t>
  </si>
  <si>
    <t>ELMI</t>
  </si>
  <si>
    <t>SELAMI</t>
  </si>
  <si>
    <t>RETNO SANJAYA</t>
  </si>
  <si>
    <t>LAELI RIDHOTUL F</t>
  </si>
  <si>
    <t>SUKANDA</t>
  </si>
  <si>
    <t>SRI DEVI</t>
  </si>
  <si>
    <t>MERIANI</t>
  </si>
  <si>
    <t>FERTI NOVALINDA</t>
  </si>
  <si>
    <t>DJULI DARTA</t>
  </si>
  <si>
    <t>ADE KURNIAWAN</t>
  </si>
  <si>
    <t>SILPIA</t>
  </si>
  <si>
    <t>RELAWATI</t>
  </si>
  <si>
    <t>SAMSIDI</t>
  </si>
  <si>
    <t>OPERATOR</t>
  </si>
  <si>
    <t>HELPER</t>
  </si>
  <si>
    <t>KARYAWAN PERAWATAN</t>
  </si>
  <si>
    <t>PGE 1A (AIR BATU)</t>
  </si>
  <si>
    <t>T.Jabatan</t>
  </si>
  <si>
    <t>Lembur</t>
  </si>
  <si>
    <t>T.Beras</t>
  </si>
  <si>
    <t>POT. ALPA &amp; POT. CTH ( CUTI TANPA HK )</t>
  </si>
  <si>
    <t>Premi Angkut TBS</t>
  </si>
  <si>
    <t>Premi Harvesting</t>
  </si>
  <si>
    <t>Premi Brondol</t>
  </si>
  <si>
    <t>Potongan Premi (Koreksi)</t>
  </si>
  <si>
    <t>g.kotor daftar upah</t>
  </si>
  <si>
    <t>astek+bpjs</t>
  </si>
  <si>
    <t>bruto</t>
  </si>
  <si>
    <t>DI PERIKSA OLEH,</t>
  </si>
  <si>
    <t>ESTATE MANAGER PG1A</t>
  </si>
  <si>
    <t>DI BUAT OLEH</t>
  </si>
  <si>
    <t>KERANI DIVISI</t>
  </si>
  <si>
    <t>MANDOR</t>
  </si>
  <si>
    <t>Premi Pruning</t>
  </si>
  <si>
    <t xml:space="preserve">PPh 21 </t>
  </si>
  <si>
    <t>DISAHKAN OLEH,</t>
  </si>
  <si>
    <t>CHANDRA DINATA PRIBADI</t>
  </si>
  <si>
    <t>SENIOR MANAGER</t>
  </si>
  <si>
    <t>Pajak THR</t>
  </si>
  <si>
    <t>PPH 21 GAJI MARET</t>
  </si>
  <si>
    <t>LEBIH POTONG PAJAK THR</t>
  </si>
  <si>
    <t>Kembalian Uang Tiket</t>
  </si>
  <si>
    <t>Premi Mist Blower</t>
  </si>
  <si>
    <t>Incentive Premi</t>
  </si>
  <si>
    <t>ASISTANTANT MANAGER</t>
  </si>
  <si>
    <t>SURANTO</t>
  </si>
  <si>
    <t>INCOME TAX ARTICLE 21 FOR JANUARI 2026</t>
  </si>
  <si>
    <t>1902011208920007</t>
  </si>
  <si>
    <t>72.110.413.1-305.000</t>
  </si>
  <si>
    <t>AIR MUNGKUI RT. 022 RW. 006 DESA BULUH TUMBANG KEC. TANJUNGPANDAN</t>
  </si>
  <si>
    <t>1902055708920001</t>
  </si>
  <si>
    <t>54.534.295.8-305.000</t>
  </si>
  <si>
    <t>JL MENGKELING RT. 003 RW. 002 DESA AIR SELUMAR KEC. SIJUK</t>
  </si>
  <si>
    <t>1902016308880004</t>
  </si>
  <si>
    <t>75.679.301.4-305.000</t>
  </si>
  <si>
    <t>JL. MANGGAR RT. 017 RW. 005 DS BULUH TUMBANG KEC TANJUNGPANDAN</t>
  </si>
  <si>
    <t>1902054708760001</t>
  </si>
  <si>
    <t>97.237.537.2-305.000</t>
  </si>
  <si>
    <t>PARIT GUNUNG RT. 006 RW. 003 DESA AIR BATU BUDING KEC. BADAU</t>
  </si>
  <si>
    <t>1902056305830001</t>
  </si>
  <si>
    <t>97.237.534.9-305.000</t>
  </si>
  <si>
    <t>AIR BEGANTUNG RT. 009 RW. 003 DESA KACANG BUTOR KEC. BADAU</t>
  </si>
  <si>
    <t>1902055908810001</t>
  </si>
  <si>
    <t>97.237.580.2-305.000</t>
  </si>
  <si>
    <t>JL MANGGAR RT. 005 RW. 003  DS AIR BATU BUDING BADAU</t>
  </si>
  <si>
    <t>1902055006810004</t>
  </si>
  <si>
    <t>97.237.585.1-305.000</t>
  </si>
  <si>
    <t>DSN BUKIT INDAH RT. 011 RW. 004 DS KACANG BUTOR KEC BADAU</t>
  </si>
  <si>
    <t>1902056109740001</t>
  </si>
  <si>
    <t>97.237.541.4-305.000</t>
  </si>
  <si>
    <t>JL MANGGAR RT. 001 RW. 001 DESA KACANG BUTOR KEC. BADAU</t>
  </si>
  <si>
    <t>1902050902930002</t>
  </si>
  <si>
    <t>72.110.465.1-305.000</t>
  </si>
  <si>
    <t>1902055507940001</t>
  </si>
  <si>
    <t>97.237.566.1-305.000</t>
  </si>
  <si>
    <t>DSN. BUKIT INDAH RT.011 RW.004 DESA KACANG BUTOR KEC. BADAU</t>
  </si>
  <si>
    <t>1902050101790003</t>
  </si>
  <si>
    <t>97.237.604.0-305.000</t>
  </si>
  <si>
    <t>AIR BEGANTUNG RT.009 RW.003 DESA KACANG BUTOR KEC. BADAU</t>
  </si>
  <si>
    <t>1902054208970002</t>
  </si>
  <si>
    <t>75.679.150.5-305.000</t>
  </si>
  <si>
    <t>JL MANGGAR DSN KEPAYANG RT. 006 RW. 002 DESA KACANG BUTOR KEC. BADAU</t>
  </si>
  <si>
    <t>1902055306960001</t>
  </si>
  <si>
    <t>75.694.248.8-305.000</t>
  </si>
  <si>
    <t>JL MANGGAR RT. 007 RW. 002 DESA KACANG BUTOR KEC. BADAU</t>
  </si>
  <si>
    <t>1902054912780001</t>
  </si>
  <si>
    <t>86.199.564.5-305.000</t>
  </si>
  <si>
    <t xml:space="preserve">JL MANGGAR RT. 001 RW. 001 DESA AIR BATU BUDING KEC. BADAU </t>
  </si>
  <si>
    <t>1906046303860002</t>
  </si>
  <si>
    <t>55.159.601.8-305.000</t>
  </si>
  <si>
    <t>DSN SELINDANG RT. 006 RW. 002 DESA SENYUBUK KEC. KELAPA KAMPIT</t>
  </si>
  <si>
    <t>1902011211970005</t>
  </si>
  <si>
    <t>75.676.463.5-305.000</t>
  </si>
  <si>
    <t>JL RAYA PELEPAK PUTE RT. 007 RW. 004 DESA PELEPAK PUTE KEC. SIJUK</t>
  </si>
  <si>
    <t>1902051301940001</t>
  </si>
  <si>
    <t>55.214.247.3-305.000</t>
  </si>
  <si>
    <t>JL MANGGAR RT. 012 RW. 004 DESA KACANG BUTOR KEC. BADAU</t>
  </si>
  <si>
    <t>1902050102790001</t>
  </si>
  <si>
    <t>97.228.391.5-305.000</t>
  </si>
  <si>
    <t>JL MANGGAR DSN PARIT GUNUNG RT. 006 RW. 003 DESA AIR BATU BUDING KEC. BADAU</t>
  </si>
  <si>
    <t>1902014705880006</t>
  </si>
  <si>
    <t>75.694.129.0-305.000</t>
  </si>
  <si>
    <t>JL JEND SUDIRMAN RT. 010 RW. 003 DESA BULUH TUMBANG KEC. TANJUNGPANDAN</t>
  </si>
  <si>
    <t>1902056502900002</t>
  </si>
  <si>
    <t>-</t>
  </si>
  <si>
    <t>JL. MANGGAR DSN PARIT GUNUNG RT. 006 RW. 003 DESA AIR BATU BUDING KEC. BADAU</t>
  </si>
  <si>
    <t>1902012007760005</t>
  </si>
  <si>
    <t>JL TEUKU UMAR GG DALAM II RT. 030 RW. 009 KEL. PARIT KEC. TANJUNGPANDAN</t>
  </si>
  <si>
    <t>SUHAYAT</t>
  </si>
  <si>
    <t>ERLY</t>
  </si>
  <si>
    <t>YULIANTO</t>
  </si>
  <si>
    <t>SUSANTO</t>
  </si>
  <si>
    <t>ASPI</t>
  </si>
  <si>
    <t>YULIANSYAH</t>
  </si>
  <si>
    <t>YUDI R TANTO</t>
  </si>
  <si>
    <t>KADLI</t>
  </si>
  <si>
    <t>RAHMAT IQBAL</t>
  </si>
  <si>
    <t>AKHMAD SAHID</t>
  </si>
  <si>
    <t>USMAN</t>
  </si>
  <si>
    <t>ANDRIANSYAH</t>
  </si>
  <si>
    <t>SAHDAN</t>
  </si>
  <si>
    <t>MUSTAMIN</t>
  </si>
  <si>
    <t>MUHYIN</t>
  </si>
  <si>
    <t>HERI PURNAMA</t>
  </si>
  <si>
    <t>SUDIRMAN</t>
  </si>
  <si>
    <t>AWALUDIN</t>
  </si>
  <si>
    <t>AHMAD ROZI</t>
  </si>
  <si>
    <t>NANO</t>
  </si>
  <si>
    <t>MUSTAAN</t>
  </si>
  <si>
    <t>RUSLAN</t>
  </si>
  <si>
    <t>SUPARDI</t>
  </si>
  <si>
    <t>JUMADIL</t>
  </si>
  <si>
    <t>HERNAWADI</t>
  </si>
  <si>
    <t>SURIADI</t>
  </si>
  <si>
    <t>SAWALUDIN</t>
  </si>
  <si>
    <t>SAPAR WADI</t>
  </si>
  <si>
    <t>YANTO</t>
  </si>
  <si>
    <t>MUHIBULLAH</t>
  </si>
  <si>
    <t>HARTAWAN</t>
  </si>
  <si>
    <t>1906041706780002</t>
  </si>
  <si>
    <t>68.076.438.8-305.000</t>
  </si>
  <si>
    <t>DSN BUDING RT. 006 RW. 003 DESA BUDING KEC. KELAPA KAMPIT</t>
  </si>
  <si>
    <t>1906045008780004</t>
  </si>
  <si>
    <t>97.228.374.1-305.000</t>
  </si>
  <si>
    <t>DSN BUDING RT. 003 RW. 001 DESA BUDING KEC. KELAPA KAMPIT</t>
  </si>
  <si>
    <t>1902051307890001</t>
  </si>
  <si>
    <t>JL MANGGAR RT. 009 RW. 003 DESA KACANG BUTOR KEC. BADAU</t>
  </si>
  <si>
    <t>1902051206780002</t>
  </si>
  <si>
    <t>1902012007920010</t>
  </si>
  <si>
    <t>JL MANGGAR KEPAYANG RT. 007 RW. 002 DESA KACANG BUTOR KEC. BADAU</t>
  </si>
  <si>
    <t>1906040906840003</t>
  </si>
  <si>
    <t>75.676.563.2-305.000</t>
  </si>
  <si>
    <t>DSN PADANG RT. 007 DESA MENTAWAK KEC. KELAPA KAMPIT</t>
  </si>
  <si>
    <t>1902011601830006</t>
  </si>
  <si>
    <t>90.374.798.8-305.000</t>
  </si>
  <si>
    <t>DSN BUDING RT. 002 RW. 001 DESA BUDING KEC. KELAPA KAMPIT</t>
  </si>
  <si>
    <t>1906041106740001</t>
  </si>
  <si>
    <t>DSN CENDIL RT. 002 RW. 001 DESA CENDIL KEC. KELAPA KAMPIT</t>
  </si>
  <si>
    <t>1906040306970003</t>
  </si>
  <si>
    <t>91.183.732.6-305.000</t>
  </si>
  <si>
    <t>DSN SELINDANG RT. 002 RW. 001 DESA SENYUBUK KEC. KELAPA KAMPIT</t>
  </si>
  <si>
    <t>1906041209880001</t>
  </si>
  <si>
    <t>DSN PADANG RT. 002 RW. 001 DESA MENTAWAK KEC. KELAPA KAMPIT</t>
  </si>
  <si>
    <t>5203020107790544</t>
  </si>
  <si>
    <t>PAOK, DESA SAKRA, KEC. SAKRA, KAB. LOMBOK TIMUR</t>
  </si>
  <si>
    <t>1906042409870002</t>
  </si>
  <si>
    <t>DSN. AIR KELIK RT.008/RW.003 DS. AIR KELIK KEC. DAMAR KAB. BELITUNG TIMUR</t>
  </si>
  <si>
    <t>5203020411830001</t>
  </si>
  <si>
    <t>LUHUN DS. SAKRA SELATAN KEC. SAKRA KAB. LOMBOK TIMUR</t>
  </si>
  <si>
    <t>5203182105850003</t>
  </si>
  <si>
    <t>MONTONG TINGGANG DS. MENCEH KEC. SAKRA TIMUR KAB. LOMBOK TIMUR</t>
  </si>
  <si>
    <t>5203183112830060</t>
  </si>
  <si>
    <t>MONTONG TINGGANG DS. MENCEH KECAMATAN SAKRA TIMUR KAB. LOMBOK TIMUR</t>
  </si>
  <si>
    <t>5203023112870335</t>
  </si>
  <si>
    <t>PEROA LAUK EAT DS. SAKRA KEC. SAKRA KAB. LOMBOK TIMUR</t>
  </si>
  <si>
    <t>REPOK MONTONG DS. PARE MAS KEC. JEROWARU KAB. LOMBOK TIMUR</t>
  </si>
  <si>
    <t>5203202709890001</t>
  </si>
  <si>
    <t>SERUMBUNG DS. PEMOKONG KEC. JEROWARU KAB. LOMBOK TIMUR</t>
  </si>
  <si>
    <t>1902014210920001</t>
  </si>
  <si>
    <t>75.679.230.5-305.000</t>
  </si>
  <si>
    <t>JL MANGGAR RT. 017 RW. 005 DS BULUH TUMBANG KEC TANJUNGPANDAN</t>
  </si>
  <si>
    <t>5203012311770001</t>
  </si>
  <si>
    <t>GUBUK EMBUNG DS. PIJOT UTARA KEC. KERUAK KAB. LOMBOK TIMUR</t>
  </si>
  <si>
    <t>3313162910710002</t>
  </si>
  <si>
    <t>GONDANGREJO RT. 001 RW. 008 DESA KARANG REJO KEC. KERJO KARANGANYAR JAWA TENGAH</t>
  </si>
  <si>
    <t>5203192712750002</t>
  </si>
  <si>
    <t>ENKA - ENJAK DESA GADUNG MAS KEC. SAKRA BARAT KAB. LOMBOK TIMUR</t>
  </si>
  <si>
    <t>5203190107800567</t>
  </si>
  <si>
    <t>ENJAK - ENJAK DS. GADUNG MAS KEC. SAKRA BARAT KAB. LOMBOK TIMUR</t>
  </si>
  <si>
    <t>5203021009770001</t>
  </si>
  <si>
    <t>ORONG DEWE DS. SAKRA SELATAN KEC. SAKRA KAB. LOMBOK TIMUR</t>
  </si>
  <si>
    <t>5203010107780410</t>
  </si>
  <si>
    <t>DASAN BARU DESA SENYIUR KEC. KERUAK KAB. LOMBOK TIMUR</t>
  </si>
  <si>
    <t>5203100912940002</t>
  </si>
  <si>
    <t>04.970.518.9-305.000</t>
  </si>
  <si>
    <t>KOKOK RAJAK RT.003/RW.000 DESA DADAP KEC. SAMBELIA KAB. LOMBOK TIMUR</t>
  </si>
  <si>
    <t>5203033112850538</t>
  </si>
  <si>
    <t>LISUNG BATU, RT.004/- DS. PANDAN DURI KEC. TERARA KAB LOMBOK TIMUR</t>
  </si>
  <si>
    <t>5203060107910397</t>
  </si>
  <si>
    <t xml:space="preserve">DUSUN GUBUK KEBON DESA SUKAMULIA KEC. SUKAMULIA KAB. LOMBOK TIMUR </t>
  </si>
  <si>
    <t>5203193112720202</t>
  </si>
  <si>
    <t>TEMINYAK DESA KEMBANG ARE SAMPAI KEC. SAKRA BARAT KAB. LOMBOK BARAT</t>
  </si>
  <si>
    <t>5203011706860003</t>
  </si>
  <si>
    <t>DOLOP RT. 030 RW. 010 DESA DOLOPO KEC. DOLOPO KAB. MADIUN JAWA TIMUR</t>
  </si>
  <si>
    <t>1902053112820003</t>
  </si>
  <si>
    <t>JL.MANGGAR DSN KEPAYANG RT.007 RW.002 DESA KACANG BUTOR KEC BADAU</t>
  </si>
  <si>
    <t>5203180102870002</t>
  </si>
  <si>
    <t>REPOK MONTONG DS. SUKARARA KEC. SAKRA BARAT KAB. LOMBOK TIMUR</t>
  </si>
  <si>
    <t>5203043112850134</t>
  </si>
  <si>
    <t>TINGGAR TIMUK DS. SIKUR SELATAN KEC. SIKUR KAB. LOMBOK TIMUR</t>
  </si>
  <si>
    <t>SUHARDI</t>
  </si>
  <si>
    <t>RIKO</t>
  </si>
  <si>
    <t>ASDI</t>
  </si>
  <si>
    <t>JAMALUDDIN</t>
  </si>
  <si>
    <t>1902051609750002</t>
  </si>
  <si>
    <t>97.237.615.6-305.000</t>
  </si>
  <si>
    <t>JL MANGGAR DSN PARIT GUNUNG RT. 005 RW. 003 DESA AIR BATU BUDING KEC. BADAU</t>
  </si>
  <si>
    <t>1902040809880002</t>
  </si>
  <si>
    <t>72.110.508.8-305.000</t>
  </si>
  <si>
    <t>1902051211790002</t>
  </si>
  <si>
    <t>97.237.554.7-305.000</t>
  </si>
  <si>
    <t>AIR BEGANTUNG RT.08 RW.03 DESA KACANG BUTOR KEC. BADAU</t>
  </si>
  <si>
    <t>1114041205890001</t>
  </si>
  <si>
    <t>DESA PEMBAHARUAN RT. 003 RW. 002 DESA PEMBAHARUAN KEC. KELAPA KAMPIT</t>
  </si>
  <si>
    <t>KIBAR SILTON NASIR</t>
  </si>
  <si>
    <t>ASKEP</t>
  </si>
  <si>
    <t>DI KETAHUI OLEH</t>
  </si>
  <si>
    <t>SRI MULYATI</t>
  </si>
  <si>
    <t>APRYANTORO</t>
  </si>
  <si>
    <t>SAHDAN SIBAH</t>
  </si>
  <si>
    <t>KERANI</t>
  </si>
  <si>
    <t>PANEN</t>
  </si>
  <si>
    <t>Roy Cantona Batubara</t>
  </si>
  <si>
    <t>5203020107900803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</si>
</sst>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0_)"/>
    <numFmt numFmtId="168" formatCode="0000000000000000"/>
    <numFmt numFmtId="169" formatCode="000000000000000"/>
    <numFmt numFmtId="170" formatCode="0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u/>
      <sz val="11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b/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name val="Tw Cen MT"/>
      <family val="2"/>
    </font>
    <font>
      <sz val="8"/>
      <name val="Arial"/>
      <family val="2"/>
    </font>
    <font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b/>
      <u val="singleAccounting"/>
      <sz val="10"/>
      <name val="Arial"/>
      <family val="2"/>
    </font>
    <font>
      <b/>
      <u/>
      <sz val="11"/>
      <name val="Arial"/>
      <family val="2"/>
    </font>
    <font>
      <b/>
      <u val="singleAccounting"/>
      <sz val="11"/>
      <name val="Arial"/>
      <family val="2"/>
    </font>
    <font>
      <sz val="11"/>
      <name val="Arial"/>
      <family val="2"/>
    </font>
    <font>
      <sz val="10"/>
      <color rgb="FFFF000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3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20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10" fillId="0" borderId="0"/>
    <xf numFmtId="41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0" fillId="0" borderId="0"/>
    <xf numFmtId="0" fontId="10" fillId="0" borderId="0"/>
    <xf numFmtId="0" fontId="15" fillId="0" borderId="0"/>
    <xf numFmtId="0" fontId="10" fillId="0" borderId="0"/>
    <xf numFmtId="0" fontId="10" fillId="0" borderId="0"/>
    <xf numFmtId="0" fontId="14" fillId="0" borderId="0"/>
    <xf numFmtId="0" fontId="10" fillId="0" borderId="0"/>
    <xf numFmtId="0" fontId="16" fillId="0" borderId="0"/>
    <xf numFmtId="0" fontId="1" fillId="0" borderId="0"/>
    <xf numFmtId="43" fontId="1" fillId="0" borderId="0" applyFont="0" applyFill="0" applyBorder="0" applyAlignment="0" applyProtection="0"/>
  </cellStyleXfs>
  <cellXfs count="276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164" fontId="7" fillId="0" borderId="1" xfId="1" applyFont="1" applyBorder="1" applyAlignment="1">
      <alignment vertical="center"/>
    </xf>
    <xf numFmtId="10" fontId="8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7" fillId="0" borderId="1" xfId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0" borderId="0" xfId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10" fontId="7" fillId="0" borderId="1" xfId="2" applyNumberFormat="1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10" fontId="7" fillId="0" borderId="0" xfId="2" applyNumberFormat="1" applyFont="1" applyAlignment="1">
      <alignment horizontal="right" vertical="center"/>
    </xf>
    <xf numFmtId="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66" fontId="7" fillId="0" borderId="1" xfId="3" applyNumberFormat="1" applyFont="1" applyBorder="1" applyAlignment="1">
      <alignment vertical="center"/>
    </xf>
    <xf numFmtId="9" fontId="7" fillId="0" borderId="0" xfId="0" applyNumberFormat="1" applyFont="1" applyAlignment="1">
      <alignment vertical="center"/>
    </xf>
    <xf numFmtId="166" fontId="5" fillId="0" borderId="0" xfId="3" applyNumberFormat="1" applyFont="1" applyAlignment="1">
      <alignment horizontal="left" vertical="center"/>
    </xf>
    <xf numFmtId="166" fontId="7" fillId="0" borderId="0" xfId="3" applyNumberFormat="1" applyFont="1" applyAlignment="1">
      <alignment horizontal="center" vertical="center"/>
    </xf>
    <xf numFmtId="166" fontId="7" fillId="0" borderId="1" xfId="3" applyNumberFormat="1" applyFont="1" applyBorder="1" applyAlignment="1">
      <alignment horizontal="center" vertical="center"/>
    </xf>
    <xf numFmtId="166" fontId="8" fillId="2" borderId="1" xfId="3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7" fillId="0" borderId="0" xfId="0" quotePrefix="1" applyFont="1" applyAlignment="1">
      <alignment horizontal="right" vertical="center"/>
    </xf>
    <xf numFmtId="0" fontId="10" fillId="0" borderId="0" xfId="5" applyAlignment="1">
      <alignment vertical="center"/>
    </xf>
    <xf numFmtId="41" fontId="10" fillId="0" borderId="0" xfId="6" applyFont="1" applyFill="1" applyAlignment="1">
      <alignment vertical="center"/>
    </xf>
    <xf numFmtId="41" fontId="10" fillId="0" borderId="0" xfId="6" applyFont="1" applyFill="1" applyAlignment="1">
      <alignment horizontal="center" vertical="center"/>
    </xf>
    <xf numFmtId="0" fontId="10" fillId="0" borderId="0" xfId="6" applyNumberFormat="1" applyFont="1" applyFill="1" applyAlignment="1">
      <alignment horizontal="center" vertical="center"/>
    </xf>
    <xf numFmtId="0" fontId="10" fillId="0" borderId="0" xfId="5" applyAlignment="1">
      <alignment horizontal="left" vertical="center"/>
    </xf>
    <xf numFmtId="0" fontId="10" fillId="0" borderId="0" xfId="5" applyAlignment="1">
      <alignment horizontal="center" vertical="center"/>
    </xf>
    <xf numFmtId="9" fontId="10" fillId="0" borderId="0" xfId="7" applyFont="1" applyFill="1" applyAlignment="1">
      <alignment vertical="center"/>
    </xf>
    <xf numFmtId="166" fontId="10" fillId="0" borderId="0" xfId="8" applyNumberFormat="1" applyFont="1" applyFill="1" applyAlignment="1">
      <alignment vertical="center"/>
    </xf>
    <xf numFmtId="41" fontId="10" fillId="0" borderId="0" xfId="9" applyFont="1" applyFill="1" applyAlignment="1">
      <alignment vertical="center"/>
    </xf>
    <xf numFmtId="166" fontId="10" fillId="0" borderId="0" xfId="8" applyNumberFormat="1" applyFont="1" applyAlignment="1">
      <alignment vertical="center"/>
    </xf>
    <xf numFmtId="0" fontId="12" fillId="2" borderId="8" xfId="6" applyNumberFormat="1" applyFont="1" applyFill="1" applyBorder="1" applyAlignment="1">
      <alignment horizontal="center" vertical="center" wrapText="1"/>
    </xf>
    <xf numFmtId="0" fontId="12" fillId="2" borderId="18" xfId="5" applyFont="1" applyFill="1" applyBorder="1" applyAlignment="1">
      <alignment horizontal="center" vertical="center"/>
    </xf>
    <xf numFmtId="0" fontId="10" fillId="0" borderId="19" xfId="5" quotePrefix="1" applyBorder="1" applyAlignment="1">
      <alignment horizontal="center" vertical="center"/>
    </xf>
    <xf numFmtId="167" fontId="14" fillId="0" borderId="19" xfId="5" applyNumberFormat="1" applyFont="1" applyBorder="1" applyAlignment="1">
      <alignment horizontal="left" vertical="center"/>
    </xf>
    <xf numFmtId="168" fontId="14" fillId="0" borderId="19" xfId="5" applyNumberFormat="1" applyFont="1" applyBorder="1" applyAlignment="1">
      <alignment horizontal="center" vertical="center"/>
    </xf>
    <xf numFmtId="169" fontId="14" fillId="0" borderId="19" xfId="6" quotePrefix="1" applyNumberFormat="1" applyFont="1" applyFill="1" applyBorder="1" applyAlignment="1" applyProtection="1">
      <alignment horizontal="center" vertical="center"/>
    </xf>
    <xf numFmtId="0" fontId="14" fillId="0" borderId="19" xfId="10" applyFont="1" applyBorder="1" applyAlignment="1">
      <alignment horizontal="center" vertical="center"/>
    </xf>
    <xf numFmtId="0" fontId="10" fillId="0" borderId="19" xfId="10" applyBorder="1" applyAlignment="1">
      <alignment horizontal="center" vertical="center"/>
    </xf>
    <xf numFmtId="41" fontId="14" fillId="0" borderId="19" xfId="6" applyFont="1" applyFill="1" applyBorder="1" applyAlignment="1" applyProtection="1">
      <alignment horizontal="left" vertical="center"/>
    </xf>
    <xf numFmtId="0" fontId="10" fillId="0" borderId="20" xfId="5" quotePrefix="1" applyBorder="1" applyAlignment="1">
      <alignment horizontal="center" vertical="center"/>
    </xf>
    <xf numFmtId="167" fontId="14" fillId="0" borderId="20" xfId="5" applyNumberFormat="1" applyFont="1" applyBorder="1" applyAlignment="1">
      <alignment horizontal="left" vertical="center"/>
    </xf>
    <xf numFmtId="168" fontId="14" fillId="0" borderId="20" xfId="5" applyNumberFormat="1" applyFont="1" applyBorder="1" applyAlignment="1">
      <alignment horizontal="center" vertical="center"/>
    </xf>
    <xf numFmtId="169" fontId="14" fillId="0" borderId="20" xfId="6" quotePrefix="1" applyNumberFormat="1" applyFont="1" applyFill="1" applyBorder="1" applyAlignment="1" applyProtection="1">
      <alignment horizontal="center" vertical="center"/>
    </xf>
    <xf numFmtId="0" fontId="14" fillId="0" borderId="20" xfId="10" applyFont="1" applyBorder="1" applyAlignment="1">
      <alignment horizontal="center" vertical="center"/>
    </xf>
    <xf numFmtId="0" fontId="10" fillId="0" borderId="20" xfId="10" applyBorder="1" applyAlignment="1">
      <alignment horizontal="center" vertical="center"/>
    </xf>
    <xf numFmtId="41" fontId="14" fillId="0" borderId="20" xfId="6" applyFont="1" applyFill="1" applyBorder="1" applyAlignment="1" applyProtection="1">
      <alignment horizontal="left" vertical="center"/>
    </xf>
    <xf numFmtId="0" fontId="10" fillId="0" borderId="21" xfId="5" quotePrefix="1" applyBorder="1" applyAlignment="1">
      <alignment vertical="center"/>
    </xf>
    <xf numFmtId="41" fontId="10" fillId="0" borderId="21" xfId="6" applyFont="1" applyFill="1" applyBorder="1" applyAlignment="1">
      <alignment vertical="center"/>
    </xf>
    <xf numFmtId="166" fontId="12" fillId="0" borderId="0" xfId="8" applyNumberFormat="1" applyFont="1" applyFill="1" applyAlignment="1">
      <alignment vertical="center"/>
    </xf>
    <xf numFmtId="41" fontId="12" fillId="0" borderId="0" xfId="9" applyFont="1" applyFill="1" applyAlignment="1">
      <alignment vertical="center"/>
    </xf>
    <xf numFmtId="166" fontId="12" fillId="0" borderId="0" xfId="8" applyNumberFormat="1" applyFont="1" applyAlignment="1">
      <alignment vertical="center"/>
    </xf>
    <xf numFmtId="0" fontId="12" fillId="0" borderId="0" xfId="5" applyFont="1" applyAlignment="1">
      <alignment vertical="center"/>
    </xf>
    <xf numFmtId="0" fontId="12" fillId="0" borderId="0" xfId="5" applyFont="1"/>
    <xf numFmtId="0" fontId="10" fillId="0" borderId="0" xfId="5"/>
    <xf numFmtId="0" fontId="10" fillId="0" borderId="0" xfId="11" applyAlignment="1">
      <alignment vertical="center"/>
    </xf>
    <xf numFmtId="0" fontId="10" fillId="0" borderId="0" xfId="11"/>
    <xf numFmtId="0" fontId="10" fillId="0" borderId="0" xfId="11" applyAlignment="1">
      <alignment horizontal="left"/>
    </xf>
    <xf numFmtId="1" fontId="14" fillId="3" borderId="0" xfId="12" applyNumberFormat="1" applyFont="1" applyFill="1" applyAlignment="1">
      <alignment horizontal="left" vertical="center"/>
    </xf>
    <xf numFmtId="0" fontId="14" fillId="3" borderId="0" xfId="13" applyFont="1" applyFill="1"/>
    <xf numFmtId="0" fontId="14" fillId="3" borderId="0" xfId="5" applyFont="1" applyFill="1" applyAlignment="1">
      <alignment horizontal="left"/>
    </xf>
    <xf numFmtId="0" fontId="14" fillId="3" borderId="0" xfId="13" applyFont="1" applyFill="1" applyAlignment="1">
      <alignment vertical="center"/>
    </xf>
    <xf numFmtId="0" fontId="14" fillId="4" borderId="0" xfId="5" applyFont="1" applyFill="1"/>
    <xf numFmtId="0" fontId="14" fillId="3" borderId="0" xfId="5" applyFont="1" applyFill="1"/>
    <xf numFmtId="0" fontId="14" fillId="3" borderId="0" xfId="14" applyFont="1" applyFill="1"/>
    <xf numFmtId="0" fontId="14" fillId="4" borderId="0" xfId="14" applyFont="1" applyFill="1"/>
    <xf numFmtId="0" fontId="14" fillId="3" borderId="0" xfId="15" applyFill="1" applyAlignment="1">
      <alignment vertical="center"/>
    </xf>
    <xf numFmtId="0" fontId="14" fillId="3" borderId="0" xfId="16" applyFont="1" applyFill="1"/>
    <xf numFmtId="0" fontId="14" fillId="5" borderId="0" xfId="5" applyFont="1" applyFill="1"/>
    <xf numFmtId="0" fontId="14" fillId="3" borderId="0" xfId="13" applyFont="1" applyFill="1" applyAlignment="1" applyProtection="1">
      <alignment vertical="center"/>
      <protection locked="0"/>
    </xf>
    <xf numFmtId="0" fontId="14" fillId="3" borderId="0" xfId="17" applyFont="1" applyFill="1" applyAlignment="1" applyProtection="1">
      <alignment vertical="center"/>
      <protection locked="0"/>
    </xf>
    <xf numFmtId="0" fontId="14" fillId="6" borderId="0" xfId="13" applyFont="1" applyFill="1"/>
    <xf numFmtId="0" fontId="17" fillId="3" borderId="0" xfId="14" applyFont="1" applyFill="1"/>
    <xf numFmtId="0" fontId="14" fillId="3" borderId="0" xfId="14" applyFont="1" applyFill="1" applyAlignment="1">
      <alignment horizontal="left"/>
    </xf>
    <xf numFmtId="0" fontId="14" fillId="3" borderId="0" xfId="5" applyFont="1" applyFill="1" applyAlignment="1">
      <alignment vertical="center"/>
    </xf>
    <xf numFmtId="0" fontId="14" fillId="3" borderId="0" xfId="13" applyFont="1" applyFill="1" applyAlignment="1">
      <alignment horizontal="left"/>
    </xf>
    <xf numFmtId="0" fontId="14" fillId="7" borderId="0" xfId="5" applyFont="1" applyFill="1"/>
    <xf numFmtId="0" fontId="10" fillId="3" borderId="0" xfId="5" applyFill="1" applyAlignment="1" applyProtection="1">
      <alignment horizontal="left" vertical="center"/>
      <protection locked="0"/>
    </xf>
    <xf numFmtId="0" fontId="14" fillId="3" borderId="0" xfId="5" applyFont="1" applyFill="1" applyAlignment="1" applyProtection="1">
      <alignment vertical="center"/>
      <protection locked="0"/>
    </xf>
    <xf numFmtId="0" fontId="14" fillId="3" borderId="0" xfId="13" applyFont="1" applyFill="1" applyAlignment="1" applyProtection="1">
      <alignment horizontal="left" vertical="center"/>
      <protection locked="0"/>
    </xf>
    <xf numFmtId="0" fontId="10" fillId="8" borderId="19" xfId="10" applyFill="1" applyBorder="1" applyAlignment="1">
      <alignment horizontal="center" vertical="center"/>
    </xf>
    <xf numFmtId="41" fontId="12" fillId="8" borderId="0" xfId="6" applyFont="1" applyFill="1" applyAlignment="1">
      <alignment vertical="center"/>
    </xf>
    <xf numFmtId="170" fontId="14" fillId="0" borderId="19" xfId="5" quotePrefix="1" applyNumberFormat="1" applyFont="1" applyBorder="1" applyAlignment="1">
      <alignment horizontal="center" vertical="center"/>
    </xf>
    <xf numFmtId="170" fontId="14" fillId="0" borderId="20" xfId="5" quotePrefix="1" applyNumberFormat="1" applyFont="1" applyBorder="1" applyAlignment="1">
      <alignment horizontal="center" vertical="center"/>
    </xf>
    <xf numFmtId="10" fontId="10" fillId="0" borderId="0" xfId="6" applyNumberFormat="1" applyFont="1" applyFill="1" applyAlignment="1">
      <alignment horizontal="center" vertical="center"/>
    </xf>
    <xf numFmtId="0" fontId="12" fillId="2" borderId="29" xfId="5" applyFont="1" applyFill="1" applyBorder="1" applyAlignment="1">
      <alignment horizontal="center" vertical="center"/>
    </xf>
    <xf numFmtId="0" fontId="10" fillId="8" borderId="20" xfId="10" applyFill="1" applyBorder="1" applyAlignment="1">
      <alignment horizontal="center" vertical="center"/>
    </xf>
    <xf numFmtId="41" fontId="14" fillId="8" borderId="19" xfId="6" applyFont="1" applyFill="1" applyBorder="1" applyAlignment="1" applyProtection="1">
      <alignment horizontal="left" vertical="center"/>
    </xf>
    <xf numFmtId="41" fontId="14" fillId="8" borderId="20" xfId="6" applyFont="1" applyFill="1" applyBorder="1" applyAlignment="1" applyProtection="1">
      <alignment horizontal="left" vertical="center"/>
    </xf>
    <xf numFmtId="10" fontId="14" fillId="8" borderId="20" xfId="6" applyNumberFormat="1" applyFont="1" applyFill="1" applyBorder="1" applyAlignment="1" applyProtection="1">
      <alignment horizontal="center" vertical="center"/>
    </xf>
    <xf numFmtId="41" fontId="14" fillId="8" borderId="22" xfId="6" applyFont="1" applyFill="1" applyBorder="1" applyAlignment="1" applyProtection="1">
      <alignment horizontal="left" vertical="center"/>
    </xf>
    <xf numFmtId="0" fontId="20" fillId="9" borderId="3" xfId="5" applyFont="1" applyFill="1" applyBorder="1" applyAlignment="1">
      <alignment horizontal="center" vertical="center"/>
    </xf>
    <xf numFmtId="0" fontId="20" fillId="9" borderId="3" xfId="6" applyNumberFormat="1" applyFont="1" applyFill="1" applyBorder="1" applyAlignment="1">
      <alignment horizontal="center" vertical="center"/>
    </xf>
    <xf numFmtId="0" fontId="21" fillId="0" borderId="0" xfId="8" applyNumberFormat="1" applyFont="1" applyFill="1" applyAlignment="1">
      <alignment horizontal="center" vertical="center"/>
    </xf>
    <xf numFmtId="0" fontId="21" fillId="0" borderId="0" xfId="9" applyNumberFormat="1" applyFont="1" applyFill="1" applyAlignment="1">
      <alignment horizontal="center" vertical="center"/>
    </xf>
    <xf numFmtId="0" fontId="21" fillId="0" borderId="0" xfId="8" applyNumberFormat="1" applyFont="1" applyAlignment="1">
      <alignment horizontal="center" vertical="center"/>
    </xf>
    <xf numFmtId="0" fontId="21" fillId="0" borderId="0" xfId="5" applyFont="1" applyAlignment="1">
      <alignment horizontal="center" vertical="center"/>
    </xf>
    <xf numFmtId="168" fontId="10" fillId="0" borderId="21" xfId="6" applyNumberFormat="1" applyFont="1" applyFill="1" applyBorder="1" applyAlignment="1">
      <alignment horizontal="center" vertical="center"/>
    </xf>
    <xf numFmtId="169" fontId="14" fillId="0" borderId="21" xfId="6" quotePrefix="1" applyNumberFormat="1" applyFont="1" applyFill="1" applyBorder="1" applyAlignment="1" applyProtection="1">
      <alignment horizontal="center" vertical="center"/>
    </xf>
    <xf numFmtId="167" fontId="14" fillId="0" borderId="21" xfId="5" applyNumberFormat="1" applyFont="1" applyBorder="1" applyAlignment="1">
      <alignment horizontal="left" vertical="center"/>
    </xf>
    <xf numFmtId="0" fontId="14" fillId="0" borderId="21" xfId="10" applyFont="1" applyBorder="1" applyAlignment="1">
      <alignment horizontal="center" vertical="center"/>
    </xf>
    <xf numFmtId="0" fontId="10" fillId="0" borderId="21" xfId="10" applyBorder="1" applyAlignment="1">
      <alignment horizontal="center" vertical="center"/>
    </xf>
    <xf numFmtId="0" fontId="10" fillId="8" borderId="21" xfId="10" applyFill="1" applyBorder="1" applyAlignment="1">
      <alignment horizontal="center" vertical="center"/>
    </xf>
    <xf numFmtId="170" fontId="14" fillId="0" borderId="21" xfId="5" quotePrefix="1" applyNumberFormat="1" applyFont="1" applyBorder="1" applyAlignment="1">
      <alignment horizontal="center" vertical="center"/>
    </xf>
    <xf numFmtId="41" fontId="14" fillId="8" borderId="21" xfId="6" applyFont="1" applyFill="1" applyBorder="1" applyAlignment="1" applyProtection="1">
      <alignment horizontal="left" vertical="center"/>
    </xf>
    <xf numFmtId="0" fontId="12" fillId="2" borderId="32" xfId="5" quotePrefix="1" applyFont="1" applyFill="1" applyBorder="1" applyAlignment="1">
      <alignment vertical="center"/>
    </xf>
    <xf numFmtId="166" fontId="12" fillId="2" borderId="32" xfId="3" applyNumberFormat="1" applyFont="1" applyFill="1" applyBorder="1" applyAlignment="1">
      <alignment vertical="center"/>
    </xf>
    <xf numFmtId="41" fontId="10" fillId="8" borderId="19" xfId="6" applyFont="1" applyFill="1" applyBorder="1" applyAlignment="1">
      <alignment vertical="center"/>
    </xf>
    <xf numFmtId="166" fontId="10" fillId="8" borderId="19" xfId="8" applyNumberFormat="1" applyFont="1" applyFill="1" applyBorder="1" applyAlignment="1">
      <alignment vertical="center"/>
    </xf>
    <xf numFmtId="41" fontId="10" fillId="8" borderId="20" xfId="6" applyFont="1" applyFill="1" applyBorder="1" applyAlignment="1">
      <alignment vertical="center"/>
    </xf>
    <xf numFmtId="166" fontId="10" fillId="8" borderId="20" xfId="8" applyNumberFormat="1" applyFont="1" applyFill="1" applyBorder="1" applyAlignment="1">
      <alignment vertical="center"/>
    </xf>
    <xf numFmtId="41" fontId="10" fillId="8" borderId="21" xfId="6" applyFont="1" applyFill="1" applyBorder="1" applyAlignment="1">
      <alignment vertical="center"/>
    </xf>
    <xf numFmtId="166" fontId="10" fillId="8" borderId="21" xfId="8" applyNumberFormat="1" applyFont="1" applyFill="1" applyBorder="1" applyAlignment="1">
      <alignment vertical="center"/>
    </xf>
    <xf numFmtId="166" fontId="10" fillId="8" borderId="22" xfId="8" applyNumberFormat="1" applyFont="1" applyFill="1" applyBorder="1" applyAlignment="1">
      <alignment vertical="center"/>
    </xf>
    <xf numFmtId="164" fontId="7" fillId="0" borderId="0" xfId="1" applyFont="1" applyBorder="1" applyAlignment="1">
      <alignment horizontal="center" vertical="center"/>
    </xf>
    <xf numFmtId="10" fontId="7" fillId="0" borderId="0" xfId="0" applyNumberFormat="1" applyFont="1" applyAlignment="1">
      <alignment vertical="center"/>
    </xf>
    <xf numFmtId="43" fontId="7" fillId="0" borderId="0" xfId="0" applyNumberFormat="1" applyFont="1" applyAlignment="1">
      <alignment vertical="center"/>
    </xf>
    <xf numFmtId="170" fontId="14" fillId="0" borderId="30" xfId="5" quotePrefix="1" applyNumberFormat="1" applyFont="1" applyBorder="1" applyAlignment="1">
      <alignment horizontal="center" vertical="center"/>
    </xf>
    <xf numFmtId="170" fontId="14" fillId="0" borderId="31" xfId="5" quotePrefix="1" applyNumberFormat="1" applyFont="1" applyBorder="1" applyAlignment="1">
      <alignment horizontal="center" vertical="center"/>
    </xf>
    <xf numFmtId="170" fontId="14" fillId="0" borderId="33" xfId="5" quotePrefix="1" applyNumberFormat="1" applyFont="1" applyBorder="1" applyAlignment="1">
      <alignment horizontal="center" vertical="center"/>
    </xf>
    <xf numFmtId="0" fontId="12" fillId="2" borderId="34" xfId="5" quotePrefix="1" applyFont="1" applyFill="1" applyBorder="1" applyAlignment="1">
      <alignment vertical="center"/>
    </xf>
    <xf numFmtId="9" fontId="10" fillId="0" borderId="0" xfId="6" applyNumberFormat="1" applyFont="1" applyFill="1" applyAlignment="1">
      <alignment vertical="center"/>
    </xf>
    <xf numFmtId="41" fontId="12" fillId="2" borderId="11" xfId="6" applyFont="1" applyFill="1" applyBorder="1" applyAlignment="1">
      <alignment horizontal="center" vertical="center"/>
    </xf>
    <xf numFmtId="0" fontId="12" fillId="2" borderId="2" xfId="5" applyFont="1" applyFill="1" applyBorder="1" applyAlignment="1">
      <alignment horizontal="center" vertical="center"/>
    </xf>
    <xf numFmtId="0" fontId="12" fillId="2" borderId="3" xfId="5" applyFont="1" applyFill="1" applyBorder="1" applyAlignment="1">
      <alignment horizontal="center" vertical="center"/>
    </xf>
    <xf numFmtId="0" fontId="12" fillId="2" borderId="2" xfId="5" quotePrefix="1" applyFont="1" applyFill="1" applyBorder="1" applyAlignment="1">
      <alignment vertical="center"/>
    </xf>
    <xf numFmtId="0" fontId="12" fillId="2" borderId="16" xfId="5" quotePrefix="1" applyFont="1" applyFill="1" applyBorder="1" applyAlignment="1">
      <alignment vertical="center"/>
    </xf>
    <xf numFmtId="166" fontId="12" fillId="2" borderId="3" xfId="3" applyNumberFormat="1" applyFont="1" applyFill="1" applyBorder="1" applyAlignment="1">
      <alignment vertical="center"/>
    </xf>
    <xf numFmtId="41" fontId="10" fillId="0" borderId="19" xfId="6" applyFont="1" applyFill="1" applyBorder="1" applyAlignment="1">
      <alignment vertical="center"/>
    </xf>
    <xf numFmtId="41" fontId="10" fillId="0" borderId="20" xfId="6" applyFont="1" applyFill="1" applyBorder="1" applyAlignment="1">
      <alignment vertical="center"/>
    </xf>
    <xf numFmtId="41" fontId="10" fillId="0" borderId="22" xfId="6" applyFont="1" applyFill="1" applyBorder="1" applyAlignment="1">
      <alignment vertical="center"/>
    </xf>
    <xf numFmtId="41" fontId="14" fillId="8" borderId="7" xfId="6" applyFont="1" applyFill="1" applyBorder="1" applyAlignment="1" applyProtection="1">
      <alignment horizontal="left" vertical="center"/>
    </xf>
    <xf numFmtId="0" fontId="7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10" fillId="0" borderId="0" xfId="1" applyFont="1" applyAlignment="1">
      <alignment vertical="center"/>
    </xf>
    <xf numFmtId="41" fontId="10" fillId="0" borderId="0" xfId="5" applyNumberFormat="1" applyAlignment="1">
      <alignment vertical="center"/>
    </xf>
    <xf numFmtId="0" fontId="12" fillId="2" borderId="3" xfId="6" applyNumberFormat="1" applyFont="1" applyFill="1" applyBorder="1" applyAlignment="1">
      <alignment horizontal="center" vertical="center" wrapText="1"/>
    </xf>
    <xf numFmtId="0" fontId="10" fillId="0" borderId="35" xfId="5" quotePrefix="1" applyBorder="1" applyAlignment="1">
      <alignment horizontal="center" vertical="center"/>
    </xf>
    <xf numFmtId="167" fontId="14" fillId="0" borderId="35" xfId="5" applyNumberFormat="1" applyFont="1" applyBorder="1" applyAlignment="1">
      <alignment horizontal="left" vertical="center"/>
    </xf>
    <xf numFmtId="168" fontId="14" fillId="0" borderId="35" xfId="5" applyNumberFormat="1" applyFont="1" applyBorder="1" applyAlignment="1">
      <alignment horizontal="center" vertical="center"/>
    </xf>
    <xf numFmtId="169" fontId="14" fillId="0" borderId="35" xfId="6" quotePrefix="1" applyNumberFormat="1" applyFont="1" applyFill="1" applyBorder="1" applyAlignment="1" applyProtection="1">
      <alignment horizontal="center" vertical="center"/>
    </xf>
    <xf numFmtId="0" fontId="14" fillId="0" borderId="35" xfId="10" applyFont="1" applyBorder="1" applyAlignment="1">
      <alignment horizontal="center" vertical="center"/>
    </xf>
    <xf numFmtId="0" fontId="10" fillId="0" borderId="35" xfId="10" applyBorder="1" applyAlignment="1">
      <alignment horizontal="center" vertical="center"/>
    </xf>
    <xf numFmtId="41" fontId="14" fillId="0" borderId="35" xfId="6" applyFont="1" applyFill="1" applyBorder="1" applyAlignment="1" applyProtection="1">
      <alignment horizontal="left" vertical="center"/>
    </xf>
    <xf numFmtId="10" fontId="12" fillId="2" borderId="3" xfId="6" applyNumberFormat="1" applyFont="1" applyFill="1" applyBorder="1" applyAlignment="1">
      <alignment horizontal="center" vertical="center" wrapText="1"/>
    </xf>
    <xf numFmtId="167" fontId="14" fillId="0" borderId="19" xfId="5" applyNumberFormat="1" applyFont="1" applyBorder="1" applyAlignment="1">
      <alignment horizontal="center" vertical="center"/>
    </xf>
    <xf numFmtId="41" fontId="14" fillId="8" borderId="35" xfId="6" applyFont="1" applyFill="1" applyBorder="1" applyAlignment="1" applyProtection="1">
      <alignment horizontal="left" vertical="center"/>
    </xf>
    <xf numFmtId="10" fontId="14" fillId="8" borderId="35" xfId="6" applyNumberFormat="1" applyFont="1" applyFill="1" applyBorder="1" applyAlignment="1" applyProtection="1">
      <alignment horizontal="center" vertical="center"/>
    </xf>
    <xf numFmtId="41" fontId="14" fillId="8" borderId="36" xfId="6" applyFont="1" applyFill="1" applyBorder="1" applyAlignment="1" applyProtection="1">
      <alignment horizontal="left" vertical="center"/>
    </xf>
    <xf numFmtId="167" fontId="14" fillId="0" borderId="35" xfId="5" applyNumberFormat="1" applyFont="1" applyBorder="1" applyAlignment="1">
      <alignment horizontal="center" vertical="center"/>
    </xf>
    <xf numFmtId="41" fontId="14" fillId="8" borderId="37" xfId="6" applyFont="1" applyFill="1" applyBorder="1" applyAlignment="1" applyProtection="1">
      <alignment horizontal="left" vertical="center"/>
    </xf>
    <xf numFmtId="3" fontId="10" fillId="0" borderId="0" xfId="5" applyNumberFormat="1" applyAlignment="1">
      <alignment vertical="center"/>
    </xf>
    <xf numFmtId="41" fontId="12" fillId="0" borderId="0" xfId="5" applyNumberFormat="1" applyFont="1" applyAlignment="1">
      <alignment vertical="center"/>
    </xf>
    <xf numFmtId="3" fontId="12" fillId="0" borderId="0" xfId="5" applyNumberFormat="1" applyFont="1" applyAlignment="1">
      <alignment vertical="center"/>
    </xf>
    <xf numFmtId="0" fontId="12" fillId="0" borderId="0" xfId="5" applyFont="1" applyAlignment="1">
      <alignment horizontal="center" vertical="center"/>
    </xf>
    <xf numFmtId="0" fontId="12" fillId="0" borderId="0" xfId="5" applyFont="1" applyAlignment="1">
      <alignment horizontal="center" vertical="center" wrapText="1"/>
    </xf>
    <xf numFmtId="3" fontId="12" fillId="0" borderId="0" xfId="5" applyNumberFormat="1" applyFont="1"/>
    <xf numFmtId="168" fontId="14" fillId="0" borderId="20" xfId="5" quotePrefix="1" applyNumberFormat="1" applyFont="1" applyBorder="1" applyAlignment="1">
      <alignment horizontal="center" vertical="center"/>
    </xf>
    <xf numFmtId="167" fontId="14" fillId="0" borderId="35" xfId="5" applyNumberFormat="1" applyFont="1" applyFill="1" applyBorder="1" applyAlignment="1">
      <alignment horizontal="left" vertical="center"/>
    </xf>
    <xf numFmtId="167" fontId="14" fillId="0" borderId="20" xfId="5" applyNumberFormat="1" applyFont="1" applyBorder="1" applyAlignment="1">
      <alignment horizontal="left" vertical="center" wrapText="1"/>
    </xf>
    <xf numFmtId="0" fontId="10" fillId="0" borderId="20" xfId="10" applyFill="1" applyBorder="1" applyAlignment="1">
      <alignment horizontal="center" vertical="center"/>
    </xf>
    <xf numFmtId="0" fontId="10" fillId="0" borderId="35" xfId="10" applyFill="1" applyBorder="1" applyAlignment="1">
      <alignment horizontal="center" vertical="center"/>
    </xf>
    <xf numFmtId="41" fontId="14" fillId="8" borderId="39" xfId="6" applyFont="1" applyFill="1" applyBorder="1" applyAlignment="1" applyProtection="1">
      <alignment horizontal="left" vertical="center"/>
    </xf>
    <xf numFmtId="41" fontId="14" fillId="8" borderId="40" xfId="6" applyFont="1" applyFill="1" applyBorder="1" applyAlignment="1" applyProtection="1">
      <alignment horizontal="left" vertical="center"/>
    </xf>
    <xf numFmtId="41" fontId="14" fillId="8" borderId="41" xfId="6" applyFont="1" applyFill="1" applyBorder="1" applyAlignment="1" applyProtection="1">
      <alignment horizontal="left" vertical="center"/>
    </xf>
    <xf numFmtId="41" fontId="14" fillId="0" borderId="14" xfId="6" applyFont="1" applyFill="1" applyBorder="1" applyAlignment="1" applyProtection="1">
      <alignment horizontal="left" vertical="center"/>
    </xf>
    <xf numFmtId="166" fontId="13" fillId="10" borderId="0" xfId="3" applyNumberFormat="1" applyFont="1" applyFill="1" applyBorder="1" applyAlignment="1">
      <alignment vertical="center"/>
    </xf>
    <xf numFmtId="0" fontId="10" fillId="0" borderId="0" xfId="5" applyFont="1" applyAlignment="1">
      <alignment horizontal="left" vertical="center"/>
    </xf>
    <xf numFmtId="0" fontId="10" fillId="0" borderId="0" xfId="5" applyFont="1" applyAlignment="1">
      <alignment horizontal="center" vertical="center"/>
    </xf>
    <xf numFmtId="0" fontId="10" fillId="0" borderId="0" xfId="11" applyFont="1"/>
    <xf numFmtId="0" fontId="10" fillId="0" borderId="0" xfId="5" applyFont="1" applyAlignment="1">
      <alignment vertical="center"/>
    </xf>
    <xf numFmtId="3" fontId="10" fillId="0" borderId="0" xfId="5" applyNumberFormat="1" applyFont="1" applyAlignment="1">
      <alignment vertical="center"/>
    </xf>
    <xf numFmtId="0" fontId="10" fillId="0" borderId="0" xfId="5" applyFont="1"/>
    <xf numFmtId="0" fontId="23" fillId="10" borderId="0" xfId="0" applyFont="1" applyFill="1" applyBorder="1" applyAlignment="1">
      <alignment horizontal="center" vertical="center"/>
    </xf>
    <xf numFmtId="166" fontId="24" fillId="10" borderId="0" xfId="3" applyNumberFormat="1" applyFont="1" applyFill="1" applyBorder="1" applyAlignment="1">
      <alignment vertical="center"/>
    </xf>
    <xf numFmtId="3" fontId="25" fillId="10" borderId="0" xfId="0" applyNumberFormat="1" applyFont="1" applyFill="1" applyBorder="1" applyAlignment="1"/>
    <xf numFmtId="0" fontId="12" fillId="2" borderId="38" xfId="6" applyNumberFormat="1" applyFont="1" applyFill="1" applyBorder="1" applyAlignment="1">
      <alignment horizontal="center" vertical="center" wrapText="1"/>
    </xf>
    <xf numFmtId="0" fontId="10" fillId="0" borderId="42" xfId="5" applyBorder="1" applyAlignment="1">
      <alignment vertical="center"/>
    </xf>
    <xf numFmtId="0" fontId="10" fillId="0" borderId="43" xfId="5" applyBorder="1" applyAlignment="1">
      <alignment vertical="center"/>
    </xf>
    <xf numFmtId="0" fontId="12" fillId="0" borderId="3" xfId="5" applyFont="1" applyBorder="1" applyAlignment="1">
      <alignment horizontal="center" vertical="center" wrapText="1"/>
    </xf>
    <xf numFmtId="41" fontId="14" fillId="8" borderId="44" xfId="6" applyFont="1" applyFill="1" applyBorder="1" applyAlignment="1" applyProtection="1">
      <alignment horizontal="left" vertical="center"/>
    </xf>
    <xf numFmtId="41" fontId="14" fillId="8" borderId="45" xfId="6" applyFont="1" applyFill="1" applyBorder="1" applyAlignment="1" applyProtection="1">
      <alignment horizontal="left" vertical="center"/>
    </xf>
    <xf numFmtId="41" fontId="26" fillId="0" borderId="43" xfId="5" applyNumberFormat="1" applyFont="1" applyBorder="1" applyAlignment="1">
      <alignment vertical="center"/>
    </xf>
    <xf numFmtId="0" fontId="10" fillId="0" borderId="46" xfId="5" applyBorder="1" applyAlignment="1">
      <alignment vertical="center"/>
    </xf>
    <xf numFmtId="0" fontId="12" fillId="0" borderId="0" xfId="5" applyFont="1" applyBorder="1" applyAlignment="1">
      <alignment horizontal="center" vertical="center" wrapText="1"/>
    </xf>
    <xf numFmtId="0" fontId="10" fillId="0" borderId="0" xfId="5" applyBorder="1" applyAlignment="1">
      <alignment vertical="center"/>
    </xf>
    <xf numFmtId="41" fontId="26" fillId="0" borderId="0" xfId="5" applyNumberFormat="1" applyFont="1" applyBorder="1" applyAlignment="1">
      <alignment vertical="center"/>
    </xf>
    <xf numFmtId="166" fontId="12" fillId="2" borderId="0" xfId="3" applyNumberFormat="1" applyFont="1" applyFill="1" applyBorder="1" applyAlignment="1">
      <alignment vertical="center"/>
    </xf>
    <xf numFmtId="41" fontId="12" fillId="0" borderId="0" xfId="5" applyNumberFormat="1" applyFont="1" applyFill="1" applyAlignment="1">
      <alignment vertical="center"/>
    </xf>
    <xf numFmtId="0" fontId="12" fillId="2" borderId="9" xfId="5" applyFont="1" applyFill="1" applyBorder="1" applyAlignment="1">
      <alignment horizontal="center" vertical="center" wrapText="1"/>
    </xf>
    <xf numFmtId="41" fontId="12" fillId="2" borderId="7" xfId="6" applyFont="1" applyFill="1" applyBorder="1" applyAlignment="1">
      <alignment horizontal="center" vertical="center"/>
    </xf>
    <xf numFmtId="41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166" fontId="13" fillId="10" borderId="0" xfId="3" applyNumberFormat="1" applyFont="1" applyFill="1" applyBorder="1" applyAlignment="1">
      <alignment horizontal="center" vertical="center"/>
    </xf>
    <xf numFmtId="41" fontId="10" fillId="0" borderId="0" xfId="6" applyFont="1" applyFill="1" applyAlignment="1">
      <alignment horizontal="center" vertical="center"/>
    </xf>
    <xf numFmtId="166" fontId="13" fillId="10" borderId="0" xfId="3" applyNumberFormat="1" applyFont="1" applyFill="1" applyBorder="1" applyAlignment="1">
      <alignment horizontal="center" vertical="center"/>
    </xf>
    <xf numFmtId="0" fontId="10" fillId="0" borderId="35" xfId="5" quotePrefix="1" applyFill="1" applyBorder="1" applyAlignment="1">
      <alignment horizontal="center" vertical="center"/>
    </xf>
    <xf numFmtId="168" fontId="14" fillId="0" borderId="35" xfId="5" applyNumberFormat="1" applyFont="1" applyFill="1" applyBorder="1" applyAlignment="1">
      <alignment horizontal="center" vertical="center"/>
    </xf>
    <xf numFmtId="167" fontId="14" fillId="0" borderId="35" xfId="5" applyNumberFormat="1" applyFont="1" applyFill="1" applyBorder="1" applyAlignment="1">
      <alignment horizontal="center" vertical="center"/>
    </xf>
    <xf numFmtId="0" fontId="14" fillId="0" borderId="35" xfId="10" applyFont="1" applyFill="1" applyBorder="1" applyAlignment="1">
      <alignment horizontal="center" vertical="center"/>
    </xf>
    <xf numFmtId="41" fontId="14" fillId="0" borderId="44" xfId="6" applyFont="1" applyFill="1" applyBorder="1" applyAlignment="1" applyProtection="1">
      <alignment horizontal="left" vertical="center"/>
    </xf>
    <xf numFmtId="41" fontId="14" fillId="0" borderId="40" xfId="6" applyFont="1" applyFill="1" applyBorder="1" applyAlignment="1" applyProtection="1">
      <alignment horizontal="left" vertical="center"/>
    </xf>
    <xf numFmtId="0" fontId="10" fillId="0" borderId="43" xfId="5" applyFill="1" applyBorder="1" applyAlignment="1">
      <alignment vertical="center"/>
    </xf>
    <xf numFmtId="0" fontId="10" fillId="0" borderId="0" xfId="5" applyFill="1" applyBorder="1" applyAlignment="1">
      <alignment vertical="center"/>
    </xf>
    <xf numFmtId="41" fontId="10" fillId="0" borderId="0" xfId="5" applyNumberFormat="1" applyFill="1" applyAlignment="1">
      <alignment vertical="center"/>
    </xf>
    <xf numFmtId="164" fontId="10" fillId="0" borderId="0" xfId="1" applyFont="1" applyFill="1" applyAlignment="1">
      <alignment vertical="center"/>
    </xf>
    <xf numFmtId="0" fontId="10" fillId="0" borderId="0" xfId="5" applyFill="1" applyAlignment="1">
      <alignment vertical="center"/>
    </xf>
    <xf numFmtId="168" fontId="14" fillId="0" borderId="20" xfId="5" applyNumberFormat="1" applyFont="1" applyFill="1" applyBorder="1" applyAlignment="1">
      <alignment horizontal="center" vertical="center"/>
    </xf>
    <xf numFmtId="167" fontId="14" fillId="0" borderId="20" xfId="5" applyNumberFormat="1" applyFont="1" applyFill="1" applyBorder="1" applyAlignment="1">
      <alignment horizontal="left" vertical="center"/>
    </xf>
    <xf numFmtId="0" fontId="14" fillId="0" borderId="20" xfId="10" applyFont="1" applyFill="1" applyBorder="1" applyAlignment="1">
      <alignment horizontal="center" vertical="center"/>
    </xf>
    <xf numFmtId="41" fontId="26" fillId="0" borderId="43" xfId="5" applyNumberFormat="1" applyFont="1" applyFill="1" applyBorder="1" applyAlignment="1">
      <alignment vertical="center"/>
    </xf>
    <xf numFmtId="41" fontId="26" fillId="0" borderId="0" xfId="5" applyNumberFormat="1" applyFont="1" applyFill="1" applyBorder="1" applyAlignment="1">
      <alignment vertical="center"/>
    </xf>
    <xf numFmtId="41" fontId="14" fillId="0" borderId="41" xfId="6" applyFont="1" applyFill="1" applyBorder="1" applyAlignment="1" applyProtection="1">
      <alignment horizontal="left" vertical="center"/>
    </xf>
    <xf numFmtId="41" fontId="12" fillId="0" borderId="0" xfId="5" applyNumberFormat="1" applyFont="1" applyFill="1" applyAlignment="1">
      <alignment horizontal="center" vertical="center"/>
    </xf>
    <xf numFmtId="41" fontId="12" fillId="0" borderId="0" xfId="5" applyNumberFormat="1" applyFont="1" applyAlignment="1">
      <alignment horizontal="center" vertical="center"/>
    </xf>
    <xf numFmtId="0" fontId="27" fillId="0" borderId="0" xfId="5" applyFont="1" applyFill="1" applyAlignment="1">
      <alignment vertical="center"/>
    </xf>
    <xf numFmtId="41" fontId="27" fillId="0" borderId="0" xfId="6" applyFont="1" applyFill="1" applyAlignment="1">
      <alignment vertical="center"/>
    </xf>
    <xf numFmtId="41" fontId="27" fillId="0" borderId="0" xfId="6" applyFont="1" applyFill="1" applyAlignment="1">
      <alignment horizontal="center" vertical="center"/>
    </xf>
    <xf numFmtId="0" fontId="27" fillId="0" borderId="0" xfId="6" applyNumberFormat="1" applyFont="1" applyFill="1" applyAlignment="1">
      <alignment horizontal="center" vertical="center"/>
    </xf>
    <xf numFmtId="0" fontId="27" fillId="0" borderId="0" xfId="5" applyFont="1" applyFill="1" applyAlignment="1">
      <alignment horizontal="left" vertical="center"/>
    </xf>
    <xf numFmtId="0" fontId="27" fillId="0" borderId="0" xfId="5" applyFont="1" applyFill="1" applyAlignment="1">
      <alignment horizontal="center" vertical="center"/>
    </xf>
    <xf numFmtId="10" fontId="27" fillId="0" borderId="0" xfId="6" applyNumberFormat="1" applyFont="1" applyFill="1" applyAlignment="1">
      <alignment horizontal="center" vertical="center"/>
    </xf>
    <xf numFmtId="3" fontId="27" fillId="0" borderId="0" xfId="5" applyNumberFormat="1" applyFont="1" applyFill="1" applyAlignment="1">
      <alignment vertical="center"/>
    </xf>
    <xf numFmtId="166" fontId="27" fillId="0" borderId="0" xfId="5" applyNumberFormat="1" applyFont="1" applyFill="1" applyAlignment="1">
      <alignment vertical="center"/>
    </xf>
    <xf numFmtId="43" fontId="27" fillId="0" borderId="0" xfId="5" applyNumberFormat="1" applyFont="1" applyFill="1"/>
    <xf numFmtId="41" fontId="28" fillId="0" borderId="0" xfId="5" applyNumberFormat="1" applyFont="1" applyFill="1"/>
    <xf numFmtId="0" fontId="27" fillId="0" borderId="0" xfId="5" applyFont="1" applyFill="1"/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2" borderId="9" xfId="5" applyFont="1" applyFill="1" applyBorder="1" applyAlignment="1">
      <alignment horizontal="center" vertical="center" wrapText="1"/>
    </xf>
    <xf numFmtId="0" fontId="12" fillId="2" borderId="8" xfId="5" applyFont="1" applyFill="1" applyBorder="1" applyAlignment="1">
      <alignment horizontal="center" vertical="center" wrapText="1"/>
    </xf>
    <xf numFmtId="0" fontId="12" fillId="2" borderId="6" xfId="5" applyFont="1" applyFill="1" applyBorder="1" applyAlignment="1">
      <alignment horizontal="center" vertical="center" textRotation="90" wrapText="1"/>
    </xf>
    <xf numFmtId="0" fontId="12" fillId="2" borderId="13" xfId="5" applyFont="1" applyFill="1" applyBorder="1" applyAlignment="1">
      <alignment horizontal="center" vertical="center" textRotation="90" wrapText="1"/>
    </xf>
    <xf numFmtId="0" fontId="12" fillId="2" borderId="17" xfId="5" applyFont="1" applyFill="1" applyBorder="1" applyAlignment="1">
      <alignment horizontal="center" vertical="center" textRotation="90" wrapText="1"/>
    </xf>
    <xf numFmtId="41" fontId="12" fillId="2" borderId="7" xfId="6" applyFont="1" applyFill="1" applyBorder="1" applyAlignment="1">
      <alignment horizontal="center" vertical="center"/>
    </xf>
    <xf numFmtId="41" fontId="12" fillId="2" borderId="14" xfId="6" applyFont="1" applyFill="1" applyBorder="1" applyAlignment="1">
      <alignment horizontal="center" vertical="center"/>
    </xf>
    <xf numFmtId="41" fontId="12" fillId="2" borderId="18" xfId="6" applyFont="1" applyFill="1" applyBorder="1" applyAlignment="1">
      <alignment horizontal="center" vertical="center"/>
    </xf>
    <xf numFmtId="41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0" fontId="12" fillId="2" borderId="8" xfId="6" applyNumberFormat="1" applyFont="1" applyFill="1" applyBorder="1" applyAlignment="1">
      <alignment horizontal="center" vertical="center" wrapText="1"/>
    </xf>
    <xf numFmtId="0" fontId="12" fillId="2" borderId="12" xfId="6" applyNumberFormat="1" applyFont="1" applyFill="1" applyBorder="1" applyAlignment="1">
      <alignment horizontal="center" vertical="center" wrapText="1"/>
    </xf>
    <xf numFmtId="0" fontId="12" fillId="2" borderId="23" xfId="6" applyNumberFormat="1" applyFont="1" applyFill="1" applyBorder="1" applyAlignment="1">
      <alignment horizontal="center" vertical="center" wrapText="1"/>
    </xf>
    <xf numFmtId="0" fontId="12" fillId="2" borderId="24" xfId="6" applyNumberFormat="1" applyFont="1" applyFill="1" applyBorder="1" applyAlignment="1">
      <alignment horizontal="center" vertical="center" wrapText="1"/>
    </xf>
    <xf numFmtId="0" fontId="12" fillId="2" borderId="25" xfId="6" applyNumberFormat="1" applyFont="1" applyFill="1" applyBorder="1" applyAlignment="1">
      <alignment horizontal="center" vertical="center" wrapText="1"/>
    </xf>
    <xf numFmtId="0" fontId="12" fillId="2" borderId="28" xfId="6" applyNumberFormat="1" applyFont="1" applyFill="1" applyBorder="1" applyAlignment="1">
      <alignment horizontal="center" vertical="center" wrapText="1"/>
    </xf>
    <xf numFmtId="0" fontId="12" fillId="2" borderId="4" xfId="5" applyFont="1" applyFill="1" applyBorder="1" applyAlignment="1">
      <alignment horizontal="center" vertical="center"/>
    </xf>
    <xf numFmtId="0" fontId="12" fillId="2" borderId="10" xfId="5" applyFont="1" applyFill="1" applyBorder="1" applyAlignment="1">
      <alignment horizontal="center" vertical="center"/>
    </xf>
    <xf numFmtId="0" fontId="12" fillId="2" borderId="5" xfId="5" applyFont="1" applyFill="1" applyBorder="1" applyAlignment="1">
      <alignment horizontal="center" vertical="center"/>
    </xf>
    <xf numFmtId="0" fontId="12" fillId="2" borderId="15" xfId="5" applyFont="1" applyFill="1" applyBorder="1" applyAlignment="1">
      <alignment horizontal="center" vertical="center"/>
    </xf>
    <xf numFmtId="0" fontId="13" fillId="2" borderId="2" xfId="6" applyNumberFormat="1" applyFont="1" applyFill="1" applyBorder="1" applyAlignment="1">
      <alignment horizontal="center" vertical="center"/>
    </xf>
    <xf numFmtId="0" fontId="13" fillId="2" borderId="16" xfId="6" applyNumberFormat="1" applyFont="1" applyFill="1" applyBorder="1" applyAlignment="1">
      <alignment horizontal="center" vertical="center"/>
    </xf>
    <xf numFmtId="41" fontId="12" fillId="2" borderId="26" xfId="6" applyFont="1" applyFill="1" applyBorder="1" applyAlignment="1">
      <alignment horizontal="center" vertical="center"/>
    </xf>
    <xf numFmtId="41" fontId="12" fillId="2" borderId="27" xfId="6" applyFont="1" applyFill="1" applyBorder="1" applyAlignment="1">
      <alignment horizontal="center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0" fontId="12" fillId="2" borderId="27" xfId="6" applyNumberFormat="1" applyFont="1" applyFill="1" applyBorder="1" applyAlignment="1">
      <alignment horizontal="center" vertical="center"/>
    </xf>
    <xf numFmtId="0" fontId="12" fillId="2" borderId="10" xfId="6" applyNumberFormat="1" applyFont="1" applyFill="1" applyBorder="1" applyAlignment="1">
      <alignment horizontal="center" vertical="center" wrapText="1"/>
    </xf>
    <xf numFmtId="0" fontId="12" fillId="2" borderId="15" xfId="6" applyNumberFormat="1" applyFont="1" applyFill="1" applyBorder="1" applyAlignment="1">
      <alignment horizontal="center" vertical="center"/>
    </xf>
    <xf numFmtId="0" fontId="12" fillId="2" borderId="2" xfId="5" applyFont="1" applyFill="1" applyBorder="1" applyAlignment="1">
      <alignment horizontal="center" vertical="center" wrapText="1"/>
    </xf>
    <xf numFmtId="0" fontId="12" fillId="2" borderId="16" xfId="5" applyFont="1" applyFill="1" applyBorder="1" applyAlignment="1">
      <alignment horizontal="center" vertical="center" wrapText="1"/>
    </xf>
    <xf numFmtId="166" fontId="13" fillId="10" borderId="0" xfId="3" applyNumberFormat="1" applyFont="1" applyFill="1" applyBorder="1" applyAlignment="1">
      <alignment horizontal="center" vertical="center"/>
    </xf>
    <xf numFmtId="41" fontId="12" fillId="0" borderId="0" xfId="6" applyFont="1" applyFill="1" applyAlignment="1">
      <alignment horizontal="center" vertical="center"/>
    </xf>
    <xf numFmtId="166" fontId="24" fillId="10" borderId="0" xfId="3" applyNumberFormat="1" applyFont="1" applyFill="1" applyBorder="1" applyAlignment="1">
      <alignment horizontal="center" vertical="center"/>
    </xf>
    <xf numFmtId="41" fontId="22" fillId="0" borderId="0" xfId="6" applyFont="1" applyFill="1" applyAlignment="1">
      <alignment horizontal="center" vertical="center"/>
    </xf>
    <xf numFmtId="3" fontId="25" fillId="10" borderId="0" xfId="0" applyNumberFormat="1" applyFont="1" applyFill="1" applyBorder="1" applyAlignment="1">
      <alignment horizontal="center"/>
    </xf>
    <xf numFmtId="41" fontId="10" fillId="0" borderId="0" xfId="6" applyFont="1" applyFill="1" applyAlignment="1">
      <alignment horizontal="center" vertical="center"/>
    </xf>
    <xf numFmtId="167" fontId="14" fillId="11" borderId="35" xfId="5" applyNumberFormat="1" applyFont="1" applyFill="1" applyBorder="1" applyAlignment="1">
      <alignment horizontal="left" vertical="center"/>
    </xf>
    <xf numFmtId="168" fontId="14" fillId="11" borderId="20" xfId="5" quotePrefix="1" applyNumberFormat="1" applyFont="1" applyFill="1" applyBorder="1" applyAlignment="1">
      <alignment horizontal="center" vertical="center"/>
    </xf>
  </cellXfs>
  <cellStyles count="20">
    <cellStyle name="Comma" xfId="3" builtinId="3"/>
    <cellStyle name="Comma [0]" xfId="1" builtinId="6"/>
    <cellStyle name="Comma [0] 2" xfId="9"/>
    <cellStyle name="Comma [0] 4" xfId="6"/>
    <cellStyle name="Comma 2" xfId="8"/>
    <cellStyle name="Comma 3" xfId="19"/>
    <cellStyle name="Normal" xfId="0" builtinId="0"/>
    <cellStyle name="Normal 2" xfId="4"/>
    <cellStyle name="Normal 3" xfId="5"/>
    <cellStyle name="Normal 4" xfId="18"/>
    <cellStyle name="Normal 6 2" xfId="11"/>
    <cellStyle name="Normal_Absent2007 NEWOO" xfId="17"/>
    <cellStyle name="Normal_Book1" xfId="12"/>
    <cellStyle name="Normal_Sheet1" xfId="13"/>
    <cellStyle name="Normal_Sheet1_1" xfId="15"/>
    <cellStyle name="Normal_Sheet3" xfId="16"/>
    <cellStyle name="Normal_TAGIHAN APR-MEI'06" xfId="14"/>
    <cellStyle name="Normal_Tetap" xfId="10"/>
    <cellStyle name="Percent" xfId="2" builtinId="5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ELD%20CONDUCTO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DAFTAR%20UPAH%20JANUARI%202026%20DIV%20AIR%20BAT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Jan'24"/>
      <sheetName val="Feb'24"/>
      <sheetName val="Maret'24"/>
      <sheetName val="April'24"/>
      <sheetName val="Mei'24"/>
      <sheetName val="Juni'24"/>
      <sheetName val="Juli'24"/>
      <sheetName val="Agust'24"/>
      <sheetName val="Sept'24"/>
      <sheetName val="Okt'24"/>
      <sheetName val="Nop'24"/>
      <sheetName val="Des'24"/>
      <sheetName val="Des"/>
    </sheetNames>
    <sheetDataSet>
      <sheetData sheetId="0" refreshError="1">
        <row r="3">
          <cell r="B3">
            <v>0</v>
          </cell>
          <cell r="C3" t="str">
            <v>s.d</v>
          </cell>
          <cell r="D3">
            <v>5400000</v>
          </cell>
          <cell r="E3">
            <v>0</v>
          </cell>
          <cell r="H3">
            <v>0</v>
          </cell>
          <cell r="I3" t="str">
            <v>s.d</v>
          </cell>
          <cell r="J3">
            <v>6200000</v>
          </cell>
          <cell r="K3">
            <v>0</v>
          </cell>
          <cell r="N3">
            <v>0</v>
          </cell>
          <cell r="O3" t="str">
            <v>s.d</v>
          </cell>
          <cell r="P3">
            <v>6600000</v>
          </cell>
          <cell r="Q3">
            <v>0</v>
          </cell>
        </row>
        <row r="4">
          <cell r="B4">
            <v>5400001</v>
          </cell>
          <cell r="C4" t="str">
            <v>s.d</v>
          </cell>
          <cell r="D4">
            <v>5650000</v>
          </cell>
          <cell r="E4">
            <v>2.5000000000000001E-3</v>
          </cell>
          <cell r="H4">
            <v>6200001</v>
          </cell>
          <cell r="I4" t="str">
            <v>s.d</v>
          </cell>
          <cell r="J4">
            <v>6500000</v>
          </cell>
          <cell r="K4">
            <v>2.5000000000000001E-3</v>
          </cell>
          <cell r="N4">
            <v>6600001</v>
          </cell>
          <cell r="O4" t="str">
            <v>s.d</v>
          </cell>
          <cell r="P4">
            <v>6950000</v>
          </cell>
          <cell r="Q4">
            <v>2.5000000000000001E-3</v>
          </cell>
        </row>
        <row r="5">
          <cell r="B5">
            <v>5650001</v>
          </cell>
          <cell r="C5" t="str">
            <v>s.d</v>
          </cell>
          <cell r="D5">
            <v>5950000</v>
          </cell>
          <cell r="E5">
            <v>5.0000000000000001E-3</v>
          </cell>
          <cell r="H5">
            <v>6500001</v>
          </cell>
          <cell r="I5" t="str">
            <v>s.d</v>
          </cell>
          <cell r="J5">
            <v>6850000</v>
          </cell>
          <cell r="K5">
            <v>5.0000000000000001E-3</v>
          </cell>
          <cell r="N5">
            <v>6950001</v>
          </cell>
          <cell r="O5" t="str">
            <v>s.d</v>
          </cell>
          <cell r="P5">
            <v>7350000</v>
          </cell>
          <cell r="Q5">
            <v>5.0000000000000001E-3</v>
          </cell>
        </row>
        <row r="6">
          <cell r="B6">
            <v>5950001</v>
          </cell>
          <cell r="C6" t="str">
            <v>s.d</v>
          </cell>
          <cell r="D6">
            <v>6300000</v>
          </cell>
          <cell r="E6">
            <v>7.4999999999999997E-3</v>
          </cell>
          <cell r="H6">
            <v>6850001</v>
          </cell>
          <cell r="I6" t="str">
            <v>s.d</v>
          </cell>
          <cell r="J6">
            <v>7300000</v>
          </cell>
          <cell r="K6">
            <v>7.4999999999999997E-3</v>
          </cell>
          <cell r="N6">
            <v>7350001</v>
          </cell>
          <cell r="O6" t="str">
            <v>s.d</v>
          </cell>
          <cell r="P6">
            <v>7800000</v>
          </cell>
          <cell r="Q6">
            <v>7.4999999999999997E-3</v>
          </cell>
        </row>
        <row r="7">
          <cell r="B7">
            <v>6300001</v>
          </cell>
          <cell r="C7" t="str">
            <v>s.d</v>
          </cell>
          <cell r="D7">
            <v>6750000</v>
          </cell>
          <cell r="E7">
            <v>0.01</v>
          </cell>
          <cell r="H7">
            <v>7300001</v>
          </cell>
          <cell r="I7" t="str">
            <v>s.d</v>
          </cell>
          <cell r="J7">
            <v>9200000</v>
          </cell>
          <cell r="K7">
            <v>0.01</v>
          </cell>
          <cell r="N7">
            <v>7800001</v>
          </cell>
          <cell r="O7" t="str">
            <v>s.d</v>
          </cell>
          <cell r="P7">
            <v>8850000</v>
          </cell>
          <cell r="Q7">
            <v>0.01</v>
          </cell>
        </row>
        <row r="8">
          <cell r="B8">
            <v>6750001</v>
          </cell>
          <cell r="C8" t="str">
            <v>s.d</v>
          </cell>
          <cell r="D8">
            <v>7500000</v>
          </cell>
          <cell r="E8">
            <v>1.2500000000000001E-2</v>
          </cell>
          <cell r="H8">
            <v>9200001</v>
          </cell>
          <cell r="I8" t="str">
            <v>s.d</v>
          </cell>
          <cell r="J8">
            <v>10750000</v>
          </cell>
          <cell r="K8">
            <v>1.4999999999999999E-2</v>
          </cell>
          <cell r="N8">
            <v>8850001</v>
          </cell>
          <cell r="O8" t="str">
            <v>s.d</v>
          </cell>
          <cell r="P8">
            <v>9800000</v>
          </cell>
          <cell r="Q8">
            <v>1.2500000000000001E-2</v>
          </cell>
        </row>
        <row r="9">
          <cell r="B9">
            <v>7500001</v>
          </cell>
          <cell r="C9" t="str">
            <v>s.d</v>
          </cell>
          <cell r="D9">
            <v>8550000</v>
          </cell>
          <cell r="E9">
            <v>1.5000000000000001E-2</v>
          </cell>
          <cell r="H9">
            <v>10750001</v>
          </cell>
          <cell r="I9" t="str">
            <v>s.d</v>
          </cell>
          <cell r="J9">
            <v>11250000</v>
          </cell>
          <cell r="K9">
            <v>0.02</v>
          </cell>
          <cell r="N9">
            <v>9800001</v>
          </cell>
          <cell r="O9" t="str">
            <v>s.d</v>
          </cell>
          <cell r="P9">
            <v>10950000</v>
          </cell>
          <cell r="Q9">
            <v>1.5000000000000001E-2</v>
          </cell>
        </row>
        <row r="10">
          <cell r="B10">
            <v>8550001</v>
          </cell>
          <cell r="C10" t="str">
            <v>s.d</v>
          </cell>
          <cell r="D10">
            <v>9650000</v>
          </cell>
          <cell r="E10">
            <v>1.7500000000000002E-2</v>
          </cell>
          <cell r="H10">
            <v>11250001</v>
          </cell>
          <cell r="I10" t="str">
            <v>s.d</v>
          </cell>
          <cell r="J10">
            <v>11600000</v>
          </cell>
          <cell r="K10">
            <v>2.5000000000000001E-2</v>
          </cell>
          <cell r="N10">
            <v>10950001</v>
          </cell>
          <cell r="O10" t="str">
            <v>s.d</v>
          </cell>
          <cell r="P10">
            <v>11200000</v>
          </cell>
          <cell r="Q10">
            <v>1.7500000000000002E-2</v>
          </cell>
        </row>
        <row r="11">
          <cell r="B11">
            <v>9650001</v>
          </cell>
          <cell r="C11" t="str">
            <v>s.d</v>
          </cell>
          <cell r="D11">
            <v>10050000</v>
          </cell>
          <cell r="E11">
            <v>0.02</v>
          </cell>
          <cell r="H11">
            <v>11600001</v>
          </cell>
          <cell r="I11" t="str">
            <v>s.d</v>
          </cell>
          <cell r="J11">
            <v>12600000</v>
          </cell>
          <cell r="K11">
            <v>3.0000000000000002E-2</v>
          </cell>
          <cell r="N11">
            <v>11200001</v>
          </cell>
          <cell r="O11" t="str">
            <v>s.d</v>
          </cell>
          <cell r="P11">
            <v>12050000</v>
          </cell>
          <cell r="Q11">
            <v>0.02</v>
          </cell>
        </row>
        <row r="12">
          <cell r="B12">
            <v>10050001</v>
          </cell>
          <cell r="C12" t="str">
            <v>s.d</v>
          </cell>
          <cell r="D12">
            <v>10350000</v>
          </cell>
          <cell r="E12">
            <v>2.2499999999999999E-2</v>
          </cell>
          <cell r="H12">
            <v>12600001</v>
          </cell>
          <cell r="I12" t="str">
            <v>s.d</v>
          </cell>
          <cell r="J12">
            <v>13600000</v>
          </cell>
          <cell r="K12">
            <v>0.04</v>
          </cell>
          <cell r="N12">
            <v>12050001</v>
          </cell>
          <cell r="O12" t="str">
            <v>s.d</v>
          </cell>
          <cell r="P12">
            <v>12950000</v>
          </cell>
          <cell r="Q12">
            <v>0.03</v>
          </cell>
        </row>
        <row r="13">
          <cell r="B13">
            <v>10350001</v>
          </cell>
          <cell r="C13" t="str">
            <v>s.d</v>
          </cell>
          <cell r="D13">
            <v>10700000</v>
          </cell>
          <cell r="E13">
            <v>2.4999999999999998E-2</v>
          </cell>
          <cell r="H13">
            <v>13600001</v>
          </cell>
          <cell r="I13" t="str">
            <v>s.d</v>
          </cell>
          <cell r="J13">
            <v>14950000</v>
          </cell>
          <cell r="K13">
            <v>0.05</v>
          </cell>
          <cell r="N13">
            <v>12950001</v>
          </cell>
          <cell r="O13" t="str">
            <v>s.d</v>
          </cell>
          <cell r="P13">
            <v>14150000</v>
          </cell>
          <cell r="Q13">
            <v>0.04</v>
          </cell>
        </row>
        <row r="14">
          <cell r="B14">
            <v>10700001</v>
          </cell>
          <cell r="C14" t="str">
            <v>s.d</v>
          </cell>
          <cell r="D14">
            <v>11050000</v>
          </cell>
          <cell r="E14">
            <v>0.03</v>
          </cell>
          <cell r="H14">
            <v>14950001</v>
          </cell>
          <cell r="I14" t="str">
            <v>s.d</v>
          </cell>
          <cell r="J14">
            <v>16400000</v>
          </cell>
          <cell r="K14">
            <v>6.0000000000000005E-2</v>
          </cell>
          <cell r="N14">
            <v>14150001</v>
          </cell>
          <cell r="O14" t="str">
            <v>s.d</v>
          </cell>
          <cell r="P14">
            <v>1550000</v>
          </cell>
          <cell r="Q14">
            <v>0.05</v>
          </cell>
        </row>
        <row r="15">
          <cell r="B15">
            <v>11050001</v>
          </cell>
          <cell r="C15" t="str">
            <v>s.d</v>
          </cell>
          <cell r="D15">
            <v>11600000</v>
          </cell>
          <cell r="E15">
            <v>3.5000000000000003E-2</v>
          </cell>
          <cell r="H15">
            <v>16400001</v>
          </cell>
          <cell r="I15" t="str">
            <v>s.d</v>
          </cell>
          <cell r="J15">
            <v>18450000</v>
          </cell>
          <cell r="K15">
            <v>7.0000000000000007E-2</v>
          </cell>
          <cell r="N15">
            <v>1550001</v>
          </cell>
          <cell r="O15" t="str">
            <v>s.d</v>
          </cell>
          <cell r="P15">
            <v>17050000</v>
          </cell>
          <cell r="Q15">
            <v>6.0000000000000005E-2</v>
          </cell>
        </row>
        <row r="16">
          <cell r="B16">
            <v>11600001</v>
          </cell>
          <cell r="C16" t="str">
            <v>s.d</v>
          </cell>
          <cell r="D16">
            <v>12500000</v>
          </cell>
          <cell r="E16">
            <v>0.04</v>
          </cell>
          <cell r="H16">
            <v>18450001</v>
          </cell>
          <cell r="I16" t="str">
            <v>s.d</v>
          </cell>
          <cell r="J16">
            <v>21850000</v>
          </cell>
          <cell r="K16">
            <v>0.08</v>
          </cell>
          <cell r="N16">
            <v>17050001</v>
          </cell>
          <cell r="O16" t="str">
            <v>s.d</v>
          </cell>
          <cell r="P16">
            <v>19500000</v>
          </cell>
          <cell r="Q16">
            <v>7.0000000000000007E-2</v>
          </cell>
        </row>
        <row r="17">
          <cell r="B17">
            <v>12500001</v>
          </cell>
          <cell r="C17" t="str">
            <v>s.d</v>
          </cell>
          <cell r="D17">
            <v>13750000</v>
          </cell>
          <cell r="E17">
            <v>0.05</v>
          </cell>
          <cell r="H17">
            <v>21850001</v>
          </cell>
          <cell r="I17" t="str">
            <v>s.d</v>
          </cell>
          <cell r="J17">
            <v>26000000</v>
          </cell>
          <cell r="K17">
            <v>0.09</v>
          </cell>
          <cell r="N17">
            <v>19500001</v>
          </cell>
          <cell r="O17" t="str">
            <v>s.d</v>
          </cell>
          <cell r="P17">
            <v>22700000</v>
          </cell>
          <cell r="Q17">
            <v>0.08</v>
          </cell>
        </row>
        <row r="18">
          <cell r="B18">
            <v>13750001</v>
          </cell>
          <cell r="C18" t="str">
            <v>s.d</v>
          </cell>
          <cell r="D18">
            <v>15100000</v>
          </cell>
          <cell r="E18">
            <v>6.0000000000000005E-2</v>
          </cell>
          <cell r="H18">
            <v>26000001</v>
          </cell>
          <cell r="I18" t="str">
            <v>s.d</v>
          </cell>
          <cell r="J18">
            <v>27700000</v>
          </cell>
          <cell r="K18">
            <v>9.9999999999999992E-2</v>
          </cell>
          <cell r="N18">
            <v>22700001</v>
          </cell>
          <cell r="O18" t="str">
            <v>s.d</v>
          </cell>
          <cell r="P18">
            <v>26600000</v>
          </cell>
          <cell r="Q18">
            <v>0.09</v>
          </cell>
        </row>
        <row r="19">
          <cell r="B19">
            <v>15100001</v>
          </cell>
          <cell r="C19" t="str">
            <v>s.d</v>
          </cell>
          <cell r="D19">
            <v>16950000</v>
          </cell>
          <cell r="E19">
            <v>7.0000000000000007E-2</v>
          </cell>
          <cell r="H19">
            <v>27700001</v>
          </cell>
          <cell r="I19" t="str">
            <v>s.d</v>
          </cell>
          <cell r="J19">
            <v>29350000</v>
          </cell>
          <cell r="K19">
            <v>0.10999999999999999</v>
          </cell>
          <cell r="N19">
            <v>26600001</v>
          </cell>
          <cell r="O19" t="str">
            <v>s.d</v>
          </cell>
          <cell r="P19">
            <v>28100000</v>
          </cell>
          <cell r="Q19">
            <v>9.9999999999999992E-2</v>
          </cell>
        </row>
        <row r="20">
          <cell r="B20">
            <v>16950001</v>
          </cell>
          <cell r="C20" t="str">
            <v>s.d</v>
          </cell>
          <cell r="D20">
            <v>19750000</v>
          </cell>
          <cell r="E20">
            <v>0.08</v>
          </cell>
          <cell r="H20">
            <v>29350001</v>
          </cell>
          <cell r="I20" t="str">
            <v>s.d</v>
          </cell>
          <cell r="J20">
            <v>31450000</v>
          </cell>
          <cell r="K20">
            <v>0.11999999999999998</v>
          </cell>
          <cell r="N20">
            <v>28100001</v>
          </cell>
          <cell r="O20" t="str">
            <v>s.d</v>
          </cell>
          <cell r="P20">
            <v>30100000</v>
          </cell>
          <cell r="Q20">
            <v>0.10999999999999999</v>
          </cell>
        </row>
        <row r="21">
          <cell r="B21">
            <v>19750001</v>
          </cell>
          <cell r="C21" t="str">
            <v>s.d</v>
          </cell>
          <cell r="D21">
            <v>24150000</v>
          </cell>
          <cell r="E21">
            <v>0.09</v>
          </cell>
          <cell r="H21">
            <v>31450001</v>
          </cell>
          <cell r="I21" t="str">
            <v>s.d</v>
          </cell>
          <cell r="J21">
            <v>33950000</v>
          </cell>
          <cell r="K21">
            <v>0.12999999999999998</v>
          </cell>
          <cell r="N21">
            <v>30100001</v>
          </cell>
          <cell r="O21" t="str">
            <v>s.d</v>
          </cell>
          <cell r="P21">
            <v>32600000</v>
          </cell>
          <cell r="Q21">
            <v>0.11999999999999998</v>
          </cell>
        </row>
        <row r="22">
          <cell r="B22">
            <v>24150001</v>
          </cell>
          <cell r="C22" t="str">
            <v>s.d</v>
          </cell>
          <cell r="D22">
            <v>26450000</v>
          </cell>
          <cell r="E22">
            <v>9.9999999999999992E-2</v>
          </cell>
          <cell r="H22">
            <v>33950001</v>
          </cell>
          <cell r="I22" t="str">
            <v>s.d</v>
          </cell>
          <cell r="J22">
            <v>37100000</v>
          </cell>
          <cell r="K22">
            <v>0.13999999999999999</v>
          </cell>
          <cell r="N22">
            <v>32600001</v>
          </cell>
          <cell r="O22" t="str">
            <v>s.d</v>
          </cell>
          <cell r="P22">
            <v>35400000</v>
          </cell>
          <cell r="Q22">
            <v>0.12999999999999998</v>
          </cell>
        </row>
        <row r="23">
          <cell r="B23">
            <v>26450001</v>
          </cell>
          <cell r="C23" t="str">
            <v>s.d</v>
          </cell>
          <cell r="D23">
            <v>28000000</v>
          </cell>
          <cell r="E23">
            <v>0.10999999999999999</v>
          </cell>
          <cell r="H23">
            <v>37100001</v>
          </cell>
          <cell r="I23" t="str">
            <v>s.d</v>
          </cell>
          <cell r="J23">
            <v>41100000</v>
          </cell>
          <cell r="K23">
            <v>0.15</v>
          </cell>
          <cell r="N23">
            <v>35400001</v>
          </cell>
          <cell r="O23" t="str">
            <v>s.d</v>
          </cell>
          <cell r="P23">
            <v>38900000</v>
          </cell>
          <cell r="Q23">
            <v>0.13999999999999999</v>
          </cell>
        </row>
        <row r="24">
          <cell r="B24">
            <v>28000001</v>
          </cell>
          <cell r="C24" t="str">
            <v>s.d</v>
          </cell>
          <cell r="D24">
            <v>30050000</v>
          </cell>
          <cell r="E24">
            <v>0.11999999999999998</v>
          </cell>
          <cell r="H24">
            <v>41100001</v>
          </cell>
          <cell r="I24" t="str">
            <v>s.d</v>
          </cell>
          <cell r="J24">
            <v>45800000</v>
          </cell>
          <cell r="K24">
            <v>0.16</v>
          </cell>
          <cell r="N24">
            <v>38900001</v>
          </cell>
          <cell r="O24" t="str">
            <v>s.d</v>
          </cell>
          <cell r="P24">
            <v>43000000</v>
          </cell>
          <cell r="Q24">
            <v>0.15</v>
          </cell>
        </row>
        <row r="25">
          <cell r="B25">
            <v>30050001</v>
          </cell>
          <cell r="C25" t="str">
            <v>s.d</v>
          </cell>
          <cell r="D25">
            <v>32400000</v>
          </cell>
          <cell r="E25">
            <v>0.12999999999999998</v>
          </cell>
          <cell r="H25">
            <v>45800001</v>
          </cell>
          <cell r="I25" t="str">
            <v>s.d</v>
          </cell>
          <cell r="J25">
            <v>49500000</v>
          </cell>
          <cell r="K25">
            <v>0.17</v>
          </cell>
          <cell r="N25">
            <v>43000001</v>
          </cell>
          <cell r="O25" t="str">
            <v>s.d</v>
          </cell>
          <cell r="P25">
            <v>47400000</v>
          </cell>
          <cell r="Q25">
            <v>0.16</v>
          </cell>
        </row>
        <row r="26">
          <cell r="B26">
            <v>32400001</v>
          </cell>
          <cell r="C26" t="str">
            <v>s.d</v>
          </cell>
          <cell r="D26">
            <v>35400000</v>
          </cell>
          <cell r="E26">
            <v>0.13999999999999999</v>
          </cell>
          <cell r="H26">
            <v>49500001</v>
          </cell>
          <cell r="I26" t="str">
            <v>s.d</v>
          </cell>
          <cell r="J26">
            <v>53800000</v>
          </cell>
          <cell r="K26">
            <v>0.18000000000000002</v>
          </cell>
          <cell r="N26">
            <v>47400001</v>
          </cell>
          <cell r="O26" t="str">
            <v>s.d</v>
          </cell>
          <cell r="P26">
            <v>51200000</v>
          </cell>
          <cell r="Q26">
            <v>0.17</v>
          </cell>
        </row>
        <row r="27">
          <cell r="B27">
            <v>35400001</v>
          </cell>
          <cell r="C27" t="str">
            <v>s.d</v>
          </cell>
          <cell r="D27">
            <v>39100000</v>
          </cell>
          <cell r="E27">
            <v>0.15</v>
          </cell>
          <cell r="H27">
            <v>53800001</v>
          </cell>
          <cell r="I27" t="str">
            <v>s.d</v>
          </cell>
          <cell r="J27">
            <v>58500000</v>
          </cell>
          <cell r="K27">
            <v>0.19000000000000003</v>
          </cell>
          <cell r="N27">
            <v>51200001</v>
          </cell>
          <cell r="O27" t="str">
            <v>s.d</v>
          </cell>
          <cell r="P27">
            <v>55800000</v>
          </cell>
          <cell r="Q27">
            <v>0.18000000000000002</v>
          </cell>
        </row>
        <row r="28">
          <cell r="B28">
            <v>39100001</v>
          </cell>
          <cell r="C28" t="str">
            <v>s.d</v>
          </cell>
          <cell r="D28">
            <v>43850000</v>
          </cell>
          <cell r="E28">
            <v>0.16</v>
          </cell>
          <cell r="H28">
            <v>58500001</v>
          </cell>
          <cell r="I28" t="str">
            <v>s.d</v>
          </cell>
          <cell r="J28">
            <v>64000000</v>
          </cell>
          <cell r="K28">
            <v>0.20000000000000004</v>
          </cell>
          <cell r="N28">
            <v>55800001</v>
          </cell>
          <cell r="O28" t="str">
            <v>s.d</v>
          </cell>
          <cell r="P28">
            <v>60400000</v>
          </cell>
          <cell r="Q28">
            <v>0.19000000000000003</v>
          </cell>
        </row>
        <row r="29">
          <cell r="B29">
            <v>43850001</v>
          </cell>
          <cell r="C29" t="str">
            <v>s.d</v>
          </cell>
          <cell r="D29">
            <v>47800000</v>
          </cell>
          <cell r="E29">
            <v>0.17</v>
          </cell>
          <cell r="H29">
            <v>64000001</v>
          </cell>
          <cell r="I29" t="str">
            <v>s.d</v>
          </cell>
          <cell r="J29">
            <v>71000000</v>
          </cell>
          <cell r="K29">
            <v>0.21000000000000005</v>
          </cell>
          <cell r="N29">
            <v>60400001</v>
          </cell>
          <cell r="O29" t="str">
            <v>s.d</v>
          </cell>
          <cell r="P29">
            <v>66700000</v>
          </cell>
          <cell r="Q29">
            <v>0.20000000000000004</v>
          </cell>
        </row>
        <row r="30">
          <cell r="B30">
            <v>47800001</v>
          </cell>
          <cell r="C30" t="str">
            <v>s.d</v>
          </cell>
          <cell r="D30">
            <v>51400000</v>
          </cell>
          <cell r="E30">
            <v>0.18000000000000002</v>
          </cell>
          <cell r="H30">
            <v>71000001</v>
          </cell>
          <cell r="I30" t="str">
            <v>s.d</v>
          </cell>
          <cell r="J30">
            <v>80000000</v>
          </cell>
          <cell r="K30">
            <v>0.22000000000000006</v>
          </cell>
          <cell r="N30">
            <v>66700001</v>
          </cell>
          <cell r="O30" t="str">
            <v>s.d</v>
          </cell>
          <cell r="P30">
            <v>74500000</v>
          </cell>
          <cell r="Q30">
            <v>0.21000000000000005</v>
          </cell>
        </row>
        <row r="31">
          <cell r="B31">
            <v>51400001</v>
          </cell>
          <cell r="C31" t="str">
            <v>s.d</v>
          </cell>
          <cell r="D31">
            <v>56300000</v>
          </cell>
          <cell r="E31">
            <v>0.19000000000000003</v>
          </cell>
          <cell r="H31">
            <v>80000001</v>
          </cell>
          <cell r="I31" t="str">
            <v>s.d</v>
          </cell>
          <cell r="J31">
            <v>93000000</v>
          </cell>
          <cell r="K31">
            <v>0.23000000000000007</v>
          </cell>
          <cell r="N31">
            <v>74500001</v>
          </cell>
          <cell r="O31" t="str">
            <v>s.d</v>
          </cell>
          <cell r="P31">
            <v>83200000</v>
          </cell>
          <cell r="Q31">
            <v>0.22000000000000006</v>
          </cell>
        </row>
        <row r="32">
          <cell r="B32">
            <v>56300001</v>
          </cell>
          <cell r="C32" t="str">
            <v>s.d</v>
          </cell>
          <cell r="D32">
            <v>62200000</v>
          </cell>
          <cell r="E32">
            <v>0.20000000000000004</v>
          </cell>
          <cell r="H32">
            <v>93000001</v>
          </cell>
          <cell r="I32" t="str">
            <v>s.d</v>
          </cell>
          <cell r="J32">
            <v>109000000</v>
          </cell>
          <cell r="K32">
            <v>0.24000000000000007</v>
          </cell>
          <cell r="N32">
            <v>83200001</v>
          </cell>
          <cell r="O32" t="str">
            <v>s.d</v>
          </cell>
          <cell r="P32">
            <v>95600000</v>
          </cell>
          <cell r="Q32">
            <v>0.23000000000000007</v>
          </cell>
        </row>
        <row r="33">
          <cell r="B33">
            <v>62200001</v>
          </cell>
          <cell r="C33" t="str">
            <v>s.d</v>
          </cell>
          <cell r="D33">
            <v>68600000</v>
          </cell>
          <cell r="E33">
            <v>0.21000000000000005</v>
          </cell>
          <cell r="H33">
            <v>109000001</v>
          </cell>
          <cell r="I33" t="str">
            <v>s.d</v>
          </cell>
          <cell r="J33">
            <v>129000000</v>
          </cell>
          <cell r="K33">
            <v>0.25000000000000006</v>
          </cell>
          <cell r="N33">
            <v>95600001</v>
          </cell>
          <cell r="O33" t="str">
            <v>s.d</v>
          </cell>
          <cell r="P33">
            <v>110000000</v>
          </cell>
          <cell r="Q33">
            <v>0.24000000000000007</v>
          </cell>
        </row>
        <row r="34">
          <cell r="B34">
            <v>68600001</v>
          </cell>
          <cell r="C34" t="str">
            <v>s.d</v>
          </cell>
          <cell r="D34">
            <v>77500000</v>
          </cell>
          <cell r="E34">
            <v>0.22000000000000006</v>
          </cell>
          <cell r="H34">
            <v>129000001</v>
          </cell>
          <cell r="I34" t="str">
            <v>s.d</v>
          </cell>
          <cell r="J34">
            <v>163000000</v>
          </cell>
          <cell r="K34">
            <v>0.26000000000000006</v>
          </cell>
          <cell r="N34">
            <v>110000001</v>
          </cell>
          <cell r="O34" t="str">
            <v>s.d</v>
          </cell>
          <cell r="P34">
            <v>134000000</v>
          </cell>
          <cell r="Q34">
            <v>0.25000000000000006</v>
          </cell>
        </row>
        <row r="35">
          <cell r="B35">
            <v>77500001</v>
          </cell>
          <cell r="C35" t="str">
            <v>s.d</v>
          </cell>
          <cell r="D35">
            <v>89000000</v>
          </cell>
          <cell r="E35">
            <v>0.23000000000000007</v>
          </cell>
          <cell r="H35">
            <v>163000001</v>
          </cell>
          <cell r="I35" t="str">
            <v>s.d</v>
          </cell>
          <cell r="J35">
            <v>211000000</v>
          </cell>
          <cell r="K35">
            <v>0.27000000000000007</v>
          </cell>
          <cell r="N35">
            <v>134000001</v>
          </cell>
          <cell r="O35" t="str">
            <v>s.d</v>
          </cell>
          <cell r="P35">
            <v>169000000</v>
          </cell>
          <cell r="Q35">
            <v>0.26000000000000006</v>
          </cell>
        </row>
        <row r="36">
          <cell r="B36">
            <v>89000001</v>
          </cell>
          <cell r="C36" t="str">
            <v>s.d</v>
          </cell>
          <cell r="D36">
            <v>103000000</v>
          </cell>
          <cell r="E36">
            <v>0.24000000000000007</v>
          </cell>
          <cell r="H36">
            <v>211000001</v>
          </cell>
          <cell r="I36" t="str">
            <v>s.d</v>
          </cell>
          <cell r="J36">
            <v>374000000</v>
          </cell>
          <cell r="K36">
            <v>0.28000000000000008</v>
          </cell>
          <cell r="N36">
            <v>169000001</v>
          </cell>
          <cell r="O36" t="str">
            <v>s.d</v>
          </cell>
          <cell r="P36">
            <v>221000000</v>
          </cell>
          <cell r="Q36">
            <v>0.27000000000000007</v>
          </cell>
        </row>
        <row r="37">
          <cell r="B37">
            <v>103000001</v>
          </cell>
          <cell r="C37" t="str">
            <v>s.d</v>
          </cell>
          <cell r="D37">
            <v>125000000</v>
          </cell>
          <cell r="E37">
            <v>0.25000000000000006</v>
          </cell>
          <cell r="H37">
            <v>374000001</v>
          </cell>
          <cell r="I37" t="str">
            <v>s.d</v>
          </cell>
          <cell r="J37">
            <v>459000000</v>
          </cell>
          <cell r="K37">
            <v>0.29000000000000009</v>
          </cell>
          <cell r="N37">
            <v>221000001</v>
          </cell>
          <cell r="O37" t="str">
            <v>s.d</v>
          </cell>
          <cell r="P37">
            <v>390000000</v>
          </cell>
          <cell r="Q37">
            <v>0.28000000000000008</v>
          </cell>
        </row>
        <row r="38">
          <cell r="B38">
            <v>125000001</v>
          </cell>
          <cell r="C38" t="str">
            <v>s.d</v>
          </cell>
          <cell r="D38">
            <v>157000000</v>
          </cell>
          <cell r="E38">
            <v>0.26000000000000006</v>
          </cell>
          <cell r="H38">
            <v>459000001</v>
          </cell>
          <cell r="I38" t="str">
            <v>s.d</v>
          </cell>
          <cell r="J38">
            <v>555000000</v>
          </cell>
          <cell r="K38">
            <v>0.3000000000000001</v>
          </cell>
          <cell r="N38">
            <v>390000001</v>
          </cell>
          <cell r="O38" t="str">
            <v>s.d</v>
          </cell>
          <cell r="P38">
            <v>463000000</v>
          </cell>
          <cell r="Q38">
            <v>0.29000000000000009</v>
          </cell>
        </row>
        <row r="39">
          <cell r="B39">
            <v>157000001</v>
          </cell>
          <cell r="C39" t="str">
            <v>s.d</v>
          </cell>
          <cell r="D39">
            <v>206000000</v>
          </cell>
          <cell r="E39">
            <v>0.27000000000000007</v>
          </cell>
          <cell r="H39">
            <v>555000001</v>
          </cell>
          <cell r="I39" t="str">
            <v>s.d</v>
          </cell>
          <cell r="J39">
            <v>704000000</v>
          </cell>
          <cell r="K39">
            <v>0.31000000000000011</v>
          </cell>
          <cell r="N39">
            <v>463000001</v>
          </cell>
          <cell r="O39" t="str">
            <v>s.d</v>
          </cell>
          <cell r="P39">
            <v>561000000</v>
          </cell>
          <cell r="Q39">
            <v>0.3000000000000001</v>
          </cell>
        </row>
        <row r="40">
          <cell r="B40">
            <v>206000001</v>
          </cell>
          <cell r="C40" t="str">
            <v>s.d</v>
          </cell>
          <cell r="D40">
            <v>337000000</v>
          </cell>
          <cell r="E40">
            <v>0.28000000000000008</v>
          </cell>
          <cell r="H40">
            <v>704000001</v>
          </cell>
          <cell r="I40" t="str">
            <v>s.d</v>
          </cell>
          <cell r="J40">
            <v>957000000</v>
          </cell>
          <cell r="K40">
            <v>0.32000000000000012</v>
          </cell>
          <cell r="N40">
            <v>561000001</v>
          </cell>
          <cell r="O40" t="str">
            <v>s.d</v>
          </cell>
          <cell r="P40">
            <v>709000000</v>
          </cell>
          <cell r="Q40">
            <v>0.31000000000000011</v>
          </cell>
        </row>
        <row r="41">
          <cell r="B41">
            <v>337000001</v>
          </cell>
          <cell r="C41" t="str">
            <v>s.d</v>
          </cell>
          <cell r="D41">
            <v>454000000</v>
          </cell>
          <cell r="E41">
            <v>0.29000000000000009</v>
          </cell>
          <cell r="H41">
            <v>957000001</v>
          </cell>
          <cell r="I41" t="str">
            <v>s.d</v>
          </cell>
          <cell r="J41">
            <v>1405000000</v>
          </cell>
          <cell r="K41">
            <v>0.33000000000000013</v>
          </cell>
          <cell r="N41">
            <v>709000001</v>
          </cell>
          <cell r="O41" t="str">
            <v>s.d</v>
          </cell>
          <cell r="P41">
            <v>965000000</v>
          </cell>
          <cell r="Q41">
            <v>0.32000000000000012</v>
          </cell>
        </row>
        <row r="42">
          <cell r="B42">
            <v>454000001</v>
          </cell>
          <cell r="C42" t="str">
            <v>s.d</v>
          </cell>
          <cell r="D42">
            <v>550000000</v>
          </cell>
          <cell r="E42">
            <v>0.3000000000000001</v>
          </cell>
          <cell r="H42">
            <v>1405000001</v>
          </cell>
          <cell r="I42" t="str">
            <v>s.d</v>
          </cell>
          <cell r="J42" t="str">
            <v>~~</v>
          </cell>
          <cell r="K42">
            <v>0.34000000000000014</v>
          </cell>
          <cell r="N42">
            <v>965000001</v>
          </cell>
          <cell r="O42" t="str">
            <v>s.d</v>
          </cell>
          <cell r="P42">
            <v>1419000000</v>
          </cell>
          <cell r="Q42">
            <v>0.33000000000000013</v>
          </cell>
        </row>
        <row r="43">
          <cell r="B43">
            <v>550000001</v>
          </cell>
          <cell r="C43" t="str">
            <v>s.d</v>
          </cell>
          <cell r="D43">
            <v>695000000</v>
          </cell>
          <cell r="E43">
            <v>0.31000000000000011</v>
          </cell>
          <cell r="N43">
            <v>1419000001</v>
          </cell>
          <cell r="O43" t="str">
            <v>s.d</v>
          </cell>
          <cell r="P43" t="str">
            <v>~~</v>
          </cell>
          <cell r="Q43">
            <v>0.34000000000000014</v>
          </cell>
        </row>
        <row r="44">
          <cell r="B44">
            <v>695000001</v>
          </cell>
          <cell r="C44" t="str">
            <v>s.d</v>
          </cell>
          <cell r="D44">
            <v>910000000</v>
          </cell>
          <cell r="E44">
            <v>0.32000000000000012</v>
          </cell>
        </row>
        <row r="45">
          <cell r="B45">
            <v>910000001</v>
          </cell>
          <cell r="C45" t="str">
            <v>s.d</v>
          </cell>
          <cell r="D45">
            <v>1400000000</v>
          </cell>
          <cell r="E45">
            <v>0.33000000000000013</v>
          </cell>
        </row>
        <row r="46">
          <cell r="B46">
            <v>1400000001</v>
          </cell>
          <cell r="C46" t="str">
            <v>s.d</v>
          </cell>
          <cell r="D46" t="str">
            <v>~~</v>
          </cell>
          <cell r="E46">
            <v>0.34000000000000014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HARVESTING "/>
      <sheetName val="MAINTENANCE"/>
      <sheetName val="BHL HARVESTING"/>
      <sheetName val="DAF.REKENING KHT"/>
      <sheetName val="DENOMINATION"/>
      <sheetName val="CASH PAYMENT"/>
      <sheetName val="rekonsiliasi"/>
      <sheetName val="BERAS DAN MASA KERJA"/>
      <sheetName val="PLANTWARE"/>
      <sheetName val="Sheet1"/>
    </sheetNames>
    <sheetDataSet>
      <sheetData sheetId="0">
        <row r="11">
          <cell r="S11">
            <v>139500</v>
          </cell>
          <cell r="V11">
            <v>80500</v>
          </cell>
          <cell r="X11">
            <v>89000</v>
          </cell>
          <cell r="Y11">
            <v>1073795</v>
          </cell>
          <cell r="Z11">
            <v>1224478</v>
          </cell>
          <cell r="AD11">
            <v>6642273</v>
          </cell>
          <cell r="AI11">
            <v>164960</v>
          </cell>
          <cell r="AY11">
            <v>134500</v>
          </cell>
        </row>
        <row r="12">
          <cell r="S12">
            <v>172050</v>
          </cell>
          <cell r="V12">
            <v>62500</v>
          </cell>
          <cell r="X12">
            <v>33000</v>
          </cell>
          <cell r="Y12">
            <v>1366420</v>
          </cell>
          <cell r="Z12">
            <v>1294448</v>
          </cell>
          <cell r="AD12">
            <v>7097918</v>
          </cell>
          <cell r="AI12">
            <v>162720</v>
          </cell>
          <cell r="AY12">
            <v>0</v>
          </cell>
        </row>
        <row r="13">
          <cell r="S13">
            <v>100750</v>
          </cell>
          <cell r="V13">
            <v>87500</v>
          </cell>
          <cell r="X13">
            <v>89000</v>
          </cell>
          <cell r="Y13">
            <v>1621395</v>
          </cell>
          <cell r="Z13">
            <v>1481036</v>
          </cell>
          <cell r="AD13">
            <v>7549181</v>
          </cell>
          <cell r="AI13">
            <v>164960</v>
          </cell>
          <cell r="AY13">
            <v>0</v>
          </cell>
        </row>
        <row r="14">
          <cell r="S14">
            <v>160950</v>
          </cell>
          <cell r="V14">
            <v>57500</v>
          </cell>
          <cell r="X14">
            <v>15000</v>
          </cell>
          <cell r="Y14">
            <v>1199460</v>
          </cell>
          <cell r="Z14">
            <v>1142846</v>
          </cell>
          <cell r="AD14">
            <v>6476256</v>
          </cell>
          <cell r="AI14">
            <v>162000</v>
          </cell>
          <cell r="AY14">
            <v>269000</v>
          </cell>
        </row>
        <row r="15">
          <cell r="S15">
            <v>573250</v>
          </cell>
          <cell r="V15">
            <v>288000</v>
          </cell>
          <cell r="X15">
            <v>226000</v>
          </cell>
          <cell r="Y15">
            <v>5261070</v>
          </cell>
          <cell r="Z15">
            <v>5142808</v>
          </cell>
          <cell r="AD15">
            <v>27765628</v>
          </cell>
          <cell r="AI15">
            <v>654640</v>
          </cell>
          <cell r="AN15">
            <v>199769</v>
          </cell>
          <cell r="AY15">
            <v>403500</v>
          </cell>
        </row>
      </sheetData>
      <sheetData sheetId="1">
        <row r="11">
          <cell r="U11">
            <v>144150</v>
          </cell>
          <cell r="X11">
            <v>80500</v>
          </cell>
          <cell r="Z11">
            <v>89000</v>
          </cell>
          <cell r="AG11">
            <v>1324000</v>
          </cell>
          <cell r="AL11">
            <v>5807150</v>
          </cell>
          <cell r="AQ11">
            <v>164960</v>
          </cell>
          <cell r="BD11">
            <v>0</v>
          </cell>
        </row>
        <row r="12">
          <cell r="U12">
            <v>67500</v>
          </cell>
          <cell r="X12">
            <v>55000</v>
          </cell>
          <cell r="Z12">
            <v>54000</v>
          </cell>
          <cell r="AG12">
            <v>1206000</v>
          </cell>
          <cell r="AL12">
            <v>5417500</v>
          </cell>
          <cell r="AQ12">
            <v>163560</v>
          </cell>
          <cell r="BD12">
            <v>134500</v>
          </cell>
        </row>
        <row r="13">
          <cell r="U13">
            <v>69750</v>
          </cell>
          <cell r="X13">
            <v>55000</v>
          </cell>
          <cell r="Z13">
            <v>33000</v>
          </cell>
          <cell r="AE13">
            <v>1714273</v>
          </cell>
          <cell r="AG13">
            <v>425000</v>
          </cell>
          <cell r="AL13">
            <v>6466523</v>
          </cell>
          <cell r="AQ13">
            <v>162720</v>
          </cell>
          <cell r="BD13">
            <v>0</v>
          </cell>
        </row>
        <row r="14">
          <cell r="U14">
            <v>144150</v>
          </cell>
          <cell r="Z14">
            <v>24000</v>
          </cell>
          <cell r="AA14">
            <v>546650</v>
          </cell>
          <cell r="AC14">
            <v>190215</v>
          </cell>
          <cell r="AD14">
            <v>327250</v>
          </cell>
          <cell r="AL14">
            <v>5401765</v>
          </cell>
          <cell r="AQ14">
            <v>162360</v>
          </cell>
          <cell r="BD14">
            <v>0</v>
          </cell>
        </row>
        <row r="15">
          <cell r="U15">
            <v>130200</v>
          </cell>
          <cell r="Z15">
            <v>27000</v>
          </cell>
          <cell r="AA15">
            <v>219700</v>
          </cell>
          <cell r="AC15">
            <v>190215</v>
          </cell>
          <cell r="AD15">
            <v>248500</v>
          </cell>
          <cell r="AL15">
            <v>4985115</v>
          </cell>
          <cell r="AQ15">
            <v>162480</v>
          </cell>
          <cell r="BD15">
            <v>0</v>
          </cell>
        </row>
        <row r="16">
          <cell r="U16">
            <v>69750</v>
          </cell>
          <cell r="Z16">
            <v>27000</v>
          </cell>
          <cell r="AA16">
            <v>201500</v>
          </cell>
          <cell r="AC16">
            <v>178943</v>
          </cell>
          <cell r="AD16">
            <v>250250</v>
          </cell>
          <cell r="AL16">
            <v>4896943</v>
          </cell>
          <cell r="AQ16">
            <v>162480</v>
          </cell>
          <cell r="BD16">
            <v>0</v>
          </cell>
        </row>
        <row r="17">
          <cell r="U17">
            <v>166500</v>
          </cell>
          <cell r="Z17">
            <v>27000</v>
          </cell>
          <cell r="AC17">
            <v>135264</v>
          </cell>
          <cell r="AD17">
            <v>224000</v>
          </cell>
          <cell r="AL17">
            <v>4587764</v>
          </cell>
          <cell r="AQ17">
            <v>162480</v>
          </cell>
          <cell r="BD17">
            <v>134500</v>
          </cell>
        </row>
        <row r="18">
          <cell r="U18">
            <v>166500</v>
          </cell>
          <cell r="Z18">
            <v>27000</v>
          </cell>
          <cell r="AA18">
            <v>174850</v>
          </cell>
          <cell r="AC18">
            <v>184579</v>
          </cell>
          <cell r="AD18">
            <v>187250</v>
          </cell>
          <cell r="AH18">
            <v>59778</v>
          </cell>
          <cell r="AL18">
            <v>4715401</v>
          </cell>
          <cell r="AQ18">
            <v>162480</v>
          </cell>
          <cell r="BD18">
            <v>134500</v>
          </cell>
        </row>
        <row r="19">
          <cell r="U19">
            <v>172050</v>
          </cell>
          <cell r="Z19">
            <v>24000</v>
          </cell>
          <cell r="AA19">
            <v>343200</v>
          </cell>
          <cell r="AC19">
            <v>198669</v>
          </cell>
          <cell r="AD19">
            <v>269500</v>
          </cell>
          <cell r="AH19">
            <v>46328</v>
          </cell>
          <cell r="AL19">
            <v>5130591</v>
          </cell>
          <cell r="AQ19">
            <v>162360</v>
          </cell>
          <cell r="BD19">
            <v>0</v>
          </cell>
        </row>
        <row r="20">
          <cell r="U20">
            <v>144150</v>
          </cell>
          <cell r="Z20">
            <v>21000</v>
          </cell>
          <cell r="AA20">
            <v>183300</v>
          </cell>
          <cell r="AC20">
            <v>169080</v>
          </cell>
          <cell r="AD20">
            <v>266000</v>
          </cell>
          <cell r="AH20">
            <v>35867</v>
          </cell>
          <cell r="AL20">
            <v>4917163</v>
          </cell>
          <cell r="AQ20">
            <v>162240</v>
          </cell>
          <cell r="BD20">
            <v>0</v>
          </cell>
        </row>
        <row r="21">
          <cell r="U21">
            <v>111000</v>
          </cell>
          <cell r="Z21">
            <v>21000</v>
          </cell>
          <cell r="AA21">
            <v>180050</v>
          </cell>
          <cell r="AC21">
            <v>173307</v>
          </cell>
          <cell r="AD21">
            <v>208250</v>
          </cell>
          <cell r="AH21">
            <v>53800</v>
          </cell>
          <cell r="AL21">
            <v>4674807</v>
          </cell>
          <cell r="AQ21">
            <v>162240</v>
          </cell>
          <cell r="BD21">
            <v>134500</v>
          </cell>
        </row>
        <row r="22">
          <cell r="U22">
            <v>134850</v>
          </cell>
          <cell r="Z22">
            <v>15000</v>
          </cell>
          <cell r="AA22">
            <v>222300</v>
          </cell>
          <cell r="AC22">
            <v>90176</v>
          </cell>
          <cell r="AD22">
            <v>199500</v>
          </cell>
          <cell r="AH22">
            <v>110589</v>
          </cell>
          <cell r="AL22">
            <v>4451737</v>
          </cell>
          <cell r="AQ22">
            <v>162000</v>
          </cell>
          <cell r="BD22">
            <v>269000</v>
          </cell>
        </row>
        <row r="23">
          <cell r="U23">
            <v>144150</v>
          </cell>
          <cell r="Z23">
            <v>7500</v>
          </cell>
          <cell r="AA23">
            <v>330200</v>
          </cell>
          <cell r="AC23">
            <v>420627</v>
          </cell>
          <cell r="AD23">
            <v>301000</v>
          </cell>
          <cell r="AL23">
            <v>5372977</v>
          </cell>
          <cell r="AQ23">
            <v>161700</v>
          </cell>
          <cell r="BD23">
            <v>0</v>
          </cell>
        </row>
        <row r="24">
          <cell r="U24">
            <v>166500</v>
          </cell>
          <cell r="Z24">
            <v>7500</v>
          </cell>
          <cell r="AA24">
            <v>510250</v>
          </cell>
          <cell r="AC24">
            <v>114129</v>
          </cell>
          <cell r="AD24">
            <v>227500</v>
          </cell>
          <cell r="AL24">
            <v>5060879</v>
          </cell>
          <cell r="AQ24">
            <v>161700</v>
          </cell>
          <cell r="BD24">
            <v>134500</v>
          </cell>
        </row>
        <row r="25">
          <cell r="U25">
            <v>67500</v>
          </cell>
          <cell r="Z25">
            <v>7500</v>
          </cell>
          <cell r="AA25">
            <v>130000</v>
          </cell>
          <cell r="AC25">
            <v>118356</v>
          </cell>
          <cell r="AD25">
            <v>210000</v>
          </cell>
          <cell r="AL25">
            <v>4568356</v>
          </cell>
          <cell r="AQ25">
            <v>161700</v>
          </cell>
          <cell r="BD25">
            <v>134500</v>
          </cell>
        </row>
        <row r="26">
          <cell r="U26">
            <v>83250</v>
          </cell>
          <cell r="Z26">
            <v>5000</v>
          </cell>
          <cell r="AC26">
            <v>35225</v>
          </cell>
          <cell r="AD26">
            <v>110250</v>
          </cell>
          <cell r="AH26">
            <v>203244</v>
          </cell>
          <cell r="AL26">
            <v>2047981</v>
          </cell>
          <cell r="AQ26">
            <v>161600</v>
          </cell>
          <cell r="BD26">
            <v>403500</v>
          </cell>
        </row>
        <row r="27">
          <cell r="U27">
            <v>67500</v>
          </cell>
          <cell r="Z27">
            <v>12500</v>
          </cell>
          <cell r="AA27">
            <v>139100</v>
          </cell>
          <cell r="AC27">
            <v>235129</v>
          </cell>
          <cell r="AD27">
            <v>245000</v>
          </cell>
          <cell r="AL27">
            <v>4734229</v>
          </cell>
          <cell r="AQ27">
            <v>161900</v>
          </cell>
          <cell r="BD27">
            <v>134500</v>
          </cell>
        </row>
        <row r="28">
          <cell r="U28">
            <v>172050</v>
          </cell>
          <cell r="Z28">
            <v>5000</v>
          </cell>
          <cell r="AA28">
            <v>172250</v>
          </cell>
          <cell r="AC28">
            <v>125401</v>
          </cell>
          <cell r="AD28">
            <v>211750</v>
          </cell>
          <cell r="AL28">
            <v>5373951</v>
          </cell>
          <cell r="AQ28">
            <v>161600</v>
          </cell>
          <cell r="BD28">
            <v>0</v>
          </cell>
        </row>
        <row r="29">
          <cell r="U29">
            <v>172050</v>
          </cell>
          <cell r="Z29">
            <v>5000</v>
          </cell>
          <cell r="AA29">
            <v>724100</v>
          </cell>
          <cell r="AC29">
            <v>152172</v>
          </cell>
          <cell r="AD29">
            <v>218750</v>
          </cell>
          <cell r="AL29">
            <v>5441572</v>
          </cell>
          <cell r="AQ29">
            <v>161600</v>
          </cell>
          <cell r="BD29">
            <v>0</v>
          </cell>
        </row>
        <row r="30">
          <cell r="U30">
            <v>144150</v>
          </cell>
          <cell r="Z30">
            <v>5000</v>
          </cell>
          <cell r="AA30">
            <v>140400</v>
          </cell>
          <cell r="AC30">
            <v>190215</v>
          </cell>
          <cell r="AD30">
            <v>215250</v>
          </cell>
          <cell r="AH30">
            <v>65756</v>
          </cell>
          <cell r="AL30">
            <v>4798759</v>
          </cell>
          <cell r="AQ30">
            <v>161600</v>
          </cell>
          <cell r="BD30">
            <v>0</v>
          </cell>
        </row>
        <row r="31">
          <cell r="U31">
            <v>69750</v>
          </cell>
          <cell r="Z31">
            <v>5000</v>
          </cell>
          <cell r="AA31">
            <v>382200</v>
          </cell>
          <cell r="AC31">
            <v>212759</v>
          </cell>
          <cell r="AD31">
            <v>351750</v>
          </cell>
          <cell r="AL31">
            <v>5190959</v>
          </cell>
          <cell r="AQ31">
            <v>161600</v>
          </cell>
          <cell r="BD31">
            <v>0</v>
          </cell>
        </row>
        <row r="32">
          <cell r="U32">
            <v>144150</v>
          </cell>
          <cell r="Z32">
            <v>5000</v>
          </cell>
          <cell r="AA32">
            <v>194350</v>
          </cell>
          <cell r="AC32">
            <v>356545</v>
          </cell>
          <cell r="AD32">
            <v>189000</v>
          </cell>
          <cell r="AL32">
            <v>5058545</v>
          </cell>
          <cell r="AQ32">
            <v>161600</v>
          </cell>
          <cell r="BD32">
            <v>0</v>
          </cell>
        </row>
        <row r="33">
          <cell r="U33">
            <v>172050</v>
          </cell>
          <cell r="Z33">
            <v>7500</v>
          </cell>
          <cell r="AA33">
            <v>149500</v>
          </cell>
          <cell r="AC33">
            <v>218395</v>
          </cell>
          <cell r="AD33">
            <v>229250</v>
          </cell>
          <cell r="AL33">
            <v>4946195</v>
          </cell>
          <cell r="AQ33">
            <v>161700</v>
          </cell>
          <cell r="BD33">
            <v>0</v>
          </cell>
        </row>
        <row r="34">
          <cell r="U34">
            <v>172050</v>
          </cell>
          <cell r="Z34">
            <v>15000</v>
          </cell>
          <cell r="AA34">
            <v>152750</v>
          </cell>
          <cell r="AC34">
            <v>180352</v>
          </cell>
          <cell r="AD34">
            <v>241500</v>
          </cell>
          <cell r="AL34">
            <v>4931152</v>
          </cell>
          <cell r="AQ34">
            <v>162000</v>
          </cell>
          <cell r="BD34">
            <v>0</v>
          </cell>
        </row>
        <row r="35">
          <cell r="U35">
            <v>114700</v>
          </cell>
          <cell r="Z35">
            <v>5000</v>
          </cell>
          <cell r="AA35">
            <v>130000</v>
          </cell>
          <cell r="AC35">
            <v>176125</v>
          </cell>
          <cell r="AD35">
            <v>253750</v>
          </cell>
          <cell r="AL35">
            <v>4849075</v>
          </cell>
          <cell r="AQ35">
            <v>161600</v>
          </cell>
          <cell r="BD35">
            <v>0</v>
          </cell>
        </row>
        <row r="36">
          <cell r="U36">
            <v>155400</v>
          </cell>
          <cell r="Z36">
            <v>12500</v>
          </cell>
          <cell r="AA36">
            <v>421200</v>
          </cell>
          <cell r="AD36">
            <v>43750</v>
          </cell>
          <cell r="AL36">
            <v>4398850</v>
          </cell>
          <cell r="AQ36">
            <v>161900</v>
          </cell>
          <cell r="BD36">
            <v>403500</v>
          </cell>
        </row>
        <row r="37">
          <cell r="U37">
            <v>144150</v>
          </cell>
          <cell r="Z37">
            <v>2500</v>
          </cell>
          <cell r="AA37">
            <v>634400</v>
          </cell>
          <cell r="AC37">
            <v>233894</v>
          </cell>
          <cell r="AD37">
            <v>232750</v>
          </cell>
          <cell r="AL37">
            <v>5417194</v>
          </cell>
          <cell r="AQ37">
            <v>161500</v>
          </cell>
          <cell r="BD37">
            <v>0</v>
          </cell>
        </row>
        <row r="38">
          <cell r="U38">
            <v>144150</v>
          </cell>
          <cell r="Z38">
            <v>2500</v>
          </cell>
          <cell r="AA38">
            <v>393250</v>
          </cell>
          <cell r="AC38">
            <v>236712</v>
          </cell>
          <cell r="AD38">
            <v>197750</v>
          </cell>
          <cell r="AL38">
            <v>5143862</v>
          </cell>
          <cell r="AQ38">
            <v>161500</v>
          </cell>
          <cell r="BD38">
            <v>0</v>
          </cell>
        </row>
        <row r="39">
          <cell r="U39">
            <v>144150</v>
          </cell>
          <cell r="Z39">
            <v>18000</v>
          </cell>
          <cell r="AA39">
            <v>188500</v>
          </cell>
          <cell r="AC39">
            <v>246575</v>
          </cell>
          <cell r="AD39">
            <v>234500</v>
          </cell>
          <cell r="AL39">
            <v>5001225</v>
          </cell>
          <cell r="AQ39">
            <v>162120</v>
          </cell>
          <cell r="BD39">
            <v>0</v>
          </cell>
        </row>
        <row r="40">
          <cell r="U40">
            <v>144150</v>
          </cell>
          <cell r="Z40">
            <v>15000</v>
          </cell>
          <cell r="AC40">
            <v>174716</v>
          </cell>
          <cell r="AD40">
            <v>225750</v>
          </cell>
          <cell r="AH40">
            <v>62767</v>
          </cell>
          <cell r="AL40">
            <v>4666349</v>
          </cell>
          <cell r="AQ40">
            <v>162000</v>
          </cell>
          <cell r="BD40">
            <v>0</v>
          </cell>
        </row>
        <row r="41">
          <cell r="U41">
            <v>172050</v>
          </cell>
          <cell r="Z41">
            <v>2500</v>
          </cell>
          <cell r="AA41">
            <v>404950</v>
          </cell>
          <cell r="AC41">
            <v>301526</v>
          </cell>
          <cell r="AD41">
            <v>355250</v>
          </cell>
          <cell r="AL41">
            <v>5405776</v>
          </cell>
          <cell r="AQ41">
            <v>161500</v>
          </cell>
          <cell r="BD41">
            <v>0</v>
          </cell>
        </row>
        <row r="42">
          <cell r="U42">
            <v>144150</v>
          </cell>
          <cell r="Z42">
            <v>2500</v>
          </cell>
          <cell r="AA42">
            <v>217750</v>
          </cell>
          <cell r="AC42">
            <v>190215</v>
          </cell>
          <cell r="AD42">
            <v>220500</v>
          </cell>
          <cell r="AL42">
            <v>4944615</v>
          </cell>
          <cell r="AQ42">
            <v>161500</v>
          </cell>
          <cell r="BD42">
            <v>0</v>
          </cell>
        </row>
        <row r="43">
          <cell r="U43">
            <v>172050</v>
          </cell>
          <cell r="Z43">
            <v>2500</v>
          </cell>
          <cell r="AA43">
            <v>171600</v>
          </cell>
          <cell r="AC43">
            <v>231076</v>
          </cell>
          <cell r="AD43">
            <v>269500</v>
          </cell>
          <cell r="AL43">
            <v>5016226</v>
          </cell>
          <cell r="AQ43">
            <v>161500</v>
          </cell>
          <cell r="BD43">
            <v>0</v>
          </cell>
        </row>
        <row r="44">
          <cell r="U44">
            <v>4430650</v>
          </cell>
          <cell r="X44">
            <v>190500</v>
          </cell>
          <cell r="Z44">
            <v>539500</v>
          </cell>
          <cell r="AA44">
            <v>7658300</v>
          </cell>
          <cell r="AB44">
            <v>518000</v>
          </cell>
          <cell r="AC44">
            <v>5660592</v>
          </cell>
          <cell r="AD44">
            <v>6965000</v>
          </cell>
          <cell r="AE44">
            <v>1714273</v>
          </cell>
          <cell r="AG44">
            <v>2955000</v>
          </cell>
          <cell r="AL44">
            <v>163821186</v>
          </cell>
          <cell r="AQ44">
            <v>5347780</v>
          </cell>
          <cell r="AV44">
            <v>80673</v>
          </cell>
          <cell r="BD44">
            <v>2017500</v>
          </cell>
        </row>
      </sheetData>
      <sheetData sheetId="2">
        <row r="9">
          <cell r="W9">
            <v>144150</v>
          </cell>
          <cell r="AB9">
            <v>33000</v>
          </cell>
          <cell r="AG9">
            <v>244895</v>
          </cell>
          <cell r="AI9">
            <v>4675545</v>
          </cell>
          <cell r="AN9">
            <v>162720</v>
          </cell>
          <cell r="BB9">
            <v>0</v>
          </cell>
        </row>
        <row r="10">
          <cell r="W10">
            <v>69750</v>
          </cell>
          <cell r="AB10">
            <v>36500</v>
          </cell>
          <cell r="AI10">
            <v>4275750</v>
          </cell>
          <cell r="AN10">
            <v>162860</v>
          </cell>
          <cell r="BB10">
            <v>0</v>
          </cell>
        </row>
        <row r="11">
          <cell r="W11">
            <v>69750</v>
          </cell>
          <cell r="AB11">
            <v>33000</v>
          </cell>
          <cell r="AI11">
            <v>4272250</v>
          </cell>
          <cell r="AN11">
            <v>162720</v>
          </cell>
          <cell r="BB11">
            <v>0</v>
          </cell>
        </row>
        <row r="12">
          <cell r="W12">
            <v>67500</v>
          </cell>
          <cell r="AB12">
            <v>57500</v>
          </cell>
          <cell r="AI12">
            <v>4160000</v>
          </cell>
          <cell r="AN12">
            <v>163700</v>
          </cell>
          <cell r="BB12">
            <v>134500</v>
          </cell>
        </row>
        <row r="13">
          <cell r="W13">
            <v>69750</v>
          </cell>
          <cell r="AB13">
            <v>57500</v>
          </cell>
          <cell r="AI13">
            <v>4296750</v>
          </cell>
          <cell r="AN13">
            <v>163700</v>
          </cell>
          <cell r="BB13">
            <v>0</v>
          </cell>
        </row>
        <row r="14">
          <cell r="W14">
            <v>65250</v>
          </cell>
          <cell r="AB14">
            <v>54000</v>
          </cell>
          <cell r="AI14">
            <v>4019750</v>
          </cell>
          <cell r="AN14">
            <v>163560</v>
          </cell>
          <cell r="BB14">
            <v>269000</v>
          </cell>
        </row>
        <row r="15">
          <cell r="W15">
            <v>69750</v>
          </cell>
          <cell r="AB15">
            <v>47000</v>
          </cell>
          <cell r="AI15">
            <v>4286250</v>
          </cell>
          <cell r="AN15">
            <v>163280</v>
          </cell>
          <cell r="BB15">
            <v>0</v>
          </cell>
        </row>
        <row r="16">
          <cell r="W16">
            <v>65250</v>
          </cell>
          <cell r="AB16">
            <v>50500</v>
          </cell>
          <cell r="AI16">
            <v>4016250</v>
          </cell>
          <cell r="AN16">
            <v>163420</v>
          </cell>
          <cell r="BB16">
            <v>269000</v>
          </cell>
        </row>
        <row r="17">
          <cell r="W17">
            <v>172050</v>
          </cell>
          <cell r="AB17">
            <v>33000</v>
          </cell>
          <cell r="AG17">
            <v>314866</v>
          </cell>
          <cell r="AI17">
            <v>4689416</v>
          </cell>
          <cell r="AN17">
            <v>162720</v>
          </cell>
          <cell r="BB17">
            <v>0</v>
          </cell>
        </row>
        <row r="18">
          <cell r="W18">
            <v>67500</v>
          </cell>
          <cell r="AB18">
            <v>36500</v>
          </cell>
          <cell r="AI18">
            <v>4139000</v>
          </cell>
          <cell r="AN18">
            <v>162860</v>
          </cell>
          <cell r="BB18">
            <v>134500</v>
          </cell>
        </row>
        <row r="19">
          <cell r="W19">
            <v>172050</v>
          </cell>
          <cell r="AB19">
            <v>89000</v>
          </cell>
          <cell r="AG19">
            <v>81632</v>
          </cell>
          <cell r="AI19">
            <v>4512182</v>
          </cell>
          <cell r="AN19">
            <v>164960</v>
          </cell>
          <cell r="BB19">
            <v>0</v>
          </cell>
        </row>
        <row r="20">
          <cell r="W20">
            <v>69750</v>
          </cell>
          <cell r="AB20">
            <v>27000</v>
          </cell>
          <cell r="AI20">
            <v>4266250</v>
          </cell>
          <cell r="AN20">
            <v>162480</v>
          </cell>
          <cell r="BB20">
            <v>0</v>
          </cell>
        </row>
        <row r="21">
          <cell r="W21">
            <v>69750</v>
          </cell>
          <cell r="AB21">
            <v>27000</v>
          </cell>
          <cell r="AI21">
            <v>4266250</v>
          </cell>
          <cell r="AN21">
            <v>162480</v>
          </cell>
          <cell r="BB21">
            <v>0</v>
          </cell>
        </row>
        <row r="22">
          <cell r="W22">
            <v>69750</v>
          </cell>
          <cell r="AB22">
            <v>27000</v>
          </cell>
          <cell r="AI22">
            <v>4266250</v>
          </cell>
          <cell r="AN22">
            <v>162480</v>
          </cell>
          <cell r="BB22">
            <v>0</v>
          </cell>
        </row>
        <row r="23">
          <cell r="W23">
            <v>60750</v>
          </cell>
          <cell r="AB23">
            <v>36500</v>
          </cell>
          <cell r="AI23">
            <v>3728750</v>
          </cell>
          <cell r="AN23">
            <v>162860</v>
          </cell>
          <cell r="BB23">
            <v>538000</v>
          </cell>
        </row>
        <row r="24">
          <cell r="W24">
            <v>172050</v>
          </cell>
          <cell r="AB24">
            <v>27000</v>
          </cell>
          <cell r="AG24">
            <v>104955</v>
          </cell>
          <cell r="AI24">
            <v>4473505</v>
          </cell>
          <cell r="AN24">
            <v>162480</v>
          </cell>
          <cell r="BB24">
            <v>0</v>
          </cell>
        </row>
        <row r="25">
          <cell r="W25">
            <v>111000</v>
          </cell>
          <cell r="AB25">
            <v>50500</v>
          </cell>
          <cell r="AG25">
            <v>734688</v>
          </cell>
          <cell r="AI25">
            <v>4931188</v>
          </cell>
          <cell r="AN25">
            <v>163420</v>
          </cell>
          <cell r="BB25">
            <v>134500</v>
          </cell>
        </row>
        <row r="26">
          <cell r="W26">
            <v>67500</v>
          </cell>
          <cell r="AB26">
            <v>36500</v>
          </cell>
          <cell r="AG26">
            <v>34985</v>
          </cell>
          <cell r="AI26">
            <v>4173985</v>
          </cell>
          <cell r="AN26">
            <v>162860</v>
          </cell>
          <cell r="BB26">
            <v>134500</v>
          </cell>
        </row>
        <row r="27">
          <cell r="W27">
            <v>69750</v>
          </cell>
          <cell r="AB27">
            <v>27000</v>
          </cell>
          <cell r="AI27">
            <v>4266250</v>
          </cell>
          <cell r="AN27">
            <v>162480</v>
          </cell>
          <cell r="BB27">
            <v>0</v>
          </cell>
        </row>
        <row r="28">
          <cell r="W28">
            <v>67500</v>
          </cell>
          <cell r="AB28">
            <v>30000</v>
          </cell>
          <cell r="AI28">
            <v>4132500</v>
          </cell>
          <cell r="AN28">
            <v>162600</v>
          </cell>
          <cell r="BB28">
            <v>134500</v>
          </cell>
        </row>
        <row r="29">
          <cell r="W29">
            <v>134850</v>
          </cell>
          <cell r="AB29">
            <v>57500</v>
          </cell>
          <cell r="AI29">
            <v>4092850</v>
          </cell>
          <cell r="AN29">
            <v>163700</v>
          </cell>
          <cell r="BB29">
            <v>269000</v>
          </cell>
        </row>
        <row r="30">
          <cell r="W30">
            <v>1925400</v>
          </cell>
          <cell r="Z30">
            <v>84000</v>
          </cell>
          <cell r="AB30">
            <v>873500</v>
          </cell>
          <cell r="AG30">
            <v>1516021</v>
          </cell>
          <cell r="AI30">
            <v>89940921</v>
          </cell>
          <cell r="AN30">
            <v>3424340</v>
          </cell>
          <cell r="AS30">
            <v>0</v>
          </cell>
          <cell r="BB30">
            <v>2017500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topLeftCell="E1" workbookViewId="0">
      <selection activeCell="U19" sqref="U19"/>
    </sheetView>
  </sheetViews>
  <sheetFormatPr defaultColWidth="8.7109375" defaultRowHeight="15" customHeight="1"/>
  <cols>
    <col min="1" max="1" width="4.7109375" style="138" customWidth="1"/>
    <col min="2" max="2" width="13.7109375" style="9" customWidth="1"/>
    <col min="3" max="3" width="4.7109375" style="138" customWidth="1"/>
    <col min="4" max="4" width="14.7109375" style="9" customWidth="1"/>
    <col min="5" max="5" width="8.7109375" style="16" customWidth="1"/>
    <col min="6" max="7" width="4.7109375" style="138" customWidth="1"/>
    <col min="8" max="8" width="13.7109375" style="138" customWidth="1"/>
    <col min="9" max="9" width="4.7109375" style="138" customWidth="1"/>
    <col min="10" max="10" width="14.7109375" style="138" customWidth="1"/>
    <col min="11" max="11" width="8.7109375" style="14" customWidth="1"/>
    <col min="12" max="13" width="4.7109375" style="138" customWidth="1"/>
    <col min="14" max="14" width="13.7109375" style="138" customWidth="1"/>
    <col min="15" max="15" width="4.7109375" style="138" customWidth="1"/>
    <col min="16" max="16" width="14.7109375" style="138" customWidth="1"/>
    <col min="17" max="17" width="8.7109375" style="14" customWidth="1"/>
    <col min="18" max="18" width="4.7109375" style="138" customWidth="1"/>
    <col min="19" max="19" width="14.28515625" style="3" customWidth="1"/>
    <col min="20" max="20" width="4.7109375" style="3" customWidth="1"/>
    <col min="21" max="21" width="13.85546875" style="3" customWidth="1"/>
    <col min="22" max="22" width="8.7109375" style="3" customWidth="1"/>
    <col min="23" max="23" width="4.7109375" style="22" customWidth="1"/>
    <col min="24" max="24" width="4.7109375" style="14" customWidth="1"/>
    <col min="25" max="25" width="8.7109375" style="3"/>
    <col min="26" max="16384" width="8.7109375" style="138"/>
  </cols>
  <sheetData>
    <row r="1" spans="1:25" s="11" customFormat="1" ht="20.100000000000001" customHeight="1">
      <c r="A1" s="2" t="s">
        <v>61</v>
      </c>
      <c r="E1" s="15"/>
      <c r="F1" s="1"/>
      <c r="G1" s="2" t="s">
        <v>62</v>
      </c>
      <c r="H1" s="1"/>
      <c r="I1" s="1"/>
      <c r="J1" s="1"/>
      <c r="K1" s="12"/>
      <c r="M1" s="2" t="s">
        <v>63</v>
      </c>
      <c r="Q1" s="12"/>
      <c r="S1" s="2" t="s">
        <v>21</v>
      </c>
      <c r="T1" s="6"/>
      <c r="U1" s="6"/>
      <c r="V1" s="6"/>
      <c r="W1" s="21"/>
      <c r="X1" s="25"/>
      <c r="Y1" s="6"/>
    </row>
    <row r="2" spans="1:25" ht="20.100000000000001" customHeight="1">
      <c r="A2" s="139" t="s">
        <v>0</v>
      </c>
      <c r="B2" s="236" t="s">
        <v>3</v>
      </c>
      <c r="C2" s="236"/>
      <c r="D2" s="236"/>
      <c r="E2" s="5" t="s">
        <v>1</v>
      </c>
      <c r="G2" s="139" t="s">
        <v>0</v>
      </c>
      <c r="H2" s="236" t="s">
        <v>3</v>
      </c>
      <c r="I2" s="236"/>
      <c r="J2" s="236"/>
      <c r="K2" s="5" t="s">
        <v>4</v>
      </c>
      <c r="M2" s="139" t="s">
        <v>0</v>
      </c>
      <c r="N2" s="236" t="s">
        <v>3</v>
      </c>
      <c r="O2" s="236"/>
      <c r="P2" s="236"/>
      <c r="Q2" s="5" t="s">
        <v>5</v>
      </c>
      <c r="S2" s="236" t="s">
        <v>14</v>
      </c>
      <c r="T2" s="236"/>
      <c r="U2" s="236"/>
      <c r="V2" s="139" t="s">
        <v>13</v>
      </c>
      <c r="X2" s="26"/>
    </row>
    <row r="3" spans="1:25" ht="15" customHeight="1">
      <c r="A3" s="140">
        <v>1</v>
      </c>
      <c r="B3" s="19">
        <v>0</v>
      </c>
      <c r="C3" s="140" t="s">
        <v>2</v>
      </c>
      <c r="D3" s="7">
        <v>5400000</v>
      </c>
      <c r="E3" s="13">
        <v>0</v>
      </c>
      <c r="G3" s="140">
        <v>1</v>
      </c>
      <c r="H3" s="19">
        <v>0</v>
      </c>
      <c r="I3" s="140" t="s">
        <v>2</v>
      </c>
      <c r="J3" s="7">
        <v>6200000</v>
      </c>
      <c r="K3" s="13">
        <v>0</v>
      </c>
      <c r="M3" s="140">
        <v>1</v>
      </c>
      <c r="N3" s="19">
        <v>0</v>
      </c>
      <c r="O3" s="140" t="s">
        <v>2</v>
      </c>
      <c r="P3" s="7">
        <v>6600000</v>
      </c>
      <c r="Q3" s="13">
        <v>0</v>
      </c>
      <c r="S3" s="19">
        <v>0</v>
      </c>
      <c r="T3" s="140" t="s">
        <v>2</v>
      </c>
      <c r="U3" s="4">
        <v>450000</v>
      </c>
      <c r="V3" s="17">
        <v>0</v>
      </c>
      <c r="X3" s="26"/>
    </row>
    <row r="4" spans="1:25" ht="15" customHeight="1">
      <c r="A4" s="140">
        <f>A3+1</f>
        <v>2</v>
      </c>
      <c r="B4" s="7">
        <f>D3+1</f>
        <v>5400001</v>
      </c>
      <c r="C4" s="140" t="s">
        <v>2</v>
      </c>
      <c r="D4" s="7">
        <v>5650000</v>
      </c>
      <c r="E4" s="13">
        <v>2.5000000000000001E-3</v>
      </c>
      <c r="G4" s="140">
        <f>G3+1</f>
        <v>2</v>
      </c>
      <c r="H4" s="7">
        <f>J3+1</f>
        <v>6200001</v>
      </c>
      <c r="I4" s="140" t="s">
        <v>2</v>
      </c>
      <c r="J4" s="7">
        <v>6500000</v>
      </c>
      <c r="K4" s="13">
        <v>2.5000000000000001E-3</v>
      </c>
      <c r="M4" s="140">
        <f>M3+1</f>
        <v>2</v>
      </c>
      <c r="N4" s="7">
        <f>P3+1</f>
        <v>6600001</v>
      </c>
      <c r="O4" s="140" t="s">
        <v>2</v>
      </c>
      <c r="P4" s="7">
        <v>6950000</v>
      </c>
      <c r="Q4" s="13">
        <v>2.5000000000000001E-3</v>
      </c>
      <c r="S4" s="4">
        <v>450001</v>
      </c>
      <c r="T4" s="140" t="s">
        <v>2</v>
      </c>
      <c r="U4" s="4">
        <v>2500000</v>
      </c>
      <c r="V4" s="18">
        <v>5.0000000000000001E-3</v>
      </c>
      <c r="X4" s="26"/>
    </row>
    <row r="5" spans="1:25" ht="15" customHeight="1">
      <c r="A5" s="140">
        <f t="shared" ref="A5:A46" si="0">A4+1</f>
        <v>3</v>
      </c>
      <c r="B5" s="7">
        <f t="shared" ref="B5:B46" si="1">D4+1</f>
        <v>5650001</v>
      </c>
      <c r="C5" s="140" t="s">
        <v>2</v>
      </c>
      <c r="D5" s="7">
        <v>5950000</v>
      </c>
      <c r="E5" s="13">
        <v>5.0000000000000001E-3</v>
      </c>
      <c r="G5" s="140">
        <f t="shared" ref="G5:G42" si="2">G4+1</f>
        <v>3</v>
      </c>
      <c r="H5" s="7">
        <f t="shared" ref="H5:H42" si="3">J4+1</f>
        <v>6500001</v>
      </c>
      <c r="I5" s="140" t="s">
        <v>2</v>
      </c>
      <c r="J5" s="7">
        <v>6850000</v>
      </c>
      <c r="K5" s="13">
        <v>5.0000000000000001E-3</v>
      </c>
      <c r="M5" s="140">
        <f t="shared" ref="M5:M42" si="4">M4+1</f>
        <v>3</v>
      </c>
      <c r="N5" s="7">
        <f t="shared" ref="N5:N43" si="5">P4+1</f>
        <v>6950001</v>
      </c>
      <c r="O5" s="140" t="s">
        <v>2</v>
      </c>
      <c r="P5" s="7">
        <v>7350000</v>
      </c>
      <c r="Q5" s="13">
        <v>5.0000000000000001E-3</v>
      </c>
    </row>
    <row r="6" spans="1:25" ht="15" customHeight="1">
      <c r="A6" s="140">
        <f t="shared" si="0"/>
        <v>4</v>
      </c>
      <c r="B6" s="7">
        <f t="shared" si="1"/>
        <v>5950001</v>
      </c>
      <c r="C6" s="140" t="s">
        <v>2</v>
      </c>
      <c r="D6" s="7">
        <v>6300000</v>
      </c>
      <c r="E6" s="13">
        <v>7.4999999999999997E-3</v>
      </c>
      <c r="G6" s="140">
        <f t="shared" si="2"/>
        <v>4</v>
      </c>
      <c r="H6" s="7">
        <f t="shared" si="3"/>
        <v>6850001</v>
      </c>
      <c r="I6" s="140" t="s">
        <v>2</v>
      </c>
      <c r="J6" s="7">
        <v>7300000</v>
      </c>
      <c r="K6" s="13">
        <v>7.4999999999999997E-3</v>
      </c>
      <c r="M6" s="140">
        <f t="shared" si="4"/>
        <v>4</v>
      </c>
      <c r="N6" s="7">
        <f t="shared" si="5"/>
        <v>7350001</v>
      </c>
      <c r="O6" s="140" t="s">
        <v>2</v>
      </c>
      <c r="P6" s="7">
        <v>7800000</v>
      </c>
      <c r="Q6" s="13">
        <v>7.4999999999999997E-3</v>
      </c>
    </row>
    <row r="7" spans="1:25" ht="15" customHeight="1">
      <c r="A7" s="140">
        <f t="shared" si="0"/>
        <v>5</v>
      </c>
      <c r="B7" s="7">
        <f t="shared" si="1"/>
        <v>6300001</v>
      </c>
      <c r="C7" s="140" t="s">
        <v>2</v>
      </c>
      <c r="D7" s="7">
        <v>6750000</v>
      </c>
      <c r="E7" s="13">
        <v>0.01</v>
      </c>
      <c r="G7" s="140">
        <f t="shared" si="2"/>
        <v>5</v>
      </c>
      <c r="H7" s="7">
        <f t="shared" si="3"/>
        <v>7300001</v>
      </c>
      <c r="I7" s="140" t="s">
        <v>2</v>
      </c>
      <c r="J7" s="7">
        <v>9200000</v>
      </c>
      <c r="K7" s="13">
        <v>0.01</v>
      </c>
      <c r="M7" s="140">
        <f t="shared" si="4"/>
        <v>5</v>
      </c>
      <c r="N7" s="7">
        <f t="shared" si="5"/>
        <v>7800001</v>
      </c>
      <c r="O7" s="140" t="s">
        <v>2</v>
      </c>
      <c r="P7" s="7">
        <v>8850000</v>
      </c>
      <c r="Q7" s="13">
        <v>0.01</v>
      </c>
      <c r="S7" s="2" t="s">
        <v>23</v>
      </c>
      <c r="T7" s="6"/>
      <c r="U7" s="6"/>
      <c r="V7" s="6"/>
    </row>
    <row r="8" spans="1:25" ht="15" customHeight="1">
      <c r="A8" s="140">
        <f t="shared" si="0"/>
        <v>6</v>
      </c>
      <c r="B8" s="7">
        <f t="shared" si="1"/>
        <v>6750001</v>
      </c>
      <c r="C8" s="140" t="s">
        <v>2</v>
      </c>
      <c r="D8" s="7">
        <v>7500000</v>
      </c>
      <c r="E8" s="13">
        <v>1.2500000000000001E-2</v>
      </c>
      <c r="G8" s="140">
        <f t="shared" si="2"/>
        <v>6</v>
      </c>
      <c r="H8" s="7">
        <f t="shared" si="3"/>
        <v>9200001</v>
      </c>
      <c r="I8" s="140" t="s">
        <v>2</v>
      </c>
      <c r="J8" s="7">
        <v>10750000</v>
      </c>
      <c r="K8" s="13">
        <v>1.4999999999999999E-2</v>
      </c>
      <c r="M8" s="140">
        <f t="shared" si="4"/>
        <v>6</v>
      </c>
      <c r="N8" s="7">
        <f t="shared" si="5"/>
        <v>8850001</v>
      </c>
      <c r="O8" s="140" t="s">
        <v>2</v>
      </c>
      <c r="P8" s="7">
        <v>9800000</v>
      </c>
      <c r="Q8" s="13">
        <v>1.2500000000000001E-2</v>
      </c>
      <c r="S8" s="236" t="s">
        <v>22</v>
      </c>
      <c r="T8" s="236"/>
      <c r="U8" s="236"/>
      <c r="V8" s="139" t="s">
        <v>13</v>
      </c>
    </row>
    <row r="9" spans="1:25" ht="15" customHeight="1">
      <c r="A9" s="140">
        <f t="shared" si="0"/>
        <v>7</v>
      </c>
      <c r="B9" s="7">
        <f t="shared" si="1"/>
        <v>7500001</v>
      </c>
      <c r="C9" s="140" t="s">
        <v>2</v>
      </c>
      <c r="D9" s="7">
        <v>8550000</v>
      </c>
      <c r="E9" s="13">
        <v>1.5000000000000001E-2</v>
      </c>
      <c r="G9" s="140">
        <f t="shared" si="2"/>
        <v>7</v>
      </c>
      <c r="H9" s="7">
        <f t="shared" si="3"/>
        <v>10750001</v>
      </c>
      <c r="I9" s="140" t="s">
        <v>2</v>
      </c>
      <c r="J9" s="7">
        <v>11250000</v>
      </c>
      <c r="K9" s="13">
        <v>0.02</v>
      </c>
      <c r="M9" s="140">
        <f t="shared" si="4"/>
        <v>7</v>
      </c>
      <c r="N9" s="7">
        <f t="shared" si="5"/>
        <v>9800001</v>
      </c>
      <c r="O9" s="140" t="s">
        <v>2</v>
      </c>
      <c r="P9" s="7">
        <v>10950000</v>
      </c>
      <c r="Q9" s="13">
        <v>1.5000000000000001E-2</v>
      </c>
      <c r="S9" s="19">
        <v>0</v>
      </c>
      <c r="T9" s="140" t="s">
        <v>2</v>
      </c>
      <c r="U9" s="4">
        <v>60000000</v>
      </c>
      <c r="V9" s="17">
        <v>0.05</v>
      </c>
    </row>
    <row r="10" spans="1:25" ht="15" customHeight="1">
      <c r="A10" s="140">
        <f t="shared" si="0"/>
        <v>8</v>
      </c>
      <c r="B10" s="7">
        <f t="shared" si="1"/>
        <v>8550001</v>
      </c>
      <c r="C10" s="140" t="s">
        <v>2</v>
      </c>
      <c r="D10" s="7">
        <v>9650000</v>
      </c>
      <c r="E10" s="13">
        <v>1.7500000000000002E-2</v>
      </c>
      <c r="G10" s="140">
        <f t="shared" si="2"/>
        <v>8</v>
      </c>
      <c r="H10" s="7">
        <f t="shared" si="3"/>
        <v>11250001</v>
      </c>
      <c r="I10" s="140" t="s">
        <v>2</v>
      </c>
      <c r="J10" s="7">
        <v>11600000</v>
      </c>
      <c r="K10" s="13">
        <v>2.5000000000000001E-2</v>
      </c>
      <c r="M10" s="140">
        <f t="shared" si="4"/>
        <v>8</v>
      </c>
      <c r="N10" s="7">
        <f t="shared" si="5"/>
        <v>10950001</v>
      </c>
      <c r="O10" s="140" t="s">
        <v>2</v>
      </c>
      <c r="P10" s="7">
        <v>11200000</v>
      </c>
      <c r="Q10" s="13">
        <v>1.7500000000000002E-2</v>
      </c>
      <c r="S10" s="4">
        <f>U9+1</f>
        <v>60000001</v>
      </c>
      <c r="T10" s="140" t="s">
        <v>2</v>
      </c>
      <c r="U10" s="4">
        <v>250000000</v>
      </c>
      <c r="V10" s="17">
        <v>0.15</v>
      </c>
    </row>
    <row r="11" spans="1:25" ht="15" customHeight="1">
      <c r="A11" s="140">
        <f t="shared" si="0"/>
        <v>9</v>
      </c>
      <c r="B11" s="7">
        <f t="shared" si="1"/>
        <v>9650001</v>
      </c>
      <c r="C11" s="140" t="s">
        <v>2</v>
      </c>
      <c r="D11" s="7">
        <v>10050000</v>
      </c>
      <c r="E11" s="13">
        <v>0.02</v>
      </c>
      <c r="G11" s="140">
        <f t="shared" si="2"/>
        <v>9</v>
      </c>
      <c r="H11" s="7">
        <f t="shared" si="3"/>
        <v>11600001</v>
      </c>
      <c r="I11" s="140" t="s">
        <v>2</v>
      </c>
      <c r="J11" s="7">
        <v>12600000</v>
      </c>
      <c r="K11" s="13">
        <v>3.0000000000000002E-2</v>
      </c>
      <c r="M11" s="140">
        <f t="shared" si="4"/>
        <v>9</v>
      </c>
      <c r="N11" s="7">
        <f t="shared" si="5"/>
        <v>11200001</v>
      </c>
      <c r="O11" s="140" t="s">
        <v>2</v>
      </c>
      <c r="P11" s="7">
        <v>12050000</v>
      </c>
      <c r="Q11" s="13">
        <v>0.02</v>
      </c>
      <c r="S11" s="4">
        <f>U10+1</f>
        <v>250000001</v>
      </c>
      <c r="T11" s="140" t="s">
        <v>2</v>
      </c>
      <c r="U11" s="4">
        <v>500000000</v>
      </c>
      <c r="V11" s="17">
        <v>0.25</v>
      </c>
    </row>
    <row r="12" spans="1:25" ht="15" customHeight="1">
      <c r="A12" s="140">
        <f t="shared" si="0"/>
        <v>10</v>
      </c>
      <c r="B12" s="7">
        <f t="shared" si="1"/>
        <v>10050001</v>
      </c>
      <c r="C12" s="140" t="s">
        <v>2</v>
      </c>
      <c r="D12" s="7">
        <v>10350000</v>
      </c>
      <c r="E12" s="13">
        <v>2.2499999999999999E-2</v>
      </c>
      <c r="G12" s="140">
        <f t="shared" si="2"/>
        <v>10</v>
      </c>
      <c r="H12" s="7">
        <f t="shared" si="3"/>
        <v>12600001</v>
      </c>
      <c r="I12" s="140" t="s">
        <v>2</v>
      </c>
      <c r="J12" s="7">
        <v>13600000</v>
      </c>
      <c r="K12" s="13">
        <v>0.04</v>
      </c>
      <c r="M12" s="140">
        <f t="shared" si="4"/>
        <v>10</v>
      </c>
      <c r="N12" s="7">
        <f t="shared" si="5"/>
        <v>12050001</v>
      </c>
      <c r="O12" s="140" t="s">
        <v>2</v>
      </c>
      <c r="P12" s="7">
        <v>12950000</v>
      </c>
      <c r="Q12" s="13">
        <v>0.03</v>
      </c>
      <c r="S12" s="4">
        <f>U11+1</f>
        <v>500000001</v>
      </c>
      <c r="T12" s="140" t="s">
        <v>2</v>
      </c>
      <c r="U12" s="4">
        <v>5000000000</v>
      </c>
      <c r="V12" s="17">
        <v>0.3</v>
      </c>
    </row>
    <row r="13" spans="1:25" ht="15" customHeight="1">
      <c r="A13" s="140">
        <f t="shared" si="0"/>
        <v>11</v>
      </c>
      <c r="B13" s="7">
        <f t="shared" si="1"/>
        <v>10350001</v>
      </c>
      <c r="C13" s="140" t="s">
        <v>2</v>
      </c>
      <c r="D13" s="7">
        <v>10700000</v>
      </c>
      <c r="E13" s="13">
        <v>2.4999999999999998E-2</v>
      </c>
      <c r="G13" s="140">
        <f t="shared" si="2"/>
        <v>11</v>
      </c>
      <c r="H13" s="7">
        <f t="shared" si="3"/>
        <v>13600001</v>
      </c>
      <c r="I13" s="140" t="s">
        <v>2</v>
      </c>
      <c r="J13" s="7">
        <v>14950000</v>
      </c>
      <c r="K13" s="13">
        <v>0.05</v>
      </c>
      <c r="M13" s="140">
        <f t="shared" si="4"/>
        <v>11</v>
      </c>
      <c r="N13" s="7">
        <f t="shared" si="5"/>
        <v>12950001</v>
      </c>
      <c r="O13" s="140" t="s">
        <v>2</v>
      </c>
      <c r="P13" s="7">
        <v>14150000</v>
      </c>
      <c r="Q13" s="13">
        <v>0.04</v>
      </c>
      <c r="S13" s="4">
        <f>U12+1</f>
        <v>5000000001</v>
      </c>
      <c r="T13" s="140" t="s">
        <v>2</v>
      </c>
      <c r="U13" s="7" t="s">
        <v>18</v>
      </c>
      <c r="V13" s="17">
        <v>0.35</v>
      </c>
    </row>
    <row r="14" spans="1:25" ht="15" customHeight="1">
      <c r="A14" s="140">
        <f t="shared" si="0"/>
        <v>12</v>
      </c>
      <c r="B14" s="7">
        <f t="shared" si="1"/>
        <v>10700001</v>
      </c>
      <c r="C14" s="140" t="s">
        <v>2</v>
      </c>
      <c r="D14" s="7">
        <v>11050000</v>
      </c>
      <c r="E14" s="13">
        <v>0.03</v>
      </c>
      <c r="G14" s="140">
        <f t="shared" si="2"/>
        <v>12</v>
      </c>
      <c r="H14" s="7">
        <f t="shared" si="3"/>
        <v>14950001</v>
      </c>
      <c r="I14" s="140" t="s">
        <v>2</v>
      </c>
      <c r="J14" s="7">
        <v>16400000</v>
      </c>
      <c r="K14" s="13">
        <v>6.0000000000000005E-2</v>
      </c>
      <c r="M14" s="140">
        <f t="shared" si="4"/>
        <v>12</v>
      </c>
      <c r="N14" s="7">
        <f t="shared" si="5"/>
        <v>14150001</v>
      </c>
      <c r="O14" s="140" t="s">
        <v>2</v>
      </c>
      <c r="P14" s="7">
        <v>1550000</v>
      </c>
      <c r="Q14" s="13">
        <v>0.05</v>
      </c>
      <c r="T14" s="237"/>
      <c r="U14" s="237"/>
    </row>
    <row r="15" spans="1:25" ht="15" customHeight="1">
      <c r="A15" s="140">
        <f t="shared" si="0"/>
        <v>13</v>
      </c>
      <c r="B15" s="7">
        <f t="shared" si="1"/>
        <v>11050001</v>
      </c>
      <c r="C15" s="140" t="s">
        <v>2</v>
      </c>
      <c r="D15" s="7">
        <v>11600000</v>
      </c>
      <c r="E15" s="13">
        <v>3.5000000000000003E-2</v>
      </c>
      <c r="G15" s="140">
        <f t="shared" si="2"/>
        <v>13</v>
      </c>
      <c r="H15" s="7">
        <f t="shared" si="3"/>
        <v>16400001</v>
      </c>
      <c r="I15" s="140" t="s">
        <v>2</v>
      </c>
      <c r="J15" s="7">
        <v>18450000</v>
      </c>
      <c r="K15" s="13">
        <v>7.0000000000000007E-2</v>
      </c>
      <c r="M15" s="140">
        <f t="shared" si="4"/>
        <v>13</v>
      </c>
      <c r="N15" s="7">
        <f t="shared" si="5"/>
        <v>1550001</v>
      </c>
      <c r="O15" s="140" t="s">
        <v>2</v>
      </c>
      <c r="P15" s="7">
        <v>17050000</v>
      </c>
      <c r="Q15" s="13">
        <v>6.0000000000000005E-2</v>
      </c>
      <c r="U15" s="20"/>
    </row>
    <row r="16" spans="1:25" ht="15" customHeight="1">
      <c r="A16" s="140">
        <f t="shared" si="0"/>
        <v>14</v>
      </c>
      <c r="B16" s="7">
        <f t="shared" si="1"/>
        <v>11600001</v>
      </c>
      <c r="C16" s="140" t="s">
        <v>2</v>
      </c>
      <c r="D16" s="7">
        <v>12500000</v>
      </c>
      <c r="E16" s="13">
        <v>0.04</v>
      </c>
      <c r="G16" s="140">
        <f t="shared" si="2"/>
        <v>14</v>
      </c>
      <c r="H16" s="7">
        <f t="shared" si="3"/>
        <v>18450001</v>
      </c>
      <c r="I16" s="140" t="s">
        <v>2</v>
      </c>
      <c r="J16" s="7">
        <v>21850000</v>
      </c>
      <c r="K16" s="13">
        <v>0.08</v>
      </c>
      <c r="M16" s="140">
        <f t="shared" si="4"/>
        <v>14</v>
      </c>
      <c r="N16" s="7">
        <f t="shared" si="5"/>
        <v>17050001</v>
      </c>
      <c r="O16" s="140" t="s">
        <v>2</v>
      </c>
      <c r="P16" s="7">
        <v>19500000</v>
      </c>
      <c r="Q16" s="13">
        <v>7.0000000000000007E-2</v>
      </c>
      <c r="S16" s="2" t="s">
        <v>6</v>
      </c>
      <c r="T16" s="21"/>
      <c r="U16" s="20"/>
    </row>
    <row r="17" spans="1:25" ht="15" customHeight="1">
      <c r="A17" s="140">
        <f t="shared" si="0"/>
        <v>15</v>
      </c>
      <c r="B17" s="7">
        <f t="shared" si="1"/>
        <v>12500001</v>
      </c>
      <c r="C17" s="140" t="s">
        <v>2</v>
      </c>
      <c r="D17" s="7">
        <v>13750000</v>
      </c>
      <c r="E17" s="13">
        <v>0.05</v>
      </c>
      <c r="G17" s="140">
        <f t="shared" si="2"/>
        <v>15</v>
      </c>
      <c r="H17" s="7">
        <f t="shared" si="3"/>
        <v>21850001</v>
      </c>
      <c r="I17" s="140" t="s">
        <v>2</v>
      </c>
      <c r="J17" s="7">
        <v>26000000</v>
      </c>
      <c r="K17" s="13">
        <v>0.09</v>
      </c>
      <c r="M17" s="140">
        <f t="shared" si="4"/>
        <v>15</v>
      </c>
      <c r="N17" s="7">
        <f t="shared" si="5"/>
        <v>19500001</v>
      </c>
      <c r="O17" s="140" t="s">
        <v>2</v>
      </c>
      <c r="P17" s="7">
        <v>22700000</v>
      </c>
      <c r="Q17" s="13">
        <v>0.08</v>
      </c>
      <c r="S17" s="236" t="s">
        <v>19</v>
      </c>
      <c r="T17" s="236"/>
      <c r="U17" s="24" t="s">
        <v>20</v>
      </c>
      <c r="V17" s="138"/>
      <c r="W17" s="138"/>
      <c r="X17" s="138"/>
      <c r="Y17" s="138"/>
    </row>
    <row r="18" spans="1:25" ht="15" customHeight="1">
      <c r="A18" s="140">
        <f t="shared" si="0"/>
        <v>16</v>
      </c>
      <c r="B18" s="7">
        <f t="shared" si="1"/>
        <v>13750001</v>
      </c>
      <c r="C18" s="140" t="s">
        <v>2</v>
      </c>
      <c r="D18" s="7">
        <v>15100000</v>
      </c>
      <c r="E18" s="13">
        <v>6.0000000000000005E-2</v>
      </c>
      <c r="G18" s="140">
        <f t="shared" si="2"/>
        <v>16</v>
      </c>
      <c r="H18" s="7">
        <f t="shared" si="3"/>
        <v>26000001</v>
      </c>
      <c r="I18" s="140" t="s">
        <v>2</v>
      </c>
      <c r="J18" s="7">
        <v>27700000</v>
      </c>
      <c r="K18" s="13">
        <v>9.9999999999999992E-2</v>
      </c>
      <c r="M18" s="140">
        <f t="shared" si="4"/>
        <v>16</v>
      </c>
      <c r="N18" s="7">
        <f t="shared" si="5"/>
        <v>22700001</v>
      </c>
      <c r="O18" s="140" t="s">
        <v>2</v>
      </c>
      <c r="P18" s="7">
        <v>26600000</v>
      </c>
      <c r="Q18" s="13">
        <v>0.09</v>
      </c>
      <c r="S18" s="235" t="s">
        <v>7</v>
      </c>
      <c r="T18" s="235"/>
      <c r="U18" s="23">
        <v>54000000</v>
      </c>
      <c r="V18" s="138"/>
      <c r="W18" s="138"/>
      <c r="X18" s="138"/>
      <c r="Y18" s="138"/>
    </row>
    <row r="19" spans="1:25" ht="15" customHeight="1">
      <c r="A19" s="140">
        <f t="shared" si="0"/>
        <v>17</v>
      </c>
      <c r="B19" s="7">
        <f t="shared" si="1"/>
        <v>15100001</v>
      </c>
      <c r="C19" s="140" t="s">
        <v>2</v>
      </c>
      <c r="D19" s="7">
        <v>16950000</v>
      </c>
      <c r="E19" s="13">
        <v>7.0000000000000007E-2</v>
      </c>
      <c r="G19" s="140">
        <f t="shared" si="2"/>
        <v>17</v>
      </c>
      <c r="H19" s="7">
        <f t="shared" si="3"/>
        <v>27700001</v>
      </c>
      <c r="I19" s="140" t="s">
        <v>2</v>
      </c>
      <c r="J19" s="7">
        <v>29350000</v>
      </c>
      <c r="K19" s="13">
        <v>0.10999999999999999</v>
      </c>
      <c r="M19" s="140">
        <f t="shared" si="4"/>
        <v>17</v>
      </c>
      <c r="N19" s="7">
        <f t="shared" si="5"/>
        <v>26600001</v>
      </c>
      <c r="O19" s="140" t="s">
        <v>2</v>
      </c>
      <c r="P19" s="7">
        <v>28100000</v>
      </c>
      <c r="Q19" s="13">
        <v>9.9999999999999992E-2</v>
      </c>
      <c r="S19" s="235" t="s">
        <v>16</v>
      </c>
      <c r="T19" s="235"/>
      <c r="U19" s="23">
        <v>58500000</v>
      </c>
      <c r="V19" s="138"/>
      <c r="W19" s="138"/>
      <c r="X19" s="138"/>
      <c r="Y19" s="138"/>
    </row>
    <row r="20" spans="1:25" ht="15" customHeight="1">
      <c r="A20" s="140">
        <f t="shared" si="0"/>
        <v>18</v>
      </c>
      <c r="B20" s="7">
        <f t="shared" si="1"/>
        <v>16950001</v>
      </c>
      <c r="C20" s="140" t="s">
        <v>2</v>
      </c>
      <c r="D20" s="7">
        <v>19750000</v>
      </c>
      <c r="E20" s="13">
        <v>0.08</v>
      </c>
      <c r="G20" s="140">
        <f t="shared" si="2"/>
        <v>18</v>
      </c>
      <c r="H20" s="7">
        <f t="shared" si="3"/>
        <v>29350001</v>
      </c>
      <c r="I20" s="140" t="s">
        <v>2</v>
      </c>
      <c r="J20" s="7">
        <v>31450000</v>
      </c>
      <c r="K20" s="13">
        <v>0.11999999999999998</v>
      </c>
      <c r="M20" s="140">
        <f t="shared" si="4"/>
        <v>18</v>
      </c>
      <c r="N20" s="7">
        <f t="shared" si="5"/>
        <v>28100001</v>
      </c>
      <c r="O20" s="140" t="s">
        <v>2</v>
      </c>
      <c r="P20" s="7">
        <v>30100000</v>
      </c>
      <c r="Q20" s="13">
        <v>0.10999999999999999</v>
      </c>
      <c r="S20" s="235" t="s">
        <v>8</v>
      </c>
      <c r="T20" s="235"/>
      <c r="U20" s="23">
        <v>63000000</v>
      </c>
      <c r="V20" s="138"/>
      <c r="W20" s="138"/>
      <c r="X20" s="138"/>
      <c r="Y20" s="138"/>
    </row>
    <row r="21" spans="1:25" ht="15" customHeight="1">
      <c r="A21" s="140">
        <f t="shared" si="0"/>
        <v>19</v>
      </c>
      <c r="B21" s="7">
        <f t="shared" si="1"/>
        <v>19750001</v>
      </c>
      <c r="C21" s="140" t="s">
        <v>2</v>
      </c>
      <c r="D21" s="7">
        <v>24150000</v>
      </c>
      <c r="E21" s="13">
        <v>0.09</v>
      </c>
      <c r="G21" s="140">
        <f t="shared" si="2"/>
        <v>19</v>
      </c>
      <c r="H21" s="7">
        <f t="shared" si="3"/>
        <v>31450001</v>
      </c>
      <c r="I21" s="140" t="s">
        <v>2</v>
      </c>
      <c r="J21" s="7">
        <v>33950000</v>
      </c>
      <c r="K21" s="13">
        <v>0.12999999999999998</v>
      </c>
      <c r="M21" s="140">
        <f t="shared" si="4"/>
        <v>19</v>
      </c>
      <c r="N21" s="7">
        <f t="shared" si="5"/>
        <v>30100001</v>
      </c>
      <c r="O21" s="140" t="s">
        <v>2</v>
      </c>
      <c r="P21" s="7">
        <v>32600000</v>
      </c>
      <c r="Q21" s="13">
        <v>0.11999999999999998</v>
      </c>
      <c r="S21" s="235" t="s">
        <v>10</v>
      </c>
      <c r="T21" s="235"/>
      <c r="U21" s="23">
        <v>67500000</v>
      </c>
      <c r="V21" s="138"/>
      <c r="W21" s="138"/>
      <c r="X21" s="138"/>
      <c r="Y21" s="138"/>
    </row>
    <row r="22" spans="1:25" ht="15" customHeight="1">
      <c r="A22" s="140">
        <f t="shared" si="0"/>
        <v>20</v>
      </c>
      <c r="B22" s="7">
        <f t="shared" si="1"/>
        <v>24150001</v>
      </c>
      <c r="C22" s="140" t="s">
        <v>2</v>
      </c>
      <c r="D22" s="7">
        <v>26450000</v>
      </c>
      <c r="E22" s="13">
        <v>9.9999999999999992E-2</v>
      </c>
      <c r="G22" s="140">
        <f t="shared" si="2"/>
        <v>20</v>
      </c>
      <c r="H22" s="7">
        <f t="shared" si="3"/>
        <v>33950001</v>
      </c>
      <c r="I22" s="140" t="s">
        <v>2</v>
      </c>
      <c r="J22" s="7">
        <v>37100000</v>
      </c>
      <c r="K22" s="13">
        <v>0.13999999999999999</v>
      </c>
      <c r="M22" s="140">
        <f t="shared" si="4"/>
        <v>20</v>
      </c>
      <c r="N22" s="7">
        <f t="shared" si="5"/>
        <v>32600001</v>
      </c>
      <c r="O22" s="140" t="s">
        <v>2</v>
      </c>
      <c r="P22" s="7">
        <v>35400000</v>
      </c>
      <c r="Q22" s="13">
        <v>0.12999999999999998</v>
      </c>
      <c r="S22" s="235" t="s">
        <v>17</v>
      </c>
      <c r="T22" s="235"/>
      <c r="U22" s="23">
        <v>58500000</v>
      </c>
      <c r="V22" s="138"/>
      <c r="W22" s="138"/>
      <c r="X22" s="138"/>
      <c r="Y22" s="138"/>
    </row>
    <row r="23" spans="1:25" ht="15" customHeight="1">
      <c r="A23" s="140">
        <f t="shared" si="0"/>
        <v>21</v>
      </c>
      <c r="B23" s="7">
        <f t="shared" si="1"/>
        <v>26450001</v>
      </c>
      <c r="C23" s="140" t="s">
        <v>2</v>
      </c>
      <c r="D23" s="7">
        <v>28000000</v>
      </c>
      <c r="E23" s="13">
        <v>0.10999999999999999</v>
      </c>
      <c r="G23" s="140">
        <f t="shared" si="2"/>
        <v>21</v>
      </c>
      <c r="H23" s="7">
        <f t="shared" si="3"/>
        <v>37100001</v>
      </c>
      <c r="I23" s="140" t="s">
        <v>2</v>
      </c>
      <c r="J23" s="7">
        <v>41100000</v>
      </c>
      <c r="K23" s="13">
        <v>0.15</v>
      </c>
      <c r="M23" s="140">
        <f t="shared" si="4"/>
        <v>21</v>
      </c>
      <c r="N23" s="7">
        <f t="shared" si="5"/>
        <v>35400001</v>
      </c>
      <c r="O23" s="140" t="s">
        <v>2</v>
      </c>
      <c r="P23" s="7">
        <v>38900000</v>
      </c>
      <c r="Q23" s="13">
        <v>0.13999999999999999</v>
      </c>
      <c r="S23" s="235" t="s">
        <v>9</v>
      </c>
      <c r="T23" s="235"/>
      <c r="U23" s="23">
        <v>63000000</v>
      </c>
      <c r="V23" s="138"/>
      <c r="W23" s="138"/>
      <c r="X23" s="138"/>
      <c r="Y23" s="138"/>
    </row>
    <row r="24" spans="1:25" ht="15" customHeight="1">
      <c r="A24" s="140">
        <f t="shared" si="0"/>
        <v>22</v>
      </c>
      <c r="B24" s="7">
        <f t="shared" si="1"/>
        <v>28000001</v>
      </c>
      <c r="C24" s="140" t="s">
        <v>2</v>
      </c>
      <c r="D24" s="7">
        <v>30050000</v>
      </c>
      <c r="E24" s="13">
        <v>0.11999999999999998</v>
      </c>
      <c r="G24" s="140">
        <f t="shared" si="2"/>
        <v>22</v>
      </c>
      <c r="H24" s="7">
        <f t="shared" si="3"/>
        <v>41100001</v>
      </c>
      <c r="I24" s="140" t="s">
        <v>2</v>
      </c>
      <c r="J24" s="7">
        <v>45800000</v>
      </c>
      <c r="K24" s="13">
        <v>0.16</v>
      </c>
      <c r="M24" s="140">
        <f t="shared" si="4"/>
        <v>22</v>
      </c>
      <c r="N24" s="7">
        <f t="shared" si="5"/>
        <v>38900001</v>
      </c>
      <c r="O24" s="140" t="s">
        <v>2</v>
      </c>
      <c r="P24" s="7">
        <v>43000000</v>
      </c>
      <c r="Q24" s="13">
        <v>0.15</v>
      </c>
      <c r="S24" s="235" t="s">
        <v>11</v>
      </c>
      <c r="T24" s="235"/>
      <c r="U24" s="23">
        <v>67500000</v>
      </c>
      <c r="V24" s="138"/>
      <c r="W24" s="138"/>
      <c r="X24" s="138"/>
      <c r="Y24" s="138"/>
    </row>
    <row r="25" spans="1:25" ht="15" customHeight="1">
      <c r="A25" s="140">
        <f t="shared" si="0"/>
        <v>23</v>
      </c>
      <c r="B25" s="7">
        <f t="shared" si="1"/>
        <v>30050001</v>
      </c>
      <c r="C25" s="140" t="s">
        <v>2</v>
      </c>
      <c r="D25" s="7">
        <v>32400000</v>
      </c>
      <c r="E25" s="13">
        <v>0.12999999999999998</v>
      </c>
      <c r="G25" s="140">
        <f t="shared" si="2"/>
        <v>23</v>
      </c>
      <c r="H25" s="7">
        <f t="shared" si="3"/>
        <v>45800001</v>
      </c>
      <c r="I25" s="140" t="s">
        <v>2</v>
      </c>
      <c r="J25" s="7">
        <v>49500000</v>
      </c>
      <c r="K25" s="13">
        <v>0.17</v>
      </c>
      <c r="M25" s="140">
        <f t="shared" si="4"/>
        <v>23</v>
      </c>
      <c r="N25" s="7">
        <f t="shared" si="5"/>
        <v>43000001</v>
      </c>
      <c r="O25" s="140" t="s">
        <v>2</v>
      </c>
      <c r="P25" s="7">
        <v>47400000</v>
      </c>
      <c r="Q25" s="13">
        <v>0.16</v>
      </c>
      <c r="S25" s="235" t="s">
        <v>12</v>
      </c>
      <c r="T25" s="235"/>
      <c r="U25" s="23">
        <v>72000000</v>
      </c>
      <c r="V25" s="138"/>
      <c r="W25" s="138"/>
      <c r="X25" s="138"/>
      <c r="Y25" s="138"/>
    </row>
    <row r="26" spans="1:25" ht="15" customHeight="1">
      <c r="A26" s="140">
        <f t="shared" si="0"/>
        <v>24</v>
      </c>
      <c r="B26" s="7">
        <f t="shared" si="1"/>
        <v>32400001</v>
      </c>
      <c r="C26" s="140" t="s">
        <v>2</v>
      </c>
      <c r="D26" s="7">
        <v>35400000</v>
      </c>
      <c r="E26" s="13">
        <v>0.13999999999999999</v>
      </c>
      <c r="G26" s="140">
        <f t="shared" si="2"/>
        <v>24</v>
      </c>
      <c r="H26" s="7">
        <f t="shared" si="3"/>
        <v>49500001</v>
      </c>
      <c r="I26" s="140" t="s">
        <v>2</v>
      </c>
      <c r="J26" s="7">
        <v>53800000</v>
      </c>
      <c r="K26" s="13">
        <v>0.18000000000000002</v>
      </c>
      <c r="M26" s="140">
        <f t="shared" si="4"/>
        <v>24</v>
      </c>
      <c r="N26" s="7">
        <f t="shared" si="5"/>
        <v>47400001</v>
      </c>
      <c r="O26" s="140" t="s">
        <v>2</v>
      </c>
      <c r="P26" s="7">
        <v>51200000</v>
      </c>
      <c r="Q26" s="13">
        <v>0.17</v>
      </c>
      <c r="V26" s="138"/>
      <c r="W26" s="138"/>
      <c r="X26" s="138"/>
      <c r="Y26" s="138"/>
    </row>
    <row r="27" spans="1:25" ht="15" customHeight="1">
      <c r="A27" s="140">
        <f t="shared" si="0"/>
        <v>25</v>
      </c>
      <c r="B27" s="7">
        <f t="shared" si="1"/>
        <v>35400001</v>
      </c>
      <c r="C27" s="140" t="s">
        <v>2</v>
      </c>
      <c r="D27" s="7">
        <v>39100000</v>
      </c>
      <c r="E27" s="13">
        <v>0.15</v>
      </c>
      <c r="G27" s="140">
        <f t="shared" si="2"/>
        <v>25</v>
      </c>
      <c r="H27" s="7">
        <f t="shared" si="3"/>
        <v>53800001</v>
      </c>
      <c r="I27" s="140" t="s">
        <v>2</v>
      </c>
      <c r="J27" s="7">
        <v>58500000</v>
      </c>
      <c r="K27" s="13">
        <v>0.19000000000000003</v>
      </c>
      <c r="M27" s="140">
        <f t="shared" si="4"/>
        <v>25</v>
      </c>
      <c r="N27" s="7">
        <f t="shared" si="5"/>
        <v>51200001</v>
      </c>
      <c r="O27" s="140" t="s">
        <v>2</v>
      </c>
      <c r="P27" s="7">
        <v>55800000</v>
      </c>
      <c r="Q27" s="13">
        <v>0.18000000000000002</v>
      </c>
      <c r="V27" s="138"/>
      <c r="W27" s="138"/>
      <c r="X27" s="138"/>
      <c r="Y27" s="138"/>
    </row>
    <row r="28" spans="1:25" ht="15" customHeight="1">
      <c r="A28" s="140">
        <f t="shared" si="0"/>
        <v>26</v>
      </c>
      <c r="B28" s="7">
        <f t="shared" si="1"/>
        <v>39100001</v>
      </c>
      <c r="C28" s="140" t="s">
        <v>2</v>
      </c>
      <c r="D28" s="7">
        <v>43850000</v>
      </c>
      <c r="E28" s="13">
        <v>0.16</v>
      </c>
      <c r="G28" s="140">
        <f t="shared" si="2"/>
        <v>26</v>
      </c>
      <c r="H28" s="7">
        <f t="shared" si="3"/>
        <v>58500001</v>
      </c>
      <c r="I28" s="140" t="s">
        <v>2</v>
      </c>
      <c r="J28" s="7">
        <v>64000000</v>
      </c>
      <c r="K28" s="13">
        <v>0.20000000000000004</v>
      </c>
      <c r="M28" s="140">
        <f t="shared" si="4"/>
        <v>26</v>
      </c>
      <c r="N28" s="7">
        <f t="shared" si="5"/>
        <v>55800001</v>
      </c>
      <c r="O28" s="140" t="s">
        <v>2</v>
      </c>
      <c r="P28" s="7">
        <v>60400000</v>
      </c>
      <c r="Q28" s="13">
        <v>0.19000000000000003</v>
      </c>
      <c r="V28" s="138"/>
      <c r="W28" s="138"/>
      <c r="X28" s="138"/>
      <c r="Y28" s="138"/>
    </row>
    <row r="29" spans="1:25" ht="15" customHeight="1">
      <c r="A29" s="140">
        <f t="shared" si="0"/>
        <v>27</v>
      </c>
      <c r="B29" s="7">
        <f t="shared" si="1"/>
        <v>43850001</v>
      </c>
      <c r="C29" s="140" t="s">
        <v>2</v>
      </c>
      <c r="D29" s="7">
        <v>47800000</v>
      </c>
      <c r="E29" s="13">
        <v>0.17</v>
      </c>
      <c r="G29" s="140">
        <f t="shared" si="2"/>
        <v>27</v>
      </c>
      <c r="H29" s="7">
        <f t="shared" si="3"/>
        <v>64000001</v>
      </c>
      <c r="I29" s="140" t="s">
        <v>2</v>
      </c>
      <c r="J29" s="7">
        <v>71000000</v>
      </c>
      <c r="K29" s="13">
        <v>0.21000000000000005</v>
      </c>
      <c r="M29" s="140">
        <f t="shared" si="4"/>
        <v>27</v>
      </c>
      <c r="N29" s="7">
        <f t="shared" si="5"/>
        <v>60400001</v>
      </c>
      <c r="O29" s="140" t="s">
        <v>2</v>
      </c>
      <c r="P29" s="7">
        <v>66700000</v>
      </c>
      <c r="Q29" s="13">
        <v>0.20000000000000004</v>
      </c>
      <c r="V29" s="138"/>
      <c r="W29" s="138"/>
      <c r="X29" s="138"/>
      <c r="Y29" s="138"/>
    </row>
    <row r="30" spans="1:25" ht="15" customHeight="1">
      <c r="A30" s="140">
        <f t="shared" si="0"/>
        <v>28</v>
      </c>
      <c r="B30" s="7">
        <f t="shared" si="1"/>
        <v>47800001</v>
      </c>
      <c r="C30" s="140" t="s">
        <v>2</v>
      </c>
      <c r="D30" s="7">
        <v>51400000</v>
      </c>
      <c r="E30" s="13">
        <v>0.18000000000000002</v>
      </c>
      <c r="G30" s="140">
        <f t="shared" si="2"/>
        <v>28</v>
      </c>
      <c r="H30" s="7">
        <f t="shared" si="3"/>
        <v>71000001</v>
      </c>
      <c r="I30" s="140" t="s">
        <v>2</v>
      </c>
      <c r="J30" s="7">
        <v>80000000</v>
      </c>
      <c r="K30" s="13">
        <v>0.22000000000000006</v>
      </c>
      <c r="M30" s="140">
        <f t="shared" si="4"/>
        <v>28</v>
      </c>
      <c r="N30" s="7">
        <f t="shared" si="5"/>
        <v>66700001</v>
      </c>
      <c r="O30" s="140" t="s">
        <v>2</v>
      </c>
      <c r="P30" s="7">
        <v>74500000</v>
      </c>
      <c r="Q30" s="13">
        <v>0.21000000000000005</v>
      </c>
      <c r="V30" s="138"/>
      <c r="W30" s="138"/>
      <c r="X30" s="138"/>
      <c r="Y30" s="138"/>
    </row>
    <row r="31" spans="1:25" ht="15" customHeight="1">
      <c r="A31" s="140">
        <f t="shared" si="0"/>
        <v>29</v>
      </c>
      <c r="B31" s="7">
        <f t="shared" si="1"/>
        <v>51400001</v>
      </c>
      <c r="C31" s="140" t="s">
        <v>2</v>
      </c>
      <c r="D31" s="7">
        <v>56300000</v>
      </c>
      <c r="E31" s="13">
        <v>0.19000000000000003</v>
      </c>
      <c r="G31" s="140">
        <f t="shared" si="2"/>
        <v>29</v>
      </c>
      <c r="H31" s="7">
        <f t="shared" si="3"/>
        <v>80000001</v>
      </c>
      <c r="I31" s="140" t="s">
        <v>2</v>
      </c>
      <c r="J31" s="7">
        <v>93000000</v>
      </c>
      <c r="K31" s="13">
        <v>0.23000000000000007</v>
      </c>
      <c r="M31" s="140">
        <f t="shared" si="4"/>
        <v>29</v>
      </c>
      <c r="N31" s="7">
        <f t="shared" si="5"/>
        <v>74500001</v>
      </c>
      <c r="O31" s="140" t="s">
        <v>2</v>
      </c>
      <c r="P31" s="7">
        <v>83200000</v>
      </c>
      <c r="Q31" s="13">
        <v>0.22000000000000006</v>
      </c>
      <c r="S31" s="120"/>
      <c r="U31" s="121"/>
      <c r="V31" s="138"/>
      <c r="W31" s="138"/>
      <c r="X31" s="138"/>
      <c r="Y31" s="138"/>
    </row>
    <row r="32" spans="1:25" ht="15" customHeight="1">
      <c r="A32" s="140">
        <f t="shared" si="0"/>
        <v>30</v>
      </c>
      <c r="B32" s="7">
        <f t="shared" si="1"/>
        <v>56300001</v>
      </c>
      <c r="C32" s="140" t="s">
        <v>2</v>
      </c>
      <c r="D32" s="7">
        <v>62200000</v>
      </c>
      <c r="E32" s="13">
        <v>0.20000000000000004</v>
      </c>
      <c r="G32" s="140">
        <f t="shared" si="2"/>
        <v>30</v>
      </c>
      <c r="H32" s="7">
        <f t="shared" si="3"/>
        <v>93000001</v>
      </c>
      <c r="I32" s="140" t="s">
        <v>2</v>
      </c>
      <c r="J32" s="7">
        <v>109000000</v>
      </c>
      <c r="K32" s="13">
        <v>0.24000000000000007</v>
      </c>
      <c r="M32" s="140">
        <f t="shared" si="4"/>
        <v>30</v>
      </c>
      <c r="N32" s="7">
        <f t="shared" si="5"/>
        <v>83200001</v>
      </c>
      <c r="O32" s="140" t="s">
        <v>2</v>
      </c>
      <c r="P32" s="7">
        <v>95600000</v>
      </c>
      <c r="Q32" s="13">
        <v>0.23000000000000007</v>
      </c>
      <c r="V32" s="138"/>
      <c r="W32" s="138"/>
      <c r="X32" s="138"/>
      <c r="Y32" s="138"/>
    </row>
    <row r="33" spans="1:25" ht="15" customHeight="1">
      <c r="A33" s="140">
        <f t="shared" si="0"/>
        <v>31</v>
      </c>
      <c r="B33" s="7">
        <f t="shared" si="1"/>
        <v>62200001</v>
      </c>
      <c r="C33" s="140" t="s">
        <v>2</v>
      </c>
      <c r="D33" s="7">
        <v>68600000</v>
      </c>
      <c r="E33" s="13">
        <v>0.21000000000000005</v>
      </c>
      <c r="G33" s="140">
        <f t="shared" si="2"/>
        <v>31</v>
      </c>
      <c r="H33" s="7">
        <f t="shared" si="3"/>
        <v>109000001</v>
      </c>
      <c r="I33" s="140" t="s">
        <v>2</v>
      </c>
      <c r="J33" s="7">
        <v>129000000</v>
      </c>
      <c r="K33" s="13">
        <v>0.25000000000000006</v>
      </c>
      <c r="M33" s="140">
        <f t="shared" si="4"/>
        <v>31</v>
      </c>
      <c r="N33" s="7">
        <f t="shared" si="5"/>
        <v>95600001</v>
      </c>
      <c r="O33" s="140" t="s">
        <v>2</v>
      </c>
      <c r="P33" s="7">
        <v>110000000</v>
      </c>
      <c r="Q33" s="13">
        <v>0.24000000000000007</v>
      </c>
      <c r="S33" s="122"/>
      <c r="T33" s="138"/>
      <c r="U33" s="138"/>
      <c r="V33" s="138"/>
      <c r="W33" s="138"/>
      <c r="X33" s="138"/>
      <c r="Y33" s="138"/>
    </row>
    <row r="34" spans="1:25" ht="15" customHeight="1">
      <c r="A34" s="140">
        <f t="shared" si="0"/>
        <v>32</v>
      </c>
      <c r="B34" s="7">
        <f t="shared" si="1"/>
        <v>68600001</v>
      </c>
      <c r="C34" s="140" t="s">
        <v>2</v>
      </c>
      <c r="D34" s="7">
        <v>77500000</v>
      </c>
      <c r="E34" s="13">
        <v>0.22000000000000006</v>
      </c>
      <c r="G34" s="140">
        <f t="shared" si="2"/>
        <v>32</v>
      </c>
      <c r="H34" s="7">
        <f t="shared" si="3"/>
        <v>129000001</v>
      </c>
      <c r="I34" s="140" t="s">
        <v>2</v>
      </c>
      <c r="J34" s="7">
        <v>163000000</v>
      </c>
      <c r="K34" s="13">
        <v>0.26000000000000006</v>
      </c>
      <c r="M34" s="140">
        <f t="shared" si="4"/>
        <v>32</v>
      </c>
      <c r="N34" s="7">
        <f t="shared" si="5"/>
        <v>110000001</v>
      </c>
      <c r="O34" s="140" t="s">
        <v>2</v>
      </c>
      <c r="P34" s="7">
        <v>134000000</v>
      </c>
      <c r="Q34" s="13">
        <v>0.25000000000000006</v>
      </c>
      <c r="T34" s="138"/>
      <c r="U34" s="138"/>
      <c r="V34" s="138"/>
      <c r="W34" s="138"/>
      <c r="X34" s="138"/>
      <c r="Y34" s="138"/>
    </row>
    <row r="35" spans="1:25" ht="15" customHeight="1">
      <c r="A35" s="140">
        <f t="shared" si="0"/>
        <v>33</v>
      </c>
      <c r="B35" s="7">
        <f t="shared" si="1"/>
        <v>77500001</v>
      </c>
      <c r="C35" s="140" t="s">
        <v>2</v>
      </c>
      <c r="D35" s="7">
        <v>89000000</v>
      </c>
      <c r="E35" s="13">
        <v>0.23000000000000007</v>
      </c>
      <c r="G35" s="140">
        <f t="shared" si="2"/>
        <v>33</v>
      </c>
      <c r="H35" s="7">
        <f t="shared" si="3"/>
        <v>163000001</v>
      </c>
      <c r="I35" s="140" t="s">
        <v>2</v>
      </c>
      <c r="J35" s="7">
        <v>211000000</v>
      </c>
      <c r="K35" s="13">
        <v>0.27000000000000007</v>
      </c>
      <c r="M35" s="140">
        <f t="shared" si="4"/>
        <v>33</v>
      </c>
      <c r="N35" s="7">
        <f t="shared" si="5"/>
        <v>134000001</v>
      </c>
      <c r="O35" s="140" t="s">
        <v>2</v>
      </c>
      <c r="P35" s="7">
        <v>169000000</v>
      </c>
      <c r="Q35" s="13">
        <v>0.26000000000000006</v>
      </c>
      <c r="T35" s="138"/>
      <c r="U35" s="138"/>
      <c r="V35" s="138"/>
      <c r="W35" s="138"/>
      <c r="X35" s="138"/>
      <c r="Y35" s="138"/>
    </row>
    <row r="36" spans="1:25" ht="15" customHeight="1">
      <c r="A36" s="140">
        <f t="shared" si="0"/>
        <v>34</v>
      </c>
      <c r="B36" s="7">
        <f t="shared" si="1"/>
        <v>89000001</v>
      </c>
      <c r="C36" s="140" t="s">
        <v>2</v>
      </c>
      <c r="D36" s="7">
        <v>103000000</v>
      </c>
      <c r="E36" s="13">
        <v>0.24000000000000007</v>
      </c>
      <c r="G36" s="140">
        <f t="shared" si="2"/>
        <v>34</v>
      </c>
      <c r="H36" s="7">
        <f t="shared" si="3"/>
        <v>211000001</v>
      </c>
      <c r="I36" s="140" t="s">
        <v>2</v>
      </c>
      <c r="J36" s="7">
        <v>374000000</v>
      </c>
      <c r="K36" s="13">
        <v>0.28000000000000008</v>
      </c>
      <c r="M36" s="140">
        <f t="shared" si="4"/>
        <v>34</v>
      </c>
      <c r="N36" s="7">
        <f t="shared" si="5"/>
        <v>169000001</v>
      </c>
      <c r="O36" s="140" t="s">
        <v>2</v>
      </c>
      <c r="P36" s="7">
        <v>221000000</v>
      </c>
      <c r="Q36" s="13">
        <v>0.27000000000000007</v>
      </c>
      <c r="T36" s="138"/>
      <c r="U36" s="138"/>
      <c r="V36" s="138"/>
      <c r="W36" s="138"/>
      <c r="X36" s="138"/>
      <c r="Y36" s="138"/>
    </row>
    <row r="37" spans="1:25" ht="15" customHeight="1">
      <c r="A37" s="140">
        <f t="shared" si="0"/>
        <v>35</v>
      </c>
      <c r="B37" s="7">
        <f t="shared" si="1"/>
        <v>103000001</v>
      </c>
      <c r="C37" s="140" t="s">
        <v>2</v>
      </c>
      <c r="D37" s="7">
        <v>125000000</v>
      </c>
      <c r="E37" s="13">
        <v>0.25000000000000006</v>
      </c>
      <c r="G37" s="140">
        <f t="shared" si="2"/>
        <v>35</v>
      </c>
      <c r="H37" s="7">
        <f t="shared" si="3"/>
        <v>374000001</v>
      </c>
      <c r="I37" s="140" t="s">
        <v>2</v>
      </c>
      <c r="J37" s="7">
        <v>459000000</v>
      </c>
      <c r="K37" s="13">
        <v>0.29000000000000009</v>
      </c>
      <c r="M37" s="140">
        <f t="shared" si="4"/>
        <v>35</v>
      </c>
      <c r="N37" s="7">
        <f t="shared" si="5"/>
        <v>221000001</v>
      </c>
      <c r="O37" s="140" t="s">
        <v>2</v>
      </c>
      <c r="P37" s="7">
        <v>390000000</v>
      </c>
      <c r="Q37" s="13">
        <v>0.28000000000000008</v>
      </c>
      <c r="T37" s="138"/>
      <c r="U37" s="138"/>
      <c r="V37" s="138"/>
      <c r="W37" s="138"/>
      <c r="X37" s="138"/>
      <c r="Y37" s="138"/>
    </row>
    <row r="38" spans="1:25" ht="15" customHeight="1">
      <c r="A38" s="140">
        <f t="shared" si="0"/>
        <v>36</v>
      </c>
      <c r="B38" s="7">
        <f t="shared" si="1"/>
        <v>125000001</v>
      </c>
      <c r="C38" s="140" t="s">
        <v>2</v>
      </c>
      <c r="D38" s="7">
        <v>157000000</v>
      </c>
      <c r="E38" s="13">
        <v>0.26000000000000006</v>
      </c>
      <c r="G38" s="140">
        <f t="shared" si="2"/>
        <v>36</v>
      </c>
      <c r="H38" s="7">
        <f t="shared" si="3"/>
        <v>459000001</v>
      </c>
      <c r="I38" s="140" t="s">
        <v>2</v>
      </c>
      <c r="J38" s="7">
        <v>555000000</v>
      </c>
      <c r="K38" s="13">
        <v>0.3000000000000001</v>
      </c>
      <c r="M38" s="140">
        <f t="shared" si="4"/>
        <v>36</v>
      </c>
      <c r="N38" s="7">
        <f t="shared" si="5"/>
        <v>390000001</v>
      </c>
      <c r="O38" s="140" t="s">
        <v>2</v>
      </c>
      <c r="P38" s="7">
        <v>463000000</v>
      </c>
      <c r="Q38" s="13">
        <v>0.29000000000000009</v>
      </c>
      <c r="T38" s="138"/>
      <c r="U38" s="138"/>
      <c r="V38" s="138"/>
      <c r="W38" s="138"/>
      <c r="X38" s="138"/>
      <c r="Y38" s="138"/>
    </row>
    <row r="39" spans="1:25" ht="15" customHeight="1">
      <c r="A39" s="140">
        <f t="shared" si="0"/>
        <v>37</v>
      </c>
      <c r="B39" s="7">
        <f t="shared" si="1"/>
        <v>157000001</v>
      </c>
      <c r="C39" s="140" t="s">
        <v>2</v>
      </c>
      <c r="D39" s="7">
        <v>206000000</v>
      </c>
      <c r="E39" s="13">
        <v>0.27000000000000007</v>
      </c>
      <c r="G39" s="140">
        <f t="shared" si="2"/>
        <v>37</v>
      </c>
      <c r="H39" s="7">
        <f t="shared" si="3"/>
        <v>555000001</v>
      </c>
      <c r="I39" s="140" t="s">
        <v>2</v>
      </c>
      <c r="J39" s="7">
        <v>704000000</v>
      </c>
      <c r="K39" s="13">
        <v>0.31000000000000011</v>
      </c>
      <c r="M39" s="140">
        <f t="shared" si="4"/>
        <v>37</v>
      </c>
      <c r="N39" s="7">
        <f t="shared" si="5"/>
        <v>463000001</v>
      </c>
      <c r="O39" s="140" t="s">
        <v>2</v>
      </c>
      <c r="P39" s="7">
        <v>561000000</v>
      </c>
      <c r="Q39" s="13">
        <v>0.3000000000000001</v>
      </c>
      <c r="T39" s="138"/>
      <c r="U39" s="138"/>
      <c r="V39" s="138"/>
      <c r="W39" s="138"/>
      <c r="X39" s="138"/>
      <c r="Y39" s="138"/>
    </row>
    <row r="40" spans="1:25" ht="15" customHeight="1">
      <c r="A40" s="140">
        <f t="shared" si="0"/>
        <v>38</v>
      </c>
      <c r="B40" s="7">
        <f t="shared" si="1"/>
        <v>206000001</v>
      </c>
      <c r="C40" s="140" t="s">
        <v>2</v>
      </c>
      <c r="D40" s="7">
        <v>337000000</v>
      </c>
      <c r="E40" s="13">
        <v>0.28000000000000008</v>
      </c>
      <c r="G40" s="140">
        <f t="shared" si="2"/>
        <v>38</v>
      </c>
      <c r="H40" s="7">
        <f t="shared" si="3"/>
        <v>704000001</v>
      </c>
      <c r="I40" s="140" t="s">
        <v>2</v>
      </c>
      <c r="J40" s="7">
        <v>957000000</v>
      </c>
      <c r="K40" s="13">
        <v>0.32000000000000012</v>
      </c>
      <c r="M40" s="140">
        <f t="shared" si="4"/>
        <v>38</v>
      </c>
      <c r="N40" s="7">
        <f t="shared" si="5"/>
        <v>561000001</v>
      </c>
      <c r="O40" s="140" t="s">
        <v>2</v>
      </c>
      <c r="P40" s="7">
        <v>709000000</v>
      </c>
      <c r="Q40" s="13">
        <v>0.31000000000000011</v>
      </c>
      <c r="T40" s="138"/>
      <c r="U40" s="138"/>
      <c r="V40" s="138"/>
      <c r="W40" s="138"/>
      <c r="X40" s="138"/>
      <c r="Y40" s="138"/>
    </row>
    <row r="41" spans="1:25" ht="15" customHeight="1">
      <c r="A41" s="140">
        <f t="shared" si="0"/>
        <v>39</v>
      </c>
      <c r="B41" s="7">
        <f t="shared" si="1"/>
        <v>337000001</v>
      </c>
      <c r="C41" s="140" t="s">
        <v>2</v>
      </c>
      <c r="D41" s="7">
        <v>454000000</v>
      </c>
      <c r="E41" s="13">
        <v>0.29000000000000009</v>
      </c>
      <c r="G41" s="140">
        <f t="shared" si="2"/>
        <v>39</v>
      </c>
      <c r="H41" s="7">
        <f t="shared" si="3"/>
        <v>957000001</v>
      </c>
      <c r="I41" s="140" t="s">
        <v>2</v>
      </c>
      <c r="J41" s="7">
        <v>1405000000</v>
      </c>
      <c r="K41" s="13">
        <v>0.33000000000000013</v>
      </c>
      <c r="M41" s="140">
        <f t="shared" si="4"/>
        <v>39</v>
      </c>
      <c r="N41" s="7">
        <f t="shared" si="5"/>
        <v>709000001</v>
      </c>
      <c r="O41" s="140" t="s">
        <v>2</v>
      </c>
      <c r="P41" s="7">
        <v>965000000</v>
      </c>
      <c r="Q41" s="13">
        <v>0.32000000000000012</v>
      </c>
      <c r="T41" s="138"/>
      <c r="U41" s="138"/>
      <c r="V41" s="138"/>
      <c r="W41" s="138"/>
      <c r="X41" s="138"/>
      <c r="Y41" s="138"/>
    </row>
    <row r="42" spans="1:25" ht="15" customHeight="1">
      <c r="A42" s="140">
        <f t="shared" si="0"/>
        <v>40</v>
      </c>
      <c r="B42" s="7">
        <f t="shared" si="1"/>
        <v>454000001</v>
      </c>
      <c r="C42" s="140" t="s">
        <v>2</v>
      </c>
      <c r="D42" s="7">
        <v>550000000</v>
      </c>
      <c r="E42" s="13">
        <v>0.3000000000000001</v>
      </c>
      <c r="G42" s="140">
        <f t="shared" si="2"/>
        <v>40</v>
      </c>
      <c r="H42" s="7">
        <f t="shared" si="3"/>
        <v>1405000001</v>
      </c>
      <c r="I42" s="140" t="s">
        <v>2</v>
      </c>
      <c r="J42" s="7" t="s">
        <v>18</v>
      </c>
      <c r="K42" s="13">
        <v>0.34000000000000014</v>
      </c>
      <c r="M42" s="140">
        <f t="shared" si="4"/>
        <v>40</v>
      </c>
      <c r="N42" s="7">
        <f t="shared" si="5"/>
        <v>965000001</v>
      </c>
      <c r="O42" s="140" t="s">
        <v>2</v>
      </c>
      <c r="P42" s="7">
        <v>1419000000</v>
      </c>
      <c r="Q42" s="13">
        <v>0.33000000000000013</v>
      </c>
      <c r="T42" s="138"/>
      <c r="U42" s="138"/>
      <c r="V42" s="138"/>
      <c r="W42" s="138"/>
      <c r="X42" s="138"/>
      <c r="Y42" s="138"/>
    </row>
    <row r="43" spans="1:25" ht="15" customHeight="1">
      <c r="A43" s="140">
        <f t="shared" si="0"/>
        <v>41</v>
      </c>
      <c r="B43" s="7">
        <f t="shared" si="1"/>
        <v>550000001</v>
      </c>
      <c r="C43" s="140" t="s">
        <v>2</v>
      </c>
      <c r="D43" s="7">
        <v>695000000</v>
      </c>
      <c r="E43" s="13">
        <v>0.31000000000000011</v>
      </c>
      <c r="M43" s="140">
        <f>M42+1</f>
        <v>41</v>
      </c>
      <c r="N43" s="7">
        <f t="shared" si="5"/>
        <v>1419000001</v>
      </c>
      <c r="O43" s="140" t="s">
        <v>2</v>
      </c>
      <c r="P43" s="7" t="s">
        <v>18</v>
      </c>
      <c r="Q43" s="13">
        <v>0.34000000000000014</v>
      </c>
      <c r="T43" s="138"/>
      <c r="U43" s="138"/>
      <c r="V43" s="138"/>
      <c r="W43" s="138"/>
      <c r="X43" s="138"/>
      <c r="Y43" s="138"/>
    </row>
    <row r="44" spans="1:25" ht="15" customHeight="1">
      <c r="A44" s="140">
        <f t="shared" si="0"/>
        <v>42</v>
      </c>
      <c r="B44" s="7">
        <f t="shared" si="1"/>
        <v>695000001</v>
      </c>
      <c r="C44" s="140" t="s">
        <v>2</v>
      </c>
      <c r="D44" s="7">
        <v>910000000</v>
      </c>
      <c r="E44" s="13">
        <v>0.32000000000000012</v>
      </c>
      <c r="T44" s="138"/>
      <c r="U44" s="138"/>
      <c r="V44" s="138"/>
      <c r="W44" s="138"/>
      <c r="X44" s="138"/>
      <c r="Y44" s="138"/>
    </row>
    <row r="45" spans="1:25" ht="15" customHeight="1">
      <c r="A45" s="140">
        <f t="shared" si="0"/>
        <v>43</v>
      </c>
      <c r="B45" s="7">
        <f t="shared" si="1"/>
        <v>910000001</v>
      </c>
      <c r="C45" s="140" t="s">
        <v>2</v>
      </c>
      <c r="D45" s="7">
        <v>1400000000</v>
      </c>
      <c r="E45" s="13">
        <v>0.33000000000000013</v>
      </c>
      <c r="T45" s="138"/>
      <c r="U45" s="138"/>
      <c r="V45" s="138"/>
      <c r="W45" s="138"/>
      <c r="X45" s="138"/>
      <c r="Y45" s="138"/>
    </row>
    <row r="46" spans="1:25" ht="15" customHeight="1">
      <c r="A46" s="140">
        <f t="shared" si="0"/>
        <v>44</v>
      </c>
      <c r="B46" s="7">
        <f t="shared" si="1"/>
        <v>1400000001</v>
      </c>
      <c r="C46" s="140" t="s">
        <v>2</v>
      </c>
      <c r="D46" s="7" t="s">
        <v>18</v>
      </c>
      <c r="E46" s="13">
        <v>0.34000000000000014</v>
      </c>
      <c r="J46" s="8"/>
      <c r="T46" s="138"/>
      <c r="U46" s="138"/>
      <c r="V46" s="138"/>
      <c r="W46" s="138"/>
      <c r="X46" s="138"/>
      <c r="Y46" s="138"/>
    </row>
    <row r="47" spans="1:25" ht="15" customHeight="1">
      <c r="J47" s="10"/>
      <c r="T47" s="138"/>
      <c r="U47" s="138"/>
      <c r="V47" s="138"/>
      <c r="W47" s="138"/>
      <c r="X47" s="138"/>
      <c r="Y47" s="138"/>
    </row>
    <row r="48" spans="1:25" ht="15" customHeight="1">
      <c r="J48" s="10"/>
      <c r="T48" s="138"/>
      <c r="U48" s="138"/>
      <c r="V48" s="138"/>
      <c r="W48" s="138"/>
      <c r="X48" s="138"/>
      <c r="Y48" s="138"/>
    </row>
    <row r="54" spans="2:25" ht="15" customHeight="1">
      <c r="B54" s="138"/>
      <c r="D54" s="138"/>
      <c r="E54" s="138"/>
      <c r="J54" s="22"/>
      <c r="K54" s="138"/>
      <c r="Q54" s="138"/>
      <c r="S54" s="138"/>
      <c r="T54" s="138"/>
      <c r="U54" s="138"/>
      <c r="V54" s="138"/>
      <c r="W54" s="138"/>
      <c r="X54" s="138"/>
      <c r="Y54" s="138"/>
    </row>
    <row r="55" spans="2:25" ht="15" customHeight="1">
      <c r="B55" s="138"/>
      <c r="D55" s="138"/>
      <c r="E55" s="138"/>
      <c r="J55" s="22">
        <v>20000000</v>
      </c>
      <c r="K55" s="138"/>
      <c r="Q55" s="138"/>
      <c r="S55" s="138"/>
      <c r="T55" s="138"/>
      <c r="U55" s="138"/>
      <c r="V55" s="138"/>
      <c r="W55" s="138"/>
      <c r="X55" s="138"/>
      <c r="Y55" s="138"/>
    </row>
    <row r="56" spans="2:25" ht="15" customHeight="1">
      <c r="B56" s="138"/>
      <c r="D56" s="138"/>
      <c r="E56" s="138"/>
      <c r="J56" s="22">
        <f ca="1">J61</f>
        <v>1739130.4347826089</v>
      </c>
      <c r="K56" s="138"/>
      <c r="Q56" s="138"/>
      <c r="S56" s="138"/>
      <c r="T56" s="138"/>
      <c r="U56" s="138"/>
      <c r="V56" s="138"/>
      <c r="W56" s="138"/>
      <c r="X56" s="138"/>
      <c r="Y56" s="138"/>
    </row>
    <row r="57" spans="2:25" ht="15" customHeight="1">
      <c r="B57" s="138"/>
      <c r="D57" s="138"/>
      <c r="E57" s="138"/>
      <c r="J57" s="22">
        <f ca="1">SUM(J55:J56)</f>
        <v>21739130.434782609</v>
      </c>
      <c r="K57" s="138"/>
      <c r="Q57" s="138"/>
      <c r="S57" s="138"/>
      <c r="T57" s="138"/>
      <c r="U57" s="138"/>
      <c r="V57" s="138"/>
      <c r="W57" s="138"/>
      <c r="X57" s="138"/>
      <c r="Y57" s="138"/>
    </row>
    <row r="59" spans="2:25" ht="15" customHeight="1">
      <c r="B59" s="138"/>
      <c r="D59" s="138"/>
      <c r="E59" s="138"/>
      <c r="J59" s="22"/>
      <c r="K59" s="138"/>
      <c r="Q59" s="138"/>
      <c r="S59" s="138"/>
      <c r="T59" s="138"/>
      <c r="U59" s="138"/>
      <c r="V59" s="138"/>
      <c r="W59" s="138"/>
      <c r="X59" s="138"/>
      <c r="Y59" s="138"/>
    </row>
    <row r="60" spans="2:25" ht="15" customHeight="1">
      <c r="B60" s="138"/>
      <c r="D60" s="138"/>
      <c r="E60" s="138"/>
      <c r="J60" s="22"/>
      <c r="K60" s="138"/>
      <c r="Q60" s="138"/>
      <c r="S60" s="138"/>
      <c r="T60" s="138"/>
      <c r="U60" s="138"/>
      <c r="V60" s="138"/>
      <c r="W60" s="138"/>
      <c r="X60" s="138"/>
      <c r="Y60" s="138"/>
    </row>
    <row r="61" spans="2:25" ht="15" customHeight="1">
      <c r="B61" s="138"/>
      <c r="D61" s="138"/>
      <c r="E61" s="138"/>
      <c r="J61" s="22">
        <f ca="1">J57*8%</f>
        <v>1739130.4347826089</v>
      </c>
      <c r="K61" s="138"/>
      <c r="Q61" s="138"/>
      <c r="S61" s="138"/>
      <c r="T61" s="138"/>
      <c r="U61" s="138"/>
      <c r="V61" s="138"/>
      <c r="W61" s="138"/>
      <c r="X61" s="138"/>
      <c r="Y61" s="138"/>
    </row>
  </sheetData>
  <mergeCells count="15">
    <mergeCell ref="T14:U14"/>
    <mergeCell ref="S8:U8"/>
    <mergeCell ref="S2:U2"/>
    <mergeCell ref="B2:D2"/>
    <mergeCell ref="H2:J2"/>
    <mergeCell ref="N2:P2"/>
    <mergeCell ref="S22:T22"/>
    <mergeCell ref="S23:T23"/>
    <mergeCell ref="S24:T24"/>
    <mergeCell ref="S25:T25"/>
    <mergeCell ref="S17:T17"/>
    <mergeCell ref="S18:T18"/>
    <mergeCell ref="S19:T19"/>
    <mergeCell ref="S20:T20"/>
    <mergeCell ref="S21:T21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K460"/>
  <sheetViews>
    <sheetView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R6" sqref="R6"/>
    </sheetView>
  </sheetViews>
  <sheetFormatPr defaultColWidth="9.28515625" defaultRowHeight="12.75" outlineLevelCol="1"/>
  <cols>
    <col min="1" max="1" width="1.5703125" style="60" customWidth="1"/>
    <col min="2" max="2" width="5.7109375" style="27" customWidth="1"/>
    <col min="3" max="3" width="25.7109375" style="28" customWidth="1"/>
    <col min="4" max="4" width="17.42578125" style="29" hidden="1" customWidth="1" outlineLevel="1"/>
    <col min="5" max="5" width="16.5703125" style="30" hidden="1" customWidth="1" outlineLevel="1"/>
    <col min="6" max="6" width="21.42578125" style="28" hidden="1" customWidth="1" outlineLevel="1"/>
    <col min="7" max="7" width="16.5703125" style="31" hidden="1" customWidth="1" outlineLevel="1"/>
    <col min="8" max="8" width="5" style="32" customWidth="1" outlineLevel="1"/>
    <col min="9" max="9" width="6.7109375" style="32" customWidth="1" outlineLevel="1"/>
    <col min="10" max="10" width="7.85546875" style="32" customWidth="1" outlineLevel="1"/>
    <col min="11" max="12" width="5.28515625" style="32" hidden="1" customWidth="1" outlineLevel="1"/>
    <col min="13" max="13" width="12.7109375" style="28" customWidth="1" collapsed="1"/>
    <col min="14" max="16" width="12.7109375" style="28" customWidth="1"/>
    <col min="17" max="17" width="13.5703125" style="28" customWidth="1"/>
    <col min="18" max="21" width="14.7109375" style="28" customWidth="1"/>
    <col min="22" max="23" width="14.7109375" style="33" customWidth="1"/>
    <col min="24" max="24" width="12.28515625" style="34" customWidth="1"/>
    <col min="25" max="25" width="12.28515625" style="35" customWidth="1"/>
    <col min="26" max="26" width="9.7109375" style="34" customWidth="1"/>
    <col min="27" max="27" width="12" style="35" customWidth="1"/>
    <col min="28" max="28" width="9.28515625" style="34" customWidth="1"/>
    <col min="29" max="29" width="9.28515625" style="36" customWidth="1"/>
    <col min="30" max="41" width="9.28515625" style="27"/>
    <col min="42" max="16384" width="9.28515625" style="60"/>
  </cols>
  <sheetData>
    <row r="1" spans="2:29" s="27" customFormat="1" ht="17.649999999999999" customHeight="1" thickBot="1">
      <c r="C1" s="87" t="s">
        <v>40</v>
      </c>
      <c r="D1" s="29"/>
      <c r="E1" s="30"/>
      <c r="F1" s="28"/>
      <c r="G1" s="31"/>
      <c r="H1" s="32"/>
      <c r="I1" s="32"/>
      <c r="J1" s="32"/>
      <c r="K1" s="32"/>
      <c r="L1" s="32"/>
      <c r="M1" s="28"/>
      <c r="N1" s="28"/>
      <c r="O1" s="28"/>
      <c r="P1" s="28"/>
      <c r="Q1" s="28"/>
      <c r="R1" s="28"/>
      <c r="S1" s="28"/>
      <c r="T1" s="28"/>
      <c r="U1" s="28"/>
      <c r="V1" s="33"/>
      <c r="W1" s="33"/>
      <c r="X1" s="34"/>
      <c r="Y1" s="35"/>
      <c r="Z1" s="34"/>
      <c r="AA1" s="35"/>
      <c r="AB1" s="34"/>
      <c r="AC1" s="36"/>
    </row>
    <row r="2" spans="2:29" s="27" customFormat="1" ht="20.100000000000001" customHeight="1" thickBot="1">
      <c r="B2" s="240" t="s">
        <v>24</v>
      </c>
      <c r="C2" s="243" t="s">
        <v>25</v>
      </c>
      <c r="D2" s="246" t="s">
        <v>26</v>
      </c>
      <c r="E2" s="247" t="s">
        <v>27</v>
      </c>
      <c r="F2" s="243" t="s">
        <v>28</v>
      </c>
      <c r="G2" s="238" t="s">
        <v>29</v>
      </c>
      <c r="H2" s="254" t="s">
        <v>46</v>
      </c>
      <c r="I2" s="255"/>
      <c r="J2" s="255"/>
      <c r="K2" s="255"/>
      <c r="L2" s="255"/>
      <c r="M2" s="258" t="s">
        <v>31</v>
      </c>
      <c r="N2" s="259"/>
      <c r="O2" s="259"/>
      <c r="P2" s="259"/>
      <c r="Q2" s="259"/>
      <c r="R2" s="248" t="s">
        <v>32</v>
      </c>
      <c r="S2" s="248" t="s">
        <v>33</v>
      </c>
      <c r="T2" s="250" t="s">
        <v>55</v>
      </c>
      <c r="U2" s="251"/>
      <c r="V2" s="248" t="s">
        <v>34</v>
      </c>
      <c r="W2" s="249" t="s">
        <v>35</v>
      </c>
      <c r="X2" s="34"/>
      <c r="Y2" s="35"/>
      <c r="Z2" s="34"/>
      <c r="AA2" s="35"/>
      <c r="AB2" s="34"/>
      <c r="AC2" s="36"/>
    </row>
    <row r="3" spans="2:29" s="27" customFormat="1" ht="13.9" customHeight="1" thickBot="1">
      <c r="B3" s="241"/>
      <c r="C3" s="244"/>
      <c r="D3" s="244"/>
      <c r="E3" s="247"/>
      <c r="F3" s="244"/>
      <c r="G3" s="238"/>
      <c r="H3" s="256"/>
      <c r="I3" s="257"/>
      <c r="J3" s="257"/>
      <c r="K3" s="257"/>
      <c r="L3" s="257"/>
      <c r="M3" s="260" t="s">
        <v>36</v>
      </c>
      <c r="N3" s="262" t="s">
        <v>43</v>
      </c>
      <c r="O3" s="262" t="s">
        <v>45</v>
      </c>
      <c r="P3" s="264" t="s">
        <v>44</v>
      </c>
      <c r="Q3" s="262" t="s">
        <v>41</v>
      </c>
      <c r="R3" s="248"/>
      <c r="S3" s="248"/>
      <c r="T3" s="252"/>
      <c r="U3" s="253"/>
      <c r="V3" s="248"/>
      <c r="W3" s="249"/>
      <c r="X3" s="34"/>
      <c r="Y3" s="35"/>
      <c r="Z3" s="34"/>
      <c r="AA3" s="35"/>
      <c r="AB3" s="34"/>
      <c r="AC3" s="36"/>
    </row>
    <row r="4" spans="2:29" s="27" customFormat="1" ht="36.6" customHeight="1" thickBot="1">
      <c r="B4" s="242"/>
      <c r="C4" s="245"/>
      <c r="D4" s="245"/>
      <c r="E4" s="247"/>
      <c r="F4" s="245"/>
      <c r="G4" s="239"/>
      <c r="H4" s="38" t="s">
        <v>37</v>
      </c>
      <c r="I4" s="38" t="s">
        <v>6</v>
      </c>
      <c r="J4" s="91" t="s">
        <v>15</v>
      </c>
      <c r="K4" s="266" t="s">
        <v>30</v>
      </c>
      <c r="L4" s="267"/>
      <c r="M4" s="261"/>
      <c r="N4" s="263"/>
      <c r="O4" s="263"/>
      <c r="P4" s="265"/>
      <c r="Q4" s="263"/>
      <c r="R4" s="248"/>
      <c r="S4" s="248"/>
      <c r="T4" s="37" t="s">
        <v>54</v>
      </c>
      <c r="U4" s="37" t="s">
        <v>53</v>
      </c>
      <c r="V4" s="248"/>
      <c r="W4" s="249"/>
      <c r="X4" s="34"/>
      <c r="Y4" s="35"/>
      <c r="Z4" s="34"/>
      <c r="AA4" s="35"/>
      <c r="AB4" s="34"/>
      <c r="AC4" s="36"/>
    </row>
    <row r="5" spans="2:29" s="102" customFormat="1" ht="21.4" customHeight="1" thickBot="1">
      <c r="B5" s="97">
        <v>1</v>
      </c>
      <c r="C5" s="98">
        <v>2</v>
      </c>
      <c r="D5" s="97">
        <v>3</v>
      </c>
      <c r="E5" s="98">
        <v>4</v>
      </c>
      <c r="F5" s="97">
        <v>5</v>
      </c>
      <c r="G5" s="98">
        <v>6</v>
      </c>
      <c r="H5" s="97">
        <v>7</v>
      </c>
      <c r="I5" s="98">
        <v>8</v>
      </c>
      <c r="J5" s="97">
        <v>9</v>
      </c>
      <c r="K5" s="98">
        <v>10</v>
      </c>
      <c r="L5" s="97">
        <v>11</v>
      </c>
      <c r="M5" s="98">
        <v>12</v>
      </c>
      <c r="N5" s="97">
        <v>13</v>
      </c>
      <c r="O5" s="98">
        <v>14</v>
      </c>
      <c r="P5" s="97">
        <v>15</v>
      </c>
      <c r="Q5" s="98">
        <v>16</v>
      </c>
      <c r="R5" s="98">
        <v>30</v>
      </c>
      <c r="S5" s="97">
        <v>31</v>
      </c>
      <c r="T5" s="98">
        <v>32</v>
      </c>
      <c r="U5" s="97">
        <v>33</v>
      </c>
      <c r="V5" s="98">
        <v>34</v>
      </c>
      <c r="W5" s="97">
        <v>35</v>
      </c>
      <c r="X5" s="99"/>
      <c r="Y5" s="100"/>
      <c r="Z5" s="99"/>
      <c r="AA5" s="100"/>
      <c r="AB5" s="99"/>
      <c r="AC5" s="101"/>
    </row>
    <row r="6" spans="2:29" s="27" customFormat="1" ht="15" customHeight="1">
      <c r="B6" s="39">
        <v>1</v>
      </c>
      <c r="C6" s="40" t="s">
        <v>67</v>
      </c>
      <c r="D6" s="41"/>
      <c r="E6" s="42"/>
      <c r="F6" s="40"/>
      <c r="G6" s="40"/>
      <c r="H6" s="43" t="s">
        <v>38</v>
      </c>
      <c r="I6" s="44" t="s">
        <v>7</v>
      </c>
      <c r="J6" s="86" t="str">
        <f>IF(ISBLANK(I6),"",IF(OR(I6="TK/0",I6="TK/1",I6="K/0"),"TER A",IF(I6="K/3","TER C","TER B")))</f>
        <v>TER A</v>
      </c>
      <c r="K6" s="88">
        <v>1</v>
      </c>
      <c r="L6" s="123">
        <v>1</v>
      </c>
      <c r="M6" s="45">
        <v>7006344</v>
      </c>
      <c r="N6" s="45">
        <v>0</v>
      </c>
      <c r="O6" s="45">
        <f>38871+185100</f>
        <v>223971</v>
      </c>
      <c r="P6" s="137">
        <v>0</v>
      </c>
      <c r="Q6" s="93">
        <f t="shared" ref="Q6:Q16" si="0">SUM(M6:P6)</f>
        <v>7230315</v>
      </c>
      <c r="R6" s="113">
        <f t="shared" ref="R6:R16" si="1">IFERROR(VLOOKUP(I6,PTKP,3,FALSE),0)</f>
        <v>0</v>
      </c>
      <c r="S6" s="113" t="e">
        <f>ROUNDDOWN(IF(#REF!&gt;R6,#REF!-R6,0),-3)</f>
        <v>#REF!</v>
      </c>
      <c r="T6" s="114" t="e">
        <f>IF(S6&gt;5000000000,S6*35%-306000000,IF(S6&gt;500000000,S6*30%-56000000,IF(S6&gt;250000000,S6*25%-31000000,IF(S6&gt;60000000,S6*15%-6000000,S6*5%))))</f>
        <v>#REF!</v>
      </c>
      <c r="U6" s="114" t="e">
        <f t="shared" ref="U6:U16" si="2">ROUND(IF(E6=0,T6*120%,T6),0)</f>
        <v>#REF!</v>
      </c>
      <c r="V6" s="134"/>
      <c r="W6" s="113" t="e">
        <f>U6-V6</f>
        <v>#REF!</v>
      </c>
      <c r="X6" s="34"/>
      <c r="Y6" s="35"/>
      <c r="Z6" s="34"/>
      <c r="AA6" s="35"/>
      <c r="AB6" s="34"/>
      <c r="AC6" s="36"/>
    </row>
    <row r="7" spans="2:29" s="27" customFormat="1" ht="15" customHeight="1">
      <c r="B7" s="46">
        <v>2</v>
      </c>
      <c r="C7" s="47"/>
      <c r="D7" s="48"/>
      <c r="E7" s="49"/>
      <c r="F7" s="47"/>
      <c r="G7" s="47"/>
      <c r="H7" s="50"/>
      <c r="I7" s="51"/>
      <c r="J7" s="92" t="str">
        <f t="shared" ref="J7:J16" si="3">IF(ISBLANK(I7),"",IF(OR(I7="TK/0",I7="TK/1",I7="K/0"),"TER A",IF(I7="K/3","TER C","TER B")))</f>
        <v/>
      </c>
      <c r="K7" s="89"/>
      <c r="L7" s="124"/>
      <c r="M7" s="52"/>
      <c r="N7" s="52"/>
      <c r="O7" s="52"/>
      <c r="P7" s="94" t="e">
        <f t="shared" ref="P7:P16" si="4">W7</f>
        <v>#REF!</v>
      </c>
      <c r="Q7" s="94" t="e">
        <f t="shared" si="0"/>
        <v>#REF!</v>
      </c>
      <c r="R7" s="115">
        <f t="shared" si="1"/>
        <v>0</v>
      </c>
      <c r="S7" s="115" t="e">
        <f>ROUNDDOWN(IF(#REF!&gt;R7,#REF!-R7,0),-3)</f>
        <v>#REF!</v>
      </c>
      <c r="T7" s="116" t="e">
        <f>IF(S7&gt;5000000000,S7*35%-306000000,IF(S7&gt;500000000,S7*30%-56000000,IF(S7&gt;250000000,S7*25%-31000000,IF(S7&gt;60000000,S7*15%-6000000,S7*5%))))</f>
        <v>#REF!</v>
      </c>
      <c r="U7" s="116" t="e">
        <f t="shared" si="2"/>
        <v>#REF!</v>
      </c>
      <c r="V7" s="135"/>
      <c r="W7" s="115" t="e">
        <f>U7-V7</f>
        <v>#REF!</v>
      </c>
      <c r="X7" s="34"/>
      <c r="Y7" s="35"/>
      <c r="Z7" s="34"/>
      <c r="AA7" s="35"/>
      <c r="AB7" s="34"/>
      <c r="AC7" s="36"/>
    </row>
    <row r="8" spans="2:29" s="27" customFormat="1" ht="15" customHeight="1">
      <c r="B8" s="46">
        <v>3</v>
      </c>
      <c r="C8" s="47"/>
      <c r="D8" s="48"/>
      <c r="E8" s="49"/>
      <c r="F8" s="47"/>
      <c r="G8" s="47"/>
      <c r="H8" s="50"/>
      <c r="I8" s="51"/>
      <c r="J8" s="92" t="str">
        <f t="shared" si="3"/>
        <v/>
      </c>
      <c r="K8" s="89"/>
      <c r="L8" s="124"/>
      <c r="M8" s="52"/>
      <c r="N8" s="52"/>
      <c r="O8" s="52"/>
      <c r="P8" s="94" t="e">
        <f t="shared" si="4"/>
        <v>#REF!</v>
      </c>
      <c r="Q8" s="94" t="e">
        <f t="shared" si="0"/>
        <v>#REF!</v>
      </c>
      <c r="R8" s="115">
        <f t="shared" si="1"/>
        <v>0</v>
      </c>
      <c r="S8" s="115" t="e">
        <f>ROUNDDOWN(IF(#REF!&gt;R8,#REF!-R8,0),-3)</f>
        <v>#REF!</v>
      </c>
      <c r="T8" s="116" t="e">
        <f t="shared" ref="T8:T16" si="5">IF(S8&gt;5000000000,S8*35%-306000000,IF(S8&gt;500000000,S8*30%-56000000,IF(S8&gt;250000000,S8*25%-31000000,IF(S8&gt;60000000,S8*15%-6000000,S8*5%))))</f>
        <v>#REF!</v>
      </c>
      <c r="U8" s="116" t="e">
        <f t="shared" si="2"/>
        <v>#REF!</v>
      </c>
      <c r="V8" s="135"/>
      <c r="W8" s="115" t="e">
        <f>U8-V8</f>
        <v>#REF!</v>
      </c>
      <c r="X8" s="34"/>
      <c r="Y8" s="35"/>
      <c r="Z8" s="34"/>
      <c r="AA8" s="35"/>
      <c r="AB8" s="34"/>
      <c r="AC8" s="34"/>
    </row>
    <row r="9" spans="2:29" s="27" customFormat="1" ht="15" customHeight="1">
      <c r="B9" s="46">
        <v>4</v>
      </c>
      <c r="C9" s="47"/>
      <c r="D9" s="48"/>
      <c r="E9" s="49"/>
      <c r="F9" s="47"/>
      <c r="G9" s="47"/>
      <c r="H9" s="50"/>
      <c r="I9" s="51"/>
      <c r="J9" s="92" t="str">
        <f t="shared" si="3"/>
        <v/>
      </c>
      <c r="K9" s="89"/>
      <c r="L9" s="124"/>
      <c r="M9" s="52"/>
      <c r="N9" s="52"/>
      <c r="O9" s="52"/>
      <c r="P9" s="94" t="e">
        <f t="shared" si="4"/>
        <v>#REF!</v>
      </c>
      <c r="Q9" s="94" t="e">
        <f t="shared" si="0"/>
        <v>#REF!</v>
      </c>
      <c r="R9" s="115">
        <f t="shared" si="1"/>
        <v>0</v>
      </c>
      <c r="S9" s="115" t="e">
        <f>ROUNDDOWN(IF(#REF!&gt;R9,#REF!-R9,0),-3)</f>
        <v>#REF!</v>
      </c>
      <c r="T9" s="116" t="e">
        <f t="shared" si="5"/>
        <v>#REF!</v>
      </c>
      <c r="U9" s="116" t="e">
        <f t="shared" si="2"/>
        <v>#REF!</v>
      </c>
      <c r="V9" s="135"/>
      <c r="W9" s="115" t="e">
        <f>U9-V9</f>
        <v>#REF!</v>
      </c>
      <c r="X9" s="34"/>
      <c r="Y9" s="35"/>
      <c r="Z9" s="34"/>
      <c r="AA9" s="35"/>
      <c r="AB9" s="34"/>
      <c r="AC9" s="36"/>
    </row>
    <row r="10" spans="2:29" s="27" customFormat="1" ht="15" customHeight="1">
      <c r="B10" s="46">
        <v>5</v>
      </c>
      <c r="C10" s="47"/>
      <c r="D10" s="48"/>
      <c r="E10" s="49"/>
      <c r="F10" s="47"/>
      <c r="G10" s="47"/>
      <c r="H10" s="50"/>
      <c r="I10" s="51"/>
      <c r="J10" s="92" t="str">
        <f t="shared" si="3"/>
        <v/>
      </c>
      <c r="K10" s="89"/>
      <c r="L10" s="124"/>
      <c r="M10" s="52"/>
      <c r="N10" s="52"/>
      <c r="O10" s="52"/>
      <c r="P10" s="94" t="e">
        <f t="shared" si="4"/>
        <v>#REF!</v>
      </c>
      <c r="Q10" s="94" t="e">
        <f t="shared" si="0"/>
        <v>#REF!</v>
      </c>
      <c r="R10" s="115">
        <f t="shared" si="1"/>
        <v>0</v>
      </c>
      <c r="S10" s="115" t="e">
        <f>ROUNDDOWN(IF(#REF!&gt;R10,#REF!-R10,0),-3)</f>
        <v>#REF!</v>
      </c>
      <c r="T10" s="116" t="e">
        <f t="shared" si="5"/>
        <v>#REF!</v>
      </c>
      <c r="U10" s="116" t="e">
        <f t="shared" si="2"/>
        <v>#REF!</v>
      </c>
      <c r="V10" s="135"/>
      <c r="W10" s="115" t="e">
        <f>U10-V10</f>
        <v>#REF!</v>
      </c>
      <c r="X10" s="34"/>
      <c r="Y10" s="35"/>
      <c r="Z10" s="34"/>
      <c r="AA10" s="35"/>
      <c r="AB10" s="34"/>
      <c r="AC10" s="36"/>
    </row>
    <row r="11" spans="2:29" s="27" customFormat="1" ht="15" customHeight="1">
      <c r="B11" s="46">
        <v>6</v>
      </c>
      <c r="C11" s="47"/>
      <c r="D11" s="48"/>
      <c r="E11" s="49"/>
      <c r="F11" s="47"/>
      <c r="G11" s="47"/>
      <c r="H11" s="50"/>
      <c r="I11" s="51"/>
      <c r="J11" s="92" t="str">
        <f t="shared" si="3"/>
        <v/>
      </c>
      <c r="K11" s="89"/>
      <c r="L11" s="124"/>
      <c r="M11" s="52"/>
      <c r="N11" s="52"/>
      <c r="O11" s="52"/>
      <c r="P11" s="94" t="e">
        <f t="shared" si="4"/>
        <v>#REF!</v>
      </c>
      <c r="Q11" s="94" t="e">
        <f t="shared" si="0"/>
        <v>#REF!</v>
      </c>
      <c r="R11" s="115">
        <f t="shared" si="1"/>
        <v>0</v>
      </c>
      <c r="S11" s="115" t="e">
        <f>ROUNDDOWN(IF(#REF!&gt;R11,#REF!-R11,0),-3)</f>
        <v>#REF!</v>
      </c>
      <c r="T11" s="116" t="e">
        <f t="shared" si="5"/>
        <v>#REF!</v>
      </c>
      <c r="U11" s="116" t="e">
        <f t="shared" si="2"/>
        <v>#REF!</v>
      </c>
      <c r="V11" s="135"/>
      <c r="W11" s="115" t="e">
        <f t="shared" ref="W11:W16" si="6">U11-V11</f>
        <v>#REF!</v>
      </c>
      <c r="X11" s="34"/>
      <c r="Y11" s="35"/>
      <c r="Z11" s="34"/>
      <c r="AA11" s="35"/>
      <c r="AB11" s="34"/>
      <c r="AC11" s="36"/>
    </row>
    <row r="12" spans="2:29" s="27" customFormat="1" ht="15" customHeight="1">
      <c r="B12" s="46">
        <v>7</v>
      </c>
      <c r="C12" s="47"/>
      <c r="D12" s="48"/>
      <c r="E12" s="49"/>
      <c r="F12" s="47"/>
      <c r="G12" s="47"/>
      <c r="H12" s="50"/>
      <c r="I12" s="51"/>
      <c r="J12" s="92" t="str">
        <f t="shared" si="3"/>
        <v/>
      </c>
      <c r="K12" s="89"/>
      <c r="L12" s="124"/>
      <c r="M12" s="52"/>
      <c r="N12" s="52"/>
      <c r="O12" s="52"/>
      <c r="P12" s="94" t="e">
        <f t="shared" si="4"/>
        <v>#REF!</v>
      </c>
      <c r="Q12" s="94" t="e">
        <f t="shared" si="0"/>
        <v>#REF!</v>
      </c>
      <c r="R12" s="115">
        <f t="shared" si="1"/>
        <v>0</v>
      </c>
      <c r="S12" s="115" t="e">
        <f>ROUNDDOWN(IF(#REF!&gt;R12,#REF!-R12,0),-3)</f>
        <v>#REF!</v>
      </c>
      <c r="T12" s="116" t="e">
        <f t="shared" si="5"/>
        <v>#REF!</v>
      </c>
      <c r="U12" s="116" t="e">
        <f t="shared" si="2"/>
        <v>#REF!</v>
      </c>
      <c r="V12" s="135"/>
      <c r="W12" s="115" t="e">
        <f t="shared" si="6"/>
        <v>#REF!</v>
      </c>
      <c r="X12" s="34"/>
      <c r="Y12" s="35"/>
      <c r="Z12" s="34"/>
      <c r="AA12" s="35"/>
      <c r="AB12" s="34"/>
      <c r="AC12" s="36"/>
    </row>
    <row r="13" spans="2:29" s="27" customFormat="1" ht="15" customHeight="1">
      <c r="B13" s="46">
        <v>8</v>
      </c>
      <c r="C13" s="47"/>
      <c r="D13" s="48"/>
      <c r="E13" s="49"/>
      <c r="F13" s="47"/>
      <c r="G13" s="47"/>
      <c r="H13" s="50"/>
      <c r="I13" s="51"/>
      <c r="J13" s="92" t="str">
        <f t="shared" si="3"/>
        <v/>
      </c>
      <c r="K13" s="89"/>
      <c r="L13" s="124"/>
      <c r="M13" s="52"/>
      <c r="N13" s="52"/>
      <c r="O13" s="52"/>
      <c r="P13" s="94" t="e">
        <f t="shared" si="4"/>
        <v>#REF!</v>
      </c>
      <c r="Q13" s="94" t="e">
        <f t="shared" si="0"/>
        <v>#REF!</v>
      </c>
      <c r="R13" s="115">
        <f t="shared" si="1"/>
        <v>0</v>
      </c>
      <c r="S13" s="115" t="e">
        <f>ROUNDDOWN(IF(#REF!&gt;R13,#REF!-R13,0),-3)</f>
        <v>#REF!</v>
      </c>
      <c r="T13" s="116" t="e">
        <f t="shared" si="5"/>
        <v>#REF!</v>
      </c>
      <c r="U13" s="116" t="e">
        <f t="shared" si="2"/>
        <v>#REF!</v>
      </c>
      <c r="V13" s="135"/>
      <c r="W13" s="115" t="e">
        <f t="shared" si="6"/>
        <v>#REF!</v>
      </c>
      <c r="X13" s="34"/>
      <c r="Y13" s="35"/>
      <c r="Z13" s="34"/>
      <c r="AA13" s="35"/>
      <c r="AB13" s="34"/>
      <c r="AC13" s="36"/>
    </row>
    <row r="14" spans="2:29" s="27" customFormat="1" ht="15" customHeight="1">
      <c r="B14" s="46">
        <v>9</v>
      </c>
      <c r="C14" s="47"/>
      <c r="D14" s="48"/>
      <c r="E14" s="49"/>
      <c r="F14" s="47"/>
      <c r="G14" s="47"/>
      <c r="H14" s="50"/>
      <c r="I14" s="51"/>
      <c r="J14" s="92" t="str">
        <f t="shared" si="3"/>
        <v/>
      </c>
      <c r="K14" s="89"/>
      <c r="L14" s="124"/>
      <c r="M14" s="52"/>
      <c r="N14" s="52"/>
      <c r="O14" s="52"/>
      <c r="P14" s="94" t="e">
        <f t="shared" si="4"/>
        <v>#REF!</v>
      </c>
      <c r="Q14" s="94" t="e">
        <f t="shared" si="0"/>
        <v>#REF!</v>
      </c>
      <c r="R14" s="115">
        <f t="shared" si="1"/>
        <v>0</v>
      </c>
      <c r="S14" s="115" t="e">
        <f>ROUNDDOWN(IF(#REF!&gt;R14,#REF!-R14,0),-3)</f>
        <v>#REF!</v>
      </c>
      <c r="T14" s="116" t="e">
        <f t="shared" si="5"/>
        <v>#REF!</v>
      </c>
      <c r="U14" s="116" t="e">
        <f t="shared" si="2"/>
        <v>#REF!</v>
      </c>
      <c r="V14" s="135"/>
      <c r="W14" s="115" t="e">
        <f t="shared" si="6"/>
        <v>#REF!</v>
      </c>
      <c r="X14" s="34"/>
      <c r="Y14" s="35"/>
      <c r="Z14" s="34"/>
      <c r="AA14" s="35"/>
      <c r="AB14" s="34"/>
      <c r="AC14" s="36"/>
    </row>
    <row r="15" spans="2:29" s="27" customFormat="1" ht="15" customHeight="1">
      <c r="B15" s="46">
        <v>10</v>
      </c>
      <c r="C15" s="47"/>
      <c r="D15" s="48"/>
      <c r="E15" s="49"/>
      <c r="F15" s="47"/>
      <c r="G15" s="47"/>
      <c r="H15" s="50"/>
      <c r="I15" s="51"/>
      <c r="J15" s="92" t="str">
        <f t="shared" si="3"/>
        <v/>
      </c>
      <c r="K15" s="89"/>
      <c r="L15" s="124"/>
      <c r="M15" s="52"/>
      <c r="N15" s="52"/>
      <c r="O15" s="52"/>
      <c r="P15" s="94" t="e">
        <f t="shared" si="4"/>
        <v>#REF!</v>
      </c>
      <c r="Q15" s="94" t="e">
        <f t="shared" si="0"/>
        <v>#REF!</v>
      </c>
      <c r="R15" s="115">
        <f t="shared" si="1"/>
        <v>0</v>
      </c>
      <c r="S15" s="115" t="e">
        <f>ROUNDDOWN(IF(#REF!&gt;R15,#REF!-R15,0),-3)</f>
        <v>#REF!</v>
      </c>
      <c r="T15" s="116" t="e">
        <f t="shared" si="5"/>
        <v>#REF!</v>
      </c>
      <c r="U15" s="116" t="e">
        <f t="shared" si="2"/>
        <v>#REF!</v>
      </c>
      <c r="V15" s="135"/>
      <c r="W15" s="115" t="e">
        <f t="shared" si="6"/>
        <v>#REF!</v>
      </c>
      <c r="X15" s="34"/>
      <c r="Y15" s="35"/>
      <c r="Z15" s="34"/>
      <c r="AA15" s="35"/>
      <c r="AB15" s="34"/>
      <c r="AC15" s="36"/>
    </row>
    <row r="16" spans="2:29" s="27" customFormat="1" ht="15" customHeight="1" thickBot="1">
      <c r="B16" s="53"/>
      <c r="C16" s="54"/>
      <c r="D16" s="103"/>
      <c r="E16" s="104"/>
      <c r="F16" s="105"/>
      <c r="G16" s="105"/>
      <c r="H16" s="106"/>
      <c r="I16" s="107"/>
      <c r="J16" s="108" t="str">
        <f t="shared" si="3"/>
        <v/>
      </c>
      <c r="K16" s="109"/>
      <c r="L16" s="125"/>
      <c r="M16" s="136"/>
      <c r="N16" s="54"/>
      <c r="O16" s="54"/>
      <c r="P16" s="96" t="e">
        <f t="shared" si="4"/>
        <v>#REF!</v>
      </c>
      <c r="Q16" s="110" t="e">
        <f t="shared" si="0"/>
        <v>#REF!</v>
      </c>
      <c r="R16" s="117">
        <f t="shared" si="1"/>
        <v>0</v>
      </c>
      <c r="S16" s="117" t="e">
        <f>ROUNDDOWN(IF(#REF!&gt;R16,#REF!-R16,0),-3)</f>
        <v>#REF!</v>
      </c>
      <c r="T16" s="118" t="e">
        <f t="shared" si="5"/>
        <v>#REF!</v>
      </c>
      <c r="U16" s="119" t="e">
        <f t="shared" si="2"/>
        <v>#REF!</v>
      </c>
      <c r="V16" s="54"/>
      <c r="W16" s="117" t="e">
        <f t="shared" si="6"/>
        <v>#REF!</v>
      </c>
      <c r="X16" s="34"/>
      <c r="Y16" s="35"/>
      <c r="Z16" s="34"/>
      <c r="AA16" s="35"/>
      <c r="AB16" s="34"/>
      <c r="AC16" s="36"/>
    </row>
    <row r="17" spans="2:63" s="59" customFormat="1" ht="22.15" customHeight="1" thickBot="1"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26"/>
      <c r="M17" s="112">
        <f t="shared" ref="M17:W17" si="7">SUM(M6:M16)</f>
        <v>7006344</v>
      </c>
      <c r="N17" s="112">
        <f t="shared" si="7"/>
        <v>0</v>
      </c>
      <c r="O17" s="112">
        <f t="shared" si="7"/>
        <v>223971</v>
      </c>
      <c r="P17" s="112" t="e">
        <f t="shared" si="7"/>
        <v>#REF!</v>
      </c>
      <c r="Q17" s="112" t="e">
        <f t="shared" si="7"/>
        <v>#REF!</v>
      </c>
      <c r="R17" s="112">
        <f t="shared" si="7"/>
        <v>0</v>
      </c>
      <c r="S17" s="112" t="e">
        <f t="shared" si="7"/>
        <v>#REF!</v>
      </c>
      <c r="T17" s="112" t="e">
        <f t="shared" si="7"/>
        <v>#REF!</v>
      </c>
      <c r="U17" s="112" t="e">
        <f t="shared" si="7"/>
        <v>#REF!</v>
      </c>
      <c r="V17" s="112">
        <f t="shared" si="7"/>
        <v>0</v>
      </c>
      <c r="W17" s="112" t="e">
        <f t="shared" si="7"/>
        <v>#REF!</v>
      </c>
      <c r="X17" s="55"/>
      <c r="Y17" s="56" t="s">
        <v>60</v>
      </c>
      <c r="Z17" s="55"/>
      <c r="AA17" s="56"/>
      <c r="AB17" s="55"/>
      <c r="AC17" s="57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</row>
    <row r="18" spans="2:63" ht="15" customHeight="1" thickTop="1"/>
    <row r="19" spans="2:63" ht="15" customHeight="1">
      <c r="B19" s="58" t="s">
        <v>47</v>
      </c>
      <c r="O19" s="62"/>
      <c r="T19" s="127"/>
    </row>
    <row r="20" spans="2:63" ht="15" customHeight="1">
      <c r="B20" s="27" t="s">
        <v>48</v>
      </c>
      <c r="O20" s="62"/>
      <c r="T20" s="127"/>
    </row>
    <row r="21" spans="2:63" ht="15" customHeight="1">
      <c r="B21" s="27" t="s">
        <v>56</v>
      </c>
      <c r="O21" s="62"/>
      <c r="T21" s="127"/>
    </row>
    <row r="22" spans="2:63" ht="15" customHeight="1">
      <c r="B22" s="27" t="s">
        <v>49</v>
      </c>
      <c r="O22" s="62"/>
      <c r="T22" s="127"/>
    </row>
    <row r="23" spans="2:63" s="33" customFormat="1" ht="15" customHeight="1">
      <c r="B23" s="27" t="s">
        <v>57</v>
      </c>
      <c r="C23" s="28"/>
      <c r="D23" s="29"/>
      <c r="E23" s="30"/>
      <c r="F23" s="28"/>
      <c r="G23" s="31"/>
      <c r="H23" s="32"/>
      <c r="I23" s="32"/>
      <c r="J23" s="32"/>
      <c r="K23" s="32"/>
      <c r="L23" s="32"/>
      <c r="M23" s="28"/>
      <c r="N23" s="28"/>
      <c r="O23" s="62"/>
      <c r="P23" s="28"/>
      <c r="Q23" s="28"/>
      <c r="R23" s="28"/>
      <c r="S23" s="28"/>
      <c r="T23" s="127"/>
      <c r="U23" s="28"/>
      <c r="X23" s="34"/>
      <c r="Y23" s="35"/>
      <c r="Z23" s="34"/>
      <c r="AA23" s="35"/>
      <c r="AB23" s="34"/>
      <c r="AC23" s="36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</row>
    <row r="24" spans="2:63" s="33" customFormat="1" ht="15" customHeight="1">
      <c r="B24" s="27" t="s">
        <v>50</v>
      </c>
      <c r="C24" s="28"/>
      <c r="D24" s="29"/>
      <c r="E24" s="30"/>
      <c r="F24" s="28"/>
      <c r="G24" s="31"/>
      <c r="H24" s="32"/>
      <c r="I24" s="32"/>
      <c r="J24" s="32"/>
      <c r="K24" s="32"/>
      <c r="L24" s="32"/>
      <c r="M24" s="28"/>
      <c r="N24" s="28"/>
      <c r="O24" s="62"/>
      <c r="P24" s="28"/>
      <c r="Q24" s="28"/>
      <c r="R24" s="28"/>
      <c r="S24" s="28"/>
      <c r="T24" s="28"/>
      <c r="U24" s="28">
        <f>SUM(U19:U23)</f>
        <v>0</v>
      </c>
      <c r="X24" s="34"/>
      <c r="Y24" s="35"/>
      <c r="Z24" s="34"/>
      <c r="AA24" s="35"/>
      <c r="AB24" s="34"/>
      <c r="AC24" s="36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</row>
    <row r="25" spans="2:63" s="33" customFormat="1" ht="15" customHeight="1">
      <c r="B25" s="27" t="s">
        <v>51</v>
      </c>
      <c r="C25" s="28"/>
      <c r="D25" s="29"/>
      <c r="E25" s="30"/>
      <c r="F25" s="28"/>
      <c r="G25" s="31"/>
      <c r="H25" s="32"/>
      <c r="I25" s="32"/>
      <c r="J25" s="32"/>
      <c r="K25" s="32"/>
      <c r="L25" s="32"/>
      <c r="M25" s="28"/>
      <c r="N25" s="28"/>
      <c r="O25" s="62"/>
      <c r="P25" s="28"/>
      <c r="Q25" s="28"/>
      <c r="R25" s="28"/>
      <c r="S25" s="28"/>
      <c r="T25" s="28"/>
      <c r="U25" s="28"/>
      <c r="X25" s="34"/>
      <c r="Y25" s="35"/>
      <c r="Z25" s="34"/>
      <c r="AA25" s="35"/>
      <c r="AB25" s="34"/>
      <c r="AC25" s="36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</row>
    <row r="26" spans="2:63" s="33" customFormat="1" ht="15" customHeight="1">
      <c r="B26" s="27" t="s">
        <v>52</v>
      </c>
      <c r="C26" s="28"/>
      <c r="D26" s="29"/>
      <c r="E26" s="30"/>
      <c r="F26" s="28"/>
      <c r="G26" s="31"/>
      <c r="H26" s="32"/>
      <c r="I26" s="32"/>
      <c r="J26" s="32"/>
      <c r="K26" s="32"/>
      <c r="L26" s="32"/>
      <c r="M26" s="28"/>
      <c r="N26" s="28"/>
      <c r="O26" s="62"/>
      <c r="P26" s="28"/>
      <c r="Q26" s="28"/>
      <c r="R26" s="28"/>
      <c r="S26" s="28"/>
      <c r="T26" s="28"/>
      <c r="U26" s="28"/>
      <c r="X26" s="34"/>
      <c r="Y26" s="35"/>
      <c r="Z26" s="34"/>
      <c r="AA26" s="35"/>
      <c r="AB26" s="34"/>
      <c r="AC26" s="36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</row>
    <row r="27" spans="2:63" s="33" customFormat="1" ht="15" customHeight="1">
      <c r="B27" s="27" t="s">
        <v>66</v>
      </c>
      <c r="C27" s="28"/>
      <c r="D27" s="29"/>
      <c r="E27" s="30"/>
      <c r="F27" s="28"/>
      <c r="G27" s="31"/>
      <c r="H27" s="32"/>
      <c r="I27" s="32"/>
      <c r="J27" s="32"/>
      <c r="K27" s="32"/>
      <c r="L27" s="32"/>
      <c r="M27" s="28"/>
      <c r="N27" s="28"/>
      <c r="O27" s="62"/>
      <c r="P27" s="28"/>
      <c r="Q27" s="28"/>
      <c r="R27" s="28"/>
      <c r="S27" s="28"/>
      <c r="T27" s="28"/>
      <c r="U27" s="28"/>
      <c r="X27" s="34"/>
      <c r="Y27" s="35"/>
      <c r="Z27" s="34"/>
      <c r="AA27" s="35"/>
      <c r="AB27" s="34"/>
      <c r="AC27" s="36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</row>
    <row r="28" spans="2:63" s="33" customFormat="1" ht="15" customHeight="1">
      <c r="B28" s="27"/>
      <c r="C28" s="28"/>
      <c r="D28" s="29"/>
      <c r="E28" s="30"/>
      <c r="F28" s="28"/>
      <c r="G28" s="31"/>
      <c r="H28" s="32"/>
      <c r="I28" s="32"/>
      <c r="J28" s="32"/>
      <c r="K28" s="32"/>
      <c r="L28" s="32"/>
      <c r="M28" s="28"/>
      <c r="N28" s="28"/>
      <c r="O28" s="62"/>
      <c r="P28" s="28"/>
      <c r="Q28" s="28"/>
      <c r="R28" s="28"/>
      <c r="S28" s="28"/>
      <c r="T28" s="28"/>
      <c r="U28" s="28"/>
      <c r="X28" s="34"/>
      <c r="Y28" s="35"/>
      <c r="Z28" s="34"/>
      <c r="AA28" s="35"/>
      <c r="AB28" s="34"/>
      <c r="AC28" s="36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</row>
    <row r="29" spans="2:63" s="33" customFormat="1" ht="15" customHeight="1">
      <c r="B29" s="27"/>
      <c r="C29" s="28"/>
      <c r="D29" s="29"/>
      <c r="E29" s="30"/>
      <c r="F29" s="28"/>
      <c r="G29" s="31"/>
      <c r="H29" s="32"/>
      <c r="I29" s="32"/>
      <c r="J29" s="32"/>
      <c r="K29" s="32"/>
      <c r="L29" s="32"/>
      <c r="M29" s="28"/>
      <c r="N29" s="28"/>
      <c r="O29" s="62"/>
      <c r="P29" s="28"/>
      <c r="Q29" s="28"/>
      <c r="R29" s="28"/>
      <c r="S29" s="28"/>
      <c r="T29" s="28"/>
      <c r="U29" s="28"/>
      <c r="X29" s="34"/>
      <c r="Y29" s="35"/>
      <c r="Z29" s="34"/>
      <c r="AA29" s="35"/>
      <c r="AB29" s="34"/>
      <c r="AC29" s="36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</row>
    <row r="30" spans="2:63" s="33" customFormat="1" ht="15" customHeight="1">
      <c r="B30" s="27"/>
      <c r="C30" s="28"/>
      <c r="D30" s="29"/>
      <c r="E30" s="30"/>
      <c r="F30" s="28"/>
      <c r="G30" s="31"/>
      <c r="H30" s="32"/>
      <c r="I30" s="32"/>
      <c r="J30" s="32"/>
      <c r="K30" s="32"/>
      <c r="L30" s="32"/>
      <c r="M30" s="28"/>
      <c r="N30" s="28"/>
      <c r="O30" s="62"/>
      <c r="P30" s="28"/>
      <c r="Q30" s="28"/>
      <c r="R30" s="28"/>
      <c r="S30" s="28"/>
      <c r="T30" s="28"/>
      <c r="U30" s="28"/>
      <c r="X30" s="34"/>
      <c r="Y30" s="35"/>
      <c r="Z30" s="34"/>
      <c r="AA30" s="35"/>
      <c r="AB30" s="34"/>
      <c r="AC30" s="36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</row>
    <row r="31" spans="2:63" s="33" customFormat="1" ht="15" customHeight="1">
      <c r="B31" s="27"/>
      <c r="C31" s="28"/>
      <c r="D31" s="29"/>
      <c r="E31" s="30"/>
      <c r="F31" s="28"/>
      <c r="G31" s="31"/>
      <c r="H31" s="32"/>
      <c r="I31" s="32"/>
      <c r="J31" s="32"/>
      <c r="K31" s="32"/>
      <c r="L31" s="32"/>
      <c r="M31" s="28"/>
      <c r="N31" s="28"/>
      <c r="O31" s="62"/>
      <c r="P31" s="28"/>
      <c r="Q31" s="28"/>
      <c r="R31" s="28"/>
      <c r="S31" s="28"/>
      <c r="T31" s="28"/>
      <c r="U31" s="28"/>
      <c r="X31" s="34"/>
      <c r="Y31" s="35"/>
      <c r="Z31" s="34"/>
      <c r="AA31" s="35"/>
      <c r="AB31" s="34"/>
      <c r="AC31" s="36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</row>
    <row r="32" spans="2:63" s="33" customFormat="1" ht="15" customHeight="1">
      <c r="B32" s="27"/>
      <c r="C32" s="28"/>
      <c r="D32" s="29"/>
      <c r="E32" s="30"/>
      <c r="F32" s="28"/>
      <c r="G32" s="31"/>
      <c r="H32" s="32"/>
      <c r="I32" s="32"/>
      <c r="J32" s="32"/>
      <c r="K32" s="32"/>
      <c r="L32" s="32"/>
      <c r="M32" s="28"/>
      <c r="N32" s="28"/>
      <c r="O32" s="62"/>
      <c r="P32" s="28"/>
      <c r="Q32" s="28"/>
      <c r="R32" s="28"/>
      <c r="S32" s="28"/>
      <c r="T32" s="28"/>
      <c r="U32" s="28"/>
      <c r="X32" s="34"/>
      <c r="Y32" s="35"/>
      <c r="Z32" s="34"/>
      <c r="AA32" s="35"/>
      <c r="AB32" s="34"/>
      <c r="AC32" s="36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</row>
    <row r="33" spans="2:63" s="33" customFormat="1" ht="15" customHeight="1">
      <c r="B33" s="27"/>
      <c r="C33" s="28"/>
      <c r="D33" s="29"/>
      <c r="E33" s="30"/>
      <c r="F33" s="28"/>
      <c r="G33" s="31"/>
      <c r="H33" s="32"/>
      <c r="I33" s="32"/>
      <c r="J33" s="32"/>
      <c r="K33" s="32"/>
      <c r="L33" s="32"/>
      <c r="M33" s="28"/>
      <c r="N33" s="28"/>
      <c r="O33" s="62"/>
      <c r="P33" s="28"/>
      <c r="Q33" s="28"/>
      <c r="R33" s="28"/>
      <c r="S33" s="28"/>
      <c r="T33" s="28"/>
      <c r="U33" s="28"/>
      <c r="X33" s="34"/>
      <c r="Y33" s="35"/>
      <c r="Z33" s="34"/>
      <c r="AA33" s="35"/>
      <c r="AB33" s="34"/>
      <c r="AC33" s="36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</row>
    <row r="34" spans="2:63" s="33" customFormat="1" ht="15" customHeight="1">
      <c r="B34" s="27"/>
      <c r="C34" s="28"/>
      <c r="D34" s="29"/>
      <c r="E34" s="30"/>
      <c r="F34" s="28"/>
      <c r="G34" s="31"/>
      <c r="H34" s="32"/>
      <c r="I34" s="32"/>
      <c r="J34" s="32"/>
      <c r="K34" s="32"/>
      <c r="L34" s="32"/>
      <c r="M34" s="28"/>
      <c r="N34" s="28"/>
      <c r="O34" s="62"/>
      <c r="P34" s="28"/>
      <c r="Q34" s="28"/>
      <c r="R34" s="28"/>
      <c r="S34" s="28"/>
      <c r="T34" s="28"/>
      <c r="U34" s="28"/>
      <c r="X34" s="34"/>
      <c r="Y34" s="35"/>
      <c r="Z34" s="34"/>
      <c r="AA34" s="35"/>
      <c r="AB34" s="34"/>
      <c r="AC34" s="36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</row>
    <row r="35" spans="2:63" s="33" customFormat="1" ht="15" customHeight="1">
      <c r="B35" s="27"/>
      <c r="C35" s="28"/>
      <c r="D35" s="29"/>
      <c r="E35" s="30"/>
      <c r="F35" s="28"/>
      <c r="G35" s="31"/>
      <c r="H35" s="32"/>
      <c r="I35" s="32"/>
      <c r="J35" s="32"/>
      <c r="K35" s="32"/>
      <c r="L35" s="32"/>
      <c r="M35" s="28"/>
      <c r="N35" s="28"/>
      <c r="O35" s="62"/>
      <c r="P35" s="28"/>
      <c r="Q35" s="28"/>
      <c r="R35" s="28"/>
      <c r="S35" s="28"/>
      <c r="T35" s="28"/>
      <c r="U35" s="28"/>
      <c r="X35" s="34"/>
      <c r="Y35" s="35"/>
      <c r="Z35" s="34"/>
      <c r="AA35" s="35"/>
      <c r="AB35" s="34"/>
      <c r="AC35" s="36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</row>
    <row r="36" spans="2:63" s="33" customFormat="1" ht="15" customHeight="1">
      <c r="B36" s="27"/>
      <c r="C36" s="28"/>
      <c r="D36" s="29"/>
      <c r="E36" s="30"/>
      <c r="F36" s="28"/>
      <c r="G36" s="31"/>
      <c r="H36" s="32"/>
      <c r="I36" s="32"/>
      <c r="J36" s="32"/>
      <c r="K36" s="32"/>
      <c r="L36" s="32"/>
      <c r="M36" s="28"/>
      <c r="N36" s="28"/>
      <c r="O36" s="62"/>
      <c r="P36" s="28"/>
      <c r="Q36" s="28"/>
      <c r="R36" s="28"/>
      <c r="S36" s="28"/>
      <c r="T36" s="28"/>
      <c r="U36" s="28"/>
      <c r="X36" s="34"/>
      <c r="Y36" s="35"/>
      <c r="Z36" s="34"/>
      <c r="AA36" s="35"/>
      <c r="AB36" s="34"/>
      <c r="AC36" s="36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</row>
    <row r="37" spans="2:63" s="28" customFormat="1" ht="15" customHeight="1">
      <c r="B37" s="27"/>
      <c r="D37" s="29"/>
      <c r="E37" s="30"/>
      <c r="G37" s="31"/>
      <c r="H37" s="32"/>
      <c r="I37" s="32"/>
      <c r="J37" s="32"/>
      <c r="K37" s="32"/>
      <c r="L37" s="32"/>
      <c r="O37" s="62"/>
      <c r="V37" s="33"/>
      <c r="W37" s="33"/>
      <c r="X37" s="34"/>
      <c r="Y37" s="35"/>
      <c r="Z37" s="34"/>
      <c r="AA37" s="35"/>
      <c r="AB37" s="34"/>
      <c r="AC37" s="36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</row>
    <row r="38" spans="2:63" s="28" customFormat="1" ht="15" customHeight="1">
      <c r="B38" s="27"/>
      <c r="D38" s="29"/>
      <c r="E38" s="30"/>
      <c r="G38" s="31"/>
      <c r="H38" s="32"/>
      <c r="I38" s="32"/>
      <c r="J38" s="32"/>
      <c r="K38" s="32"/>
      <c r="L38" s="32"/>
      <c r="O38" s="62"/>
      <c r="V38" s="33"/>
      <c r="W38" s="33"/>
      <c r="X38" s="34"/>
      <c r="Y38" s="35"/>
      <c r="Z38" s="34"/>
      <c r="AA38" s="35"/>
      <c r="AB38" s="34"/>
      <c r="AC38" s="36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</row>
    <row r="39" spans="2:63" s="28" customFormat="1">
      <c r="B39" s="27"/>
      <c r="D39" s="29"/>
      <c r="E39" s="30"/>
      <c r="G39" s="31"/>
      <c r="H39" s="32"/>
      <c r="I39" s="32"/>
      <c r="J39" s="32"/>
      <c r="K39" s="32"/>
      <c r="L39" s="32"/>
      <c r="O39" s="62"/>
      <c r="V39" s="33"/>
      <c r="W39" s="33"/>
      <c r="X39" s="34"/>
      <c r="Y39" s="35"/>
      <c r="Z39" s="34"/>
      <c r="AA39" s="35"/>
      <c r="AB39" s="34"/>
      <c r="AC39" s="36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</row>
    <row r="40" spans="2:63" s="28" customFormat="1">
      <c r="B40" s="27"/>
      <c r="D40" s="29"/>
      <c r="E40" s="30"/>
      <c r="G40" s="31"/>
      <c r="H40" s="32"/>
      <c r="I40" s="32"/>
      <c r="J40" s="32"/>
      <c r="K40" s="32"/>
      <c r="L40" s="32"/>
      <c r="O40" s="62"/>
      <c r="V40" s="33"/>
      <c r="W40" s="33"/>
      <c r="X40" s="34"/>
      <c r="Y40" s="35"/>
      <c r="Z40" s="34"/>
      <c r="AA40" s="35"/>
      <c r="AB40" s="34"/>
      <c r="AC40" s="36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</row>
    <row r="41" spans="2:63" s="28" customFormat="1">
      <c r="B41" s="27"/>
      <c r="D41" s="29"/>
      <c r="E41" s="30"/>
      <c r="G41" s="31"/>
      <c r="H41" s="32"/>
      <c r="I41" s="32"/>
      <c r="J41" s="32"/>
      <c r="K41" s="32"/>
      <c r="L41" s="32"/>
      <c r="O41" s="62"/>
      <c r="V41" s="33"/>
      <c r="W41" s="33"/>
      <c r="X41" s="34"/>
      <c r="Y41" s="35"/>
      <c r="Z41" s="34"/>
      <c r="AA41" s="35"/>
      <c r="AB41" s="34"/>
      <c r="AC41" s="36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</row>
    <row r="42" spans="2:63" s="28" customFormat="1">
      <c r="B42" s="27"/>
      <c r="D42" s="29"/>
      <c r="E42" s="30"/>
      <c r="G42" s="31"/>
      <c r="H42" s="32"/>
      <c r="I42" s="32"/>
      <c r="J42" s="32"/>
      <c r="K42" s="32"/>
      <c r="L42" s="32"/>
      <c r="O42" s="62"/>
      <c r="V42" s="33"/>
      <c r="W42" s="33"/>
      <c r="X42" s="34"/>
      <c r="Y42" s="35"/>
      <c r="Z42" s="34"/>
      <c r="AA42" s="35"/>
      <c r="AB42" s="34"/>
      <c r="AC42" s="36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</row>
    <row r="43" spans="2:63" s="28" customFormat="1">
      <c r="B43" s="27"/>
      <c r="D43" s="29"/>
      <c r="E43" s="30"/>
      <c r="G43" s="31"/>
      <c r="H43" s="32"/>
      <c r="I43" s="32"/>
      <c r="J43" s="32"/>
      <c r="K43" s="32"/>
      <c r="L43" s="32"/>
      <c r="O43" s="62"/>
      <c r="V43" s="33"/>
      <c r="W43" s="33"/>
      <c r="X43" s="34"/>
      <c r="Y43" s="35"/>
      <c r="Z43" s="34"/>
      <c r="AA43" s="35"/>
      <c r="AB43" s="34"/>
      <c r="AC43" s="36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</row>
    <row r="44" spans="2:63" s="28" customFormat="1">
      <c r="B44" s="27"/>
      <c r="D44" s="29"/>
      <c r="E44" s="30"/>
      <c r="G44" s="31"/>
      <c r="H44" s="32"/>
      <c r="I44" s="32"/>
      <c r="J44" s="32"/>
      <c r="K44" s="32"/>
      <c r="L44" s="32"/>
      <c r="O44" s="62"/>
      <c r="V44" s="33"/>
      <c r="W44" s="33"/>
      <c r="X44" s="34"/>
      <c r="Y44" s="35"/>
      <c r="Z44" s="34"/>
      <c r="AA44" s="35"/>
      <c r="AB44" s="34"/>
      <c r="AC44" s="36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</row>
    <row r="45" spans="2:63" s="28" customFormat="1">
      <c r="B45" s="27"/>
      <c r="D45" s="29"/>
      <c r="E45" s="30"/>
      <c r="G45" s="31"/>
      <c r="H45" s="32"/>
      <c r="I45" s="32"/>
      <c r="J45" s="32"/>
      <c r="K45" s="32"/>
      <c r="L45" s="32"/>
      <c r="O45" s="62"/>
      <c r="V45" s="33"/>
      <c r="W45" s="33"/>
      <c r="X45" s="34"/>
      <c r="Y45" s="35"/>
      <c r="Z45" s="34"/>
      <c r="AA45" s="35"/>
      <c r="AB45" s="34"/>
      <c r="AC45" s="36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</row>
    <row r="46" spans="2:63" s="28" customFormat="1">
      <c r="B46" s="27"/>
      <c r="D46" s="29"/>
      <c r="E46" s="30"/>
      <c r="G46" s="31"/>
      <c r="H46" s="32"/>
      <c r="I46" s="32"/>
      <c r="J46" s="32"/>
      <c r="K46" s="32"/>
      <c r="L46" s="32"/>
      <c r="O46" s="62"/>
      <c r="V46" s="33"/>
      <c r="W46" s="33"/>
      <c r="X46" s="34"/>
      <c r="Y46" s="35"/>
      <c r="Z46" s="34"/>
      <c r="AA46" s="35"/>
      <c r="AB46" s="34"/>
      <c r="AC46" s="36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</row>
    <row r="47" spans="2:63" s="28" customFormat="1">
      <c r="B47" s="27"/>
      <c r="D47" s="29"/>
      <c r="E47" s="30"/>
      <c r="G47" s="31"/>
      <c r="H47" s="32"/>
      <c r="I47" s="32"/>
      <c r="J47" s="32"/>
      <c r="K47" s="32"/>
      <c r="L47" s="32"/>
      <c r="O47" s="62"/>
      <c r="V47" s="33"/>
      <c r="W47" s="33"/>
      <c r="X47" s="34"/>
      <c r="Y47" s="35"/>
      <c r="Z47" s="34"/>
      <c r="AA47" s="35"/>
      <c r="AB47" s="34"/>
      <c r="AC47" s="36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</row>
    <row r="48" spans="2:63" s="28" customFormat="1">
      <c r="B48" s="27"/>
      <c r="D48" s="29"/>
      <c r="E48" s="30"/>
      <c r="G48" s="31"/>
      <c r="H48" s="32"/>
      <c r="I48" s="32"/>
      <c r="J48" s="32"/>
      <c r="K48" s="32"/>
      <c r="L48" s="32"/>
      <c r="O48" s="62"/>
      <c r="V48" s="33"/>
      <c r="W48" s="33"/>
      <c r="X48" s="34"/>
      <c r="Y48" s="35"/>
      <c r="Z48" s="34"/>
      <c r="AA48" s="35"/>
      <c r="AB48" s="34"/>
      <c r="AC48" s="36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</row>
    <row r="49" spans="2:63" s="28" customFormat="1">
      <c r="B49" s="27"/>
      <c r="D49" s="29"/>
      <c r="E49" s="30"/>
      <c r="G49" s="31"/>
      <c r="H49" s="32"/>
      <c r="I49" s="32"/>
      <c r="J49" s="32"/>
      <c r="K49" s="32"/>
      <c r="L49" s="32"/>
      <c r="O49" s="62"/>
      <c r="V49" s="33"/>
      <c r="W49" s="33"/>
      <c r="X49" s="34"/>
      <c r="Y49" s="35"/>
      <c r="Z49" s="34"/>
      <c r="AA49" s="35"/>
      <c r="AB49" s="34"/>
      <c r="AC49" s="36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</row>
    <row r="50" spans="2:63" s="28" customFormat="1">
      <c r="B50" s="27"/>
      <c r="D50" s="29"/>
      <c r="E50" s="30"/>
      <c r="G50" s="31"/>
      <c r="H50" s="32"/>
      <c r="I50" s="32"/>
      <c r="J50" s="32"/>
      <c r="K50" s="32"/>
      <c r="L50" s="32"/>
      <c r="O50" s="62"/>
      <c r="V50" s="33"/>
      <c r="W50" s="33"/>
      <c r="X50" s="34"/>
      <c r="Y50" s="35"/>
      <c r="Z50" s="34"/>
      <c r="AA50" s="35"/>
      <c r="AB50" s="34"/>
      <c r="AC50" s="36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</row>
    <row r="51" spans="2:63" s="28" customFormat="1">
      <c r="B51" s="27"/>
      <c r="D51" s="29"/>
      <c r="E51" s="30"/>
      <c r="G51" s="31"/>
      <c r="H51" s="32"/>
      <c r="I51" s="32"/>
      <c r="J51" s="32"/>
      <c r="K51" s="32"/>
      <c r="L51" s="32"/>
      <c r="O51" s="62"/>
      <c r="V51" s="33"/>
      <c r="W51" s="33"/>
      <c r="X51" s="34"/>
      <c r="Y51" s="35"/>
      <c r="Z51" s="34"/>
      <c r="AA51" s="35"/>
      <c r="AB51" s="34"/>
      <c r="AC51" s="36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</row>
    <row r="52" spans="2:63" s="28" customFormat="1">
      <c r="B52" s="27"/>
      <c r="D52" s="29"/>
      <c r="E52" s="30"/>
      <c r="G52" s="31"/>
      <c r="H52" s="32"/>
      <c r="I52" s="32"/>
      <c r="J52" s="32"/>
      <c r="K52" s="32"/>
      <c r="L52" s="32"/>
      <c r="O52" s="62"/>
      <c r="V52" s="33"/>
      <c r="W52" s="33"/>
      <c r="X52" s="34"/>
      <c r="Y52" s="35"/>
      <c r="Z52" s="34"/>
      <c r="AA52" s="35"/>
      <c r="AB52" s="34"/>
      <c r="AC52" s="36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</row>
    <row r="53" spans="2:63" s="28" customFormat="1">
      <c r="B53" s="27"/>
      <c r="D53" s="29"/>
      <c r="E53" s="30"/>
      <c r="G53" s="31"/>
      <c r="H53" s="32"/>
      <c r="I53" s="32"/>
      <c r="J53" s="32"/>
      <c r="K53" s="32"/>
      <c r="L53" s="32"/>
      <c r="O53" s="62"/>
      <c r="V53" s="33"/>
      <c r="W53" s="33"/>
      <c r="X53" s="34"/>
      <c r="Y53" s="35"/>
      <c r="Z53" s="34"/>
      <c r="AA53" s="35"/>
      <c r="AB53" s="34"/>
      <c r="AC53" s="36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</row>
    <row r="54" spans="2:63" s="28" customFormat="1">
      <c r="B54" s="27"/>
      <c r="D54" s="29"/>
      <c r="E54" s="30"/>
      <c r="G54" s="31"/>
      <c r="H54" s="32"/>
      <c r="I54" s="32"/>
      <c r="J54" s="32"/>
      <c r="K54" s="32"/>
      <c r="L54" s="32"/>
      <c r="O54" s="62"/>
      <c r="V54" s="33"/>
      <c r="W54" s="33"/>
      <c r="X54" s="34"/>
      <c r="Y54" s="35"/>
      <c r="Z54" s="34"/>
      <c r="AA54" s="35"/>
      <c r="AB54" s="34"/>
      <c r="AC54" s="36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</row>
    <row r="55" spans="2:63" s="28" customFormat="1">
      <c r="B55" s="27"/>
      <c r="D55" s="29"/>
      <c r="E55" s="30"/>
      <c r="G55" s="31"/>
      <c r="H55" s="32"/>
      <c r="I55" s="32"/>
      <c r="J55" s="32"/>
      <c r="K55" s="32"/>
      <c r="L55" s="32"/>
      <c r="O55" s="62"/>
      <c r="V55" s="33"/>
      <c r="W55" s="33"/>
      <c r="X55" s="34"/>
      <c r="Y55" s="35"/>
      <c r="Z55" s="34"/>
      <c r="AA55" s="35"/>
      <c r="AB55" s="34"/>
      <c r="AC55" s="36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</row>
    <row r="56" spans="2:63" s="28" customFormat="1">
      <c r="B56" s="27"/>
      <c r="D56" s="29"/>
      <c r="E56" s="30"/>
      <c r="G56" s="31"/>
      <c r="H56" s="32"/>
      <c r="I56" s="32"/>
      <c r="J56" s="32"/>
      <c r="K56" s="32"/>
      <c r="L56" s="32"/>
      <c r="O56" s="62"/>
      <c r="V56" s="33"/>
      <c r="W56" s="33"/>
      <c r="X56" s="34"/>
      <c r="Y56" s="35"/>
      <c r="Z56" s="34"/>
      <c r="AA56" s="35"/>
      <c r="AB56" s="34"/>
      <c r="AC56" s="36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</row>
    <row r="57" spans="2:63" s="28" customFormat="1">
      <c r="B57" s="27"/>
      <c r="D57" s="29"/>
      <c r="E57" s="30"/>
      <c r="G57" s="31"/>
      <c r="H57" s="32"/>
      <c r="I57" s="32"/>
      <c r="J57" s="32"/>
      <c r="K57" s="32"/>
      <c r="L57" s="32"/>
      <c r="O57" s="62"/>
      <c r="V57" s="33"/>
      <c r="W57" s="33"/>
      <c r="X57" s="34"/>
      <c r="Y57" s="35"/>
      <c r="Z57" s="34"/>
      <c r="AA57" s="35"/>
      <c r="AB57" s="34"/>
      <c r="AC57" s="36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</row>
    <row r="58" spans="2:63" s="28" customFormat="1">
      <c r="B58" s="27"/>
      <c r="D58" s="29"/>
      <c r="E58" s="30"/>
      <c r="G58" s="31"/>
      <c r="H58" s="32"/>
      <c r="I58" s="32"/>
      <c r="J58" s="32"/>
      <c r="K58" s="32"/>
      <c r="L58" s="32"/>
      <c r="O58" s="62"/>
      <c r="V58" s="33"/>
      <c r="W58" s="33"/>
      <c r="X58" s="34"/>
      <c r="Y58" s="35"/>
      <c r="Z58" s="34"/>
      <c r="AA58" s="35"/>
      <c r="AB58" s="34"/>
      <c r="AC58" s="36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</row>
    <row r="59" spans="2:63" s="28" customFormat="1">
      <c r="B59" s="27"/>
      <c r="D59" s="29"/>
      <c r="E59" s="30"/>
      <c r="G59" s="31"/>
      <c r="H59" s="32"/>
      <c r="I59" s="32"/>
      <c r="J59" s="32"/>
      <c r="K59" s="32"/>
      <c r="L59" s="32"/>
      <c r="O59" s="62"/>
      <c r="V59" s="33"/>
      <c r="W59" s="33"/>
      <c r="X59" s="34"/>
      <c r="Y59" s="35"/>
      <c r="Z59" s="34"/>
      <c r="AA59" s="35"/>
      <c r="AB59" s="34"/>
      <c r="AC59" s="36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</row>
    <row r="60" spans="2:63" s="28" customFormat="1">
      <c r="B60" s="27"/>
      <c r="D60" s="29"/>
      <c r="E60" s="30"/>
      <c r="G60" s="31"/>
      <c r="H60" s="32"/>
      <c r="I60" s="32"/>
      <c r="J60" s="32"/>
      <c r="K60" s="32"/>
      <c r="L60" s="32"/>
      <c r="O60" s="62"/>
      <c r="V60" s="33"/>
      <c r="W60" s="33"/>
      <c r="X60" s="34"/>
      <c r="Y60" s="35"/>
      <c r="Z60" s="34"/>
      <c r="AA60" s="35"/>
      <c r="AB60" s="34"/>
      <c r="AC60" s="36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</row>
    <row r="61" spans="2:63" s="28" customFormat="1">
      <c r="B61" s="27"/>
      <c r="D61" s="29"/>
      <c r="E61" s="30"/>
      <c r="G61" s="31"/>
      <c r="H61" s="32"/>
      <c r="I61" s="32"/>
      <c r="J61" s="32"/>
      <c r="K61" s="32"/>
      <c r="L61" s="32"/>
      <c r="O61" s="62"/>
      <c r="V61" s="33"/>
      <c r="W61" s="33"/>
      <c r="X61" s="34"/>
      <c r="Y61" s="35"/>
      <c r="Z61" s="34"/>
      <c r="AA61" s="35"/>
      <c r="AB61" s="34"/>
      <c r="AC61" s="36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</row>
    <row r="62" spans="2:63" s="28" customFormat="1">
      <c r="B62" s="27"/>
      <c r="D62" s="29"/>
      <c r="E62" s="30"/>
      <c r="G62" s="31"/>
      <c r="H62" s="32"/>
      <c r="I62" s="32"/>
      <c r="J62" s="32"/>
      <c r="K62" s="32"/>
      <c r="L62" s="32"/>
      <c r="O62" s="62"/>
      <c r="V62" s="33"/>
      <c r="W62" s="33"/>
      <c r="X62" s="34"/>
      <c r="Y62" s="35"/>
      <c r="Z62" s="34"/>
      <c r="AA62" s="35"/>
      <c r="AB62" s="34"/>
      <c r="AC62" s="36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</row>
    <row r="63" spans="2:63" s="28" customFormat="1">
      <c r="B63" s="27"/>
      <c r="D63" s="29"/>
      <c r="E63" s="30"/>
      <c r="G63" s="31"/>
      <c r="H63" s="32"/>
      <c r="I63" s="32"/>
      <c r="J63" s="32"/>
      <c r="K63" s="32"/>
      <c r="L63" s="32"/>
      <c r="O63" s="62"/>
      <c r="V63" s="33"/>
      <c r="W63" s="33"/>
      <c r="X63" s="34"/>
      <c r="Y63" s="35"/>
      <c r="Z63" s="34"/>
      <c r="AA63" s="35"/>
      <c r="AB63" s="34"/>
      <c r="AC63" s="36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</row>
    <row r="64" spans="2:63" s="28" customFormat="1">
      <c r="B64" s="27"/>
      <c r="D64" s="29"/>
      <c r="E64" s="30"/>
      <c r="G64" s="31"/>
      <c r="H64" s="32"/>
      <c r="I64" s="32"/>
      <c r="J64" s="32"/>
      <c r="K64" s="32"/>
      <c r="L64" s="32"/>
      <c r="O64" s="62"/>
      <c r="V64" s="33"/>
      <c r="W64" s="33"/>
      <c r="X64" s="34"/>
      <c r="Y64" s="35"/>
      <c r="Z64" s="34"/>
      <c r="AA64" s="35"/>
      <c r="AB64" s="34"/>
      <c r="AC64" s="36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</row>
    <row r="65" spans="2:63" s="28" customFormat="1">
      <c r="B65" s="27"/>
      <c r="D65" s="29"/>
      <c r="E65" s="30"/>
      <c r="G65" s="31"/>
      <c r="H65" s="32"/>
      <c r="I65" s="32"/>
      <c r="J65" s="32"/>
      <c r="K65" s="32"/>
      <c r="L65" s="32"/>
      <c r="O65" s="62"/>
      <c r="V65" s="33"/>
      <c r="W65" s="33"/>
      <c r="X65" s="34"/>
      <c r="Y65" s="35"/>
      <c r="Z65" s="34"/>
      <c r="AA65" s="35"/>
      <c r="AB65" s="34"/>
      <c r="AC65" s="36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</row>
    <row r="66" spans="2:63" s="28" customFormat="1">
      <c r="B66" s="27"/>
      <c r="D66" s="29"/>
      <c r="E66" s="30"/>
      <c r="G66" s="31"/>
      <c r="H66" s="32"/>
      <c r="I66" s="32"/>
      <c r="J66" s="32"/>
      <c r="K66" s="32"/>
      <c r="L66" s="32"/>
      <c r="O66" s="62"/>
      <c r="V66" s="33"/>
      <c r="W66" s="33"/>
      <c r="X66" s="34"/>
      <c r="Y66" s="35"/>
      <c r="Z66" s="34"/>
      <c r="AA66" s="35"/>
      <c r="AB66" s="34"/>
      <c r="AC66" s="36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</row>
    <row r="67" spans="2:63" s="28" customFormat="1">
      <c r="B67" s="27"/>
      <c r="D67" s="29"/>
      <c r="E67" s="30"/>
      <c r="G67" s="31"/>
      <c r="H67" s="32"/>
      <c r="I67" s="32"/>
      <c r="J67" s="32"/>
      <c r="K67" s="32"/>
      <c r="L67" s="32"/>
      <c r="O67" s="62"/>
      <c r="V67" s="33"/>
      <c r="W67" s="33"/>
      <c r="X67" s="34"/>
      <c r="Y67" s="35"/>
      <c r="Z67" s="34"/>
      <c r="AA67" s="35"/>
      <c r="AB67" s="34"/>
      <c r="AC67" s="36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</row>
    <row r="68" spans="2:63" s="28" customFormat="1">
      <c r="B68" s="27"/>
      <c r="D68" s="29"/>
      <c r="E68" s="30"/>
      <c r="G68" s="31"/>
      <c r="H68" s="32"/>
      <c r="I68" s="32"/>
      <c r="J68" s="32"/>
      <c r="K68" s="32"/>
      <c r="L68" s="32"/>
      <c r="O68" s="62"/>
      <c r="V68" s="33"/>
      <c r="W68" s="33"/>
      <c r="X68" s="34"/>
      <c r="Y68" s="35"/>
      <c r="Z68" s="34"/>
      <c r="AA68" s="35"/>
      <c r="AB68" s="34"/>
      <c r="AC68" s="36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</row>
    <row r="69" spans="2:63" s="28" customFormat="1">
      <c r="B69" s="27"/>
      <c r="D69" s="29"/>
      <c r="E69" s="30"/>
      <c r="G69" s="31"/>
      <c r="H69" s="32"/>
      <c r="I69" s="32"/>
      <c r="J69" s="32"/>
      <c r="K69" s="32"/>
      <c r="L69" s="32"/>
      <c r="O69" s="62"/>
      <c r="V69" s="33"/>
      <c r="W69" s="33"/>
      <c r="X69" s="34"/>
      <c r="Y69" s="35"/>
      <c r="Z69" s="34"/>
      <c r="AA69" s="35"/>
      <c r="AB69" s="34"/>
      <c r="AC69" s="36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</row>
    <row r="70" spans="2:63" s="28" customFormat="1">
      <c r="B70" s="27"/>
      <c r="D70" s="29"/>
      <c r="E70" s="30"/>
      <c r="G70" s="31"/>
      <c r="H70" s="32"/>
      <c r="I70" s="32"/>
      <c r="J70" s="32"/>
      <c r="K70" s="32"/>
      <c r="L70" s="32"/>
      <c r="O70" s="63"/>
      <c r="V70" s="33"/>
      <c r="W70" s="33"/>
      <c r="X70" s="34"/>
      <c r="Y70" s="35"/>
      <c r="Z70" s="34"/>
      <c r="AA70" s="35"/>
      <c r="AB70" s="34"/>
      <c r="AC70" s="36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</row>
    <row r="71" spans="2:63" s="28" customFormat="1">
      <c r="B71" s="27"/>
      <c r="D71" s="29"/>
      <c r="E71" s="30"/>
      <c r="G71" s="31"/>
      <c r="H71" s="32"/>
      <c r="I71" s="32"/>
      <c r="J71" s="32"/>
      <c r="K71" s="32"/>
      <c r="L71" s="32"/>
      <c r="O71" s="62"/>
      <c r="V71" s="33"/>
      <c r="W71" s="33"/>
      <c r="X71" s="34"/>
      <c r="Y71" s="35"/>
      <c r="Z71" s="34"/>
      <c r="AA71" s="35"/>
      <c r="AB71" s="34"/>
      <c r="AC71" s="36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</row>
    <row r="72" spans="2:63" s="28" customFormat="1">
      <c r="B72" s="27"/>
      <c r="D72" s="29"/>
      <c r="E72" s="30"/>
      <c r="G72" s="31"/>
      <c r="H72" s="32"/>
      <c r="I72" s="32"/>
      <c r="J72" s="32"/>
      <c r="K72" s="32"/>
      <c r="L72" s="32"/>
      <c r="O72" s="62"/>
      <c r="V72" s="33"/>
      <c r="W72" s="33"/>
      <c r="X72" s="34"/>
      <c r="Y72" s="35"/>
      <c r="Z72" s="34"/>
      <c r="AA72" s="35"/>
      <c r="AB72" s="34"/>
      <c r="AC72" s="36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</row>
    <row r="73" spans="2:63" s="28" customFormat="1">
      <c r="B73" s="27"/>
      <c r="D73" s="29"/>
      <c r="E73" s="30"/>
      <c r="G73" s="31"/>
      <c r="H73" s="32"/>
      <c r="I73" s="32"/>
      <c r="J73" s="32"/>
      <c r="K73" s="32"/>
      <c r="L73" s="32"/>
      <c r="O73" s="62"/>
      <c r="V73" s="33"/>
      <c r="W73" s="33"/>
      <c r="X73" s="34"/>
      <c r="Y73" s="35"/>
      <c r="Z73" s="34"/>
      <c r="AA73" s="35"/>
      <c r="AB73" s="34"/>
      <c r="AC73" s="36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</row>
    <row r="74" spans="2:63" s="28" customFormat="1">
      <c r="B74" s="27"/>
      <c r="D74" s="29"/>
      <c r="E74" s="30"/>
      <c r="G74" s="31"/>
      <c r="H74" s="32"/>
      <c r="I74" s="32"/>
      <c r="J74" s="32"/>
      <c r="K74" s="32"/>
      <c r="L74" s="32"/>
      <c r="O74" s="62"/>
      <c r="V74" s="33"/>
      <c r="W74" s="33"/>
      <c r="X74" s="34"/>
      <c r="Y74" s="35"/>
      <c r="Z74" s="34"/>
      <c r="AA74" s="35"/>
      <c r="AB74" s="34"/>
      <c r="AC74" s="36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</row>
    <row r="75" spans="2:63" s="28" customFormat="1">
      <c r="B75" s="27"/>
      <c r="D75" s="29"/>
      <c r="E75" s="30"/>
      <c r="G75" s="31"/>
      <c r="H75" s="32"/>
      <c r="I75" s="32"/>
      <c r="J75" s="32"/>
      <c r="K75" s="32"/>
      <c r="L75" s="32"/>
      <c r="O75" s="62"/>
      <c r="V75" s="33"/>
      <c r="W75" s="33"/>
      <c r="X75" s="34"/>
      <c r="Y75" s="35"/>
      <c r="Z75" s="34"/>
      <c r="AA75" s="35"/>
      <c r="AB75" s="34"/>
      <c r="AC75" s="36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</row>
    <row r="76" spans="2:63" s="28" customFormat="1">
      <c r="B76" s="27"/>
      <c r="D76" s="29"/>
      <c r="E76" s="30"/>
      <c r="G76" s="31"/>
      <c r="H76" s="32"/>
      <c r="I76" s="32"/>
      <c r="J76" s="32"/>
      <c r="K76" s="32"/>
      <c r="L76" s="32"/>
      <c r="O76" s="62"/>
      <c r="V76" s="33"/>
      <c r="W76" s="33"/>
      <c r="X76" s="34"/>
      <c r="Y76" s="35"/>
      <c r="Z76" s="34"/>
      <c r="AA76" s="35"/>
      <c r="AB76" s="34"/>
      <c r="AC76" s="36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</row>
    <row r="77" spans="2:63" s="28" customFormat="1">
      <c r="B77" s="27"/>
      <c r="D77" s="29"/>
      <c r="E77" s="30"/>
      <c r="G77" s="31"/>
      <c r="H77" s="32"/>
      <c r="I77" s="32"/>
      <c r="J77" s="32"/>
      <c r="K77" s="32"/>
      <c r="L77" s="32"/>
      <c r="O77" s="62"/>
      <c r="V77" s="33"/>
      <c r="W77" s="33"/>
      <c r="X77" s="34"/>
      <c r="Y77" s="35"/>
      <c r="Z77" s="34"/>
      <c r="AA77" s="35"/>
      <c r="AB77" s="34"/>
      <c r="AC77" s="36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</row>
    <row r="78" spans="2:63" s="28" customFormat="1">
      <c r="B78" s="27"/>
      <c r="D78" s="29"/>
      <c r="E78" s="30"/>
      <c r="G78" s="31"/>
      <c r="H78" s="32"/>
      <c r="I78" s="32"/>
      <c r="J78" s="32"/>
      <c r="K78" s="32"/>
      <c r="L78" s="32"/>
      <c r="O78" s="62"/>
      <c r="V78" s="33"/>
      <c r="W78" s="33"/>
      <c r="X78" s="34"/>
      <c r="Y78" s="35"/>
      <c r="Z78" s="34"/>
      <c r="AA78" s="35"/>
      <c r="AB78" s="34"/>
      <c r="AC78" s="36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</row>
    <row r="79" spans="2:63" s="28" customFormat="1">
      <c r="B79" s="27"/>
      <c r="D79" s="29"/>
      <c r="E79" s="30"/>
      <c r="G79" s="31"/>
      <c r="H79" s="32"/>
      <c r="I79" s="32"/>
      <c r="J79" s="32"/>
      <c r="K79" s="32"/>
      <c r="L79" s="32"/>
      <c r="O79" s="62"/>
      <c r="V79" s="33"/>
      <c r="W79" s="33"/>
      <c r="X79" s="34"/>
      <c r="Y79" s="35"/>
      <c r="Z79" s="34"/>
      <c r="AA79" s="35"/>
      <c r="AB79" s="34"/>
      <c r="AC79" s="36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</row>
    <row r="80" spans="2:63" s="28" customFormat="1">
      <c r="B80" s="27"/>
      <c r="D80" s="29"/>
      <c r="E80" s="30"/>
      <c r="G80" s="31"/>
      <c r="H80" s="32"/>
      <c r="I80" s="32"/>
      <c r="J80" s="32"/>
      <c r="K80" s="32"/>
      <c r="L80" s="32"/>
      <c r="O80" s="63"/>
      <c r="V80" s="33"/>
      <c r="W80" s="33"/>
      <c r="X80" s="34"/>
      <c r="Y80" s="35"/>
      <c r="Z80" s="34"/>
      <c r="AA80" s="35"/>
      <c r="AB80" s="34"/>
      <c r="AC80" s="36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</row>
    <row r="81" spans="2:63" s="28" customFormat="1">
      <c r="B81" s="27"/>
      <c r="D81" s="29"/>
      <c r="E81" s="30"/>
      <c r="G81" s="31"/>
      <c r="H81" s="32"/>
      <c r="I81" s="32"/>
      <c r="J81" s="32"/>
      <c r="K81" s="32"/>
      <c r="L81" s="32"/>
      <c r="O81" s="62"/>
      <c r="V81" s="33"/>
      <c r="W81" s="33"/>
      <c r="X81" s="34"/>
      <c r="Y81" s="35"/>
      <c r="Z81" s="34"/>
      <c r="AA81" s="35"/>
      <c r="AB81" s="34"/>
      <c r="AC81" s="36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</row>
    <row r="82" spans="2:63" s="28" customFormat="1">
      <c r="B82" s="27"/>
      <c r="D82" s="29"/>
      <c r="E82" s="30"/>
      <c r="G82" s="31"/>
      <c r="H82" s="32"/>
      <c r="I82" s="32"/>
      <c r="J82" s="32"/>
      <c r="K82" s="32"/>
      <c r="L82" s="32"/>
      <c r="O82" s="62"/>
      <c r="V82" s="33"/>
      <c r="W82" s="33"/>
      <c r="X82" s="34"/>
      <c r="Y82" s="35"/>
      <c r="Z82" s="34"/>
      <c r="AA82" s="35"/>
      <c r="AB82" s="34"/>
      <c r="AC82" s="36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</row>
    <row r="83" spans="2:63" s="28" customFormat="1">
      <c r="B83" s="27"/>
      <c r="D83" s="29"/>
      <c r="E83" s="30"/>
      <c r="G83" s="31"/>
      <c r="H83" s="32"/>
      <c r="I83" s="32"/>
      <c r="J83" s="32"/>
      <c r="K83" s="32"/>
      <c r="L83" s="32"/>
      <c r="O83" s="62"/>
      <c r="V83" s="33"/>
      <c r="W83" s="33"/>
      <c r="X83" s="34"/>
      <c r="Y83" s="35"/>
      <c r="Z83" s="34"/>
      <c r="AA83" s="35"/>
      <c r="AB83" s="34"/>
      <c r="AC83" s="36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</row>
    <row r="84" spans="2:63" s="28" customFormat="1">
      <c r="B84" s="27"/>
      <c r="D84" s="29"/>
      <c r="E84" s="30"/>
      <c r="G84" s="31"/>
      <c r="H84" s="32"/>
      <c r="I84" s="32"/>
      <c r="J84" s="32"/>
      <c r="K84" s="32"/>
      <c r="L84" s="32"/>
      <c r="O84" s="62"/>
      <c r="V84" s="33"/>
      <c r="W84" s="33"/>
      <c r="X84" s="34"/>
      <c r="Y84" s="35"/>
      <c r="Z84" s="34"/>
      <c r="AA84" s="35"/>
      <c r="AB84" s="34"/>
      <c r="AC84" s="36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</row>
    <row r="85" spans="2:63" s="28" customFormat="1">
      <c r="B85" s="27"/>
      <c r="D85" s="29"/>
      <c r="E85" s="30"/>
      <c r="G85" s="31"/>
      <c r="H85" s="32"/>
      <c r="I85" s="32"/>
      <c r="J85" s="32"/>
      <c r="K85" s="32"/>
      <c r="L85" s="32"/>
      <c r="O85" s="62"/>
      <c r="V85" s="33"/>
      <c r="W85" s="33"/>
      <c r="X85" s="34"/>
      <c r="Y85" s="35"/>
      <c r="Z85" s="34"/>
      <c r="AA85" s="35"/>
      <c r="AB85" s="34"/>
      <c r="AC85" s="36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</row>
    <row r="86" spans="2:63" s="28" customFormat="1">
      <c r="B86" s="27"/>
      <c r="D86" s="29"/>
      <c r="E86" s="30"/>
      <c r="G86" s="31"/>
      <c r="H86" s="32"/>
      <c r="I86" s="32"/>
      <c r="J86" s="32"/>
      <c r="K86" s="32"/>
      <c r="L86" s="32"/>
      <c r="O86" s="62"/>
      <c r="V86" s="33"/>
      <c r="W86" s="33"/>
      <c r="X86" s="34"/>
      <c r="Y86" s="35"/>
      <c r="Z86" s="34"/>
      <c r="AA86" s="35"/>
      <c r="AB86" s="34"/>
      <c r="AC86" s="36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</row>
    <row r="87" spans="2:63" s="28" customFormat="1">
      <c r="B87" s="27"/>
      <c r="D87" s="29"/>
      <c r="E87" s="30"/>
      <c r="G87" s="31"/>
      <c r="H87" s="32"/>
      <c r="I87" s="32"/>
      <c r="J87" s="32"/>
      <c r="K87" s="32"/>
      <c r="L87" s="32"/>
      <c r="O87" s="62"/>
      <c r="V87" s="33"/>
      <c r="W87" s="33"/>
      <c r="X87" s="34"/>
      <c r="Y87" s="35"/>
      <c r="Z87" s="34"/>
      <c r="AA87" s="35"/>
      <c r="AB87" s="34"/>
      <c r="AC87" s="36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</row>
    <row r="88" spans="2:63" s="28" customFormat="1">
      <c r="B88" s="27"/>
      <c r="D88" s="29"/>
      <c r="E88" s="30"/>
      <c r="G88" s="31"/>
      <c r="H88" s="32"/>
      <c r="I88" s="32"/>
      <c r="J88" s="32"/>
      <c r="K88" s="32"/>
      <c r="L88" s="32"/>
      <c r="O88" s="62"/>
      <c r="V88" s="33"/>
      <c r="W88" s="33"/>
      <c r="X88" s="34"/>
      <c r="Y88" s="35"/>
      <c r="Z88" s="34"/>
      <c r="AA88" s="35"/>
      <c r="AB88" s="34"/>
      <c r="AC88" s="36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</row>
    <row r="89" spans="2:63" s="28" customFormat="1">
      <c r="B89" s="27"/>
      <c r="D89" s="29"/>
      <c r="E89" s="30"/>
      <c r="G89" s="31"/>
      <c r="H89" s="32"/>
      <c r="I89" s="32"/>
      <c r="J89" s="32"/>
      <c r="K89" s="32"/>
      <c r="L89" s="32"/>
      <c r="O89" s="62"/>
      <c r="V89" s="33"/>
      <c r="W89" s="33"/>
      <c r="X89" s="34"/>
      <c r="Y89" s="35"/>
      <c r="Z89" s="34"/>
      <c r="AA89" s="35"/>
      <c r="AB89" s="34"/>
      <c r="AC89" s="36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</row>
    <row r="90" spans="2:63" s="28" customFormat="1">
      <c r="B90" s="27"/>
      <c r="D90" s="29"/>
      <c r="E90" s="30"/>
      <c r="G90" s="31"/>
      <c r="H90" s="32"/>
      <c r="I90" s="32"/>
      <c r="J90" s="32"/>
      <c r="K90" s="32"/>
      <c r="L90" s="32"/>
      <c r="O90" s="62"/>
      <c r="V90" s="33"/>
      <c r="W90" s="33"/>
      <c r="X90" s="34"/>
      <c r="Y90" s="35"/>
      <c r="Z90" s="34"/>
      <c r="AA90" s="35"/>
      <c r="AB90" s="34"/>
      <c r="AC90" s="36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</row>
    <row r="91" spans="2:63" s="28" customFormat="1">
      <c r="B91" s="27"/>
      <c r="D91" s="29"/>
      <c r="E91" s="30"/>
      <c r="G91" s="31"/>
      <c r="H91" s="32"/>
      <c r="I91" s="32"/>
      <c r="J91" s="32"/>
      <c r="K91" s="32"/>
      <c r="L91" s="32"/>
      <c r="O91" s="62"/>
      <c r="V91" s="33"/>
      <c r="W91" s="33"/>
      <c r="X91" s="34"/>
      <c r="Y91" s="35"/>
      <c r="Z91" s="34"/>
      <c r="AA91" s="35"/>
      <c r="AB91" s="34"/>
      <c r="AC91" s="36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</row>
    <row r="92" spans="2:63" s="28" customFormat="1">
      <c r="B92" s="27"/>
      <c r="D92" s="29"/>
      <c r="E92" s="30"/>
      <c r="G92" s="31"/>
      <c r="H92" s="32"/>
      <c r="I92" s="32"/>
      <c r="J92" s="32"/>
      <c r="K92" s="32"/>
      <c r="L92" s="32"/>
      <c r="O92" s="63"/>
      <c r="V92" s="33"/>
      <c r="W92" s="33"/>
      <c r="X92" s="34"/>
      <c r="Y92" s="35"/>
      <c r="Z92" s="34"/>
      <c r="AA92" s="35"/>
      <c r="AB92" s="34"/>
      <c r="AC92" s="36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</row>
    <row r="93" spans="2:63" s="28" customFormat="1">
      <c r="B93" s="27"/>
      <c r="D93" s="29"/>
      <c r="E93" s="30"/>
      <c r="G93" s="31"/>
      <c r="H93" s="32"/>
      <c r="I93" s="32"/>
      <c r="J93" s="32"/>
      <c r="K93" s="32"/>
      <c r="L93" s="32"/>
      <c r="O93" s="62"/>
      <c r="V93" s="33"/>
      <c r="W93" s="33"/>
      <c r="X93" s="34"/>
      <c r="Y93" s="35"/>
      <c r="Z93" s="34"/>
      <c r="AA93" s="35"/>
      <c r="AB93" s="34"/>
      <c r="AC93" s="36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</row>
    <row r="94" spans="2:63" s="28" customFormat="1">
      <c r="B94" s="27"/>
      <c r="D94" s="29"/>
      <c r="E94" s="30"/>
      <c r="G94" s="31"/>
      <c r="H94" s="32"/>
      <c r="I94" s="32"/>
      <c r="J94" s="32"/>
      <c r="K94" s="32"/>
      <c r="L94" s="32"/>
      <c r="O94" s="62"/>
      <c r="V94" s="33"/>
      <c r="W94" s="33"/>
      <c r="X94" s="34"/>
      <c r="Y94" s="35"/>
      <c r="Z94" s="34"/>
      <c r="AA94" s="35"/>
      <c r="AB94" s="34"/>
      <c r="AC94" s="36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</row>
    <row r="95" spans="2:63" s="28" customFormat="1">
      <c r="B95" s="27"/>
      <c r="D95" s="29"/>
      <c r="E95" s="30"/>
      <c r="G95" s="31"/>
      <c r="H95" s="32"/>
      <c r="I95" s="32"/>
      <c r="J95" s="32"/>
      <c r="K95" s="32"/>
      <c r="L95" s="32"/>
      <c r="O95" s="62"/>
      <c r="V95" s="33"/>
      <c r="W95" s="33"/>
      <c r="X95" s="34"/>
      <c r="Y95" s="35"/>
      <c r="Z95" s="34"/>
      <c r="AA95" s="35"/>
      <c r="AB95" s="34"/>
      <c r="AC95" s="36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</row>
    <row r="96" spans="2:63" s="28" customFormat="1">
      <c r="B96" s="27"/>
      <c r="D96" s="29"/>
      <c r="E96" s="30"/>
      <c r="G96" s="31"/>
      <c r="H96" s="32"/>
      <c r="I96" s="32"/>
      <c r="J96" s="32"/>
      <c r="K96" s="32"/>
      <c r="L96" s="32"/>
      <c r="O96" s="62"/>
      <c r="V96" s="33"/>
      <c r="W96" s="33"/>
      <c r="X96" s="34"/>
      <c r="Y96" s="35"/>
      <c r="Z96" s="34"/>
      <c r="AA96" s="35"/>
      <c r="AB96" s="34"/>
      <c r="AC96" s="36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</row>
    <row r="97" spans="2:63" s="28" customFormat="1">
      <c r="B97" s="27"/>
      <c r="D97" s="29"/>
      <c r="E97" s="30"/>
      <c r="G97" s="31"/>
      <c r="H97" s="32"/>
      <c r="I97" s="32"/>
      <c r="J97" s="32"/>
      <c r="K97" s="32"/>
      <c r="L97" s="32"/>
      <c r="O97" s="62"/>
      <c r="V97" s="33"/>
      <c r="W97" s="33"/>
      <c r="X97" s="34"/>
      <c r="Y97" s="35"/>
      <c r="Z97" s="34"/>
      <c r="AA97" s="35"/>
      <c r="AB97" s="34"/>
      <c r="AC97" s="36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</row>
    <row r="98" spans="2:63" s="28" customFormat="1">
      <c r="B98" s="27"/>
      <c r="D98" s="29"/>
      <c r="E98" s="30"/>
      <c r="G98" s="31"/>
      <c r="H98" s="32"/>
      <c r="I98" s="32"/>
      <c r="J98" s="32"/>
      <c r="K98" s="32"/>
      <c r="L98" s="32"/>
      <c r="O98" s="61"/>
      <c r="V98" s="33"/>
      <c r="W98" s="33"/>
      <c r="X98" s="34"/>
      <c r="Y98" s="35"/>
      <c r="Z98" s="34"/>
      <c r="AA98" s="35"/>
      <c r="AB98" s="34"/>
      <c r="AC98" s="36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</row>
    <row r="99" spans="2:63" s="28" customFormat="1">
      <c r="B99" s="27"/>
      <c r="D99" s="29"/>
      <c r="E99" s="30"/>
      <c r="G99" s="31"/>
      <c r="H99" s="32"/>
      <c r="I99" s="32"/>
      <c r="J99" s="32"/>
      <c r="K99" s="32"/>
      <c r="L99" s="32"/>
      <c r="O99" s="62"/>
      <c r="V99" s="33"/>
      <c r="W99" s="33"/>
      <c r="X99" s="34"/>
      <c r="Y99" s="35"/>
      <c r="Z99" s="34"/>
      <c r="AA99" s="35"/>
      <c r="AB99" s="34"/>
      <c r="AC99" s="36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</row>
    <row r="100" spans="2:63" s="28" customFormat="1">
      <c r="B100" s="27"/>
      <c r="D100" s="29"/>
      <c r="E100" s="30"/>
      <c r="G100" s="31"/>
      <c r="H100" s="32"/>
      <c r="I100" s="32"/>
      <c r="J100" s="32"/>
      <c r="K100" s="32"/>
      <c r="L100" s="32"/>
      <c r="O100" s="62"/>
      <c r="V100" s="33"/>
      <c r="W100" s="33"/>
      <c r="X100" s="34"/>
      <c r="Y100" s="35"/>
      <c r="Z100" s="34"/>
      <c r="AA100" s="35"/>
      <c r="AB100" s="34"/>
      <c r="AC100" s="36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</row>
    <row r="101" spans="2:63" s="28" customFormat="1">
      <c r="B101" s="27"/>
      <c r="D101" s="29"/>
      <c r="E101" s="30"/>
      <c r="G101" s="31"/>
      <c r="H101" s="32"/>
      <c r="I101" s="32"/>
      <c r="J101" s="32"/>
      <c r="K101" s="32"/>
      <c r="L101" s="32"/>
      <c r="O101" s="62"/>
      <c r="V101" s="33"/>
      <c r="W101" s="33"/>
      <c r="X101" s="34"/>
      <c r="Y101" s="35"/>
      <c r="Z101" s="34"/>
      <c r="AA101" s="35"/>
      <c r="AB101" s="34"/>
      <c r="AC101" s="36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</row>
    <row r="102" spans="2:63" s="28" customFormat="1">
      <c r="B102" s="27"/>
      <c r="D102" s="29"/>
      <c r="E102" s="30"/>
      <c r="G102" s="31"/>
      <c r="H102" s="32"/>
      <c r="I102" s="32"/>
      <c r="J102" s="32"/>
      <c r="K102" s="32"/>
      <c r="L102" s="32"/>
      <c r="O102" s="62"/>
      <c r="V102" s="33"/>
      <c r="W102" s="33"/>
      <c r="X102" s="34"/>
      <c r="Y102" s="35"/>
      <c r="Z102" s="34"/>
      <c r="AA102" s="35"/>
      <c r="AB102" s="34"/>
      <c r="AC102" s="36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</row>
    <row r="103" spans="2:63" s="28" customFormat="1">
      <c r="B103" s="27"/>
      <c r="D103" s="29"/>
      <c r="E103" s="30"/>
      <c r="G103" s="31"/>
      <c r="H103" s="32"/>
      <c r="I103" s="32"/>
      <c r="J103" s="32"/>
      <c r="K103" s="32"/>
      <c r="L103" s="32"/>
      <c r="O103" s="62"/>
      <c r="V103" s="33"/>
      <c r="W103" s="33"/>
      <c r="X103" s="34"/>
      <c r="Y103" s="35"/>
      <c r="Z103" s="34"/>
      <c r="AA103" s="35"/>
      <c r="AB103" s="34"/>
      <c r="AC103" s="36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</row>
    <row r="104" spans="2:63" s="28" customFormat="1">
      <c r="B104" s="27"/>
      <c r="D104" s="29"/>
      <c r="E104" s="30"/>
      <c r="G104" s="31"/>
      <c r="H104" s="32"/>
      <c r="I104" s="32"/>
      <c r="J104" s="32"/>
      <c r="K104" s="32"/>
      <c r="L104" s="32"/>
      <c r="O104" s="63"/>
      <c r="V104" s="33"/>
      <c r="W104" s="33"/>
      <c r="X104" s="34"/>
      <c r="Y104" s="35"/>
      <c r="Z104" s="34"/>
      <c r="AA104" s="35"/>
      <c r="AB104" s="34"/>
      <c r="AC104" s="36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</row>
    <row r="105" spans="2:63" s="28" customFormat="1">
      <c r="B105" s="27"/>
      <c r="D105" s="29"/>
      <c r="E105" s="30"/>
      <c r="G105" s="31"/>
      <c r="H105" s="32"/>
      <c r="I105" s="32"/>
      <c r="J105" s="32"/>
      <c r="K105" s="32"/>
      <c r="L105" s="32"/>
      <c r="O105" s="62"/>
      <c r="V105" s="33"/>
      <c r="W105" s="33"/>
      <c r="X105" s="34"/>
      <c r="Y105" s="35"/>
      <c r="Z105" s="34"/>
      <c r="AA105" s="35"/>
      <c r="AB105" s="34"/>
      <c r="AC105" s="36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</row>
    <row r="106" spans="2:63" s="28" customFormat="1">
      <c r="B106" s="27"/>
      <c r="D106" s="29"/>
      <c r="E106" s="30"/>
      <c r="G106" s="31"/>
      <c r="H106" s="32"/>
      <c r="I106" s="32"/>
      <c r="J106" s="32"/>
      <c r="K106" s="32"/>
      <c r="L106" s="32"/>
      <c r="O106" s="62"/>
      <c r="V106" s="33"/>
      <c r="W106" s="33"/>
      <c r="X106" s="34"/>
      <c r="Y106" s="35"/>
      <c r="Z106" s="34"/>
      <c r="AA106" s="35"/>
      <c r="AB106" s="34"/>
      <c r="AC106" s="36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</row>
    <row r="107" spans="2:63" s="28" customFormat="1">
      <c r="B107" s="27"/>
      <c r="D107" s="29"/>
      <c r="E107" s="30"/>
      <c r="G107" s="31"/>
      <c r="H107" s="32"/>
      <c r="I107" s="32"/>
      <c r="J107" s="32"/>
      <c r="K107" s="32"/>
      <c r="L107" s="32"/>
      <c r="O107" s="62"/>
      <c r="V107" s="33"/>
      <c r="W107" s="33"/>
      <c r="X107" s="34"/>
      <c r="Y107" s="35"/>
      <c r="Z107" s="34"/>
      <c r="AA107" s="35"/>
      <c r="AB107" s="34"/>
      <c r="AC107" s="36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</row>
    <row r="108" spans="2:63" s="28" customFormat="1">
      <c r="B108" s="27"/>
      <c r="D108" s="29"/>
      <c r="E108" s="30"/>
      <c r="G108" s="31"/>
      <c r="H108" s="32"/>
      <c r="I108" s="32"/>
      <c r="J108" s="32"/>
      <c r="K108" s="32"/>
      <c r="L108" s="32"/>
      <c r="O108" s="62"/>
      <c r="V108" s="33"/>
      <c r="W108" s="33"/>
      <c r="X108" s="34"/>
      <c r="Y108" s="35"/>
      <c r="Z108" s="34"/>
      <c r="AA108" s="35"/>
      <c r="AB108" s="34"/>
      <c r="AC108" s="36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</row>
    <row r="109" spans="2:63" s="28" customFormat="1">
      <c r="B109" s="27"/>
      <c r="D109" s="29"/>
      <c r="E109" s="30"/>
      <c r="G109" s="31"/>
      <c r="H109" s="32"/>
      <c r="I109" s="32"/>
      <c r="J109" s="32"/>
      <c r="K109" s="32"/>
      <c r="L109" s="32"/>
      <c r="O109" s="62"/>
      <c r="V109" s="33"/>
      <c r="W109" s="33"/>
      <c r="X109" s="34"/>
      <c r="Y109" s="35"/>
      <c r="Z109" s="34"/>
      <c r="AA109" s="35"/>
      <c r="AB109" s="34"/>
      <c r="AC109" s="36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</row>
    <row r="110" spans="2:63" s="28" customFormat="1">
      <c r="B110" s="27"/>
      <c r="D110" s="29"/>
      <c r="E110" s="30"/>
      <c r="G110" s="31"/>
      <c r="H110" s="32"/>
      <c r="I110" s="32"/>
      <c r="J110" s="32"/>
      <c r="K110" s="32"/>
      <c r="L110" s="32"/>
      <c r="O110" s="62"/>
      <c r="V110" s="33"/>
      <c r="W110" s="33"/>
      <c r="X110" s="34"/>
      <c r="Y110" s="35"/>
      <c r="Z110" s="34"/>
      <c r="AA110" s="35"/>
      <c r="AB110" s="34"/>
      <c r="AC110" s="36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</row>
    <row r="111" spans="2:63" s="28" customFormat="1">
      <c r="B111" s="27"/>
      <c r="D111" s="29"/>
      <c r="E111" s="30"/>
      <c r="G111" s="31"/>
      <c r="H111" s="32"/>
      <c r="I111" s="32"/>
      <c r="J111" s="32"/>
      <c r="K111" s="32"/>
      <c r="L111" s="32"/>
      <c r="O111" s="62"/>
      <c r="V111" s="33"/>
      <c r="W111" s="33"/>
      <c r="X111" s="34"/>
      <c r="Y111" s="35"/>
      <c r="Z111" s="34"/>
      <c r="AA111" s="35"/>
      <c r="AB111" s="34"/>
      <c r="AC111" s="36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</row>
    <row r="112" spans="2:63" s="28" customFormat="1">
      <c r="B112" s="27"/>
      <c r="D112" s="29"/>
      <c r="E112" s="30"/>
      <c r="G112" s="31"/>
      <c r="H112" s="32"/>
      <c r="I112" s="32"/>
      <c r="J112" s="32"/>
      <c r="K112" s="32"/>
      <c r="L112" s="32"/>
      <c r="O112" s="62"/>
      <c r="V112" s="33"/>
      <c r="W112" s="33"/>
      <c r="X112" s="34"/>
      <c r="Y112" s="35"/>
      <c r="Z112" s="34"/>
      <c r="AA112" s="35"/>
      <c r="AB112" s="34"/>
      <c r="AC112" s="36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</row>
    <row r="113" spans="2:63" s="28" customFormat="1">
      <c r="B113" s="27"/>
      <c r="D113" s="29"/>
      <c r="E113" s="30"/>
      <c r="G113" s="31"/>
      <c r="H113" s="32"/>
      <c r="I113" s="32"/>
      <c r="J113" s="32"/>
      <c r="K113" s="32"/>
      <c r="L113" s="32"/>
      <c r="O113" s="62"/>
      <c r="V113" s="33"/>
      <c r="W113" s="33"/>
      <c r="X113" s="34"/>
      <c r="Y113" s="35"/>
      <c r="Z113" s="34"/>
      <c r="AA113" s="35"/>
      <c r="AB113" s="34"/>
      <c r="AC113" s="36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</row>
    <row r="114" spans="2:63" s="28" customFormat="1">
      <c r="B114" s="27"/>
      <c r="D114" s="29"/>
      <c r="E114" s="30"/>
      <c r="G114" s="31"/>
      <c r="H114" s="32"/>
      <c r="I114" s="32"/>
      <c r="J114" s="32"/>
      <c r="K114" s="32"/>
      <c r="L114" s="32"/>
      <c r="O114" s="62"/>
      <c r="V114" s="33"/>
      <c r="W114" s="33"/>
      <c r="X114" s="34"/>
      <c r="Y114" s="35"/>
      <c r="Z114" s="34"/>
      <c r="AA114" s="35"/>
      <c r="AB114" s="34"/>
      <c r="AC114" s="36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</row>
    <row r="115" spans="2:63" s="28" customFormat="1">
      <c r="B115" s="27"/>
      <c r="D115" s="29"/>
      <c r="E115" s="30"/>
      <c r="G115" s="31"/>
      <c r="H115" s="32"/>
      <c r="I115" s="32"/>
      <c r="J115" s="32"/>
      <c r="K115" s="32"/>
      <c r="L115" s="32"/>
      <c r="O115" s="62"/>
      <c r="V115" s="33"/>
      <c r="W115" s="33"/>
      <c r="X115" s="34"/>
      <c r="Y115" s="35"/>
      <c r="Z115" s="34"/>
      <c r="AA115" s="35"/>
      <c r="AB115" s="34"/>
      <c r="AC115" s="36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</row>
    <row r="116" spans="2:63" s="28" customFormat="1">
      <c r="B116" s="27"/>
      <c r="D116" s="29"/>
      <c r="E116" s="30"/>
      <c r="G116" s="31"/>
      <c r="H116" s="32"/>
      <c r="I116" s="32"/>
      <c r="J116" s="32"/>
      <c r="K116" s="32"/>
      <c r="L116" s="32"/>
      <c r="O116" s="62"/>
      <c r="V116" s="33"/>
      <c r="W116" s="33"/>
      <c r="X116" s="34"/>
      <c r="Y116" s="35"/>
      <c r="Z116" s="34"/>
      <c r="AA116" s="35"/>
      <c r="AB116" s="34"/>
      <c r="AC116" s="36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</row>
    <row r="117" spans="2:63" s="28" customFormat="1">
      <c r="B117" s="27"/>
      <c r="D117" s="29"/>
      <c r="E117" s="30"/>
      <c r="G117" s="31"/>
      <c r="H117" s="32"/>
      <c r="I117" s="32"/>
      <c r="J117" s="32"/>
      <c r="K117" s="32"/>
      <c r="L117" s="32"/>
      <c r="O117" s="62"/>
      <c r="V117" s="33"/>
      <c r="W117" s="33"/>
      <c r="X117" s="34"/>
      <c r="Y117" s="35"/>
      <c r="Z117" s="34"/>
      <c r="AA117" s="35"/>
      <c r="AB117" s="34"/>
      <c r="AC117" s="36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</row>
    <row r="118" spans="2:63" s="28" customFormat="1">
      <c r="B118" s="27"/>
      <c r="D118" s="29"/>
      <c r="E118" s="30"/>
      <c r="G118" s="31"/>
      <c r="H118" s="32"/>
      <c r="I118" s="32"/>
      <c r="J118" s="32"/>
      <c r="K118" s="32"/>
      <c r="L118" s="32"/>
      <c r="O118" s="62"/>
      <c r="V118" s="33"/>
      <c r="W118" s="33"/>
      <c r="X118" s="34"/>
      <c r="Y118" s="35"/>
      <c r="Z118" s="34"/>
      <c r="AA118" s="35"/>
      <c r="AB118" s="34"/>
      <c r="AC118" s="36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0"/>
      <c r="BC118" s="60"/>
      <c r="BD118" s="60"/>
      <c r="BE118" s="60"/>
      <c r="BF118" s="60"/>
      <c r="BG118" s="60"/>
      <c r="BH118" s="60"/>
      <c r="BI118" s="60"/>
      <c r="BJ118" s="60"/>
      <c r="BK118" s="60"/>
    </row>
    <row r="119" spans="2:63" s="28" customFormat="1">
      <c r="B119" s="27"/>
      <c r="D119" s="29"/>
      <c r="E119" s="30"/>
      <c r="G119" s="31"/>
      <c r="H119" s="32"/>
      <c r="I119" s="32"/>
      <c r="J119" s="32"/>
      <c r="K119" s="32"/>
      <c r="L119" s="32"/>
      <c r="O119" s="62"/>
      <c r="V119" s="33"/>
      <c r="W119" s="33"/>
      <c r="X119" s="34"/>
      <c r="Y119" s="35"/>
      <c r="Z119" s="34"/>
      <c r="AA119" s="35"/>
      <c r="AB119" s="34"/>
      <c r="AC119" s="36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  <c r="BD119" s="60"/>
      <c r="BE119" s="60"/>
      <c r="BF119" s="60"/>
      <c r="BG119" s="60"/>
      <c r="BH119" s="60"/>
      <c r="BI119" s="60"/>
      <c r="BJ119" s="60"/>
      <c r="BK119" s="60"/>
    </row>
    <row r="120" spans="2:63" s="28" customFormat="1">
      <c r="B120" s="27"/>
      <c r="D120" s="29"/>
      <c r="E120" s="30"/>
      <c r="G120" s="31"/>
      <c r="H120" s="32"/>
      <c r="I120" s="32"/>
      <c r="J120" s="32"/>
      <c r="K120" s="32"/>
      <c r="L120" s="32"/>
      <c r="O120" s="62"/>
      <c r="V120" s="33"/>
      <c r="W120" s="33"/>
      <c r="X120" s="34"/>
      <c r="Y120" s="35"/>
      <c r="Z120" s="34"/>
      <c r="AA120" s="35"/>
      <c r="AB120" s="34"/>
      <c r="AC120" s="36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  <c r="BG120" s="60"/>
      <c r="BH120" s="60"/>
      <c r="BI120" s="60"/>
      <c r="BJ120" s="60"/>
      <c r="BK120" s="60"/>
    </row>
    <row r="121" spans="2:63" s="28" customFormat="1">
      <c r="B121" s="27"/>
      <c r="D121" s="29"/>
      <c r="E121" s="30"/>
      <c r="G121" s="31"/>
      <c r="H121" s="32"/>
      <c r="I121" s="32"/>
      <c r="J121" s="32"/>
      <c r="K121" s="32"/>
      <c r="L121" s="32"/>
      <c r="O121" s="62"/>
      <c r="V121" s="33"/>
      <c r="W121" s="33"/>
      <c r="X121" s="34"/>
      <c r="Y121" s="35"/>
      <c r="Z121" s="34"/>
      <c r="AA121" s="35"/>
      <c r="AB121" s="34"/>
      <c r="AC121" s="36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  <c r="BG121" s="60"/>
      <c r="BH121" s="60"/>
      <c r="BI121" s="60"/>
      <c r="BJ121" s="60"/>
      <c r="BK121" s="60"/>
    </row>
    <row r="122" spans="2:63" s="28" customFormat="1">
      <c r="B122" s="27"/>
      <c r="D122" s="29"/>
      <c r="E122" s="30"/>
      <c r="G122" s="31"/>
      <c r="H122" s="32"/>
      <c r="I122" s="32"/>
      <c r="J122" s="32"/>
      <c r="K122" s="32"/>
      <c r="L122" s="32"/>
      <c r="O122" s="62"/>
      <c r="V122" s="33"/>
      <c r="W122" s="33"/>
      <c r="X122" s="34"/>
      <c r="Y122" s="35"/>
      <c r="Z122" s="34"/>
      <c r="AA122" s="35"/>
      <c r="AB122" s="34"/>
      <c r="AC122" s="36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0"/>
      <c r="BD122" s="60"/>
      <c r="BE122" s="60"/>
      <c r="BF122" s="60"/>
      <c r="BG122" s="60"/>
      <c r="BH122" s="60"/>
      <c r="BI122" s="60"/>
      <c r="BJ122" s="60"/>
      <c r="BK122" s="60"/>
    </row>
    <row r="123" spans="2:63" s="28" customFormat="1">
      <c r="B123" s="27"/>
      <c r="D123" s="29"/>
      <c r="E123" s="30"/>
      <c r="G123" s="31"/>
      <c r="H123" s="32"/>
      <c r="I123" s="32"/>
      <c r="J123" s="32"/>
      <c r="K123" s="32"/>
      <c r="L123" s="32"/>
      <c r="O123" s="62"/>
      <c r="V123" s="33"/>
      <c r="W123" s="33"/>
      <c r="X123" s="34"/>
      <c r="Y123" s="35"/>
      <c r="Z123" s="34"/>
      <c r="AA123" s="35"/>
      <c r="AB123" s="34"/>
      <c r="AC123" s="36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  <c r="BD123" s="60"/>
      <c r="BE123" s="60"/>
      <c r="BF123" s="60"/>
      <c r="BG123" s="60"/>
      <c r="BH123" s="60"/>
      <c r="BI123" s="60"/>
      <c r="BJ123" s="60"/>
      <c r="BK123" s="60"/>
    </row>
    <row r="124" spans="2:63" s="28" customFormat="1">
      <c r="B124" s="27"/>
      <c r="D124" s="29"/>
      <c r="E124" s="30"/>
      <c r="G124" s="31"/>
      <c r="H124" s="32"/>
      <c r="I124" s="32"/>
      <c r="J124" s="32"/>
      <c r="K124" s="32"/>
      <c r="L124" s="32"/>
      <c r="O124" s="62"/>
      <c r="V124" s="33"/>
      <c r="W124" s="33"/>
      <c r="X124" s="34"/>
      <c r="Y124" s="35"/>
      <c r="Z124" s="34"/>
      <c r="AA124" s="35"/>
      <c r="AB124" s="34"/>
      <c r="AC124" s="36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  <c r="BD124" s="60"/>
      <c r="BE124" s="60"/>
      <c r="BF124" s="60"/>
      <c r="BG124" s="60"/>
      <c r="BH124" s="60"/>
      <c r="BI124" s="60"/>
      <c r="BJ124" s="60"/>
      <c r="BK124" s="60"/>
    </row>
    <row r="125" spans="2:63" s="28" customFormat="1">
      <c r="B125" s="27"/>
      <c r="D125" s="29"/>
      <c r="E125" s="30"/>
      <c r="G125" s="31"/>
      <c r="H125" s="32"/>
      <c r="I125" s="32"/>
      <c r="J125" s="32"/>
      <c r="K125" s="32"/>
      <c r="L125" s="32"/>
      <c r="O125" s="62"/>
      <c r="V125" s="33"/>
      <c r="W125" s="33"/>
      <c r="X125" s="34"/>
      <c r="Y125" s="35"/>
      <c r="Z125" s="34"/>
      <c r="AA125" s="35"/>
      <c r="AB125" s="34"/>
      <c r="AC125" s="36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  <c r="BD125" s="60"/>
      <c r="BE125" s="60"/>
      <c r="BF125" s="60"/>
      <c r="BG125" s="60"/>
      <c r="BH125" s="60"/>
      <c r="BI125" s="60"/>
      <c r="BJ125" s="60"/>
      <c r="BK125" s="60"/>
    </row>
    <row r="126" spans="2:63" s="28" customFormat="1">
      <c r="B126" s="27"/>
      <c r="D126" s="29"/>
      <c r="E126" s="30"/>
      <c r="G126" s="31"/>
      <c r="H126" s="32"/>
      <c r="I126" s="32"/>
      <c r="J126" s="32"/>
      <c r="K126" s="32"/>
      <c r="L126" s="32"/>
      <c r="O126" s="62"/>
      <c r="V126" s="33"/>
      <c r="W126" s="33"/>
      <c r="X126" s="34"/>
      <c r="Y126" s="35"/>
      <c r="Z126" s="34"/>
      <c r="AA126" s="35"/>
      <c r="AB126" s="34"/>
      <c r="AC126" s="36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0"/>
      <c r="BC126" s="60"/>
      <c r="BD126" s="60"/>
      <c r="BE126" s="60"/>
      <c r="BF126" s="60"/>
      <c r="BG126" s="60"/>
      <c r="BH126" s="60"/>
      <c r="BI126" s="60"/>
      <c r="BJ126" s="60"/>
      <c r="BK126" s="60"/>
    </row>
    <row r="127" spans="2:63" s="28" customFormat="1">
      <c r="B127" s="27"/>
      <c r="D127" s="29"/>
      <c r="E127" s="30"/>
      <c r="G127" s="31"/>
      <c r="H127" s="32"/>
      <c r="I127" s="32"/>
      <c r="J127" s="32"/>
      <c r="K127" s="32"/>
      <c r="L127" s="32"/>
      <c r="O127" s="62"/>
      <c r="V127" s="33"/>
      <c r="W127" s="33"/>
      <c r="X127" s="34"/>
      <c r="Y127" s="35"/>
      <c r="Z127" s="34"/>
      <c r="AA127" s="35"/>
      <c r="AB127" s="34"/>
      <c r="AC127" s="36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  <c r="BD127" s="60"/>
      <c r="BE127" s="60"/>
      <c r="BF127" s="60"/>
      <c r="BG127" s="60"/>
      <c r="BH127" s="60"/>
      <c r="BI127" s="60"/>
      <c r="BJ127" s="60"/>
      <c r="BK127" s="60"/>
    </row>
    <row r="128" spans="2:63" s="28" customFormat="1">
      <c r="B128" s="27"/>
      <c r="D128" s="29"/>
      <c r="E128" s="30"/>
      <c r="G128" s="31"/>
      <c r="H128" s="32"/>
      <c r="I128" s="32"/>
      <c r="J128" s="32"/>
      <c r="K128" s="32"/>
      <c r="L128" s="32"/>
      <c r="O128" s="62"/>
      <c r="V128" s="33"/>
      <c r="W128" s="33"/>
      <c r="X128" s="34"/>
      <c r="Y128" s="35"/>
      <c r="Z128" s="34"/>
      <c r="AA128" s="35"/>
      <c r="AB128" s="34"/>
      <c r="AC128" s="36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  <c r="BH128" s="60"/>
      <c r="BI128" s="60"/>
      <c r="BJ128" s="60"/>
      <c r="BK128" s="60"/>
    </row>
    <row r="129" spans="2:63" s="28" customFormat="1">
      <c r="B129" s="27"/>
      <c r="D129" s="29"/>
      <c r="E129" s="30"/>
      <c r="G129" s="31"/>
      <c r="H129" s="32"/>
      <c r="I129" s="32"/>
      <c r="J129" s="32"/>
      <c r="K129" s="32"/>
      <c r="L129" s="32"/>
      <c r="O129" s="62"/>
      <c r="V129" s="33"/>
      <c r="W129" s="33"/>
      <c r="X129" s="34"/>
      <c r="Y129" s="35"/>
      <c r="Z129" s="34"/>
      <c r="AA129" s="35"/>
      <c r="AB129" s="34"/>
      <c r="AC129" s="36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  <c r="BG129" s="60"/>
      <c r="BH129" s="60"/>
      <c r="BI129" s="60"/>
      <c r="BJ129" s="60"/>
      <c r="BK129" s="60"/>
    </row>
    <row r="130" spans="2:63" s="28" customFormat="1">
      <c r="B130" s="27"/>
      <c r="D130" s="29"/>
      <c r="E130" s="30"/>
      <c r="G130" s="31"/>
      <c r="H130" s="32"/>
      <c r="I130" s="32"/>
      <c r="J130" s="32"/>
      <c r="K130" s="32"/>
      <c r="L130" s="32"/>
      <c r="O130" s="62"/>
      <c r="V130" s="33"/>
      <c r="W130" s="33"/>
      <c r="X130" s="34"/>
      <c r="Y130" s="35"/>
      <c r="Z130" s="34"/>
      <c r="AA130" s="35"/>
      <c r="AB130" s="34"/>
      <c r="AC130" s="36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0"/>
      <c r="BC130" s="60"/>
      <c r="BD130" s="60"/>
      <c r="BE130" s="60"/>
      <c r="BF130" s="60"/>
      <c r="BG130" s="60"/>
      <c r="BH130" s="60"/>
      <c r="BI130" s="60"/>
      <c r="BJ130" s="60"/>
      <c r="BK130" s="60"/>
    </row>
    <row r="131" spans="2:63" s="28" customFormat="1">
      <c r="B131" s="27"/>
      <c r="D131" s="29"/>
      <c r="E131" s="30"/>
      <c r="G131" s="31"/>
      <c r="H131" s="32"/>
      <c r="I131" s="32"/>
      <c r="J131" s="32"/>
      <c r="K131" s="32"/>
      <c r="L131" s="32"/>
      <c r="O131" s="62"/>
      <c r="V131" s="33"/>
      <c r="W131" s="33"/>
      <c r="X131" s="34"/>
      <c r="Y131" s="35"/>
      <c r="Z131" s="34"/>
      <c r="AA131" s="35"/>
      <c r="AB131" s="34"/>
      <c r="AC131" s="36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  <c r="BD131" s="60"/>
      <c r="BE131" s="60"/>
      <c r="BF131" s="60"/>
      <c r="BG131" s="60"/>
      <c r="BH131" s="60"/>
      <c r="BI131" s="60"/>
      <c r="BJ131" s="60"/>
      <c r="BK131" s="60"/>
    </row>
    <row r="132" spans="2:63" s="28" customFormat="1">
      <c r="B132" s="27"/>
      <c r="D132" s="29"/>
      <c r="E132" s="30"/>
      <c r="G132" s="31"/>
      <c r="H132" s="32"/>
      <c r="I132" s="32"/>
      <c r="J132" s="32"/>
      <c r="K132" s="32"/>
      <c r="L132" s="32"/>
      <c r="O132" s="64"/>
      <c r="V132" s="33"/>
      <c r="W132" s="33"/>
      <c r="X132" s="34"/>
      <c r="Y132" s="35"/>
      <c r="Z132" s="34"/>
      <c r="AA132" s="35"/>
      <c r="AB132" s="34"/>
      <c r="AC132" s="36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0"/>
      <c r="BC132" s="60"/>
      <c r="BD132" s="60"/>
      <c r="BE132" s="60"/>
      <c r="BF132" s="60"/>
      <c r="BG132" s="60"/>
      <c r="BH132" s="60"/>
      <c r="BI132" s="60"/>
      <c r="BJ132" s="60"/>
      <c r="BK132" s="60"/>
    </row>
    <row r="133" spans="2:63" s="28" customFormat="1">
      <c r="B133" s="27"/>
      <c r="D133" s="29"/>
      <c r="E133" s="30"/>
      <c r="G133" s="31"/>
      <c r="H133" s="32"/>
      <c r="I133" s="32"/>
      <c r="J133" s="32"/>
      <c r="K133" s="32"/>
      <c r="L133" s="32"/>
      <c r="O133" s="65"/>
      <c r="V133" s="33"/>
      <c r="W133" s="33"/>
      <c r="X133" s="34"/>
      <c r="Y133" s="35"/>
      <c r="Z133" s="34"/>
      <c r="AA133" s="35"/>
      <c r="AB133" s="34"/>
      <c r="AC133" s="36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0"/>
      <c r="BC133" s="60"/>
      <c r="BD133" s="60"/>
      <c r="BE133" s="60"/>
      <c r="BF133" s="60"/>
      <c r="BG133" s="60"/>
      <c r="BH133" s="60"/>
      <c r="BI133" s="60"/>
      <c r="BJ133" s="60"/>
      <c r="BK133" s="60"/>
    </row>
    <row r="134" spans="2:63" s="28" customFormat="1">
      <c r="B134" s="27"/>
      <c r="D134" s="29"/>
      <c r="E134" s="30"/>
      <c r="G134" s="31"/>
      <c r="H134" s="32"/>
      <c r="I134" s="32"/>
      <c r="J134" s="32"/>
      <c r="K134" s="32"/>
      <c r="L134" s="32"/>
      <c r="O134" s="65"/>
      <c r="V134" s="33"/>
      <c r="W134" s="33"/>
      <c r="X134" s="34"/>
      <c r="Y134" s="35"/>
      <c r="Z134" s="34"/>
      <c r="AA134" s="35"/>
      <c r="AB134" s="34"/>
      <c r="AC134" s="36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0"/>
      <c r="BC134" s="60"/>
      <c r="BD134" s="60"/>
      <c r="BE134" s="60"/>
      <c r="BF134" s="60"/>
      <c r="BG134" s="60"/>
      <c r="BH134" s="60"/>
      <c r="BI134" s="60"/>
      <c r="BJ134" s="60"/>
      <c r="BK134" s="60"/>
    </row>
    <row r="135" spans="2:63" s="28" customFormat="1">
      <c r="B135" s="27"/>
      <c r="D135" s="29"/>
      <c r="E135" s="30"/>
      <c r="G135" s="31"/>
      <c r="H135" s="32"/>
      <c r="I135" s="32"/>
      <c r="J135" s="32"/>
      <c r="K135" s="32"/>
      <c r="L135" s="32"/>
      <c r="O135" s="65"/>
      <c r="V135" s="33"/>
      <c r="W135" s="33"/>
      <c r="X135" s="34"/>
      <c r="Y135" s="35"/>
      <c r="Z135" s="34"/>
      <c r="AA135" s="35"/>
      <c r="AB135" s="34"/>
      <c r="AC135" s="36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  <c r="BG135" s="60"/>
      <c r="BH135" s="60"/>
      <c r="BI135" s="60"/>
      <c r="BJ135" s="60"/>
      <c r="BK135" s="60"/>
    </row>
    <row r="136" spans="2:63" s="28" customFormat="1">
      <c r="B136" s="27"/>
      <c r="D136" s="29"/>
      <c r="E136" s="30"/>
      <c r="G136" s="31"/>
      <c r="H136" s="32"/>
      <c r="I136" s="32"/>
      <c r="J136" s="32"/>
      <c r="K136" s="32"/>
      <c r="L136" s="32"/>
      <c r="O136" s="65"/>
      <c r="V136" s="33"/>
      <c r="W136" s="33"/>
      <c r="X136" s="34"/>
      <c r="Y136" s="35"/>
      <c r="Z136" s="34"/>
      <c r="AA136" s="35"/>
      <c r="AB136" s="34"/>
      <c r="AC136" s="36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  <c r="BG136" s="60"/>
      <c r="BH136" s="60"/>
      <c r="BI136" s="60"/>
      <c r="BJ136" s="60"/>
      <c r="BK136" s="60"/>
    </row>
    <row r="137" spans="2:63" s="28" customFormat="1">
      <c r="B137" s="27"/>
      <c r="D137" s="29"/>
      <c r="E137" s="30"/>
      <c r="G137" s="31"/>
      <c r="H137" s="32"/>
      <c r="I137" s="32"/>
      <c r="J137" s="32"/>
      <c r="K137" s="32"/>
      <c r="L137" s="32"/>
      <c r="O137" s="66"/>
      <c r="V137" s="33"/>
      <c r="W137" s="33"/>
      <c r="X137" s="34"/>
      <c r="Y137" s="35"/>
      <c r="Z137" s="34"/>
      <c r="AA137" s="35"/>
      <c r="AB137" s="34"/>
      <c r="AC137" s="36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  <c r="BG137" s="60"/>
      <c r="BH137" s="60"/>
      <c r="BI137" s="60"/>
      <c r="BJ137" s="60"/>
      <c r="BK137" s="60"/>
    </row>
    <row r="138" spans="2:63" s="28" customFormat="1">
      <c r="B138" s="27"/>
      <c r="D138" s="29"/>
      <c r="E138" s="30"/>
      <c r="G138" s="31"/>
      <c r="H138" s="32"/>
      <c r="I138" s="32"/>
      <c r="J138" s="32"/>
      <c r="K138" s="32"/>
      <c r="L138" s="32"/>
      <c r="O138" s="67"/>
      <c r="V138" s="33"/>
      <c r="W138" s="33"/>
      <c r="X138" s="34"/>
      <c r="Y138" s="35"/>
      <c r="Z138" s="34"/>
      <c r="AA138" s="35"/>
      <c r="AB138" s="34"/>
      <c r="AC138" s="36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  <c r="BG138" s="60"/>
      <c r="BH138" s="60"/>
      <c r="BI138" s="60"/>
      <c r="BJ138" s="60"/>
      <c r="BK138" s="60"/>
    </row>
    <row r="139" spans="2:63" s="28" customFormat="1">
      <c r="B139" s="27"/>
      <c r="D139" s="29"/>
      <c r="E139" s="30"/>
      <c r="G139" s="31"/>
      <c r="H139" s="32"/>
      <c r="I139" s="32"/>
      <c r="J139" s="32"/>
      <c r="K139" s="32"/>
      <c r="L139" s="32"/>
      <c r="O139" s="65"/>
      <c r="V139" s="33"/>
      <c r="W139" s="33"/>
      <c r="X139" s="34"/>
      <c r="Y139" s="35"/>
      <c r="Z139" s="34"/>
      <c r="AA139" s="35"/>
      <c r="AB139" s="34"/>
      <c r="AC139" s="36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60"/>
      <c r="BJ139" s="60"/>
      <c r="BK139" s="60"/>
    </row>
    <row r="140" spans="2:63" s="28" customFormat="1">
      <c r="B140" s="27"/>
      <c r="D140" s="29"/>
      <c r="E140" s="30"/>
      <c r="G140" s="31"/>
      <c r="H140" s="32"/>
      <c r="I140" s="32"/>
      <c r="J140" s="32"/>
      <c r="K140" s="32"/>
      <c r="L140" s="32"/>
      <c r="O140" s="66"/>
      <c r="V140" s="33"/>
      <c r="W140" s="33"/>
      <c r="X140" s="34"/>
      <c r="Y140" s="35"/>
      <c r="Z140" s="34"/>
      <c r="AA140" s="35"/>
      <c r="AB140" s="34"/>
      <c r="AC140" s="36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  <c r="BG140" s="60"/>
      <c r="BH140" s="60"/>
      <c r="BI140" s="60"/>
      <c r="BJ140" s="60"/>
      <c r="BK140" s="60"/>
    </row>
    <row r="141" spans="2:63" s="28" customFormat="1">
      <c r="B141" s="27"/>
      <c r="D141" s="29"/>
      <c r="E141" s="30"/>
      <c r="G141" s="31"/>
      <c r="H141" s="32"/>
      <c r="I141" s="32"/>
      <c r="J141" s="32"/>
      <c r="K141" s="32"/>
      <c r="L141" s="32"/>
      <c r="O141" s="68"/>
      <c r="V141" s="33"/>
      <c r="W141" s="33"/>
      <c r="X141" s="34"/>
      <c r="Y141" s="35"/>
      <c r="Z141" s="34"/>
      <c r="AA141" s="35"/>
      <c r="AB141" s="34"/>
      <c r="AC141" s="36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  <c r="BH141" s="60"/>
      <c r="BI141" s="60"/>
      <c r="BJ141" s="60"/>
      <c r="BK141" s="60"/>
    </row>
    <row r="142" spans="2:63" s="28" customFormat="1">
      <c r="B142" s="27"/>
      <c r="D142" s="29"/>
      <c r="E142" s="30"/>
      <c r="G142" s="31"/>
      <c r="H142" s="32"/>
      <c r="I142" s="32"/>
      <c r="J142" s="32"/>
      <c r="K142" s="32"/>
      <c r="L142" s="32"/>
      <c r="O142" s="65"/>
      <c r="V142" s="33"/>
      <c r="W142" s="33"/>
      <c r="X142" s="34"/>
      <c r="Y142" s="35"/>
      <c r="Z142" s="34"/>
      <c r="AA142" s="35"/>
      <c r="AB142" s="34"/>
      <c r="AC142" s="36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  <c r="BH142" s="60"/>
      <c r="BI142" s="60"/>
      <c r="BJ142" s="60"/>
      <c r="BK142" s="60"/>
    </row>
    <row r="143" spans="2:63" s="28" customFormat="1">
      <c r="B143" s="27"/>
      <c r="D143" s="29"/>
      <c r="E143" s="30"/>
      <c r="G143" s="31"/>
      <c r="H143" s="32"/>
      <c r="I143" s="32"/>
      <c r="J143" s="32"/>
      <c r="K143" s="32"/>
      <c r="L143" s="32"/>
      <c r="O143" s="65"/>
      <c r="V143" s="33"/>
      <c r="W143" s="33"/>
      <c r="X143" s="34"/>
      <c r="Y143" s="35"/>
      <c r="Z143" s="34"/>
      <c r="AA143" s="35"/>
      <c r="AB143" s="34"/>
      <c r="AC143" s="36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  <c r="BG143" s="60"/>
      <c r="BH143" s="60"/>
      <c r="BI143" s="60"/>
      <c r="BJ143" s="60"/>
      <c r="BK143" s="60"/>
    </row>
    <row r="144" spans="2:63" s="28" customFormat="1">
      <c r="B144" s="27"/>
      <c r="D144" s="29"/>
      <c r="E144" s="30"/>
      <c r="G144" s="31"/>
      <c r="H144" s="32"/>
      <c r="I144" s="32"/>
      <c r="J144" s="32"/>
      <c r="K144" s="32"/>
      <c r="L144" s="32"/>
      <c r="O144" s="65"/>
      <c r="V144" s="33"/>
      <c r="W144" s="33"/>
      <c r="X144" s="34"/>
      <c r="Y144" s="35"/>
      <c r="Z144" s="34"/>
      <c r="AA144" s="35"/>
      <c r="AB144" s="34"/>
      <c r="AC144" s="36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  <c r="BG144" s="60"/>
      <c r="BH144" s="60"/>
      <c r="BI144" s="60"/>
      <c r="BJ144" s="60"/>
      <c r="BK144" s="60"/>
    </row>
    <row r="145" spans="2:63" s="28" customFormat="1">
      <c r="B145" s="27"/>
      <c r="D145" s="29"/>
      <c r="E145" s="30"/>
      <c r="G145" s="31"/>
      <c r="H145" s="32"/>
      <c r="I145" s="32"/>
      <c r="J145" s="32"/>
      <c r="K145" s="32"/>
      <c r="L145" s="32"/>
      <c r="O145" s="69"/>
      <c r="V145" s="33"/>
      <c r="W145" s="33"/>
      <c r="X145" s="34"/>
      <c r="Y145" s="35"/>
      <c r="Z145" s="34"/>
      <c r="AA145" s="35"/>
      <c r="AB145" s="34"/>
      <c r="AC145" s="36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  <c r="BG145" s="60"/>
      <c r="BH145" s="60"/>
      <c r="BI145" s="60"/>
      <c r="BJ145" s="60"/>
      <c r="BK145" s="60"/>
    </row>
    <row r="146" spans="2:63" s="28" customFormat="1">
      <c r="B146" s="27"/>
      <c r="D146" s="29"/>
      <c r="E146" s="30"/>
      <c r="G146" s="31"/>
      <c r="H146" s="32"/>
      <c r="I146" s="32"/>
      <c r="J146" s="32"/>
      <c r="K146" s="32"/>
      <c r="L146" s="32"/>
      <c r="O146" s="64"/>
      <c r="V146" s="33"/>
      <c r="W146" s="33"/>
      <c r="X146" s="34"/>
      <c r="Y146" s="35"/>
      <c r="Z146" s="34"/>
      <c r="AA146" s="35"/>
      <c r="AB146" s="34"/>
      <c r="AC146" s="36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  <c r="BG146" s="60"/>
      <c r="BH146" s="60"/>
      <c r="BI146" s="60"/>
      <c r="BJ146" s="60"/>
      <c r="BK146" s="60"/>
    </row>
    <row r="147" spans="2:63" s="28" customFormat="1">
      <c r="B147" s="27"/>
      <c r="D147" s="29"/>
      <c r="E147" s="30"/>
      <c r="G147" s="31"/>
      <c r="H147" s="32"/>
      <c r="I147" s="32"/>
      <c r="J147" s="32"/>
      <c r="K147" s="32"/>
      <c r="L147" s="32"/>
      <c r="O147" s="66"/>
      <c r="V147" s="33"/>
      <c r="W147" s="33"/>
      <c r="X147" s="34"/>
      <c r="Y147" s="35"/>
      <c r="Z147" s="34"/>
      <c r="AA147" s="35"/>
      <c r="AB147" s="34"/>
      <c r="AC147" s="36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  <c r="BG147" s="60"/>
      <c r="BH147" s="60"/>
      <c r="BI147" s="60"/>
      <c r="BJ147" s="60"/>
      <c r="BK147" s="60"/>
    </row>
    <row r="148" spans="2:63" s="28" customFormat="1">
      <c r="B148" s="27"/>
      <c r="D148" s="29"/>
      <c r="E148" s="30"/>
      <c r="G148" s="31"/>
      <c r="H148" s="32"/>
      <c r="I148" s="32"/>
      <c r="J148" s="32"/>
      <c r="K148" s="32"/>
      <c r="L148" s="32"/>
      <c r="O148" s="65"/>
      <c r="V148" s="33"/>
      <c r="W148" s="33"/>
      <c r="X148" s="34"/>
      <c r="Y148" s="35"/>
      <c r="Z148" s="34"/>
      <c r="AA148" s="35"/>
      <c r="AB148" s="34"/>
      <c r="AC148" s="36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0"/>
      <c r="BC148" s="60"/>
      <c r="BD148" s="60"/>
      <c r="BE148" s="60"/>
      <c r="BF148" s="60"/>
      <c r="BG148" s="60"/>
      <c r="BH148" s="60"/>
      <c r="BI148" s="60"/>
      <c r="BJ148" s="60"/>
      <c r="BK148" s="60"/>
    </row>
    <row r="149" spans="2:63" s="28" customFormat="1">
      <c r="B149" s="27"/>
      <c r="D149" s="29"/>
      <c r="E149" s="30"/>
      <c r="G149" s="31"/>
      <c r="H149" s="32"/>
      <c r="I149" s="32"/>
      <c r="J149" s="32"/>
      <c r="K149" s="32"/>
      <c r="L149" s="32"/>
      <c r="O149" s="65"/>
      <c r="V149" s="33"/>
      <c r="W149" s="33"/>
      <c r="X149" s="34"/>
      <c r="Y149" s="35"/>
      <c r="Z149" s="34"/>
      <c r="AA149" s="35"/>
      <c r="AB149" s="34"/>
      <c r="AC149" s="36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60"/>
      <c r="BH149" s="60"/>
      <c r="BI149" s="60"/>
      <c r="BJ149" s="60"/>
      <c r="BK149" s="60"/>
    </row>
    <row r="150" spans="2:63" s="28" customFormat="1">
      <c r="B150" s="27"/>
      <c r="D150" s="29"/>
      <c r="E150" s="30"/>
      <c r="G150" s="31"/>
      <c r="H150" s="32"/>
      <c r="I150" s="32"/>
      <c r="J150" s="32"/>
      <c r="K150" s="32"/>
      <c r="L150" s="32"/>
      <c r="O150" s="65"/>
      <c r="V150" s="33"/>
      <c r="W150" s="33"/>
      <c r="X150" s="34"/>
      <c r="Y150" s="35"/>
      <c r="Z150" s="34"/>
      <c r="AA150" s="35"/>
      <c r="AB150" s="34"/>
      <c r="AC150" s="36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  <c r="BG150" s="60"/>
      <c r="BH150" s="60"/>
      <c r="BI150" s="60"/>
      <c r="BJ150" s="60"/>
      <c r="BK150" s="60"/>
    </row>
    <row r="151" spans="2:63" s="28" customFormat="1">
      <c r="B151" s="27"/>
      <c r="D151" s="29"/>
      <c r="E151" s="30"/>
      <c r="G151" s="31"/>
      <c r="H151" s="32"/>
      <c r="I151" s="32"/>
      <c r="J151" s="32"/>
      <c r="K151" s="32"/>
      <c r="L151" s="32"/>
      <c r="O151" s="65"/>
      <c r="V151" s="33"/>
      <c r="W151" s="33"/>
      <c r="X151" s="34"/>
      <c r="Y151" s="35"/>
      <c r="Z151" s="34"/>
      <c r="AA151" s="35"/>
      <c r="AB151" s="34"/>
      <c r="AC151" s="36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  <c r="BB151" s="60"/>
      <c r="BC151" s="60"/>
      <c r="BD151" s="60"/>
      <c r="BE151" s="60"/>
      <c r="BF151" s="60"/>
      <c r="BG151" s="60"/>
      <c r="BH151" s="60"/>
      <c r="BI151" s="60"/>
      <c r="BJ151" s="60"/>
      <c r="BK151" s="60"/>
    </row>
    <row r="152" spans="2:63" s="28" customFormat="1">
      <c r="B152" s="27"/>
      <c r="D152" s="29"/>
      <c r="E152" s="30"/>
      <c r="G152" s="31"/>
      <c r="H152" s="32"/>
      <c r="I152" s="32"/>
      <c r="J152" s="32"/>
      <c r="K152" s="32"/>
      <c r="L152" s="32"/>
      <c r="O152" s="65"/>
      <c r="V152" s="33"/>
      <c r="W152" s="33"/>
      <c r="X152" s="34"/>
      <c r="Y152" s="35"/>
      <c r="Z152" s="34"/>
      <c r="AA152" s="35"/>
      <c r="AB152" s="34"/>
      <c r="AC152" s="36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  <c r="BB152" s="60"/>
      <c r="BC152" s="60"/>
      <c r="BD152" s="60"/>
      <c r="BE152" s="60"/>
      <c r="BF152" s="60"/>
      <c r="BG152" s="60"/>
      <c r="BH152" s="60"/>
      <c r="BI152" s="60"/>
      <c r="BJ152" s="60"/>
      <c r="BK152" s="60"/>
    </row>
    <row r="153" spans="2:63" s="28" customFormat="1">
      <c r="B153" s="27"/>
      <c r="D153" s="29"/>
      <c r="E153" s="30"/>
      <c r="G153" s="31"/>
      <c r="H153" s="32"/>
      <c r="I153" s="32"/>
      <c r="J153" s="32"/>
      <c r="K153" s="32"/>
      <c r="L153" s="32"/>
      <c r="O153" s="65"/>
      <c r="V153" s="33"/>
      <c r="W153" s="33"/>
      <c r="X153" s="34"/>
      <c r="Y153" s="35"/>
      <c r="Z153" s="34"/>
      <c r="AA153" s="35"/>
      <c r="AB153" s="34"/>
      <c r="AC153" s="36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0"/>
      <c r="BB153" s="60"/>
      <c r="BC153" s="60"/>
      <c r="BD153" s="60"/>
      <c r="BE153" s="60"/>
      <c r="BF153" s="60"/>
      <c r="BG153" s="60"/>
      <c r="BH153" s="60"/>
      <c r="BI153" s="60"/>
      <c r="BJ153" s="60"/>
      <c r="BK153" s="60"/>
    </row>
    <row r="154" spans="2:63" s="28" customFormat="1">
      <c r="B154" s="27"/>
      <c r="D154" s="29"/>
      <c r="E154" s="30"/>
      <c r="G154" s="31"/>
      <c r="H154" s="32"/>
      <c r="I154" s="32"/>
      <c r="J154" s="32"/>
      <c r="K154" s="32"/>
      <c r="L154" s="32"/>
      <c r="O154" s="65"/>
      <c r="V154" s="33"/>
      <c r="W154" s="33"/>
      <c r="X154" s="34"/>
      <c r="Y154" s="35"/>
      <c r="Z154" s="34"/>
      <c r="AA154" s="35"/>
      <c r="AB154" s="34"/>
      <c r="AC154" s="36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60"/>
      <c r="AQ154" s="60"/>
      <c r="AR154" s="60"/>
      <c r="AS154" s="60"/>
      <c r="AT154" s="60"/>
      <c r="AU154" s="60"/>
      <c r="AV154" s="60"/>
      <c r="AW154" s="60"/>
      <c r="AX154" s="60"/>
      <c r="AY154" s="60"/>
      <c r="AZ154" s="60"/>
      <c r="BA154" s="60"/>
      <c r="BB154" s="60"/>
      <c r="BC154" s="60"/>
      <c r="BD154" s="60"/>
      <c r="BE154" s="60"/>
      <c r="BF154" s="60"/>
      <c r="BG154" s="60"/>
      <c r="BH154" s="60"/>
      <c r="BI154" s="60"/>
      <c r="BJ154" s="60"/>
      <c r="BK154" s="60"/>
    </row>
    <row r="155" spans="2:63" s="28" customFormat="1">
      <c r="B155" s="27"/>
      <c r="D155" s="29"/>
      <c r="E155" s="30"/>
      <c r="G155" s="31"/>
      <c r="H155" s="32"/>
      <c r="I155" s="32"/>
      <c r="J155" s="32"/>
      <c r="K155" s="32"/>
      <c r="L155" s="32"/>
      <c r="O155" s="65"/>
      <c r="V155" s="33"/>
      <c r="W155" s="33"/>
      <c r="X155" s="34"/>
      <c r="Y155" s="35"/>
      <c r="Z155" s="34"/>
      <c r="AA155" s="35"/>
      <c r="AB155" s="34"/>
      <c r="AC155" s="36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60"/>
      <c r="AQ155" s="60"/>
      <c r="AR155" s="60"/>
      <c r="AS155" s="60"/>
      <c r="AT155" s="60"/>
      <c r="AU155" s="60"/>
      <c r="AV155" s="60"/>
      <c r="AW155" s="60"/>
      <c r="AX155" s="60"/>
      <c r="AY155" s="60"/>
      <c r="AZ155" s="60"/>
      <c r="BA155" s="60"/>
      <c r="BB155" s="60"/>
      <c r="BC155" s="60"/>
      <c r="BD155" s="60"/>
      <c r="BE155" s="60"/>
      <c r="BF155" s="60"/>
      <c r="BG155" s="60"/>
      <c r="BH155" s="60"/>
      <c r="BI155" s="60"/>
      <c r="BJ155" s="60"/>
      <c r="BK155" s="60"/>
    </row>
    <row r="156" spans="2:63" s="28" customFormat="1">
      <c r="B156" s="27"/>
      <c r="D156" s="29"/>
      <c r="E156" s="30"/>
      <c r="G156" s="31"/>
      <c r="H156" s="32"/>
      <c r="I156" s="32"/>
      <c r="J156" s="32"/>
      <c r="K156" s="32"/>
      <c r="L156" s="32"/>
      <c r="O156" s="70"/>
      <c r="V156" s="33"/>
      <c r="W156" s="33"/>
      <c r="X156" s="34"/>
      <c r="Y156" s="35"/>
      <c r="Z156" s="34"/>
      <c r="AA156" s="35"/>
      <c r="AB156" s="34"/>
      <c r="AC156" s="36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60"/>
      <c r="AQ156" s="60"/>
      <c r="AR156" s="60"/>
      <c r="AS156" s="60"/>
      <c r="AT156" s="60"/>
      <c r="AU156" s="60"/>
      <c r="AV156" s="60"/>
      <c r="AW156" s="60"/>
      <c r="AX156" s="60"/>
      <c r="AY156" s="60"/>
      <c r="AZ156" s="60"/>
      <c r="BA156" s="60"/>
      <c r="BB156" s="60"/>
      <c r="BC156" s="60"/>
      <c r="BD156" s="60"/>
      <c r="BE156" s="60"/>
      <c r="BF156" s="60"/>
      <c r="BG156" s="60"/>
      <c r="BH156" s="60"/>
      <c r="BI156" s="60"/>
      <c r="BJ156" s="60"/>
      <c r="BK156" s="60"/>
    </row>
    <row r="157" spans="2:63" s="28" customFormat="1">
      <c r="B157" s="27"/>
      <c r="D157" s="29"/>
      <c r="E157" s="30"/>
      <c r="G157" s="31"/>
      <c r="H157" s="32"/>
      <c r="I157" s="32"/>
      <c r="J157" s="32"/>
      <c r="K157" s="32"/>
      <c r="L157" s="32"/>
      <c r="O157" s="64"/>
      <c r="V157" s="33"/>
      <c r="W157" s="33"/>
      <c r="X157" s="34"/>
      <c r="Y157" s="35"/>
      <c r="Z157" s="34"/>
      <c r="AA157" s="35"/>
      <c r="AB157" s="34"/>
      <c r="AC157" s="36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60"/>
      <c r="AQ157" s="60"/>
      <c r="AR157" s="60"/>
      <c r="AS157" s="60"/>
      <c r="AT157" s="60"/>
      <c r="AU157" s="60"/>
      <c r="AV157" s="60"/>
      <c r="AW157" s="60"/>
      <c r="AX157" s="60"/>
      <c r="AY157" s="60"/>
      <c r="AZ157" s="60"/>
      <c r="BA157" s="60"/>
      <c r="BB157" s="60"/>
      <c r="BC157" s="60"/>
      <c r="BD157" s="60"/>
      <c r="BE157" s="60"/>
      <c r="BF157" s="60"/>
      <c r="BG157" s="60"/>
      <c r="BH157" s="60"/>
      <c r="BI157" s="60"/>
      <c r="BJ157" s="60"/>
      <c r="BK157" s="60"/>
    </row>
    <row r="158" spans="2:63" s="28" customFormat="1">
      <c r="B158" s="27"/>
      <c r="D158" s="29"/>
      <c r="E158" s="30"/>
      <c r="G158" s="31"/>
      <c r="H158" s="32"/>
      <c r="I158" s="32"/>
      <c r="J158" s="32"/>
      <c r="K158" s="32"/>
      <c r="L158" s="32"/>
      <c r="O158" s="68"/>
      <c r="V158" s="33"/>
      <c r="W158" s="33"/>
      <c r="X158" s="34"/>
      <c r="Y158" s="35"/>
      <c r="Z158" s="34"/>
      <c r="AA158" s="35"/>
      <c r="AB158" s="34"/>
      <c r="AC158" s="36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60"/>
      <c r="AQ158" s="60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0"/>
      <c r="BC158" s="60"/>
      <c r="BD158" s="60"/>
      <c r="BE158" s="60"/>
      <c r="BF158" s="60"/>
      <c r="BG158" s="60"/>
      <c r="BH158" s="60"/>
      <c r="BI158" s="60"/>
      <c r="BJ158" s="60"/>
      <c r="BK158" s="60"/>
    </row>
    <row r="159" spans="2:63" s="28" customFormat="1">
      <c r="B159" s="27"/>
      <c r="D159" s="29"/>
      <c r="E159" s="30"/>
      <c r="G159" s="31"/>
      <c r="H159" s="32"/>
      <c r="I159" s="32"/>
      <c r="J159" s="32"/>
      <c r="K159" s="32"/>
      <c r="L159" s="32"/>
      <c r="O159" s="68"/>
      <c r="V159" s="33"/>
      <c r="W159" s="33"/>
      <c r="X159" s="34"/>
      <c r="Y159" s="35"/>
      <c r="Z159" s="34"/>
      <c r="AA159" s="35"/>
      <c r="AB159" s="34"/>
      <c r="AC159" s="36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60"/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60"/>
      <c r="BJ159" s="60"/>
      <c r="BK159" s="60"/>
    </row>
    <row r="160" spans="2:63" s="28" customFormat="1">
      <c r="B160" s="27"/>
      <c r="D160" s="29"/>
      <c r="E160" s="30"/>
      <c r="G160" s="31"/>
      <c r="H160" s="32"/>
      <c r="I160" s="32"/>
      <c r="J160" s="32"/>
      <c r="K160" s="32"/>
      <c r="L160" s="32"/>
      <c r="O160" s="67"/>
      <c r="V160" s="33"/>
      <c r="W160" s="33"/>
      <c r="X160" s="34"/>
      <c r="Y160" s="35"/>
      <c r="Z160" s="34"/>
      <c r="AA160" s="35"/>
      <c r="AB160" s="34"/>
      <c r="AC160" s="36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60"/>
      <c r="AQ160" s="60"/>
      <c r="AR160" s="60"/>
      <c r="AS160" s="60"/>
      <c r="AT160" s="60"/>
      <c r="AU160" s="60"/>
      <c r="AV160" s="60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60"/>
      <c r="BJ160" s="60"/>
      <c r="BK160" s="60"/>
    </row>
    <row r="161" spans="2:63" s="28" customFormat="1">
      <c r="B161" s="27"/>
      <c r="D161" s="29"/>
      <c r="E161" s="30"/>
      <c r="G161" s="31"/>
      <c r="H161" s="32"/>
      <c r="I161" s="32"/>
      <c r="J161" s="32"/>
      <c r="K161" s="32"/>
      <c r="L161" s="32"/>
      <c r="O161" s="69"/>
      <c r="V161" s="33"/>
      <c r="W161" s="33"/>
      <c r="X161" s="34"/>
      <c r="Y161" s="35"/>
      <c r="Z161" s="34"/>
      <c r="AA161" s="35"/>
      <c r="AB161" s="34"/>
      <c r="AC161" s="36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60"/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60"/>
      <c r="BJ161" s="60"/>
      <c r="BK161" s="60"/>
    </row>
    <row r="162" spans="2:63" s="28" customFormat="1">
      <c r="B162" s="27"/>
      <c r="D162" s="29"/>
      <c r="E162" s="30"/>
      <c r="G162" s="31"/>
      <c r="H162" s="32"/>
      <c r="I162" s="32"/>
      <c r="J162" s="32"/>
      <c r="K162" s="32"/>
      <c r="L162" s="32"/>
      <c r="O162" s="67"/>
      <c r="V162" s="33"/>
      <c r="W162" s="33"/>
      <c r="X162" s="34"/>
      <c r="Y162" s="35"/>
      <c r="Z162" s="34"/>
      <c r="AA162" s="35"/>
      <c r="AB162" s="34"/>
      <c r="AC162" s="36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60"/>
      <c r="AQ162" s="60"/>
      <c r="AR162" s="60"/>
      <c r="AS162" s="60"/>
      <c r="AT162" s="60"/>
      <c r="AU162" s="60"/>
      <c r="AV162" s="6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60"/>
      <c r="BJ162" s="60"/>
      <c r="BK162" s="60"/>
    </row>
    <row r="163" spans="2:63" s="28" customFormat="1">
      <c r="B163" s="27"/>
      <c r="D163" s="29"/>
      <c r="E163" s="30"/>
      <c r="G163" s="31"/>
      <c r="H163" s="32"/>
      <c r="I163" s="32"/>
      <c r="J163" s="32"/>
      <c r="K163" s="32"/>
      <c r="L163" s="32"/>
      <c r="O163" s="71"/>
      <c r="V163" s="33"/>
      <c r="W163" s="33"/>
      <c r="X163" s="34"/>
      <c r="Y163" s="35"/>
      <c r="Z163" s="34"/>
      <c r="AA163" s="35"/>
      <c r="AB163" s="34"/>
      <c r="AC163" s="36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60"/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60"/>
      <c r="BJ163" s="60"/>
      <c r="BK163" s="60"/>
    </row>
    <row r="164" spans="2:63" s="28" customFormat="1">
      <c r="B164" s="27"/>
      <c r="D164" s="29"/>
      <c r="E164" s="30"/>
      <c r="G164" s="31"/>
      <c r="H164" s="32"/>
      <c r="I164" s="32"/>
      <c r="J164" s="32"/>
      <c r="K164" s="32"/>
      <c r="L164" s="32"/>
      <c r="O164" s="71"/>
      <c r="V164" s="33"/>
      <c r="W164" s="33"/>
      <c r="X164" s="34"/>
      <c r="Y164" s="35"/>
      <c r="Z164" s="34"/>
      <c r="AA164" s="35"/>
      <c r="AB164" s="34"/>
      <c r="AC164" s="36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60"/>
      <c r="AQ164" s="60"/>
      <c r="AR164" s="60"/>
      <c r="AS164" s="60"/>
      <c r="AT164" s="60"/>
      <c r="AU164" s="60"/>
      <c r="AV164" s="60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  <c r="BG164" s="60"/>
      <c r="BH164" s="60"/>
      <c r="BI164" s="60"/>
      <c r="BJ164" s="60"/>
      <c r="BK164" s="60"/>
    </row>
    <row r="165" spans="2:63" s="28" customFormat="1">
      <c r="B165" s="27"/>
      <c r="D165" s="29"/>
      <c r="E165" s="30"/>
      <c r="G165" s="31"/>
      <c r="H165" s="32"/>
      <c r="I165" s="32"/>
      <c r="J165" s="32"/>
      <c r="K165" s="32"/>
      <c r="L165" s="32"/>
      <c r="O165" s="65"/>
      <c r="V165" s="33"/>
      <c r="W165" s="33"/>
      <c r="X165" s="34"/>
      <c r="Y165" s="35"/>
      <c r="Z165" s="34"/>
      <c r="AA165" s="35"/>
      <c r="AB165" s="34"/>
      <c r="AC165" s="36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60"/>
      <c r="AQ165" s="60"/>
      <c r="AR165" s="60"/>
      <c r="AS165" s="60"/>
      <c r="AT165" s="60"/>
      <c r="AU165" s="60"/>
      <c r="AV165" s="60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60"/>
      <c r="BJ165" s="60"/>
      <c r="BK165" s="60"/>
    </row>
    <row r="166" spans="2:63" s="28" customFormat="1">
      <c r="B166" s="27"/>
      <c r="D166" s="29"/>
      <c r="E166" s="30"/>
      <c r="G166" s="31"/>
      <c r="H166" s="32"/>
      <c r="I166" s="32"/>
      <c r="J166" s="32"/>
      <c r="K166" s="32"/>
      <c r="L166" s="32"/>
      <c r="O166" s="65"/>
      <c r="V166" s="33"/>
      <c r="W166" s="33"/>
      <c r="X166" s="34"/>
      <c r="Y166" s="35"/>
      <c r="Z166" s="34"/>
      <c r="AA166" s="35"/>
      <c r="AB166" s="34"/>
      <c r="AC166" s="36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60"/>
      <c r="AQ166" s="60"/>
      <c r="AR166" s="60"/>
      <c r="AS166" s="60"/>
      <c r="AT166" s="60"/>
      <c r="AU166" s="60"/>
      <c r="AV166" s="60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60"/>
      <c r="BJ166" s="60"/>
      <c r="BK166" s="60"/>
    </row>
    <row r="167" spans="2:63" s="28" customFormat="1">
      <c r="B167" s="27"/>
      <c r="D167" s="29"/>
      <c r="E167" s="30"/>
      <c r="G167" s="31"/>
      <c r="H167" s="32"/>
      <c r="I167" s="32"/>
      <c r="J167" s="32"/>
      <c r="K167" s="32"/>
      <c r="L167" s="32"/>
      <c r="O167" s="68"/>
      <c r="V167" s="33"/>
      <c r="W167" s="33"/>
      <c r="X167" s="34"/>
      <c r="Y167" s="35"/>
      <c r="Z167" s="34"/>
      <c r="AA167" s="35"/>
      <c r="AB167" s="34"/>
      <c r="AC167" s="36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60"/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60"/>
      <c r="BJ167" s="60"/>
      <c r="BK167" s="60"/>
    </row>
    <row r="168" spans="2:63" s="28" customFormat="1">
      <c r="B168" s="27"/>
      <c r="D168" s="29"/>
      <c r="E168" s="30"/>
      <c r="G168" s="31"/>
      <c r="H168" s="32"/>
      <c r="I168" s="32"/>
      <c r="J168" s="32"/>
      <c r="K168" s="32"/>
      <c r="L168" s="32"/>
      <c r="O168" s="65"/>
      <c r="V168" s="33"/>
      <c r="W168" s="33"/>
      <c r="X168" s="34"/>
      <c r="Y168" s="35"/>
      <c r="Z168" s="34"/>
      <c r="AA168" s="35"/>
      <c r="AB168" s="34"/>
      <c r="AC168" s="36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60"/>
      <c r="AQ168" s="60"/>
      <c r="AR168" s="60"/>
      <c r="AS168" s="60"/>
      <c r="AT168" s="60"/>
      <c r="AU168" s="60"/>
      <c r="AV168" s="60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60"/>
      <c r="BJ168" s="60"/>
      <c r="BK168" s="60"/>
    </row>
    <row r="169" spans="2:63" s="28" customFormat="1">
      <c r="B169" s="27"/>
      <c r="D169" s="29"/>
      <c r="E169" s="30"/>
      <c r="G169" s="31"/>
      <c r="H169" s="32"/>
      <c r="I169" s="32"/>
      <c r="J169" s="32"/>
      <c r="K169" s="32"/>
      <c r="L169" s="32"/>
      <c r="O169" s="72"/>
      <c r="V169" s="33"/>
      <c r="W169" s="33"/>
      <c r="X169" s="34"/>
      <c r="Y169" s="35"/>
      <c r="Z169" s="34"/>
      <c r="AA169" s="35"/>
      <c r="AB169" s="34"/>
      <c r="AC169" s="36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60"/>
      <c r="AQ169" s="60"/>
      <c r="AR169" s="60"/>
      <c r="AS169" s="60"/>
      <c r="AT169" s="60"/>
      <c r="AU169" s="60"/>
      <c r="AV169" s="60"/>
      <c r="AW169" s="60"/>
      <c r="AX169" s="60"/>
      <c r="AY169" s="60"/>
      <c r="AZ169" s="60"/>
      <c r="BA169" s="60"/>
      <c r="BB169" s="60"/>
      <c r="BC169" s="60"/>
      <c r="BD169" s="60"/>
      <c r="BE169" s="60"/>
      <c r="BF169" s="60"/>
      <c r="BG169" s="60"/>
      <c r="BH169" s="60"/>
      <c r="BI169" s="60"/>
      <c r="BJ169" s="60"/>
      <c r="BK169" s="60"/>
    </row>
    <row r="170" spans="2:63" s="28" customFormat="1">
      <c r="B170" s="27"/>
      <c r="D170" s="29"/>
      <c r="E170" s="30"/>
      <c r="G170" s="31"/>
      <c r="H170" s="32"/>
      <c r="I170" s="32"/>
      <c r="J170" s="32"/>
      <c r="K170" s="32"/>
      <c r="L170" s="32"/>
      <c r="O170" s="66"/>
      <c r="V170" s="33"/>
      <c r="W170" s="33"/>
      <c r="X170" s="34"/>
      <c r="Y170" s="35"/>
      <c r="Z170" s="34"/>
      <c r="AA170" s="35"/>
      <c r="AB170" s="34"/>
      <c r="AC170" s="36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60"/>
      <c r="AQ170" s="60"/>
      <c r="AR170" s="60"/>
      <c r="AS170" s="60"/>
      <c r="AT170" s="60"/>
      <c r="AU170" s="60"/>
      <c r="AV170" s="60"/>
      <c r="AW170" s="60"/>
      <c r="AX170" s="60"/>
      <c r="AY170" s="60"/>
      <c r="AZ170" s="60"/>
      <c r="BA170" s="60"/>
      <c r="BB170" s="60"/>
      <c r="BC170" s="60"/>
      <c r="BD170" s="60"/>
      <c r="BE170" s="60"/>
      <c r="BF170" s="60"/>
      <c r="BG170" s="60"/>
      <c r="BH170" s="60"/>
      <c r="BI170" s="60"/>
      <c r="BJ170" s="60"/>
      <c r="BK170" s="60"/>
    </row>
    <row r="171" spans="2:63" s="28" customFormat="1">
      <c r="B171" s="27"/>
      <c r="D171" s="29"/>
      <c r="E171" s="30"/>
      <c r="G171" s="31"/>
      <c r="H171" s="32"/>
      <c r="I171" s="32"/>
      <c r="J171" s="32"/>
      <c r="K171" s="32"/>
      <c r="L171" s="32"/>
      <c r="O171" s="68"/>
      <c r="V171" s="33"/>
      <c r="W171" s="33"/>
      <c r="X171" s="34"/>
      <c r="Y171" s="35"/>
      <c r="Z171" s="34"/>
      <c r="AA171" s="35"/>
      <c r="AB171" s="34"/>
      <c r="AC171" s="36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60"/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  <c r="BG171" s="60"/>
      <c r="BH171" s="60"/>
      <c r="BI171" s="60"/>
      <c r="BJ171" s="60"/>
      <c r="BK171" s="60"/>
    </row>
    <row r="172" spans="2:63" s="28" customFormat="1">
      <c r="B172" s="27"/>
      <c r="D172" s="29"/>
      <c r="E172" s="30"/>
      <c r="G172" s="31"/>
      <c r="H172" s="32"/>
      <c r="I172" s="32"/>
      <c r="J172" s="32"/>
      <c r="K172" s="32"/>
      <c r="L172" s="32"/>
      <c r="O172" s="68"/>
      <c r="V172" s="33"/>
      <c r="W172" s="33"/>
      <c r="X172" s="34"/>
      <c r="Y172" s="35"/>
      <c r="Z172" s="34"/>
      <c r="AA172" s="35"/>
      <c r="AB172" s="34"/>
      <c r="AC172" s="36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60"/>
      <c r="AQ172" s="60"/>
      <c r="AR172" s="60"/>
      <c r="AS172" s="60"/>
      <c r="AT172" s="60"/>
      <c r="AU172" s="60"/>
      <c r="AV172" s="60"/>
      <c r="AW172" s="60"/>
      <c r="AX172" s="60"/>
      <c r="AY172" s="60"/>
      <c r="AZ172" s="60"/>
      <c r="BA172" s="60"/>
      <c r="BB172" s="60"/>
      <c r="BC172" s="60"/>
      <c r="BD172" s="60"/>
      <c r="BE172" s="60"/>
      <c r="BF172" s="60"/>
      <c r="BG172" s="60"/>
      <c r="BH172" s="60"/>
      <c r="BI172" s="60"/>
      <c r="BJ172" s="60"/>
      <c r="BK172" s="60"/>
    </row>
    <row r="173" spans="2:63" s="28" customFormat="1">
      <c r="B173" s="27"/>
      <c r="D173" s="29"/>
      <c r="E173" s="30"/>
      <c r="G173" s="31"/>
      <c r="H173" s="32"/>
      <c r="I173" s="32"/>
      <c r="J173" s="32"/>
      <c r="K173" s="32"/>
      <c r="L173" s="32"/>
      <c r="O173" s="65"/>
      <c r="V173" s="33"/>
      <c r="W173" s="33"/>
      <c r="X173" s="34"/>
      <c r="Y173" s="35"/>
      <c r="Z173" s="34"/>
      <c r="AA173" s="35"/>
      <c r="AB173" s="34"/>
      <c r="AC173" s="36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60"/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0"/>
      <c r="BB173" s="60"/>
      <c r="BC173" s="60"/>
      <c r="BD173" s="60"/>
      <c r="BE173" s="60"/>
      <c r="BF173" s="60"/>
      <c r="BG173" s="60"/>
      <c r="BH173" s="60"/>
      <c r="BI173" s="60"/>
      <c r="BJ173" s="60"/>
      <c r="BK173" s="60"/>
    </row>
    <row r="174" spans="2:63" s="28" customFormat="1">
      <c r="B174" s="27"/>
      <c r="D174" s="29"/>
      <c r="E174" s="30"/>
      <c r="G174" s="31"/>
      <c r="H174" s="32"/>
      <c r="I174" s="32"/>
      <c r="J174" s="32"/>
      <c r="K174" s="32"/>
      <c r="L174" s="32"/>
      <c r="O174" s="68"/>
      <c r="V174" s="33"/>
      <c r="W174" s="33"/>
      <c r="X174" s="34"/>
      <c r="Y174" s="35"/>
      <c r="Z174" s="34"/>
      <c r="AA174" s="35"/>
      <c r="AB174" s="34"/>
      <c r="AC174" s="36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  <c r="BG174" s="60"/>
      <c r="BH174" s="60"/>
      <c r="BI174" s="60"/>
      <c r="BJ174" s="60"/>
      <c r="BK174" s="60"/>
    </row>
    <row r="175" spans="2:63" s="28" customFormat="1">
      <c r="B175" s="27"/>
      <c r="D175" s="29"/>
      <c r="E175" s="30"/>
      <c r="G175" s="31"/>
      <c r="H175" s="32"/>
      <c r="I175" s="32"/>
      <c r="J175" s="32"/>
      <c r="K175" s="32"/>
      <c r="L175" s="32"/>
      <c r="O175" s="68"/>
      <c r="V175" s="33"/>
      <c r="W175" s="33"/>
      <c r="X175" s="34"/>
      <c r="Y175" s="35"/>
      <c r="Z175" s="34"/>
      <c r="AA175" s="35"/>
      <c r="AB175" s="34"/>
      <c r="AC175" s="36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  <c r="BG175" s="60"/>
      <c r="BH175" s="60"/>
      <c r="BI175" s="60"/>
      <c r="BJ175" s="60"/>
      <c r="BK175" s="60"/>
    </row>
    <row r="176" spans="2:63" s="28" customFormat="1">
      <c r="B176" s="27"/>
      <c r="D176" s="29"/>
      <c r="E176" s="30"/>
      <c r="G176" s="31"/>
      <c r="H176" s="32"/>
      <c r="I176" s="32"/>
      <c r="J176" s="32"/>
      <c r="K176" s="32"/>
      <c r="L176" s="32"/>
      <c r="O176" s="65"/>
      <c r="V176" s="33"/>
      <c r="W176" s="33"/>
      <c r="X176" s="34"/>
      <c r="Y176" s="35"/>
      <c r="Z176" s="34"/>
      <c r="AA176" s="35"/>
      <c r="AB176" s="34"/>
      <c r="AC176" s="36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60"/>
      <c r="AQ176" s="60"/>
      <c r="AR176" s="60"/>
      <c r="AS176" s="60"/>
      <c r="AT176" s="60"/>
      <c r="AU176" s="60"/>
      <c r="AV176" s="60"/>
      <c r="AW176" s="60"/>
      <c r="AX176" s="60"/>
      <c r="AY176" s="60"/>
      <c r="AZ176" s="60"/>
      <c r="BA176" s="60"/>
      <c r="BB176" s="60"/>
      <c r="BC176" s="60"/>
      <c r="BD176" s="60"/>
      <c r="BE176" s="60"/>
      <c r="BF176" s="60"/>
      <c r="BG176" s="60"/>
      <c r="BH176" s="60"/>
      <c r="BI176" s="60"/>
      <c r="BJ176" s="60"/>
      <c r="BK176" s="60"/>
    </row>
    <row r="177" spans="2:63" s="28" customFormat="1">
      <c r="B177" s="27"/>
      <c r="D177" s="29"/>
      <c r="E177" s="30"/>
      <c r="G177" s="31"/>
      <c r="H177" s="32"/>
      <c r="I177" s="32"/>
      <c r="J177" s="32"/>
      <c r="K177" s="32"/>
      <c r="L177" s="32"/>
      <c r="O177" s="73"/>
      <c r="V177" s="33"/>
      <c r="W177" s="33"/>
      <c r="X177" s="34"/>
      <c r="Y177" s="35"/>
      <c r="Z177" s="34"/>
      <c r="AA177" s="35"/>
      <c r="AB177" s="34"/>
      <c r="AC177" s="36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60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0"/>
      <c r="BC177" s="60"/>
      <c r="BD177" s="60"/>
      <c r="BE177" s="60"/>
      <c r="BF177" s="60"/>
      <c r="BG177" s="60"/>
      <c r="BH177" s="60"/>
      <c r="BI177" s="60"/>
      <c r="BJ177" s="60"/>
      <c r="BK177" s="60"/>
    </row>
    <row r="178" spans="2:63" s="28" customFormat="1">
      <c r="B178" s="27"/>
      <c r="D178" s="29"/>
      <c r="E178" s="30"/>
      <c r="G178" s="31"/>
      <c r="H178" s="32"/>
      <c r="I178" s="32"/>
      <c r="J178" s="32"/>
      <c r="K178" s="32"/>
      <c r="L178" s="32"/>
      <c r="O178" s="65"/>
      <c r="V178" s="33"/>
      <c r="W178" s="33"/>
      <c r="X178" s="34"/>
      <c r="Y178" s="35"/>
      <c r="Z178" s="34"/>
      <c r="AA178" s="35"/>
      <c r="AB178" s="34"/>
      <c r="AC178" s="36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  <c r="BG178" s="60"/>
      <c r="BH178" s="60"/>
      <c r="BI178" s="60"/>
      <c r="BJ178" s="60"/>
      <c r="BK178" s="60"/>
    </row>
    <row r="179" spans="2:63" s="28" customFormat="1">
      <c r="B179" s="27"/>
      <c r="D179" s="29"/>
      <c r="E179" s="30"/>
      <c r="G179" s="31"/>
      <c r="H179" s="32"/>
      <c r="I179" s="32"/>
      <c r="J179" s="32"/>
      <c r="K179" s="32"/>
      <c r="L179" s="32"/>
      <c r="O179" s="69"/>
      <c r="V179" s="33"/>
      <c r="W179" s="33"/>
      <c r="X179" s="34"/>
      <c r="Y179" s="35"/>
      <c r="Z179" s="34"/>
      <c r="AA179" s="35"/>
      <c r="AB179" s="34"/>
      <c r="AC179" s="36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60"/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0"/>
      <c r="BB179" s="60"/>
      <c r="BC179" s="60"/>
      <c r="BD179" s="60"/>
      <c r="BE179" s="60"/>
      <c r="BF179" s="60"/>
      <c r="BG179" s="60"/>
      <c r="BH179" s="60"/>
      <c r="BI179" s="60"/>
      <c r="BJ179" s="60"/>
      <c r="BK179" s="60"/>
    </row>
    <row r="180" spans="2:63" s="28" customFormat="1">
      <c r="B180" s="27"/>
      <c r="D180" s="29"/>
      <c r="E180" s="30"/>
      <c r="G180" s="31"/>
      <c r="H180" s="32"/>
      <c r="I180" s="32"/>
      <c r="J180" s="32"/>
      <c r="K180" s="32"/>
      <c r="L180" s="32"/>
      <c r="O180" s="65"/>
      <c r="V180" s="33"/>
      <c r="W180" s="33"/>
      <c r="X180" s="34"/>
      <c r="Y180" s="35"/>
      <c r="Z180" s="34"/>
      <c r="AA180" s="35"/>
      <c r="AB180" s="34"/>
      <c r="AC180" s="36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60"/>
      <c r="AQ180" s="60"/>
      <c r="AR180" s="60"/>
      <c r="AS180" s="60"/>
      <c r="AT180" s="60"/>
      <c r="AU180" s="60"/>
      <c r="AV180" s="60"/>
      <c r="AW180" s="60"/>
      <c r="AX180" s="60"/>
      <c r="AY180" s="60"/>
      <c r="AZ180" s="60"/>
      <c r="BA180" s="60"/>
      <c r="BB180" s="60"/>
      <c r="BC180" s="60"/>
      <c r="BD180" s="60"/>
      <c r="BE180" s="60"/>
      <c r="BF180" s="60"/>
      <c r="BG180" s="60"/>
      <c r="BH180" s="60"/>
      <c r="BI180" s="60"/>
      <c r="BJ180" s="60"/>
      <c r="BK180" s="60"/>
    </row>
    <row r="181" spans="2:63" s="28" customFormat="1">
      <c r="B181" s="27"/>
      <c r="D181" s="29"/>
      <c r="E181" s="30"/>
      <c r="G181" s="31"/>
      <c r="H181" s="32"/>
      <c r="I181" s="32"/>
      <c r="J181" s="32"/>
      <c r="K181" s="32"/>
      <c r="L181" s="32"/>
      <c r="O181" s="72"/>
      <c r="V181" s="33"/>
      <c r="W181" s="33"/>
      <c r="X181" s="34"/>
      <c r="Y181" s="35"/>
      <c r="Z181" s="34"/>
      <c r="AA181" s="35"/>
      <c r="AB181" s="34"/>
      <c r="AC181" s="36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  <c r="BG181" s="60"/>
      <c r="BH181" s="60"/>
      <c r="BI181" s="60"/>
      <c r="BJ181" s="60"/>
      <c r="BK181" s="60"/>
    </row>
    <row r="182" spans="2:63" s="28" customFormat="1">
      <c r="B182" s="27"/>
      <c r="D182" s="29"/>
      <c r="E182" s="30"/>
      <c r="G182" s="31"/>
      <c r="H182" s="32"/>
      <c r="I182" s="32"/>
      <c r="J182" s="32"/>
      <c r="K182" s="32"/>
      <c r="L182" s="32"/>
      <c r="O182" s="74"/>
      <c r="V182" s="33"/>
      <c r="W182" s="33"/>
      <c r="X182" s="34"/>
      <c r="Y182" s="35"/>
      <c r="Z182" s="34"/>
      <c r="AA182" s="35"/>
      <c r="AB182" s="34"/>
      <c r="AC182" s="36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0"/>
      <c r="BC182" s="60"/>
      <c r="BD182" s="60"/>
      <c r="BE182" s="60"/>
      <c r="BF182" s="60"/>
      <c r="BG182" s="60"/>
      <c r="BH182" s="60"/>
      <c r="BI182" s="60"/>
      <c r="BJ182" s="60"/>
      <c r="BK182" s="60"/>
    </row>
    <row r="183" spans="2:63" s="28" customFormat="1">
      <c r="B183" s="27"/>
      <c r="D183" s="29"/>
      <c r="E183" s="30"/>
      <c r="G183" s="31"/>
      <c r="H183" s="32"/>
      <c r="I183" s="32"/>
      <c r="J183" s="32"/>
      <c r="K183" s="32"/>
      <c r="L183" s="32"/>
      <c r="O183" s="70"/>
      <c r="V183" s="33"/>
      <c r="W183" s="33"/>
      <c r="X183" s="34"/>
      <c r="Y183" s="35"/>
      <c r="Z183" s="34"/>
      <c r="AA183" s="35"/>
      <c r="AB183" s="34"/>
      <c r="AC183" s="36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60"/>
      <c r="BJ183" s="60"/>
      <c r="BK183" s="60"/>
    </row>
    <row r="184" spans="2:63" s="28" customFormat="1">
      <c r="B184" s="27"/>
      <c r="D184" s="29"/>
      <c r="E184" s="30"/>
      <c r="G184" s="31"/>
      <c r="H184" s="32"/>
      <c r="I184" s="32"/>
      <c r="J184" s="32"/>
      <c r="K184" s="32"/>
      <c r="L184" s="32"/>
      <c r="O184" s="65"/>
      <c r="V184" s="33"/>
      <c r="W184" s="33"/>
      <c r="X184" s="34"/>
      <c r="Y184" s="35"/>
      <c r="Z184" s="34"/>
      <c r="AA184" s="35"/>
      <c r="AB184" s="34"/>
      <c r="AC184" s="36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60"/>
      <c r="BJ184" s="60"/>
      <c r="BK184" s="60"/>
    </row>
    <row r="185" spans="2:63" s="28" customFormat="1">
      <c r="B185" s="27"/>
      <c r="D185" s="29"/>
      <c r="E185" s="30"/>
      <c r="G185" s="31"/>
      <c r="H185" s="32"/>
      <c r="I185" s="32"/>
      <c r="J185" s="32"/>
      <c r="K185" s="32"/>
      <c r="L185" s="32"/>
      <c r="O185" s="69"/>
      <c r="V185" s="33"/>
      <c r="W185" s="33"/>
      <c r="X185" s="34"/>
      <c r="Y185" s="35"/>
      <c r="Z185" s="34"/>
      <c r="AA185" s="35"/>
      <c r="AB185" s="34"/>
      <c r="AC185" s="36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60"/>
      <c r="BJ185" s="60"/>
      <c r="BK185" s="60"/>
    </row>
    <row r="186" spans="2:63" s="28" customFormat="1">
      <c r="B186" s="27"/>
      <c r="D186" s="29"/>
      <c r="E186" s="30"/>
      <c r="G186" s="31"/>
      <c r="H186" s="32"/>
      <c r="I186" s="32"/>
      <c r="J186" s="32"/>
      <c r="K186" s="32"/>
      <c r="L186" s="32"/>
      <c r="O186" s="65"/>
      <c r="V186" s="33"/>
      <c r="W186" s="33"/>
      <c r="X186" s="34"/>
      <c r="Y186" s="35"/>
      <c r="Z186" s="34"/>
      <c r="AA186" s="35"/>
      <c r="AB186" s="34"/>
      <c r="AC186" s="36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60"/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60"/>
      <c r="BB186" s="60"/>
      <c r="BC186" s="60"/>
      <c r="BD186" s="60"/>
      <c r="BE186" s="60"/>
      <c r="BF186" s="60"/>
      <c r="BG186" s="60"/>
      <c r="BH186" s="60"/>
      <c r="BI186" s="60"/>
      <c r="BJ186" s="60"/>
      <c r="BK186" s="60"/>
    </row>
    <row r="187" spans="2:63" s="28" customFormat="1">
      <c r="B187" s="27"/>
      <c r="D187" s="29"/>
      <c r="E187" s="30"/>
      <c r="G187" s="31"/>
      <c r="H187" s="32"/>
      <c r="I187" s="32"/>
      <c r="J187" s="32"/>
      <c r="K187" s="32"/>
      <c r="L187" s="32"/>
      <c r="O187" s="65"/>
      <c r="V187" s="33"/>
      <c r="W187" s="33"/>
      <c r="X187" s="34"/>
      <c r="Y187" s="35"/>
      <c r="Z187" s="34"/>
      <c r="AA187" s="35"/>
      <c r="AB187" s="34"/>
      <c r="AC187" s="36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  <c r="BG187" s="60"/>
      <c r="BH187" s="60"/>
      <c r="BI187" s="60"/>
      <c r="BJ187" s="60"/>
      <c r="BK187" s="60"/>
    </row>
    <row r="188" spans="2:63" s="28" customFormat="1">
      <c r="B188" s="27"/>
      <c r="D188" s="29"/>
      <c r="E188" s="30"/>
      <c r="G188" s="31"/>
      <c r="H188" s="32"/>
      <c r="I188" s="32"/>
      <c r="J188" s="32"/>
      <c r="K188" s="32"/>
      <c r="L188" s="32"/>
      <c r="O188" s="65"/>
      <c r="V188" s="33"/>
      <c r="W188" s="33"/>
      <c r="X188" s="34"/>
      <c r="Y188" s="35"/>
      <c r="Z188" s="34"/>
      <c r="AA188" s="35"/>
      <c r="AB188" s="34"/>
      <c r="AC188" s="36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60"/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60"/>
      <c r="BB188" s="60"/>
      <c r="BC188" s="60"/>
      <c r="BD188" s="60"/>
      <c r="BE188" s="60"/>
      <c r="BF188" s="60"/>
      <c r="BG188" s="60"/>
      <c r="BH188" s="60"/>
      <c r="BI188" s="60"/>
      <c r="BJ188" s="60"/>
      <c r="BK188" s="60"/>
    </row>
    <row r="189" spans="2:63" s="28" customFormat="1">
      <c r="B189" s="27"/>
      <c r="D189" s="29"/>
      <c r="E189" s="30"/>
      <c r="G189" s="31"/>
      <c r="H189" s="32"/>
      <c r="I189" s="32"/>
      <c r="J189" s="32"/>
      <c r="K189" s="32"/>
      <c r="L189" s="32"/>
      <c r="O189" s="65"/>
      <c r="V189" s="33"/>
      <c r="W189" s="33"/>
      <c r="X189" s="34"/>
      <c r="Y189" s="35"/>
      <c r="Z189" s="34"/>
      <c r="AA189" s="35"/>
      <c r="AB189" s="34"/>
      <c r="AC189" s="36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60"/>
      <c r="BC189" s="60"/>
      <c r="BD189" s="60"/>
      <c r="BE189" s="60"/>
      <c r="BF189" s="60"/>
      <c r="BG189" s="60"/>
      <c r="BH189" s="60"/>
      <c r="BI189" s="60"/>
      <c r="BJ189" s="60"/>
      <c r="BK189" s="60"/>
    </row>
    <row r="190" spans="2:63" s="28" customFormat="1">
      <c r="B190" s="27"/>
      <c r="D190" s="29"/>
      <c r="E190" s="30"/>
      <c r="G190" s="31"/>
      <c r="H190" s="32"/>
      <c r="I190" s="32"/>
      <c r="J190" s="32"/>
      <c r="K190" s="32"/>
      <c r="L190" s="32"/>
      <c r="O190" s="75"/>
      <c r="V190" s="33"/>
      <c r="W190" s="33"/>
      <c r="X190" s="34"/>
      <c r="Y190" s="35"/>
      <c r="Z190" s="34"/>
      <c r="AA190" s="35"/>
      <c r="AB190" s="34"/>
      <c r="AC190" s="36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60"/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0"/>
      <c r="BB190" s="60"/>
      <c r="BC190" s="60"/>
      <c r="BD190" s="60"/>
      <c r="BE190" s="60"/>
      <c r="BF190" s="60"/>
      <c r="BG190" s="60"/>
      <c r="BH190" s="60"/>
      <c r="BI190" s="60"/>
      <c r="BJ190" s="60"/>
      <c r="BK190" s="60"/>
    </row>
    <row r="191" spans="2:63" s="28" customFormat="1">
      <c r="B191" s="27"/>
      <c r="D191" s="29"/>
      <c r="E191" s="30"/>
      <c r="G191" s="31"/>
      <c r="H191" s="32"/>
      <c r="I191" s="32"/>
      <c r="J191" s="32"/>
      <c r="K191" s="32"/>
      <c r="L191" s="32"/>
      <c r="O191" s="65"/>
      <c r="V191" s="33"/>
      <c r="W191" s="33"/>
      <c r="X191" s="34"/>
      <c r="Y191" s="35"/>
      <c r="Z191" s="34"/>
      <c r="AA191" s="35"/>
      <c r="AB191" s="34"/>
      <c r="AC191" s="36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  <c r="BG191" s="60"/>
      <c r="BH191" s="60"/>
      <c r="BI191" s="60"/>
      <c r="BJ191" s="60"/>
      <c r="BK191" s="60"/>
    </row>
    <row r="192" spans="2:63" s="28" customFormat="1">
      <c r="B192" s="27"/>
      <c r="D192" s="29"/>
      <c r="E192" s="30"/>
      <c r="G192" s="31"/>
      <c r="H192" s="32"/>
      <c r="I192" s="32"/>
      <c r="J192" s="32"/>
      <c r="K192" s="32"/>
      <c r="L192" s="32"/>
      <c r="O192" s="69"/>
      <c r="V192" s="33"/>
      <c r="W192" s="33"/>
      <c r="X192" s="34"/>
      <c r="Y192" s="35"/>
      <c r="Z192" s="34"/>
      <c r="AA192" s="35"/>
      <c r="AB192" s="34"/>
      <c r="AC192" s="36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60"/>
      <c r="BJ192" s="60"/>
      <c r="BK192" s="60"/>
    </row>
    <row r="193" spans="2:63" s="28" customFormat="1">
      <c r="B193" s="27"/>
      <c r="D193" s="29"/>
      <c r="E193" s="30"/>
      <c r="G193" s="31"/>
      <c r="H193" s="32"/>
      <c r="I193" s="32"/>
      <c r="J193" s="32"/>
      <c r="K193" s="32"/>
      <c r="L193" s="32"/>
      <c r="O193" s="69"/>
      <c r="V193" s="33"/>
      <c r="W193" s="33"/>
      <c r="X193" s="34"/>
      <c r="Y193" s="35"/>
      <c r="Z193" s="34"/>
      <c r="AA193" s="35"/>
      <c r="AB193" s="34"/>
      <c r="AC193" s="36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60"/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0"/>
      <c r="BB193" s="60"/>
      <c r="BC193" s="60"/>
      <c r="BD193" s="60"/>
      <c r="BE193" s="60"/>
      <c r="BF193" s="60"/>
      <c r="BG193" s="60"/>
      <c r="BH193" s="60"/>
      <c r="BI193" s="60"/>
      <c r="BJ193" s="60"/>
      <c r="BK193" s="60"/>
    </row>
    <row r="194" spans="2:63" s="28" customFormat="1">
      <c r="B194" s="27"/>
      <c r="D194" s="29"/>
      <c r="E194" s="30"/>
      <c r="G194" s="31"/>
      <c r="H194" s="32"/>
      <c r="I194" s="32"/>
      <c r="J194" s="32"/>
      <c r="K194" s="32"/>
      <c r="L194" s="32"/>
      <c r="O194" s="65"/>
      <c r="V194" s="33"/>
      <c r="W194" s="33"/>
      <c r="X194" s="34"/>
      <c r="Y194" s="35"/>
      <c r="Z194" s="34"/>
      <c r="AA194" s="35"/>
      <c r="AB194" s="34"/>
      <c r="AC194" s="36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60"/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0"/>
      <c r="BB194" s="60"/>
      <c r="BC194" s="60"/>
      <c r="BD194" s="60"/>
      <c r="BE194" s="60"/>
      <c r="BF194" s="60"/>
      <c r="BG194" s="60"/>
      <c r="BH194" s="60"/>
      <c r="BI194" s="60"/>
      <c r="BJ194" s="60"/>
      <c r="BK194" s="60"/>
    </row>
    <row r="195" spans="2:63" s="28" customFormat="1">
      <c r="B195" s="27"/>
      <c r="D195" s="29"/>
      <c r="E195" s="30"/>
      <c r="G195" s="31"/>
      <c r="H195" s="32"/>
      <c r="I195" s="32"/>
      <c r="J195" s="32"/>
      <c r="K195" s="32"/>
      <c r="L195" s="32"/>
      <c r="O195" s="71"/>
      <c r="V195" s="33"/>
      <c r="W195" s="33"/>
      <c r="X195" s="34"/>
      <c r="Y195" s="35"/>
      <c r="Z195" s="34"/>
      <c r="AA195" s="35"/>
      <c r="AB195" s="34"/>
      <c r="AC195" s="36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60"/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0"/>
      <c r="BB195" s="60"/>
      <c r="BC195" s="60"/>
      <c r="BD195" s="60"/>
      <c r="BE195" s="60"/>
      <c r="BF195" s="60"/>
      <c r="BG195" s="60"/>
      <c r="BH195" s="60"/>
      <c r="BI195" s="60"/>
      <c r="BJ195" s="60"/>
      <c r="BK195" s="60"/>
    </row>
    <row r="196" spans="2:63" s="28" customFormat="1">
      <c r="B196" s="27"/>
      <c r="D196" s="29"/>
      <c r="E196" s="30"/>
      <c r="G196" s="31"/>
      <c r="H196" s="32"/>
      <c r="I196" s="32"/>
      <c r="J196" s="32"/>
      <c r="K196" s="32"/>
      <c r="L196" s="32"/>
      <c r="O196" s="71"/>
      <c r="V196" s="33"/>
      <c r="W196" s="33"/>
      <c r="X196" s="34"/>
      <c r="Y196" s="35"/>
      <c r="Z196" s="34"/>
      <c r="AA196" s="35"/>
      <c r="AB196" s="34"/>
      <c r="AC196" s="36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60"/>
      <c r="AQ196" s="60"/>
      <c r="AR196" s="60"/>
      <c r="AS196" s="60"/>
      <c r="AT196" s="60"/>
      <c r="AU196" s="60"/>
      <c r="AV196" s="60"/>
      <c r="AW196" s="60"/>
      <c r="AX196" s="60"/>
      <c r="AY196" s="60"/>
      <c r="AZ196" s="60"/>
      <c r="BA196" s="60"/>
      <c r="BB196" s="60"/>
      <c r="BC196" s="60"/>
      <c r="BD196" s="60"/>
      <c r="BE196" s="60"/>
      <c r="BF196" s="60"/>
      <c r="BG196" s="60"/>
      <c r="BH196" s="60"/>
      <c r="BI196" s="60"/>
      <c r="BJ196" s="60"/>
      <c r="BK196" s="60"/>
    </row>
    <row r="197" spans="2:63" s="28" customFormat="1">
      <c r="B197" s="27"/>
      <c r="D197" s="29"/>
      <c r="E197" s="30"/>
      <c r="G197" s="31"/>
      <c r="H197" s="32"/>
      <c r="I197" s="32"/>
      <c r="J197" s="32"/>
      <c r="K197" s="32"/>
      <c r="L197" s="32"/>
      <c r="O197" s="65"/>
      <c r="V197" s="33"/>
      <c r="W197" s="33"/>
      <c r="X197" s="34"/>
      <c r="Y197" s="35"/>
      <c r="Z197" s="34"/>
      <c r="AA197" s="35"/>
      <c r="AB197" s="34"/>
      <c r="AC197" s="36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60"/>
      <c r="BJ197" s="60"/>
      <c r="BK197" s="60"/>
    </row>
    <row r="198" spans="2:63" s="28" customFormat="1">
      <c r="B198" s="27"/>
      <c r="D198" s="29"/>
      <c r="E198" s="30"/>
      <c r="G198" s="31"/>
      <c r="H198" s="32"/>
      <c r="I198" s="32"/>
      <c r="J198" s="32"/>
      <c r="K198" s="32"/>
      <c r="L198" s="32"/>
      <c r="O198" s="68"/>
      <c r="V198" s="33"/>
      <c r="W198" s="33"/>
      <c r="X198" s="34"/>
      <c r="Y198" s="35"/>
      <c r="Z198" s="34"/>
      <c r="AA198" s="35"/>
      <c r="AB198" s="34"/>
      <c r="AC198" s="36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  <c r="BG198" s="60"/>
      <c r="BH198" s="60"/>
      <c r="BI198" s="60"/>
      <c r="BJ198" s="60"/>
      <c r="BK198" s="60"/>
    </row>
    <row r="199" spans="2:63" s="28" customFormat="1">
      <c r="B199" s="27"/>
      <c r="D199" s="29"/>
      <c r="E199" s="30"/>
      <c r="G199" s="31"/>
      <c r="H199" s="32"/>
      <c r="I199" s="32"/>
      <c r="J199" s="32"/>
      <c r="K199" s="32"/>
      <c r="L199" s="32"/>
      <c r="O199" s="70"/>
      <c r="V199" s="33"/>
      <c r="W199" s="33"/>
      <c r="X199" s="34"/>
      <c r="Y199" s="35"/>
      <c r="Z199" s="34"/>
      <c r="AA199" s="35"/>
      <c r="AB199" s="34"/>
      <c r="AC199" s="36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60"/>
      <c r="BH199" s="60"/>
      <c r="BI199" s="60"/>
      <c r="BJ199" s="60"/>
      <c r="BK199" s="60"/>
    </row>
    <row r="200" spans="2:63" s="28" customFormat="1">
      <c r="B200" s="27"/>
      <c r="D200" s="29"/>
      <c r="E200" s="30"/>
      <c r="G200" s="31"/>
      <c r="H200" s="32"/>
      <c r="I200" s="32"/>
      <c r="J200" s="32"/>
      <c r="K200" s="32"/>
      <c r="L200" s="32"/>
      <c r="O200" s="65"/>
      <c r="V200" s="33"/>
      <c r="W200" s="33"/>
      <c r="X200" s="34"/>
      <c r="Y200" s="35"/>
      <c r="Z200" s="34"/>
      <c r="AA200" s="35"/>
      <c r="AB200" s="34"/>
      <c r="AC200" s="36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60"/>
      <c r="BJ200" s="60"/>
      <c r="BK200" s="60"/>
    </row>
    <row r="201" spans="2:63" s="28" customFormat="1">
      <c r="B201" s="27"/>
      <c r="D201" s="29"/>
      <c r="E201" s="30"/>
      <c r="G201" s="31"/>
      <c r="H201" s="32"/>
      <c r="I201" s="32"/>
      <c r="J201" s="32"/>
      <c r="K201" s="32"/>
      <c r="L201" s="32"/>
      <c r="O201" s="65"/>
      <c r="V201" s="33"/>
      <c r="W201" s="33"/>
      <c r="X201" s="34"/>
      <c r="Y201" s="35"/>
      <c r="Z201" s="34"/>
      <c r="AA201" s="35"/>
      <c r="AB201" s="34"/>
      <c r="AC201" s="36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60"/>
      <c r="BH201" s="60"/>
      <c r="BI201" s="60"/>
      <c r="BJ201" s="60"/>
      <c r="BK201" s="60"/>
    </row>
    <row r="202" spans="2:63" s="28" customFormat="1">
      <c r="B202" s="27"/>
      <c r="D202" s="29"/>
      <c r="E202" s="30"/>
      <c r="G202" s="31"/>
      <c r="H202" s="32"/>
      <c r="I202" s="32"/>
      <c r="J202" s="32"/>
      <c r="K202" s="32"/>
      <c r="L202" s="32"/>
      <c r="O202" s="65"/>
      <c r="V202" s="33"/>
      <c r="W202" s="33"/>
      <c r="X202" s="34"/>
      <c r="Y202" s="35"/>
      <c r="Z202" s="34"/>
      <c r="AA202" s="35"/>
      <c r="AB202" s="34"/>
      <c r="AC202" s="36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  <c r="BG202" s="60"/>
      <c r="BH202" s="60"/>
      <c r="BI202" s="60"/>
      <c r="BJ202" s="60"/>
      <c r="BK202" s="60"/>
    </row>
    <row r="203" spans="2:63" s="28" customFormat="1">
      <c r="B203" s="27"/>
      <c r="D203" s="29"/>
      <c r="E203" s="30"/>
      <c r="G203" s="31"/>
      <c r="H203" s="32"/>
      <c r="I203" s="32"/>
      <c r="J203" s="32"/>
      <c r="K203" s="32"/>
      <c r="L203" s="32"/>
      <c r="O203" s="65"/>
      <c r="V203" s="33"/>
      <c r="W203" s="33"/>
      <c r="X203" s="34"/>
      <c r="Y203" s="35"/>
      <c r="Z203" s="34"/>
      <c r="AA203" s="35"/>
      <c r="AB203" s="34"/>
      <c r="AC203" s="36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  <c r="BG203" s="60"/>
      <c r="BH203" s="60"/>
      <c r="BI203" s="60"/>
      <c r="BJ203" s="60"/>
      <c r="BK203" s="60"/>
    </row>
    <row r="204" spans="2:63" s="28" customFormat="1">
      <c r="B204" s="27"/>
      <c r="D204" s="29"/>
      <c r="E204" s="30"/>
      <c r="G204" s="31"/>
      <c r="H204" s="32"/>
      <c r="I204" s="32"/>
      <c r="J204" s="32"/>
      <c r="K204" s="32"/>
      <c r="L204" s="32"/>
      <c r="O204" s="71"/>
      <c r="V204" s="33"/>
      <c r="W204" s="33"/>
      <c r="X204" s="34"/>
      <c r="Y204" s="35"/>
      <c r="Z204" s="34"/>
      <c r="AA204" s="35"/>
      <c r="AB204" s="34"/>
      <c r="AC204" s="36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  <c r="BG204" s="60"/>
      <c r="BH204" s="60"/>
      <c r="BI204" s="60"/>
      <c r="BJ204" s="60"/>
      <c r="BK204" s="60"/>
    </row>
    <row r="205" spans="2:63" s="28" customFormat="1">
      <c r="B205" s="27"/>
      <c r="D205" s="29"/>
      <c r="E205" s="30"/>
      <c r="G205" s="31"/>
      <c r="H205" s="32"/>
      <c r="I205" s="32"/>
      <c r="J205" s="32"/>
      <c r="K205" s="32"/>
      <c r="L205" s="32"/>
      <c r="O205" s="69"/>
      <c r="V205" s="33"/>
      <c r="W205" s="33"/>
      <c r="X205" s="34"/>
      <c r="Y205" s="35"/>
      <c r="Z205" s="34"/>
      <c r="AA205" s="35"/>
      <c r="AB205" s="34"/>
      <c r="AC205" s="36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  <c r="BG205" s="60"/>
      <c r="BH205" s="60"/>
      <c r="BI205" s="60"/>
      <c r="BJ205" s="60"/>
      <c r="BK205" s="60"/>
    </row>
    <row r="206" spans="2:63" s="28" customFormat="1">
      <c r="B206" s="27"/>
      <c r="D206" s="29"/>
      <c r="E206" s="30"/>
      <c r="G206" s="31"/>
      <c r="H206" s="32"/>
      <c r="I206" s="32"/>
      <c r="J206" s="32"/>
      <c r="K206" s="32"/>
      <c r="L206" s="32"/>
      <c r="O206" s="68"/>
      <c r="V206" s="33"/>
      <c r="W206" s="33"/>
      <c r="X206" s="34"/>
      <c r="Y206" s="35"/>
      <c r="Z206" s="34"/>
      <c r="AA206" s="35"/>
      <c r="AB206" s="34"/>
      <c r="AC206" s="36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  <c r="BG206" s="60"/>
      <c r="BH206" s="60"/>
      <c r="BI206" s="60"/>
      <c r="BJ206" s="60"/>
      <c r="BK206" s="60"/>
    </row>
    <row r="207" spans="2:63" s="28" customFormat="1">
      <c r="B207" s="27"/>
      <c r="D207" s="29"/>
      <c r="E207" s="30"/>
      <c r="G207" s="31"/>
      <c r="H207" s="32"/>
      <c r="I207" s="32"/>
      <c r="J207" s="32"/>
      <c r="K207" s="32"/>
      <c r="L207" s="32"/>
      <c r="O207" s="70"/>
      <c r="V207" s="33"/>
      <c r="W207" s="33"/>
      <c r="X207" s="34"/>
      <c r="Y207" s="35"/>
      <c r="Z207" s="34"/>
      <c r="AA207" s="35"/>
      <c r="AB207" s="34"/>
      <c r="AC207" s="36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  <c r="BG207" s="60"/>
      <c r="BH207" s="60"/>
      <c r="BI207" s="60"/>
      <c r="BJ207" s="60"/>
      <c r="BK207" s="60"/>
    </row>
    <row r="208" spans="2:63" s="28" customFormat="1">
      <c r="B208" s="27"/>
      <c r="D208" s="29"/>
      <c r="E208" s="30"/>
      <c r="G208" s="31"/>
      <c r="H208" s="32"/>
      <c r="I208" s="32"/>
      <c r="J208" s="32"/>
      <c r="K208" s="32"/>
      <c r="L208" s="32"/>
      <c r="O208" s="65"/>
      <c r="V208" s="33"/>
      <c r="W208" s="33"/>
      <c r="X208" s="34"/>
      <c r="Y208" s="35"/>
      <c r="Z208" s="34"/>
      <c r="AA208" s="35"/>
      <c r="AB208" s="34"/>
      <c r="AC208" s="36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  <c r="BG208" s="60"/>
      <c r="BH208" s="60"/>
      <c r="BI208" s="60"/>
      <c r="BJ208" s="60"/>
      <c r="BK208" s="60"/>
    </row>
    <row r="209" spans="2:63" s="28" customFormat="1">
      <c r="B209" s="27"/>
      <c r="D209" s="29"/>
      <c r="E209" s="30"/>
      <c r="G209" s="31"/>
      <c r="H209" s="32"/>
      <c r="I209" s="32"/>
      <c r="J209" s="32"/>
      <c r="K209" s="32"/>
      <c r="L209" s="32"/>
      <c r="O209" s="65"/>
      <c r="V209" s="33"/>
      <c r="W209" s="33"/>
      <c r="X209" s="34"/>
      <c r="Y209" s="35"/>
      <c r="Z209" s="34"/>
      <c r="AA209" s="35"/>
      <c r="AB209" s="34"/>
      <c r="AC209" s="36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60"/>
      <c r="BJ209" s="60"/>
      <c r="BK209" s="60"/>
    </row>
    <row r="210" spans="2:63" s="28" customFormat="1">
      <c r="B210" s="27"/>
      <c r="D210" s="29"/>
      <c r="E210" s="30"/>
      <c r="G210" s="31"/>
      <c r="H210" s="32"/>
      <c r="I210" s="32"/>
      <c r="J210" s="32"/>
      <c r="K210" s="32"/>
      <c r="L210" s="32"/>
      <c r="O210" s="65"/>
      <c r="V210" s="33"/>
      <c r="W210" s="33"/>
      <c r="X210" s="34"/>
      <c r="Y210" s="35"/>
      <c r="Z210" s="34"/>
      <c r="AA210" s="35"/>
      <c r="AB210" s="34"/>
      <c r="AC210" s="36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  <c r="BG210" s="60"/>
      <c r="BH210" s="60"/>
      <c r="BI210" s="60"/>
      <c r="BJ210" s="60"/>
      <c r="BK210" s="60"/>
    </row>
    <row r="211" spans="2:63" s="28" customFormat="1">
      <c r="B211" s="27"/>
      <c r="D211" s="29"/>
      <c r="E211" s="30"/>
      <c r="G211" s="31"/>
      <c r="H211" s="32"/>
      <c r="I211" s="32"/>
      <c r="J211" s="32"/>
      <c r="K211" s="32"/>
      <c r="L211" s="32"/>
      <c r="O211" s="65"/>
      <c r="V211" s="33"/>
      <c r="W211" s="33"/>
      <c r="X211" s="34"/>
      <c r="Y211" s="35"/>
      <c r="Z211" s="34"/>
      <c r="AA211" s="35"/>
      <c r="AB211" s="34"/>
      <c r="AC211" s="36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60"/>
      <c r="BJ211" s="60"/>
      <c r="BK211" s="60"/>
    </row>
    <row r="212" spans="2:63" s="28" customFormat="1">
      <c r="B212" s="27"/>
      <c r="D212" s="29"/>
      <c r="E212" s="30"/>
      <c r="G212" s="31"/>
      <c r="H212" s="32"/>
      <c r="I212" s="32"/>
      <c r="J212" s="32"/>
      <c r="K212" s="32"/>
      <c r="L212" s="32"/>
      <c r="O212" s="65"/>
      <c r="V212" s="33"/>
      <c r="W212" s="33"/>
      <c r="X212" s="34"/>
      <c r="Y212" s="35"/>
      <c r="Z212" s="34"/>
      <c r="AA212" s="35"/>
      <c r="AB212" s="34"/>
      <c r="AC212" s="36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  <c r="BG212" s="60"/>
      <c r="BH212" s="60"/>
      <c r="BI212" s="60"/>
      <c r="BJ212" s="60"/>
      <c r="BK212" s="60"/>
    </row>
    <row r="213" spans="2:63" s="28" customFormat="1">
      <c r="B213" s="27"/>
      <c r="D213" s="29"/>
      <c r="E213" s="30"/>
      <c r="G213" s="31"/>
      <c r="H213" s="32"/>
      <c r="I213" s="32"/>
      <c r="J213" s="32"/>
      <c r="K213" s="32"/>
      <c r="L213" s="32"/>
      <c r="O213" s="76"/>
      <c r="V213" s="33"/>
      <c r="W213" s="33"/>
      <c r="X213" s="34"/>
      <c r="Y213" s="35"/>
      <c r="Z213" s="34"/>
      <c r="AA213" s="35"/>
      <c r="AB213" s="34"/>
      <c r="AC213" s="36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60"/>
      <c r="BJ213" s="60"/>
      <c r="BK213" s="60"/>
    </row>
    <row r="214" spans="2:63" s="28" customFormat="1">
      <c r="B214" s="27"/>
      <c r="D214" s="29"/>
      <c r="E214" s="30"/>
      <c r="G214" s="31"/>
      <c r="H214" s="32"/>
      <c r="I214" s="32"/>
      <c r="J214" s="32"/>
      <c r="K214" s="32"/>
      <c r="L214" s="32"/>
      <c r="O214" s="65"/>
      <c r="V214" s="33"/>
      <c r="W214" s="33"/>
      <c r="X214" s="34"/>
      <c r="Y214" s="35"/>
      <c r="Z214" s="34"/>
      <c r="AA214" s="35"/>
      <c r="AB214" s="34"/>
      <c r="AC214" s="36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  <c r="BG214" s="60"/>
      <c r="BH214" s="60"/>
      <c r="BI214" s="60"/>
      <c r="BJ214" s="60"/>
      <c r="BK214" s="60"/>
    </row>
    <row r="215" spans="2:63" s="28" customFormat="1">
      <c r="B215" s="27"/>
      <c r="D215" s="29"/>
      <c r="E215" s="30"/>
      <c r="G215" s="31"/>
      <c r="H215" s="32"/>
      <c r="I215" s="32"/>
      <c r="J215" s="32"/>
      <c r="K215" s="32"/>
      <c r="L215" s="32"/>
      <c r="O215" s="68"/>
      <c r="V215" s="33"/>
      <c r="W215" s="33"/>
      <c r="X215" s="34"/>
      <c r="Y215" s="35"/>
      <c r="Z215" s="34"/>
      <c r="AA215" s="35"/>
      <c r="AB215" s="34"/>
      <c r="AC215" s="36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60"/>
      <c r="BJ215" s="60"/>
      <c r="BK215" s="60"/>
    </row>
    <row r="216" spans="2:63" s="28" customFormat="1">
      <c r="B216" s="27"/>
      <c r="D216" s="29"/>
      <c r="E216" s="30"/>
      <c r="G216" s="31"/>
      <c r="H216" s="32"/>
      <c r="I216" s="32"/>
      <c r="J216" s="32"/>
      <c r="K216" s="32"/>
      <c r="L216" s="32"/>
      <c r="O216" s="72"/>
      <c r="V216" s="33"/>
      <c r="W216" s="33"/>
      <c r="X216" s="34"/>
      <c r="Y216" s="35"/>
      <c r="Z216" s="34"/>
      <c r="AA216" s="35"/>
      <c r="AB216" s="34"/>
      <c r="AC216" s="36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  <c r="BG216" s="60"/>
      <c r="BH216" s="60"/>
      <c r="BI216" s="60"/>
      <c r="BJ216" s="60"/>
      <c r="BK216" s="60"/>
    </row>
    <row r="217" spans="2:63" s="28" customFormat="1">
      <c r="B217" s="27"/>
      <c r="D217" s="29"/>
      <c r="E217" s="30"/>
      <c r="G217" s="31"/>
      <c r="H217" s="32"/>
      <c r="I217" s="32"/>
      <c r="J217" s="32"/>
      <c r="K217" s="32"/>
      <c r="L217" s="32"/>
      <c r="O217" s="77"/>
      <c r="V217" s="33"/>
      <c r="W217" s="33"/>
      <c r="X217" s="34"/>
      <c r="Y217" s="35"/>
      <c r="Z217" s="34"/>
      <c r="AA217" s="35"/>
      <c r="AB217" s="34"/>
      <c r="AC217" s="36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60"/>
      <c r="BJ217" s="60"/>
      <c r="BK217" s="60"/>
    </row>
    <row r="218" spans="2:63" s="28" customFormat="1">
      <c r="B218" s="27"/>
      <c r="D218" s="29"/>
      <c r="E218" s="30"/>
      <c r="G218" s="31"/>
      <c r="H218" s="32"/>
      <c r="I218" s="32"/>
      <c r="J218" s="32"/>
      <c r="K218" s="32"/>
      <c r="L218" s="32"/>
      <c r="O218" s="65"/>
      <c r="V218" s="33"/>
      <c r="W218" s="33"/>
      <c r="X218" s="34"/>
      <c r="Y218" s="35"/>
      <c r="Z218" s="34"/>
      <c r="AA218" s="35"/>
      <c r="AB218" s="34"/>
      <c r="AC218" s="36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60"/>
      <c r="BH218" s="60"/>
      <c r="BI218" s="60"/>
      <c r="BJ218" s="60"/>
      <c r="BK218" s="60"/>
    </row>
    <row r="219" spans="2:63" s="28" customFormat="1">
      <c r="B219" s="27"/>
      <c r="D219" s="29"/>
      <c r="E219" s="30"/>
      <c r="G219" s="31"/>
      <c r="H219" s="32"/>
      <c r="I219" s="32"/>
      <c r="J219" s="32"/>
      <c r="K219" s="32"/>
      <c r="L219" s="32"/>
      <c r="O219" s="65"/>
      <c r="V219" s="33"/>
      <c r="W219" s="33"/>
      <c r="X219" s="34"/>
      <c r="Y219" s="35"/>
      <c r="Z219" s="34"/>
      <c r="AA219" s="35"/>
      <c r="AB219" s="34"/>
      <c r="AC219" s="36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60"/>
      <c r="BH219" s="60"/>
      <c r="BI219" s="60"/>
      <c r="BJ219" s="60"/>
      <c r="BK219" s="60"/>
    </row>
    <row r="220" spans="2:63" s="28" customFormat="1">
      <c r="B220" s="27"/>
      <c r="D220" s="29"/>
      <c r="E220" s="30"/>
      <c r="G220" s="31"/>
      <c r="H220" s="32"/>
      <c r="I220" s="32"/>
      <c r="J220" s="32"/>
      <c r="K220" s="32"/>
      <c r="L220" s="32"/>
      <c r="O220" s="69"/>
      <c r="V220" s="33"/>
      <c r="W220" s="33"/>
      <c r="X220" s="34"/>
      <c r="Y220" s="35"/>
      <c r="Z220" s="34"/>
      <c r="AA220" s="35"/>
      <c r="AB220" s="34"/>
      <c r="AC220" s="36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60"/>
      <c r="BH220" s="60"/>
      <c r="BI220" s="60"/>
      <c r="BJ220" s="60"/>
      <c r="BK220" s="60"/>
    </row>
    <row r="221" spans="2:63" s="28" customFormat="1">
      <c r="B221" s="27"/>
      <c r="D221" s="29"/>
      <c r="E221" s="30"/>
      <c r="G221" s="31"/>
      <c r="H221" s="32"/>
      <c r="I221" s="32"/>
      <c r="J221" s="32"/>
      <c r="K221" s="32"/>
      <c r="L221" s="32"/>
      <c r="O221" s="73"/>
      <c r="V221" s="33"/>
      <c r="W221" s="33"/>
      <c r="X221" s="34"/>
      <c r="Y221" s="35"/>
      <c r="Z221" s="34"/>
      <c r="AA221" s="35"/>
      <c r="AB221" s="34"/>
      <c r="AC221" s="36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60"/>
      <c r="BJ221" s="60"/>
      <c r="BK221" s="60"/>
    </row>
    <row r="222" spans="2:63" s="28" customFormat="1">
      <c r="B222" s="27"/>
      <c r="D222" s="29"/>
      <c r="E222" s="30"/>
      <c r="G222" s="31"/>
      <c r="H222" s="32"/>
      <c r="I222" s="32"/>
      <c r="J222" s="32"/>
      <c r="K222" s="32"/>
      <c r="L222" s="32"/>
      <c r="O222" s="71"/>
      <c r="V222" s="33"/>
      <c r="W222" s="33"/>
      <c r="X222" s="34"/>
      <c r="Y222" s="35"/>
      <c r="Z222" s="34"/>
      <c r="AA222" s="35"/>
      <c r="AB222" s="34"/>
      <c r="AC222" s="36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60"/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  <c r="BG222" s="60"/>
      <c r="BH222" s="60"/>
      <c r="BI222" s="60"/>
      <c r="BJ222" s="60"/>
      <c r="BK222" s="60"/>
    </row>
    <row r="223" spans="2:63" s="28" customFormat="1">
      <c r="B223" s="27"/>
      <c r="D223" s="29"/>
      <c r="E223" s="30"/>
      <c r="G223" s="31"/>
      <c r="H223" s="32"/>
      <c r="I223" s="32"/>
      <c r="J223" s="32"/>
      <c r="K223" s="32"/>
      <c r="L223" s="32"/>
      <c r="O223" s="64"/>
      <c r="V223" s="33"/>
      <c r="W223" s="33"/>
      <c r="X223" s="34"/>
      <c r="Y223" s="35"/>
      <c r="Z223" s="34"/>
      <c r="AA223" s="35"/>
      <c r="AB223" s="34"/>
      <c r="AC223" s="36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  <c r="BG223" s="60"/>
      <c r="BH223" s="60"/>
      <c r="BI223" s="60"/>
      <c r="BJ223" s="60"/>
      <c r="BK223" s="60"/>
    </row>
    <row r="224" spans="2:63" s="28" customFormat="1">
      <c r="B224" s="27"/>
      <c r="D224" s="29"/>
      <c r="E224" s="30"/>
      <c r="G224" s="31"/>
      <c r="H224" s="32"/>
      <c r="I224" s="32"/>
      <c r="J224" s="32"/>
      <c r="K224" s="32"/>
      <c r="L224" s="32"/>
      <c r="O224" s="67"/>
      <c r="V224" s="33"/>
      <c r="W224" s="33"/>
      <c r="X224" s="34"/>
      <c r="Y224" s="35"/>
      <c r="Z224" s="34"/>
      <c r="AA224" s="35"/>
      <c r="AB224" s="34"/>
      <c r="AC224" s="36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  <c r="BG224" s="60"/>
      <c r="BH224" s="60"/>
      <c r="BI224" s="60"/>
      <c r="BJ224" s="60"/>
      <c r="BK224" s="60"/>
    </row>
    <row r="225" spans="2:63" s="28" customFormat="1">
      <c r="B225" s="27"/>
      <c r="D225" s="29"/>
      <c r="E225" s="30"/>
      <c r="G225" s="31"/>
      <c r="H225" s="32"/>
      <c r="I225" s="32"/>
      <c r="J225" s="32"/>
      <c r="K225" s="32"/>
      <c r="L225" s="32"/>
      <c r="O225" s="65"/>
      <c r="V225" s="33"/>
      <c r="W225" s="33"/>
      <c r="X225" s="34"/>
      <c r="Y225" s="35"/>
      <c r="Z225" s="34"/>
      <c r="AA225" s="35"/>
      <c r="AB225" s="34"/>
      <c r="AC225" s="36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  <c r="BH225" s="60"/>
      <c r="BI225" s="60"/>
      <c r="BJ225" s="60"/>
      <c r="BK225" s="60"/>
    </row>
    <row r="226" spans="2:63" s="28" customFormat="1">
      <c r="B226" s="27"/>
      <c r="D226" s="29"/>
      <c r="E226" s="30"/>
      <c r="G226" s="31"/>
      <c r="H226" s="32"/>
      <c r="I226" s="32"/>
      <c r="J226" s="32"/>
      <c r="K226" s="32"/>
      <c r="L226" s="32"/>
      <c r="O226" s="78"/>
      <c r="V226" s="33"/>
      <c r="W226" s="33"/>
      <c r="X226" s="34"/>
      <c r="Y226" s="35"/>
      <c r="Z226" s="34"/>
      <c r="AA226" s="35"/>
      <c r="AB226" s="34"/>
      <c r="AC226" s="36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60"/>
      <c r="BH226" s="60"/>
      <c r="BI226" s="60"/>
      <c r="BJ226" s="60"/>
      <c r="BK226" s="60"/>
    </row>
    <row r="227" spans="2:63" s="28" customFormat="1">
      <c r="B227" s="27"/>
      <c r="D227" s="29"/>
      <c r="E227" s="30"/>
      <c r="G227" s="31"/>
      <c r="H227" s="32"/>
      <c r="I227" s="32"/>
      <c r="J227" s="32"/>
      <c r="K227" s="32"/>
      <c r="L227" s="32"/>
      <c r="O227" s="64"/>
      <c r="V227" s="33"/>
      <c r="W227" s="33"/>
      <c r="X227" s="34"/>
      <c r="Y227" s="35"/>
      <c r="Z227" s="34"/>
      <c r="AA227" s="35"/>
      <c r="AB227" s="34"/>
      <c r="AC227" s="36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60"/>
      <c r="BJ227" s="60"/>
      <c r="BK227" s="60"/>
    </row>
    <row r="228" spans="2:63" s="28" customFormat="1">
      <c r="B228" s="27"/>
      <c r="D228" s="29"/>
      <c r="E228" s="30"/>
      <c r="G228" s="31"/>
      <c r="H228" s="32"/>
      <c r="I228" s="32"/>
      <c r="J228" s="32"/>
      <c r="K228" s="32"/>
      <c r="L228" s="32"/>
      <c r="O228" s="79"/>
      <c r="V228" s="33"/>
      <c r="W228" s="33"/>
      <c r="X228" s="34"/>
      <c r="Y228" s="35"/>
      <c r="Z228" s="34"/>
      <c r="AA228" s="35"/>
      <c r="AB228" s="34"/>
      <c r="AC228" s="36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  <c r="BG228" s="60"/>
      <c r="BH228" s="60"/>
      <c r="BI228" s="60"/>
      <c r="BJ228" s="60"/>
      <c r="BK228" s="60"/>
    </row>
    <row r="229" spans="2:63" s="28" customFormat="1">
      <c r="B229" s="27"/>
      <c r="D229" s="29"/>
      <c r="E229" s="30"/>
      <c r="G229" s="31"/>
      <c r="H229" s="32"/>
      <c r="I229" s="32"/>
      <c r="J229" s="32"/>
      <c r="K229" s="32"/>
      <c r="L229" s="32"/>
      <c r="O229" s="67"/>
      <c r="V229" s="33"/>
      <c r="W229" s="33"/>
      <c r="X229" s="34"/>
      <c r="Y229" s="35"/>
      <c r="Z229" s="34"/>
      <c r="AA229" s="35"/>
      <c r="AB229" s="34"/>
      <c r="AC229" s="36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60"/>
      <c r="BJ229" s="60"/>
      <c r="BK229" s="60"/>
    </row>
    <row r="230" spans="2:63" s="28" customFormat="1">
      <c r="B230" s="27"/>
      <c r="D230" s="29"/>
      <c r="E230" s="30"/>
      <c r="G230" s="31"/>
      <c r="H230" s="32"/>
      <c r="I230" s="32"/>
      <c r="J230" s="32"/>
      <c r="K230" s="32"/>
      <c r="L230" s="32"/>
      <c r="O230" s="64"/>
      <c r="V230" s="33"/>
      <c r="W230" s="33"/>
      <c r="X230" s="34"/>
      <c r="Y230" s="35"/>
      <c r="Z230" s="34"/>
      <c r="AA230" s="35"/>
      <c r="AB230" s="34"/>
      <c r="AC230" s="36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60"/>
      <c r="BJ230" s="60"/>
      <c r="BK230" s="60"/>
    </row>
    <row r="231" spans="2:63" s="28" customFormat="1">
      <c r="B231" s="27"/>
      <c r="D231" s="29"/>
      <c r="E231" s="30"/>
      <c r="G231" s="31"/>
      <c r="H231" s="32"/>
      <c r="I231" s="32"/>
      <c r="J231" s="32"/>
      <c r="K231" s="32"/>
      <c r="L231" s="32"/>
      <c r="O231" s="65"/>
      <c r="V231" s="33"/>
      <c r="W231" s="33"/>
      <c r="X231" s="34"/>
      <c r="Y231" s="35"/>
      <c r="Z231" s="34"/>
      <c r="AA231" s="35"/>
      <c r="AB231" s="34"/>
      <c r="AC231" s="36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60"/>
      <c r="BJ231" s="60"/>
      <c r="BK231" s="60"/>
    </row>
    <row r="232" spans="2:63" s="28" customFormat="1">
      <c r="B232" s="27"/>
      <c r="D232" s="29"/>
      <c r="E232" s="30"/>
      <c r="G232" s="31"/>
      <c r="H232" s="32"/>
      <c r="I232" s="32"/>
      <c r="J232" s="32"/>
      <c r="K232" s="32"/>
      <c r="L232" s="32"/>
      <c r="O232" s="65"/>
      <c r="V232" s="33"/>
      <c r="W232" s="33"/>
      <c r="X232" s="34"/>
      <c r="Y232" s="35"/>
      <c r="Z232" s="34"/>
      <c r="AA232" s="35"/>
      <c r="AB232" s="34"/>
      <c r="AC232" s="36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60"/>
      <c r="BJ232" s="60"/>
      <c r="BK232" s="60"/>
    </row>
    <row r="233" spans="2:63" s="28" customFormat="1">
      <c r="B233" s="27"/>
      <c r="D233" s="29"/>
      <c r="E233" s="30"/>
      <c r="G233" s="31"/>
      <c r="H233" s="32"/>
      <c r="I233" s="32"/>
      <c r="J233" s="32"/>
      <c r="K233" s="32"/>
      <c r="L233" s="32"/>
      <c r="O233" s="65"/>
      <c r="V233" s="33"/>
      <c r="W233" s="33"/>
      <c r="X233" s="34"/>
      <c r="Y233" s="35"/>
      <c r="Z233" s="34"/>
      <c r="AA233" s="35"/>
      <c r="AB233" s="34"/>
      <c r="AC233" s="36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60"/>
      <c r="BJ233" s="60"/>
      <c r="BK233" s="60"/>
    </row>
    <row r="234" spans="2:63" s="28" customFormat="1">
      <c r="B234" s="27"/>
      <c r="D234" s="29"/>
      <c r="E234" s="30"/>
      <c r="G234" s="31"/>
      <c r="H234" s="32"/>
      <c r="I234" s="32"/>
      <c r="J234" s="32"/>
      <c r="K234" s="32"/>
      <c r="L234" s="32"/>
      <c r="O234" s="65"/>
      <c r="V234" s="33"/>
      <c r="W234" s="33"/>
      <c r="X234" s="34"/>
      <c r="Y234" s="35"/>
      <c r="Z234" s="34"/>
      <c r="AA234" s="35"/>
      <c r="AB234" s="34"/>
      <c r="AC234" s="36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60"/>
      <c r="BH234" s="60"/>
      <c r="BI234" s="60"/>
      <c r="BJ234" s="60"/>
      <c r="BK234" s="60"/>
    </row>
    <row r="235" spans="2:63" s="28" customFormat="1">
      <c r="B235" s="27"/>
      <c r="D235" s="29"/>
      <c r="E235" s="30"/>
      <c r="G235" s="31"/>
      <c r="H235" s="32"/>
      <c r="I235" s="32"/>
      <c r="J235" s="32"/>
      <c r="K235" s="32"/>
      <c r="L235" s="32"/>
      <c r="O235" s="66"/>
      <c r="V235" s="33"/>
      <c r="W235" s="33"/>
      <c r="X235" s="34"/>
      <c r="Y235" s="35"/>
      <c r="Z235" s="34"/>
      <c r="AA235" s="35"/>
      <c r="AB235" s="34"/>
      <c r="AC235" s="36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60"/>
      <c r="BJ235" s="60"/>
      <c r="BK235" s="60"/>
    </row>
    <row r="236" spans="2:63" s="28" customFormat="1">
      <c r="B236" s="27"/>
      <c r="D236" s="29"/>
      <c r="E236" s="30"/>
      <c r="G236" s="31"/>
      <c r="H236" s="32"/>
      <c r="I236" s="32"/>
      <c r="J236" s="32"/>
      <c r="K236" s="32"/>
      <c r="L236" s="32"/>
      <c r="O236" s="68"/>
      <c r="V236" s="33"/>
      <c r="W236" s="33"/>
      <c r="X236" s="34"/>
      <c r="Y236" s="35"/>
      <c r="Z236" s="34"/>
      <c r="AA236" s="35"/>
      <c r="AB236" s="34"/>
      <c r="AC236" s="36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60"/>
      <c r="BH236" s="60"/>
      <c r="BI236" s="60"/>
      <c r="BJ236" s="60"/>
      <c r="BK236" s="60"/>
    </row>
    <row r="237" spans="2:63" s="28" customFormat="1">
      <c r="B237" s="27"/>
      <c r="D237" s="29"/>
      <c r="E237" s="30"/>
      <c r="G237" s="31"/>
      <c r="H237" s="32"/>
      <c r="I237" s="32"/>
      <c r="J237" s="32"/>
      <c r="K237" s="32"/>
      <c r="L237" s="32"/>
      <c r="O237" s="65"/>
      <c r="V237" s="33"/>
      <c r="W237" s="33"/>
      <c r="X237" s="34"/>
      <c r="Y237" s="35"/>
      <c r="Z237" s="34"/>
      <c r="AA237" s="35"/>
      <c r="AB237" s="34"/>
      <c r="AC237" s="36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  <c r="BG237" s="60"/>
      <c r="BH237" s="60"/>
      <c r="BI237" s="60"/>
      <c r="BJ237" s="60"/>
      <c r="BK237" s="60"/>
    </row>
    <row r="238" spans="2:63" s="28" customFormat="1">
      <c r="B238" s="27"/>
      <c r="D238" s="29"/>
      <c r="E238" s="30"/>
      <c r="G238" s="31"/>
      <c r="H238" s="32"/>
      <c r="I238" s="32"/>
      <c r="J238" s="32"/>
      <c r="K238" s="32"/>
      <c r="L238" s="32"/>
      <c r="O238" s="65"/>
      <c r="V238" s="33"/>
      <c r="W238" s="33"/>
      <c r="X238" s="34"/>
      <c r="Y238" s="35"/>
      <c r="Z238" s="34"/>
      <c r="AA238" s="35"/>
      <c r="AB238" s="34"/>
      <c r="AC238" s="36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  <c r="BG238" s="60"/>
      <c r="BH238" s="60"/>
      <c r="BI238" s="60"/>
      <c r="BJ238" s="60"/>
      <c r="BK238" s="60"/>
    </row>
    <row r="239" spans="2:63" s="28" customFormat="1">
      <c r="B239" s="27"/>
      <c r="D239" s="29"/>
      <c r="E239" s="30"/>
      <c r="G239" s="31"/>
      <c r="H239" s="32"/>
      <c r="I239" s="32"/>
      <c r="J239" s="32"/>
      <c r="K239" s="32"/>
      <c r="L239" s="32"/>
      <c r="O239" s="71"/>
      <c r="V239" s="33"/>
      <c r="W239" s="33"/>
      <c r="X239" s="34"/>
      <c r="Y239" s="35"/>
      <c r="Z239" s="34"/>
      <c r="AA239" s="35"/>
      <c r="AB239" s="34"/>
      <c r="AC239" s="36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60"/>
      <c r="BJ239" s="60"/>
      <c r="BK239" s="60"/>
    </row>
    <row r="240" spans="2:63" s="28" customFormat="1">
      <c r="B240" s="27"/>
      <c r="D240" s="29"/>
      <c r="E240" s="30"/>
      <c r="G240" s="31"/>
      <c r="H240" s="32"/>
      <c r="I240" s="32"/>
      <c r="J240" s="32"/>
      <c r="K240" s="32"/>
      <c r="L240" s="32"/>
      <c r="O240" s="69"/>
      <c r="V240" s="33"/>
      <c r="W240" s="33"/>
      <c r="X240" s="34"/>
      <c r="Y240" s="35"/>
      <c r="Z240" s="34"/>
      <c r="AA240" s="35"/>
      <c r="AB240" s="34"/>
      <c r="AC240" s="36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60"/>
      <c r="BH240" s="60"/>
      <c r="BI240" s="60"/>
      <c r="BJ240" s="60"/>
      <c r="BK240" s="60"/>
    </row>
    <row r="241" spans="2:63" s="28" customFormat="1">
      <c r="B241" s="27"/>
      <c r="D241" s="29"/>
      <c r="E241" s="30"/>
      <c r="G241" s="31"/>
      <c r="H241" s="32"/>
      <c r="I241" s="32"/>
      <c r="J241" s="32"/>
      <c r="K241" s="32"/>
      <c r="L241" s="32"/>
      <c r="O241" s="68"/>
      <c r="V241" s="33"/>
      <c r="W241" s="33"/>
      <c r="X241" s="34"/>
      <c r="Y241" s="35"/>
      <c r="Z241" s="34"/>
      <c r="AA241" s="35"/>
      <c r="AB241" s="34"/>
      <c r="AC241" s="36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60"/>
      <c r="BJ241" s="60"/>
      <c r="BK241" s="60"/>
    </row>
    <row r="242" spans="2:63" s="28" customFormat="1">
      <c r="B242" s="27"/>
      <c r="D242" s="29"/>
      <c r="E242" s="30"/>
      <c r="G242" s="31"/>
      <c r="H242" s="32"/>
      <c r="I242" s="32"/>
      <c r="J242" s="32"/>
      <c r="K242" s="32"/>
      <c r="L242" s="32"/>
      <c r="O242" s="65"/>
      <c r="V242" s="33"/>
      <c r="W242" s="33"/>
      <c r="X242" s="34"/>
      <c r="Y242" s="35"/>
      <c r="Z242" s="34"/>
      <c r="AA242" s="35"/>
      <c r="AB242" s="34"/>
      <c r="AC242" s="36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  <c r="BG242" s="60"/>
      <c r="BH242" s="60"/>
      <c r="BI242" s="60"/>
      <c r="BJ242" s="60"/>
      <c r="BK242" s="60"/>
    </row>
    <row r="243" spans="2:63" s="28" customFormat="1">
      <c r="B243" s="27"/>
      <c r="D243" s="29"/>
      <c r="E243" s="30"/>
      <c r="G243" s="31"/>
      <c r="H243" s="32"/>
      <c r="I243" s="32"/>
      <c r="J243" s="32"/>
      <c r="K243" s="32"/>
      <c r="L243" s="32"/>
      <c r="O243" s="76"/>
      <c r="V243" s="33"/>
      <c r="W243" s="33"/>
      <c r="X243" s="34"/>
      <c r="Y243" s="35"/>
      <c r="Z243" s="34"/>
      <c r="AA243" s="35"/>
      <c r="AB243" s="34"/>
      <c r="AC243" s="36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60"/>
      <c r="BJ243" s="60"/>
      <c r="BK243" s="60"/>
    </row>
    <row r="244" spans="2:63" s="28" customFormat="1">
      <c r="B244" s="27"/>
      <c r="D244" s="29"/>
      <c r="E244" s="30"/>
      <c r="G244" s="31"/>
      <c r="H244" s="32"/>
      <c r="I244" s="32"/>
      <c r="J244" s="32"/>
      <c r="K244" s="32"/>
      <c r="L244" s="32"/>
      <c r="O244" s="69"/>
      <c r="V244" s="33"/>
      <c r="W244" s="33"/>
      <c r="X244" s="34"/>
      <c r="Y244" s="35"/>
      <c r="Z244" s="34"/>
      <c r="AA244" s="35"/>
      <c r="AB244" s="34"/>
      <c r="AC244" s="36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  <c r="BH244" s="60"/>
      <c r="BI244" s="60"/>
      <c r="BJ244" s="60"/>
      <c r="BK244" s="60"/>
    </row>
    <row r="245" spans="2:63" s="28" customFormat="1">
      <c r="B245" s="27"/>
      <c r="D245" s="29"/>
      <c r="E245" s="30"/>
      <c r="G245" s="31"/>
      <c r="H245" s="32"/>
      <c r="I245" s="32"/>
      <c r="J245" s="32"/>
      <c r="K245" s="32"/>
      <c r="L245" s="32"/>
      <c r="O245" s="65"/>
      <c r="V245" s="33"/>
      <c r="W245" s="33"/>
      <c r="X245" s="34"/>
      <c r="Y245" s="35"/>
      <c r="Z245" s="34"/>
      <c r="AA245" s="35"/>
      <c r="AB245" s="34"/>
      <c r="AC245" s="36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  <c r="BG245" s="60"/>
      <c r="BH245" s="60"/>
      <c r="BI245" s="60"/>
      <c r="BJ245" s="60"/>
      <c r="BK245" s="60"/>
    </row>
    <row r="246" spans="2:63" s="28" customFormat="1">
      <c r="B246" s="27"/>
      <c r="D246" s="29"/>
      <c r="E246" s="30"/>
      <c r="G246" s="31"/>
      <c r="H246" s="32"/>
      <c r="I246" s="32"/>
      <c r="J246" s="32"/>
      <c r="K246" s="32"/>
      <c r="L246" s="32"/>
      <c r="O246" s="66"/>
      <c r="V246" s="33"/>
      <c r="W246" s="33"/>
      <c r="X246" s="34"/>
      <c r="Y246" s="35"/>
      <c r="Z246" s="34"/>
      <c r="AA246" s="35"/>
      <c r="AB246" s="34"/>
      <c r="AC246" s="36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60"/>
      <c r="BH246" s="60"/>
      <c r="BI246" s="60"/>
      <c r="BJ246" s="60"/>
      <c r="BK246" s="60"/>
    </row>
    <row r="247" spans="2:63" s="28" customFormat="1">
      <c r="B247" s="27"/>
      <c r="D247" s="29"/>
      <c r="E247" s="30"/>
      <c r="G247" s="31"/>
      <c r="H247" s="32"/>
      <c r="I247" s="32"/>
      <c r="J247" s="32"/>
      <c r="K247" s="32"/>
      <c r="L247" s="32"/>
      <c r="O247" s="69"/>
      <c r="V247" s="33"/>
      <c r="W247" s="33"/>
      <c r="X247" s="34"/>
      <c r="Y247" s="35"/>
      <c r="Z247" s="34"/>
      <c r="AA247" s="35"/>
      <c r="AB247" s="34"/>
      <c r="AC247" s="36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  <c r="BG247" s="60"/>
      <c r="BH247" s="60"/>
      <c r="BI247" s="60"/>
      <c r="BJ247" s="60"/>
      <c r="BK247" s="60"/>
    </row>
    <row r="248" spans="2:63" s="28" customFormat="1">
      <c r="B248" s="27"/>
      <c r="D248" s="29"/>
      <c r="E248" s="30"/>
      <c r="G248" s="31"/>
      <c r="H248" s="32"/>
      <c r="I248" s="32"/>
      <c r="J248" s="32"/>
      <c r="K248" s="32"/>
      <c r="L248" s="32"/>
      <c r="O248" s="80"/>
      <c r="V248" s="33"/>
      <c r="W248" s="33"/>
      <c r="X248" s="34"/>
      <c r="Y248" s="35"/>
      <c r="Z248" s="34"/>
      <c r="AA248" s="35"/>
      <c r="AB248" s="34"/>
      <c r="AC248" s="36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  <c r="BB248" s="60"/>
      <c r="BC248" s="60"/>
      <c r="BD248" s="60"/>
      <c r="BE248" s="60"/>
      <c r="BF248" s="60"/>
      <c r="BG248" s="60"/>
      <c r="BH248" s="60"/>
      <c r="BI248" s="60"/>
      <c r="BJ248" s="60"/>
      <c r="BK248" s="60"/>
    </row>
    <row r="249" spans="2:63" s="28" customFormat="1">
      <c r="B249" s="27"/>
      <c r="D249" s="29"/>
      <c r="E249" s="30"/>
      <c r="G249" s="31"/>
      <c r="H249" s="32"/>
      <c r="I249" s="32"/>
      <c r="J249" s="32"/>
      <c r="K249" s="32"/>
      <c r="L249" s="32"/>
      <c r="O249" s="69"/>
      <c r="V249" s="33"/>
      <c r="W249" s="33"/>
      <c r="X249" s="34"/>
      <c r="Y249" s="35"/>
      <c r="Z249" s="34"/>
      <c r="AA249" s="35"/>
      <c r="AB249" s="34"/>
      <c r="AC249" s="36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  <c r="BG249" s="60"/>
      <c r="BH249" s="60"/>
      <c r="BI249" s="60"/>
      <c r="BJ249" s="60"/>
      <c r="BK249" s="60"/>
    </row>
    <row r="250" spans="2:63" s="28" customFormat="1">
      <c r="B250" s="27"/>
      <c r="D250" s="29"/>
      <c r="E250" s="30"/>
      <c r="G250" s="31"/>
      <c r="H250" s="32"/>
      <c r="I250" s="32"/>
      <c r="J250" s="32"/>
      <c r="K250" s="32"/>
      <c r="L250" s="32"/>
      <c r="O250" s="65"/>
      <c r="V250" s="33"/>
      <c r="W250" s="33"/>
      <c r="X250" s="34"/>
      <c r="Y250" s="35"/>
      <c r="Z250" s="34"/>
      <c r="AA250" s="35"/>
      <c r="AB250" s="34"/>
      <c r="AC250" s="36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  <c r="BG250" s="60"/>
      <c r="BH250" s="60"/>
      <c r="BI250" s="60"/>
      <c r="BJ250" s="60"/>
      <c r="BK250" s="60"/>
    </row>
    <row r="251" spans="2:63" s="28" customFormat="1">
      <c r="B251" s="27"/>
      <c r="D251" s="29"/>
      <c r="E251" s="30"/>
      <c r="G251" s="31"/>
      <c r="H251" s="32"/>
      <c r="I251" s="32"/>
      <c r="J251" s="32"/>
      <c r="K251" s="32"/>
      <c r="L251" s="32"/>
      <c r="O251" s="80"/>
      <c r="V251" s="33"/>
      <c r="W251" s="33"/>
      <c r="X251" s="34"/>
      <c r="Y251" s="35"/>
      <c r="Z251" s="34"/>
      <c r="AA251" s="35"/>
      <c r="AB251" s="34"/>
      <c r="AC251" s="36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60"/>
      <c r="BJ251" s="60"/>
      <c r="BK251" s="60"/>
    </row>
    <row r="252" spans="2:63" s="28" customFormat="1">
      <c r="B252" s="27"/>
      <c r="D252" s="29"/>
      <c r="E252" s="30"/>
      <c r="G252" s="31"/>
      <c r="H252" s="32"/>
      <c r="I252" s="32"/>
      <c r="J252" s="32"/>
      <c r="K252" s="32"/>
      <c r="L252" s="32"/>
      <c r="O252" s="65"/>
      <c r="V252" s="33"/>
      <c r="W252" s="33"/>
      <c r="X252" s="34"/>
      <c r="Y252" s="35"/>
      <c r="Z252" s="34"/>
      <c r="AA252" s="35"/>
      <c r="AB252" s="34"/>
      <c r="AC252" s="36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  <c r="BG252" s="60"/>
      <c r="BH252" s="60"/>
      <c r="BI252" s="60"/>
      <c r="BJ252" s="60"/>
      <c r="BK252" s="60"/>
    </row>
    <row r="253" spans="2:63" s="28" customFormat="1">
      <c r="B253" s="27"/>
      <c r="D253" s="29"/>
      <c r="E253" s="30"/>
      <c r="G253" s="31"/>
      <c r="H253" s="32"/>
      <c r="I253" s="32"/>
      <c r="J253" s="32"/>
      <c r="K253" s="32"/>
      <c r="L253" s="32"/>
      <c r="O253" s="68"/>
      <c r="V253" s="33"/>
      <c r="W253" s="33"/>
      <c r="X253" s="34"/>
      <c r="Y253" s="35"/>
      <c r="Z253" s="34"/>
      <c r="AA253" s="35"/>
      <c r="AB253" s="34"/>
      <c r="AC253" s="36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  <c r="BG253" s="60"/>
      <c r="BH253" s="60"/>
      <c r="BI253" s="60"/>
      <c r="BJ253" s="60"/>
      <c r="BK253" s="60"/>
    </row>
    <row r="254" spans="2:63" s="28" customFormat="1">
      <c r="B254" s="27"/>
      <c r="D254" s="29"/>
      <c r="E254" s="30"/>
      <c r="G254" s="31"/>
      <c r="H254" s="32"/>
      <c r="I254" s="32"/>
      <c r="J254" s="32"/>
      <c r="K254" s="32"/>
      <c r="L254" s="32"/>
      <c r="O254" s="75"/>
      <c r="V254" s="33"/>
      <c r="W254" s="33"/>
      <c r="X254" s="34"/>
      <c r="Y254" s="35"/>
      <c r="Z254" s="34"/>
      <c r="AA254" s="35"/>
      <c r="AB254" s="34"/>
      <c r="AC254" s="36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  <c r="BG254" s="60"/>
      <c r="BH254" s="60"/>
      <c r="BI254" s="60"/>
      <c r="BJ254" s="60"/>
      <c r="BK254" s="60"/>
    </row>
    <row r="255" spans="2:63" s="28" customFormat="1">
      <c r="B255" s="27"/>
      <c r="D255" s="29"/>
      <c r="E255" s="30"/>
      <c r="G255" s="31"/>
      <c r="H255" s="32"/>
      <c r="I255" s="32"/>
      <c r="J255" s="32"/>
      <c r="K255" s="32"/>
      <c r="L255" s="32"/>
      <c r="O255" s="69"/>
      <c r="V255" s="33"/>
      <c r="W255" s="33"/>
      <c r="X255" s="34"/>
      <c r="Y255" s="35"/>
      <c r="Z255" s="34"/>
      <c r="AA255" s="35"/>
      <c r="AB255" s="34"/>
      <c r="AC255" s="36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  <c r="BG255" s="60"/>
      <c r="BH255" s="60"/>
      <c r="BI255" s="60"/>
      <c r="BJ255" s="60"/>
      <c r="BK255" s="60"/>
    </row>
    <row r="256" spans="2:63" s="28" customFormat="1">
      <c r="B256" s="27"/>
      <c r="D256" s="29"/>
      <c r="E256" s="30"/>
      <c r="G256" s="31"/>
      <c r="H256" s="32"/>
      <c r="I256" s="32"/>
      <c r="J256" s="32"/>
      <c r="K256" s="32"/>
      <c r="L256" s="32"/>
      <c r="O256" s="67"/>
      <c r="V256" s="33"/>
      <c r="W256" s="33"/>
      <c r="X256" s="34"/>
      <c r="Y256" s="35"/>
      <c r="Z256" s="34"/>
      <c r="AA256" s="35"/>
      <c r="AB256" s="34"/>
      <c r="AC256" s="36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60"/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0"/>
      <c r="BB256" s="60"/>
      <c r="BC256" s="60"/>
      <c r="BD256" s="60"/>
      <c r="BE256" s="60"/>
      <c r="BF256" s="60"/>
      <c r="BG256" s="60"/>
      <c r="BH256" s="60"/>
      <c r="BI256" s="60"/>
      <c r="BJ256" s="60"/>
      <c r="BK256" s="60"/>
    </row>
    <row r="257" spans="2:63" s="28" customFormat="1">
      <c r="B257" s="27"/>
      <c r="D257" s="29"/>
      <c r="E257" s="30"/>
      <c r="G257" s="31"/>
      <c r="H257" s="32"/>
      <c r="I257" s="32"/>
      <c r="J257" s="32"/>
      <c r="K257" s="32"/>
      <c r="L257" s="32"/>
      <c r="O257" s="65"/>
      <c r="V257" s="33"/>
      <c r="W257" s="33"/>
      <c r="X257" s="34"/>
      <c r="Y257" s="35"/>
      <c r="Z257" s="34"/>
      <c r="AA257" s="35"/>
      <c r="AB257" s="34"/>
      <c r="AC257" s="36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  <c r="BG257" s="60"/>
      <c r="BH257" s="60"/>
      <c r="BI257" s="60"/>
      <c r="BJ257" s="60"/>
      <c r="BK257" s="60"/>
    </row>
    <row r="258" spans="2:63" s="28" customFormat="1">
      <c r="B258" s="27"/>
      <c r="D258" s="29"/>
      <c r="E258" s="30"/>
      <c r="G258" s="31"/>
      <c r="H258" s="32"/>
      <c r="I258" s="32"/>
      <c r="J258" s="32"/>
      <c r="K258" s="32"/>
      <c r="L258" s="32"/>
      <c r="O258" s="64"/>
      <c r="V258" s="33"/>
      <c r="W258" s="33"/>
      <c r="X258" s="34"/>
      <c r="Y258" s="35"/>
      <c r="Z258" s="34"/>
      <c r="AA258" s="35"/>
      <c r="AB258" s="34"/>
      <c r="AC258" s="36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  <c r="BG258" s="60"/>
      <c r="BH258" s="60"/>
      <c r="BI258" s="60"/>
      <c r="BJ258" s="60"/>
      <c r="BK258" s="60"/>
    </row>
    <row r="259" spans="2:63" s="28" customFormat="1">
      <c r="B259" s="27"/>
      <c r="D259" s="29"/>
      <c r="E259" s="30"/>
      <c r="G259" s="31"/>
      <c r="H259" s="32"/>
      <c r="I259" s="32"/>
      <c r="J259" s="32"/>
      <c r="K259" s="32"/>
      <c r="L259" s="32"/>
      <c r="O259" s="65"/>
      <c r="V259" s="33"/>
      <c r="W259" s="33"/>
      <c r="X259" s="34"/>
      <c r="Y259" s="35"/>
      <c r="Z259" s="34"/>
      <c r="AA259" s="35"/>
      <c r="AB259" s="34"/>
      <c r="AC259" s="36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60"/>
      <c r="BH259" s="60"/>
      <c r="BI259" s="60"/>
      <c r="BJ259" s="60"/>
      <c r="BK259" s="60"/>
    </row>
    <row r="260" spans="2:63" s="28" customFormat="1">
      <c r="B260" s="27"/>
      <c r="D260" s="29"/>
      <c r="E260" s="30"/>
      <c r="G260" s="31"/>
      <c r="H260" s="32"/>
      <c r="I260" s="32"/>
      <c r="J260" s="32"/>
      <c r="K260" s="32"/>
      <c r="L260" s="32"/>
      <c r="O260" s="65"/>
      <c r="V260" s="33"/>
      <c r="W260" s="33"/>
      <c r="X260" s="34"/>
      <c r="Y260" s="35"/>
      <c r="Z260" s="34"/>
      <c r="AA260" s="35"/>
      <c r="AB260" s="34"/>
      <c r="AC260" s="36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  <c r="BG260" s="60"/>
      <c r="BH260" s="60"/>
      <c r="BI260" s="60"/>
      <c r="BJ260" s="60"/>
      <c r="BK260" s="60"/>
    </row>
    <row r="261" spans="2:63" s="28" customFormat="1">
      <c r="B261" s="27"/>
      <c r="D261" s="29"/>
      <c r="E261" s="30"/>
      <c r="G261" s="31"/>
      <c r="H261" s="32"/>
      <c r="I261" s="32"/>
      <c r="J261" s="32"/>
      <c r="K261" s="32"/>
      <c r="L261" s="32"/>
      <c r="O261" s="64"/>
      <c r="V261" s="33"/>
      <c r="W261" s="33"/>
      <c r="X261" s="34"/>
      <c r="Y261" s="35"/>
      <c r="Z261" s="34"/>
      <c r="AA261" s="35"/>
      <c r="AB261" s="34"/>
      <c r="AC261" s="36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  <c r="BG261" s="60"/>
      <c r="BH261" s="60"/>
      <c r="BI261" s="60"/>
      <c r="BJ261" s="60"/>
      <c r="BK261" s="60"/>
    </row>
    <row r="262" spans="2:63" s="28" customFormat="1">
      <c r="B262" s="27"/>
      <c r="D262" s="29"/>
      <c r="E262" s="30"/>
      <c r="G262" s="31"/>
      <c r="H262" s="32"/>
      <c r="I262" s="32"/>
      <c r="J262" s="32"/>
      <c r="K262" s="32"/>
      <c r="L262" s="32"/>
      <c r="O262" s="70"/>
      <c r="V262" s="33"/>
      <c r="W262" s="33"/>
      <c r="X262" s="34"/>
      <c r="Y262" s="35"/>
      <c r="Z262" s="34"/>
      <c r="AA262" s="35"/>
      <c r="AB262" s="34"/>
      <c r="AC262" s="36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  <c r="BB262" s="60"/>
      <c r="BC262" s="60"/>
      <c r="BD262" s="60"/>
      <c r="BE262" s="60"/>
      <c r="BF262" s="60"/>
      <c r="BG262" s="60"/>
      <c r="BH262" s="60"/>
      <c r="BI262" s="60"/>
      <c r="BJ262" s="60"/>
      <c r="BK262" s="60"/>
    </row>
    <row r="263" spans="2:63" s="28" customFormat="1">
      <c r="B263" s="27"/>
      <c r="D263" s="29"/>
      <c r="E263" s="30"/>
      <c r="G263" s="31"/>
      <c r="H263" s="32"/>
      <c r="I263" s="32"/>
      <c r="J263" s="32"/>
      <c r="K263" s="32"/>
      <c r="L263" s="32"/>
      <c r="O263" s="65"/>
      <c r="V263" s="33"/>
      <c r="W263" s="33"/>
      <c r="X263" s="34"/>
      <c r="Y263" s="35"/>
      <c r="Z263" s="34"/>
      <c r="AA263" s="35"/>
      <c r="AB263" s="34"/>
      <c r="AC263" s="36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  <c r="BG263" s="60"/>
      <c r="BH263" s="60"/>
      <c r="BI263" s="60"/>
      <c r="BJ263" s="60"/>
      <c r="BK263" s="60"/>
    </row>
    <row r="264" spans="2:63" s="28" customFormat="1">
      <c r="B264" s="27"/>
      <c r="D264" s="29"/>
      <c r="E264" s="30"/>
      <c r="G264" s="31"/>
      <c r="H264" s="32"/>
      <c r="I264" s="32"/>
      <c r="J264" s="32"/>
      <c r="K264" s="32"/>
      <c r="L264" s="32"/>
      <c r="O264" s="65"/>
      <c r="V264" s="33"/>
      <c r="W264" s="33"/>
      <c r="X264" s="34"/>
      <c r="Y264" s="35"/>
      <c r="Z264" s="34"/>
      <c r="AA264" s="35"/>
      <c r="AB264" s="34"/>
      <c r="AC264" s="36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  <c r="BB264" s="60"/>
      <c r="BC264" s="60"/>
      <c r="BD264" s="60"/>
      <c r="BE264" s="60"/>
      <c r="BF264" s="60"/>
      <c r="BG264" s="60"/>
      <c r="BH264" s="60"/>
      <c r="BI264" s="60"/>
      <c r="BJ264" s="60"/>
      <c r="BK264" s="60"/>
    </row>
    <row r="265" spans="2:63" s="28" customFormat="1">
      <c r="B265" s="27"/>
      <c r="D265" s="29"/>
      <c r="E265" s="30"/>
      <c r="G265" s="31"/>
      <c r="H265" s="32"/>
      <c r="I265" s="32"/>
      <c r="J265" s="32"/>
      <c r="K265" s="32"/>
      <c r="L265" s="32"/>
      <c r="O265" s="65"/>
      <c r="V265" s="33"/>
      <c r="W265" s="33"/>
      <c r="X265" s="34"/>
      <c r="Y265" s="35"/>
      <c r="Z265" s="34"/>
      <c r="AA265" s="35"/>
      <c r="AB265" s="34"/>
      <c r="AC265" s="36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60"/>
      <c r="BH265" s="60"/>
      <c r="BI265" s="60"/>
      <c r="BJ265" s="60"/>
      <c r="BK265" s="60"/>
    </row>
    <row r="266" spans="2:63" s="28" customFormat="1">
      <c r="B266" s="27"/>
      <c r="D266" s="29"/>
      <c r="E266" s="30"/>
      <c r="G266" s="31"/>
      <c r="H266" s="32"/>
      <c r="I266" s="32"/>
      <c r="J266" s="32"/>
      <c r="K266" s="32"/>
      <c r="L266" s="32"/>
      <c r="O266" s="69"/>
      <c r="V266" s="33"/>
      <c r="W266" s="33"/>
      <c r="X266" s="34"/>
      <c r="Y266" s="35"/>
      <c r="Z266" s="34"/>
      <c r="AA266" s="35"/>
      <c r="AB266" s="34"/>
      <c r="AC266" s="36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  <c r="BG266" s="60"/>
      <c r="BH266" s="60"/>
      <c r="BI266" s="60"/>
      <c r="BJ266" s="60"/>
      <c r="BK266" s="60"/>
    </row>
    <row r="267" spans="2:63" s="28" customFormat="1">
      <c r="B267" s="27"/>
      <c r="D267" s="29"/>
      <c r="E267" s="30"/>
      <c r="G267" s="31"/>
      <c r="H267" s="32"/>
      <c r="I267" s="32"/>
      <c r="J267" s="32"/>
      <c r="K267" s="32"/>
      <c r="L267" s="32"/>
      <c r="O267" s="64"/>
      <c r="V267" s="33"/>
      <c r="W267" s="33"/>
      <c r="X267" s="34"/>
      <c r="Y267" s="35"/>
      <c r="Z267" s="34"/>
      <c r="AA267" s="35"/>
      <c r="AB267" s="34"/>
      <c r="AC267" s="36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  <c r="BG267" s="60"/>
      <c r="BH267" s="60"/>
      <c r="BI267" s="60"/>
      <c r="BJ267" s="60"/>
      <c r="BK267" s="60"/>
    </row>
    <row r="268" spans="2:63" s="28" customFormat="1">
      <c r="B268" s="27"/>
      <c r="D268" s="29"/>
      <c r="E268" s="30"/>
      <c r="G268" s="31"/>
      <c r="H268" s="32"/>
      <c r="I268" s="32"/>
      <c r="J268" s="32"/>
      <c r="K268" s="32"/>
      <c r="L268" s="32"/>
      <c r="O268" s="67"/>
      <c r="V268" s="33"/>
      <c r="W268" s="33"/>
      <c r="X268" s="34"/>
      <c r="Y268" s="35"/>
      <c r="Z268" s="34"/>
      <c r="AA268" s="35"/>
      <c r="AB268" s="34"/>
      <c r="AC268" s="36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  <c r="BG268" s="60"/>
      <c r="BH268" s="60"/>
      <c r="BI268" s="60"/>
      <c r="BJ268" s="60"/>
      <c r="BK268" s="60"/>
    </row>
    <row r="269" spans="2:63" s="28" customFormat="1">
      <c r="B269" s="27"/>
      <c r="D269" s="29"/>
      <c r="E269" s="30"/>
      <c r="G269" s="31"/>
      <c r="H269" s="32"/>
      <c r="I269" s="32"/>
      <c r="J269" s="32"/>
      <c r="K269" s="32"/>
      <c r="L269" s="32"/>
      <c r="O269" s="65"/>
      <c r="V269" s="33"/>
      <c r="W269" s="33"/>
      <c r="X269" s="34"/>
      <c r="Y269" s="35"/>
      <c r="Z269" s="34"/>
      <c r="AA269" s="35"/>
      <c r="AB269" s="34"/>
      <c r="AC269" s="36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  <c r="BG269" s="60"/>
      <c r="BH269" s="60"/>
      <c r="BI269" s="60"/>
      <c r="BJ269" s="60"/>
      <c r="BK269" s="60"/>
    </row>
    <row r="270" spans="2:63" s="28" customFormat="1">
      <c r="B270" s="27"/>
      <c r="D270" s="29"/>
      <c r="E270" s="30"/>
      <c r="G270" s="31"/>
      <c r="H270" s="32"/>
      <c r="I270" s="32"/>
      <c r="J270" s="32"/>
      <c r="K270" s="32"/>
      <c r="L270" s="32"/>
      <c r="O270" s="65"/>
      <c r="V270" s="33"/>
      <c r="W270" s="33"/>
      <c r="X270" s="34"/>
      <c r="Y270" s="35"/>
      <c r="Z270" s="34"/>
      <c r="AA270" s="35"/>
      <c r="AB270" s="34"/>
      <c r="AC270" s="36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  <c r="BG270" s="60"/>
      <c r="BH270" s="60"/>
      <c r="BI270" s="60"/>
      <c r="BJ270" s="60"/>
      <c r="BK270" s="60"/>
    </row>
    <row r="271" spans="2:63" s="28" customFormat="1">
      <c r="B271" s="27"/>
      <c r="D271" s="29"/>
      <c r="E271" s="30"/>
      <c r="G271" s="31"/>
      <c r="H271" s="32"/>
      <c r="I271" s="32"/>
      <c r="J271" s="32"/>
      <c r="K271" s="32"/>
      <c r="L271" s="32"/>
      <c r="O271" s="65"/>
      <c r="V271" s="33"/>
      <c r="W271" s="33"/>
      <c r="X271" s="34"/>
      <c r="Y271" s="35"/>
      <c r="Z271" s="34"/>
      <c r="AA271" s="35"/>
      <c r="AB271" s="34"/>
      <c r="AC271" s="36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  <c r="BH271" s="60"/>
      <c r="BI271" s="60"/>
      <c r="BJ271" s="60"/>
      <c r="BK271" s="60"/>
    </row>
    <row r="272" spans="2:63" s="28" customFormat="1">
      <c r="B272" s="27"/>
      <c r="D272" s="29"/>
      <c r="E272" s="30"/>
      <c r="G272" s="31"/>
      <c r="H272" s="32"/>
      <c r="I272" s="32"/>
      <c r="J272" s="32"/>
      <c r="K272" s="32"/>
      <c r="L272" s="32"/>
      <c r="O272" s="65"/>
      <c r="V272" s="33"/>
      <c r="W272" s="33"/>
      <c r="X272" s="34"/>
      <c r="Y272" s="35"/>
      <c r="Z272" s="34"/>
      <c r="AA272" s="35"/>
      <c r="AB272" s="34"/>
      <c r="AC272" s="36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  <c r="BG272" s="60"/>
      <c r="BH272" s="60"/>
      <c r="BI272" s="60"/>
      <c r="BJ272" s="60"/>
      <c r="BK272" s="60"/>
    </row>
    <row r="273" spans="2:63" s="28" customFormat="1">
      <c r="B273" s="27"/>
      <c r="D273" s="29"/>
      <c r="E273" s="30"/>
      <c r="G273" s="31"/>
      <c r="H273" s="32"/>
      <c r="I273" s="32"/>
      <c r="J273" s="32"/>
      <c r="K273" s="32"/>
      <c r="L273" s="32"/>
      <c r="O273" s="81"/>
      <c r="V273" s="33"/>
      <c r="W273" s="33"/>
      <c r="X273" s="34"/>
      <c r="Y273" s="35"/>
      <c r="Z273" s="34"/>
      <c r="AA273" s="35"/>
      <c r="AB273" s="34"/>
      <c r="AC273" s="36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  <c r="BG273" s="60"/>
      <c r="BH273" s="60"/>
      <c r="BI273" s="60"/>
      <c r="BJ273" s="60"/>
      <c r="BK273" s="60"/>
    </row>
    <row r="274" spans="2:63" s="28" customFormat="1">
      <c r="B274" s="27"/>
      <c r="D274" s="29"/>
      <c r="E274" s="30"/>
      <c r="G274" s="31"/>
      <c r="H274" s="32"/>
      <c r="I274" s="32"/>
      <c r="J274" s="32"/>
      <c r="K274" s="32"/>
      <c r="L274" s="32"/>
      <c r="O274" s="65"/>
      <c r="V274" s="33"/>
      <c r="W274" s="33"/>
      <c r="X274" s="34"/>
      <c r="Y274" s="35"/>
      <c r="Z274" s="34"/>
      <c r="AA274" s="35"/>
      <c r="AB274" s="34"/>
      <c r="AC274" s="36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60"/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0"/>
      <c r="BB274" s="60"/>
      <c r="BC274" s="60"/>
      <c r="BD274" s="60"/>
      <c r="BE274" s="60"/>
      <c r="BF274" s="60"/>
      <c r="BG274" s="60"/>
      <c r="BH274" s="60"/>
      <c r="BI274" s="60"/>
      <c r="BJ274" s="60"/>
      <c r="BK274" s="60"/>
    </row>
    <row r="275" spans="2:63" s="28" customFormat="1">
      <c r="B275" s="27"/>
      <c r="D275" s="29"/>
      <c r="E275" s="30"/>
      <c r="G275" s="31"/>
      <c r="H275" s="32"/>
      <c r="I275" s="32"/>
      <c r="J275" s="32"/>
      <c r="K275" s="32"/>
      <c r="L275" s="32"/>
      <c r="O275" s="65"/>
      <c r="V275" s="33"/>
      <c r="W275" s="33"/>
      <c r="X275" s="34"/>
      <c r="Y275" s="35"/>
      <c r="Z275" s="34"/>
      <c r="AA275" s="35"/>
      <c r="AB275" s="34"/>
      <c r="AC275" s="36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  <c r="BG275" s="60"/>
      <c r="BH275" s="60"/>
      <c r="BI275" s="60"/>
      <c r="BJ275" s="60"/>
      <c r="BK275" s="60"/>
    </row>
    <row r="276" spans="2:63" s="28" customFormat="1">
      <c r="B276" s="27"/>
      <c r="D276" s="29"/>
      <c r="E276" s="30"/>
      <c r="G276" s="31"/>
      <c r="H276" s="32"/>
      <c r="I276" s="32"/>
      <c r="J276" s="32"/>
      <c r="K276" s="32"/>
      <c r="L276" s="32"/>
      <c r="O276" s="65"/>
      <c r="V276" s="33"/>
      <c r="W276" s="33"/>
      <c r="X276" s="34"/>
      <c r="Y276" s="35"/>
      <c r="Z276" s="34"/>
      <c r="AA276" s="35"/>
      <c r="AB276" s="34"/>
      <c r="AC276" s="36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  <c r="BG276" s="60"/>
      <c r="BH276" s="60"/>
      <c r="BI276" s="60"/>
      <c r="BJ276" s="60"/>
      <c r="BK276" s="60"/>
    </row>
    <row r="277" spans="2:63" s="28" customFormat="1">
      <c r="B277" s="27"/>
      <c r="D277" s="29"/>
      <c r="E277" s="30"/>
      <c r="G277" s="31"/>
      <c r="H277" s="32"/>
      <c r="I277" s="32"/>
      <c r="J277" s="32"/>
      <c r="K277" s="32"/>
      <c r="L277" s="32"/>
      <c r="O277" s="68"/>
      <c r="V277" s="33"/>
      <c r="W277" s="33"/>
      <c r="X277" s="34"/>
      <c r="Y277" s="35"/>
      <c r="Z277" s="34"/>
      <c r="AA277" s="35"/>
      <c r="AB277" s="34"/>
      <c r="AC277" s="36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  <c r="BG277" s="60"/>
      <c r="BH277" s="60"/>
      <c r="BI277" s="60"/>
      <c r="BJ277" s="60"/>
      <c r="BK277" s="60"/>
    </row>
    <row r="278" spans="2:63" s="28" customFormat="1">
      <c r="B278" s="27"/>
      <c r="D278" s="29"/>
      <c r="E278" s="30"/>
      <c r="G278" s="31"/>
      <c r="H278" s="32"/>
      <c r="I278" s="32"/>
      <c r="J278" s="32"/>
      <c r="K278" s="32"/>
      <c r="L278" s="32"/>
      <c r="O278" s="65"/>
      <c r="V278" s="33"/>
      <c r="W278" s="33"/>
      <c r="X278" s="34"/>
      <c r="Y278" s="35"/>
      <c r="Z278" s="34"/>
      <c r="AA278" s="35"/>
      <c r="AB278" s="34"/>
      <c r="AC278" s="36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  <c r="BB278" s="60"/>
      <c r="BC278" s="60"/>
      <c r="BD278" s="60"/>
      <c r="BE278" s="60"/>
      <c r="BF278" s="60"/>
      <c r="BG278" s="60"/>
      <c r="BH278" s="60"/>
      <c r="BI278" s="60"/>
      <c r="BJ278" s="60"/>
      <c r="BK278" s="60"/>
    </row>
    <row r="279" spans="2:63" s="28" customFormat="1">
      <c r="B279" s="27"/>
      <c r="D279" s="29"/>
      <c r="E279" s="30"/>
      <c r="G279" s="31"/>
      <c r="H279" s="32"/>
      <c r="I279" s="32"/>
      <c r="J279" s="32"/>
      <c r="K279" s="32"/>
      <c r="L279" s="32"/>
      <c r="O279" s="65"/>
      <c r="V279" s="33"/>
      <c r="W279" s="33"/>
      <c r="X279" s="34"/>
      <c r="Y279" s="35"/>
      <c r="Z279" s="34"/>
      <c r="AA279" s="35"/>
      <c r="AB279" s="34"/>
      <c r="AC279" s="36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  <c r="BG279" s="60"/>
      <c r="BH279" s="60"/>
      <c r="BI279" s="60"/>
      <c r="BJ279" s="60"/>
      <c r="BK279" s="60"/>
    </row>
    <row r="280" spans="2:63" s="28" customFormat="1">
      <c r="B280" s="27"/>
      <c r="D280" s="29"/>
      <c r="E280" s="30"/>
      <c r="G280" s="31"/>
      <c r="H280" s="32"/>
      <c r="I280" s="32"/>
      <c r="J280" s="32"/>
      <c r="K280" s="32"/>
      <c r="L280" s="32"/>
      <c r="O280" s="72"/>
      <c r="V280" s="33"/>
      <c r="W280" s="33"/>
      <c r="X280" s="34"/>
      <c r="Y280" s="35"/>
      <c r="Z280" s="34"/>
      <c r="AA280" s="35"/>
      <c r="AB280" s="34"/>
      <c r="AC280" s="36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  <c r="BB280" s="60"/>
      <c r="BC280" s="60"/>
      <c r="BD280" s="60"/>
      <c r="BE280" s="60"/>
      <c r="BF280" s="60"/>
      <c r="BG280" s="60"/>
      <c r="BH280" s="60"/>
      <c r="BI280" s="60"/>
      <c r="BJ280" s="60"/>
      <c r="BK280" s="60"/>
    </row>
    <row r="281" spans="2:63" s="28" customFormat="1">
      <c r="B281" s="27"/>
      <c r="D281" s="29"/>
      <c r="E281" s="30"/>
      <c r="G281" s="31"/>
      <c r="H281" s="32"/>
      <c r="I281" s="32"/>
      <c r="J281" s="32"/>
      <c r="K281" s="32"/>
      <c r="L281" s="32"/>
      <c r="O281" s="65"/>
      <c r="V281" s="33"/>
      <c r="W281" s="33"/>
      <c r="X281" s="34"/>
      <c r="Y281" s="35"/>
      <c r="Z281" s="34"/>
      <c r="AA281" s="35"/>
      <c r="AB281" s="34"/>
      <c r="AC281" s="36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60"/>
      <c r="BH281" s="60"/>
      <c r="BI281" s="60"/>
      <c r="BJ281" s="60"/>
      <c r="BK281" s="60"/>
    </row>
    <row r="282" spans="2:63" s="28" customFormat="1">
      <c r="B282" s="27"/>
      <c r="D282" s="29"/>
      <c r="E282" s="30"/>
      <c r="G282" s="31"/>
      <c r="H282" s="32"/>
      <c r="I282" s="32"/>
      <c r="J282" s="32"/>
      <c r="K282" s="32"/>
      <c r="L282" s="32"/>
      <c r="O282" s="69"/>
      <c r="V282" s="33"/>
      <c r="W282" s="33"/>
      <c r="X282" s="34"/>
      <c r="Y282" s="35"/>
      <c r="Z282" s="34"/>
      <c r="AA282" s="35"/>
      <c r="AB282" s="34"/>
      <c r="AC282" s="36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60"/>
      <c r="BH282" s="60"/>
      <c r="BI282" s="60"/>
      <c r="BJ282" s="60"/>
      <c r="BK282" s="60"/>
    </row>
    <row r="283" spans="2:63" s="28" customFormat="1">
      <c r="B283" s="27"/>
      <c r="D283" s="29"/>
      <c r="E283" s="30"/>
      <c r="G283" s="31"/>
      <c r="H283" s="32"/>
      <c r="I283" s="32"/>
      <c r="J283" s="32"/>
      <c r="K283" s="32"/>
      <c r="L283" s="32"/>
      <c r="O283" s="68"/>
      <c r="V283" s="33"/>
      <c r="W283" s="33"/>
      <c r="X283" s="34"/>
      <c r="Y283" s="35"/>
      <c r="Z283" s="34"/>
      <c r="AA283" s="35"/>
      <c r="AB283" s="34"/>
      <c r="AC283" s="36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60"/>
      <c r="BH283" s="60"/>
      <c r="BI283" s="60"/>
      <c r="BJ283" s="60"/>
      <c r="BK283" s="60"/>
    </row>
    <row r="284" spans="2:63" s="28" customFormat="1">
      <c r="B284" s="27"/>
      <c r="D284" s="29"/>
      <c r="E284" s="30"/>
      <c r="G284" s="31"/>
      <c r="H284" s="32"/>
      <c r="I284" s="32"/>
      <c r="J284" s="32"/>
      <c r="K284" s="32"/>
      <c r="L284" s="32"/>
      <c r="O284" s="71"/>
      <c r="V284" s="33"/>
      <c r="W284" s="33"/>
      <c r="X284" s="34"/>
      <c r="Y284" s="35"/>
      <c r="Z284" s="34"/>
      <c r="AA284" s="35"/>
      <c r="AB284" s="34"/>
      <c r="AC284" s="36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  <c r="BB284" s="60"/>
      <c r="BC284" s="60"/>
      <c r="BD284" s="60"/>
      <c r="BE284" s="60"/>
      <c r="BF284" s="60"/>
      <c r="BG284" s="60"/>
      <c r="BH284" s="60"/>
      <c r="BI284" s="60"/>
      <c r="BJ284" s="60"/>
      <c r="BK284" s="60"/>
    </row>
    <row r="285" spans="2:63" s="28" customFormat="1">
      <c r="B285" s="27"/>
      <c r="D285" s="29"/>
      <c r="E285" s="30"/>
      <c r="G285" s="31"/>
      <c r="H285" s="32"/>
      <c r="I285" s="32"/>
      <c r="J285" s="32"/>
      <c r="K285" s="32"/>
      <c r="L285" s="32"/>
      <c r="O285" s="65"/>
      <c r="V285" s="33"/>
      <c r="W285" s="33"/>
      <c r="X285" s="34"/>
      <c r="Y285" s="35"/>
      <c r="Z285" s="34"/>
      <c r="AA285" s="35"/>
      <c r="AB285" s="34"/>
      <c r="AC285" s="36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  <c r="BB285" s="60"/>
      <c r="BC285" s="60"/>
      <c r="BD285" s="60"/>
      <c r="BE285" s="60"/>
      <c r="BF285" s="60"/>
      <c r="BG285" s="60"/>
      <c r="BH285" s="60"/>
      <c r="BI285" s="60"/>
      <c r="BJ285" s="60"/>
      <c r="BK285" s="60"/>
    </row>
    <row r="286" spans="2:63" s="28" customFormat="1">
      <c r="B286" s="27"/>
      <c r="D286" s="29"/>
      <c r="E286" s="30"/>
      <c r="G286" s="31"/>
      <c r="H286" s="32"/>
      <c r="I286" s="32"/>
      <c r="J286" s="32"/>
      <c r="K286" s="32"/>
      <c r="L286" s="32"/>
      <c r="O286" s="65"/>
      <c r="V286" s="33"/>
      <c r="W286" s="33"/>
      <c r="X286" s="34"/>
      <c r="Y286" s="35"/>
      <c r="Z286" s="34"/>
      <c r="AA286" s="35"/>
      <c r="AB286" s="34"/>
      <c r="AC286" s="36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60"/>
      <c r="AQ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  <c r="BG286" s="60"/>
      <c r="BH286" s="60"/>
      <c r="BI286" s="60"/>
      <c r="BJ286" s="60"/>
      <c r="BK286" s="60"/>
    </row>
    <row r="287" spans="2:63" s="28" customFormat="1">
      <c r="B287" s="27"/>
      <c r="D287" s="29"/>
      <c r="E287" s="30"/>
      <c r="G287" s="31"/>
      <c r="H287" s="32"/>
      <c r="I287" s="32"/>
      <c r="J287" s="32"/>
      <c r="K287" s="32"/>
      <c r="L287" s="32"/>
      <c r="O287" s="71"/>
      <c r="V287" s="33"/>
      <c r="W287" s="33"/>
      <c r="X287" s="34"/>
      <c r="Y287" s="35"/>
      <c r="Z287" s="34"/>
      <c r="AA287" s="35"/>
      <c r="AB287" s="34"/>
      <c r="AC287" s="36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  <c r="BG287" s="60"/>
      <c r="BH287" s="60"/>
      <c r="BI287" s="60"/>
      <c r="BJ287" s="60"/>
      <c r="BK287" s="60"/>
    </row>
    <row r="288" spans="2:63" s="28" customFormat="1">
      <c r="B288" s="27"/>
      <c r="D288" s="29"/>
      <c r="E288" s="30"/>
      <c r="G288" s="31"/>
      <c r="H288" s="32"/>
      <c r="I288" s="32"/>
      <c r="J288" s="32"/>
      <c r="K288" s="32"/>
      <c r="L288" s="32"/>
      <c r="O288" s="69"/>
      <c r="V288" s="33"/>
      <c r="W288" s="33"/>
      <c r="X288" s="34"/>
      <c r="Y288" s="35"/>
      <c r="Z288" s="34"/>
      <c r="AA288" s="35"/>
      <c r="AB288" s="34"/>
      <c r="AC288" s="36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60"/>
      <c r="AQ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60"/>
      <c r="BB288" s="60"/>
      <c r="BC288" s="60"/>
      <c r="BD288" s="60"/>
      <c r="BE288" s="60"/>
      <c r="BF288" s="60"/>
      <c r="BG288" s="60"/>
      <c r="BH288" s="60"/>
      <c r="BI288" s="60"/>
      <c r="BJ288" s="60"/>
      <c r="BK288" s="60"/>
    </row>
    <row r="289" spans="2:63" s="28" customFormat="1">
      <c r="B289" s="27"/>
      <c r="D289" s="29"/>
      <c r="E289" s="30"/>
      <c r="G289" s="31"/>
      <c r="H289" s="32"/>
      <c r="I289" s="32"/>
      <c r="J289" s="32"/>
      <c r="K289" s="32"/>
      <c r="L289" s="32"/>
      <c r="O289" s="65"/>
      <c r="V289" s="33"/>
      <c r="W289" s="33"/>
      <c r="X289" s="34"/>
      <c r="Y289" s="35"/>
      <c r="Z289" s="34"/>
      <c r="AA289" s="35"/>
      <c r="AB289" s="34"/>
      <c r="AC289" s="36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  <c r="BG289" s="60"/>
      <c r="BH289" s="60"/>
      <c r="BI289" s="60"/>
      <c r="BJ289" s="60"/>
      <c r="BK289" s="60"/>
    </row>
    <row r="290" spans="2:63" s="28" customFormat="1">
      <c r="B290" s="27"/>
      <c r="D290" s="29"/>
      <c r="E290" s="30"/>
      <c r="G290" s="31"/>
      <c r="H290" s="32"/>
      <c r="I290" s="32"/>
      <c r="J290" s="32"/>
      <c r="K290" s="32"/>
      <c r="L290" s="32"/>
      <c r="O290" s="71"/>
      <c r="V290" s="33"/>
      <c r="W290" s="33"/>
      <c r="X290" s="34"/>
      <c r="Y290" s="35"/>
      <c r="Z290" s="34"/>
      <c r="AA290" s="35"/>
      <c r="AB290" s="34"/>
      <c r="AC290" s="36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60"/>
      <c r="AQ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60"/>
      <c r="BB290" s="60"/>
      <c r="BC290" s="60"/>
      <c r="BD290" s="60"/>
      <c r="BE290" s="60"/>
      <c r="BF290" s="60"/>
      <c r="BG290" s="60"/>
      <c r="BH290" s="60"/>
      <c r="BI290" s="60"/>
      <c r="BJ290" s="60"/>
      <c r="BK290" s="60"/>
    </row>
    <row r="291" spans="2:63" s="28" customFormat="1">
      <c r="B291" s="27"/>
      <c r="D291" s="29"/>
      <c r="E291" s="30"/>
      <c r="G291" s="31"/>
      <c r="H291" s="32"/>
      <c r="I291" s="32"/>
      <c r="J291" s="32"/>
      <c r="K291" s="32"/>
      <c r="L291" s="32"/>
      <c r="O291" s="69"/>
      <c r="V291" s="33"/>
      <c r="W291" s="33"/>
      <c r="X291" s="34"/>
      <c r="Y291" s="35"/>
      <c r="Z291" s="34"/>
      <c r="AA291" s="35"/>
      <c r="AB291" s="34"/>
      <c r="AC291" s="36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  <c r="BG291" s="60"/>
      <c r="BH291" s="60"/>
      <c r="BI291" s="60"/>
      <c r="BJ291" s="60"/>
      <c r="BK291" s="60"/>
    </row>
    <row r="292" spans="2:63" s="28" customFormat="1">
      <c r="B292" s="27"/>
      <c r="D292" s="29"/>
      <c r="E292" s="30"/>
      <c r="G292" s="31"/>
      <c r="H292" s="32"/>
      <c r="I292" s="32"/>
      <c r="J292" s="32"/>
      <c r="K292" s="32"/>
      <c r="L292" s="32"/>
      <c r="O292" s="67"/>
      <c r="V292" s="33"/>
      <c r="W292" s="33"/>
      <c r="X292" s="34"/>
      <c r="Y292" s="35"/>
      <c r="Z292" s="34"/>
      <c r="AA292" s="35"/>
      <c r="AB292" s="34"/>
      <c r="AC292" s="36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  <c r="BG292" s="60"/>
      <c r="BH292" s="60"/>
      <c r="BI292" s="60"/>
      <c r="BJ292" s="60"/>
      <c r="BK292" s="60"/>
    </row>
    <row r="293" spans="2:63" s="28" customFormat="1">
      <c r="B293" s="27"/>
      <c r="D293" s="29"/>
      <c r="E293" s="30"/>
      <c r="G293" s="31"/>
      <c r="H293" s="32"/>
      <c r="I293" s="32"/>
      <c r="J293" s="32"/>
      <c r="K293" s="32"/>
      <c r="L293" s="32"/>
      <c r="O293" s="76"/>
      <c r="V293" s="33"/>
      <c r="W293" s="33"/>
      <c r="X293" s="34"/>
      <c r="Y293" s="35"/>
      <c r="Z293" s="34"/>
      <c r="AA293" s="35"/>
      <c r="AB293" s="34"/>
      <c r="AC293" s="36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  <c r="BH293" s="60"/>
      <c r="BI293" s="60"/>
      <c r="BJ293" s="60"/>
      <c r="BK293" s="60"/>
    </row>
    <row r="294" spans="2:63" s="28" customFormat="1">
      <c r="B294" s="27"/>
      <c r="D294" s="29"/>
      <c r="E294" s="30"/>
      <c r="G294" s="31"/>
      <c r="H294" s="32"/>
      <c r="I294" s="32"/>
      <c r="J294" s="32"/>
      <c r="K294" s="32"/>
      <c r="L294" s="32"/>
      <c r="O294" s="65"/>
      <c r="V294" s="33"/>
      <c r="W294" s="33"/>
      <c r="X294" s="34"/>
      <c r="Y294" s="35"/>
      <c r="Z294" s="34"/>
      <c r="AA294" s="35"/>
      <c r="AB294" s="34"/>
      <c r="AC294" s="36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  <c r="BG294" s="60"/>
      <c r="BH294" s="60"/>
      <c r="BI294" s="60"/>
      <c r="BJ294" s="60"/>
      <c r="BK294" s="60"/>
    </row>
    <row r="295" spans="2:63" s="28" customFormat="1">
      <c r="B295" s="27"/>
      <c r="D295" s="29"/>
      <c r="E295" s="30"/>
      <c r="G295" s="31"/>
      <c r="H295" s="32"/>
      <c r="I295" s="32"/>
      <c r="J295" s="32"/>
      <c r="K295" s="32"/>
      <c r="L295" s="32"/>
      <c r="O295" s="69"/>
      <c r="V295" s="33"/>
      <c r="W295" s="33"/>
      <c r="X295" s="34"/>
      <c r="Y295" s="35"/>
      <c r="Z295" s="34"/>
      <c r="AA295" s="35"/>
      <c r="AB295" s="34"/>
      <c r="AC295" s="36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  <c r="BG295" s="60"/>
      <c r="BH295" s="60"/>
      <c r="BI295" s="60"/>
      <c r="BJ295" s="60"/>
      <c r="BK295" s="60"/>
    </row>
    <row r="296" spans="2:63" s="28" customFormat="1">
      <c r="B296" s="27"/>
      <c r="D296" s="29"/>
      <c r="E296" s="30"/>
      <c r="G296" s="31"/>
      <c r="H296" s="32"/>
      <c r="I296" s="32"/>
      <c r="J296" s="32"/>
      <c r="K296" s="32"/>
      <c r="L296" s="32"/>
      <c r="O296" s="69"/>
      <c r="V296" s="33"/>
      <c r="W296" s="33"/>
      <c r="X296" s="34"/>
      <c r="Y296" s="35"/>
      <c r="Z296" s="34"/>
      <c r="AA296" s="35"/>
      <c r="AB296" s="34"/>
      <c r="AC296" s="36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  <c r="BG296" s="60"/>
      <c r="BH296" s="60"/>
      <c r="BI296" s="60"/>
      <c r="BJ296" s="60"/>
      <c r="BK296" s="60"/>
    </row>
    <row r="297" spans="2:63" s="28" customFormat="1">
      <c r="B297" s="27"/>
      <c r="D297" s="29"/>
      <c r="E297" s="30"/>
      <c r="G297" s="31"/>
      <c r="H297" s="32"/>
      <c r="I297" s="32"/>
      <c r="J297" s="32"/>
      <c r="K297" s="32"/>
      <c r="L297" s="32"/>
      <c r="O297" s="71"/>
      <c r="V297" s="33"/>
      <c r="W297" s="33"/>
      <c r="X297" s="34"/>
      <c r="Y297" s="35"/>
      <c r="Z297" s="34"/>
      <c r="AA297" s="35"/>
      <c r="AB297" s="34"/>
      <c r="AC297" s="36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  <c r="BG297" s="60"/>
      <c r="BH297" s="60"/>
      <c r="BI297" s="60"/>
      <c r="BJ297" s="60"/>
      <c r="BK297" s="60"/>
    </row>
    <row r="298" spans="2:63" s="28" customFormat="1">
      <c r="B298" s="27"/>
      <c r="D298" s="29"/>
      <c r="E298" s="30"/>
      <c r="G298" s="31"/>
      <c r="H298" s="32"/>
      <c r="I298" s="32"/>
      <c r="J298" s="32"/>
      <c r="K298" s="32"/>
      <c r="L298" s="32"/>
      <c r="O298" s="71"/>
      <c r="V298" s="33"/>
      <c r="W298" s="33"/>
      <c r="X298" s="34"/>
      <c r="Y298" s="35"/>
      <c r="Z298" s="34"/>
      <c r="AA298" s="35"/>
      <c r="AB298" s="34"/>
      <c r="AC298" s="36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  <c r="BG298" s="60"/>
      <c r="BH298" s="60"/>
      <c r="BI298" s="60"/>
      <c r="BJ298" s="60"/>
      <c r="BK298" s="60"/>
    </row>
    <row r="299" spans="2:63" s="28" customFormat="1">
      <c r="B299" s="27"/>
      <c r="D299" s="29"/>
      <c r="E299" s="30"/>
      <c r="G299" s="31"/>
      <c r="H299" s="32"/>
      <c r="I299" s="32"/>
      <c r="J299" s="32"/>
      <c r="K299" s="32"/>
      <c r="L299" s="32"/>
      <c r="O299" s="70"/>
      <c r="V299" s="33"/>
      <c r="W299" s="33"/>
      <c r="X299" s="34"/>
      <c r="Y299" s="35"/>
      <c r="Z299" s="34"/>
      <c r="AA299" s="35"/>
      <c r="AB299" s="34"/>
      <c r="AC299" s="36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  <c r="BG299" s="60"/>
      <c r="BH299" s="60"/>
      <c r="BI299" s="60"/>
      <c r="BJ299" s="60"/>
      <c r="BK299" s="60"/>
    </row>
    <row r="300" spans="2:63" s="28" customFormat="1">
      <c r="B300" s="27"/>
      <c r="D300" s="29"/>
      <c r="E300" s="30"/>
      <c r="G300" s="31"/>
      <c r="H300" s="32"/>
      <c r="I300" s="32"/>
      <c r="J300" s="32"/>
      <c r="K300" s="32"/>
      <c r="L300" s="32"/>
      <c r="O300" s="67"/>
      <c r="V300" s="33"/>
      <c r="W300" s="33"/>
      <c r="X300" s="34"/>
      <c r="Y300" s="35"/>
      <c r="Z300" s="34"/>
      <c r="AA300" s="35"/>
      <c r="AB300" s="34"/>
      <c r="AC300" s="36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  <c r="BG300" s="60"/>
      <c r="BH300" s="60"/>
      <c r="BI300" s="60"/>
      <c r="BJ300" s="60"/>
      <c r="BK300" s="60"/>
    </row>
    <row r="301" spans="2:63" s="28" customFormat="1">
      <c r="B301" s="27"/>
      <c r="D301" s="29"/>
      <c r="E301" s="30"/>
      <c r="G301" s="31"/>
      <c r="H301" s="32"/>
      <c r="I301" s="32"/>
      <c r="J301" s="32"/>
      <c r="K301" s="32"/>
      <c r="L301" s="32"/>
      <c r="O301" s="65"/>
      <c r="V301" s="33"/>
      <c r="W301" s="33"/>
      <c r="X301" s="34"/>
      <c r="Y301" s="35"/>
      <c r="Z301" s="34"/>
      <c r="AA301" s="35"/>
      <c r="AB301" s="34"/>
      <c r="AC301" s="36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  <c r="BG301" s="60"/>
      <c r="BH301" s="60"/>
      <c r="BI301" s="60"/>
      <c r="BJ301" s="60"/>
      <c r="BK301" s="60"/>
    </row>
    <row r="302" spans="2:63" s="28" customFormat="1">
      <c r="B302" s="27"/>
      <c r="D302" s="29"/>
      <c r="E302" s="30"/>
      <c r="G302" s="31"/>
      <c r="H302" s="32"/>
      <c r="I302" s="32"/>
      <c r="J302" s="32"/>
      <c r="K302" s="32"/>
      <c r="L302" s="32"/>
      <c r="O302" s="65"/>
      <c r="V302" s="33"/>
      <c r="W302" s="33"/>
      <c r="X302" s="34"/>
      <c r="Y302" s="35"/>
      <c r="Z302" s="34"/>
      <c r="AA302" s="35"/>
      <c r="AB302" s="34"/>
      <c r="AC302" s="36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  <c r="BG302" s="60"/>
      <c r="BH302" s="60"/>
      <c r="BI302" s="60"/>
      <c r="BJ302" s="60"/>
      <c r="BK302" s="60"/>
    </row>
    <row r="303" spans="2:63" s="28" customFormat="1">
      <c r="B303" s="27"/>
      <c r="D303" s="29"/>
      <c r="E303" s="30"/>
      <c r="G303" s="31"/>
      <c r="H303" s="32"/>
      <c r="I303" s="32"/>
      <c r="J303" s="32"/>
      <c r="K303" s="32"/>
      <c r="L303" s="32"/>
      <c r="O303" s="65"/>
      <c r="V303" s="33"/>
      <c r="W303" s="33"/>
      <c r="X303" s="34"/>
      <c r="Y303" s="35"/>
      <c r="Z303" s="34"/>
      <c r="AA303" s="35"/>
      <c r="AB303" s="34"/>
      <c r="AC303" s="36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  <c r="BG303" s="60"/>
      <c r="BH303" s="60"/>
      <c r="BI303" s="60"/>
      <c r="BJ303" s="60"/>
      <c r="BK303" s="60"/>
    </row>
    <row r="304" spans="2:63" s="28" customFormat="1">
      <c r="B304" s="27"/>
      <c r="D304" s="29"/>
      <c r="E304" s="30"/>
      <c r="G304" s="31"/>
      <c r="H304" s="32"/>
      <c r="I304" s="32"/>
      <c r="J304" s="32"/>
      <c r="K304" s="32"/>
      <c r="L304" s="32"/>
      <c r="O304" s="69"/>
      <c r="V304" s="33"/>
      <c r="W304" s="33"/>
      <c r="X304" s="34"/>
      <c r="Y304" s="35"/>
      <c r="Z304" s="34"/>
      <c r="AA304" s="35"/>
      <c r="AB304" s="34"/>
      <c r="AC304" s="36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  <c r="BG304" s="60"/>
      <c r="BH304" s="60"/>
      <c r="BI304" s="60"/>
      <c r="BJ304" s="60"/>
      <c r="BK304" s="60"/>
    </row>
    <row r="305" spans="2:63" s="28" customFormat="1">
      <c r="B305" s="27"/>
      <c r="D305" s="29"/>
      <c r="E305" s="30"/>
      <c r="G305" s="31"/>
      <c r="H305" s="32"/>
      <c r="I305" s="32"/>
      <c r="J305" s="32"/>
      <c r="K305" s="32"/>
      <c r="L305" s="32"/>
      <c r="O305" s="69"/>
      <c r="V305" s="33"/>
      <c r="W305" s="33"/>
      <c r="X305" s="34"/>
      <c r="Y305" s="35"/>
      <c r="Z305" s="34"/>
      <c r="AA305" s="35"/>
      <c r="AB305" s="34"/>
      <c r="AC305" s="36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60"/>
      <c r="BH305" s="60"/>
      <c r="BI305" s="60"/>
      <c r="BJ305" s="60"/>
      <c r="BK305" s="60"/>
    </row>
    <row r="306" spans="2:63" s="28" customFormat="1">
      <c r="B306" s="27"/>
      <c r="D306" s="29"/>
      <c r="E306" s="30"/>
      <c r="G306" s="31"/>
      <c r="H306" s="32"/>
      <c r="I306" s="32"/>
      <c r="J306" s="32"/>
      <c r="K306" s="32"/>
      <c r="L306" s="32"/>
      <c r="O306" s="76"/>
      <c r="V306" s="33"/>
      <c r="W306" s="33"/>
      <c r="X306" s="34"/>
      <c r="Y306" s="35"/>
      <c r="Z306" s="34"/>
      <c r="AA306" s="35"/>
      <c r="AB306" s="34"/>
      <c r="AC306" s="36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  <c r="BB306" s="60"/>
      <c r="BC306" s="60"/>
      <c r="BD306" s="60"/>
      <c r="BE306" s="60"/>
      <c r="BF306" s="60"/>
      <c r="BG306" s="60"/>
      <c r="BH306" s="60"/>
      <c r="BI306" s="60"/>
      <c r="BJ306" s="60"/>
      <c r="BK306" s="60"/>
    </row>
    <row r="307" spans="2:63" s="28" customFormat="1">
      <c r="B307" s="27"/>
      <c r="D307" s="29"/>
      <c r="E307" s="30"/>
      <c r="G307" s="31"/>
      <c r="H307" s="32"/>
      <c r="I307" s="32"/>
      <c r="J307" s="32"/>
      <c r="K307" s="32"/>
      <c r="L307" s="32"/>
      <c r="O307" s="65"/>
      <c r="V307" s="33"/>
      <c r="W307" s="33"/>
      <c r="X307" s="34"/>
      <c r="Y307" s="35"/>
      <c r="Z307" s="34"/>
      <c r="AA307" s="35"/>
      <c r="AB307" s="34"/>
      <c r="AC307" s="36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  <c r="BG307" s="60"/>
      <c r="BH307" s="60"/>
      <c r="BI307" s="60"/>
      <c r="BJ307" s="60"/>
      <c r="BK307" s="60"/>
    </row>
    <row r="308" spans="2:63" s="28" customFormat="1">
      <c r="B308" s="27"/>
      <c r="D308" s="29"/>
      <c r="E308" s="30"/>
      <c r="G308" s="31"/>
      <c r="H308" s="32"/>
      <c r="I308" s="32"/>
      <c r="J308" s="32"/>
      <c r="K308" s="32"/>
      <c r="L308" s="32"/>
      <c r="O308" s="68"/>
      <c r="V308" s="33"/>
      <c r="W308" s="33"/>
      <c r="X308" s="34"/>
      <c r="Y308" s="35"/>
      <c r="Z308" s="34"/>
      <c r="AA308" s="35"/>
      <c r="AB308" s="34"/>
      <c r="AC308" s="36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0"/>
      <c r="BB308" s="60"/>
      <c r="BC308" s="60"/>
      <c r="BD308" s="60"/>
      <c r="BE308" s="60"/>
      <c r="BF308" s="60"/>
      <c r="BG308" s="60"/>
      <c r="BH308" s="60"/>
      <c r="BI308" s="60"/>
      <c r="BJ308" s="60"/>
      <c r="BK308" s="60"/>
    </row>
    <row r="309" spans="2:63" s="28" customFormat="1">
      <c r="B309" s="27"/>
      <c r="D309" s="29"/>
      <c r="E309" s="30"/>
      <c r="G309" s="31"/>
      <c r="H309" s="32"/>
      <c r="I309" s="32"/>
      <c r="J309" s="32"/>
      <c r="K309" s="32"/>
      <c r="L309" s="32"/>
      <c r="O309" s="69"/>
      <c r="V309" s="33"/>
      <c r="W309" s="33"/>
      <c r="X309" s="34"/>
      <c r="Y309" s="35"/>
      <c r="Z309" s="34"/>
      <c r="AA309" s="35"/>
      <c r="AB309" s="34"/>
      <c r="AC309" s="36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  <c r="BG309" s="60"/>
      <c r="BH309" s="60"/>
      <c r="BI309" s="60"/>
      <c r="BJ309" s="60"/>
      <c r="BK309" s="60"/>
    </row>
    <row r="310" spans="2:63" s="28" customFormat="1">
      <c r="B310" s="27"/>
      <c r="D310" s="29"/>
      <c r="E310" s="30"/>
      <c r="G310" s="31"/>
      <c r="H310" s="32"/>
      <c r="I310" s="32"/>
      <c r="J310" s="32"/>
      <c r="K310" s="32"/>
      <c r="L310" s="32"/>
      <c r="O310" s="69"/>
      <c r="V310" s="33"/>
      <c r="W310" s="33"/>
      <c r="X310" s="34"/>
      <c r="Y310" s="35"/>
      <c r="Z310" s="34"/>
      <c r="AA310" s="35"/>
      <c r="AB310" s="34"/>
      <c r="AC310" s="36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60"/>
      <c r="BJ310" s="60"/>
      <c r="BK310" s="60"/>
    </row>
    <row r="311" spans="2:63" s="28" customFormat="1">
      <c r="B311" s="27"/>
      <c r="D311" s="29"/>
      <c r="E311" s="30"/>
      <c r="G311" s="31"/>
      <c r="H311" s="32"/>
      <c r="I311" s="32"/>
      <c r="J311" s="32"/>
      <c r="K311" s="32"/>
      <c r="L311" s="32"/>
      <c r="O311" s="72"/>
      <c r="V311" s="33"/>
      <c r="W311" s="33"/>
      <c r="X311" s="34"/>
      <c r="Y311" s="35"/>
      <c r="Z311" s="34"/>
      <c r="AA311" s="35"/>
      <c r="AB311" s="34"/>
      <c r="AC311" s="36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60"/>
      <c r="BH311" s="60"/>
      <c r="BI311" s="60"/>
      <c r="BJ311" s="60"/>
      <c r="BK311" s="60"/>
    </row>
    <row r="312" spans="2:63" s="28" customFormat="1">
      <c r="B312" s="27"/>
      <c r="D312" s="29"/>
      <c r="E312" s="30"/>
      <c r="G312" s="31"/>
      <c r="H312" s="32"/>
      <c r="I312" s="32"/>
      <c r="J312" s="32"/>
      <c r="K312" s="32"/>
      <c r="L312" s="32"/>
      <c r="O312" s="76"/>
      <c r="V312" s="33"/>
      <c r="W312" s="33"/>
      <c r="X312" s="34"/>
      <c r="Y312" s="35"/>
      <c r="Z312" s="34"/>
      <c r="AA312" s="35"/>
      <c r="AB312" s="34"/>
      <c r="AC312" s="36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0"/>
      <c r="BB312" s="60"/>
      <c r="BC312" s="60"/>
      <c r="BD312" s="60"/>
      <c r="BE312" s="60"/>
      <c r="BF312" s="60"/>
      <c r="BG312" s="60"/>
      <c r="BH312" s="60"/>
      <c r="BI312" s="60"/>
      <c r="BJ312" s="60"/>
      <c r="BK312" s="60"/>
    </row>
    <row r="313" spans="2:63" s="28" customFormat="1">
      <c r="B313" s="27"/>
      <c r="D313" s="29"/>
      <c r="E313" s="30"/>
      <c r="G313" s="31"/>
      <c r="H313" s="32"/>
      <c r="I313" s="32"/>
      <c r="J313" s="32"/>
      <c r="K313" s="32"/>
      <c r="L313" s="32"/>
      <c r="O313" s="64"/>
      <c r="V313" s="33"/>
      <c r="W313" s="33"/>
      <c r="X313" s="34"/>
      <c r="Y313" s="35"/>
      <c r="Z313" s="34"/>
      <c r="AA313" s="35"/>
      <c r="AB313" s="34"/>
      <c r="AC313" s="36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  <c r="BG313" s="60"/>
      <c r="BH313" s="60"/>
      <c r="BI313" s="60"/>
      <c r="BJ313" s="60"/>
      <c r="BK313" s="60"/>
    </row>
    <row r="314" spans="2:63" s="28" customFormat="1">
      <c r="B314" s="27"/>
      <c r="D314" s="29"/>
      <c r="E314" s="30"/>
      <c r="G314" s="31"/>
      <c r="H314" s="32"/>
      <c r="I314" s="32"/>
      <c r="J314" s="32"/>
      <c r="K314" s="32"/>
      <c r="L314" s="32"/>
      <c r="O314" s="72"/>
      <c r="V314" s="33"/>
      <c r="W314" s="33"/>
      <c r="X314" s="34"/>
      <c r="Y314" s="35"/>
      <c r="Z314" s="34"/>
      <c r="AA314" s="35"/>
      <c r="AB314" s="34"/>
      <c r="AC314" s="36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60"/>
      <c r="BJ314" s="60"/>
      <c r="BK314" s="60"/>
    </row>
    <row r="315" spans="2:63" s="28" customFormat="1">
      <c r="B315" s="27"/>
      <c r="D315" s="29"/>
      <c r="E315" s="30"/>
      <c r="G315" s="31"/>
      <c r="H315" s="32"/>
      <c r="I315" s="32"/>
      <c r="J315" s="32"/>
      <c r="K315" s="32"/>
      <c r="L315" s="32"/>
      <c r="O315" s="65"/>
      <c r="V315" s="33"/>
      <c r="W315" s="33"/>
      <c r="X315" s="34"/>
      <c r="Y315" s="35"/>
      <c r="Z315" s="34"/>
      <c r="AA315" s="35"/>
      <c r="AB315" s="34"/>
      <c r="AC315" s="36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60"/>
      <c r="BJ315" s="60"/>
      <c r="BK315" s="60"/>
    </row>
    <row r="316" spans="2:63" s="28" customFormat="1">
      <c r="B316" s="27"/>
      <c r="D316" s="29"/>
      <c r="E316" s="30"/>
      <c r="G316" s="31"/>
      <c r="H316" s="32"/>
      <c r="I316" s="32"/>
      <c r="J316" s="32"/>
      <c r="K316" s="32"/>
      <c r="L316" s="32"/>
      <c r="O316" s="65"/>
      <c r="V316" s="33"/>
      <c r="W316" s="33"/>
      <c r="X316" s="34"/>
      <c r="Y316" s="35"/>
      <c r="Z316" s="34"/>
      <c r="AA316" s="35"/>
      <c r="AB316" s="34"/>
      <c r="AC316" s="36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  <c r="BG316" s="60"/>
      <c r="BH316" s="60"/>
      <c r="BI316" s="60"/>
      <c r="BJ316" s="60"/>
      <c r="BK316" s="60"/>
    </row>
    <row r="317" spans="2:63" s="28" customFormat="1">
      <c r="B317" s="27"/>
      <c r="D317" s="29"/>
      <c r="E317" s="30"/>
      <c r="G317" s="31"/>
      <c r="H317" s="32"/>
      <c r="I317" s="32"/>
      <c r="J317" s="32"/>
      <c r="K317" s="32"/>
      <c r="L317" s="32"/>
      <c r="O317" s="71"/>
      <c r="V317" s="33"/>
      <c r="W317" s="33"/>
      <c r="X317" s="34"/>
      <c r="Y317" s="35"/>
      <c r="Z317" s="34"/>
      <c r="AA317" s="35"/>
      <c r="AB317" s="34"/>
      <c r="AC317" s="36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  <c r="BG317" s="60"/>
      <c r="BH317" s="60"/>
      <c r="BI317" s="60"/>
      <c r="BJ317" s="60"/>
      <c r="BK317" s="60"/>
    </row>
    <row r="318" spans="2:63" s="28" customFormat="1">
      <c r="B318" s="27"/>
      <c r="D318" s="29"/>
      <c r="E318" s="30"/>
      <c r="G318" s="31"/>
      <c r="H318" s="32"/>
      <c r="I318" s="32"/>
      <c r="J318" s="32"/>
      <c r="K318" s="32"/>
      <c r="L318" s="32"/>
      <c r="O318" s="68"/>
      <c r="V318" s="33"/>
      <c r="W318" s="33"/>
      <c r="X318" s="34"/>
      <c r="Y318" s="35"/>
      <c r="Z318" s="34"/>
      <c r="AA318" s="35"/>
      <c r="AB318" s="34"/>
      <c r="AC318" s="36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  <c r="BG318" s="60"/>
      <c r="BH318" s="60"/>
      <c r="BI318" s="60"/>
      <c r="BJ318" s="60"/>
      <c r="BK318" s="60"/>
    </row>
    <row r="319" spans="2:63" s="28" customFormat="1">
      <c r="B319" s="27"/>
      <c r="D319" s="29"/>
      <c r="E319" s="30"/>
      <c r="G319" s="31"/>
      <c r="H319" s="32"/>
      <c r="I319" s="32"/>
      <c r="J319" s="32"/>
      <c r="K319" s="32"/>
      <c r="L319" s="32"/>
      <c r="O319" s="82"/>
      <c r="V319" s="33"/>
      <c r="W319" s="33"/>
      <c r="X319" s="34"/>
      <c r="Y319" s="35"/>
      <c r="Z319" s="34"/>
      <c r="AA319" s="35"/>
      <c r="AB319" s="34"/>
      <c r="AC319" s="36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60"/>
      <c r="BH319" s="60"/>
      <c r="BI319" s="60"/>
      <c r="BJ319" s="60"/>
      <c r="BK319" s="60"/>
    </row>
    <row r="320" spans="2:63" s="28" customFormat="1">
      <c r="B320" s="27"/>
      <c r="D320" s="29"/>
      <c r="E320" s="30"/>
      <c r="G320" s="31"/>
      <c r="H320" s="32"/>
      <c r="I320" s="32"/>
      <c r="J320" s="32"/>
      <c r="K320" s="32"/>
      <c r="L320" s="32"/>
      <c r="O320" s="83"/>
      <c r="V320" s="33"/>
      <c r="W320" s="33"/>
      <c r="X320" s="34"/>
      <c r="Y320" s="35"/>
      <c r="Z320" s="34"/>
      <c r="AA320" s="35"/>
      <c r="AB320" s="34"/>
      <c r="AC320" s="36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  <c r="BG320" s="60"/>
      <c r="BH320" s="60"/>
      <c r="BI320" s="60"/>
      <c r="BJ320" s="60"/>
      <c r="BK320" s="60"/>
    </row>
    <row r="321" spans="2:63" s="28" customFormat="1">
      <c r="B321" s="27"/>
      <c r="D321" s="29"/>
      <c r="E321" s="30"/>
      <c r="G321" s="31"/>
      <c r="H321" s="32"/>
      <c r="I321" s="32"/>
      <c r="J321" s="32"/>
      <c r="K321" s="32"/>
      <c r="L321" s="32"/>
      <c r="O321" s="65"/>
      <c r="V321" s="33"/>
      <c r="W321" s="33"/>
      <c r="X321" s="34"/>
      <c r="Y321" s="35"/>
      <c r="Z321" s="34"/>
      <c r="AA321" s="35"/>
      <c r="AB321" s="34"/>
      <c r="AC321" s="36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0"/>
      <c r="BH321" s="60"/>
      <c r="BI321" s="60"/>
      <c r="BJ321" s="60"/>
      <c r="BK321" s="60"/>
    </row>
    <row r="322" spans="2:63" s="28" customFormat="1">
      <c r="B322" s="27"/>
      <c r="D322" s="29"/>
      <c r="E322" s="30"/>
      <c r="G322" s="31"/>
      <c r="H322" s="32"/>
      <c r="I322" s="32"/>
      <c r="J322" s="32"/>
      <c r="K322" s="32"/>
      <c r="L322" s="32"/>
      <c r="O322" s="72"/>
      <c r="V322" s="33"/>
      <c r="W322" s="33"/>
      <c r="X322" s="34"/>
      <c r="Y322" s="35"/>
      <c r="Z322" s="34"/>
      <c r="AA322" s="35"/>
      <c r="AB322" s="34"/>
      <c r="AC322" s="36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  <c r="BG322" s="60"/>
      <c r="BH322" s="60"/>
      <c r="BI322" s="60"/>
      <c r="BJ322" s="60"/>
      <c r="BK322" s="60"/>
    </row>
    <row r="323" spans="2:63" s="28" customFormat="1">
      <c r="B323" s="27"/>
      <c r="D323" s="29"/>
      <c r="E323" s="30"/>
      <c r="G323" s="31"/>
      <c r="H323" s="32"/>
      <c r="I323" s="32"/>
      <c r="J323" s="32"/>
      <c r="K323" s="32"/>
      <c r="L323" s="32"/>
      <c r="O323" s="68"/>
      <c r="V323" s="33"/>
      <c r="W323" s="33"/>
      <c r="X323" s="34"/>
      <c r="Y323" s="35"/>
      <c r="Z323" s="34"/>
      <c r="AA323" s="35"/>
      <c r="AB323" s="34"/>
      <c r="AC323" s="36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  <c r="BG323" s="60"/>
      <c r="BH323" s="60"/>
      <c r="BI323" s="60"/>
      <c r="BJ323" s="60"/>
      <c r="BK323" s="60"/>
    </row>
    <row r="324" spans="2:63" s="28" customFormat="1">
      <c r="B324" s="27"/>
      <c r="D324" s="29"/>
      <c r="E324" s="30"/>
      <c r="G324" s="31"/>
      <c r="H324" s="32"/>
      <c r="I324" s="32"/>
      <c r="J324" s="32"/>
      <c r="K324" s="32"/>
      <c r="L324" s="32"/>
      <c r="O324" s="65"/>
      <c r="V324" s="33"/>
      <c r="W324" s="33"/>
      <c r="X324" s="34"/>
      <c r="Y324" s="35"/>
      <c r="Z324" s="34"/>
      <c r="AA324" s="35"/>
      <c r="AB324" s="34"/>
      <c r="AC324" s="36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  <c r="BG324" s="60"/>
      <c r="BH324" s="60"/>
      <c r="BI324" s="60"/>
      <c r="BJ324" s="60"/>
      <c r="BK324" s="60"/>
    </row>
    <row r="325" spans="2:63" s="28" customFormat="1">
      <c r="B325" s="27"/>
      <c r="D325" s="29"/>
      <c r="E325" s="30"/>
      <c r="G325" s="31"/>
      <c r="H325" s="32"/>
      <c r="I325" s="32"/>
      <c r="J325" s="32"/>
      <c r="K325" s="32"/>
      <c r="L325" s="32"/>
      <c r="O325" s="69"/>
      <c r="V325" s="33"/>
      <c r="W325" s="33"/>
      <c r="X325" s="34"/>
      <c r="Y325" s="35"/>
      <c r="Z325" s="34"/>
      <c r="AA325" s="35"/>
      <c r="AB325" s="34"/>
      <c r="AC325" s="36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  <c r="BG325" s="60"/>
      <c r="BH325" s="60"/>
      <c r="BI325" s="60"/>
      <c r="BJ325" s="60"/>
      <c r="BK325" s="60"/>
    </row>
    <row r="326" spans="2:63" s="28" customFormat="1">
      <c r="B326" s="27"/>
      <c r="D326" s="29"/>
      <c r="E326" s="30"/>
      <c r="G326" s="31"/>
      <c r="H326" s="32"/>
      <c r="I326" s="32"/>
      <c r="J326" s="32"/>
      <c r="K326" s="32"/>
      <c r="L326" s="32"/>
      <c r="O326" s="67"/>
      <c r="V326" s="33"/>
      <c r="W326" s="33"/>
      <c r="X326" s="34"/>
      <c r="Y326" s="35"/>
      <c r="Z326" s="34"/>
      <c r="AA326" s="35"/>
      <c r="AB326" s="34"/>
      <c r="AC326" s="36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  <c r="BG326" s="60"/>
      <c r="BH326" s="60"/>
      <c r="BI326" s="60"/>
      <c r="BJ326" s="60"/>
      <c r="BK326" s="60"/>
    </row>
    <row r="327" spans="2:63" s="28" customFormat="1">
      <c r="B327" s="27"/>
      <c r="D327" s="29"/>
      <c r="E327" s="30"/>
      <c r="G327" s="31"/>
      <c r="H327" s="32"/>
      <c r="I327" s="32"/>
      <c r="J327" s="32"/>
      <c r="K327" s="32"/>
      <c r="L327" s="32"/>
      <c r="O327" s="64"/>
      <c r="V327" s="33"/>
      <c r="W327" s="33"/>
      <c r="X327" s="34"/>
      <c r="Y327" s="35"/>
      <c r="Z327" s="34"/>
      <c r="AA327" s="35"/>
      <c r="AB327" s="34"/>
      <c r="AC327" s="36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  <c r="BG327" s="60"/>
      <c r="BH327" s="60"/>
      <c r="BI327" s="60"/>
      <c r="BJ327" s="60"/>
      <c r="BK327" s="60"/>
    </row>
    <row r="328" spans="2:63" s="28" customFormat="1">
      <c r="B328" s="27"/>
      <c r="D328" s="29"/>
      <c r="E328" s="30"/>
      <c r="G328" s="31"/>
      <c r="H328" s="32"/>
      <c r="I328" s="32"/>
      <c r="J328" s="32"/>
      <c r="K328" s="32"/>
      <c r="L328" s="32"/>
      <c r="O328" s="69"/>
      <c r="V328" s="33"/>
      <c r="W328" s="33"/>
      <c r="X328" s="34"/>
      <c r="Y328" s="35"/>
      <c r="Z328" s="34"/>
      <c r="AA328" s="35"/>
      <c r="AB328" s="34"/>
      <c r="AC328" s="36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  <c r="BG328" s="60"/>
      <c r="BH328" s="60"/>
      <c r="BI328" s="60"/>
      <c r="BJ328" s="60"/>
      <c r="BK328" s="60"/>
    </row>
    <row r="329" spans="2:63" s="28" customFormat="1">
      <c r="B329" s="27"/>
      <c r="D329" s="29"/>
      <c r="E329" s="30"/>
      <c r="G329" s="31"/>
      <c r="H329" s="32"/>
      <c r="I329" s="32"/>
      <c r="J329" s="32"/>
      <c r="K329" s="32"/>
      <c r="L329" s="32"/>
      <c r="O329" s="65"/>
      <c r="V329" s="33"/>
      <c r="W329" s="33"/>
      <c r="X329" s="34"/>
      <c r="Y329" s="35"/>
      <c r="Z329" s="34"/>
      <c r="AA329" s="35"/>
      <c r="AB329" s="34"/>
      <c r="AC329" s="36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  <c r="BG329" s="60"/>
      <c r="BH329" s="60"/>
      <c r="BI329" s="60"/>
      <c r="BJ329" s="60"/>
      <c r="BK329" s="60"/>
    </row>
    <row r="330" spans="2:63" s="28" customFormat="1">
      <c r="B330" s="27"/>
      <c r="D330" s="29"/>
      <c r="E330" s="30"/>
      <c r="G330" s="31"/>
      <c r="H330" s="32"/>
      <c r="I330" s="32"/>
      <c r="J330" s="32"/>
      <c r="K330" s="32"/>
      <c r="L330" s="32"/>
      <c r="O330" s="70"/>
      <c r="V330" s="33"/>
      <c r="W330" s="33"/>
      <c r="X330" s="34"/>
      <c r="Y330" s="35"/>
      <c r="Z330" s="34"/>
      <c r="AA330" s="35"/>
      <c r="AB330" s="34"/>
      <c r="AC330" s="36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  <c r="BG330" s="60"/>
      <c r="BH330" s="60"/>
      <c r="BI330" s="60"/>
      <c r="BJ330" s="60"/>
      <c r="BK330" s="60"/>
    </row>
    <row r="331" spans="2:63" s="28" customFormat="1">
      <c r="B331" s="27"/>
      <c r="D331" s="29"/>
      <c r="E331" s="30"/>
      <c r="G331" s="31"/>
      <c r="H331" s="32"/>
      <c r="I331" s="32"/>
      <c r="J331" s="32"/>
      <c r="K331" s="32"/>
      <c r="L331" s="32"/>
      <c r="O331" s="65"/>
      <c r="V331" s="33"/>
      <c r="W331" s="33"/>
      <c r="X331" s="34"/>
      <c r="Y331" s="35"/>
      <c r="Z331" s="34"/>
      <c r="AA331" s="35"/>
      <c r="AB331" s="34"/>
      <c r="AC331" s="36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  <c r="BG331" s="60"/>
      <c r="BH331" s="60"/>
      <c r="BI331" s="60"/>
      <c r="BJ331" s="60"/>
      <c r="BK331" s="60"/>
    </row>
    <row r="332" spans="2:63" s="28" customFormat="1">
      <c r="B332" s="27"/>
      <c r="D332" s="29"/>
      <c r="E332" s="30"/>
      <c r="G332" s="31"/>
      <c r="H332" s="32"/>
      <c r="I332" s="32"/>
      <c r="J332" s="32"/>
      <c r="K332" s="32"/>
      <c r="L332" s="32"/>
      <c r="O332" s="84"/>
      <c r="V332" s="33"/>
      <c r="W332" s="33"/>
      <c r="X332" s="34"/>
      <c r="Y332" s="35"/>
      <c r="Z332" s="34"/>
      <c r="AA332" s="35"/>
      <c r="AB332" s="34"/>
      <c r="AC332" s="36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  <c r="BG332" s="60"/>
      <c r="BH332" s="60"/>
      <c r="BI332" s="60"/>
      <c r="BJ332" s="60"/>
      <c r="BK332" s="60"/>
    </row>
    <row r="333" spans="2:63" s="28" customFormat="1">
      <c r="B333" s="27"/>
      <c r="D333" s="29"/>
      <c r="E333" s="30"/>
      <c r="G333" s="31"/>
      <c r="H333" s="32"/>
      <c r="I333" s="32"/>
      <c r="J333" s="32"/>
      <c r="K333" s="32"/>
      <c r="L333" s="32"/>
      <c r="O333" s="65"/>
      <c r="V333" s="33"/>
      <c r="W333" s="33"/>
      <c r="X333" s="34"/>
      <c r="Y333" s="35"/>
      <c r="Z333" s="34"/>
      <c r="AA333" s="35"/>
      <c r="AB333" s="34"/>
      <c r="AC333" s="36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  <c r="BG333" s="60"/>
      <c r="BH333" s="60"/>
      <c r="BI333" s="60"/>
      <c r="BJ333" s="60"/>
      <c r="BK333" s="60"/>
    </row>
    <row r="334" spans="2:63" s="28" customFormat="1">
      <c r="B334" s="27"/>
      <c r="D334" s="29"/>
      <c r="E334" s="30"/>
      <c r="G334" s="31"/>
      <c r="H334" s="32"/>
      <c r="I334" s="32"/>
      <c r="J334" s="32"/>
      <c r="K334" s="32"/>
      <c r="L334" s="32"/>
      <c r="O334" s="65"/>
      <c r="V334" s="33"/>
      <c r="W334" s="33"/>
      <c r="X334" s="34"/>
      <c r="Y334" s="35"/>
      <c r="Z334" s="34"/>
      <c r="AA334" s="35"/>
      <c r="AB334" s="34"/>
      <c r="AC334" s="36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  <c r="BG334" s="60"/>
      <c r="BH334" s="60"/>
      <c r="BI334" s="60"/>
      <c r="BJ334" s="60"/>
      <c r="BK334" s="60"/>
    </row>
    <row r="335" spans="2:63" s="28" customFormat="1">
      <c r="B335" s="27"/>
      <c r="D335" s="29"/>
      <c r="E335" s="30"/>
      <c r="G335" s="31"/>
      <c r="H335" s="32"/>
      <c r="I335" s="32"/>
      <c r="J335" s="32"/>
      <c r="K335" s="32"/>
      <c r="L335" s="32"/>
      <c r="O335" s="65"/>
      <c r="V335" s="33"/>
      <c r="W335" s="33"/>
      <c r="X335" s="34"/>
      <c r="Y335" s="35"/>
      <c r="Z335" s="34"/>
      <c r="AA335" s="35"/>
      <c r="AB335" s="34"/>
      <c r="AC335" s="36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  <c r="BA335" s="60"/>
      <c r="BB335" s="60"/>
      <c r="BC335" s="60"/>
      <c r="BD335" s="60"/>
      <c r="BE335" s="60"/>
      <c r="BF335" s="60"/>
      <c r="BG335" s="60"/>
      <c r="BH335" s="60"/>
      <c r="BI335" s="60"/>
      <c r="BJ335" s="60"/>
      <c r="BK335" s="60"/>
    </row>
    <row r="336" spans="2:63" s="28" customFormat="1">
      <c r="B336" s="27"/>
      <c r="D336" s="29"/>
      <c r="E336" s="30"/>
      <c r="G336" s="31"/>
      <c r="H336" s="32"/>
      <c r="I336" s="32"/>
      <c r="J336" s="32"/>
      <c r="K336" s="32"/>
      <c r="L336" s="32"/>
      <c r="O336" s="67"/>
      <c r="V336" s="33"/>
      <c r="W336" s="33"/>
      <c r="X336" s="34"/>
      <c r="Y336" s="35"/>
      <c r="Z336" s="34"/>
      <c r="AA336" s="35"/>
      <c r="AB336" s="34"/>
      <c r="AC336" s="36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  <c r="BA336" s="60"/>
      <c r="BB336" s="60"/>
      <c r="BC336" s="60"/>
      <c r="BD336" s="60"/>
      <c r="BE336" s="60"/>
      <c r="BF336" s="60"/>
      <c r="BG336" s="60"/>
      <c r="BH336" s="60"/>
      <c r="BI336" s="60"/>
      <c r="BJ336" s="60"/>
      <c r="BK336" s="60"/>
    </row>
    <row r="337" spans="2:63" s="28" customFormat="1">
      <c r="B337" s="27"/>
      <c r="D337" s="29"/>
      <c r="E337" s="30"/>
      <c r="G337" s="31"/>
      <c r="H337" s="32"/>
      <c r="I337" s="32"/>
      <c r="J337" s="32"/>
      <c r="K337" s="32"/>
      <c r="L337" s="32"/>
      <c r="O337" s="80"/>
      <c r="V337" s="33"/>
      <c r="W337" s="33"/>
      <c r="X337" s="34"/>
      <c r="Y337" s="35"/>
      <c r="Z337" s="34"/>
      <c r="AA337" s="35"/>
      <c r="AB337" s="34"/>
      <c r="AC337" s="36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  <c r="BG337" s="60"/>
      <c r="BH337" s="60"/>
      <c r="BI337" s="60"/>
      <c r="BJ337" s="60"/>
      <c r="BK337" s="60"/>
    </row>
    <row r="338" spans="2:63" s="28" customFormat="1">
      <c r="B338" s="27"/>
      <c r="D338" s="29"/>
      <c r="E338" s="30"/>
      <c r="G338" s="31"/>
      <c r="H338" s="32"/>
      <c r="I338" s="32"/>
      <c r="J338" s="32"/>
      <c r="K338" s="32"/>
      <c r="L338" s="32"/>
      <c r="O338" s="67"/>
      <c r="V338" s="33"/>
      <c r="W338" s="33"/>
      <c r="X338" s="34"/>
      <c r="Y338" s="35"/>
      <c r="Z338" s="34"/>
      <c r="AA338" s="35"/>
      <c r="AB338" s="34"/>
      <c r="AC338" s="36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60"/>
      <c r="AQ338" s="60"/>
      <c r="AR338" s="60"/>
      <c r="AS338" s="60"/>
      <c r="AT338" s="60"/>
      <c r="AU338" s="60"/>
      <c r="AV338" s="60"/>
      <c r="AW338" s="60"/>
      <c r="AX338" s="60"/>
      <c r="AY338" s="60"/>
      <c r="AZ338" s="60"/>
      <c r="BA338" s="60"/>
      <c r="BB338" s="60"/>
      <c r="BC338" s="60"/>
      <c r="BD338" s="60"/>
      <c r="BE338" s="60"/>
      <c r="BF338" s="60"/>
      <c r="BG338" s="60"/>
      <c r="BH338" s="60"/>
      <c r="BI338" s="60"/>
      <c r="BJ338" s="60"/>
      <c r="BK338" s="60"/>
    </row>
    <row r="339" spans="2:63" s="28" customFormat="1">
      <c r="B339" s="27"/>
      <c r="D339" s="29"/>
      <c r="E339" s="30"/>
      <c r="G339" s="31"/>
      <c r="H339" s="32"/>
      <c r="I339" s="32"/>
      <c r="J339" s="32"/>
      <c r="K339" s="32"/>
      <c r="L339" s="32"/>
      <c r="O339" s="65"/>
      <c r="V339" s="33"/>
      <c r="W339" s="33"/>
      <c r="X339" s="34"/>
      <c r="Y339" s="35"/>
      <c r="Z339" s="34"/>
      <c r="AA339" s="35"/>
      <c r="AB339" s="34"/>
      <c r="AC339" s="36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60"/>
      <c r="BJ339" s="60"/>
      <c r="BK339" s="60"/>
    </row>
    <row r="340" spans="2:63" s="28" customFormat="1">
      <c r="B340" s="27"/>
      <c r="D340" s="29"/>
      <c r="E340" s="30"/>
      <c r="G340" s="31"/>
      <c r="H340" s="32"/>
      <c r="I340" s="32"/>
      <c r="J340" s="32"/>
      <c r="K340" s="32"/>
      <c r="L340" s="32"/>
      <c r="O340" s="76"/>
      <c r="V340" s="33"/>
      <c r="W340" s="33"/>
      <c r="X340" s="34"/>
      <c r="Y340" s="35"/>
      <c r="Z340" s="34"/>
      <c r="AA340" s="35"/>
      <c r="AB340" s="34"/>
      <c r="AC340" s="36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0"/>
      <c r="BB340" s="60"/>
      <c r="BC340" s="60"/>
      <c r="BD340" s="60"/>
      <c r="BE340" s="60"/>
      <c r="BF340" s="60"/>
      <c r="BG340" s="60"/>
      <c r="BH340" s="60"/>
      <c r="BI340" s="60"/>
      <c r="BJ340" s="60"/>
      <c r="BK340" s="60"/>
    </row>
    <row r="341" spans="2:63" s="28" customFormat="1">
      <c r="B341" s="27"/>
      <c r="D341" s="29"/>
      <c r="E341" s="30"/>
      <c r="G341" s="31"/>
      <c r="H341" s="32"/>
      <c r="I341" s="32"/>
      <c r="J341" s="32"/>
      <c r="K341" s="32"/>
      <c r="L341" s="32"/>
      <c r="O341" s="65"/>
      <c r="V341" s="33"/>
      <c r="W341" s="33"/>
      <c r="X341" s="34"/>
      <c r="Y341" s="35"/>
      <c r="Z341" s="34"/>
      <c r="AA341" s="35"/>
      <c r="AB341" s="34"/>
      <c r="AC341" s="36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  <c r="BG341" s="60"/>
      <c r="BH341" s="60"/>
      <c r="BI341" s="60"/>
      <c r="BJ341" s="60"/>
      <c r="BK341" s="60"/>
    </row>
    <row r="342" spans="2:63" s="28" customFormat="1">
      <c r="B342" s="27"/>
      <c r="D342" s="29"/>
      <c r="E342" s="30"/>
      <c r="G342" s="31"/>
      <c r="H342" s="32"/>
      <c r="I342" s="32"/>
      <c r="J342" s="32"/>
      <c r="K342" s="32"/>
      <c r="L342" s="32"/>
      <c r="O342" s="67"/>
      <c r="V342" s="33"/>
      <c r="W342" s="33"/>
      <c r="X342" s="34"/>
      <c r="Y342" s="35"/>
      <c r="Z342" s="34"/>
      <c r="AA342" s="35"/>
      <c r="AB342" s="34"/>
      <c r="AC342" s="36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60"/>
      <c r="AQ342" s="60"/>
      <c r="AR342" s="60"/>
      <c r="AS342" s="60"/>
      <c r="AT342" s="60"/>
      <c r="AU342" s="60"/>
      <c r="AV342" s="60"/>
      <c r="AW342" s="60"/>
      <c r="AX342" s="60"/>
      <c r="AY342" s="60"/>
      <c r="AZ342" s="60"/>
      <c r="BA342" s="60"/>
      <c r="BB342" s="60"/>
      <c r="BC342" s="60"/>
      <c r="BD342" s="60"/>
      <c r="BE342" s="60"/>
      <c r="BF342" s="60"/>
      <c r="BG342" s="60"/>
      <c r="BH342" s="60"/>
      <c r="BI342" s="60"/>
      <c r="BJ342" s="60"/>
      <c r="BK342" s="60"/>
    </row>
    <row r="343" spans="2:63" s="28" customFormat="1">
      <c r="B343" s="27"/>
      <c r="D343" s="29"/>
      <c r="E343" s="30"/>
      <c r="G343" s="31"/>
      <c r="H343" s="32"/>
      <c r="I343" s="32"/>
      <c r="J343" s="32"/>
      <c r="K343" s="32"/>
      <c r="L343" s="32"/>
      <c r="O343" s="67"/>
      <c r="V343" s="33"/>
      <c r="W343" s="33"/>
      <c r="X343" s="34"/>
      <c r="Y343" s="35"/>
      <c r="Z343" s="34"/>
      <c r="AA343" s="35"/>
      <c r="AB343" s="34"/>
      <c r="AC343" s="36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60"/>
      <c r="BJ343" s="60"/>
      <c r="BK343" s="60"/>
    </row>
    <row r="344" spans="2:63" s="28" customFormat="1">
      <c r="B344" s="27"/>
      <c r="D344" s="29"/>
      <c r="E344" s="30"/>
      <c r="G344" s="31"/>
      <c r="H344" s="32"/>
      <c r="I344" s="32"/>
      <c r="J344" s="32"/>
      <c r="K344" s="32"/>
      <c r="L344" s="32"/>
      <c r="O344" s="65"/>
      <c r="V344" s="33"/>
      <c r="W344" s="33"/>
      <c r="X344" s="34"/>
      <c r="Y344" s="35"/>
      <c r="Z344" s="34"/>
      <c r="AA344" s="35"/>
      <c r="AB344" s="34"/>
      <c r="AC344" s="36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60"/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  <c r="BA344" s="60"/>
      <c r="BB344" s="60"/>
      <c r="BC344" s="60"/>
      <c r="BD344" s="60"/>
      <c r="BE344" s="60"/>
      <c r="BF344" s="60"/>
      <c r="BG344" s="60"/>
      <c r="BH344" s="60"/>
      <c r="BI344" s="60"/>
      <c r="BJ344" s="60"/>
      <c r="BK344" s="60"/>
    </row>
    <row r="345" spans="2:63" s="28" customFormat="1">
      <c r="B345" s="27"/>
      <c r="D345" s="29"/>
      <c r="E345" s="30"/>
      <c r="G345" s="31"/>
      <c r="H345" s="32"/>
      <c r="I345" s="32"/>
      <c r="J345" s="32"/>
      <c r="K345" s="32"/>
      <c r="L345" s="32"/>
      <c r="O345" s="68"/>
      <c r="V345" s="33"/>
      <c r="W345" s="33"/>
      <c r="X345" s="34"/>
      <c r="Y345" s="35"/>
      <c r="Z345" s="34"/>
      <c r="AA345" s="35"/>
      <c r="AB345" s="34"/>
      <c r="AC345" s="36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  <c r="BG345" s="60"/>
      <c r="BH345" s="60"/>
      <c r="BI345" s="60"/>
      <c r="BJ345" s="60"/>
      <c r="BK345" s="60"/>
    </row>
    <row r="346" spans="2:63" s="28" customFormat="1">
      <c r="B346" s="27"/>
      <c r="D346" s="29"/>
      <c r="E346" s="30"/>
      <c r="G346" s="31"/>
      <c r="H346" s="32"/>
      <c r="I346" s="32"/>
      <c r="J346" s="32"/>
      <c r="K346" s="32"/>
      <c r="L346" s="32"/>
      <c r="O346" s="70"/>
      <c r="V346" s="33"/>
      <c r="W346" s="33"/>
      <c r="X346" s="34"/>
      <c r="Y346" s="35"/>
      <c r="Z346" s="34"/>
      <c r="AA346" s="35"/>
      <c r="AB346" s="34"/>
      <c r="AC346" s="36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0"/>
      <c r="BB346" s="60"/>
      <c r="BC346" s="60"/>
      <c r="BD346" s="60"/>
      <c r="BE346" s="60"/>
      <c r="BF346" s="60"/>
      <c r="BG346" s="60"/>
      <c r="BH346" s="60"/>
      <c r="BI346" s="60"/>
      <c r="BJ346" s="60"/>
      <c r="BK346" s="60"/>
    </row>
    <row r="347" spans="2:63" s="28" customFormat="1">
      <c r="B347" s="27"/>
      <c r="D347" s="29"/>
      <c r="E347" s="30"/>
      <c r="G347" s="31"/>
      <c r="H347" s="32"/>
      <c r="I347" s="32"/>
      <c r="J347" s="32"/>
      <c r="K347" s="32"/>
      <c r="L347" s="32"/>
      <c r="O347" s="69"/>
      <c r="V347" s="33"/>
      <c r="W347" s="33"/>
      <c r="X347" s="34"/>
      <c r="Y347" s="35"/>
      <c r="Z347" s="34"/>
      <c r="AA347" s="35"/>
      <c r="AB347" s="34"/>
      <c r="AC347" s="36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60"/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  <c r="BA347" s="60"/>
      <c r="BB347" s="60"/>
      <c r="BC347" s="60"/>
      <c r="BD347" s="60"/>
      <c r="BE347" s="60"/>
      <c r="BF347" s="60"/>
      <c r="BG347" s="60"/>
      <c r="BH347" s="60"/>
      <c r="BI347" s="60"/>
      <c r="BJ347" s="60"/>
      <c r="BK347" s="60"/>
    </row>
    <row r="348" spans="2:63" s="28" customFormat="1">
      <c r="B348" s="27"/>
      <c r="D348" s="29"/>
      <c r="E348" s="30"/>
      <c r="G348" s="31"/>
      <c r="H348" s="32"/>
      <c r="I348" s="32"/>
      <c r="J348" s="32"/>
      <c r="K348" s="32"/>
      <c r="L348" s="32"/>
      <c r="O348" s="72"/>
      <c r="V348" s="33"/>
      <c r="W348" s="33"/>
      <c r="X348" s="34"/>
      <c r="Y348" s="35"/>
      <c r="Z348" s="34"/>
      <c r="AA348" s="35"/>
      <c r="AB348" s="34"/>
      <c r="AC348" s="36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60"/>
      <c r="AQ348" s="60"/>
      <c r="AR348" s="60"/>
      <c r="AS348" s="60"/>
      <c r="AT348" s="60"/>
      <c r="AU348" s="60"/>
      <c r="AV348" s="60"/>
      <c r="AW348" s="60"/>
      <c r="AX348" s="60"/>
      <c r="AY348" s="60"/>
      <c r="AZ348" s="60"/>
      <c r="BA348" s="60"/>
      <c r="BB348" s="60"/>
      <c r="BC348" s="60"/>
      <c r="BD348" s="60"/>
      <c r="BE348" s="60"/>
      <c r="BF348" s="60"/>
      <c r="BG348" s="60"/>
      <c r="BH348" s="60"/>
      <c r="BI348" s="60"/>
      <c r="BJ348" s="60"/>
      <c r="BK348" s="60"/>
    </row>
    <row r="349" spans="2:63" s="28" customFormat="1">
      <c r="B349" s="27"/>
      <c r="D349" s="29"/>
      <c r="E349" s="30"/>
      <c r="G349" s="31"/>
      <c r="H349" s="32"/>
      <c r="I349" s="32"/>
      <c r="J349" s="32"/>
      <c r="K349" s="32"/>
      <c r="L349" s="32"/>
      <c r="O349" s="65"/>
      <c r="V349" s="33"/>
      <c r="W349" s="33"/>
      <c r="X349" s="34"/>
      <c r="Y349" s="35"/>
      <c r="Z349" s="34"/>
      <c r="AA349" s="35"/>
      <c r="AB349" s="34"/>
      <c r="AC349" s="36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60"/>
      <c r="AQ349" s="60"/>
      <c r="AR349" s="60"/>
      <c r="AS349" s="60"/>
      <c r="AT349" s="60"/>
      <c r="AU349" s="60"/>
      <c r="AV349" s="60"/>
      <c r="AW349" s="60"/>
      <c r="AX349" s="60"/>
      <c r="AY349" s="60"/>
      <c r="AZ349" s="60"/>
      <c r="BA349" s="60"/>
      <c r="BB349" s="60"/>
      <c r="BC349" s="60"/>
      <c r="BD349" s="60"/>
      <c r="BE349" s="60"/>
      <c r="BF349" s="60"/>
      <c r="BG349" s="60"/>
      <c r="BH349" s="60"/>
      <c r="BI349" s="60"/>
      <c r="BJ349" s="60"/>
      <c r="BK349" s="60"/>
    </row>
    <row r="350" spans="2:63" s="28" customFormat="1">
      <c r="B350" s="27"/>
      <c r="D350" s="29"/>
      <c r="E350" s="30"/>
      <c r="G350" s="31"/>
      <c r="H350" s="32"/>
      <c r="I350" s="32"/>
      <c r="J350" s="32"/>
      <c r="K350" s="32"/>
      <c r="L350" s="32"/>
      <c r="O350" s="69"/>
      <c r="V350" s="33"/>
      <c r="W350" s="33"/>
      <c r="X350" s="34"/>
      <c r="Y350" s="35"/>
      <c r="Z350" s="34"/>
      <c r="AA350" s="35"/>
      <c r="AB350" s="34"/>
      <c r="AC350" s="36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60"/>
      <c r="BH350" s="60"/>
      <c r="BI350" s="60"/>
      <c r="BJ350" s="60"/>
      <c r="BK350" s="60"/>
    </row>
    <row r="351" spans="2:63" s="28" customFormat="1">
      <c r="B351" s="27"/>
      <c r="D351" s="29"/>
      <c r="E351" s="30"/>
      <c r="G351" s="31"/>
      <c r="H351" s="32"/>
      <c r="I351" s="32"/>
      <c r="J351" s="32"/>
      <c r="K351" s="32"/>
      <c r="L351" s="32"/>
      <c r="O351" s="65"/>
      <c r="V351" s="33"/>
      <c r="W351" s="33"/>
      <c r="X351" s="34"/>
      <c r="Y351" s="35"/>
      <c r="Z351" s="34"/>
      <c r="AA351" s="35"/>
      <c r="AB351" s="34"/>
      <c r="AC351" s="36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0"/>
      <c r="BB351" s="60"/>
      <c r="BC351" s="60"/>
      <c r="BD351" s="60"/>
      <c r="BE351" s="60"/>
      <c r="BF351" s="60"/>
      <c r="BG351" s="60"/>
      <c r="BH351" s="60"/>
      <c r="BI351" s="60"/>
      <c r="BJ351" s="60"/>
      <c r="BK351" s="60"/>
    </row>
    <row r="352" spans="2:63" s="28" customFormat="1">
      <c r="B352" s="27"/>
      <c r="D352" s="29"/>
      <c r="E352" s="30"/>
      <c r="G352" s="31"/>
      <c r="H352" s="32"/>
      <c r="I352" s="32"/>
      <c r="J352" s="32"/>
      <c r="K352" s="32"/>
      <c r="L352" s="32"/>
      <c r="O352" s="65"/>
      <c r="V352" s="33"/>
      <c r="W352" s="33"/>
      <c r="X352" s="34"/>
      <c r="Y352" s="35"/>
      <c r="Z352" s="34"/>
      <c r="AA352" s="35"/>
      <c r="AB352" s="34"/>
      <c r="AC352" s="36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60"/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  <c r="BA352" s="60"/>
      <c r="BB352" s="60"/>
      <c r="BC352" s="60"/>
      <c r="BD352" s="60"/>
      <c r="BE352" s="60"/>
      <c r="BF352" s="60"/>
      <c r="BG352" s="60"/>
      <c r="BH352" s="60"/>
      <c r="BI352" s="60"/>
      <c r="BJ352" s="60"/>
      <c r="BK352" s="60"/>
    </row>
    <row r="353" spans="2:63" s="28" customFormat="1">
      <c r="B353" s="27"/>
      <c r="D353" s="29"/>
      <c r="E353" s="30"/>
      <c r="G353" s="31"/>
      <c r="H353" s="32"/>
      <c r="I353" s="32"/>
      <c r="J353" s="32"/>
      <c r="K353" s="32"/>
      <c r="L353" s="32"/>
      <c r="O353" s="65"/>
      <c r="V353" s="33"/>
      <c r="W353" s="33"/>
      <c r="X353" s="34"/>
      <c r="Y353" s="35"/>
      <c r="Z353" s="34"/>
      <c r="AA353" s="35"/>
      <c r="AB353" s="34"/>
      <c r="AC353" s="36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60"/>
      <c r="AQ353" s="60"/>
      <c r="AR353" s="60"/>
      <c r="AS353" s="60"/>
      <c r="AT353" s="60"/>
      <c r="AU353" s="60"/>
      <c r="AV353" s="60"/>
      <c r="AW353" s="60"/>
      <c r="AX353" s="60"/>
      <c r="AY353" s="60"/>
      <c r="AZ353" s="60"/>
      <c r="BA353" s="60"/>
      <c r="BB353" s="60"/>
      <c r="BC353" s="60"/>
      <c r="BD353" s="60"/>
      <c r="BE353" s="60"/>
      <c r="BF353" s="60"/>
      <c r="BG353" s="60"/>
      <c r="BH353" s="60"/>
      <c r="BI353" s="60"/>
      <c r="BJ353" s="60"/>
      <c r="BK353" s="60"/>
    </row>
    <row r="354" spans="2:63" s="28" customFormat="1">
      <c r="B354" s="27"/>
      <c r="D354" s="29"/>
      <c r="E354" s="30"/>
      <c r="G354" s="31"/>
      <c r="H354" s="32"/>
      <c r="I354" s="32"/>
      <c r="J354" s="32"/>
      <c r="K354" s="32"/>
      <c r="L354" s="32"/>
      <c r="O354" s="66"/>
      <c r="V354" s="33"/>
      <c r="W354" s="33"/>
      <c r="X354" s="34"/>
      <c r="Y354" s="35"/>
      <c r="Z354" s="34"/>
      <c r="AA354" s="35"/>
      <c r="AB354" s="34"/>
      <c r="AC354" s="36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60"/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  <c r="BA354" s="60"/>
      <c r="BB354" s="60"/>
      <c r="BC354" s="60"/>
      <c r="BD354" s="60"/>
      <c r="BE354" s="60"/>
      <c r="BF354" s="60"/>
      <c r="BG354" s="60"/>
      <c r="BH354" s="60"/>
      <c r="BI354" s="60"/>
      <c r="BJ354" s="60"/>
      <c r="BK354" s="60"/>
    </row>
    <row r="355" spans="2:63" s="28" customFormat="1">
      <c r="B355" s="27"/>
      <c r="D355" s="29"/>
      <c r="E355" s="30"/>
      <c r="G355" s="31"/>
      <c r="H355" s="32"/>
      <c r="I355" s="32"/>
      <c r="J355" s="32"/>
      <c r="K355" s="32"/>
      <c r="L355" s="32"/>
      <c r="O355" s="72"/>
      <c r="V355" s="33"/>
      <c r="W355" s="33"/>
      <c r="X355" s="34"/>
      <c r="Y355" s="35"/>
      <c r="Z355" s="34"/>
      <c r="AA355" s="35"/>
      <c r="AB355" s="34"/>
      <c r="AC355" s="36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0"/>
      <c r="BB355" s="60"/>
      <c r="BC355" s="60"/>
      <c r="BD355" s="60"/>
      <c r="BE355" s="60"/>
      <c r="BF355" s="60"/>
      <c r="BG355" s="60"/>
      <c r="BH355" s="60"/>
      <c r="BI355" s="60"/>
      <c r="BJ355" s="60"/>
      <c r="BK355" s="60"/>
    </row>
    <row r="356" spans="2:63" s="28" customFormat="1">
      <c r="B356" s="27"/>
      <c r="D356" s="29"/>
      <c r="E356" s="30"/>
      <c r="G356" s="31"/>
      <c r="H356" s="32"/>
      <c r="I356" s="32"/>
      <c r="J356" s="32"/>
      <c r="K356" s="32"/>
      <c r="L356" s="32"/>
      <c r="O356" s="69"/>
      <c r="V356" s="33"/>
      <c r="W356" s="33"/>
      <c r="X356" s="34"/>
      <c r="Y356" s="35"/>
      <c r="Z356" s="34"/>
      <c r="AA356" s="35"/>
      <c r="AB356" s="34"/>
      <c r="AC356" s="36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60"/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  <c r="BA356" s="60"/>
      <c r="BB356" s="60"/>
      <c r="BC356" s="60"/>
      <c r="BD356" s="60"/>
      <c r="BE356" s="60"/>
      <c r="BF356" s="60"/>
      <c r="BG356" s="60"/>
      <c r="BH356" s="60"/>
      <c r="BI356" s="60"/>
      <c r="BJ356" s="60"/>
      <c r="BK356" s="60"/>
    </row>
    <row r="357" spans="2:63" s="28" customFormat="1">
      <c r="B357" s="27"/>
      <c r="D357" s="29"/>
      <c r="E357" s="30"/>
      <c r="G357" s="31"/>
      <c r="H357" s="32"/>
      <c r="I357" s="32"/>
      <c r="J357" s="32"/>
      <c r="K357" s="32"/>
      <c r="L357" s="32"/>
      <c r="O357" s="65"/>
      <c r="V357" s="33"/>
      <c r="W357" s="33"/>
      <c r="X357" s="34"/>
      <c r="Y357" s="35"/>
      <c r="Z357" s="34"/>
      <c r="AA357" s="35"/>
      <c r="AB357" s="34"/>
      <c r="AC357" s="36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60"/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  <c r="BA357" s="60"/>
      <c r="BB357" s="60"/>
      <c r="BC357" s="60"/>
      <c r="BD357" s="60"/>
      <c r="BE357" s="60"/>
      <c r="BF357" s="60"/>
      <c r="BG357" s="60"/>
      <c r="BH357" s="60"/>
      <c r="BI357" s="60"/>
      <c r="BJ357" s="60"/>
      <c r="BK357" s="60"/>
    </row>
    <row r="358" spans="2:63" s="28" customFormat="1">
      <c r="B358" s="27"/>
      <c r="D358" s="29"/>
      <c r="E358" s="30"/>
      <c r="G358" s="31"/>
      <c r="H358" s="32"/>
      <c r="I358" s="32"/>
      <c r="J358" s="32"/>
      <c r="K358" s="32"/>
      <c r="L358" s="32"/>
      <c r="O358" s="65"/>
      <c r="V358" s="33"/>
      <c r="W358" s="33"/>
      <c r="X358" s="34"/>
      <c r="Y358" s="35"/>
      <c r="Z358" s="34"/>
      <c r="AA358" s="35"/>
      <c r="AB358" s="34"/>
      <c r="AC358" s="36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60"/>
      <c r="AQ358" s="60"/>
      <c r="AR358" s="60"/>
      <c r="AS358" s="60"/>
      <c r="AT358" s="60"/>
      <c r="AU358" s="60"/>
      <c r="AV358" s="60"/>
      <c r="AW358" s="60"/>
      <c r="AX358" s="60"/>
      <c r="AY358" s="60"/>
      <c r="AZ358" s="60"/>
      <c r="BA358" s="60"/>
      <c r="BB358" s="60"/>
      <c r="BC358" s="60"/>
      <c r="BD358" s="60"/>
      <c r="BE358" s="60"/>
      <c r="BF358" s="60"/>
      <c r="BG358" s="60"/>
      <c r="BH358" s="60"/>
      <c r="BI358" s="60"/>
      <c r="BJ358" s="60"/>
      <c r="BK358" s="60"/>
    </row>
    <row r="359" spans="2:63" s="28" customFormat="1">
      <c r="B359" s="27"/>
      <c r="D359" s="29"/>
      <c r="E359" s="30"/>
      <c r="G359" s="31"/>
      <c r="H359" s="32"/>
      <c r="I359" s="32"/>
      <c r="J359" s="32"/>
      <c r="K359" s="32"/>
      <c r="L359" s="32"/>
      <c r="O359" s="67"/>
      <c r="V359" s="33"/>
      <c r="W359" s="33"/>
      <c r="X359" s="34"/>
      <c r="Y359" s="35"/>
      <c r="Z359" s="34"/>
      <c r="AA359" s="35"/>
      <c r="AB359" s="34"/>
      <c r="AC359" s="36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60"/>
      <c r="AQ359" s="60"/>
      <c r="AR359" s="60"/>
      <c r="AS359" s="60"/>
      <c r="AT359" s="60"/>
      <c r="AU359" s="60"/>
      <c r="AV359" s="60"/>
      <c r="AW359" s="60"/>
      <c r="AX359" s="60"/>
      <c r="AY359" s="60"/>
      <c r="AZ359" s="60"/>
      <c r="BA359" s="60"/>
      <c r="BB359" s="60"/>
      <c r="BC359" s="60"/>
      <c r="BD359" s="60"/>
      <c r="BE359" s="60"/>
      <c r="BF359" s="60"/>
      <c r="BG359" s="60"/>
      <c r="BH359" s="60"/>
      <c r="BI359" s="60"/>
      <c r="BJ359" s="60"/>
      <c r="BK359" s="60"/>
    </row>
    <row r="360" spans="2:63" s="28" customFormat="1">
      <c r="B360" s="27"/>
      <c r="D360" s="29"/>
      <c r="E360" s="30"/>
      <c r="G360" s="31"/>
      <c r="H360" s="32"/>
      <c r="I360" s="32"/>
      <c r="J360" s="32"/>
      <c r="K360" s="32"/>
      <c r="L360" s="32"/>
      <c r="O360" s="64"/>
      <c r="V360" s="33"/>
      <c r="W360" s="33"/>
      <c r="X360" s="34"/>
      <c r="Y360" s="35"/>
      <c r="Z360" s="34"/>
      <c r="AA360" s="35"/>
      <c r="AB360" s="34"/>
      <c r="AC360" s="36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60"/>
      <c r="AQ360" s="60"/>
      <c r="AR360" s="60"/>
      <c r="AS360" s="60"/>
      <c r="AT360" s="60"/>
      <c r="AU360" s="60"/>
      <c r="AV360" s="60"/>
      <c r="AW360" s="60"/>
      <c r="AX360" s="60"/>
      <c r="AY360" s="60"/>
      <c r="AZ360" s="60"/>
      <c r="BA360" s="60"/>
      <c r="BB360" s="60"/>
      <c r="BC360" s="60"/>
      <c r="BD360" s="60"/>
      <c r="BE360" s="60"/>
      <c r="BF360" s="60"/>
      <c r="BG360" s="60"/>
      <c r="BH360" s="60"/>
      <c r="BI360" s="60"/>
      <c r="BJ360" s="60"/>
      <c r="BK360" s="60"/>
    </row>
    <row r="361" spans="2:63" s="28" customFormat="1">
      <c r="B361" s="27"/>
      <c r="D361" s="29"/>
      <c r="E361" s="30"/>
      <c r="G361" s="31"/>
      <c r="H361" s="32"/>
      <c r="I361" s="32"/>
      <c r="J361" s="32"/>
      <c r="K361" s="32"/>
      <c r="L361" s="32"/>
      <c r="O361" s="65"/>
      <c r="V361" s="33"/>
      <c r="W361" s="33"/>
      <c r="X361" s="34"/>
      <c r="Y361" s="35"/>
      <c r="Z361" s="34"/>
      <c r="AA361" s="35"/>
      <c r="AB361" s="34"/>
      <c r="AC361" s="36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60"/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  <c r="BA361" s="60"/>
      <c r="BB361" s="60"/>
      <c r="BC361" s="60"/>
      <c r="BD361" s="60"/>
      <c r="BE361" s="60"/>
      <c r="BF361" s="60"/>
      <c r="BG361" s="60"/>
      <c r="BH361" s="60"/>
      <c r="BI361" s="60"/>
      <c r="BJ361" s="60"/>
      <c r="BK361" s="60"/>
    </row>
    <row r="362" spans="2:63" s="28" customFormat="1">
      <c r="B362" s="27"/>
      <c r="D362" s="29"/>
      <c r="E362" s="30"/>
      <c r="G362" s="31"/>
      <c r="H362" s="32"/>
      <c r="I362" s="32"/>
      <c r="J362" s="32"/>
      <c r="K362" s="32"/>
      <c r="L362" s="32"/>
      <c r="O362" s="72"/>
      <c r="V362" s="33"/>
      <c r="W362" s="33"/>
      <c r="X362" s="34"/>
      <c r="Y362" s="35"/>
      <c r="Z362" s="34"/>
      <c r="AA362" s="35"/>
      <c r="AB362" s="34"/>
      <c r="AC362" s="36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60"/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  <c r="BA362" s="60"/>
      <c r="BB362" s="60"/>
      <c r="BC362" s="60"/>
      <c r="BD362" s="60"/>
      <c r="BE362" s="60"/>
      <c r="BF362" s="60"/>
      <c r="BG362" s="60"/>
      <c r="BH362" s="60"/>
      <c r="BI362" s="60"/>
      <c r="BJ362" s="60"/>
      <c r="BK362" s="60"/>
    </row>
    <row r="363" spans="2:63" s="28" customFormat="1">
      <c r="B363" s="27"/>
      <c r="D363" s="29"/>
      <c r="E363" s="30"/>
      <c r="G363" s="31"/>
      <c r="H363" s="32"/>
      <c r="I363" s="32"/>
      <c r="J363" s="32"/>
      <c r="K363" s="32"/>
      <c r="L363" s="32"/>
      <c r="O363" s="69"/>
      <c r="V363" s="33"/>
      <c r="W363" s="33"/>
      <c r="X363" s="34"/>
      <c r="Y363" s="35"/>
      <c r="Z363" s="34"/>
      <c r="AA363" s="35"/>
      <c r="AB363" s="34"/>
      <c r="AC363" s="36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60"/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  <c r="BA363" s="60"/>
      <c r="BB363" s="60"/>
      <c r="BC363" s="60"/>
      <c r="BD363" s="60"/>
      <c r="BE363" s="60"/>
      <c r="BF363" s="60"/>
      <c r="BG363" s="60"/>
      <c r="BH363" s="60"/>
      <c r="BI363" s="60"/>
      <c r="BJ363" s="60"/>
      <c r="BK363" s="60"/>
    </row>
    <row r="364" spans="2:63" s="28" customFormat="1">
      <c r="B364" s="27"/>
      <c r="D364" s="29"/>
      <c r="E364" s="30"/>
      <c r="G364" s="31"/>
      <c r="H364" s="32"/>
      <c r="I364" s="32"/>
      <c r="J364" s="32"/>
      <c r="K364" s="32"/>
      <c r="L364" s="32"/>
      <c r="O364" s="65"/>
      <c r="V364" s="33"/>
      <c r="W364" s="33"/>
      <c r="X364" s="34"/>
      <c r="Y364" s="35"/>
      <c r="Z364" s="34"/>
      <c r="AA364" s="35"/>
      <c r="AB364" s="34"/>
      <c r="AC364" s="36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60"/>
      <c r="AQ364" s="60"/>
      <c r="AR364" s="60"/>
      <c r="AS364" s="60"/>
      <c r="AT364" s="60"/>
      <c r="AU364" s="60"/>
      <c r="AV364" s="60"/>
      <c r="AW364" s="60"/>
      <c r="AX364" s="60"/>
      <c r="AY364" s="60"/>
      <c r="AZ364" s="60"/>
      <c r="BA364" s="60"/>
      <c r="BB364" s="60"/>
      <c r="BC364" s="60"/>
      <c r="BD364" s="60"/>
      <c r="BE364" s="60"/>
      <c r="BF364" s="60"/>
      <c r="BG364" s="60"/>
      <c r="BH364" s="60"/>
      <c r="BI364" s="60"/>
      <c r="BJ364" s="60"/>
      <c r="BK364" s="60"/>
    </row>
    <row r="365" spans="2:63" s="28" customFormat="1">
      <c r="B365" s="27"/>
      <c r="D365" s="29"/>
      <c r="E365" s="30"/>
      <c r="G365" s="31"/>
      <c r="H365" s="32"/>
      <c r="I365" s="32"/>
      <c r="J365" s="32"/>
      <c r="K365" s="32"/>
      <c r="L365" s="32"/>
      <c r="O365" s="71"/>
      <c r="V365" s="33"/>
      <c r="W365" s="33"/>
      <c r="X365" s="34"/>
      <c r="Y365" s="35"/>
      <c r="Z365" s="34"/>
      <c r="AA365" s="35"/>
      <c r="AB365" s="34"/>
      <c r="AC365" s="36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60"/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  <c r="BA365" s="60"/>
      <c r="BB365" s="60"/>
      <c r="BC365" s="60"/>
      <c r="BD365" s="60"/>
      <c r="BE365" s="60"/>
      <c r="BF365" s="60"/>
      <c r="BG365" s="60"/>
      <c r="BH365" s="60"/>
      <c r="BI365" s="60"/>
      <c r="BJ365" s="60"/>
      <c r="BK365" s="60"/>
    </row>
    <row r="366" spans="2:63" s="28" customFormat="1">
      <c r="B366" s="27"/>
      <c r="D366" s="29"/>
      <c r="E366" s="30"/>
      <c r="G366" s="31"/>
      <c r="H366" s="32"/>
      <c r="I366" s="32"/>
      <c r="J366" s="32"/>
      <c r="K366" s="32"/>
      <c r="L366" s="32"/>
      <c r="O366" s="65"/>
      <c r="V366" s="33"/>
      <c r="W366" s="33"/>
      <c r="X366" s="34"/>
      <c r="Y366" s="35"/>
      <c r="Z366" s="34"/>
      <c r="AA366" s="35"/>
      <c r="AB366" s="34"/>
      <c r="AC366" s="36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60"/>
      <c r="AQ366" s="60"/>
      <c r="AR366" s="60"/>
      <c r="AS366" s="60"/>
      <c r="AT366" s="60"/>
      <c r="AU366" s="60"/>
      <c r="AV366" s="60"/>
      <c r="AW366" s="60"/>
      <c r="AX366" s="60"/>
      <c r="AY366" s="60"/>
      <c r="AZ366" s="60"/>
      <c r="BA366" s="60"/>
      <c r="BB366" s="60"/>
      <c r="BC366" s="60"/>
      <c r="BD366" s="60"/>
      <c r="BE366" s="60"/>
      <c r="BF366" s="60"/>
      <c r="BG366" s="60"/>
      <c r="BH366" s="60"/>
      <c r="BI366" s="60"/>
      <c r="BJ366" s="60"/>
      <c r="BK366" s="60"/>
    </row>
    <row r="367" spans="2:63" s="28" customFormat="1">
      <c r="B367" s="27"/>
      <c r="D367" s="29"/>
      <c r="E367" s="30"/>
      <c r="G367" s="31"/>
      <c r="H367" s="32"/>
      <c r="I367" s="32"/>
      <c r="J367" s="32"/>
      <c r="K367" s="32"/>
      <c r="L367" s="32"/>
      <c r="O367" s="65"/>
      <c r="V367" s="33"/>
      <c r="W367" s="33"/>
      <c r="X367" s="34"/>
      <c r="Y367" s="35"/>
      <c r="Z367" s="34"/>
      <c r="AA367" s="35"/>
      <c r="AB367" s="34"/>
      <c r="AC367" s="36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60"/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  <c r="BA367" s="60"/>
      <c r="BB367" s="60"/>
      <c r="BC367" s="60"/>
      <c r="BD367" s="60"/>
      <c r="BE367" s="60"/>
      <c r="BF367" s="60"/>
      <c r="BG367" s="60"/>
      <c r="BH367" s="60"/>
      <c r="BI367" s="60"/>
      <c r="BJ367" s="60"/>
      <c r="BK367" s="60"/>
    </row>
    <row r="368" spans="2:63" s="28" customFormat="1">
      <c r="B368" s="27"/>
      <c r="D368" s="29"/>
      <c r="E368" s="30"/>
      <c r="G368" s="31"/>
      <c r="H368" s="32"/>
      <c r="I368" s="32"/>
      <c r="J368" s="32"/>
      <c r="K368" s="32"/>
      <c r="L368" s="32"/>
      <c r="O368" s="67"/>
      <c r="V368" s="33"/>
      <c r="W368" s="33"/>
      <c r="X368" s="34"/>
      <c r="Y368" s="35"/>
      <c r="Z368" s="34"/>
      <c r="AA368" s="35"/>
      <c r="AB368" s="34"/>
      <c r="AC368" s="36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60"/>
      <c r="AQ368" s="60"/>
      <c r="AR368" s="60"/>
      <c r="AS368" s="60"/>
      <c r="AT368" s="60"/>
      <c r="AU368" s="60"/>
      <c r="AV368" s="60"/>
      <c r="AW368" s="60"/>
      <c r="AX368" s="60"/>
      <c r="AY368" s="60"/>
      <c r="AZ368" s="60"/>
      <c r="BA368" s="60"/>
      <c r="BB368" s="60"/>
      <c r="BC368" s="60"/>
      <c r="BD368" s="60"/>
      <c r="BE368" s="60"/>
      <c r="BF368" s="60"/>
      <c r="BG368" s="60"/>
      <c r="BH368" s="60"/>
      <c r="BI368" s="60"/>
      <c r="BJ368" s="60"/>
      <c r="BK368" s="60"/>
    </row>
    <row r="369" spans="2:63" s="28" customFormat="1">
      <c r="B369" s="27"/>
      <c r="D369" s="29"/>
      <c r="E369" s="30"/>
      <c r="G369" s="31"/>
      <c r="H369" s="32"/>
      <c r="I369" s="32"/>
      <c r="J369" s="32"/>
      <c r="K369" s="32"/>
      <c r="L369" s="32"/>
      <c r="O369" s="65"/>
      <c r="V369" s="33"/>
      <c r="W369" s="33"/>
      <c r="X369" s="34"/>
      <c r="Y369" s="35"/>
      <c r="Z369" s="34"/>
      <c r="AA369" s="35"/>
      <c r="AB369" s="34"/>
      <c r="AC369" s="36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60"/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  <c r="BA369" s="60"/>
      <c r="BB369" s="60"/>
      <c r="BC369" s="60"/>
      <c r="BD369" s="60"/>
      <c r="BE369" s="60"/>
      <c r="BF369" s="60"/>
      <c r="BG369" s="60"/>
      <c r="BH369" s="60"/>
      <c r="BI369" s="60"/>
      <c r="BJ369" s="60"/>
      <c r="BK369" s="60"/>
    </row>
    <row r="370" spans="2:63" s="28" customFormat="1">
      <c r="B370" s="27"/>
      <c r="D370" s="29"/>
      <c r="E370" s="30"/>
      <c r="G370" s="31"/>
      <c r="H370" s="32"/>
      <c r="I370" s="32"/>
      <c r="J370" s="32"/>
      <c r="K370" s="32"/>
      <c r="L370" s="32"/>
      <c r="O370" s="65"/>
      <c r="V370" s="33"/>
      <c r="W370" s="33"/>
      <c r="X370" s="34"/>
      <c r="Y370" s="35"/>
      <c r="Z370" s="34"/>
      <c r="AA370" s="35"/>
      <c r="AB370" s="34"/>
      <c r="AC370" s="36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  <c r="BG370" s="60"/>
      <c r="BH370" s="60"/>
      <c r="BI370" s="60"/>
      <c r="BJ370" s="60"/>
      <c r="BK370" s="60"/>
    </row>
    <row r="371" spans="2:63" s="28" customFormat="1">
      <c r="B371" s="27"/>
      <c r="D371" s="29"/>
      <c r="E371" s="30"/>
      <c r="G371" s="31"/>
      <c r="H371" s="32"/>
      <c r="I371" s="32"/>
      <c r="J371" s="32"/>
      <c r="K371" s="32"/>
      <c r="L371" s="32"/>
      <c r="O371" s="64"/>
      <c r="V371" s="33"/>
      <c r="W371" s="33"/>
      <c r="X371" s="34"/>
      <c r="Y371" s="35"/>
      <c r="Z371" s="34"/>
      <c r="AA371" s="35"/>
      <c r="AB371" s="34"/>
      <c r="AC371" s="36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60"/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  <c r="BA371" s="60"/>
      <c r="BB371" s="60"/>
      <c r="BC371" s="60"/>
      <c r="BD371" s="60"/>
      <c r="BE371" s="60"/>
      <c r="BF371" s="60"/>
      <c r="BG371" s="60"/>
      <c r="BH371" s="60"/>
      <c r="BI371" s="60"/>
      <c r="BJ371" s="60"/>
      <c r="BK371" s="60"/>
    </row>
    <row r="372" spans="2:63" s="28" customFormat="1">
      <c r="B372" s="27"/>
      <c r="D372" s="29"/>
      <c r="E372" s="30"/>
      <c r="G372" s="31"/>
      <c r="H372" s="32"/>
      <c r="I372" s="32"/>
      <c r="J372" s="32"/>
      <c r="K372" s="32"/>
      <c r="L372" s="32"/>
      <c r="O372" s="69"/>
      <c r="V372" s="33"/>
      <c r="W372" s="33"/>
      <c r="X372" s="34"/>
      <c r="Y372" s="35"/>
      <c r="Z372" s="34"/>
      <c r="AA372" s="35"/>
      <c r="AB372" s="34"/>
      <c r="AC372" s="36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60"/>
      <c r="AQ372" s="60"/>
      <c r="AR372" s="60"/>
      <c r="AS372" s="60"/>
      <c r="AT372" s="60"/>
      <c r="AU372" s="60"/>
      <c r="AV372" s="60"/>
      <c r="AW372" s="60"/>
      <c r="AX372" s="60"/>
      <c r="AY372" s="60"/>
      <c r="AZ372" s="60"/>
      <c r="BA372" s="60"/>
      <c r="BB372" s="60"/>
      <c r="BC372" s="60"/>
      <c r="BD372" s="60"/>
      <c r="BE372" s="60"/>
      <c r="BF372" s="60"/>
      <c r="BG372" s="60"/>
      <c r="BH372" s="60"/>
      <c r="BI372" s="60"/>
      <c r="BJ372" s="60"/>
      <c r="BK372" s="60"/>
    </row>
    <row r="373" spans="2:63" s="28" customFormat="1">
      <c r="B373" s="27"/>
      <c r="D373" s="29"/>
      <c r="E373" s="30"/>
      <c r="G373" s="31"/>
      <c r="H373" s="32"/>
      <c r="I373" s="32"/>
      <c r="J373" s="32"/>
      <c r="K373" s="32"/>
      <c r="L373" s="32"/>
      <c r="O373" s="68"/>
      <c r="V373" s="33"/>
      <c r="W373" s="33"/>
      <c r="X373" s="34"/>
      <c r="Y373" s="35"/>
      <c r="Z373" s="34"/>
      <c r="AA373" s="35"/>
      <c r="AB373" s="34"/>
      <c r="AC373" s="36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60"/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  <c r="BA373" s="60"/>
      <c r="BB373" s="60"/>
      <c r="BC373" s="60"/>
      <c r="BD373" s="60"/>
      <c r="BE373" s="60"/>
      <c r="BF373" s="60"/>
      <c r="BG373" s="60"/>
      <c r="BH373" s="60"/>
      <c r="BI373" s="60"/>
      <c r="BJ373" s="60"/>
      <c r="BK373" s="60"/>
    </row>
    <row r="374" spans="2:63" s="28" customFormat="1">
      <c r="B374" s="27"/>
      <c r="D374" s="29"/>
      <c r="E374" s="30"/>
      <c r="G374" s="31"/>
      <c r="H374" s="32"/>
      <c r="I374" s="32"/>
      <c r="J374" s="32"/>
      <c r="K374" s="32"/>
      <c r="L374" s="32"/>
      <c r="O374" s="69"/>
      <c r="V374" s="33"/>
      <c r="W374" s="33"/>
      <c r="X374" s="34"/>
      <c r="Y374" s="35"/>
      <c r="Z374" s="34"/>
      <c r="AA374" s="35"/>
      <c r="AB374" s="34"/>
      <c r="AC374" s="36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60"/>
      <c r="AQ374" s="60"/>
      <c r="AR374" s="60"/>
      <c r="AS374" s="60"/>
      <c r="AT374" s="60"/>
      <c r="AU374" s="60"/>
      <c r="AV374" s="60"/>
      <c r="AW374" s="60"/>
      <c r="AX374" s="60"/>
      <c r="AY374" s="60"/>
      <c r="AZ374" s="60"/>
      <c r="BA374" s="60"/>
      <c r="BB374" s="60"/>
      <c r="BC374" s="60"/>
      <c r="BD374" s="60"/>
      <c r="BE374" s="60"/>
      <c r="BF374" s="60"/>
      <c r="BG374" s="60"/>
      <c r="BH374" s="60"/>
      <c r="BI374" s="60"/>
      <c r="BJ374" s="60"/>
      <c r="BK374" s="60"/>
    </row>
    <row r="375" spans="2:63" s="28" customFormat="1">
      <c r="B375" s="27"/>
      <c r="D375" s="29"/>
      <c r="E375" s="30"/>
      <c r="G375" s="31"/>
      <c r="H375" s="32"/>
      <c r="I375" s="32"/>
      <c r="J375" s="32"/>
      <c r="K375" s="32"/>
      <c r="L375" s="32"/>
      <c r="O375" s="65"/>
      <c r="V375" s="33"/>
      <c r="W375" s="33"/>
      <c r="X375" s="34"/>
      <c r="Y375" s="35"/>
      <c r="Z375" s="34"/>
      <c r="AA375" s="35"/>
      <c r="AB375" s="34"/>
      <c r="AC375" s="36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60"/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  <c r="BA375" s="60"/>
      <c r="BB375" s="60"/>
      <c r="BC375" s="60"/>
      <c r="BD375" s="60"/>
      <c r="BE375" s="60"/>
      <c r="BF375" s="60"/>
      <c r="BG375" s="60"/>
      <c r="BH375" s="60"/>
      <c r="BI375" s="60"/>
      <c r="BJ375" s="60"/>
      <c r="BK375" s="60"/>
    </row>
    <row r="376" spans="2:63" s="28" customFormat="1">
      <c r="B376" s="27"/>
      <c r="D376" s="29"/>
      <c r="E376" s="30"/>
      <c r="G376" s="31"/>
      <c r="H376" s="32"/>
      <c r="I376" s="32"/>
      <c r="J376" s="32"/>
      <c r="K376" s="32"/>
      <c r="L376" s="32"/>
      <c r="O376" s="65"/>
      <c r="V376" s="33"/>
      <c r="W376" s="33"/>
      <c r="X376" s="34"/>
      <c r="Y376" s="35"/>
      <c r="Z376" s="34"/>
      <c r="AA376" s="35"/>
      <c r="AB376" s="34"/>
      <c r="AC376" s="36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60"/>
      <c r="AQ376" s="60"/>
      <c r="AR376" s="60"/>
      <c r="AS376" s="60"/>
      <c r="AT376" s="60"/>
      <c r="AU376" s="60"/>
      <c r="AV376" s="60"/>
      <c r="AW376" s="60"/>
      <c r="AX376" s="60"/>
      <c r="AY376" s="60"/>
      <c r="AZ376" s="60"/>
      <c r="BA376" s="60"/>
      <c r="BB376" s="60"/>
      <c r="BC376" s="60"/>
      <c r="BD376" s="60"/>
      <c r="BE376" s="60"/>
      <c r="BF376" s="60"/>
      <c r="BG376" s="60"/>
      <c r="BH376" s="60"/>
      <c r="BI376" s="60"/>
      <c r="BJ376" s="60"/>
      <c r="BK376" s="60"/>
    </row>
    <row r="377" spans="2:63" s="28" customFormat="1">
      <c r="B377" s="27"/>
      <c r="D377" s="29"/>
      <c r="E377" s="30"/>
      <c r="G377" s="31"/>
      <c r="H377" s="32"/>
      <c r="I377" s="32"/>
      <c r="J377" s="32"/>
      <c r="K377" s="32"/>
      <c r="L377" s="32"/>
      <c r="O377" s="65"/>
      <c r="V377" s="33"/>
      <c r="W377" s="33"/>
      <c r="X377" s="34"/>
      <c r="Y377" s="35"/>
      <c r="Z377" s="34"/>
      <c r="AA377" s="35"/>
      <c r="AB377" s="34"/>
      <c r="AC377" s="36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60"/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  <c r="BA377" s="60"/>
      <c r="BB377" s="60"/>
      <c r="BC377" s="60"/>
      <c r="BD377" s="60"/>
      <c r="BE377" s="60"/>
      <c r="BF377" s="60"/>
      <c r="BG377" s="60"/>
      <c r="BH377" s="60"/>
      <c r="BI377" s="60"/>
      <c r="BJ377" s="60"/>
      <c r="BK377" s="60"/>
    </row>
    <row r="378" spans="2:63" s="28" customFormat="1">
      <c r="B378" s="27"/>
      <c r="D378" s="29"/>
      <c r="E378" s="30"/>
      <c r="G378" s="31"/>
      <c r="H378" s="32"/>
      <c r="I378" s="32"/>
      <c r="J378" s="32"/>
      <c r="K378" s="32"/>
      <c r="L378" s="32"/>
      <c r="O378" s="69"/>
      <c r="V378" s="33"/>
      <c r="W378" s="33"/>
      <c r="X378" s="34"/>
      <c r="Y378" s="35"/>
      <c r="Z378" s="34"/>
      <c r="AA378" s="35"/>
      <c r="AB378" s="34"/>
      <c r="AC378" s="36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60"/>
      <c r="AQ378" s="60"/>
      <c r="AR378" s="60"/>
      <c r="AS378" s="60"/>
      <c r="AT378" s="60"/>
      <c r="AU378" s="60"/>
      <c r="AV378" s="60"/>
      <c r="AW378" s="60"/>
      <c r="AX378" s="60"/>
      <c r="AY378" s="60"/>
      <c r="AZ378" s="60"/>
      <c r="BA378" s="60"/>
      <c r="BB378" s="60"/>
      <c r="BC378" s="60"/>
      <c r="BD378" s="60"/>
      <c r="BE378" s="60"/>
      <c r="BF378" s="60"/>
      <c r="BG378" s="60"/>
      <c r="BH378" s="60"/>
      <c r="BI378" s="60"/>
      <c r="BJ378" s="60"/>
      <c r="BK378" s="60"/>
    </row>
    <row r="379" spans="2:63" s="28" customFormat="1">
      <c r="B379" s="27"/>
      <c r="D379" s="29"/>
      <c r="E379" s="30"/>
      <c r="G379" s="31"/>
      <c r="H379" s="32"/>
      <c r="I379" s="32"/>
      <c r="J379" s="32"/>
      <c r="K379" s="32"/>
      <c r="L379" s="32"/>
      <c r="O379" s="77"/>
      <c r="V379" s="33"/>
      <c r="W379" s="33"/>
      <c r="X379" s="34"/>
      <c r="Y379" s="35"/>
      <c r="Z379" s="34"/>
      <c r="AA379" s="35"/>
      <c r="AB379" s="34"/>
      <c r="AC379" s="36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60"/>
      <c r="AQ379" s="60"/>
      <c r="AR379" s="60"/>
      <c r="AS379" s="60"/>
      <c r="AT379" s="60"/>
      <c r="AU379" s="60"/>
      <c r="AV379" s="60"/>
      <c r="AW379" s="60"/>
      <c r="AX379" s="60"/>
      <c r="AY379" s="60"/>
      <c r="AZ379" s="60"/>
      <c r="BA379" s="60"/>
      <c r="BB379" s="60"/>
      <c r="BC379" s="60"/>
      <c r="BD379" s="60"/>
      <c r="BE379" s="60"/>
      <c r="BF379" s="60"/>
      <c r="BG379" s="60"/>
      <c r="BH379" s="60"/>
      <c r="BI379" s="60"/>
      <c r="BJ379" s="60"/>
      <c r="BK379" s="60"/>
    </row>
    <row r="380" spans="2:63" s="28" customFormat="1">
      <c r="B380" s="27"/>
      <c r="D380" s="29"/>
      <c r="E380" s="30"/>
      <c r="G380" s="31"/>
      <c r="H380" s="32"/>
      <c r="I380" s="32"/>
      <c r="J380" s="32"/>
      <c r="K380" s="32"/>
      <c r="L380" s="32"/>
      <c r="O380" s="65"/>
      <c r="V380" s="33"/>
      <c r="W380" s="33"/>
      <c r="X380" s="34"/>
      <c r="Y380" s="35"/>
      <c r="Z380" s="34"/>
      <c r="AA380" s="35"/>
      <c r="AB380" s="34"/>
      <c r="AC380" s="36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60"/>
      <c r="AQ380" s="60"/>
      <c r="AR380" s="60"/>
      <c r="AS380" s="60"/>
      <c r="AT380" s="60"/>
      <c r="AU380" s="60"/>
      <c r="AV380" s="60"/>
      <c r="AW380" s="60"/>
      <c r="AX380" s="60"/>
      <c r="AY380" s="60"/>
      <c r="AZ380" s="60"/>
      <c r="BA380" s="60"/>
      <c r="BB380" s="60"/>
      <c r="BC380" s="60"/>
      <c r="BD380" s="60"/>
      <c r="BE380" s="60"/>
      <c r="BF380" s="60"/>
      <c r="BG380" s="60"/>
      <c r="BH380" s="60"/>
      <c r="BI380" s="60"/>
      <c r="BJ380" s="60"/>
      <c r="BK380" s="60"/>
    </row>
    <row r="381" spans="2:63" s="28" customFormat="1">
      <c r="B381" s="27"/>
      <c r="D381" s="29"/>
      <c r="E381" s="30"/>
      <c r="G381" s="31"/>
      <c r="H381" s="32"/>
      <c r="I381" s="32"/>
      <c r="J381" s="32"/>
      <c r="K381" s="32"/>
      <c r="L381" s="32"/>
      <c r="O381" s="69"/>
      <c r="V381" s="33"/>
      <c r="W381" s="33"/>
      <c r="X381" s="34"/>
      <c r="Y381" s="35"/>
      <c r="Z381" s="34"/>
      <c r="AA381" s="35"/>
      <c r="AB381" s="34"/>
      <c r="AC381" s="36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60"/>
      <c r="AQ381" s="60"/>
      <c r="AR381" s="60"/>
      <c r="AS381" s="60"/>
      <c r="AT381" s="60"/>
      <c r="AU381" s="60"/>
      <c r="AV381" s="60"/>
      <c r="AW381" s="60"/>
      <c r="AX381" s="60"/>
      <c r="AY381" s="60"/>
      <c r="AZ381" s="60"/>
      <c r="BA381" s="60"/>
      <c r="BB381" s="60"/>
      <c r="BC381" s="60"/>
      <c r="BD381" s="60"/>
      <c r="BE381" s="60"/>
      <c r="BF381" s="60"/>
      <c r="BG381" s="60"/>
      <c r="BH381" s="60"/>
      <c r="BI381" s="60"/>
      <c r="BJ381" s="60"/>
      <c r="BK381" s="60"/>
    </row>
    <row r="382" spans="2:63" s="28" customFormat="1">
      <c r="B382" s="27"/>
      <c r="D382" s="29"/>
      <c r="E382" s="30"/>
      <c r="G382" s="31"/>
      <c r="H382" s="32"/>
      <c r="I382" s="32"/>
      <c r="J382" s="32"/>
      <c r="K382" s="32"/>
      <c r="L382" s="32"/>
      <c r="O382" s="73"/>
      <c r="V382" s="33"/>
      <c r="W382" s="33"/>
      <c r="X382" s="34"/>
      <c r="Y382" s="35"/>
      <c r="Z382" s="34"/>
      <c r="AA382" s="35"/>
      <c r="AB382" s="34"/>
      <c r="AC382" s="36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60"/>
      <c r="AQ382" s="60"/>
      <c r="AR382" s="60"/>
      <c r="AS382" s="60"/>
      <c r="AT382" s="60"/>
      <c r="AU382" s="60"/>
      <c r="AV382" s="60"/>
      <c r="AW382" s="60"/>
      <c r="AX382" s="60"/>
      <c r="AY382" s="60"/>
      <c r="AZ382" s="60"/>
      <c r="BA382" s="60"/>
      <c r="BB382" s="60"/>
      <c r="BC382" s="60"/>
      <c r="BD382" s="60"/>
      <c r="BE382" s="60"/>
      <c r="BF382" s="60"/>
      <c r="BG382" s="60"/>
      <c r="BH382" s="60"/>
      <c r="BI382" s="60"/>
      <c r="BJ382" s="60"/>
      <c r="BK382" s="60"/>
    </row>
    <row r="383" spans="2:63" s="28" customFormat="1">
      <c r="B383" s="27"/>
      <c r="D383" s="29"/>
      <c r="E383" s="30"/>
      <c r="G383" s="31"/>
      <c r="H383" s="32"/>
      <c r="I383" s="32"/>
      <c r="J383" s="32"/>
      <c r="K383" s="32"/>
      <c r="L383" s="32"/>
      <c r="O383" s="72"/>
      <c r="V383" s="33"/>
      <c r="W383" s="33"/>
      <c r="X383" s="34"/>
      <c r="Y383" s="35"/>
      <c r="Z383" s="34"/>
      <c r="AA383" s="35"/>
      <c r="AB383" s="34"/>
      <c r="AC383" s="36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60"/>
      <c r="AQ383" s="60"/>
      <c r="AR383" s="60"/>
      <c r="AS383" s="60"/>
      <c r="AT383" s="60"/>
      <c r="AU383" s="60"/>
      <c r="AV383" s="60"/>
      <c r="AW383" s="60"/>
      <c r="AX383" s="60"/>
      <c r="AY383" s="60"/>
      <c r="AZ383" s="60"/>
      <c r="BA383" s="60"/>
      <c r="BB383" s="60"/>
      <c r="BC383" s="60"/>
      <c r="BD383" s="60"/>
      <c r="BE383" s="60"/>
      <c r="BF383" s="60"/>
      <c r="BG383" s="60"/>
      <c r="BH383" s="60"/>
      <c r="BI383" s="60"/>
      <c r="BJ383" s="60"/>
      <c r="BK383" s="60"/>
    </row>
    <row r="384" spans="2:63" s="28" customFormat="1">
      <c r="B384" s="27"/>
      <c r="D384" s="29"/>
      <c r="E384" s="30"/>
      <c r="G384" s="31"/>
      <c r="H384" s="32"/>
      <c r="I384" s="32"/>
      <c r="J384" s="32"/>
      <c r="K384" s="32"/>
      <c r="L384" s="32"/>
      <c r="O384" s="65"/>
      <c r="V384" s="33"/>
      <c r="W384" s="33"/>
      <c r="X384" s="34"/>
      <c r="Y384" s="35"/>
      <c r="Z384" s="34"/>
      <c r="AA384" s="35"/>
      <c r="AB384" s="34"/>
      <c r="AC384" s="36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60"/>
      <c r="AQ384" s="60"/>
      <c r="AR384" s="60"/>
      <c r="AS384" s="60"/>
      <c r="AT384" s="60"/>
      <c r="AU384" s="60"/>
      <c r="AV384" s="60"/>
      <c r="AW384" s="60"/>
      <c r="AX384" s="60"/>
      <c r="AY384" s="60"/>
      <c r="AZ384" s="60"/>
      <c r="BA384" s="60"/>
      <c r="BB384" s="60"/>
      <c r="BC384" s="60"/>
      <c r="BD384" s="60"/>
      <c r="BE384" s="60"/>
      <c r="BF384" s="60"/>
      <c r="BG384" s="60"/>
      <c r="BH384" s="60"/>
      <c r="BI384" s="60"/>
      <c r="BJ384" s="60"/>
      <c r="BK384" s="60"/>
    </row>
    <row r="385" spans="2:63" s="28" customFormat="1">
      <c r="B385" s="27"/>
      <c r="D385" s="29"/>
      <c r="E385" s="30"/>
      <c r="G385" s="31"/>
      <c r="H385" s="32"/>
      <c r="I385" s="32"/>
      <c r="J385" s="32"/>
      <c r="K385" s="32"/>
      <c r="L385" s="32"/>
      <c r="O385" s="72"/>
      <c r="V385" s="33"/>
      <c r="W385" s="33"/>
      <c r="X385" s="34"/>
      <c r="Y385" s="35"/>
      <c r="Z385" s="34"/>
      <c r="AA385" s="35"/>
      <c r="AB385" s="34"/>
      <c r="AC385" s="36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60"/>
      <c r="AQ385" s="60"/>
      <c r="AR385" s="60"/>
      <c r="AS385" s="60"/>
      <c r="AT385" s="60"/>
      <c r="AU385" s="60"/>
      <c r="AV385" s="60"/>
      <c r="AW385" s="60"/>
      <c r="AX385" s="60"/>
      <c r="AY385" s="60"/>
      <c r="AZ385" s="60"/>
      <c r="BA385" s="60"/>
      <c r="BB385" s="60"/>
      <c r="BC385" s="60"/>
      <c r="BD385" s="60"/>
      <c r="BE385" s="60"/>
      <c r="BF385" s="60"/>
      <c r="BG385" s="60"/>
      <c r="BH385" s="60"/>
      <c r="BI385" s="60"/>
      <c r="BJ385" s="60"/>
      <c r="BK385" s="60"/>
    </row>
    <row r="386" spans="2:63" s="28" customFormat="1">
      <c r="B386" s="27"/>
      <c r="D386" s="29"/>
      <c r="E386" s="30"/>
      <c r="G386" s="31"/>
      <c r="H386" s="32"/>
      <c r="I386" s="32"/>
      <c r="J386" s="32"/>
      <c r="K386" s="32"/>
      <c r="L386" s="32"/>
      <c r="O386" s="65"/>
      <c r="V386" s="33"/>
      <c r="W386" s="33"/>
      <c r="X386" s="34"/>
      <c r="Y386" s="35"/>
      <c r="Z386" s="34"/>
      <c r="AA386" s="35"/>
      <c r="AB386" s="34"/>
      <c r="AC386" s="36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60"/>
      <c r="AQ386" s="60"/>
      <c r="AR386" s="60"/>
      <c r="AS386" s="60"/>
      <c r="AT386" s="60"/>
      <c r="AU386" s="60"/>
      <c r="AV386" s="60"/>
      <c r="AW386" s="60"/>
      <c r="AX386" s="60"/>
      <c r="AY386" s="60"/>
      <c r="AZ386" s="60"/>
      <c r="BA386" s="60"/>
      <c r="BB386" s="60"/>
      <c r="BC386" s="60"/>
      <c r="BD386" s="60"/>
      <c r="BE386" s="60"/>
      <c r="BF386" s="60"/>
      <c r="BG386" s="60"/>
      <c r="BH386" s="60"/>
      <c r="BI386" s="60"/>
      <c r="BJ386" s="60"/>
      <c r="BK386" s="60"/>
    </row>
    <row r="387" spans="2:63" s="28" customFormat="1">
      <c r="B387" s="27"/>
      <c r="D387" s="29"/>
      <c r="E387" s="30"/>
      <c r="G387" s="31"/>
      <c r="H387" s="32"/>
      <c r="I387" s="32"/>
      <c r="J387" s="32"/>
      <c r="K387" s="32"/>
      <c r="L387" s="32"/>
      <c r="O387" s="71"/>
      <c r="V387" s="33"/>
      <c r="W387" s="33"/>
      <c r="X387" s="34"/>
      <c r="Y387" s="35"/>
      <c r="Z387" s="34"/>
      <c r="AA387" s="35"/>
      <c r="AB387" s="34"/>
      <c r="AC387" s="36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60"/>
      <c r="AQ387" s="60"/>
      <c r="AR387" s="60"/>
      <c r="AS387" s="60"/>
      <c r="AT387" s="60"/>
      <c r="AU387" s="60"/>
      <c r="AV387" s="60"/>
      <c r="AW387" s="60"/>
      <c r="AX387" s="60"/>
      <c r="AY387" s="60"/>
      <c r="AZ387" s="60"/>
      <c r="BA387" s="60"/>
      <c r="BB387" s="60"/>
      <c r="BC387" s="60"/>
      <c r="BD387" s="60"/>
      <c r="BE387" s="60"/>
      <c r="BF387" s="60"/>
      <c r="BG387" s="60"/>
      <c r="BH387" s="60"/>
      <c r="BI387" s="60"/>
      <c r="BJ387" s="60"/>
      <c r="BK387" s="60"/>
    </row>
    <row r="388" spans="2:63" s="28" customFormat="1">
      <c r="B388" s="27"/>
      <c r="D388" s="29"/>
      <c r="E388" s="30"/>
      <c r="G388" s="31"/>
      <c r="H388" s="32"/>
      <c r="I388" s="32"/>
      <c r="J388" s="32"/>
      <c r="K388" s="32"/>
      <c r="L388" s="32"/>
      <c r="O388" s="65"/>
      <c r="V388" s="33"/>
      <c r="W388" s="33"/>
      <c r="X388" s="34"/>
      <c r="Y388" s="35"/>
      <c r="Z388" s="34"/>
      <c r="AA388" s="35"/>
      <c r="AB388" s="34"/>
      <c r="AC388" s="36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60"/>
      <c r="AQ388" s="60"/>
      <c r="AR388" s="60"/>
      <c r="AS388" s="60"/>
      <c r="AT388" s="60"/>
      <c r="AU388" s="60"/>
      <c r="AV388" s="60"/>
      <c r="AW388" s="60"/>
      <c r="AX388" s="60"/>
      <c r="AY388" s="60"/>
      <c r="AZ388" s="60"/>
      <c r="BA388" s="60"/>
      <c r="BB388" s="60"/>
      <c r="BC388" s="60"/>
      <c r="BD388" s="60"/>
      <c r="BE388" s="60"/>
      <c r="BF388" s="60"/>
      <c r="BG388" s="60"/>
      <c r="BH388" s="60"/>
      <c r="BI388" s="60"/>
      <c r="BJ388" s="60"/>
      <c r="BK388" s="60"/>
    </row>
    <row r="389" spans="2:63" s="28" customFormat="1">
      <c r="B389" s="27"/>
      <c r="D389" s="29"/>
      <c r="E389" s="30"/>
      <c r="G389" s="31"/>
      <c r="H389" s="32"/>
      <c r="I389" s="32"/>
      <c r="J389" s="32"/>
      <c r="K389" s="32"/>
      <c r="L389" s="32"/>
      <c r="O389" s="69"/>
      <c r="V389" s="33"/>
      <c r="W389" s="33"/>
      <c r="X389" s="34"/>
      <c r="Y389" s="35"/>
      <c r="Z389" s="34"/>
      <c r="AA389" s="35"/>
      <c r="AB389" s="34"/>
      <c r="AC389" s="36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60"/>
      <c r="AQ389" s="60"/>
      <c r="AR389" s="60"/>
      <c r="AS389" s="60"/>
      <c r="AT389" s="60"/>
      <c r="AU389" s="60"/>
      <c r="AV389" s="60"/>
      <c r="AW389" s="60"/>
      <c r="AX389" s="60"/>
      <c r="AY389" s="60"/>
      <c r="AZ389" s="60"/>
      <c r="BA389" s="60"/>
      <c r="BB389" s="60"/>
      <c r="BC389" s="60"/>
      <c r="BD389" s="60"/>
      <c r="BE389" s="60"/>
      <c r="BF389" s="60"/>
      <c r="BG389" s="60"/>
      <c r="BH389" s="60"/>
      <c r="BI389" s="60"/>
      <c r="BJ389" s="60"/>
      <c r="BK389" s="60"/>
    </row>
    <row r="390" spans="2:63" s="28" customFormat="1">
      <c r="B390" s="27"/>
      <c r="D390" s="29"/>
      <c r="E390" s="30"/>
      <c r="G390" s="31"/>
      <c r="H390" s="32"/>
      <c r="I390" s="32"/>
      <c r="J390" s="32"/>
      <c r="K390" s="32"/>
      <c r="L390" s="32"/>
      <c r="O390" s="71"/>
      <c r="V390" s="33"/>
      <c r="W390" s="33"/>
      <c r="X390" s="34"/>
      <c r="Y390" s="35"/>
      <c r="Z390" s="34"/>
      <c r="AA390" s="35"/>
      <c r="AB390" s="34"/>
      <c r="AC390" s="36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60"/>
      <c r="AQ390" s="60"/>
      <c r="AR390" s="60"/>
      <c r="AS390" s="60"/>
      <c r="AT390" s="60"/>
      <c r="AU390" s="60"/>
      <c r="AV390" s="60"/>
      <c r="AW390" s="60"/>
      <c r="AX390" s="60"/>
      <c r="AY390" s="60"/>
      <c r="AZ390" s="60"/>
      <c r="BA390" s="60"/>
      <c r="BB390" s="60"/>
      <c r="BC390" s="60"/>
      <c r="BD390" s="60"/>
      <c r="BE390" s="60"/>
      <c r="BF390" s="60"/>
      <c r="BG390" s="60"/>
      <c r="BH390" s="60"/>
      <c r="BI390" s="60"/>
      <c r="BJ390" s="60"/>
      <c r="BK390" s="60"/>
    </row>
    <row r="391" spans="2:63" s="28" customFormat="1">
      <c r="B391" s="27"/>
      <c r="D391" s="29"/>
      <c r="E391" s="30"/>
      <c r="G391" s="31"/>
      <c r="H391" s="32"/>
      <c r="I391" s="32"/>
      <c r="J391" s="32"/>
      <c r="K391" s="32"/>
      <c r="L391" s="32"/>
      <c r="O391" s="67"/>
      <c r="V391" s="33"/>
      <c r="W391" s="33"/>
      <c r="X391" s="34"/>
      <c r="Y391" s="35"/>
      <c r="Z391" s="34"/>
      <c r="AA391" s="35"/>
      <c r="AB391" s="34"/>
      <c r="AC391" s="36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60"/>
      <c r="AQ391" s="60"/>
      <c r="AR391" s="60"/>
      <c r="AS391" s="60"/>
      <c r="AT391" s="60"/>
      <c r="AU391" s="60"/>
      <c r="AV391" s="60"/>
      <c r="AW391" s="60"/>
      <c r="AX391" s="60"/>
      <c r="AY391" s="60"/>
      <c r="AZ391" s="60"/>
      <c r="BA391" s="60"/>
      <c r="BB391" s="60"/>
      <c r="BC391" s="60"/>
      <c r="BD391" s="60"/>
      <c r="BE391" s="60"/>
      <c r="BF391" s="60"/>
      <c r="BG391" s="60"/>
      <c r="BH391" s="60"/>
      <c r="BI391" s="60"/>
      <c r="BJ391" s="60"/>
      <c r="BK391" s="60"/>
    </row>
    <row r="392" spans="2:63" s="28" customFormat="1">
      <c r="B392" s="27"/>
      <c r="D392" s="29"/>
      <c r="E392" s="30"/>
      <c r="G392" s="31"/>
      <c r="H392" s="32"/>
      <c r="I392" s="32"/>
      <c r="J392" s="32"/>
      <c r="K392" s="32"/>
      <c r="L392" s="32"/>
      <c r="O392" s="80"/>
      <c r="V392" s="33"/>
      <c r="W392" s="33"/>
      <c r="X392" s="34"/>
      <c r="Y392" s="35"/>
      <c r="Z392" s="34"/>
      <c r="AA392" s="35"/>
      <c r="AB392" s="34"/>
      <c r="AC392" s="36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60"/>
      <c r="AQ392" s="60"/>
      <c r="AR392" s="60"/>
      <c r="AS392" s="60"/>
      <c r="AT392" s="60"/>
      <c r="AU392" s="60"/>
      <c r="AV392" s="60"/>
      <c r="AW392" s="60"/>
      <c r="AX392" s="60"/>
      <c r="AY392" s="60"/>
      <c r="AZ392" s="60"/>
      <c r="BA392" s="60"/>
      <c r="BB392" s="60"/>
      <c r="BC392" s="60"/>
      <c r="BD392" s="60"/>
      <c r="BE392" s="60"/>
      <c r="BF392" s="60"/>
      <c r="BG392" s="60"/>
      <c r="BH392" s="60"/>
      <c r="BI392" s="60"/>
      <c r="BJ392" s="60"/>
      <c r="BK392" s="60"/>
    </row>
    <row r="393" spans="2:63" s="28" customFormat="1">
      <c r="B393" s="27"/>
      <c r="D393" s="29"/>
      <c r="E393" s="30"/>
      <c r="G393" s="31"/>
      <c r="H393" s="32"/>
      <c r="I393" s="32"/>
      <c r="J393" s="32"/>
      <c r="K393" s="32"/>
      <c r="L393" s="32"/>
      <c r="O393" s="71"/>
      <c r="V393" s="33"/>
      <c r="W393" s="33"/>
      <c r="X393" s="34"/>
      <c r="Y393" s="35"/>
      <c r="Z393" s="34"/>
      <c r="AA393" s="35"/>
      <c r="AB393" s="34"/>
      <c r="AC393" s="36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60"/>
      <c r="AQ393" s="60"/>
      <c r="AR393" s="60"/>
      <c r="AS393" s="60"/>
      <c r="AT393" s="60"/>
      <c r="AU393" s="60"/>
      <c r="AV393" s="60"/>
      <c r="AW393" s="60"/>
      <c r="AX393" s="60"/>
      <c r="AY393" s="60"/>
      <c r="AZ393" s="60"/>
      <c r="BA393" s="60"/>
      <c r="BB393" s="60"/>
      <c r="BC393" s="60"/>
      <c r="BD393" s="60"/>
      <c r="BE393" s="60"/>
      <c r="BF393" s="60"/>
      <c r="BG393" s="60"/>
      <c r="BH393" s="60"/>
      <c r="BI393" s="60"/>
      <c r="BJ393" s="60"/>
      <c r="BK393" s="60"/>
    </row>
    <row r="394" spans="2:63" s="28" customFormat="1">
      <c r="B394" s="27"/>
      <c r="D394" s="29"/>
      <c r="E394" s="30"/>
      <c r="G394" s="31"/>
      <c r="H394" s="32"/>
      <c r="I394" s="32"/>
      <c r="J394" s="32"/>
      <c r="K394" s="32"/>
      <c r="L394" s="32"/>
      <c r="O394" s="65"/>
      <c r="V394" s="33"/>
      <c r="W394" s="33"/>
      <c r="X394" s="34"/>
      <c r="Y394" s="35"/>
      <c r="Z394" s="34"/>
      <c r="AA394" s="35"/>
      <c r="AB394" s="34"/>
      <c r="AC394" s="36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60"/>
      <c r="AQ394" s="60"/>
      <c r="AR394" s="60"/>
      <c r="AS394" s="60"/>
      <c r="AT394" s="60"/>
      <c r="AU394" s="60"/>
      <c r="AV394" s="60"/>
      <c r="AW394" s="60"/>
      <c r="AX394" s="60"/>
      <c r="AY394" s="60"/>
      <c r="AZ394" s="60"/>
      <c r="BA394" s="60"/>
      <c r="BB394" s="60"/>
      <c r="BC394" s="60"/>
      <c r="BD394" s="60"/>
      <c r="BE394" s="60"/>
      <c r="BF394" s="60"/>
      <c r="BG394" s="60"/>
      <c r="BH394" s="60"/>
      <c r="BI394" s="60"/>
      <c r="BJ394" s="60"/>
      <c r="BK394" s="60"/>
    </row>
    <row r="395" spans="2:63" s="28" customFormat="1">
      <c r="B395" s="27"/>
      <c r="D395" s="29"/>
      <c r="E395" s="30"/>
      <c r="G395" s="31"/>
      <c r="H395" s="32"/>
      <c r="I395" s="32"/>
      <c r="J395" s="32"/>
      <c r="K395" s="32"/>
      <c r="L395" s="32"/>
      <c r="O395" s="71"/>
      <c r="V395" s="33"/>
      <c r="W395" s="33"/>
      <c r="X395" s="34"/>
      <c r="Y395" s="35"/>
      <c r="Z395" s="34"/>
      <c r="AA395" s="35"/>
      <c r="AB395" s="34"/>
      <c r="AC395" s="36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60"/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  <c r="BA395" s="60"/>
      <c r="BB395" s="60"/>
      <c r="BC395" s="60"/>
      <c r="BD395" s="60"/>
      <c r="BE395" s="60"/>
      <c r="BF395" s="60"/>
      <c r="BG395" s="60"/>
      <c r="BH395" s="60"/>
      <c r="BI395" s="60"/>
      <c r="BJ395" s="60"/>
      <c r="BK395" s="60"/>
    </row>
    <row r="396" spans="2:63" s="28" customFormat="1">
      <c r="B396" s="27"/>
      <c r="D396" s="29"/>
      <c r="E396" s="30"/>
      <c r="G396" s="31"/>
      <c r="H396" s="32"/>
      <c r="I396" s="32"/>
      <c r="J396" s="32"/>
      <c r="K396" s="32"/>
      <c r="L396" s="32"/>
      <c r="O396" s="69"/>
      <c r="V396" s="33"/>
      <c r="W396" s="33"/>
      <c r="X396" s="34"/>
      <c r="Y396" s="35"/>
      <c r="Z396" s="34"/>
      <c r="AA396" s="35"/>
      <c r="AB396" s="34"/>
      <c r="AC396" s="36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60"/>
      <c r="AQ396" s="60"/>
      <c r="AR396" s="60"/>
      <c r="AS396" s="60"/>
      <c r="AT396" s="60"/>
      <c r="AU396" s="60"/>
      <c r="AV396" s="60"/>
      <c r="AW396" s="60"/>
      <c r="AX396" s="60"/>
      <c r="AY396" s="60"/>
      <c r="AZ396" s="60"/>
      <c r="BA396" s="60"/>
      <c r="BB396" s="60"/>
      <c r="BC396" s="60"/>
      <c r="BD396" s="60"/>
      <c r="BE396" s="60"/>
      <c r="BF396" s="60"/>
      <c r="BG396" s="60"/>
      <c r="BH396" s="60"/>
      <c r="BI396" s="60"/>
      <c r="BJ396" s="60"/>
      <c r="BK396" s="60"/>
    </row>
    <row r="397" spans="2:63" s="28" customFormat="1">
      <c r="B397" s="27"/>
      <c r="D397" s="29"/>
      <c r="E397" s="30"/>
      <c r="G397" s="31"/>
      <c r="H397" s="32"/>
      <c r="I397" s="32"/>
      <c r="J397" s="32"/>
      <c r="K397" s="32"/>
      <c r="L397" s="32"/>
      <c r="O397" s="65"/>
      <c r="V397" s="33"/>
      <c r="W397" s="33"/>
      <c r="X397" s="34"/>
      <c r="Y397" s="35"/>
      <c r="Z397" s="34"/>
      <c r="AA397" s="35"/>
      <c r="AB397" s="34"/>
      <c r="AC397" s="36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60"/>
      <c r="AQ397" s="60"/>
      <c r="AR397" s="60"/>
      <c r="AS397" s="60"/>
      <c r="AT397" s="60"/>
      <c r="AU397" s="60"/>
      <c r="AV397" s="60"/>
      <c r="AW397" s="60"/>
      <c r="AX397" s="60"/>
      <c r="AY397" s="60"/>
      <c r="AZ397" s="60"/>
      <c r="BA397" s="60"/>
      <c r="BB397" s="60"/>
      <c r="BC397" s="60"/>
      <c r="BD397" s="60"/>
      <c r="BE397" s="60"/>
      <c r="BF397" s="60"/>
      <c r="BG397" s="60"/>
      <c r="BH397" s="60"/>
      <c r="BI397" s="60"/>
      <c r="BJ397" s="60"/>
      <c r="BK397" s="60"/>
    </row>
    <row r="398" spans="2:63" s="28" customFormat="1">
      <c r="B398" s="27"/>
      <c r="D398" s="29"/>
      <c r="E398" s="30"/>
      <c r="G398" s="31"/>
      <c r="H398" s="32"/>
      <c r="I398" s="32"/>
      <c r="J398" s="32"/>
      <c r="K398" s="32"/>
      <c r="L398" s="32"/>
      <c r="O398" s="65"/>
      <c r="V398" s="33"/>
      <c r="W398" s="33"/>
      <c r="X398" s="34"/>
      <c r="Y398" s="35"/>
      <c r="Z398" s="34"/>
      <c r="AA398" s="35"/>
      <c r="AB398" s="34"/>
      <c r="AC398" s="36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60"/>
      <c r="AQ398" s="60"/>
      <c r="AR398" s="60"/>
      <c r="AS398" s="60"/>
      <c r="AT398" s="60"/>
      <c r="AU398" s="60"/>
      <c r="AV398" s="60"/>
      <c r="AW398" s="60"/>
      <c r="AX398" s="60"/>
      <c r="AY398" s="60"/>
      <c r="AZ398" s="60"/>
      <c r="BA398" s="60"/>
      <c r="BB398" s="60"/>
      <c r="BC398" s="60"/>
      <c r="BD398" s="60"/>
      <c r="BE398" s="60"/>
      <c r="BF398" s="60"/>
      <c r="BG398" s="60"/>
      <c r="BH398" s="60"/>
      <c r="BI398" s="60"/>
      <c r="BJ398" s="60"/>
      <c r="BK398" s="60"/>
    </row>
    <row r="399" spans="2:63" s="28" customFormat="1">
      <c r="B399" s="27"/>
      <c r="D399" s="29"/>
      <c r="E399" s="30"/>
      <c r="G399" s="31"/>
      <c r="H399" s="32"/>
      <c r="I399" s="32"/>
      <c r="J399" s="32"/>
      <c r="K399" s="32"/>
      <c r="L399" s="32"/>
      <c r="O399" s="72"/>
      <c r="V399" s="33"/>
      <c r="W399" s="33"/>
      <c r="X399" s="34"/>
      <c r="Y399" s="35"/>
      <c r="Z399" s="34"/>
      <c r="AA399" s="35"/>
      <c r="AB399" s="34"/>
      <c r="AC399" s="36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60"/>
      <c r="AQ399" s="60"/>
      <c r="AR399" s="60"/>
      <c r="AS399" s="60"/>
      <c r="AT399" s="60"/>
      <c r="AU399" s="60"/>
      <c r="AV399" s="60"/>
      <c r="AW399" s="60"/>
      <c r="AX399" s="60"/>
      <c r="AY399" s="60"/>
      <c r="AZ399" s="60"/>
      <c r="BA399" s="60"/>
      <c r="BB399" s="60"/>
      <c r="BC399" s="60"/>
      <c r="BD399" s="60"/>
      <c r="BE399" s="60"/>
      <c r="BF399" s="60"/>
      <c r="BG399" s="60"/>
      <c r="BH399" s="60"/>
      <c r="BI399" s="60"/>
      <c r="BJ399" s="60"/>
      <c r="BK399" s="60"/>
    </row>
    <row r="400" spans="2:63" s="28" customFormat="1">
      <c r="B400" s="27"/>
      <c r="D400" s="29"/>
      <c r="E400" s="30"/>
      <c r="G400" s="31"/>
      <c r="H400" s="32"/>
      <c r="I400" s="32"/>
      <c r="J400" s="32"/>
      <c r="K400" s="32"/>
      <c r="L400" s="32"/>
      <c r="O400" s="76"/>
      <c r="V400" s="33"/>
      <c r="W400" s="33"/>
      <c r="X400" s="34"/>
      <c r="Y400" s="35"/>
      <c r="Z400" s="34"/>
      <c r="AA400" s="35"/>
      <c r="AB400" s="34"/>
      <c r="AC400" s="36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60"/>
      <c r="AQ400" s="60"/>
      <c r="AR400" s="60"/>
      <c r="AS400" s="60"/>
      <c r="AT400" s="60"/>
      <c r="AU400" s="60"/>
      <c r="AV400" s="60"/>
      <c r="AW400" s="60"/>
      <c r="AX400" s="60"/>
      <c r="AY400" s="60"/>
      <c r="AZ400" s="60"/>
      <c r="BA400" s="60"/>
      <c r="BB400" s="60"/>
      <c r="BC400" s="60"/>
      <c r="BD400" s="60"/>
      <c r="BE400" s="60"/>
      <c r="BF400" s="60"/>
      <c r="BG400" s="60"/>
      <c r="BH400" s="60"/>
      <c r="BI400" s="60"/>
      <c r="BJ400" s="60"/>
      <c r="BK400" s="60"/>
    </row>
    <row r="401" spans="2:63" s="28" customFormat="1">
      <c r="B401" s="27"/>
      <c r="D401" s="29"/>
      <c r="E401" s="30"/>
      <c r="G401" s="31"/>
      <c r="H401" s="32"/>
      <c r="I401" s="32"/>
      <c r="J401" s="32"/>
      <c r="K401" s="32"/>
      <c r="L401" s="32"/>
      <c r="O401" s="65"/>
      <c r="V401" s="33"/>
      <c r="W401" s="33"/>
      <c r="X401" s="34"/>
      <c r="Y401" s="35"/>
      <c r="Z401" s="34"/>
      <c r="AA401" s="35"/>
      <c r="AB401" s="34"/>
      <c r="AC401" s="36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60"/>
      <c r="AQ401" s="60"/>
      <c r="AR401" s="60"/>
      <c r="AS401" s="60"/>
      <c r="AT401" s="60"/>
      <c r="AU401" s="60"/>
      <c r="AV401" s="60"/>
      <c r="AW401" s="60"/>
      <c r="AX401" s="60"/>
      <c r="AY401" s="60"/>
      <c r="AZ401" s="60"/>
      <c r="BA401" s="60"/>
      <c r="BB401" s="60"/>
      <c r="BC401" s="60"/>
      <c r="BD401" s="60"/>
      <c r="BE401" s="60"/>
      <c r="BF401" s="60"/>
      <c r="BG401" s="60"/>
      <c r="BH401" s="60"/>
      <c r="BI401" s="60"/>
      <c r="BJ401" s="60"/>
      <c r="BK401" s="60"/>
    </row>
    <row r="402" spans="2:63" s="28" customFormat="1">
      <c r="B402" s="27"/>
      <c r="D402" s="29"/>
      <c r="E402" s="30"/>
      <c r="G402" s="31"/>
      <c r="H402" s="32"/>
      <c r="I402" s="32"/>
      <c r="J402" s="32"/>
      <c r="K402" s="32"/>
      <c r="L402" s="32"/>
      <c r="O402" s="69"/>
      <c r="V402" s="33"/>
      <c r="W402" s="33"/>
      <c r="X402" s="34"/>
      <c r="Y402" s="35"/>
      <c r="Z402" s="34"/>
      <c r="AA402" s="35"/>
      <c r="AB402" s="34"/>
      <c r="AC402" s="36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60"/>
      <c r="AQ402" s="60"/>
      <c r="AR402" s="60"/>
      <c r="AS402" s="60"/>
      <c r="AT402" s="60"/>
      <c r="AU402" s="60"/>
      <c r="AV402" s="60"/>
      <c r="AW402" s="60"/>
      <c r="AX402" s="60"/>
      <c r="AY402" s="60"/>
      <c r="AZ402" s="60"/>
      <c r="BA402" s="60"/>
      <c r="BB402" s="60"/>
      <c r="BC402" s="60"/>
      <c r="BD402" s="60"/>
      <c r="BE402" s="60"/>
      <c r="BF402" s="60"/>
      <c r="BG402" s="60"/>
      <c r="BH402" s="60"/>
      <c r="BI402" s="60"/>
      <c r="BJ402" s="60"/>
      <c r="BK402" s="60"/>
    </row>
    <row r="403" spans="2:63" s="28" customFormat="1">
      <c r="B403" s="27"/>
      <c r="D403" s="29"/>
      <c r="E403" s="30"/>
      <c r="G403" s="31"/>
      <c r="H403" s="32"/>
      <c r="I403" s="32"/>
      <c r="J403" s="32"/>
      <c r="K403" s="32"/>
      <c r="L403" s="32"/>
      <c r="O403" s="65"/>
      <c r="V403" s="33"/>
      <c r="W403" s="33"/>
      <c r="X403" s="34"/>
      <c r="Y403" s="35"/>
      <c r="Z403" s="34"/>
      <c r="AA403" s="35"/>
      <c r="AB403" s="34"/>
      <c r="AC403" s="36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60"/>
      <c r="AQ403" s="60"/>
      <c r="AR403" s="60"/>
      <c r="AS403" s="60"/>
      <c r="AT403" s="60"/>
      <c r="AU403" s="60"/>
      <c r="AV403" s="60"/>
      <c r="AW403" s="60"/>
      <c r="AX403" s="60"/>
      <c r="AY403" s="60"/>
      <c r="AZ403" s="60"/>
      <c r="BA403" s="60"/>
      <c r="BB403" s="60"/>
      <c r="BC403" s="60"/>
      <c r="BD403" s="60"/>
      <c r="BE403" s="60"/>
      <c r="BF403" s="60"/>
      <c r="BG403" s="60"/>
      <c r="BH403" s="60"/>
      <c r="BI403" s="60"/>
      <c r="BJ403" s="60"/>
      <c r="BK403" s="60"/>
    </row>
    <row r="404" spans="2:63" s="28" customFormat="1">
      <c r="B404" s="27"/>
      <c r="D404" s="29"/>
      <c r="E404" s="30"/>
      <c r="G404" s="31"/>
      <c r="H404" s="32"/>
      <c r="I404" s="32"/>
      <c r="J404" s="32"/>
      <c r="K404" s="32"/>
      <c r="L404" s="32"/>
      <c r="O404" s="64"/>
      <c r="V404" s="33"/>
      <c r="W404" s="33"/>
      <c r="X404" s="34"/>
      <c r="Y404" s="35"/>
      <c r="Z404" s="34"/>
      <c r="AA404" s="35"/>
      <c r="AB404" s="34"/>
      <c r="AC404" s="36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60"/>
      <c r="AQ404" s="60"/>
      <c r="AR404" s="60"/>
      <c r="AS404" s="60"/>
      <c r="AT404" s="60"/>
      <c r="AU404" s="60"/>
      <c r="AV404" s="60"/>
      <c r="AW404" s="60"/>
      <c r="AX404" s="60"/>
      <c r="AY404" s="60"/>
      <c r="AZ404" s="60"/>
      <c r="BA404" s="60"/>
      <c r="BB404" s="60"/>
      <c r="BC404" s="60"/>
      <c r="BD404" s="60"/>
      <c r="BE404" s="60"/>
      <c r="BF404" s="60"/>
      <c r="BG404" s="60"/>
      <c r="BH404" s="60"/>
      <c r="BI404" s="60"/>
      <c r="BJ404" s="60"/>
      <c r="BK404" s="60"/>
    </row>
    <row r="405" spans="2:63" s="28" customFormat="1">
      <c r="B405" s="27"/>
      <c r="D405" s="29"/>
      <c r="E405" s="30"/>
      <c r="G405" s="31"/>
      <c r="H405" s="32"/>
      <c r="I405" s="32"/>
      <c r="J405" s="32"/>
      <c r="K405" s="32"/>
      <c r="L405" s="32"/>
      <c r="O405" s="68"/>
      <c r="V405" s="33"/>
      <c r="W405" s="33"/>
      <c r="X405" s="34"/>
      <c r="Y405" s="35"/>
      <c r="Z405" s="34"/>
      <c r="AA405" s="35"/>
      <c r="AB405" s="34"/>
      <c r="AC405" s="36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60"/>
      <c r="AQ405" s="60"/>
      <c r="AR405" s="60"/>
      <c r="AS405" s="60"/>
      <c r="AT405" s="60"/>
      <c r="AU405" s="60"/>
      <c r="AV405" s="60"/>
      <c r="AW405" s="60"/>
      <c r="AX405" s="60"/>
      <c r="AY405" s="60"/>
      <c r="AZ405" s="60"/>
      <c r="BA405" s="60"/>
      <c r="BB405" s="60"/>
      <c r="BC405" s="60"/>
      <c r="BD405" s="60"/>
      <c r="BE405" s="60"/>
      <c r="BF405" s="60"/>
      <c r="BG405" s="60"/>
      <c r="BH405" s="60"/>
      <c r="BI405" s="60"/>
      <c r="BJ405" s="60"/>
      <c r="BK405" s="60"/>
    </row>
    <row r="406" spans="2:63" s="28" customFormat="1">
      <c r="B406" s="27"/>
      <c r="D406" s="29"/>
      <c r="E406" s="30"/>
      <c r="G406" s="31"/>
      <c r="H406" s="32"/>
      <c r="I406" s="32"/>
      <c r="J406" s="32"/>
      <c r="K406" s="32"/>
      <c r="L406" s="32"/>
      <c r="O406" s="73"/>
      <c r="V406" s="33"/>
      <c r="W406" s="33"/>
      <c r="X406" s="34"/>
      <c r="Y406" s="35"/>
      <c r="Z406" s="34"/>
      <c r="AA406" s="35"/>
      <c r="AB406" s="34"/>
      <c r="AC406" s="36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60"/>
      <c r="AQ406" s="60"/>
      <c r="AR406" s="60"/>
      <c r="AS406" s="60"/>
      <c r="AT406" s="60"/>
      <c r="AU406" s="60"/>
      <c r="AV406" s="60"/>
      <c r="AW406" s="60"/>
      <c r="AX406" s="60"/>
      <c r="AY406" s="60"/>
      <c r="AZ406" s="60"/>
      <c r="BA406" s="60"/>
      <c r="BB406" s="60"/>
      <c r="BC406" s="60"/>
      <c r="BD406" s="60"/>
      <c r="BE406" s="60"/>
      <c r="BF406" s="60"/>
      <c r="BG406" s="60"/>
      <c r="BH406" s="60"/>
      <c r="BI406" s="60"/>
      <c r="BJ406" s="60"/>
      <c r="BK406" s="60"/>
    </row>
    <row r="407" spans="2:63" s="28" customFormat="1">
      <c r="B407" s="27"/>
      <c r="D407" s="29"/>
      <c r="E407" s="30"/>
      <c r="G407" s="31"/>
      <c r="H407" s="32"/>
      <c r="I407" s="32"/>
      <c r="J407" s="32"/>
      <c r="K407" s="32"/>
      <c r="L407" s="32"/>
      <c r="O407" s="68"/>
      <c r="V407" s="33"/>
      <c r="W407" s="33"/>
      <c r="X407" s="34"/>
      <c r="Y407" s="35"/>
      <c r="Z407" s="34"/>
      <c r="AA407" s="35"/>
      <c r="AB407" s="34"/>
      <c r="AC407" s="36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60"/>
      <c r="AQ407" s="60"/>
      <c r="AR407" s="60"/>
      <c r="AS407" s="60"/>
      <c r="AT407" s="60"/>
      <c r="AU407" s="60"/>
      <c r="AV407" s="60"/>
      <c r="AW407" s="60"/>
      <c r="AX407" s="60"/>
      <c r="AY407" s="60"/>
      <c r="AZ407" s="60"/>
      <c r="BA407" s="60"/>
      <c r="BB407" s="60"/>
      <c r="BC407" s="60"/>
      <c r="BD407" s="60"/>
      <c r="BE407" s="60"/>
      <c r="BF407" s="60"/>
      <c r="BG407" s="60"/>
      <c r="BH407" s="60"/>
      <c r="BI407" s="60"/>
      <c r="BJ407" s="60"/>
      <c r="BK407" s="60"/>
    </row>
    <row r="408" spans="2:63" s="28" customFormat="1">
      <c r="B408" s="27"/>
      <c r="D408" s="29"/>
      <c r="E408" s="30"/>
      <c r="G408" s="31"/>
      <c r="H408" s="32"/>
      <c r="I408" s="32"/>
      <c r="J408" s="32"/>
      <c r="K408" s="32"/>
      <c r="L408" s="32"/>
      <c r="O408" s="64"/>
      <c r="V408" s="33"/>
      <c r="W408" s="33"/>
      <c r="X408" s="34"/>
      <c r="Y408" s="35"/>
      <c r="Z408" s="34"/>
      <c r="AA408" s="35"/>
      <c r="AB408" s="34"/>
      <c r="AC408" s="36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60"/>
      <c r="AQ408" s="60"/>
      <c r="AR408" s="60"/>
      <c r="AS408" s="60"/>
      <c r="AT408" s="60"/>
      <c r="AU408" s="60"/>
      <c r="AV408" s="60"/>
      <c r="AW408" s="60"/>
      <c r="AX408" s="60"/>
      <c r="AY408" s="60"/>
      <c r="AZ408" s="60"/>
      <c r="BA408" s="60"/>
      <c r="BB408" s="60"/>
      <c r="BC408" s="60"/>
      <c r="BD408" s="60"/>
      <c r="BE408" s="60"/>
      <c r="BF408" s="60"/>
      <c r="BG408" s="60"/>
      <c r="BH408" s="60"/>
      <c r="BI408" s="60"/>
      <c r="BJ408" s="60"/>
      <c r="BK408" s="60"/>
    </row>
    <row r="409" spans="2:63" s="28" customFormat="1">
      <c r="B409" s="27"/>
      <c r="D409" s="29"/>
      <c r="E409" s="30"/>
      <c r="G409" s="31"/>
      <c r="H409" s="32"/>
      <c r="I409" s="32"/>
      <c r="J409" s="32"/>
      <c r="K409" s="32"/>
      <c r="L409" s="32"/>
      <c r="O409" s="75"/>
      <c r="V409" s="33"/>
      <c r="W409" s="33"/>
      <c r="X409" s="34"/>
      <c r="Y409" s="35"/>
      <c r="Z409" s="34"/>
      <c r="AA409" s="35"/>
      <c r="AB409" s="34"/>
      <c r="AC409" s="36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60"/>
      <c r="AQ409" s="60"/>
      <c r="AR409" s="60"/>
      <c r="AS409" s="60"/>
      <c r="AT409" s="60"/>
      <c r="AU409" s="60"/>
      <c r="AV409" s="60"/>
      <c r="AW409" s="60"/>
      <c r="AX409" s="60"/>
      <c r="AY409" s="60"/>
      <c r="AZ409" s="60"/>
      <c r="BA409" s="60"/>
      <c r="BB409" s="60"/>
      <c r="BC409" s="60"/>
      <c r="BD409" s="60"/>
      <c r="BE409" s="60"/>
      <c r="BF409" s="60"/>
      <c r="BG409" s="60"/>
      <c r="BH409" s="60"/>
      <c r="BI409" s="60"/>
      <c r="BJ409" s="60"/>
      <c r="BK409" s="60"/>
    </row>
    <row r="410" spans="2:63" s="28" customFormat="1">
      <c r="B410" s="27"/>
      <c r="D410" s="29"/>
      <c r="E410" s="30"/>
      <c r="G410" s="31"/>
      <c r="H410" s="32"/>
      <c r="I410" s="32"/>
      <c r="J410" s="32"/>
      <c r="K410" s="32"/>
      <c r="L410" s="32"/>
      <c r="O410" s="65"/>
      <c r="V410" s="33"/>
      <c r="W410" s="33"/>
      <c r="X410" s="34"/>
      <c r="Y410" s="35"/>
      <c r="Z410" s="34"/>
      <c r="AA410" s="35"/>
      <c r="AB410" s="34"/>
      <c r="AC410" s="36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60"/>
      <c r="AQ410" s="60"/>
      <c r="AR410" s="60"/>
      <c r="AS410" s="60"/>
      <c r="AT410" s="60"/>
      <c r="AU410" s="60"/>
      <c r="AV410" s="60"/>
      <c r="AW410" s="60"/>
      <c r="AX410" s="60"/>
      <c r="AY410" s="60"/>
      <c r="AZ410" s="60"/>
      <c r="BA410" s="60"/>
      <c r="BB410" s="60"/>
      <c r="BC410" s="60"/>
      <c r="BD410" s="60"/>
      <c r="BE410" s="60"/>
      <c r="BF410" s="60"/>
      <c r="BG410" s="60"/>
      <c r="BH410" s="60"/>
      <c r="BI410" s="60"/>
      <c r="BJ410" s="60"/>
      <c r="BK410" s="60"/>
    </row>
    <row r="411" spans="2:63" s="28" customFormat="1">
      <c r="B411" s="27"/>
      <c r="D411" s="29"/>
      <c r="E411" s="30"/>
      <c r="G411" s="31"/>
      <c r="H411" s="32"/>
      <c r="I411" s="32"/>
      <c r="J411" s="32"/>
      <c r="K411" s="32"/>
      <c r="L411" s="32"/>
      <c r="O411" s="64"/>
      <c r="V411" s="33"/>
      <c r="W411" s="33"/>
      <c r="X411" s="34"/>
      <c r="Y411" s="35"/>
      <c r="Z411" s="34"/>
      <c r="AA411" s="35"/>
      <c r="AB411" s="34"/>
      <c r="AC411" s="36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60"/>
      <c r="AQ411" s="60"/>
      <c r="AR411" s="60"/>
      <c r="AS411" s="60"/>
      <c r="AT411" s="60"/>
      <c r="AU411" s="60"/>
      <c r="AV411" s="60"/>
      <c r="AW411" s="60"/>
      <c r="AX411" s="60"/>
      <c r="AY411" s="60"/>
      <c r="AZ411" s="60"/>
      <c r="BA411" s="60"/>
      <c r="BB411" s="60"/>
      <c r="BC411" s="60"/>
      <c r="BD411" s="60"/>
      <c r="BE411" s="60"/>
      <c r="BF411" s="60"/>
      <c r="BG411" s="60"/>
      <c r="BH411" s="60"/>
      <c r="BI411" s="60"/>
      <c r="BJ411" s="60"/>
      <c r="BK411" s="60"/>
    </row>
    <row r="412" spans="2:63" s="28" customFormat="1">
      <c r="B412" s="27"/>
      <c r="D412" s="29"/>
      <c r="E412" s="30"/>
      <c r="G412" s="31"/>
      <c r="H412" s="32"/>
      <c r="I412" s="32"/>
      <c r="J412" s="32"/>
      <c r="K412" s="32"/>
      <c r="L412" s="32"/>
      <c r="O412" s="80"/>
      <c r="V412" s="33"/>
      <c r="W412" s="33"/>
      <c r="X412" s="34"/>
      <c r="Y412" s="35"/>
      <c r="Z412" s="34"/>
      <c r="AA412" s="35"/>
      <c r="AB412" s="34"/>
      <c r="AC412" s="36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60"/>
      <c r="AQ412" s="60"/>
      <c r="AR412" s="60"/>
      <c r="AS412" s="60"/>
      <c r="AT412" s="60"/>
      <c r="AU412" s="60"/>
      <c r="AV412" s="60"/>
      <c r="AW412" s="60"/>
      <c r="AX412" s="60"/>
      <c r="AY412" s="60"/>
      <c r="AZ412" s="60"/>
      <c r="BA412" s="60"/>
      <c r="BB412" s="60"/>
      <c r="BC412" s="60"/>
      <c r="BD412" s="60"/>
      <c r="BE412" s="60"/>
      <c r="BF412" s="60"/>
      <c r="BG412" s="60"/>
      <c r="BH412" s="60"/>
      <c r="BI412" s="60"/>
      <c r="BJ412" s="60"/>
      <c r="BK412" s="60"/>
    </row>
    <row r="413" spans="2:63" s="28" customFormat="1">
      <c r="B413" s="27"/>
      <c r="D413" s="29"/>
      <c r="E413" s="30"/>
      <c r="G413" s="31"/>
      <c r="H413" s="32"/>
      <c r="I413" s="32"/>
      <c r="J413" s="32"/>
      <c r="K413" s="32"/>
      <c r="L413" s="32"/>
      <c r="O413" s="71"/>
      <c r="V413" s="33"/>
      <c r="W413" s="33"/>
      <c r="X413" s="34"/>
      <c r="Y413" s="35"/>
      <c r="Z413" s="34"/>
      <c r="AA413" s="35"/>
      <c r="AB413" s="34"/>
      <c r="AC413" s="36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60"/>
      <c r="AQ413" s="60"/>
      <c r="AR413" s="60"/>
      <c r="AS413" s="60"/>
      <c r="AT413" s="60"/>
      <c r="AU413" s="60"/>
      <c r="AV413" s="60"/>
      <c r="AW413" s="60"/>
      <c r="AX413" s="60"/>
      <c r="AY413" s="60"/>
      <c r="AZ413" s="60"/>
      <c r="BA413" s="60"/>
      <c r="BB413" s="60"/>
      <c r="BC413" s="60"/>
      <c r="BD413" s="60"/>
      <c r="BE413" s="60"/>
      <c r="BF413" s="60"/>
      <c r="BG413" s="60"/>
      <c r="BH413" s="60"/>
      <c r="BI413" s="60"/>
      <c r="BJ413" s="60"/>
      <c r="BK413" s="60"/>
    </row>
    <row r="414" spans="2:63" s="28" customFormat="1">
      <c r="B414" s="27"/>
      <c r="D414" s="29"/>
      <c r="E414" s="30"/>
      <c r="G414" s="31"/>
      <c r="H414" s="32"/>
      <c r="I414" s="32"/>
      <c r="J414" s="32"/>
      <c r="K414" s="32"/>
      <c r="L414" s="32"/>
      <c r="O414" s="67"/>
      <c r="V414" s="33"/>
      <c r="W414" s="33"/>
      <c r="X414" s="34"/>
      <c r="Y414" s="35"/>
      <c r="Z414" s="34"/>
      <c r="AA414" s="35"/>
      <c r="AB414" s="34"/>
      <c r="AC414" s="36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60"/>
      <c r="AQ414" s="60"/>
      <c r="AR414" s="60"/>
      <c r="AS414" s="60"/>
      <c r="AT414" s="60"/>
      <c r="AU414" s="60"/>
      <c r="AV414" s="60"/>
      <c r="AW414" s="60"/>
      <c r="AX414" s="60"/>
      <c r="AY414" s="60"/>
      <c r="AZ414" s="60"/>
      <c r="BA414" s="60"/>
      <c r="BB414" s="60"/>
      <c r="BC414" s="60"/>
      <c r="BD414" s="60"/>
      <c r="BE414" s="60"/>
      <c r="BF414" s="60"/>
      <c r="BG414" s="60"/>
      <c r="BH414" s="60"/>
      <c r="BI414" s="60"/>
      <c r="BJ414" s="60"/>
      <c r="BK414" s="60"/>
    </row>
    <row r="415" spans="2:63" s="28" customFormat="1">
      <c r="B415" s="27"/>
      <c r="D415" s="29"/>
      <c r="E415" s="30"/>
      <c r="G415" s="31"/>
      <c r="H415" s="32"/>
      <c r="I415" s="32"/>
      <c r="J415" s="32"/>
      <c r="K415" s="32"/>
      <c r="L415" s="32"/>
      <c r="O415" s="75"/>
      <c r="V415" s="33"/>
      <c r="W415" s="33"/>
      <c r="X415" s="34"/>
      <c r="Y415" s="35"/>
      <c r="Z415" s="34"/>
      <c r="AA415" s="35"/>
      <c r="AB415" s="34"/>
      <c r="AC415" s="36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60"/>
      <c r="AQ415" s="60"/>
      <c r="AR415" s="60"/>
      <c r="AS415" s="60"/>
      <c r="AT415" s="60"/>
      <c r="AU415" s="60"/>
      <c r="AV415" s="60"/>
      <c r="AW415" s="60"/>
      <c r="AX415" s="60"/>
      <c r="AY415" s="60"/>
      <c r="AZ415" s="60"/>
      <c r="BA415" s="60"/>
      <c r="BB415" s="60"/>
      <c r="BC415" s="60"/>
      <c r="BD415" s="60"/>
      <c r="BE415" s="60"/>
      <c r="BF415" s="60"/>
      <c r="BG415" s="60"/>
      <c r="BH415" s="60"/>
      <c r="BI415" s="60"/>
      <c r="BJ415" s="60"/>
      <c r="BK415" s="60"/>
    </row>
    <row r="416" spans="2:63" s="28" customFormat="1">
      <c r="B416" s="27"/>
      <c r="D416" s="29"/>
      <c r="E416" s="30"/>
      <c r="G416" s="31"/>
      <c r="H416" s="32"/>
      <c r="I416" s="32"/>
      <c r="J416" s="32"/>
      <c r="K416" s="32"/>
      <c r="L416" s="32"/>
      <c r="O416" s="80"/>
      <c r="V416" s="33"/>
      <c r="W416" s="33"/>
      <c r="X416" s="34"/>
      <c r="Y416" s="35"/>
      <c r="Z416" s="34"/>
      <c r="AA416" s="35"/>
      <c r="AB416" s="34"/>
      <c r="AC416" s="36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60"/>
      <c r="AQ416" s="60"/>
      <c r="AR416" s="60"/>
      <c r="AS416" s="60"/>
      <c r="AT416" s="60"/>
      <c r="AU416" s="60"/>
      <c r="AV416" s="60"/>
      <c r="AW416" s="60"/>
      <c r="AX416" s="60"/>
      <c r="AY416" s="60"/>
      <c r="AZ416" s="60"/>
      <c r="BA416" s="60"/>
      <c r="BB416" s="60"/>
      <c r="BC416" s="60"/>
      <c r="BD416" s="60"/>
      <c r="BE416" s="60"/>
      <c r="BF416" s="60"/>
      <c r="BG416" s="60"/>
      <c r="BH416" s="60"/>
      <c r="BI416" s="60"/>
      <c r="BJ416" s="60"/>
      <c r="BK416" s="60"/>
    </row>
    <row r="417" spans="2:63" s="28" customFormat="1">
      <c r="B417" s="27"/>
      <c r="D417" s="29"/>
      <c r="E417" s="30"/>
      <c r="G417" s="31"/>
      <c r="H417" s="32"/>
      <c r="I417" s="32"/>
      <c r="J417" s="32"/>
      <c r="K417" s="32"/>
      <c r="L417" s="32"/>
      <c r="O417" s="80"/>
      <c r="V417" s="33"/>
      <c r="W417" s="33"/>
      <c r="X417" s="34"/>
      <c r="Y417" s="35"/>
      <c r="Z417" s="34"/>
      <c r="AA417" s="35"/>
      <c r="AB417" s="34"/>
      <c r="AC417" s="36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60"/>
      <c r="AQ417" s="60"/>
      <c r="AR417" s="60"/>
      <c r="AS417" s="60"/>
      <c r="AT417" s="60"/>
      <c r="AU417" s="60"/>
      <c r="AV417" s="60"/>
      <c r="AW417" s="60"/>
      <c r="AX417" s="60"/>
      <c r="AY417" s="60"/>
      <c r="AZ417" s="60"/>
      <c r="BA417" s="60"/>
      <c r="BB417" s="60"/>
      <c r="BC417" s="60"/>
      <c r="BD417" s="60"/>
      <c r="BE417" s="60"/>
      <c r="BF417" s="60"/>
      <c r="BG417" s="60"/>
      <c r="BH417" s="60"/>
      <c r="BI417" s="60"/>
      <c r="BJ417" s="60"/>
      <c r="BK417" s="60"/>
    </row>
    <row r="418" spans="2:63" s="28" customFormat="1">
      <c r="B418" s="27"/>
      <c r="D418" s="29"/>
      <c r="E418" s="30"/>
      <c r="G418" s="31"/>
      <c r="H418" s="32"/>
      <c r="I418" s="32"/>
      <c r="J418" s="32"/>
      <c r="K418" s="32"/>
      <c r="L418" s="32"/>
      <c r="O418" s="73"/>
      <c r="V418" s="33"/>
      <c r="W418" s="33"/>
      <c r="X418" s="34"/>
      <c r="Y418" s="35"/>
      <c r="Z418" s="34"/>
      <c r="AA418" s="35"/>
      <c r="AB418" s="34"/>
      <c r="AC418" s="36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60"/>
      <c r="AQ418" s="60"/>
      <c r="AR418" s="60"/>
      <c r="AS418" s="60"/>
      <c r="AT418" s="60"/>
      <c r="AU418" s="60"/>
      <c r="AV418" s="60"/>
      <c r="AW418" s="60"/>
      <c r="AX418" s="60"/>
      <c r="AY418" s="60"/>
      <c r="AZ418" s="60"/>
      <c r="BA418" s="60"/>
      <c r="BB418" s="60"/>
      <c r="BC418" s="60"/>
      <c r="BD418" s="60"/>
      <c r="BE418" s="60"/>
      <c r="BF418" s="60"/>
      <c r="BG418" s="60"/>
      <c r="BH418" s="60"/>
      <c r="BI418" s="60"/>
      <c r="BJ418" s="60"/>
      <c r="BK418" s="60"/>
    </row>
    <row r="419" spans="2:63" s="28" customFormat="1">
      <c r="B419" s="27"/>
      <c r="D419" s="29"/>
      <c r="E419" s="30"/>
      <c r="G419" s="31"/>
      <c r="H419" s="32"/>
      <c r="I419" s="32"/>
      <c r="J419" s="32"/>
      <c r="K419" s="32"/>
      <c r="L419" s="32"/>
      <c r="O419" s="64"/>
      <c r="V419" s="33"/>
      <c r="W419" s="33"/>
      <c r="X419" s="34"/>
      <c r="Y419" s="35"/>
      <c r="Z419" s="34"/>
      <c r="AA419" s="35"/>
      <c r="AB419" s="34"/>
      <c r="AC419" s="36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60"/>
      <c r="AQ419" s="60"/>
      <c r="AR419" s="60"/>
      <c r="AS419" s="60"/>
      <c r="AT419" s="60"/>
      <c r="AU419" s="60"/>
      <c r="AV419" s="60"/>
      <c r="AW419" s="60"/>
      <c r="AX419" s="60"/>
      <c r="AY419" s="60"/>
      <c r="AZ419" s="60"/>
      <c r="BA419" s="60"/>
      <c r="BB419" s="60"/>
      <c r="BC419" s="60"/>
      <c r="BD419" s="60"/>
      <c r="BE419" s="60"/>
      <c r="BF419" s="60"/>
      <c r="BG419" s="60"/>
      <c r="BH419" s="60"/>
      <c r="BI419" s="60"/>
      <c r="BJ419" s="60"/>
      <c r="BK419" s="60"/>
    </row>
    <row r="420" spans="2:63" s="28" customFormat="1">
      <c r="B420" s="27"/>
      <c r="D420" s="29"/>
      <c r="E420" s="30"/>
      <c r="G420" s="31"/>
      <c r="H420" s="32"/>
      <c r="I420" s="32"/>
      <c r="J420" s="32"/>
      <c r="K420" s="32"/>
      <c r="L420" s="32"/>
      <c r="O420" s="69"/>
      <c r="V420" s="33"/>
      <c r="W420" s="33"/>
      <c r="X420" s="34"/>
      <c r="Y420" s="35"/>
      <c r="Z420" s="34"/>
      <c r="AA420" s="35"/>
      <c r="AB420" s="34"/>
      <c r="AC420" s="36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60"/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  <c r="BA420" s="60"/>
      <c r="BB420" s="60"/>
      <c r="BC420" s="60"/>
      <c r="BD420" s="60"/>
      <c r="BE420" s="60"/>
      <c r="BF420" s="60"/>
      <c r="BG420" s="60"/>
      <c r="BH420" s="60"/>
      <c r="BI420" s="60"/>
      <c r="BJ420" s="60"/>
      <c r="BK420" s="60"/>
    </row>
    <row r="421" spans="2:63" s="28" customFormat="1">
      <c r="B421" s="27"/>
      <c r="D421" s="29"/>
      <c r="E421" s="30"/>
      <c r="G421" s="31"/>
      <c r="H421" s="32"/>
      <c r="I421" s="32"/>
      <c r="J421" s="32"/>
      <c r="K421" s="32"/>
      <c r="L421" s="32"/>
      <c r="O421" s="69"/>
      <c r="V421" s="33"/>
      <c r="W421" s="33"/>
      <c r="X421" s="34"/>
      <c r="Y421" s="35"/>
      <c r="Z421" s="34"/>
      <c r="AA421" s="35"/>
      <c r="AB421" s="34"/>
      <c r="AC421" s="36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60"/>
      <c r="AQ421" s="60"/>
      <c r="AR421" s="60"/>
      <c r="AS421" s="60"/>
      <c r="AT421" s="60"/>
      <c r="AU421" s="60"/>
      <c r="AV421" s="60"/>
      <c r="AW421" s="60"/>
      <c r="AX421" s="60"/>
      <c r="AY421" s="60"/>
      <c r="AZ421" s="60"/>
      <c r="BA421" s="60"/>
      <c r="BB421" s="60"/>
      <c r="BC421" s="60"/>
      <c r="BD421" s="60"/>
      <c r="BE421" s="60"/>
      <c r="BF421" s="60"/>
      <c r="BG421" s="60"/>
      <c r="BH421" s="60"/>
      <c r="BI421" s="60"/>
      <c r="BJ421" s="60"/>
      <c r="BK421" s="60"/>
    </row>
    <row r="422" spans="2:63" s="28" customFormat="1">
      <c r="B422" s="27"/>
      <c r="D422" s="29"/>
      <c r="E422" s="30"/>
      <c r="G422" s="31"/>
      <c r="H422" s="32"/>
      <c r="I422" s="32"/>
      <c r="J422" s="32"/>
      <c r="K422" s="32"/>
      <c r="L422" s="32"/>
      <c r="O422" s="69"/>
      <c r="V422" s="33"/>
      <c r="W422" s="33"/>
      <c r="X422" s="34"/>
      <c r="Y422" s="35"/>
      <c r="Z422" s="34"/>
      <c r="AA422" s="35"/>
      <c r="AB422" s="34"/>
      <c r="AC422" s="36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60"/>
      <c r="AQ422" s="60"/>
      <c r="AR422" s="60"/>
      <c r="AS422" s="60"/>
      <c r="AT422" s="60"/>
      <c r="AU422" s="60"/>
      <c r="AV422" s="60"/>
      <c r="AW422" s="60"/>
      <c r="AX422" s="60"/>
      <c r="AY422" s="60"/>
      <c r="AZ422" s="60"/>
      <c r="BA422" s="60"/>
      <c r="BB422" s="60"/>
      <c r="BC422" s="60"/>
      <c r="BD422" s="60"/>
      <c r="BE422" s="60"/>
      <c r="BF422" s="60"/>
      <c r="BG422" s="60"/>
      <c r="BH422" s="60"/>
      <c r="BI422" s="60"/>
      <c r="BJ422" s="60"/>
      <c r="BK422" s="60"/>
    </row>
    <row r="423" spans="2:63" s="28" customFormat="1">
      <c r="B423" s="27"/>
      <c r="D423" s="29"/>
      <c r="E423" s="30"/>
      <c r="G423" s="31"/>
      <c r="H423" s="32"/>
      <c r="I423" s="32"/>
      <c r="J423" s="32"/>
      <c r="K423" s="32"/>
      <c r="L423" s="32"/>
      <c r="O423" s="69"/>
      <c r="V423" s="33"/>
      <c r="W423" s="33"/>
      <c r="X423" s="34"/>
      <c r="Y423" s="35"/>
      <c r="Z423" s="34"/>
      <c r="AA423" s="35"/>
      <c r="AB423" s="34"/>
      <c r="AC423" s="36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60"/>
      <c r="AQ423" s="60"/>
      <c r="AR423" s="60"/>
      <c r="AS423" s="60"/>
      <c r="AT423" s="60"/>
      <c r="AU423" s="60"/>
      <c r="AV423" s="60"/>
      <c r="AW423" s="60"/>
      <c r="AX423" s="60"/>
      <c r="AY423" s="60"/>
      <c r="AZ423" s="60"/>
      <c r="BA423" s="60"/>
      <c r="BB423" s="60"/>
      <c r="BC423" s="60"/>
      <c r="BD423" s="60"/>
      <c r="BE423" s="60"/>
      <c r="BF423" s="60"/>
      <c r="BG423" s="60"/>
      <c r="BH423" s="60"/>
      <c r="BI423" s="60"/>
      <c r="BJ423" s="60"/>
      <c r="BK423" s="60"/>
    </row>
    <row r="424" spans="2:63" s="28" customFormat="1">
      <c r="B424" s="27"/>
      <c r="D424" s="29"/>
      <c r="E424" s="30"/>
      <c r="G424" s="31"/>
      <c r="H424" s="32"/>
      <c r="I424" s="32"/>
      <c r="J424" s="32"/>
      <c r="K424" s="32"/>
      <c r="L424" s="32"/>
      <c r="O424" s="65"/>
      <c r="V424" s="33"/>
      <c r="W424" s="33"/>
      <c r="X424" s="34"/>
      <c r="Y424" s="35"/>
      <c r="Z424" s="34"/>
      <c r="AA424" s="35"/>
      <c r="AB424" s="34"/>
      <c r="AC424" s="36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60"/>
      <c r="AQ424" s="60"/>
      <c r="AR424" s="60"/>
      <c r="AS424" s="60"/>
      <c r="AT424" s="60"/>
      <c r="AU424" s="60"/>
      <c r="AV424" s="60"/>
      <c r="AW424" s="60"/>
      <c r="AX424" s="60"/>
      <c r="AY424" s="60"/>
      <c r="AZ424" s="60"/>
      <c r="BA424" s="60"/>
      <c r="BB424" s="60"/>
      <c r="BC424" s="60"/>
      <c r="BD424" s="60"/>
      <c r="BE424" s="60"/>
      <c r="BF424" s="60"/>
      <c r="BG424" s="60"/>
      <c r="BH424" s="60"/>
      <c r="BI424" s="60"/>
      <c r="BJ424" s="60"/>
      <c r="BK424" s="60"/>
    </row>
    <row r="425" spans="2:63" s="28" customFormat="1">
      <c r="B425" s="27"/>
      <c r="D425" s="29"/>
      <c r="E425" s="30"/>
      <c r="G425" s="31"/>
      <c r="H425" s="32"/>
      <c r="I425" s="32"/>
      <c r="J425" s="32"/>
      <c r="K425" s="32"/>
      <c r="L425" s="32"/>
      <c r="O425" s="65"/>
      <c r="V425" s="33"/>
      <c r="W425" s="33"/>
      <c r="X425" s="34"/>
      <c r="Y425" s="35"/>
      <c r="Z425" s="34"/>
      <c r="AA425" s="35"/>
      <c r="AB425" s="34"/>
      <c r="AC425" s="36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60"/>
      <c r="AQ425" s="60"/>
      <c r="AR425" s="60"/>
      <c r="AS425" s="60"/>
      <c r="AT425" s="60"/>
      <c r="AU425" s="60"/>
      <c r="AV425" s="60"/>
      <c r="AW425" s="60"/>
      <c r="AX425" s="60"/>
      <c r="AY425" s="60"/>
      <c r="AZ425" s="60"/>
      <c r="BA425" s="60"/>
      <c r="BB425" s="60"/>
      <c r="BC425" s="60"/>
      <c r="BD425" s="60"/>
      <c r="BE425" s="60"/>
      <c r="BF425" s="60"/>
      <c r="BG425" s="60"/>
      <c r="BH425" s="60"/>
      <c r="BI425" s="60"/>
      <c r="BJ425" s="60"/>
      <c r="BK425" s="60"/>
    </row>
    <row r="426" spans="2:63" s="28" customFormat="1">
      <c r="B426" s="27"/>
      <c r="D426" s="29"/>
      <c r="E426" s="30"/>
      <c r="G426" s="31"/>
      <c r="H426" s="32"/>
      <c r="I426" s="32"/>
      <c r="J426" s="32"/>
      <c r="K426" s="32"/>
      <c r="L426" s="32"/>
      <c r="O426" s="65"/>
      <c r="V426" s="33"/>
      <c r="W426" s="33"/>
      <c r="X426" s="34"/>
      <c r="Y426" s="35"/>
      <c r="Z426" s="34"/>
      <c r="AA426" s="35"/>
      <c r="AB426" s="34"/>
      <c r="AC426" s="36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60"/>
      <c r="AQ426" s="60"/>
      <c r="AR426" s="60"/>
      <c r="AS426" s="60"/>
      <c r="AT426" s="60"/>
      <c r="AU426" s="60"/>
      <c r="AV426" s="60"/>
      <c r="AW426" s="60"/>
      <c r="AX426" s="60"/>
      <c r="AY426" s="60"/>
      <c r="AZ426" s="60"/>
      <c r="BA426" s="60"/>
      <c r="BB426" s="60"/>
      <c r="BC426" s="60"/>
      <c r="BD426" s="60"/>
      <c r="BE426" s="60"/>
      <c r="BF426" s="60"/>
      <c r="BG426" s="60"/>
      <c r="BH426" s="60"/>
      <c r="BI426" s="60"/>
      <c r="BJ426" s="60"/>
      <c r="BK426" s="60"/>
    </row>
    <row r="427" spans="2:63" s="28" customFormat="1">
      <c r="B427" s="27"/>
      <c r="D427" s="29"/>
      <c r="E427" s="30"/>
      <c r="G427" s="31"/>
      <c r="H427" s="32"/>
      <c r="I427" s="32"/>
      <c r="J427" s="32"/>
      <c r="K427" s="32"/>
      <c r="L427" s="32"/>
      <c r="O427" s="65"/>
      <c r="V427" s="33"/>
      <c r="W427" s="33"/>
      <c r="X427" s="34"/>
      <c r="Y427" s="35"/>
      <c r="Z427" s="34"/>
      <c r="AA427" s="35"/>
      <c r="AB427" s="34"/>
      <c r="AC427" s="36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60"/>
      <c r="AQ427" s="60"/>
      <c r="AR427" s="60"/>
      <c r="AS427" s="60"/>
      <c r="AT427" s="60"/>
      <c r="AU427" s="60"/>
      <c r="AV427" s="60"/>
      <c r="AW427" s="60"/>
      <c r="AX427" s="60"/>
      <c r="AY427" s="60"/>
      <c r="AZ427" s="60"/>
      <c r="BA427" s="60"/>
      <c r="BB427" s="60"/>
      <c r="BC427" s="60"/>
      <c r="BD427" s="60"/>
      <c r="BE427" s="60"/>
      <c r="BF427" s="60"/>
      <c r="BG427" s="60"/>
      <c r="BH427" s="60"/>
      <c r="BI427" s="60"/>
      <c r="BJ427" s="60"/>
      <c r="BK427" s="60"/>
    </row>
    <row r="428" spans="2:63" s="28" customFormat="1">
      <c r="B428" s="27"/>
      <c r="D428" s="29"/>
      <c r="E428" s="30"/>
      <c r="G428" s="31"/>
      <c r="H428" s="32"/>
      <c r="I428" s="32"/>
      <c r="J428" s="32"/>
      <c r="K428" s="32"/>
      <c r="L428" s="32"/>
      <c r="O428" s="70"/>
      <c r="V428" s="33"/>
      <c r="W428" s="33"/>
      <c r="X428" s="34"/>
      <c r="Y428" s="35"/>
      <c r="Z428" s="34"/>
      <c r="AA428" s="35"/>
      <c r="AB428" s="34"/>
      <c r="AC428" s="36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60"/>
      <c r="AQ428" s="60"/>
      <c r="AR428" s="60"/>
      <c r="AS428" s="60"/>
      <c r="AT428" s="60"/>
      <c r="AU428" s="60"/>
      <c r="AV428" s="60"/>
      <c r="AW428" s="60"/>
      <c r="AX428" s="60"/>
      <c r="AY428" s="60"/>
      <c r="AZ428" s="60"/>
      <c r="BA428" s="60"/>
      <c r="BB428" s="60"/>
      <c r="BC428" s="60"/>
      <c r="BD428" s="60"/>
      <c r="BE428" s="60"/>
      <c r="BF428" s="60"/>
      <c r="BG428" s="60"/>
      <c r="BH428" s="60"/>
      <c r="BI428" s="60"/>
      <c r="BJ428" s="60"/>
      <c r="BK428" s="60"/>
    </row>
    <row r="429" spans="2:63" s="28" customFormat="1">
      <c r="B429" s="27"/>
      <c r="D429" s="29"/>
      <c r="E429" s="30"/>
      <c r="G429" s="31"/>
      <c r="H429" s="32"/>
      <c r="I429" s="32"/>
      <c r="J429" s="32"/>
      <c r="K429" s="32"/>
      <c r="L429" s="32"/>
      <c r="O429" s="65"/>
      <c r="V429" s="33"/>
      <c r="W429" s="33"/>
      <c r="X429" s="34"/>
      <c r="Y429" s="35"/>
      <c r="Z429" s="34"/>
      <c r="AA429" s="35"/>
      <c r="AB429" s="34"/>
      <c r="AC429" s="36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60"/>
      <c r="AQ429" s="60"/>
      <c r="AR429" s="60"/>
      <c r="AS429" s="60"/>
      <c r="AT429" s="60"/>
      <c r="AU429" s="60"/>
      <c r="AV429" s="60"/>
      <c r="AW429" s="60"/>
      <c r="AX429" s="60"/>
      <c r="AY429" s="60"/>
      <c r="AZ429" s="60"/>
      <c r="BA429" s="60"/>
      <c r="BB429" s="60"/>
      <c r="BC429" s="60"/>
      <c r="BD429" s="60"/>
      <c r="BE429" s="60"/>
      <c r="BF429" s="60"/>
      <c r="BG429" s="60"/>
      <c r="BH429" s="60"/>
      <c r="BI429" s="60"/>
      <c r="BJ429" s="60"/>
      <c r="BK429" s="60"/>
    </row>
    <row r="430" spans="2:63" s="28" customFormat="1">
      <c r="B430" s="27"/>
      <c r="D430" s="29"/>
      <c r="E430" s="30"/>
      <c r="G430" s="31"/>
      <c r="H430" s="32"/>
      <c r="I430" s="32"/>
      <c r="J430" s="32"/>
      <c r="K430" s="32"/>
      <c r="L430" s="32"/>
      <c r="O430" s="68"/>
      <c r="V430" s="33"/>
      <c r="W430" s="33"/>
      <c r="X430" s="34"/>
      <c r="Y430" s="35"/>
      <c r="Z430" s="34"/>
      <c r="AA430" s="35"/>
      <c r="AB430" s="34"/>
      <c r="AC430" s="36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60"/>
      <c r="AQ430" s="60"/>
      <c r="AR430" s="60"/>
      <c r="AS430" s="60"/>
      <c r="AT430" s="60"/>
      <c r="AU430" s="60"/>
      <c r="AV430" s="60"/>
      <c r="AW430" s="60"/>
      <c r="AX430" s="60"/>
      <c r="AY430" s="60"/>
      <c r="AZ430" s="60"/>
      <c r="BA430" s="60"/>
      <c r="BB430" s="60"/>
      <c r="BC430" s="60"/>
      <c r="BD430" s="60"/>
      <c r="BE430" s="60"/>
      <c r="BF430" s="60"/>
      <c r="BG430" s="60"/>
      <c r="BH430" s="60"/>
      <c r="BI430" s="60"/>
      <c r="BJ430" s="60"/>
      <c r="BK430" s="60"/>
    </row>
    <row r="431" spans="2:63" s="28" customFormat="1">
      <c r="B431" s="27"/>
      <c r="D431" s="29"/>
      <c r="E431" s="30"/>
      <c r="G431" s="31"/>
      <c r="H431" s="32"/>
      <c r="I431" s="32"/>
      <c r="J431" s="32"/>
      <c r="K431" s="32"/>
      <c r="L431" s="32"/>
      <c r="O431" s="68"/>
      <c r="V431" s="33"/>
      <c r="W431" s="33"/>
      <c r="X431" s="34"/>
      <c r="Y431" s="35"/>
      <c r="Z431" s="34"/>
      <c r="AA431" s="35"/>
      <c r="AB431" s="34"/>
      <c r="AC431" s="36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60"/>
      <c r="AQ431" s="60"/>
      <c r="AR431" s="60"/>
      <c r="AS431" s="60"/>
      <c r="AT431" s="60"/>
      <c r="AU431" s="60"/>
      <c r="AV431" s="60"/>
      <c r="AW431" s="60"/>
      <c r="AX431" s="60"/>
      <c r="AY431" s="60"/>
      <c r="AZ431" s="60"/>
      <c r="BA431" s="60"/>
      <c r="BB431" s="60"/>
      <c r="BC431" s="60"/>
      <c r="BD431" s="60"/>
      <c r="BE431" s="60"/>
      <c r="BF431" s="60"/>
      <c r="BG431" s="60"/>
      <c r="BH431" s="60"/>
      <c r="BI431" s="60"/>
      <c r="BJ431" s="60"/>
      <c r="BK431" s="60"/>
    </row>
    <row r="432" spans="2:63" s="28" customFormat="1">
      <c r="B432" s="27"/>
      <c r="D432" s="29"/>
      <c r="E432" s="30"/>
      <c r="G432" s="31"/>
      <c r="H432" s="32"/>
      <c r="I432" s="32"/>
      <c r="J432" s="32"/>
      <c r="K432" s="32"/>
      <c r="L432" s="32"/>
      <c r="O432" s="68"/>
      <c r="V432" s="33"/>
      <c r="W432" s="33"/>
      <c r="X432" s="34"/>
      <c r="Y432" s="35"/>
      <c r="Z432" s="34"/>
      <c r="AA432" s="35"/>
      <c r="AB432" s="34"/>
      <c r="AC432" s="36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60"/>
      <c r="AQ432" s="60"/>
      <c r="AR432" s="60"/>
      <c r="AS432" s="60"/>
      <c r="AT432" s="60"/>
      <c r="AU432" s="60"/>
      <c r="AV432" s="60"/>
      <c r="AW432" s="60"/>
      <c r="AX432" s="60"/>
      <c r="AY432" s="60"/>
      <c r="AZ432" s="60"/>
      <c r="BA432" s="60"/>
      <c r="BB432" s="60"/>
      <c r="BC432" s="60"/>
      <c r="BD432" s="60"/>
      <c r="BE432" s="60"/>
      <c r="BF432" s="60"/>
      <c r="BG432" s="60"/>
      <c r="BH432" s="60"/>
      <c r="BI432" s="60"/>
      <c r="BJ432" s="60"/>
      <c r="BK432" s="60"/>
    </row>
    <row r="433" spans="2:63" s="28" customFormat="1">
      <c r="B433" s="27"/>
      <c r="D433" s="29"/>
      <c r="E433" s="30"/>
      <c r="G433" s="31"/>
      <c r="H433" s="32"/>
      <c r="I433" s="32"/>
      <c r="J433" s="32"/>
      <c r="K433" s="32"/>
      <c r="L433" s="32"/>
      <c r="O433" s="65"/>
      <c r="V433" s="33"/>
      <c r="W433" s="33"/>
      <c r="X433" s="34"/>
      <c r="Y433" s="35"/>
      <c r="Z433" s="34"/>
      <c r="AA433" s="35"/>
      <c r="AB433" s="34"/>
      <c r="AC433" s="36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60"/>
      <c r="AQ433" s="60"/>
      <c r="AR433" s="60"/>
      <c r="AS433" s="60"/>
      <c r="AT433" s="60"/>
      <c r="AU433" s="60"/>
      <c r="AV433" s="60"/>
      <c r="AW433" s="60"/>
      <c r="AX433" s="60"/>
      <c r="AY433" s="60"/>
      <c r="AZ433" s="60"/>
      <c r="BA433" s="60"/>
      <c r="BB433" s="60"/>
      <c r="BC433" s="60"/>
      <c r="BD433" s="60"/>
      <c r="BE433" s="60"/>
      <c r="BF433" s="60"/>
      <c r="BG433" s="60"/>
      <c r="BH433" s="60"/>
      <c r="BI433" s="60"/>
      <c r="BJ433" s="60"/>
      <c r="BK433" s="60"/>
    </row>
    <row r="434" spans="2:63" s="28" customFormat="1">
      <c r="B434" s="27"/>
      <c r="D434" s="29"/>
      <c r="E434" s="30"/>
      <c r="G434" s="31"/>
      <c r="H434" s="32"/>
      <c r="I434" s="32"/>
      <c r="J434" s="32"/>
      <c r="K434" s="32"/>
      <c r="L434" s="32"/>
      <c r="O434" s="69"/>
      <c r="V434" s="33"/>
      <c r="W434" s="33"/>
      <c r="X434" s="34"/>
      <c r="Y434" s="35"/>
      <c r="Z434" s="34"/>
      <c r="AA434" s="35"/>
      <c r="AB434" s="34"/>
      <c r="AC434" s="36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60"/>
      <c r="AQ434" s="60"/>
      <c r="AR434" s="60"/>
      <c r="AS434" s="60"/>
      <c r="AT434" s="60"/>
      <c r="AU434" s="60"/>
      <c r="AV434" s="60"/>
      <c r="AW434" s="60"/>
      <c r="AX434" s="60"/>
      <c r="AY434" s="60"/>
      <c r="AZ434" s="60"/>
      <c r="BA434" s="60"/>
      <c r="BB434" s="60"/>
      <c r="BC434" s="60"/>
      <c r="BD434" s="60"/>
      <c r="BE434" s="60"/>
      <c r="BF434" s="60"/>
      <c r="BG434" s="60"/>
      <c r="BH434" s="60"/>
      <c r="BI434" s="60"/>
      <c r="BJ434" s="60"/>
      <c r="BK434" s="60"/>
    </row>
    <row r="435" spans="2:63" s="28" customFormat="1">
      <c r="B435" s="27"/>
      <c r="D435" s="29"/>
      <c r="E435" s="30"/>
      <c r="G435" s="31"/>
      <c r="H435" s="32"/>
      <c r="I435" s="32"/>
      <c r="J435" s="32"/>
      <c r="K435" s="32"/>
      <c r="L435" s="32"/>
      <c r="O435" s="65"/>
      <c r="V435" s="33"/>
      <c r="W435" s="33"/>
      <c r="X435" s="34"/>
      <c r="Y435" s="35"/>
      <c r="Z435" s="34"/>
      <c r="AA435" s="35"/>
      <c r="AB435" s="34"/>
      <c r="AC435" s="36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60"/>
      <c r="AQ435" s="60"/>
      <c r="AR435" s="60"/>
      <c r="AS435" s="60"/>
      <c r="AT435" s="60"/>
      <c r="AU435" s="60"/>
      <c r="AV435" s="60"/>
      <c r="AW435" s="60"/>
      <c r="AX435" s="60"/>
      <c r="AY435" s="60"/>
      <c r="AZ435" s="60"/>
      <c r="BA435" s="60"/>
      <c r="BB435" s="60"/>
      <c r="BC435" s="60"/>
      <c r="BD435" s="60"/>
      <c r="BE435" s="60"/>
      <c r="BF435" s="60"/>
      <c r="BG435" s="60"/>
      <c r="BH435" s="60"/>
      <c r="BI435" s="60"/>
      <c r="BJ435" s="60"/>
      <c r="BK435" s="60"/>
    </row>
    <row r="436" spans="2:63" s="28" customFormat="1">
      <c r="B436" s="27"/>
      <c r="D436" s="29"/>
      <c r="E436" s="30"/>
      <c r="G436" s="31"/>
      <c r="H436" s="32"/>
      <c r="I436" s="32"/>
      <c r="J436" s="32"/>
      <c r="K436" s="32"/>
      <c r="L436" s="32"/>
      <c r="O436" s="65"/>
      <c r="V436" s="33"/>
      <c r="W436" s="33"/>
      <c r="X436" s="34"/>
      <c r="Y436" s="35"/>
      <c r="Z436" s="34"/>
      <c r="AA436" s="35"/>
      <c r="AB436" s="34"/>
      <c r="AC436" s="36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60"/>
      <c r="AQ436" s="60"/>
      <c r="AR436" s="60"/>
      <c r="AS436" s="60"/>
      <c r="AT436" s="60"/>
      <c r="AU436" s="60"/>
      <c r="AV436" s="60"/>
      <c r="AW436" s="60"/>
      <c r="AX436" s="60"/>
      <c r="AY436" s="60"/>
      <c r="AZ436" s="60"/>
      <c r="BA436" s="60"/>
      <c r="BB436" s="60"/>
      <c r="BC436" s="60"/>
      <c r="BD436" s="60"/>
      <c r="BE436" s="60"/>
      <c r="BF436" s="60"/>
      <c r="BG436" s="60"/>
      <c r="BH436" s="60"/>
      <c r="BI436" s="60"/>
      <c r="BJ436" s="60"/>
      <c r="BK436" s="60"/>
    </row>
    <row r="437" spans="2:63" s="28" customFormat="1">
      <c r="B437" s="27"/>
      <c r="D437" s="29"/>
      <c r="E437" s="30"/>
      <c r="G437" s="31"/>
      <c r="H437" s="32"/>
      <c r="I437" s="32"/>
      <c r="J437" s="32"/>
      <c r="K437" s="32"/>
      <c r="L437" s="32"/>
      <c r="O437" s="69"/>
      <c r="V437" s="33"/>
      <c r="W437" s="33"/>
      <c r="X437" s="34"/>
      <c r="Y437" s="35"/>
      <c r="Z437" s="34"/>
      <c r="AA437" s="35"/>
      <c r="AB437" s="34"/>
      <c r="AC437" s="36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60"/>
      <c r="AQ437" s="60"/>
      <c r="AR437" s="60"/>
      <c r="AS437" s="60"/>
      <c r="AT437" s="60"/>
      <c r="AU437" s="60"/>
      <c r="AV437" s="60"/>
      <c r="AW437" s="60"/>
      <c r="AX437" s="60"/>
      <c r="AY437" s="60"/>
      <c r="AZ437" s="60"/>
      <c r="BA437" s="60"/>
      <c r="BB437" s="60"/>
      <c r="BC437" s="60"/>
      <c r="BD437" s="60"/>
      <c r="BE437" s="60"/>
      <c r="BF437" s="60"/>
      <c r="BG437" s="60"/>
      <c r="BH437" s="60"/>
      <c r="BI437" s="60"/>
      <c r="BJ437" s="60"/>
      <c r="BK437" s="60"/>
    </row>
    <row r="438" spans="2:63" s="28" customFormat="1">
      <c r="B438" s="27"/>
      <c r="D438" s="29"/>
      <c r="E438" s="30"/>
      <c r="G438" s="31"/>
      <c r="H438" s="32"/>
      <c r="I438" s="32"/>
      <c r="J438" s="32"/>
      <c r="K438" s="32"/>
      <c r="L438" s="32"/>
      <c r="O438" s="70"/>
      <c r="V438" s="33"/>
      <c r="W438" s="33"/>
      <c r="X438" s="34"/>
      <c r="Y438" s="35"/>
      <c r="Z438" s="34"/>
      <c r="AA438" s="35"/>
      <c r="AB438" s="34"/>
      <c r="AC438" s="36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60"/>
      <c r="AQ438" s="60"/>
      <c r="AR438" s="60"/>
      <c r="AS438" s="60"/>
      <c r="AT438" s="60"/>
      <c r="AU438" s="60"/>
      <c r="AV438" s="60"/>
      <c r="AW438" s="60"/>
      <c r="AX438" s="60"/>
      <c r="AY438" s="60"/>
      <c r="AZ438" s="60"/>
      <c r="BA438" s="60"/>
      <c r="BB438" s="60"/>
      <c r="BC438" s="60"/>
      <c r="BD438" s="60"/>
      <c r="BE438" s="60"/>
      <c r="BF438" s="60"/>
      <c r="BG438" s="60"/>
      <c r="BH438" s="60"/>
      <c r="BI438" s="60"/>
      <c r="BJ438" s="60"/>
      <c r="BK438" s="60"/>
    </row>
    <row r="439" spans="2:63" s="28" customFormat="1">
      <c r="B439" s="27"/>
      <c r="D439" s="29"/>
      <c r="E439" s="30"/>
      <c r="G439" s="31"/>
      <c r="H439" s="32"/>
      <c r="I439" s="32"/>
      <c r="J439" s="32"/>
      <c r="K439" s="32"/>
      <c r="L439" s="32"/>
      <c r="O439" s="64"/>
      <c r="V439" s="33"/>
      <c r="W439" s="33"/>
      <c r="X439" s="34"/>
      <c r="Y439" s="35"/>
      <c r="Z439" s="34"/>
      <c r="AA439" s="35"/>
      <c r="AB439" s="34"/>
      <c r="AC439" s="36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60"/>
      <c r="AQ439" s="60"/>
      <c r="AR439" s="60"/>
      <c r="AS439" s="60"/>
      <c r="AT439" s="60"/>
      <c r="AU439" s="60"/>
      <c r="AV439" s="60"/>
      <c r="AW439" s="60"/>
      <c r="AX439" s="60"/>
      <c r="AY439" s="60"/>
      <c r="AZ439" s="60"/>
      <c r="BA439" s="60"/>
      <c r="BB439" s="60"/>
      <c r="BC439" s="60"/>
      <c r="BD439" s="60"/>
      <c r="BE439" s="60"/>
      <c r="BF439" s="60"/>
      <c r="BG439" s="60"/>
      <c r="BH439" s="60"/>
      <c r="BI439" s="60"/>
      <c r="BJ439" s="60"/>
      <c r="BK439" s="60"/>
    </row>
    <row r="440" spans="2:63" s="28" customFormat="1">
      <c r="B440" s="27"/>
      <c r="D440" s="29"/>
      <c r="E440" s="30"/>
      <c r="G440" s="31"/>
      <c r="H440" s="32"/>
      <c r="I440" s="32"/>
      <c r="J440" s="32"/>
      <c r="K440" s="32"/>
      <c r="L440" s="32"/>
      <c r="O440" s="65"/>
      <c r="V440" s="33"/>
      <c r="W440" s="33"/>
      <c r="X440" s="34"/>
      <c r="Y440" s="35"/>
      <c r="Z440" s="34"/>
      <c r="AA440" s="35"/>
      <c r="AB440" s="34"/>
      <c r="AC440" s="36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60"/>
      <c r="AQ440" s="60"/>
      <c r="AR440" s="60"/>
      <c r="AS440" s="60"/>
      <c r="AT440" s="60"/>
      <c r="AU440" s="60"/>
      <c r="AV440" s="60"/>
      <c r="AW440" s="60"/>
      <c r="AX440" s="60"/>
      <c r="AY440" s="60"/>
      <c r="AZ440" s="60"/>
      <c r="BA440" s="60"/>
      <c r="BB440" s="60"/>
      <c r="BC440" s="60"/>
      <c r="BD440" s="60"/>
      <c r="BE440" s="60"/>
      <c r="BF440" s="60"/>
      <c r="BG440" s="60"/>
      <c r="BH440" s="60"/>
      <c r="BI440" s="60"/>
      <c r="BJ440" s="60"/>
      <c r="BK440" s="60"/>
    </row>
    <row r="441" spans="2:63" s="28" customFormat="1">
      <c r="B441" s="27"/>
      <c r="D441" s="29"/>
      <c r="E441" s="30"/>
      <c r="G441" s="31"/>
      <c r="H441" s="32"/>
      <c r="I441" s="32"/>
      <c r="J441" s="32"/>
      <c r="K441" s="32"/>
      <c r="L441" s="32"/>
      <c r="O441" s="65"/>
      <c r="V441" s="33"/>
      <c r="W441" s="33"/>
      <c r="X441" s="34"/>
      <c r="Y441" s="35"/>
      <c r="Z441" s="34"/>
      <c r="AA441" s="35"/>
      <c r="AB441" s="34"/>
      <c r="AC441" s="36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60"/>
      <c r="AQ441" s="60"/>
      <c r="AR441" s="60"/>
      <c r="AS441" s="60"/>
      <c r="AT441" s="60"/>
      <c r="AU441" s="60"/>
      <c r="AV441" s="60"/>
      <c r="AW441" s="60"/>
      <c r="AX441" s="60"/>
      <c r="AY441" s="60"/>
      <c r="AZ441" s="60"/>
      <c r="BA441" s="60"/>
      <c r="BB441" s="60"/>
      <c r="BC441" s="60"/>
      <c r="BD441" s="60"/>
      <c r="BE441" s="60"/>
      <c r="BF441" s="60"/>
      <c r="BG441" s="60"/>
      <c r="BH441" s="60"/>
      <c r="BI441" s="60"/>
      <c r="BJ441" s="60"/>
      <c r="BK441" s="60"/>
    </row>
    <row r="442" spans="2:63" s="28" customFormat="1">
      <c r="B442" s="27"/>
      <c r="D442" s="29"/>
      <c r="E442" s="30"/>
      <c r="G442" s="31"/>
      <c r="H442" s="32"/>
      <c r="I442" s="32"/>
      <c r="J442" s="32"/>
      <c r="K442" s="32"/>
      <c r="L442" s="32"/>
      <c r="O442" s="68"/>
      <c r="V442" s="33"/>
      <c r="W442" s="33"/>
      <c r="X442" s="34"/>
      <c r="Y442" s="35"/>
      <c r="Z442" s="34"/>
      <c r="AA442" s="35"/>
      <c r="AB442" s="34"/>
      <c r="AC442" s="36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60"/>
      <c r="AQ442" s="60"/>
      <c r="AR442" s="60"/>
      <c r="AS442" s="60"/>
      <c r="AT442" s="60"/>
      <c r="AU442" s="60"/>
      <c r="AV442" s="60"/>
      <c r="AW442" s="60"/>
      <c r="AX442" s="60"/>
      <c r="AY442" s="60"/>
      <c r="AZ442" s="60"/>
      <c r="BA442" s="60"/>
      <c r="BB442" s="60"/>
      <c r="BC442" s="60"/>
      <c r="BD442" s="60"/>
      <c r="BE442" s="60"/>
      <c r="BF442" s="60"/>
      <c r="BG442" s="60"/>
      <c r="BH442" s="60"/>
      <c r="BI442" s="60"/>
      <c r="BJ442" s="60"/>
      <c r="BK442" s="60"/>
    </row>
    <row r="443" spans="2:63" s="28" customFormat="1">
      <c r="B443" s="27"/>
      <c r="D443" s="29"/>
      <c r="E443" s="30"/>
      <c r="G443" s="31"/>
      <c r="H443" s="32"/>
      <c r="I443" s="32"/>
      <c r="J443" s="32"/>
      <c r="K443" s="32"/>
      <c r="L443" s="32"/>
      <c r="O443" s="68"/>
      <c r="V443" s="33"/>
      <c r="W443" s="33"/>
      <c r="X443" s="34"/>
      <c r="Y443" s="35"/>
      <c r="Z443" s="34"/>
      <c r="AA443" s="35"/>
      <c r="AB443" s="34"/>
      <c r="AC443" s="36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60"/>
      <c r="AQ443" s="60"/>
      <c r="AR443" s="60"/>
      <c r="AS443" s="60"/>
      <c r="AT443" s="60"/>
      <c r="AU443" s="60"/>
      <c r="AV443" s="60"/>
      <c r="AW443" s="60"/>
      <c r="AX443" s="60"/>
      <c r="AY443" s="60"/>
      <c r="AZ443" s="60"/>
      <c r="BA443" s="60"/>
      <c r="BB443" s="60"/>
      <c r="BC443" s="60"/>
      <c r="BD443" s="60"/>
      <c r="BE443" s="60"/>
      <c r="BF443" s="60"/>
      <c r="BG443" s="60"/>
      <c r="BH443" s="60"/>
      <c r="BI443" s="60"/>
      <c r="BJ443" s="60"/>
      <c r="BK443" s="60"/>
    </row>
    <row r="444" spans="2:63" s="28" customFormat="1">
      <c r="B444" s="27"/>
      <c r="D444" s="29"/>
      <c r="E444" s="30"/>
      <c r="G444" s="31"/>
      <c r="H444" s="32"/>
      <c r="I444" s="32"/>
      <c r="J444" s="32"/>
      <c r="K444" s="32"/>
      <c r="L444" s="32"/>
      <c r="O444" s="71"/>
      <c r="V444" s="33"/>
      <c r="W444" s="33"/>
      <c r="X444" s="34"/>
      <c r="Y444" s="35"/>
      <c r="Z444" s="34"/>
      <c r="AA444" s="35"/>
      <c r="AB444" s="34"/>
      <c r="AC444" s="36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60"/>
      <c r="AQ444" s="60"/>
      <c r="AR444" s="60"/>
      <c r="AS444" s="60"/>
      <c r="AT444" s="60"/>
      <c r="AU444" s="60"/>
      <c r="AV444" s="60"/>
      <c r="AW444" s="60"/>
      <c r="AX444" s="60"/>
      <c r="AY444" s="60"/>
      <c r="AZ444" s="60"/>
      <c r="BA444" s="60"/>
      <c r="BB444" s="60"/>
      <c r="BC444" s="60"/>
      <c r="BD444" s="60"/>
      <c r="BE444" s="60"/>
      <c r="BF444" s="60"/>
      <c r="BG444" s="60"/>
      <c r="BH444" s="60"/>
      <c r="BI444" s="60"/>
      <c r="BJ444" s="60"/>
      <c r="BK444" s="60"/>
    </row>
    <row r="445" spans="2:63" s="28" customFormat="1">
      <c r="B445" s="27"/>
      <c r="D445" s="29"/>
      <c r="E445" s="30"/>
      <c r="G445" s="31"/>
      <c r="H445" s="32"/>
      <c r="I445" s="32"/>
      <c r="J445" s="32"/>
      <c r="K445" s="32"/>
      <c r="L445" s="32"/>
      <c r="O445" s="66"/>
      <c r="V445" s="33"/>
      <c r="W445" s="33"/>
      <c r="X445" s="34"/>
      <c r="Y445" s="35"/>
      <c r="Z445" s="34"/>
      <c r="AA445" s="35"/>
      <c r="AB445" s="34"/>
      <c r="AC445" s="36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60"/>
      <c r="AQ445" s="60"/>
      <c r="AR445" s="60"/>
      <c r="AS445" s="60"/>
      <c r="AT445" s="60"/>
      <c r="AU445" s="60"/>
      <c r="AV445" s="60"/>
      <c r="AW445" s="60"/>
      <c r="AX445" s="60"/>
      <c r="AY445" s="60"/>
      <c r="AZ445" s="60"/>
      <c r="BA445" s="60"/>
      <c r="BB445" s="60"/>
      <c r="BC445" s="60"/>
      <c r="BD445" s="60"/>
      <c r="BE445" s="60"/>
      <c r="BF445" s="60"/>
      <c r="BG445" s="60"/>
      <c r="BH445" s="60"/>
      <c r="BI445" s="60"/>
      <c r="BJ445" s="60"/>
      <c r="BK445" s="60"/>
    </row>
    <row r="446" spans="2:63" s="28" customFormat="1">
      <c r="B446" s="27"/>
      <c r="D446" s="29"/>
      <c r="E446" s="30"/>
      <c r="G446" s="31"/>
      <c r="H446" s="32"/>
      <c r="I446" s="32"/>
      <c r="J446" s="32"/>
      <c r="K446" s="32"/>
      <c r="L446" s="32"/>
      <c r="O446" s="65"/>
      <c r="V446" s="33"/>
      <c r="W446" s="33"/>
      <c r="X446" s="34"/>
      <c r="Y446" s="35"/>
      <c r="Z446" s="34"/>
      <c r="AA446" s="35"/>
      <c r="AB446" s="34"/>
      <c r="AC446" s="36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60"/>
      <c r="AQ446" s="60"/>
      <c r="AR446" s="60"/>
      <c r="AS446" s="60"/>
      <c r="AT446" s="60"/>
      <c r="AU446" s="60"/>
      <c r="AV446" s="60"/>
      <c r="AW446" s="60"/>
      <c r="AX446" s="60"/>
      <c r="AY446" s="60"/>
      <c r="AZ446" s="60"/>
      <c r="BA446" s="60"/>
      <c r="BB446" s="60"/>
      <c r="BC446" s="60"/>
      <c r="BD446" s="60"/>
      <c r="BE446" s="60"/>
      <c r="BF446" s="60"/>
      <c r="BG446" s="60"/>
      <c r="BH446" s="60"/>
      <c r="BI446" s="60"/>
      <c r="BJ446" s="60"/>
      <c r="BK446" s="60"/>
    </row>
    <row r="447" spans="2:63" s="28" customFormat="1">
      <c r="B447" s="27"/>
      <c r="D447" s="29"/>
      <c r="E447" s="30"/>
      <c r="G447" s="31"/>
      <c r="H447" s="32"/>
      <c r="I447" s="32"/>
      <c r="J447" s="32"/>
      <c r="K447" s="32"/>
      <c r="L447" s="32"/>
      <c r="O447" s="67"/>
      <c r="V447" s="33"/>
      <c r="W447" s="33"/>
      <c r="X447" s="34"/>
      <c r="Y447" s="35"/>
      <c r="Z447" s="34"/>
      <c r="AA447" s="35"/>
      <c r="AB447" s="34"/>
      <c r="AC447" s="36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60"/>
      <c r="AQ447" s="60"/>
      <c r="AR447" s="60"/>
      <c r="AS447" s="60"/>
      <c r="AT447" s="60"/>
      <c r="AU447" s="60"/>
      <c r="AV447" s="60"/>
      <c r="AW447" s="60"/>
      <c r="AX447" s="60"/>
      <c r="AY447" s="60"/>
      <c r="AZ447" s="60"/>
      <c r="BA447" s="60"/>
      <c r="BB447" s="60"/>
      <c r="BC447" s="60"/>
      <c r="BD447" s="60"/>
      <c r="BE447" s="60"/>
      <c r="BF447" s="60"/>
      <c r="BG447" s="60"/>
      <c r="BH447" s="60"/>
      <c r="BI447" s="60"/>
      <c r="BJ447" s="60"/>
      <c r="BK447" s="60"/>
    </row>
    <row r="448" spans="2:63" s="28" customFormat="1">
      <c r="B448" s="27"/>
      <c r="D448" s="29"/>
      <c r="E448" s="30"/>
      <c r="G448" s="31"/>
      <c r="H448" s="32"/>
      <c r="I448" s="32"/>
      <c r="J448" s="32"/>
      <c r="K448" s="32"/>
      <c r="L448" s="32"/>
      <c r="O448" s="69"/>
      <c r="V448" s="33"/>
      <c r="W448" s="33"/>
      <c r="X448" s="34"/>
      <c r="Y448" s="35"/>
      <c r="Z448" s="34"/>
      <c r="AA448" s="35"/>
      <c r="AB448" s="34"/>
      <c r="AC448" s="36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60"/>
      <c r="AQ448" s="60"/>
      <c r="AR448" s="60"/>
      <c r="AS448" s="60"/>
      <c r="AT448" s="60"/>
      <c r="AU448" s="60"/>
      <c r="AV448" s="60"/>
      <c r="AW448" s="60"/>
      <c r="AX448" s="60"/>
      <c r="AY448" s="60"/>
      <c r="AZ448" s="60"/>
      <c r="BA448" s="60"/>
      <c r="BB448" s="60"/>
      <c r="BC448" s="60"/>
      <c r="BD448" s="60"/>
      <c r="BE448" s="60"/>
      <c r="BF448" s="60"/>
      <c r="BG448" s="60"/>
      <c r="BH448" s="60"/>
      <c r="BI448" s="60"/>
      <c r="BJ448" s="60"/>
      <c r="BK448" s="60"/>
    </row>
    <row r="449" spans="2:63" s="28" customFormat="1">
      <c r="B449" s="27"/>
      <c r="D449" s="29"/>
      <c r="E449" s="30"/>
      <c r="G449" s="31"/>
      <c r="H449" s="32"/>
      <c r="I449" s="32"/>
      <c r="J449" s="32"/>
      <c r="K449" s="32"/>
      <c r="L449" s="32"/>
      <c r="O449" s="68"/>
      <c r="V449" s="33"/>
      <c r="W449" s="33"/>
      <c r="X449" s="34"/>
      <c r="Y449" s="35"/>
      <c r="Z449" s="34"/>
      <c r="AA449" s="35"/>
      <c r="AB449" s="34"/>
      <c r="AC449" s="36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60"/>
      <c r="AQ449" s="60"/>
      <c r="AR449" s="60"/>
      <c r="AS449" s="60"/>
      <c r="AT449" s="60"/>
      <c r="AU449" s="60"/>
      <c r="AV449" s="60"/>
      <c r="AW449" s="60"/>
      <c r="AX449" s="60"/>
      <c r="AY449" s="60"/>
      <c r="AZ449" s="60"/>
      <c r="BA449" s="60"/>
      <c r="BB449" s="60"/>
      <c r="BC449" s="60"/>
      <c r="BD449" s="60"/>
      <c r="BE449" s="60"/>
      <c r="BF449" s="60"/>
      <c r="BG449" s="60"/>
      <c r="BH449" s="60"/>
      <c r="BI449" s="60"/>
      <c r="BJ449" s="60"/>
      <c r="BK449" s="60"/>
    </row>
    <row r="450" spans="2:63" s="28" customFormat="1">
      <c r="B450" s="27"/>
      <c r="D450" s="29"/>
      <c r="E450" s="30"/>
      <c r="G450" s="31"/>
      <c r="H450" s="32"/>
      <c r="I450" s="32"/>
      <c r="J450" s="32"/>
      <c r="K450" s="32"/>
      <c r="L450" s="32"/>
      <c r="O450" s="69"/>
      <c r="V450" s="33"/>
      <c r="W450" s="33"/>
      <c r="X450" s="34"/>
      <c r="Y450" s="35"/>
      <c r="Z450" s="34"/>
      <c r="AA450" s="35"/>
      <c r="AB450" s="34"/>
      <c r="AC450" s="36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60"/>
      <c r="AQ450" s="60"/>
      <c r="AR450" s="60"/>
      <c r="AS450" s="60"/>
      <c r="AT450" s="60"/>
      <c r="AU450" s="60"/>
      <c r="AV450" s="60"/>
      <c r="AW450" s="60"/>
      <c r="AX450" s="60"/>
      <c r="AY450" s="60"/>
      <c r="AZ450" s="60"/>
      <c r="BA450" s="60"/>
      <c r="BB450" s="60"/>
      <c r="BC450" s="60"/>
      <c r="BD450" s="60"/>
      <c r="BE450" s="60"/>
      <c r="BF450" s="60"/>
      <c r="BG450" s="60"/>
      <c r="BH450" s="60"/>
      <c r="BI450" s="60"/>
      <c r="BJ450" s="60"/>
      <c r="BK450" s="60"/>
    </row>
    <row r="451" spans="2:63" s="28" customFormat="1">
      <c r="B451" s="27"/>
      <c r="D451" s="29"/>
      <c r="E451" s="30"/>
      <c r="G451" s="31"/>
      <c r="H451" s="32"/>
      <c r="I451" s="32"/>
      <c r="J451" s="32"/>
      <c r="K451" s="32"/>
      <c r="L451" s="32"/>
      <c r="O451" s="65"/>
      <c r="V451" s="33"/>
      <c r="W451" s="33"/>
      <c r="X451" s="34"/>
      <c r="Y451" s="35"/>
      <c r="Z451" s="34"/>
      <c r="AA451" s="35"/>
      <c r="AB451" s="34"/>
      <c r="AC451" s="36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60"/>
      <c r="AQ451" s="60"/>
      <c r="AR451" s="60"/>
      <c r="AS451" s="60"/>
      <c r="AT451" s="60"/>
      <c r="AU451" s="60"/>
      <c r="AV451" s="60"/>
      <c r="AW451" s="60"/>
      <c r="AX451" s="60"/>
      <c r="AY451" s="60"/>
      <c r="AZ451" s="60"/>
      <c r="BA451" s="60"/>
      <c r="BB451" s="60"/>
      <c r="BC451" s="60"/>
      <c r="BD451" s="60"/>
      <c r="BE451" s="60"/>
      <c r="BF451" s="60"/>
      <c r="BG451" s="60"/>
      <c r="BH451" s="60"/>
      <c r="BI451" s="60"/>
      <c r="BJ451" s="60"/>
      <c r="BK451" s="60"/>
    </row>
    <row r="452" spans="2:63" s="28" customFormat="1">
      <c r="B452" s="27"/>
      <c r="D452" s="29"/>
      <c r="E452" s="30"/>
      <c r="G452" s="31"/>
      <c r="H452" s="32"/>
      <c r="I452" s="32"/>
      <c r="J452" s="32"/>
      <c r="K452" s="32"/>
      <c r="L452" s="32"/>
      <c r="O452" s="75"/>
      <c r="V452" s="33"/>
      <c r="W452" s="33"/>
      <c r="X452" s="34"/>
      <c r="Y452" s="35"/>
      <c r="Z452" s="34"/>
      <c r="AA452" s="35"/>
      <c r="AB452" s="34"/>
      <c r="AC452" s="36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60"/>
      <c r="AQ452" s="60"/>
      <c r="AR452" s="60"/>
      <c r="AS452" s="60"/>
      <c r="AT452" s="60"/>
      <c r="AU452" s="60"/>
      <c r="AV452" s="60"/>
      <c r="AW452" s="60"/>
      <c r="AX452" s="60"/>
      <c r="AY452" s="60"/>
      <c r="AZ452" s="60"/>
      <c r="BA452" s="60"/>
      <c r="BB452" s="60"/>
      <c r="BC452" s="60"/>
      <c r="BD452" s="60"/>
      <c r="BE452" s="60"/>
      <c r="BF452" s="60"/>
      <c r="BG452" s="60"/>
      <c r="BH452" s="60"/>
      <c r="BI452" s="60"/>
      <c r="BJ452" s="60"/>
      <c r="BK452" s="60"/>
    </row>
    <row r="453" spans="2:63" s="28" customFormat="1">
      <c r="B453" s="27"/>
      <c r="D453" s="29"/>
      <c r="E453" s="30"/>
      <c r="G453" s="31"/>
      <c r="H453" s="32"/>
      <c r="I453" s="32"/>
      <c r="J453" s="32"/>
      <c r="K453" s="32"/>
      <c r="L453" s="32"/>
      <c r="O453" s="85"/>
      <c r="V453" s="33"/>
      <c r="W453" s="33"/>
      <c r="X453" s="34"/>
      <c r="Y453" s="35"/>
      <c r="Z453" s="34"/>
      <c r="AA453" s="35"/>
      <c r="AB453" s="34"/>
      <c r="AC453" s="36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60"/>
      <c r="AQ453" s="60"/>
      <c r="AR453" s="60"/>
      <c r="AS453" s="60"/>
      <c r="AT453" s="60"/>
      <c r="AU453" s="60"/>
      <c r="AV453" s="60"/>
      <c r="AW453" s="60"/>
      <c r="AX453" s="60"/>
      <c r="AY453" s="60"/>
      <c r="AZ453" s="60"/>
      <c r="BA453" s="60"/>
      <c r="BB453" s="60"/>
      <c r="BC453" s="60"/>
      <c r="BD453" s="60"/>
      <c r="BE453" s="60"/>
      <c r="BF453" s="60"/>
      <c r="BG453" s="60"/>
      <c r="BH453" s="60"/>
      <c r="BI453" s="60"/>
      <c r="BJ453" s="60"/>
      <c r="BK453" s="60"/>
    </row>
    <row r="454" spans="2:63" s="28" customFormat="1">
      <c r="B454" s="27"/>
      <c r="D454" s="29"/>
      <c r="E454" s="30"/>
      <c r="G454" s="31"/>
      <c r="H454" s="32"/>
      <c r="I454" s="32"/>
      <c r="J454" s="32"/>
      <c r="K454" s="32"/>
      <c r="L454" s="32"/>
      <c r="O454" s="75"/>
      <c r="V454" s="33"/>
      <c r="W454" s="33"/>
      <c r="X454" s="34"/>
      <c r="Y454" s="35"/>
      <c r="Z454" s="34"/>
      <c r="AA454" s="35"/>
      <c r="AB454" s="34"/>
      <c r="AC454" s="36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60"/>
      <c r="AQ454" s="60"/>
      <c r="AR454" s="60"/>
      <c r="AS454" s="60"/>
      <c r="AT454" s="60"/>
      <c r="AU454" s="60"/>
      <c r="AV454" s="60"/>
      <c r="AW454" s="60"/>
      <c r="AX454" s="60"/>
      <c r="AY454" s="60"/>
      <c r="AZ454" s="60"/>
      <c r="BA454" s="60"/>
      <c r="BB454" s="60"/>
      <c r="BC454" s="60"/>
      <c r="BD454" s="60"/>
      <c r="BE454" s="60"/>
      <c r="BF454" s="60"/>
      <c r="BG454" s="60"/>
      <c r="BH454" s="60"/>
      <c r="BI454" s="60"/>
      <c r="BJ454" s="60"/>
      <c r="BK454" s="60"/>
    </row>
    <row r="455" spans="2:63" s="28" customFormat="1">
      <c r="B455" s="27"/>
      <c r="D455" s="29"/>
      <c r="E455" s="30"/>
      <c r="G455" s="31"/>
      <c r="H455" s="32"/>
      <c r="I455" s="32"/>
      <c r="J455" s="32"/>
      <c r="K455" s="32"/>
      <c r="L455" s="32"/>
      <c r="O455" s="65"/>
      <c r="V455" s="33"/>
      <c r="W455" s="33"/>
      <c r="X455" s="34"/>
      <c r="Y455" s="35"/>
      <c r="Z455" s="34"/>
      <c r="AA455" s="35"/>
      <c r="AB455" s="34"/>
      <c r="AC455" s="36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60"/>
      <c r="AQ455" s="60"/>
      <c r="AR455" s="60"/>
      <c r="AS455" s="60"/>
      <c r="AT455" s="60"/>
      <c r="AU455" s="60"/>
      <c r="AV455" s="60"/>
      <c r="AW455" s="60"/>
      <c r="AX455" s="60"/>
      <c r="AY455" s="60"/>
      <c r="AZ455" s="60"/>
      <c r="BA455" s="60"/>
      <c r="BB455" s="60"/>
      <c r="BC455" s="60"/>
      <c r="BD455" s="60"/>
      <c r="BE455" s="60"/>
      <c r="BF455" s="60"/>
      <c r="BG455" s="60"/>
      <c r="BH455" s="60"/>
      <c r="BI455" s="60"/>
      <c r="BJ455" s="60"/>
      <c r="BK455" s="60"/>
    </row>
    <row r="456" spans="2:63" s="28" customFormat="1">
      <c r="B456" s="27"/>
      <c r="D456" s="29"/>
      <c r="E456" s="30"/>
      <c r="G456" s="31"/>
      <c r="H456" s="32"/>
      <c r="I456" s="32"/>
      <c r="J456" s="32"/>
      <c r="K456" s="32"/>
      <c r="L456" s="32"/>
      <c r="O456" s="65"/>
      <c r="V456" s="33"/>
      <c r="W456" s="33"/>
      <c r="X456" s="34"/>
      <c r="Y456" s="35"/>
      <c r="Z456" s="34"/>
      <c r="AA456" s="35"/>
      <c r="AB456" s="34"/>
      <c r="AC456" s="36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60"/>
      <c r="AQ456" s="60"/>
      <c r="AR456" s="60"/>
      <c r="AS456" s="60"/>
      <c r="AT456" s="60"/>
      <c r="AU456" s="60"/>
      <c r="AV456" s="60"/>
      <c r="AW456" s="60"/>
      <c r="AX456" s="60"/>
      <c r="AY456" s="60"/>
      <c r="AZ456" s="60"/>
      <c r="BA456" s="60"/>
      <c r="BB456" s="60"/>
      <c r="BC456" s="60"/>
      <c r="BD456" s="60"/>
      <c r="BE456" s="60"/>
      <c r="BF456" s="60"/>
      <c r="BG456" s="60"/>
      <c r="BH456" s="60"/>
      <c r="BI456" s="60"/>
      <c r="BJ456" s="60"/>
      <c r="BK456" s="60"/>
    </row>
    <row r="457" spans="2:63" s="28" customFormat="1">
      <c r="B457" s="27"/>
      <c r="D457" s="29"/>
      <c r="E457" s="30"/>
      <c r="G457" s="31"/>
      <c r="H457" s="32"/>
      <c r="I457" s="32"/>
      <c r="J457" s="32"/>
      <c r="K457" s="32"/>
      <c r="L457" s="32"/>
      <c r="O457" s="70"/>
      <c r="V457" s="33"/>
      <c r="W457" s="33"/>
      <c r="X457" s="34"/>
      <c r="Y457" s="35"/>
      <c r="Z457" s="34"/>
      <c r="AA457" s="35"/>
      <c r="AB457" s="34"/>
      <c r="AC457" s="36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60"/>
      <c r="AQ457" s="60"/>
      <c r="AR457" s="60"/>
      <c r="AS457" s="60"/>
      <c r="AT457" s="60"/>
      <c r="AU457" s="60"/>
      <c r="AV457" s="60"/>
      <c r="AW457" s="60"/>
      <c r="AX457" s="60"/>
      <c r="AY457" s="60"/>
      <c r="AZ457" s="60"/>
      <c r="BA457" s="60"/>
      <c r="BB457" s="60"/>
      <c r="BC457" s="60"/>
      <c r="BD457" s="60"/>
      <c r="BE457" s="60"/>
      <c r="BF457" s="60"/>
      <c r="BG457" s="60"/>
      <c r="BH457" s="60"/>
      <c r="BI457" s="60"/>
      <c r="BJ457" s="60"/>
      <c r="BK457" s="60"/>
    </row>
    <row r="458" spans="2:63" s="28" customFormat="1">
      <c r="B458" s="27"/>
      <c r="D458" s="29"/>
      <c r="E458" s="30"/>
      <c r="G458" s="31"/>
      <c r="H458" s="32"/>
      <c r="I458" s="32"/>
      <c r="J458" s="32"/>
      <c r="K458" s="32"/>
      <c r="L458" s="32"/>
      <c r="O458" s="80"/>
      <c r="V458" s="33"/>
      <c r="W458" s="33"/>
      <c r="X458" s="34"/>
      <c r="Y458" s="35"/>
      <c r="Z458" s="34"/>
      <c r="AA458" s="35"/>
      <c r="AB458" s="34"/>
      <c r="AC458" s="36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60"/>
      <c r="AQ458" s="60"/>
      <c r="AR458" s="60"/>
      <c r="AS458" s="60"/>
      <c r="AT458" s="60"/>
      <c r="AU458" s="60"/>
      <c r="AV458" s="60"/>
      <c r="AW458" s="60"/>
      <c r="AX458" s="60"/>
      <c r="AY458" s="60"/>
      <c r="AZ458" s="60"/>
      <c r="BA458" s="60"/>
      <c r="BB458" s="60"/>
      <c r="BC458" s="60"/>
      <c r="BD458" s="60"/>
      <c r="BE458" s="60"/>
      <c r="BF458" s="60"/>
      <c r="BG458" s="60"/>
      <c r="BH458" s="60"/>
      <c r="BI458" s="60"/>
      <c r="BJ458" s="60"/>
      <c r="BK458" s="60"/>
    </row>
    <row r="459" spans="2:63" s="28" customFormat="1">
      <c r="B459" s="27"/>
      <c r="D459" s="29"/>
      <c r="E459" s="30"/>
      <c r="G459" s="31"/>
      <c r="H459" s="32"/>
      <c r="I459" s="32"/>
      <c r="J459" s="32"/>
      <c r="K459" s="32"/>
      <c r="L459" s="32"/>
      <c r="O459" s="65"/>
      <c r="V459" s="33"/>
      <c r="W459" s="33"/>
      <c r="X459" s="34"/>
      <c r="Y459" s="35"/>
      <c r="Z459" s="34"/>
      <c r="AA459" s="35"/>
      <c r="AB459" s="34"/>
      <c r="AC459" s="36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60"/>
      <c r="AQ459" s="60"/>
      <c r="AR459" s="60"/>
      <c r="AS459" s="60"/>
      <c r="AT459" s="60"/>
      <c r="AU459" s="60"/>
      <c r="AV459" s="60"/>
      <c r="AW459" s="60"/>
      <c r="AX459" s="60"/>
      <c r="AY459" s="60"/>
      <c r="AZ459" s="60"/>
      <c r="BA459" s="60"/>
      <c r="BB459" s="60"/>
      <c r="BC459" s="60"/>
      <c r="BD459" s="60"/>
      <c r="BE459" s="60"/>
      <c r="BF459" s="60"/>
      <c r="BG459" s="60"/>
      <c r="BH459" s="60"/>
      <c r="BI459" s="60"/>
      <c r="BJ459" s="60"/>
      <c r="BK459" s="60"/>
    </row>
    <row r="460" spans="2:63" s="28" customFormat="1">
      <c r="B460" s="27"/>
      <c r="D460" s="29"/>
      <c r="E460" s="30"/>
      <c r="G460" s="31"/>
      <c r="H460" s="32"/>
      <c r="I460" s="32"/>
      <c r="J460" s="32"/>
      <c r="K460" s="32"/>
      <c r="L460" s="32"/>
      <c r="O460" s="64"/>
      <c r="V460" s="33"/>
      <c r="W460" s="33"/>
      <c r="X460" s="34"/>
      <c r="Y460" s="35"/>
      <c r="Z460" s="34"/>
      <c r="AA460" s="35"/>
      <c r="AB460" s="34"/>
      <c r="AC460" s="36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60"/>
      <c r="AQ460" s="60"/>
      <c r="AR460" s="60"/>
      <c r="AS460" s="60"/>
      <c r="AT460" s="60"/>
      <c r="AU460" s="60"/>
      <c r="AV460" s="60"/>
      <c r="AW460" s="60"/>
      <c r="AX460" s="60"/>
      <c r="AY460" s="60"/>
      <c r="AZ460" s="60"/>
      <c r="BA460" s="60"/>
      <c r="BB460" s="60"/>
      <c r="BC460" s="60"/>
      <c r="BD460" s="60"/>
      <c r="BE460" s="60"/>
      <c r="BF460" s="60"/>
      <c r="BG460" s="60"/>
      <c r="BH460" s="60"/>
      <c r="BI460" s="60"/>
      <c r="BJ460" s="60"/>
      <c r="BK460" s="60"/>
    </row>
  </sheetData>
  <mergeCells count="19">
    <mergeCell ref="H2:L3"/>
    <mergeCell ref="M2:Q2"/>
    <mergeCell ref="M3:M4"/>
    <mergeCell ref="N3:N4"/>
    <mergeCell ref="O3:O4"/>
    <mergeCell ref="P3:P4"/>
    <mergeCell ref="Q3:Q4"/>
    <mergeCell ref="K4:L4"/>
    <mergeCell ref="V2:V4"/>
    <mergeCell ref="W2:W4"/>
    <mergeCell ref="R2:R4"/>
    <mergeCell ref="S2:S4"/>
    <mergeCell ref="T2:U3"/>
    <mergeCell ref="G2:G4"/>
    <mergeCell ref="B2:B4"/>
    <mergeCell ref="C2:C4"/>
    <mergeCell ref="D2:D4"/>
    <mergeCell ref="E2:E4"/>
    <mergeCell ref="F2:F4"/>
  </mergeCells>
  <dataValidations count="2">
    <dataValidation type="list" allowBlank="1" showInputMessage="1" showErrorMessage="1" sqref="I6:I16">
      <formula1>"TK/0,TK/1,TK/2,TK/3,K/0,K/1,K/2,K/3"</formula1>
    </dataValidation>
    <dataValidation type="list" allowBlank="1" showInputMessage="1" showErrorMessage="1" sqref="H6:H16">
      <formula1>"L,P"</formula1>
    </dataValidation>
  </dataValidations>
  <pageMargins left="1.3385826771653544" right="0.74803149606299213" top="0.39370078740157483" bottom="0.39370078740157483" header="0.51181102362204722" footer="0.51181102362204722"/>
  <pageSetup paperSize="5" scale="45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B100"/>
  <sheetViews>
    <sheetView tabSelected="1" topLeftCell="A4" zoomScale="90" zoomScaleNormal="90" zoomScaleSheetLayoutView="91" workbookViewId="0">
      <pane xSplit="3" ySplit="2" topLeftCell="D46" activePane="bottomRight" state="frozen"/>
      <selection activeCell="A4" sqref="A4"/>
      <selection pane="topRight" activeCell="D4" sqref="D4"/>
      <selection pane="bottomLeft" activeCell="A6" sqref="A6"/>
      <selection pane="bottomRight" activeCell="M52" sqref="M52"/>
    </sheetView>
  </sheetViews>
  <sheetFormatPr defaultColWidth="9.28515625" defaultRowHeight="12.75" outlineLevelCol="1"/>
  <cols>
    <col min="1" max="1" width="1.5703125" style="60" customWidth="1"/>
    <col min="2" max="2" width="5.7109375" style="27" customWidth="1"/>
    <col min="3" max="3" width="21.85546875" style="28" customWidth="1"/>
    <col min="4" max="4" width="22" style="202" customWidth="1" outlineLevel="1"/>
    <col min="5" max="5" width="23.28515625" style="30" customWidth="1" outlineLevel="1"/>
    <col min="6" max="6" width="43.42578125" style="28" customWidth="1" outlineLevel="1"/>
    <col min="7" max="7" width="25.140625" style="31" customWidth="1" outlineLevel="1"/>
    <col min="8" max="8" width="6" style="32" customWidth="1" outlineLevel="1"/>
    <col min="9" max="9" width="6.7109375" style="32" customWidth="1" outlineLevel="1"/>
    <col min="10" max="10" width="10.85546875" style="32" customWidth="1" outlineLevel="1"/>
    <col min="11" max="11" width="14.140625" style="28" customWidth="1"/>
    <col min="12" max="12" width="10.7109375" style="28" customWidth="1"/>
    <col min="13" max="13" width="12.7109375" style="28" customWidth="1"/>
    <col min="14" max="14" width="12" style="28" customWidth="1"/>
    <col min="15" max="15" width="10.7109375" style="28" customWidth="1"/>
    <col min="16" max="16" width="11.85546875" style="28" customWidth="1"/>
    <col min="17" max="17" width="11.5703125" style="28" customWidth="1"/>
    <col min="18" max="18" width="12.140625" style="28" customWidth="1"/>
    <col min="19" max="19" width="11.85546875" style="28" customWidth="1"/>
    <col min="20" max="20" width="12.5703125" style="28" customWidth="1"/>
    <col min="21" max="21" width="11.140625" style="28" hidden="1" customWidth="1"/>
    <col min="22" max="22" width="10.85546875" style="28" customWidth="1"/>
    <col min="23" max="23" width="10" style="28" customWidth="1"/>
    <col min="24" max="24" width="12.28515625" style="28" customWidth="1"/>
    <col min="25" max="25" width="12.140625" style="28" customWidth="1"/>
    <col min="26" max="26" width="12.42578125" style="28" customWidth="1"/>
    <col min="27" max="27" width="13.42578125" style="28" hidden="1" customWidth="1"/>
    <col min="28" max="28" width="12.140625" style="28" hidden="1" customWidth="1"/>
    <col min="29" max="29" width="13.5703125" style="28" customWidth="1" collapsed="1"/>
    <col min="30" max="30" width="8.28515625" style="90" customWidth="1"/>
    <col min="31" max="31" width="12.140625" style="28" customWidth="1"/>
    <col min="32" max="32" width="11.140625" style="28" hidden="1" customWidth="1"/>
    <col min="33" max="33" width="12.5703125" style="28" hidden="1" customWidth="1"/>
    <col min="34" max="34" width="10.140625" style="27" hidden="1" customWidth="1"/>
    <col min="35" max="35" width="10.140625" style="27" customWidth="1"/>
    <col min="36" max="36" width="12.5703125" style="27" customWidth="1"/>
    <col min="37" max="37" width="12.140625" style="27" customWidth="1"/>
    <col min="38" max="38" width="19" style="60" customWidth="1"/>
    <col min="39" max="40" width="14.7109375" style="59" customWidth="1"/>
    <col min="41" max="41" width="11.85546875" style="60" customWidth="1"/>
    <col min="42" max="16384" width="9.28515625" style="60"/>
  </cols>
  <sheetData>
    <row r="1" spans="2:43">
      <c r="B1" s="27" t="s">
        <v>71</v>
      </c>
      <c r="AH1" s="60"/>
      <c r="AI1" s="60"/>
      <c r="AJ1" s="60"/>
      <c r="AK1" s="60"/>
    </row>
    <row r="2" spans="2:43">
      <c r="B2" s="27" t="s">
        <v>131</v>
      </c>
      <c r="AH2" s="60"/>
      <c r="AI2" s="60"/>
      <c r="AJ2" s="60"/>
      <c r="AK2" s="60"/>
    </row>
    <row r="3" spans="2:43">
      <c r="B3" s="27" t="s">
        <v>101</v>
      </c>
      <c r="AH3" s="60"/>
      <c r="AI3" s="60"/>
      <c r="AJ3" s="60"/>
      <c r="AK3" s="60"/>
    </row>
    <row r="4" spans="2:43" s="27" customFormat="1" ht="13.5" thickBot="1">
      <c r="C4" s="87" t="s">
        <v>40</v>
      </c>
      <c r="D4" s="202"/>
      <c r="E4" s="30"/>
      <c r="F4" s="28"/>
      <c r="G4" s="31"/>
      <c r="H4" s="32"/>
      <c r="I4" s="32"/>
      <c r="J4" s="32"/>
      <c r="K4" s="28"/>
      <c r="L4" s="28"/>
      <c r="M4" s="28"/>
      <c r="N4" s="28" t="s">
        <v>104</v>
      </c>
      <c r="O4" s="28" t="s">
        <v>102</v>
      </c>
      <c r="P4" s="28" t="s">
        <v>103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90"/>
      <c r="AE4" s="28"/>
      <c r="AF4" s="28"/>
      <c r="AG4" s="28"/>
      <c r="AM4" s="58"/>
      <c r="AN4" s="58"/>
    </row>
    <row r="5" spans="2:43" s="27" customFormat="1" ht="51.75" customHeight="1" thickBot="1">
      <c r="B5" s="197" t="s">
        <v>64</v>
      </c>
      <c r="C5" s="197" t="s">
        <v>25</v>
      </c>
      <c r="D5" s="198" t="s">
        <v>26</v>
      </c>
      <c r="E5" s="199" t="s">
        <v>27</v>
      </c>
      <c r="F5" s="197" t="s">
        <v>28</v>
      </c>
      <c r="G5" s="196" t="s">
        <v>29</v>
      </c>
      <c r="H5" s="129" t="s">
        <v>37</v>
      </c>
      <c r="I5" s="130" t="s">
        <v>6</v>
      </c>
      <c r="J5" s="130" t="s">
        <v>15</v>
      </c>
      <c r="K5" s="128" t="s">
        <v>36</v>
      </c>
      <c r="L5" s="200" t="s">
        <v>68</v>
      </c>
      <c r="M5" s="200" t="s">
        <v>69</v>
      </c>
      <c r="N5" s="200" t="s">
        <v>72</v>
      </c>
      <c r="O5" s="200" t="s">
        <v>73</v>
      </c>
      <c r="P5" s="200" t="s">
        <v>76</v>
      </c>
      <c r="Q5" s="200" t="s">
        <v>106</v>
      </c>
      <c r="R5" s="200" t="s">
        <v>118</v>
      </c>
      <c r="S5" s="200" t="s">
        <v>107</v>
      </c>
      <c r="T5" s="200" t="s">
        <v>108</v>
      </c>
      <c r="U5" s="143" t="s">
        <v>126</v>
      </c>
      <c r="V5" s="143" t="s">
        <v>128</v>
      </c>
      <c r="W5" s="143" t="s">
        <v>127</v>
      </c>
      <c r="X5" s="143" t="s">
        <v>77</v>
      </c>
      <c r="Y5" s="143" t="s">
        <v>109</v>
      </c>
      <c r="Z5" s="143" t="s">
        <v>105</v>
      </c>
      <c r="AA5" s="143" t="s">
        <v>74</v>
      </c>
      <c r="AB5" s="143" t="s">
        <v>75</v>
      </c>
      <c r="AC5" s="143" t="s">
        <v>41</v>
      </c>
      <c r="AD5" s="151" t="s">
        <v>42</v>
      </c>
      <c r="AE5" s="143" t="s">
        <v>119</v>
      </c>
      <c r="AF5" s="143" t="s">
        <v>123</v>
      </c>
      <c r="AG5" s="183" t="s">
        <v>124</v>
      </c>
      <c r="AH5" s="186" t="s">
        <v>125</v>
      </c>
      <c r="AI5" s="191"/>
      <c r="AJ5" s="162" t="s">
        <v>110</v>
      </c>
      <c r="AK5" s="161" t="s">
        <v>111</v>
      </c>
      <c r="AL5" s="161" t="s">
        <v>112</v>
      </c>
      <c r="AM5" s="161" t="s">
        <v>70</v>
      </c>
      <c r="AN5" s="161"/>
    </row>
    <row r="6" spans="2:43" s="27" customFormat="1" ht="20.25" customHeight="1">
      <c r="B6" s="39">
        <v>1</v>
      </c>
      <c r="C6" s="40" t="s">
        <v>78</v>
      </c>
      <c r="D6" s="41" t="s">
        <v>132</v>
      </c>
      <c r="E6" s="42" t="s">
        <v>133</v>
      </c>
      <c r="F6" s="40" t="s">
        <v>134</v>
      </c>
      <c r="G6" s="152" t="s">
        <v>117</v>
      </c>
      <c r="H6" s="43" t="s">
        <v>39</v>
      </c>
      <c r="I6" s="44" t="s">
        <v>9</v>
      </c>
      <c r="J6" s="86" t="str">
        <f>IF(ISBLANK(I6),"",IF(OR(I6="TK/0",I6="TK/1",I6="K/0"),"TER A",IF(I6="K/3","TER C","TER B")))</f>
        <v>TER B</v>
      </c>
      <c r="K6" s="45">
        <f>134500*31</f>
        <v>4169500</v>
      </c>
      <c r="L6" s="45">
        <f>(4035000+X6)*0.84%</f>
        <v>34171.199999999997</v>
      </c>
      <c r="M6" s="45">
        <f>[2]MAINTENANCE!AN9</f>
        <v>162720</v>
      </c>
      <c r="N6" s="45">
        <f>[2]MAINTENANCE!W9</f>
        <v>144150</v>
      </c>
      <c r="O6" s="45">
        <v>84000</v>
      </c>
      <c r="P6" s="45">
        <f>[2]MAINTENANCE!AG9</f>
        <v>244895</v>
      </c>
      <c r="Q6" s="45"/>
      <c r="R6" s="45"/>
      <c r="S6" s="45"/>
      <c r="T6" s="45"/>
      <c r="U6" s="150"/>
      <c r="V6" s="150"/>
      <c r="W6" s="150"/>
      <c r="X6" s="150">
        <f>[2]MAINTENANCE!AB9</f>
        <v>33000</v>
      </c>
      <c r="Y6" s="150"/>
      <c r="Z6" s="45">
        <f>-[2]MAINTENANCE!BB9</f>
        <v>0</v>
      </c>
      <c r="AA6" s="172"/>
      <c r="AB6" s="45"/>
      <c r="AC6" s="153">
        <f>ROUND(SUM(K6:AB6),0)</f>
        <v>4872436</v>
      </c>
      <c r="AD6" s="154">
        <f t="shared" ref="AD6:AD63" si="0">IF(J6="TER A",VLOOKUP(AC6,Ter_A,4,TRUE),IF(J6="TER B",VLOOKUP(AC6,Ter_B,4,TRUE),VLOOKUP(AC6,Ter_C,4,TRUE)))</f>
        <v>0</v>
      </c>
      <c r="AE6" s="155">
        <f>ROUND(IF(E6=0,AC6*AD6*120%,AC6*AD6),0)</f>
        <v>0</v>
      </c>
      <c r="AF6" s="169"/>
      <c r="AG6" s="188"/>
      <c r="AH6" s="184"/>
      <c r="AI6" s="192"/>
      <c r="AJ6" s="158">
        <f>[2]MAINTENANCE!AI9</f>
        <v>4675545</v>
      </c>
      <c r="AK6" s="142">
        <f t="shared" ref="AK6:AK63" si="1">L6+M6</f>
        <v>196891.2</v>
      </c>
      <c r="AL6" s="141">
        <f>AJ6+AK6</f>
        <v>4872436.2</v>
      </c>
      <c r="AM6" s="195">
        <f t="shared" ref="AM6:AM63" si="2">AL6-AC6</f>
        <v>0.20000000018626451</v>
      </c>
      <c r="AN6" s="221"/>
      <c r="AO6" s="142"/>
      <c r="AQ6" s="142"/>
    </row>
    <row r="7" spans="2:43" s="214" customFormat="1" ht="20.25" customHeight="1">
      <c r="B7" s="204">
        <v>2</v>
      </c>
      <c r="C7" s="165" t="s">
        <v>80</v>
      </c>
      <c r="D7" s="205" t="s">
        <v>135</v>
      </c>
      <c r="E7" s="147" t="s">
        <v>136</v>
      </c>
      <c r="F7" s="165" t="s">
        <v>137</v>
      </c>
      <c r="G7" s="206" t="s">
        <v>100</v>
      </c>
      <c r="H7" s="207" t="s">
        <v>38</v>
      </c>
      <c r="I7" s="168" t="s">
        <v>7</v>
      </c>
      <c r="J7" s="92" t="str">
        <f t="shared" ref="J7:J66" si="3">IF(ISBLANK(I7),"",IF(OR(I7="TK/0",I7="TK/1",I7="K/0"),"TER A",IF(I7="K/3","TER C","TER B")))</f>
        <v>TER A</v>
      </c>
      <c r="K7" s="52">
        <f t="shared" ref="K7:K63" si="4">134500*31</f>
        <v>4169500</v>
      </c>
      <c r="L7" s="52">
        <f t="shared" ref="L7:L63" si="5">(4035000+X7)*0.84%</f>
        <v>34200.6</v>
      </c>
      <c r="M7" s="52">
        <f>[2]MAINTENANCE!AN10</f>
        <v>162860</v>
      </c>
      <c r="N7" s="52">
        <f>[2]MAINTENANCE!W10</f>
        <v>69750</v>
      </c>
      <c r="O7" s="150"/>
      <c r="P7" s="52">
        <f>[2]MAINTENANCE!AG10</f>
        <v>0</v>
      </c>
      <c r="Q7" s="150"/>
      <c r="R7" s="150"/>
      <c r="S7" s="150"/>
      <c r="T7" s="150"/>
      <c r="U7" s="150"/>
      <c r="V7" s="150"/>
      <c r="W7" s="150"/>
      <c r="X7" s="150">
        <f>[2]MAINTENANCE!AB10</f>
        <v>36500</v>
      </c>
      <c r="Y7" s="150"/>
      <c r="Z7" s="52">
        <f>-[2]MAINTENANCE!BB10</f>
        <v>0</v>
      </c>
      <c r="AA7" s="52"/>
      <c r="AB7" s="52"/>
      <c r="AC7" s="153">
        <f>ROUND(SUM(K7:AB7),0)</f>
        <v>4472811</v>
      </c>
      <c r="AD7" s="95">
        <f t="shared" si="0"/>
        <v>0</v>
      </c>
      <c r="AE7" s="155">
        <f>ROUND(IF(E7=0,AC7*AD7*120%,AC7*AD7),0)</f>
        <v>0</v>
      </c>
      <c r="AF7" s="208"/>
      <c r="AG7" s="209"/>
      <c r="AH7" s="210"/>
      <c r="AI7" s="211"/>
      <c r="AJ7" s="158">
        <f>[2]MAINTENANCE!AI10</f>
        <v>4275750</v>
      </c>
      <c r="AK7" s="212">
        <f t="shared" si="1"/>
        <v>197060.6</v>
      </c>
      <c r="AL7" s="213">
        <f t="shared" ref="AL7:AL28" si="6">AJ7+AK7</f>
        <v>4472810.5999999996</v>
      </c>
      <c r="AM7" s="195">
        <f t="shared" si="2"/>
        <v>-0.40000000037252903</v>
      </c>
      <c r="AN7" s="221"/>
      <c r="AO7" s="212"/>
      <c r="AQ7" s="212"/>
    </row>
    <row r="8" spans="2:43" s="27" customFormat="1" ht="20.25" customHeight="1">
      <c r="B8" s="144">
        <v>3</v>
      </c>
      <c r="C8" s="145" t="s">
        <v>81</v>
      </c>
      <c r="D8" s="146" t="s">
        <v>138</v>
      </c>
      <c r="E8" s="147" t="s">
        <v>139</v>
      </c>
      <c r="F8" s="145" t="s">
        <v>140</v>
      </c>
      <c r="G8" s="156" t="s">
        <v>100</v>
      </c>
      <c r="H8" s="148" t="s">
        <v>38</v>
      </c>
      <c r="I8" s="149" t="s">
        <v>7</v>
      </c>
      <c r="J8" s="92" t="str">
        <f t="shared" si="3"/>
        <v>TER A</v>
      </c>
      <c r="K8" s="52">
        <f t="shared" si="4"/>
        <v>4169500</v>
      </c>
      <c r="L8" s="52">
        <f t="shared" si="5"/>
        <v>34171.199999999997</v>
      </c>
      <c r="M8" s="52">
        <f>[2]MAINTENANCE!AN11</f>
        <v>162720</v>
      </c>
      <c r="N8" s="52">
        <f>[2]MAINTENANCE!W11</f>
        <v>69750</v>
      </c>
      <c r="O8" s="150"/>
      <c r="P8" s="52">
        <f>[2]MAINTENANCE!AG11</f>
        <v>0</v>
      </c>
      <c r="Q8" s="150"/>
      <c r="R8" s="150"/>
      <c r="S8" s="150"/>
      <c r="T8" s="150"/>
      <c r="U8" s="150"/>
      <c r="V8" s="150"/>
      <c r="W8" s="150"/>
      <c r="X8" s="150">
        <f>[2]MAINTENANCE!AB11</f>
        <v>33000</v>
      </c>
      <c r="Y8" s="150"/>
      <c r="Z8" s="52">
        <f>-[2]MAINTENANCE!BB11</f>
        <v>0</v>
      </c>
      <c r="AA8" s="52"/>
      <c r="AB8" s="52"/>
      <c r="AC8" s="153">
        <f t="shared" ref="AC8:AC63" si="7">ROUND(SUM(K8:AB8),0)</f>
        <v>4469141</v>
      </c>
      <c r="AD8" s="95">
        <f t="shared" si="0"/>
        <v>0</v>
      </c>
      <c r="AE8" s="155">
        <f t="shared" ref="AE8:AE63" si="8">ROUND(IF(E8=0,AC8*AD8*120%,AC8*AD8),0)</f>
        <v>0</v>
      </c>
      <c r="AF8" s="187"/>
      <c r="AG8" s="170"/>
      <c r="AH8" s="185"/>
      <c r="AI8" s="192"/>
      <c r="AJ8" s="158">
        <f>[2]MAINTENANCE!AI11</f>
        <v>4272250</v>
      </c>
      <c r="AK8" s="142">
        <f t="shared" si="1"/>
        <v>196891.2</v>
      </c>
      <c r="AL8" s="141">
        <f t="shared" si="6"/>
        <v>4469141.2</v>
      </c>
      <c r="AM8" s="195">
        <f t="shared" si="2"/>
        <v>0.20000000018626451</v>
      </c>
      <c r="AN8" s="221"/>
      <c r="AO8" s="142"/>
      <c r="AQ8" s="142"/>
    </row>
    <row r="9" spans="2:43" s="27" customFormat="1" ht="20.25" customHeight="1">
      <c r="B9" s="144">
        <v>4</v>
      </c>
      <c r="C9" s="145" t="s">
        <v>82</v>
      </c>
      <c r="D9" s="146" t="s">
        <v>141</v>
      </c>
      <c r="E9" s="147" t="s">
        <v>142</v>
      </c>
      <c r="F9" s="145" t="s">
        <v>143</v>
      </c>
      <c r="G9" s="156" t="s">
        <v>100</v>
      </c>
      <c r="H9" s="148" t="s">
        <v>38</v>
      </c>
      <c r="I9" s="149" t="s">
        <v>7</v>
      </c>
      <c r="J9" s="92" t="str">
        <f t="shared" si="3"/>
        <v>TER A</v>
      </c>
      <c r="K9" s="52">
        <f t="shared" si="4"/>
        <v>4169500</v>
      </c>
      <c r="L9" s="52">
        <f t="shared" si="5"/>
        <v>34377</v>
      </c>
      <c r="M9" s="52">
        <f>[2]MAINTENANCE!AN12</f>
        <v>163700</v>
      </c>
      <c r="N9" s="52">
        <f>[2]MAINTENANCE!W12</f>
        <v>67500</v>
      </c>
      <c r="O9" s="150"/>
      <c r="P9" s="52">
        <f>[2]MAINTENANCE!AG12</f>
        <v>0</v>
      </c>
      <c r="Q9" s="150"/>
      <c r="R9" s="150"/>
      <c r="S9" s="150"/>
      <c r="T9" s="150"/>
      <c r="U9" s="150"/>
      <c r="V9" s="150"/>
      <c r="W9" s="150"/>
      <c r="X9" s="150">
        <f>[2]MAINTENANCE!AB12</f>
        <v>57500</v>
      </c>
      <c r="Y9" s="150"/>
      <c r="Z9" s="52">
        <f>-[2]MAINTENANCE!BB12</f>
        <v>-134500</v>
      </c>
      <c r="AA9" s="52"/>
      <c r="AB9" s="52"/>
      <c r="AC9" s="153">
        <f t="shared" si="7"/>
        <v>4358077</v>
      </c>
      <c r="AD9" s="95">
        <f t="shared" si="0"/>
        <v>0</v>
      </c>
      <c r="AE9" s="155">
        <f t="shared" si="8"/>
        <v>0</v>
      </c>
      <c r="AF9" s="187"/>
      <c r="AG9" s="170"/>
      <c r="AH9" s="185"/>
      <c r="AI9" s="192"/>
      <c r="AJ9" s="158">
        <f>[2]MAINTENANCE!AI12</f>
        <v>4160000</v>
      </c>
      <c r="AK9" s="142">
        <f t="shared" si="1"/>
        <v>198077</v>
      </c>
      <c r="AL9" s="141">
        <f t="shared" si="6"/>
        <v>4358077</v>
      </c>
      <c r="AM9" s="195">
        <f t="shared" si="2"/>
        <v>0</v>
      </c>
      <c r="AN9" s="221"/>
      <c r="AO9" s="142"/>
      <c r="AQ9" s="142"/>
    </row>
    <row r="10" spans="2:43" s="27" customFormat="1" ht="20.25" customHeight="1">
      <c r="B10" s="144">
        <v>5</v>
      </c>
      <c r="C10" s="145" t="s">
        <v>83</v>
      </c>
      <c r="D10" s="146" t="s">
        <v>144</v>
      </c>
      <c r="E10" s="147" t="s">
        <v>145</v>
      </c>
      <c r="F10" s="145" t="s">
        <v>146</v>
      </c>
      <c r="G10" s="156" t="s">
        <v>100</v>
      </c>
      <c r="H10" s="148" t="s">
        <v>38</v>
      </c>
      <c r="I10" s="149" t="s">
        <v>7</v>
      </c>
      <c r="J10" s="92" t="str">
        <f t="shared" si="3"/>
        <v>TER A</v>
      </c>
      <c r="K10" s="52">
        <f t="shared" si="4"/>
        <v>4169500</v>
      </c>
      <c r="L10" s="52">
        <f t="shared" si="5"/>
        <v>34377</v>
      </c>
      <c r="M10" s="52">
        <f>[2]MAINTENANCE!AN13</f>
        <v>163700</v>
      </c>
      <c r="N10" s="52">
        <f>[2]MAINTENANCE!W13</f>
        <v>69750</v>
      </c>
      <c r="O10" s="150"/>
      <c r="P10" s="52">
        <f>[2]MAINTENANCE!AG13</f>
        <v>0</v>
      </c>
      <c r="Q10" s="150"/>
      <c r="R10" s="150"/>
      <c r="S10" s="150"/>
      <c r="T10" s="150"/>
      <c r="U10" s="150"/>
      <c r="V10" s="150"/>
      <c r="W10" s="150"/>
      <c r="X10" s="150">
        <f>[2]MAINTENANCE!AB13</f>
        <v>57500</v>
      </c>
      <c r="Y10" s="150"/>
      <c r="Z10" s="52">
        <f>-[2]MAINTENANCE!BB13</f>
        <v>0</v>
      </c>
      <c r="AA10" s="52"/>
      <c r="AB10" s="52"/>
      <c r="AC10" s="153">
        <f t="shared" si="7"/>
        <v>4494827</v>
      </c>
      <c r="AD10" s="95">
        <f t="shared" si="0"/>
        <v>0</v>
      </c>
      <c r="AE10" s="155">
        <f t="shared" si="8"/>
        <v>0</v>
      </c>
      <c r="AF10" s="187"/>
      <c r="AG10" s="170"/>
      <c r="AH10" s="185"/>
      <c r="AI10" s="192"/>
      <c r="AJ10" s="158">
        <f>[2]MAINTENANCE!AI13</f>
        <v>4296750</v>
      </c>
      <c r="AK10" s="142">
        <f t="shared" si="1"/>
        <v>198077</v>
      </c>
      <c r="AL10" s="141">
        <f t="shared" si="6"/>
        <v>4494827</v>
      </c>
      <c r="AM10" s="195">
        <f t="shared" si="2"/>
        <v>0</v>
      </c>
      <c r="AN10" s="221"/>
      <c r="AO10" s="142"/>
      <c r="AQ10" s="142"/>
    </row>
    <row r="11" spans="2:43" s="27" customFormat="1" ht="20.25" customHeight="1">
      <c r="B11" s="144">
        <v>6</v>
      </c>
      <c r="C11" s="145" t="s">
        <v>84</v>
      </c>
      <c r="D11" s="146" t="s">
        <v>147</v>
      </c>
      <c r="E11" s="147" t="s">
        <v>148</v>
      </c>
      <c r="F11" s="145" t="s">
        <v>149</v>
      </c>
      <c r="G11" s="156" t="s">
        <v>100</v>
      </c>
      <c r="H11" s="148" t="s">
        <v>38</v>
      </c>
      <c r="I11" s="149" t="s">
        <v>7</v>
      </c>
      <c r="J11" s="92" t="str">
        <f t="shared" si="3"/>
        <v>TER A</v>
      </c>
      <c r="K11" s="52">
        <f t="shared" si="4"/>
        <v>4169500</v>
      </c>
      <c r="L11" s="52">
        <f t="shared" si="5"/>
        <v>34347.599999999999</v>
      </c>
      <c r="M11" s="52">
        <f>[2]MAINTENANCE!AN14</f>
        <v>163560</v>
      </c>
      <c r="N11" s="52">
        <f>[2]MAINTENANCE!W14</f>
        <v>65250</v>
      </c>
      <c r="O11" s="150"/>
      <c r="P11" s="52">
        <f>[2]MAINTENANCE!AG14</f>
        <v>0</v>
      </c>
      <c r="Q11" s="150"/>
      <c r="R11" s="150"/>
      <c r="S11" s="150"/>
      <c r="T11" s="150"/>
      <c r="U11" s="150"/>
      <c r="V11" s="150"/>
      <c r="W11" s="150"/>
      <c r="X11" s="150">
        <f>[2]MAINTENANCE!AB14</f>
        <v>54000</v>
      </c>
      <c r="Y11" s="150"/>
      <c r="Z11" s="52">
        <f>-[2]MAINTENANCE!BB14</f>
        <v>-269000</v>
      </c>
      <c r="AA11" s="52"/>
      <c r="AB11" s="52"/>
      <c r="AC11" s="153">
        <f t="shared" si="7"/>
        <v>4217658</v>
      </c>
      <c r="AD11" s="95">
        <f t="shared" si="0"/>
        <v>0</v>
      </c>
      <c r="AE11" s="155">
        <f t="shared" si="8"/>
        <v>0</v>
      </c>
      <c r="AF11" s="187"/>
      <c r="AG11" s="170"/>
      <c r="AH11" s="185"/>
      <c r="AI11" s="192"/>
      <c r="AJ11" s="158">
        <f>[2]MAINTENANCE!AI14</f>
        <v>4019750</v>
      </c>
      <c r="AK11" s="142">
        <f t="shared" si="1"/>
        <v>197907.6</v>
      </c>
      <c r="AL11" s="141">
        <f t="shared" si="6"/>
        <v>4217657.5999999996</v>
      </c>
      <c r="AM11" s="195">
        <f t="shared" si="2"/>
        <v>-0.40000000037252903</v>
      </c>
      <c r="AN11" s="221"/>
      <c r="AO11" s="142"/>
      <c r="AQ11" s="142"/>
    </row>
    <row r="12" spans="2:43" s="27" customFormat="1" ht="20.25" customHeight="1">
      <c r="B12" s="144">
        <v>7</v>
      </c>
      <c r="C12" s="145" t="s">
        <v>85</v>
      </c>
      <c r="D12" s="146" t="s">
        <v>150</v>
      </c>
      <c r="E12" s="147" t="s">
        <v>151</v>
      </c>
      <c r="F12" s="145" t="s">
        <v>152</v>
      </c>
      <c r="G12" s="156" t="s">
        <v>100</v>
      </c>
      <c r="H12" s="148" t="s">
        <v>38</v>
      </c>
      <c r="I12" s="149" t="s">
        <v>7</v>
      </c>
      <c r="J12" s="92" t="str">
        <f t="shared" si="3"/>
        <v>TER A</v>
      </c>
      <c r="K12" s="52">
        <f t="shared" si="4"/>
        <v>4169500</v>
      </c>
      <c r="L12" s="52">
        <f t="shared" si="5"/>
        <v>34288.799999999996</v>
      </c>
      <c r="M12" s="52">
        <f>[2]MAINTENANCE!AN15</f>
        <v>163280</v>
      </c>
      <c r="N12" s="52">
        <f>[2]MAINTENANCE!W15</f>
        <v>69750</v>
      </c>
      <c r="O12" s="150"/>
      <c r="P12" s="52">
        <f>[2]MAINTENANCE!AG15</f>
        <v>0</v>
      </c>
      <c r="Q12" s="150"/>
      <c r="R12" s="150"/>
      <c r="S12" s="150"/>
      <c r="T12" s="150"/>
      <c r="U12" s="150"/>
      <c r="V12" s="150"/>
      <c r="W12" s="150"/>
      <c r="X12" s="150">
        <f>[2]MAINTENANCE!AB15</f>
        <v>47000</v>
      </c>
      <c r="Y12" s="150"/>
      <c r="Z12" s="52">
        <f>-[2]MAINTENANCE!BB15</f>
        <v>0</v>
      </c>
      <c r="AA12" s="52"/>
      <c r="AB12" s="52"/>
      <c r="AC12" s="153">
        <f t="shared" si="7"/>
        <v>4483819</v>
      </c>
      <c r="AD12" s="95">
        <f t="shared" si="0"/>
        <v>0</v>
      </c>
      <c r="AE12" s="155">
        <f t="shared" si="8"/>
        <v>0</v>
      </c>
      <c r="AF12" s="187"/>
      <c r="AG12" s="170"/>
      <c r="AH12" s="185"/>
      <c r="AI12" s="192"/>
      <c r="AJ12" s="158">
        <f>[2]MAINTENANCE!AI15</f>
        <v>4286250</v>
      </c>
      <c r="AK12" s="142">
        <f t="shared" si="1"/>
        <v>197568.8</v>
      </c>
      <c r="AL12" s="141">
        <f t="shared" si="6"/>
        <v>4483818.8</v>
      </c>
      <c r="AM12" s="195">
        <f t="shared" si="2"/>
        <v>-0.20000000018626451</v>
      </c>
      <c r="AN12" s="221"/>
      <c r="AO12" s="142"/>
      <c r="AQ12" s="142"/>
    </row>
    <row r="13" spans="2:43" s="27" customFormat="1" ht="20.25" customHeight="1">
      <c r="B13" s="144">
        <v>8</v>
      </c>
      <c r="C13" s="145" t="s">
        <v>86</v>
      </c>
      <c r="D13" s="146" t="s">
        <v>153</v>
      </c>
      <c r="E13" s="147" t="s">
        <v>154</v>
      </c>
      <c r="F13" s="145" t="s">
        <v>155</v>
      </c>
      <c r="G13" s="156" t="s">
        <v>100</v>
      </c>
      <c r="H13" s="148" t="s">
        <v>38</v>
      </c>
      <c r="I13" s="149" t="s">
        <v>7</v>
      </c>
      <c r="J13" s="92" t="str">
        <f t="shared" si="3"/>
        <v>TER A</v>
      </c>
      <c r="K13" s="52">
        <f t="shared" si="4"/>
        <v>4169500</v>
      </c>
      <c r="L13" s="52">
        <f t="shared" si="5"/>
        <v>34318.199999999997</v>
      </c>
      <c r="M13" s="52">
        <f>[2]MAINTENANCE!AN16</f>
        <v>163420</v>
      </c>
      <c r="N13" s="52">
        <f>[2]MAINTENANCE!W16</f>
        <v>65250</v>
      </c>
      <c r="O13" s="150"/>
      <c r="P13" s="52">
        <f>[2]MAINTENANCE!AG16</f>
        <v>0</v>
      </c>
      <c r="Q13" s="150"/>
      <c r="R13" s="150"/>
      <c r="S13" s="150"/>
      <c r="T13" s="150"/>
      <c r="U13" s="150"/>
      <c r="V13" s="150"/>
      <c r="W13" s="150"/>
      <c r="X13" s="150">
        <f>[2]MAINTENANCE!AB16</f>
        <v>50500</v>
      </c>
      <c r="Y13" s="150"/>
      <c r="Z13" s="52">
        <f>-[2]MAINTENANCE!BB16</f>
        <v>-269000</v>
      </c>
      <c r="AA13" s="52"/>
      <c r="AB13" s="52"/>
      <c r="AC13" s="153">
        <f t="shared" si="7"/>
        <v>4213988</v>
      </c>
      <c r="AD13" s="95">
        <f t="shared" si="0"/>
        <v>0</v>
      </c>
      <c r="AE13" s="155">
        <f t="shared" si="8"/>
        <v>0</v>
      </c>
      <c r="AF13" s="187"/>
      <c r="AG13" s="170"/>
      <c r="AH13" s="185"/>
      <c r="AI13" s="192"/>
      <c r="AJ13" s="158">
        <f>[2]MAINTENANCE!AI16</f>
        <v>4016250</v>
      </c>
      <c r="AK13" s="142">
        <f t="shared" si="1"/>
        <v>197738.2</v>
      </c>
      <c r="AL13" s="141">
        <f t="shared" si="6"/>
        <v>4213988.2</v>
      </c>
      <c r="AM13" s="195">
        <f t="shared" si="2"/>
        <v>0.20000000018626451</v>
      </c>
      <c r="AN13" s="221"/>
      <c r="AO13" s="142"/>
      <c r="AQ13" s="142"/>
    </row>
    <row r="14" spans="2:43" s="27" customFormat="1" ht="20.25" customHeight="1">
      <c r="B14" s="144">
        <v>9</v>
      </c>
      <c r="C14" s="145" t="s">
        <v>87</v>
      </c>
      <c r="D14" s="146" t="s">
        <v>156</v>
      </c>
      <c r="E14" s="147" t="s">
        <v>157</v>
      </c>
      <c r="F14" s="145" t="s">
        <v>155</v>
      </c>
      <c r="G14" s="156" t="s">
        <v>100</v>
      </c>
      <c r="H14" s="148" t="s">
        <v>39</v>
      </c>
      <c r="I14" s="149" t="s">
        <v>11</v>
      </c>
      <c r="J14" s="92" t="str">
        <f t="shared" si="3"/>
        <v>TER B</v>
      </c>
      <c r="K14" s="52">
        <f t="shared" si="4"/>
        <v>4169500</v>
      </c>
      <c r="L14" s="52">
        <f t="shared" si="5"/>
        <v>34171.199999999997</v>
      </c>
      <c r="M14" s="52">
        <f>[2]MAINTENANCE!AN17</f>
        <v>162720</v>
      </c>
      <c r="N14" s="52">
        <f>[2]MAINTENANCE!W17</f>
        <v>172050</v>
      </c>
      <c r="O14" s="150"/>
      <c r="P14" s="52">
        <f>[2]MAINTENANCE!AG17</f>
        <v>314866</v>
      </c>
      <c r="Q14" s="150"/>
      <c r="R14" s="150"/>
      <c r="S14" s="150"/>
      <c r="T14" s="150"/>
      <c r="U14" s="150"/>
      <c r="V14" s="150"/>
      <c r="W14" s="150"/>
      <c r="X14" s="150">
        <f>[2]MAINTENANCE!AB17</f>
        <v>33000</v>
      </c>
      <c r="Y14" s="150"/>
      <c r="Z14" s="52">
        <f>-[2]MAINTENANCE!BB17</f>
        <v>0</v>
      </c>
      <c r="AA14" s="52"/>
      <c r="AB14" s="52"/>
      <c r="AC14" s="153">
        <f t="shared" si="7"/>
        <v>4886307</v>
      </c>
      <c r="AD14" s="95">
        <f t="shared" si="0"/>
        <v>0</v>
      </c>
      <c r="AE14" s="155">
        <f t="shared" si="8"/>
        <v>0</v>
      </c>
      <c r="AF14" s="187"/>
      <c r="AG14" s="170"/>
      <c r="AH14" s="185"/>
      <c r="AI14" s="192"/>
      <c r="AJ14" s="158">
        <f>[2]MAINTENANCE!AI17</f>
        <v>4689416</v>
      </c>
      <c r="AK14" s="142">
        <f t="shared" si="1"/>
        <v>196891.2</v>
      </c>
      <c r="AL14" s="141">
        <f t="shared" si="6"/>
        <v>4886307.2</v>
      </c>
      <c r="AM14" s="195">
        <f t="shared" si="2"/>
        <v>0.20000000018626451</v>
      </c>
      <c r="AN14" s="221"/>
      <c r="AO14" s="142"/>
      <c r="AQ14" s="142"/>
    </row>
    <row r="15" spans="2:43" s="27" customFormat="1" ht="20.25" customHeight="1">
      <c r="B15" s="144">
        <v>10</v>
      </c>
      <c r="C15" s="145" t="s">
        <v>88</v>
      </c>
      <c r="D15" s="146" t="s">
        <v>158</v>
      </c>
      <c r="E15" s="147" t="s">
        <v>159</v>
      </c>
      <c r="F15" s="145" t="s">
        <v>160</v>
      </c>
      <c r="G15" s="156" t="s">
        <v>100</v>
      </c>
      <c r="H15" s="148" t="s">
        <v>38</v>
      </c>
      <c r="I15" s="149" t="s">
        <v>7</v>
      </c>
      <c r="J15" s="92" t="str">
        <f t="shared" si="3"/>
        <v>TER A</v>
      </c>
      <c r="K15" s="52">
        <f t="shared" si="4"/>
        <v>4169500</v>
      </c>
      <c r="L15" s="52">
        <f t="shared" si="5"/>
        <v>34200.6</v>
      </c>
      <c r="M15" s="52">
        <f>[2]MAINTENANCE!AN18</f>
        <v>162860</v>
      </c>
      <c r="N15" s="52">
        <f>[2]MAINTENANCE!W18</f>
        <v>67500</v>
      </c>
      <c r="O15" s="150"/>
      <c r="P15" s="52">
        <f>[2]MAINTENANCE!AG18</f>
        <v>0</v>
      </c>
      <c r="Q15" s="150"/>
      <c r="R15" s="150"/>
      <c r="S15" s="150"/>
      <c r="T15" s="150"/>
      <c r="U15" s="150"/>
      <c r="V15" s="150"/>
      <c r="W15" s="150"/>
      <c r="X15" s="150">
        <f>[2]MAINTENANCE!AB18</f>
        <v>36500</v>
      </c>
      <c r="Y15" s="150"/>
      <c r="Z15" s="52">
        <f>-[2]MAINTENANCE!BB18</f>
        <v>-134500</v>
      </c>
      <c r="AA15" s="52"/>
      <c r="AB15" s="52"/>
      <c r="AC15" s="153">
        <f t="shared" si="7"/>
        <v>4336061</v>
      </c>
      <c r="AD15" s="95">
        <f t="shared" si="0"/>
        <v>0</v>
      </c>
      <c r="AE15" s="155">
        <f t="shared" si="8"/>
        <v>0</v>
      </c>
      <c r="AF15" s="187"/>
      <c r="AG15" s="170"/>
      <c r="AH15" s="185"/>
      <c r="AI15" s="192"/>
      <c r="AJ15" s="158">
        <f>[2]MAINTENANCE!AI18</f>
        <v>4139000</v>
      </c>
      <c r="AK15" s="142">
        <f t="shared" si="1"/>
        <v>197060.6</v>
      </c>
      <c r="AL15" s="141">
        <f t="shared" si="6"/>
        <v>4336060.5999999996</v>
      </c>
      <c r="AM15" s="195">
        <f t="shared" si="2"/>
        <v>-0.40000000037252903</v>
      </c>
      <c r="AN15" s="221"/>
      <c r="AO15" s="142"/>
      <c r="AQ15" s="142"/>
    </row>
    <row r="16" spans="2:43" s="27" customFormat="1" ht="20.25" customHeight="1">
      <c r="B16" s="144">
        <v>11</v>
      </c>
      <c r="C16" s="145" t="s">
        <v>89</v>
      </c>
      <c r="D16" s="146" t="s">
        <v>161</v>
      </c>
      <c r="E16" s="147" t="s">
        <v>162</v>
      </c>
      <c r="F16" s="145" t="s">
        <v>163</v>
      </c>
      <c r="G16" s="156" t="s">
        <v>100</v>
      </c>
      <c r="H16" s="148" t="s">
        <v>39</v>
      </c>
      <c r="I16" s="149" t="s">
        <v>11</v>
      </c>
      <c r="J16" s="92" t="str">
        <f t="shared" si="3"/>
        <v>TER B</v>
      </c>
      <c r="K16" s="52">
        <f t="shared" si="4"/>
        <v>4169500</v>
      </c>
      <c r="L16" s="52">
        <f t="shared" si="5"/>
        <v>34641.599999999999</v>
      </c>
      <c r="M16" s="52">
        <f>[2]MAINTENANCE!AN19</f>
        <v>164960</v>
      </c>
      <c r="N16" s="52">
        <f>[2]MAINTENANCE!W19</f>
        <v>172050</v>
      </c>
      <c r="O16" s="150"/>
      <c r="P16" s="52">
        <f>[2]MAINTENANCE!AG19</f>
        <v>81632</v>
      </c>
      <c r="Q16" s="150"/>
      <c r="R16" s="150"/>
      <c r="S16" s="150"/>
      <c r="T16" s="150"/>
      <c r="U16" s="150"/>
      <c r="V16" s="150"/>
      <c r="W16" s="150"/>
      <c r="X16" s="150">
        <f>[2]MAINTENANCE!AB19</f>
        <v>89000</v>
      </c>
      <c r="Y16" s="150"/>
      <c r="Z16" s="52">
        <f>-[2]MAINTENANCE!BB19</f>
        <v>0</v>
      </c>
      <c r="AA16" s="52"/>
      <c r="AB16" s="52"/>
      <c r="AC16" s="153">
        <f t="shared" si="7"/>
        <v>4711784</v>
      </c>
      <c r="AD16" s="95">
        <f t="shared" si="0"/>
        <v>0</v>
      </c>
      <c r="AE16" s="155">
        <f t="shared" si="8"/>
        <v>0</v>
      </c>
      <c r="AF16" s="187"/>
      <c r="AG16" s="170"/>
      <c r="AH16" s="185"/>
      <c r="AI16" s="192"/>
      <c r="AJ16" s="158">
        <f>[2]MAINTENANCE!AI19</f>
        <v>4512182</v>
      </c>
      <c r="AK16" s="142">
        <f t="shared" si="1"/>
        <v>199601.6</v>
      </c>
      <c r="AL16" s="141">
        <f t="shared" si="6"/>
        <v>4711783.5999999996</v>
      </c>
      <c r="AM16" s="195">
        <f t="shared" si="2"/>
        <v>-0.40000000037252903</v>
      </c>
      <c r="AN16" s="221"/>
      <c r="AO16" s="142"/>
      <c r="AQ16" s="142"/>
    </row>
    <row r="17" spans="2:43" s="27" customFormat="1" ht="20.25" customHeight="1">
      <c r="B17" s="144">
        <v>12</v>
      </c>
      <c r="C17" s="145" t="s">
        <v>90</v>
      </c>
      <c r="D17" s="146" t="s">
        <v>164</v>
      </c>
      <c r="E17" s="147" t="s">
        <v>165</v>
      </c>
      <c r="F17" s="145" t="s">
        <v>166</v>
      </c>
      <c r="G17" s="156" t="s">
        <v>100</v>
      </c>
      <c r="H17" s="148" t="s">
        <v>38</v>
      </c>
      <c r="I17" s="168" t="s">
        <v>7</v>
      </c>
      <c r="J17" s="92" t="str">
        <f t="shared" si="3"/>
        <v>TER A</v>
      </c>
      <c r="K17" s="52">
        <f t="shared" si="4"/>
        <v>4169500</v>
      </c>
      <c r="L17" s="52">
        <f t="shared" si="5"/>
        <v>34120.799999999996</v>
      </c>
      <c r="M17" s="52">
        <f>[2]MAINTENANCE!AN20</f>
        <v>162480</v>
      </c>
      <c r="N17" s="52">
        <f>[2]MAINTENANCE!W20</f>
        <v>69750</v>
      </c>
      <c r="O17" s="150"/>
      <c r="P17" s="52">
        <f>[2]MAINTENANCE!AG20</f>
        <v>0</v>
      </c>
      <c r="Q17" s="150"/>
      <c r="R17" s="150"/>
      <c r="S17" s="150"/>
      <c r="T17" s="150"/>
      <c r="U17" s="150"/>
      <c r="V17" s="150"/>
      <c r="W17" s="150"/>
      <c r="X17" s="150">
        <f>[2]MAINTENANCE!AB20</f>
        <v>27000</v>
      </c>
      <c r="Y17" s="150"/>
      <c r="Z17" s="52">
        <f>-[2]MAINTENANCE!BB20</f>
        <v>0</v>
      </c>
      <c r="AA17" s="52"/>
      <c r="AB17" s="52"/>
      <c r="AC17" s="153">
        <f t="shared" si="7"/>
        <v>4462851</v>
      </c>
      <c r="AD17" s="95">
        <f t="shared" si="0"/>
        <v>0</v>
      </c>
      <c r="AE17" s="155">
        <f t="shared" si="8"/>
        <v>0</v>
      </c>
      <c r="AF17" s="187"/>
      <c r="AG17" s="170"/>
      <c r="AH17" s="185"/>
      <c r="AI17" s="192"/>
      <c r="AJ17" s="158">
        <f>[2]MAINTENANCE!AI20</f>
        <v>4266250</v>
      </c>
      <c r="AK17" s="142">
        <f t="shared" si="1"/>
        <v>196600.8</v>
      </c>
      <c r="AL17" s="141">
        <f t="shared" si="6"/>
        <v>4462850.8</v>
      </c>
      <c r="AM17" s="195">
        <f t="shared" si="2"/>
        <v>-0.20000000018626451</v>
      </c>
      <c r="AN17" s="221"/>
      <c r="AO17" s="142"/>
      <c r="AQ17" s="142"/>
    </row>
    <row r="18" spans="2:43" s="27" customFormat="1" ht="20.25" customHeight="1">
      <c r="B18" s="144">
        <v>13</v>
      </c>
      <c r="C18" s="145" t="s">
        <v>91</v>
      </c>
      <c r="D18" s="146" t="s">
        <v>167</v>
      </c>
      <c r="E18" s="147" t="s">
        <v>168</v>
      </c>
      <c r="F18" s="145" t="s">
        <v>169</v>
      </c>
      <c r="G18" s="156" t="s">
        <v>100</v>
      </c>
      <c r="H18" s="148" t="s">
        <v>38</v>
      </c>
      <c r="I18" s="168" t="s">
        <v>7</v>
      </c>
      <c r="J18" s="92" t="str">
        <f t="shared" si="3"/>
        <v>TER A</v>
      </c>
      <c r="K18" s="52">
        <f t="shared" si="4"/>
        <v>4169500</v>
      </c>
      <c r="L18" s="52">
        <f t="shared" si="5"/>
        <v>34120.799999999996</v>
      </c>
      <c r="M18" s="52">
        <f>[2]MAINTENANCE!AN21</f>
        <v>162480</v>
      </c>
      <c r="N18" s="52">
        <f>[2]MAINTENANCE!W21</f>
        <v>69750</v>
      </c>
      <c r="O18" s="150"/>
      <c r="P18" s="52">
        <f>[2]MAINTENANCE!AG21</f>
        <v>0</v>
      </c>
      <c r="Q18" s="150"/>
      <c r="R18" s="150"/>
      <c r="S18" s="150"/>
      <c r="T18" s="150"/>
      <c r="U18" s="150"/>
      <c r="V18" s="150"/>
      <c r="W18" s="150"/>
      <c r="X18" s="150">
        <f>[2]MAINTENANCE!AB21</f>
        <v>27000</v>
      </c>
      <c r="Y18" s="150"/>
      <c r="Z18" s="52">
        <f>-[2]MAINTENANCE!BB21</f>
        <v>0</v>
      </c>
      <c r="AA18" s="52"/>
      <c r="AB18" s="52"/>
      <c r="AC18" s="153">
        <f t="shared" si="7"/>
        <v>4462851</v>
      </c>
      <c r="AD18" s="95">
        <f t="shared" si="0"/>
        <v>0</v>
      </c>
      <c r="AE18" s="155">
        <f t="shared" si="8"/>
        <v>0</v>
      </c>
      <c r="AF18" s="187"/>
      <c r="AG18" s="170"/>
      <c r="AH18" s="185"/>
      <c r="AI18" s="192"/>
      <c r="AJ18" s="158">
        <f>[2]MAINTENANCE!AI21</f>
        <v>4266250</v>
      </c>
      <c r="AK18" s="142">
        <f t="shared" si="1"/>
        <v>196600.8</v>
      </c>
      <c r="AL18" s="141">
        <f t="shared" si="6"/>
        <v>4462850.8</v>
      </c>
      <c r="AM18" s="195">
        <f t="shared" si="2"/>
        <v>-0.20000000018626451</v>
      </c>
      <c r="AN18" s="221"/>
      <c r="AO18" s="142"/>
      <c r="AQ18" s="142"/>
    </row>
    <row r="19" spans="2:43" s="27" customFormat="1" ht="20.25" customHeight="1">
      <c r="B19" s="144">
        <v>14</v>
      </c>
      <c r="C19" s="145" t="s">
        <v>312</v>
      </c>
      <c r="D19" s="146" t="s">
        <v>170</v>
      </c>
      <c r="E19" s="147" t="s">
        <v>171</v>
      </c>
      <c r="F19" s="145" t="s">
        <v>172</v>
      </c>
      <c r="G19" s="156" t="s">
        <v>100</v>
      </c>
      <c r="H19" s="148" t="s">
        <v>38</v>
      </c>
      <c r="I19" s="168" t="s">
        <v>7</v>
      </c>
      <c r="J19" s="92" t="str">
        <f t="shared" si="3"/>
        <v>TER A</v>
      </c>
      <c r="K19" s="52">
        <f t="shared" si="4"/>
        <v>4169500</v>
      </c>
      <c r="L19" s="52">
        <f t="shared" si="5"/>
        <v>34120.799999999996</v>
      </c>
      <c r="M19" s="52">
        <f>[2]MAINTENANCE!AN22</f>
        <v>162480</v>
      </c>
      <c r="N19" s="52">
        <f>[2]MAINTENANCE!W22</f>
        <v>69750</v>
      </c>
      <c r="O19" s="150"/>
      <c r="P19" s="52">
        <f>[2]MAINTENANCE!AG22</f>
        <v>0</v>
      </c>
      <c r="Q19" s="150"/>
      <c r="R19" s="150"/>
      <c r="S19" s="150"/>
      <c r="T19" s="150"/>
      <c r="U19" s="150"/>
      <c r="V19" s="150"/>
      <c r="W19" s="150"/>
      <c r="X19" s="150">
        <f>[2]MAINTENANCE!AB22</f>
        <v>27000</v>
      </c>
      <c r="Y19" s="150"/>
      <c r="Z19" s="52">
        <f>-[2]MAINTENANCE!BB22</f>
        <v>0</v>
      </c>
      <c r="AA19" s="52"/>
      <c r="AB19" s="52"/>
      <c r="AC19" s="153">
        <f t="shared" si="7"/>
        <v>4462851</v>
      </c>
      <c r="AD19" s="95">
        <f t="shared" si="0"/>
        <v>0</v>
      </c>
      <c r="AE19" s="155">
        <f t="shared" si="8"/>
        <v>0</v>
      </c>
      <c r="AF19" s="187"/>
      <c r="AG19" s="170"/>
      <c r="AH19" s="185"/>
      <c r="AI19" s="192"/>
      <c r="AJ19" s="158">
        <f>[2]MAINTENANCE!AI22</f>
        <v>4266250</v>
      </c>
      <c r="AK19" s="142">
        <f t="shared" si="1"/>
        <v>196600.8</v>
      </c>
      <c r="AL19" s="141">
        <f t="shared" si="6"/>
        <v>4462850.8</v>
      </c>
      <c r="AM19" s="195">
        <f t="shared" si="2"/>
        <v>-0.20000000018626451</v>
      </c>
      <c r="AN19" s="221"/>
      <c r="AO19" s="142"/>
      <c r="AQ19" s="142"/>
    </row>
    <row r="20" spans="2:43" s="27" customFormat="1" ht="20.25" customHeight="1">
      <c r="B20" s="144">
        <v>15</v>
      </c>
      <c r="C20" s="145" t="s">
        <v>92</v>
      </c>
      <c r="D20" s="146" t="s">
        <v>173</v>
      </c>
      <c r="E20" s="147" t="s">
        <v>174</v>
      </c>
      <c r="F20" s="145" t="s">
        <v>175</v>
      </c>
      <c r="G20" s="156" t="s">
        <v>100</v>
      </c>
      <c r="H20" s="148" t="s">
        <v>38</v>
      </c>
      <c r="I20" s="168" t="s">
        <v>7</v>
      </c>
      <c r="J20" s="92" t="str">
        <f t="shared" si="3"/>
        <v>TER A</v>
      </c>
      <c r="K20" s="52">
        <f t="shared" si="4"/>
        <v>4169500</v>
      </c>
      <c r="L20" s="52">
        <f t="shared" si="5"/>
        <v>34200.6</v>
      </c>
      <c r="M20" s="52">
        <f>[2]MAINTENANCE!AN23</f>
        <v>162860</v>
      </c>
      <c r="N20" s="52">
        <f>[2]MAINTENANCE!W23</f>
        <v>60750</v>
      </c>
      <c r="O20" s="150"/>
      <c r="P20" s="52">
        <f>[2]MAINTENANCE!AG23</f>
        <v>0</v>
      </c>
      <c r="Q20" s="150"/>
      <c r="R20" s="150"/>
      <c r="S20" s="150"/>
      <c r="T20" s="150"/>
      <c r="U20" s="150"/>
      <c r="V20" s="150"/>
      <c r="W20" s="150"/>
      <c r="X20" s="150">
        <f>[2]MAINTENANCE!AB23</f>
        <v>36500</v>
      </c>
      <c r="Y20" s="150"/>
      <c r="Z20" s="52">
        <f>-[2]MAINTENANCE!BB23</f>
        <v>-538000</v>
      </c>
      <c r="AA20" s="52"/>
      <c r="AB20" s="52"/>
      <c r="AC20" s="153">
        <f t="shared" si="7"/>
        <v>3925811</v>
      </c>
      <c r="AD20" s="95">
        <f t="shared" si="0"/>
        <v>0</v>
      </c>
      <c r="AE20" s="155">
        <f t="shared" si="8"/>
        <v>0</v>
      </c>
      <c r="AF20" s="187"/>
      <c r="AG20" s="170"/>
      <c r="AH20" s="185"/>
      <c r="AI20" s="192"/>
      <c r="AJ20" s="158">
        <f>[2]MAINTENANCE!AI23</f>
        <v>3728750</v>
      </c>
      <c r="AK20" s="142">
        <f t="shared" si="1"/>
        <v>197060.6</v>
      </c>
      <c r="AL20" s="141">
        <f t="shared" si="6"/>
        <v>3925810.6</v>
      </c>
      <c r="AM20" s="195">
        <f t="shared" si="2"/>
        <v>-0.39999999990686774</v>
      </c>
      <c r="AN20" s="221"/>
      <c r="AO20" s="142"/>
      <c r="AQ20" s="142"/>
    </row>
    <row r="21" spans="2:43" s="27" customFormat="1" ht="20.25" customHeight="1">
      <c r="B21" s="144">
        <v>16</v>
      </c>
      <c r="C21" s="145" t="s">
        <v>313</v>
      </c>
      <c r="D21" s="146" t="s">
        <v>176</v>
      </c>
      <c r="E21" s="147" t="s">
        <v>177</v>
      </c>
      <c r="F21" s="145" t="s">
        <v>178</v>
      </c>
      <c r="G21" s="156" t="s">
        <v>100</v>
      </c>
      <c r="H21" s="148" t="s">
        <v>39</v>
      </c>
      <c r="I21" s="168" t="s">
        <v>11</v>
      </c>
      <c r="J21" s="92" t="str">
        <f t="shared" si="3"/>
        <v>TER B</v>
      </c>
      <c r="K21" s="52">
        <f t="shared" si="4"/>
        <v>4169500</v>
      </c>
      <c r="L21" s="52">
        <f t="shared" si="5"/>
        <v>34120.799999999996</v>
      </c>
      <c r="M21" s="52">
        <f>[2]MAINTENANCE!AN24</f>
        <v>162480</v>
      </c>
      <c r="N21" s="52">
        <f>[2]MAINTENANCE!W24</f>
        <v>172050</v>
      </c>
      <c r="O21" s="150"/>
      <c r="P21" s="52">
        <f>[2]MAINTENANCE!AG24</f>
        <v>104955</v>
      </c>
      <c r="Q21" s="150"/>
      <c r="R21" s="150"/>
      <c r="S21" s="150"/>
      <c r="T21" s="150"/>
      <c r="U21" s="150"/>
      <c r="V21" s="150"/>
      <c r="W21" s="150"/>
      <c r="X21" s="150">
        <f>[2]MAINTENANCE!AB24</f>
        <v>27000</v>
      </c>
      <c r="Y21" s="150"/>
      <c r="Z21" s="52">
        <f>-[2]MAINTENANCE!BB24</f>
        <v>0</v>
      </c>
      <c r="AA21" s="52"/>
      <c r="AB21" s="52"/>
      <c r="AC21" s="153">
        <f t="shared" si="7"/>
        <v>4670106</v>
      </c>
      <c r="AD21" s="95">
        <f t="shared" si="0"/>
        <v>0</v>
      </c>
      <c r="AE21" s="155">
        <f t="shared" si="8"/>
        <v>0</v>
      </c>
      <c r="AF21" s="187"/>
      <c r="AG21" s="170"/>
      <c r="AH21" s="185"/>
      <c r="AI21" s="192"/>
      <c r="AJ21" s="158">
        <f>[2]MAINTENANCE!AI24</f>
        <v>4473505</v>
      </c>
      <c r="AK21" s="142">
        <f t="shared" si="1"/>
        <v>196600.8</v>
      </c>
      <c r="AL21" s="141">
        <f t="shared" si="6"/>
        <v>4670105.8</v>
      </c>
      <c r="AM21" s="195">
        <f t="shared" si="2"/>
        <v>-0.20000000018626451</v>
      </c>
      <c r="AN21" s="221"/>
      <c r="AO21" s="142"/>
      <c r="AQ21" s="142"/>
    </row>
    <row r="22" spans="2:43" s="214" customFormat="1" ht="20.25" customHeight="1">
      <c r="B22" s="144">
        <v>17</v>
      </c>
      <c r="C22" s="165" t="s">
        <v>93</v>
      </c>
      <c r="D22" s="205" t="s">
        <v>191</v>
      </c>
      <c r="E22" s="147" t="s">
        <v>180</v>
      </c>
      <c r="F22" s="165" t="s">
        <v>192</v>
      </c>
      <c r="G22" s="156" t="s">
        <v>100</v>
      </c>
      <c r="H22" s="207" t="s">
        <v>39</v>
      </c>
      <c r="I22" s="168" t="s">
        <v>17</v>
      </c>
      <c r="J22" s="92" t="str">
        <f t="shared" si="3"/>
        <v>TER A</v>
      </c>
      <c r="K22" s="52">
        <f t="shared" si="4"/>
        <v>4169500</v>
      </c>
      <c r="L22" s="52">
        <f t="shared" si="5"/>
        <v>34318.199999999997</v>
      </c>
      <c r="M22" s="52">
        <f>[2]MAINTENANCE!AN25</f>
        <v>163420</v>
      </c>
      <c r="N22" s="52">
        <f>[2]MAINTENANCE!W25</f>
        <v>111000</v>
      </c>
      <c r="O22" s="150"/>
      <c r="P22" s="52">
        <f>[2]MAINTENANCE!AG25</f>
        <v>734688</v>
      </c>
      <c r="Q22" s="150"/>
      <c r="R22" s="150"/>
      <c r="S22" s="150"/>
      <c r="T22" s="150"/>
      <c r="U22" s="150"/>
      <c r="V22" s="150"/>
      <c r="W22" s="150"/>
      <c r="X22" s="150">
        <f>[2]MAINTENANCE!AB25</f>
        <v>50500</v>
      </c>
      <c r="Y22" s="150"/>
      <c r="Z22" s="52">
        <f>-[2]MAINTENANCE!BB25</f>
        <v>-134500</v>
      </c>
      <c r="AA22" s="52"/>
      <c r="AB22" s="52"/>
      <c r="AC22" s="153">
        <f t="shared" si="7"/>
        <v>5128926</v>
      </c>
      <c r="AD22" s="95">
        <f t="shared" si="0"/>
        <v>0</v>
      </c>
      <c r="AE22" s="155">
        <f t="shared" si="8"/>
        <v>0</v>
      </c>
      <c r="AF22" s="208"/>
      <c r="AG22" s="209"/>
      <c r="AH22" s="210"/>
      <c r="AI22" s="211"/>
      <c r="AJ22" s="158">
        <f>[2]MAINTENANCE!AI25</f>
        <v>4931188</v>
      </c>
      <c r="AK22" s="212">
        <f t="shared" si="1"/>
        <v>197738.2</v>
      </c>
      <c r="AL22" s="213">
        <f t="shared" si="6"/>
        <v>5128926.2</v>
      </c>
      <c r="AM22" s="195">
        <f t="shared" si="2"/>
        <v>0.20000000018626451</v>
      </c>
      <c r="AN22" s="221"/>
      <c r="AO22" s="212"/>
      <c r="AQ22" s="212"/>
    </row>
    <row r="23" spans="2:43" s="27" customFormat="1" ht="20.25" customHeight="1">
      <c r="B23" s="144">
        <v>18</v>
      </c>
      <c r="C23" s="145" t="s">
        <v>94</v>
      </c>
      <c r="D23" s="48" t="s">
        <v>179</v>
      </c>
      <c r="E23" s="49" t="s">
        <v>180</v>
      </c>
      <c r="F23" s="47" t="s">
        <v>181</v>
      </c>
      <c r="G23" s="156" t="s">
        <v>100</v>
      </c>
      <c r="H23" s="50" t="s">
        <v>39</v>
      </c>
      <c r="I23" s="167" t="s">
        <v>7</v>
      </c>
      <c r="J23" s="92" t="str">
        <f t="shared" si="3"/>
        <v>TER A</v>
      </c>
      <c r="K23" s="52">
        <f t="shared" si="4"/>
        <v>4169500</v>
      </c>
      <c r="L23" s="52">
        <f t="shared" si="5"/>
        <v>34200.6</v>
      </c>
      <c r="M23" s="52">
        <f>[2]MAINTENANCE!AN26</f>
        <v>162860</v>
      </c>
      <c r="N23" s="52">
        <f>[2]MAINTENANCE!W26</f>
        <v>67500</v>
      </c>
      <c r="O23" s="52"/>
      <c r="P23" s="52">
        <f>[2]MAINTENANCE!AG26</f>
        <v>34985</v>
      </c>
      <c r="Q23" s="52"/>
      <c r="R23" s="52"/>
      <c r="S23" s="52"/>
      <c r="T23" s="52"/>
      <c r="U23" s="52"/>
      <c r="V23" s="52"/>
      <c r="W23" s="52"/>
      <c r="X23" s="150">
        <f>[2]MAINTENANCE!AB26</f>
        <v>36500</v>
      </c>
      <c r="Y23" s="52"/>
      <c r="Z23" s="52">
        <f>-[2]MAINTENANCE!BB26</f>
        <v>-134500</v>
      </c>
      <c r="AA23" s="52"/>
      <c r="AB23" s="52"/>
      <c r="AC23" s="153">
        <f t="shared" si="7"/>
        <v>4371046</v>
      </c>
      <c r="AD23" s="95">
        <f t="shared" si="0"/>
        <v>0</v>
      </c>
      <c r="AE23" s="155">
        <f t="shared" si="8"/>
        <v>0</v>
      </c>
      <c r="AF23" s="187"/>
      <c r="AG23" s="170"/>
      <c r="AH23" s="185"/>
      <c r="AI23" s="192"/>
      <c r="AJ23" s="158">
        <f>[2]MAINTENANCE!AI26</f>
        <v>4173985</v>
      </c>
      <c r="AK23" s="142">
        <f t="shared" si="1"/>
        <v>197060.6</v>
      </c>
      <c r="AL23" s="141">
        <f t="shared" si="6"/>
        <v>4371045.5999999996</v>
      </c>
      <c r="AM23" s="195">
        <f t="shared" si="2"/>
        <v>-0.40000000037252903</v>
      </c>
      <c r="AN23" s="221"/>
      <c r="AO23" s="142"/>
      <c r="AQ23" s="142"/>
    </row>
    <row r="24" spans="2:43" s="27" customFormat="1" ht="20.25" customHeight="1">
      <c r="B24" s="144">
        <v>19</v>
      </c>
      <c r="C24" s="145" t="s">
        <v>95</v>
      </c>
      <c r="D24" s="48" t="s">
        <v>185</v>
      </c>
      <c r="E24" s="49" t="s">
        <v>186</v>
      </c>
      <c r="F24" s="47" t="s">
        <v>187</v>
      </c>
      <c r="G24" s="156" t="s">
        <v>100</v>
      </c>
      <c r="H24" s="50" t="s">
        <v>38</v>
      </c>
      <c r="I24" s="167" t="s">
        <v>7</v>
      </c>
      <c r="J24" s="92" t="str">
        <f t="shared" si="3"/>
        <v>TER A</v>
      </c>
      <c r="K24" s="52">
        <f t="shared" si="4"/>
        <v>4169500</v>
      </c>
      <c r="L24" s="52">
        <f t="shared" si="5"/>
        <v>34120.799999999996</v>
      </c>
      <c r="M24" s="52">
        <f>[2]MAINTENANCE!AN27</f>
        <v>162480</v>
      </c>
      <c r="N24" s="52">
        <f>[2]MAINTENANCE!W27</f>
        <v>69750</v>
      </c>
      <c r="O24" s="52"/>
      <c r="P24" s="52">
        <f>[2]MAINTENANCE!AG27</f>
        <v>0</v>
      </c>
      <c r="Q24" s="52"/>
      <c r="R24" s="52"/>
      <c r="S24" s="52"/>
      <c r="T24" s="52"/>
      <c r="U24" s="52"/>
      <c r="V24" s="52"/>
      <c r="W24" s="52"/>
      <c r="X24" s="150">
        <f>[2]MAINTENANCE!AB27</f>
        <v>27000</v>
      </c>
      <c r="Y24" s="52"/>
      <c r="Z24" s="52">
        <f>-[2]MAINTENANCE!BB27</f>
        <v>0</v>
      </c>
      <c r="AA24" s="52"/>
      <c r="AB24" s="52"/>
      <c r="AC24" s="153">
        <f t="shared" si="7"/>
        <v>4462851</v>
      </c>
      <c r="AD24" s="95">
        <f t="shared" si="0"/>
        <v>0</v>
      </c>
      <c r="AE24" s="155">
        <f t="shared" si="8"/>
        <v>0</v>
      </c>
      <c r="AF24" s="187"/>
      <c r="AG24" s="170"/>
      <c r="AH24" s="185"/>
      <c r="AI24" s="192"/>
      <c r="AJ24" s="158">
        <f>[2]MAINTENANCE!AI27</f>
        <v>4266250</v>
      </c>
      <c r="AK24" s="142">
        <f t="shared" si="1"/>
        <v>196600.8</v>
      </c>
      <c r="AL24" s="141">
        <f t="shared" si="6"/>
        <v>4462850.8</v>
      </c>
      <c r="AM24" s="195">
        <f t="shared" si="2"/>
        <v>-0.20000000018626451</v>
      </c>
      <c r="AN24" s="221"/>
      <c r="AO24" s="142"/>
      <c r="AQ24" s="142"/>
    </row>
    <row r="25" spans="2:43" s="27" customFormat="1" ht="20.25" customHeight="1">
      <c r="B25" s="144">
        <v>20</v>
      </c>
      <c r="C25" s="145" t="s">
        <v>96</v>
      </c>
      <c r="D25" s="48" t="s">
        <v>188</v>
      </c>
      <c r="E25" s="49" t="s">
        <v>189</v>
      </c>
      <c r="F25" s="47" t="s">
        <v>190</v>
      </c>
      <c r="G25" s="156" t="s">
        <v>100</v>
      </c>
      <c r="H25" s="50" t="s">
        <v>38</v>
      </c>
      <c r="I25" s="167" t="s">
        <v>7</v>
      </c>
      <c r="J25" s="92" t="str">
        <f>IF(ISBLANK(I25),"",IF(OR(I25="TK/0",I25="TK/1",I25="K/0"),"TER A",IF(I25="K/3","TER C","TER B")))</f>
        <v>TER A</v>
      </c>
      <c r="K25" s="52">
        <f t="shared" si="4"/>
        <v>4169500</v>
      </c>
      <c r="L25" s="52">
        <f t="shared" si="5"/>
        <v>34146</v>
      </c>
      <c r="M25" s="52">
        <f>[2]MAINTENANCE!AN28</f>
        <v>162600</v>
      </c>
      <c r="N25" s="52">
        <f>[2]MAINTENANCE!W28</f>
        <v>67500</v>
      </c>
      <c r="O25" s="52"/>
      <c r="P25" s="52">
        <f>[2]MAINTENANCE!AG28</f>
        <v>0</v>
      </c>
      <c r="Q25" s="52"/>
      <c r="R25" s="52"/>
      <c r="S25" s="52"/>
      <c r="T25" s="52"/>
      <c r="U25" s="52"/>
      <c r="V25" s="52"/>
      <c r="W25" s="52"/>
      <c r="X25" s="150">
        <f>[2]MAINTENANCE!AB28</f>
        <v>30000</v>
      </c>
      <c r="Y25" s="52"/>
      <c r="Z25" s="52">
        <f>-[2]MAINTENANCE!BB28</f>
        <v>-134500</v>
      </c>
      <c r="AA25" s="52"/>
      <c r="AB25" s="52"/>
      <c r="AC25" s="153">
        <f t="shared" si="7"/>
        <v>4329246</v>
      </c>
      <c r="AD25" s="95">
        <f>IF(J25="TER A",VLOOKUP(AC25,Ter_A,4,TRUE),IF(J25="TER B",VLOOKUP(AC25,Ter_B,4,TRUE),VLOOKUP(AC25,Ter_C,4,TRUE)))</f>
        <v>0</v>
      </c>
      <c r="AE25" s="155">
        <f t="shared" si="8"/>
        <v>0</v>
      </c>
      <c r="AF25" s="187"/>
      <c r="AG25" s="170"/>
      <c r="AH25" s="185"/>
      <c r="AI25" s="192"/>
      <c r="AJ25" s="158">
        <f>[2]MAINTENANCE!AI28</f>
        <v>4132500</v>
      </c>
      <c r="AK25" s="142">
        <f t="shared" si="1"/>
        <v>196746</v>
      </c>
      <c r="AL25" s="141">
        <f>AJ25+AK25</f>
        <v>4329246</v>
      </c>
      <c r="AM25" s="195">
        <f t="shared" si="2"/>
        <v>0</v>
      </c>
      <c r="AN25" s="221"/>
      <c r="AO25" s="142"/>
      <c r="AQ25" s="142"/>
    </row>
    <row r="26" spans="2:43" s="27" customFormat="1" ht="20.25" customHeight="1">
      <c r="B26" s="144">
        <v>21</v>
      </c>
      <c r="C26" s="145" t="s">
        <v>97</v>
      </c>
      <c r="D26" s="48" t="s">
        <v>182</v>
      </c>
      <c r="E26" s="49" t="s">
        <v>183</v>
      </c>
      <c r="F26" s="47" t="s">
        <v>184</v>
      </c>
      <c r="G26" s="156" t="s">
        <v>100</v>
      </c>
      <c r="H26" s="50" t="s">
        <v>39</v>
      </c>
      <c r="I26" s="167" t="s">
        <v>11</v>
      </c>
      <c r="J26" s="92" t="str">
        <f t="shared" si="3"/>
        <v>TER B</v>
      </c>
      <c r="K26" s="52">
        <f t="shared" si="4"/>
        <v>4169500</v>
      </c>
      <c r="L26" s="52">
        <f t="shared" si="5"/>
        <v>34377</v>
      </c>
      <c r="M26" s="52">
        <f>[2]MAINTENANCE!AN29</f>
        <v>163700</v>
      </c>
      <c r="N26" s="52">
        <f>[2]MAINTENANCE!W29</f>
        <v>134850</v>
      </c>
      <c r="O26" s="52"/>
      <c r="P26" s="52">
        <f>[2]MAINTENANCE!AG29</f>
        <v>0</v>
      </c>
      <c r="Q26" s="52"/>
      <c r="R26" s="52"/>
      <c r="S26" s="52"/>
      <c r="T26" s="52"/>
      <c r="U26" s="52"/>
      <c r="V26" s="52"/>
      <c r="W26" s="52"/>
      <c r="X26" s="150">
        <f>[2]MAINTENANCE!AB29</f>
        <v>57500</v>
      </c>
      <c r="Y26" s="52"/>
      <c r="Z26" s="52">
        <f>-[2]MAINTENANCE!BB29</f>
        <v>-269000</v>
      </c>
      <c r="AA26" s="52"/>
      <c r="AB26" s="52"/>
      <c r="AC26" s="153">
        <f t="shared" si="7"/>
        <v>4290927</v>
      </c>
      <c r="AD26" s="95">
        <f t="shared" si="0"/>
        <v>0</v>
      </c>
      <c r="AE26" s="155">
        <f t="shared" si="8"/>
        <v>0</v>
      </c>
      <c r="AF26" s="187"/>
      <c r="AG26" s="170"/>
      <c r="AH26" s="185"/>
      <c r="AI26" s="192"/>
      <c r="AJ26" s="158">
        <f>[2]MAINTENANCE!AI29</f>
        <v>4092850</v>
      </c>
      <c r="AK26" s="142">
        <f t="shared" si="1"/>
        <v>198077</v>
      </c>
      <c r="AL26" s="141">
        <f t="shared" si="6"/>
        <v>4290927</v>
      </c>
      <c r="AM26" s="195">
        <f t="shared" si="2"/>
        <v>0</v>
      </c>
      <c r="AN26" s="221"/>
      <c r="AO26" s="142"/>
      <c r="AQ26" s="142"/>
    </row>
    <row r="27" spans="2:43" s="27" customFormat="1" ht="20.25" customHeight="1">
      <c r="B27" s="144">
        <v>22</v>
      </c>
      <c r="C27" s="145" t="s">
        <v>193</v>
      </c>
      <c r="D27" s="48" t="s">
        <v>224</v>
      </c>
      <c r="E27" s="49" t="s">
        <v>225</v>
      </c>
      <c r="F27" s="47" t="s">
        <v>226</v>
      </c>
      <c r="G27" s="156" t="s">
        <v>117</v>
      </c>
      <c r="H27" s="50" t="s">
        <v>39</v>
      </c>
      <c r="I27" s="167" t="s">
        <v>9</v>
      </c>
      <c r="J27" s="92" t="str">
        <f t="shared" si="3"/>
        <v>TER B</v>
      </c>
      <c r="K27" s="52">
        <f t="shared" si="4"/>
        <v>4169500</v>
      </c>
      <c r="L27" s="52">
        <f t="shared" si="5"/>
        <v>34641.599999999999</v>
      </c>
      <c r="M27" s="52">
        <f>'[2]HARVESTING '!AQ11</f>
        <v>164960</v>
      </c>
      <c r="N27" s="150">
        <f>'[2]HARVESTING '!U11</f>
        <v>144150</v>
      </c>
      <c r="O27" s="52">
        <f>'[2]HARVESTING '!X11</f>
        <v>80500</v>
      </c>
      <c r="P27" s="150">
        <f>'[2]HARVESTING '!AE11</f>
        <v>0</v>
      </c>
      <c r="Q27" s="52"/>
      <c r="R27" s="52"/>
      <c r="S27" s="52"/>
      <c r="T27" s="52"/>
      <c r="U27" s="52"/>
      <c r="V27" s="52">
        <f>'[2]HARVESTING '!AG11</f>
        <v>1324000</v>
      </c>
      <c r="W27" s="52"/>
      <c r="X27" s="150">
        <f>'[2]HARVESTING '!Z11</f>
        <v>89000</v>
      </c>
      <c r="Y27" s="52"/>
      <c r="Z27" s="52">
        <f>-'[2]HARVESTING '!BD11</f>
        <v>0</v>
      </c>
      <c r="AA27" s="52"/>
      <c r="AB27" s="52"/>
      <c r="AC27" s="153">
        <f t="shared" si="7"/>
        <v>6006752</v>
      </c>
      <c r="AD27" s="95">
        <f t="shared" si="0"/>
        <v>0</v>
      </c>
      <c r="AE27" s="155">
        <f t="shared" si="8"/>
        <v>0</v>
      </c>
      <c r="AF27" s="187"/>
      <c r="AG27" s="170"/>
      <c r="AH27" s="185"/>
      <c r="AI27" s="192"/>
      <c r="AJ27" s="158">
        <f>'[2]HARVESTING '!AL11</f>
        <v>5807150</v>
      </c>
      <c r="AK27" s="142">
        <f>L27+M27</f>
        <v>199601.6</v>
      </c>
      <c r="AL27" s="141">
        <f t="shared" si="6"/>
        <v>6006751.5999999996</v>
      </c>
      <c r="AM27" s="195">
        <f t="shared" si="2"/>
        <v>-0.40000000037252903</v>
      </c>
      <c r="AN27" s="221"/>
      <c r="AO27" s="142"/>
      <c r="AQ27" s="142"/>
    </row>
    <row r="28" spans="2:43" s="214" customFormat="1" ht="20.25" customHeight="1">
      <c r="B28" s="144">
        <v>23</v>
      </c>
      <c r="C28" s="165" t="s">
        <v>194</v>
      </c>
      <c r="D28" s="215" t="s">
        <v>227</v>
      </c>
      <c r="E28" s="49" t="s">
        <v>228</v>
      </c>
      <c r="F28" s="216" t="s">
        <v>229</v>
      </c>
      <c r="G28" s="206" t="s">
        <v>315</v>
      </c>
      <c r="H28" s="217" t="s">
        <v>38</v>
      </c>
      <c r="I28" s="167" t="s">
        <v>7</v>
      </c>
      <c r="J28" s="92" t="str">
        <f t="shared" si="3"/>
        <v>TER A</v>
      </c>
      <c r="K28" s="52">
        <f t="shared" si="4"/>
        <v>4169500</v>
      </c>
      <c r="L28" s="52">
        <f t="shared" si="5"/>
        <v>34347.599999999999</v>
      </c>
      <c r="M28" s="52">
        <f>'[2]HARVESTING '!AQ12</f>
        <v>163560</v>
      </c>
      <c r="N28" s="150">
        <f>'[2]HARVESTING '!U12</f>
        <v>67500</v>
      </c>
      <c r="O28" s="52">
        <f>'[2]HARVESTING '!X12</f>
        <v>55000</v>
      </c>
      <c r="P28" s="150">
        <f>'[2]HARVESTING '!AE12</f>
        <v>0</v>
      </c>
      <c r="Q28" s="52"/>
      <c r="R28" s="52"/>
      <c r="S28" s="52"/>
      <c r="T28" s="52"/>
      <c r="U28" s="52"/>
      <c r="V28" s="52">
        <f>'[2]HARVESTING '!AG12</f>
        <v>1206000</v>
      </c>
      <c r="W28" s="52"/>
      <c r="X28" s="150">
        <f>'[2]HARVESTING '!Z12</f>
        <v>54000</v>
      </c>
      <c r="Y28" s="52"/>
      <c r="Z28" s="52">
        <f>-'[2]HARVESTING '!BD12</f>
        <v>-134500</v>
      </c>
      <c r="AA28" s="52"/>
      <c r="AB28" s="52"/>
      <c r="AC28" s="153">
        <f t="shared" si="7"/>
        <v>5615408</v>
      </c>
      <c r="AD28" s="95">
        <f t="shared" si="0"/>
        <v>2.5000000000000001E-3</v>
      </c>
      <c r="AE28" s="155">
        <f t="shared" si="8"/>
        <v>14039</v>
      </c>
      <c r="AF28" s="208"/>
      <c r="AG28" s="209"/>
      <c r="AH28" s="210"/>
      <c r="AI28" s="211"/>
      <c r="AJ28" s="158">
        <f>'[2]HARVESTING '!AL12</f>
        <v>5417500</v>
      </c>
      <c r="AK28" s="212">
        <f t="shared" si="1"/>
        <v>197907.6</v>
      </c>
      <c r="AL28" s="213">
        <f t="shared" si="6"/>
        <v>5615407.5999999996</v>
      </c>
      <c r="AM28" s="195">
        <f t="shared" si="2"/>
        <v>-0.40000000037252903</v>
      </c>
      <c r="AN28" s="221"/>
      <c r="AO28" s="212"/>
      <c r="AQ28" s="212"/>
    </row>
    <row r="29" spans="2:43" s="27" customFormat="1" ht="20.25" customHeight="1">
      <c r="B29" s="144">
        <v>24</v>
      </c>
      <c r="C29" s="145" t="s">
        <v>79</v>
      </c>
      <c r="D29" s="48" t="s">
        <v>263</v>
      </c>
      <c r="E29" s="49" t="s">
        <v>264</v>
      </c>
      <c r="F29" s="47" t="s">
        <v>265</v>
      </c>
      <c r="G29" s="156" t="s">
        <v>315</v>
      </c>
      <c r="H29" s="50" t="s">
        <v>38</v>
      </c>
      <c r="I29" s="167" t="s">
        <v>7</v>
      </c>
      <c r="J29" s="92" t="str">
        <f t="shared" si="3"/>
        <v>TER A</v>
      </c>
      <c r="K29" s="52">
        <f t="shared" si="4"/>
        <v>4169500</v>
      </c>
      <c r="L29" s="52">
        <f t="shared" si="5"/>
        <v>34171.199999999997</v>
      </c>
      <c r="M29" s="52">
        <f>'[2]HARVESTING '!AQ13</f>
        <v>162720</v>
      </c>
      <c r="N29" s="150">
        <f>'[2]HARVESTING '!U13</f>
        <v>69750</v>
      </c>
      <c r="O29" s="52">
        <f>'[2]HARVESTING '!X13</f>
        <v>55000</v>
      </c>
      <c r="P29" s="150">
        <f>'[2]HARVESTING '!AE13</f>
        <v>1714273</v>
      </c>
      <c r="Q29" s="52"/>
      <c r="R29" s="52"/>
      <c r="S29" s="52"/>
      <c r="T29" s="52"/>
      <c r="U29" s="52"/>
      <c r="V29" s="52">
        <f>'[2]HARVESTING '!AG13</f>
        <v>425000</v>
      </c>
      <c r="W29" s="52"/>
      <c r="X29" s="150">
        <f>'[2]HARVESTING '!Z13</f>
        <v>33000</v>
      </c>
      <c r="Y29" s="52"/>
      <c r="Z29" s="52">
        <f>-'[2]HARVESTING '!BD13</f>
        <v>0</v>
      </c>
      <c r="AA29" s="52"/>
      <c r="AB29" s="52"/>
      <c r="AC29" s="153">
        <f t="shared" si="7"/>
        <v>6663414</v>
      </c>
      <c r="AD29" s="95">
        <f t="shared" si="0"/>
        <v>0.01</v>
      </c>
      <c r="AE29" s="155">
        <f t="shared" si="8"/>
        <v>66634</v>
      </c>
      <c r="AF29" s="187"/>
      <c r="AG29" s="170"/>
      <c r="AH29" s="189"/>
      <c r="AI29" s="193"/>
      <c r="AJ29" s="158">
        <f>'[2]HARVESTING '!AL13</f>
        <v>6466523</v>
      </c>
      <c r="AK29" s="142">
        <f t="shared" si="1"/>
        <v>196891.2</v>
      </c>
      <c r="AL29" s="141">
        <f>AJ29+AK29</f>
        <v>6663414.2000000002</v>
      </c>
      <c r="AM29" s="195">
        <f>AL29-AC29</f>
        <v>0.20000000018626451</v>
      </c>
      <c r="AN29" s="221"/>
      <c r="AO29" s="142"/>
      <c r="AQ29" s="142"/>
    </row>
    <row r="30" spans="2:43" s="27" customFormat="1" ht="20.25" customHeight="1">
      <c r="B30" s="144">
        <v>25</v>
      </c>
      <c r="C30" s="145" t="s">
        <v>212</v>
      </c>
      <c r="D30" s="48" t="s">
        <v>268</v>
      </c>
      <c r="E30" s="49" t="s">
        <v>189</v>
      </c>
      <c r="F30" s="47" t="s">
        <v>269</v>
      </c>
      <c r="G30" s="156" t="s">
        <v>316</v>
      </c>
      <c r="H30" s="50" t="s">
        <v>39</v>
      </c>
      <c r="I30" s="167" t="s">
        <v>9</v>
      </c>
      <c r="J30" s="92" t="str">
        <f t="shared" si="3"/>
        <v>TER B</v>
      </c>
      <c r="K30" s="52">
        <f t="shared" si="4"/>
        <v>4169500</v>
      </c>
      <c r="L30" s="52">
        <f t="shared" si="5"/>
        <v>34095.599999999999</v>
      </c>
      <c r="M30" s="52">
        <f>'[2]HARVESTING '!AQ14</f>
        <v>162360</v>
      </c>
      <c r="N30" s="150">
        <f>'[2]HARVESTING '!U14</f>
        <v>144150</v>
      </c>
      <c r="O30" s="52"/>
      <c r="P30" s="150">
        <f>'[2]HARVESTING '!AE14</f>
        <v>0</v>
      </c>
      <c r="Q30" s="52"/>
      <c r="R30" s="52">
        <f>'[2]HARVESTING '!AA14</f>
        <v>546650</v>
      </c>
      <c r="S30" s="52">
        <f>'[2]HARVESTING '!AC14</f>
        <v>190215</v>
      </c>
      <c r="T30" s="52">
        <f>'[2]HARVESTING '!AD14</f>
        <v>327250</v>
      </c>
      <c r="U30" s="52"/>
      <c r="V30" s="52"/>
      <c r="W30" s="52"/>
      <c r="X30" s="150">
        <f>'[2]HARVESTING '!Z14</f>
        <v>24000</v>
      </c>
      <c r="Y30" s="52">
        <f>-'[2]HARVESTING '!AH14</f>
        <v>0</v>
      </c>
      <c r="Z30" s="52">
        <f>-'[2]HARVESTING '!BD14</f>
        <v>0</v>
      </c>
      <c r="AA30" s="52"/>
      <c r="AB30" s="52"/>
      <c r="AC30" s="153">
        <f t="shared" si="7"/>
        <v>5598221</v>
      </c>
      <c r="AD30" s="95">
        <f t="shared" si="0"/>
        <v>0</v>
      </c>
      <c r="AE30" s="155">
        <f t="shared" si="8"/>
        <v>0</v>
      </c>
      <c r="AF30" s="187"/>
      <c r="AG30" s="170"/>
      <c r="AH30" s="189"/>
      <c r="AI30" s="193"/>
      <c r="AJ30" s="158">
        <f>'[2]HARVESTING '!AL14</f>
        <v>5401765</v>
      </c>
      <c r="AK30" s="142">
        <f>L30+M30</f>
        <v>196455.6</v>
      </c>
      <c r="AL30" s="141">
        <f>AJ30+AK30</f>
        <v>5598220.5999999996</v>
      </c>
      <c r="AM30" s="195">
        <f>AL30-AC30</f>
        <v>-0.40000000037252903</v>
      </c>
      <c r="AN30" s="221"/>
      <c r="AO30" s="142"/>
      <c r="AQ30" s="142"/>
    </row>
    <row r="31" spans="2:43" s="27" customFormat="1" ht="20.25" customHeight="1">
      <c r="B31" s="144">
        <v>26</v>
      </c>
      <c r="C31" s="145" t="s">
        <v>195</v>
      </c>
      <c r="D31" s="48" t="s">
        <v>230</v>
      </c>
      <c r="E31" s="49" t="s">
        <v>189</v>
      </c>
      <c r="F31" s="47" t="s">
        <v>231</v>
      </c>
      <c r="G31" s="156" t="s">
        <v>316</v>
      </c>
      <c r="H31" s="50" t="s">
        <v>39</v>
      </c>
      <c r="I31" s="167" t="s">
        <v>9</v>
      </c>
      <c r="J31" s="92" t="str">
        <f t="shared" si="3"/>
        <v>TER B</v>
      </c>
      <c r="K31" s="52">
        <f t="shared" si="4"/>
        <v>4169500</v>
      </c>
      <c r="L31" s="52">
        <f t="shared" si="5"/>
        <v>34120.799999999996</v>
      </c>
      <c r="M31" s="52">
        <f>'[2]HARVESTING '!AQ15</f>
        <v>162480</v>
      </c>
      <c r="N31" s="150">
        <f>'[2]HARVESTING '!U15</f>
        <v>130200</v>
      </c>
      <c r="O31" s="52"/>
      <c r="P31" s="150">
        <f>'[2]HARVESTING '!AE15</f>
        <v>0</v>
      </c>
      <c r="Q31" s="52"/>
      <c r="R31" s="52">
        <f>'[2]HARVESTING '!AA15</f>
        <v>219700</v>
      </c>
      <c r="S31" s="52">
        <f>'[2]HARVESTING '!AC15</f>
        <v>190215</v>
      </c>
      <c r="T31" s="52">
        <f>'[2]HARVESTING '!AD15</f>
        <v>248500</v>
      </c>
      <c r="U31" s="52"/>
      <c r="V31" s="52"/>
      <c r="W31" s="52"/>
      <c r="X31" s="150">
        <f>'[2]HARVESTING '!Z15</f>
        <v>27000</v>
      </c>
      <c r="Y31" s="52">
        <f>-'[2]HARVESTING '!AH15</f>
        <v>0</v>
      </c>
      <c r="Z31" s="52">
        <f>-'[2]HARVESTING '!BD15</f>
        <v>0</v>
      </c>
      <c r="AA31" s="52"/>
      <c r="AB31" s="52"/>
      <c r="AC31" s="153">
        <f t="shared" si="7"/>
        <v>5181716</v>
      </c>
      <c r="AD31" s="95">
        <f t="shared" si="0"/>
        <v>0</v>
      </c>
      <c r="AE31" s="155">
        <f t="shared" si="8"/>
        <v>0</v>
      </c>
      <c r="AF31" s="187"/>
      <c r="AG31" s="170"/>
      <c r="AH31" s="185"/>
      <c r="AI31" s="192"/>
      <c r="AJ31" s="158">
        <f>'[2]HARVESTING '!AL15</f>
        <v>4985115</v>
      </c>
      <c r="AK31" s="142">
        <f t="shared" si="1"/>
        <v>196600.8</v>
      </c>
      <c r="AL31" s="141">
        <f>AJ31+AK31</f>
        <v>5181715.8</v>
      </c>
      <c r="AM31" s="195">
        <f t="shared" si="2"/>
        <v>-0.20000000018626451</v>
      </c>
      <c r="AN31" s="221"/>
      <c r="AO31" s="142"/>
      <c r="AQ31" s="142"/>
    </row>
    <row r="32" spans="2:43" s="27" customFormat="1" ht="20.25" customHeight="1">
      <c r="B32" s="144">
        <v>27</v>
      </c>
      <c r="C32" s="145" t="s">
        <v>196</v>
      </c>
      <c r="D32" s="48" t="s">
        <v>232</v>
      </c>
      <c r="E32" s="49" t="s">
        <v>189</v>
      </c>
      <c r="F32" s="47" t="s">
        <v>231</v>
      </c>
      <c r="G32" s="156" t="s">
        <v>316</v>
      </c>
      <c r="H32" s="50" t="s">
        <v>39</v>
      </c>
      <c r="I32" s="167" t="s">
        <v>9</v>
      </c>
      <c r="J32" s="92" t="str">
        <f t="shared" si="3"/>
        <v>TER B</v>
      </c>
      <c r="K32" s="52">
        <f t="shared" si="4"/>
        <v>4169500</v>
      </c>
      <c r="L32" s="52">
        <f t="shared" si="5"/>
        <v>34120.799999999996</v>
      </c>
      <c r="M32" s="52">
        <f>'[2]HARVESTING '!AQ16</f>
        <v>162480</v>
      </c>
      <c r="N32" s="150">
        <f>'[2]HARVESTING '!U16</f>
        <v>69750</v>
      </c>
      <c r="O32" s="52"/>
      <c r="P32" s="150">
        <f>'[2]HARVESTING '!AE16</f>
        <v>0</v>
      </c>
      <c r="Q32" s="52"/>
      <c r="R32" s="52">
        <f>'[2]HARVESTING '!AA16</f>
        <v>201500</v>
      </c>
      <c r="S32" s="52">
        <f>'[2]HARVESTING '!AC16</f>
        <v>178943</v>
      </c>
      <c r="T32" s="52">
        <f>'[2]HARVESTING '!AD16</f>
        <v>250250</v>
      </c>
      <c r="U32" s="52"/>
      <c r="V32" s="52"/>
      <c r="W32" s="52"/>
      <c r="X32" s="150">
        <f>'[2]HARVESTING '!Z16</f>
        <v>27000</v>
      </c>
      <c r="Y32" s="52">
        <f>-'[2]HARVESTING '!AH16</f>
        <v>0</v>
      </c>
      <c r="Z32" s="52">
        <f>-'[2]HARVESTING '!BD16</f>
        <v>0</v>
      </c>
      <c r="AA32" s="52"/>
      <c r="AB32" s="52"/>
      <c r="AC32" s="153">
        <f t="shared" si="7"/>
        <v>5093544</v>
      </c>
      <c r="AD32" s="95">
        <f t="shared" si="0"/>
        <v>0</v>
      </c>
      <c r="AE32" s="155">
        <f t="shared" si="8"/>
        <v>0</v>
      </c>
      <c r="AF32" s="187"/>
      <c r="AG32" s="170"/>
      <c r="AH32" s="185"/>
      <c r="AI32" s="192"/>
      <c r="AJ32" s="158">
        <f>'[2]HARVESTING '!AL16</f>
        <v>4896943</v>
      </c>
      <c r="AK32" s="142">
        <f t="shared" si="1"/>
        <v>196600.8</v>
      </c>
      <c r="AL32" s="141">
        <f t="shared" ref="AL32:AL63" si="9">AJ32+AK32</f>
        <v>5093543.8</v>
      </c>
      <c r="AM32" s="159">
        <f t="shared" si="2"/>
        <v>-0.20000000018626451</v>
      </c>
      <c r="AN32" s="222"/>
      <c r="AO32" s="142"/>
      <c r="AQ32" s="142"/>
    </row>
    <row r="33" spans="2:43" s="27" customFormat="1" ht="20.25" customHeight="1">
      <c r="B33" s="144">
        <v>28</v>
      </c>
      <c r="C33" s="145" t="s">
        <v>197</v>
      </c>
      <c r="D33" s="48" t="s">
        <v>233</v>
      </c>
      <c r="E33" s="49" t="s">
        <v>189</v>
      </c>
      <c r="F33" s="47" t="s">
        <v>234</v>
      </c>
      <c r="G33" s="156" t="s">
        <v>316</v>
      </c>
      <c r="H33" s="50" t="s">
        <v>39</v>
      </c>
      <c r="I33" s="167" t="s">
        <v>11</v>
      </c>
      <c r="J33" s="92" t="str">
        <f t="shared" si="3"/>
        <v>TER B</v>
      </c>
      <c r="K33" s="52">
        <f t="shared" si="4"/>
        <v>4169500</v>
      </c>
      <c r="L33" s="52">
        <f t="shared" si="5"/>
        <v>34120.799999999996</v>
      </c>
      <c r="M33" s="52">
        <f>'[2]HARVESTING '!AQ17</f>
        <v>162480</v>
      </c>
      <c r="N33" s="150">
        <f>'[2]HARVESTING '!U17</f>
        <v>166500</v>
      </c>
      <c r="O33" s="52"/>
      <c r="P33" s="150">
        <f>'[2]HARVESTING '!AE17</f>
        <v>0</v>
      </c>
      <c r="Q33" s="52"/>
      <c r="R33" s="52">
        <f>'[2]HARVESTING '!AA17</f>
        <v>0</v>
      </c>
      <c r="S33" s="52">
        <f>'[2]HARVESTING '!AC17</f>
        <v>135264</v>
      </c>
      <c r="T33" s="52">
        <f>'[2]HARVESTING '!AD17</f>
        <v>224000</v>
      </c>
      <c r="U33" s="52"/>
      <c r="V33" s="52"/>
      <c r="W33" s="52"/>
      <c r="X33" s="150">
        <f>'[2]HARVESTING '!Z17</f>
        <v>27000</v>
      </c>
      <c r="Y33" s="52">
        <f>-'[2]HARVESTING '!AH17</f>
        <v>0</v>
      </c>
      <c r="Z33" s="52">
        <f>-'[2]HARVESTING '!BD17</f>
        <v>-134500</v>
      </c>
      <c r="AA33" s="52"/>
      <c r="AB33" s="52"/>
      <c r="AC33" s="153">
        <f t="shared" si="7"/>
        <v>4784365</v>
      </c>
      <c r="AD33" s="95">
        <f t="shared" si="0"/>
        <v>0</v>
      </c>
      <c r="AE33" s="155">
        <f t="shared" si="8"/>
        <v>0</v>
      </c>
      <c r="AF33" s="187"/>
      <c r="AG33" s="170"/>
      <c r="AH33" s="185"/>
      <c r="AI33" s="192"/>
      <c r="AJ33" s="158">
        <f>'[2]HARVESTING '!AL17</f>
        <v>4587764</v>
      </c>
      <c r="AK33" s="142">
        <f t="shared" si="1"/>
        <v>196600.8</v>
      </c>
      <c r="AL33" s="141">
        <f t="shared" si="9"/>
        <v>4784364.8</v>
      </c>
      <c r="AM33" s="159">
        <f t="shared" si="2"/>
        <v>-0.20000000018626451</v>
      </c>
      <c r="AN33" s="222"/>
      <c r="AO33" s="142"/>
      <c r="AQ33" s="142"/>
    </row>
    <row r="34" spans="2:43" s="27" customFormat="1" ht="20.25" customHeight="1">
      <c r="B34" s="144">
        <v>29</v>
      </c>
      <c r="C34" s="145" t="s">
        <v>198</v>
      </c>
      <c r="D34" s="48" t="s">
        <v>235</v>
      </c>
      <c r="E34" s="49" t="s">
        <v>236</v>
      </c>
      <c r="F34" s="47" t="s">
        <v>237</v>
      </c>
      <c r="G34" s="156" t="s">
        <v>316</v>
      </c>
      <c r="H34" s="50" t="s">
        <v>39</v>
      </c>
      <c r="I34" s="167" t="s">
        <v>11</v>
      </c>
      <c r="J34" s="92" t="str">
        <f t="shared" si="3"/>
        <v>TER B</v>
      </c>
      <c r="K34" s="52">
        <f t="shared" si="4"/>
        <v>4169500</v>
      </c>
      <c r="L34" s="52">
        <f t="shared" si="5"/>
        <v>34120.799999999996</v>
      </c>
      <c r="M34" s="52">
        <f>'[2]HARVESTING '!AQ18</f>
        <v>162480</v>
      </c>
      <c r="N34" s="150">
        <f>'[2]HARVESTING '!U18</f>
        <v>166500</v>
      </c>
      <c r="O34" s="52"/>
      <c r="P34" s="150"/>
      <c r="Q34" s="52"/>
      <c r="R34" s="52">
        <f>'[2]HARVESTING '!AA18</f>
        <v>174850</v>
      </c>
      <c r="S34" s="52">
        <f>'[2]HARVESTING '!AC18</f>
        <v>184579</v>
      </c>
      <c r="T34" s="52">
        <f>'[2]HARVESTING '!AD18</f>
        <v>187250</v>
      </c>
      <c r="U34" s="52"/>
      <c r="V34" s="52"/>
      <c r="W34" s="52"/>
      <c r="X34" s="150">
        <f>'[2]HARVESTING '!Z18</f>
        <v>27000</v>
      </c>
      <c r="Y34" s="52">
        <f>-'[2]HARVESTING '!AH18</f>
        <v>-59778</v>
      </c>
      <c r="Z34" s="52">
        <f>-'[2]HARVESTING '!BD18</f>
        <v>-134500</v>
      </c>
      <c r="AA34" s="52"/>
      <c r="AB34" s="52"/>
      <c r="AC34" s="153">
        <f t="shared" si="7"/>
        <v>4912002</v>
      </c>
      <c r="AD34" s="95">
        <f t="shared" si="0"/>
        <v>0</v>
      </c>
      <c r="AE34" s="155">
        <f t="shared" si="8"/>
        <v>0</v>
      </c>
      <c r="AF34" s="187"/>
      <c r="AG34" s="170"/>
      <c r="AH34" s="185"/>
      <c r="AI34" s="192"/>
      <c r="AJ34" s="158">
        <f>'[2]HARVESTING '!AL18</f>
        <v>4715401</v>
      </c>
      <c r="AK34" s="142">
        <f t="shared" si="1"/>
        <v>196600.8</v>
      </c>
      <c r="AL34" s="141">
        <f t="shared" si="9"/>
        <v>4912001.8</v>
      </c>
      <c r="AM34" s="159">
        <f t="shared" si="2"/>
        <v>-0.20000000018626451</v>
      </c>
      <c r="AN34" s="222"/>
      <c r="AO34" s="142"/>
      <c r="AQ34" s="142"/>
    </row>
    <row r="35" spans="2:43" s="27" customFormat="1" ht="20.25" customHeight="1">
      <c r="B35" s="144">
        <v>30</v>
      </c>
      <c r="C35" s="145" t="s">
        <v>199</v>
      </c>
      <c r="D35" s="48" t="s">
        <v>238</v>
      </c>
      <c r="E35" s="49" t="s">
        <v>239</v>
      </c>
      <c r="F35" s="47" t="s">
        <v>240</v>
      </c>
      <c r="G35" s="156" t="s">
        <v>316</v>
      </c>
      <c r="H35" s="50" t="s">
        <v>39</v>
      </c>
      <c r="I35" s="167" t="s">
        <v>11</v>
      </c>
      <c r="J35" s="92" t="str">
        <f t="shared" si="3"/>
        <v>TER B</v>
      </c>
      <c r="K35" s="52">
        <f t="shared" si="4"/>
        <v>4169500</v>
      </c>
      <c r="L35" s="52">
        <f t="shared" si="5"/>
        <v>34095.599999999999</v>
      </c>
      <c r="M35" s="52">
        <f>'[2]HARVESTING '!AQ19</f>
        <v>162360</v>
      </c>
      <c r="N35" s="150">
        <f>'[2]HARVESTING '!U19</f>
        <v>172050</v>
      </c>
      <c r="O35" s="52"/>
      <c r="P35" s="150"/>
      <c r="Q35" s="52"/>
      <c r="R35" s="52">
        <f>'[2]HARVESTING '!AA19</f>
        <v>343200</v>
      </c>
      <c r="S35" s="52">
        <f>'[2]HARVESTING '!AC19</f>
        <v>198669</v>
      </c>
      <c r="T35" s="52">
        <f>'[2]HARVESTING '!AD19</f>
        <v>269500</v>
      </c>
      <c r="U35" s="52"/>
      <c r="V35" s="52"/>
      <c r="W35" s="52"/>
      <c r="X35" s="150">
        <f>'[2]HARVESTING '!Z19</f>
        <v>24000</v>
      </c>
      <c r="Y35" s="52">
        <f>-'[2]HARVESTING '!AH19</f>
        <v>-46328</v>
      </c>
      <c r="Z35" s="52">
        <f>-'[2]HARVESTING '!BD19</f>
        <v>0</v>
      </c>
      <c r="AA35" s="52"/>
      <c r="AB35" s="52"/>
      <c r="AC35" s="153">
        <f t="shared" si="7"/>
        <v>5327047</v>
      </c>
      <c r="AD35" s="95">
        <f t="shared" si="0"/>
        <v>0</v>
      </c>
      <c r="AE35" s="155">
        <f t="shared" si="8"/>
        <v>0</v>
      </c>
      <c r="AF35" s="187"/>
      <c r="AG35" s="170"/>
      <c r="AH35" s="185"/>
      <c r="AI35" s="192"/>
      <c r="AJ35" s="158">
        <f>'[2]HARVESTING '!AL19</f>
        <v>5130591</v>
      </c>
      <c r="AK35" s="142">
        <f t="shared" si="1"/>
        <v>196455.6</v>
      </c>
      <c r="AL35" s="141">
        <f t="shared" si="9"/>
        <v>5327046.5999999996</v>
      </c>
      <c r="AM35" s="159">
        <f t="shared" si="2"/>
        <v>-0.40000000037252903</v>
      </c>
      <c r="AN35" s="222"/>
      <c r="AO35" s="142"/>
      <c r="AQ35" s="142"/>
    </row>
    <row r="36" spans="2:43" s="27" customFormat="1" ht="20.25" customHeight="1">
      <c r="B36" s="144">
        <v>31</v>
      </c>
      <c r="C36" s="145" t="s">
        <v>200</v>
      </c>
      <c r="D36" s="48" t="s">
        <v>241</v>
      </c>
      <c r="E36" s="49" t="s">
        <v>189</v>
      </c>
      <c r="F36" s="47" t="s">
        <v>242</v>
      </c>
      <c r="G36" s="156" t="s">
        <v>316</v>
      </c>
      <c r="H36" s="50" t="s">
        <v>39</v>
      </c>
      <c r="I36" s="167" t="s">
        <v>9</v>
      </c>
      <c r="J36" s="92" t="str">
        <f t="shared" si="3"/>
        <v>TER B</v>
      </c>
      <c r="K36" s="52">
        <f t="shared" si="4"/>
        <v>4169500</v>
      </c>
      <c r="L36" s="52">
        <f t="shared" si="5"/>
        <v>34070.400000000001</v>
      </c>
      <c r="M36" s="52">
        <f>'[2]HARVESTING '!AQ20</f>
        <v>162240</v>
      </c>
      <c r="N36" s="150">
        <f>'[2]HARVESTING '!U20</f>
        <v>144150</v>
      </c>
      <c r="O36" s="52"/>
      <c r="P36" s="150"/>
      <c r="Q36" s="52"/>
      <c r="R36" s="52">
        <f>'[2]HARVESTING '!AA20</f>
        <v>183300</v>
      </c>
      <c r="S36" s="52">
        <f>'[2]HARVESTING '!AC20</f>
        <v>169080</v>
      </c>
      <c r="T36" s="52">
        <f>'[2]HARVESTING '!AD20</f>
        <v>266000</v>
      </c>
      <c r="U36" s="52"/>
      <c r="V36" s="52"/>
      <c r="W36" s="52"/>
      <c r="X36" s="150">
        <f>'[2]HARVESTING '!Z20</f>
        <v>21000</v>
      </c>
      <c r="Y36" s="52">
        <f>-'[2]HARVESTING '!AH20</f>
        <v>-35867</v>
      </c>
      <c r="Z36" s="52">
        <f>-'[2]HARVESTING '!BD20</f>
        <v>0</v>
      </c>
      <c r="AA36" s="52"/>
      <c r="AB36" s="52"/>
      <c r="AC36" s="153">
        <f t="shared" si="7"/>
        <v>5113473</v>
      </c>
      <c r="AD36" s="95">
        <f t="shared" si="0"/>
        <v>0</v>
      </c>
      <c r="AE36" s="155">
        <f t="shared" si="8"/>
        <v>0</v>
      </c>
      <c r="AF36" s="187"/>
      <c r="AG36" s="170"/>
      <c r="AH36" s="185"/>
      <c r="AI36" s="192"/>
      <c r="AJ36" s="158">
        <f>'[2]HARVESTING '!AL20</f>
        <v>4917163</v>
      </c>
      <c r="AK36" s="142">
        <f t="shared" si="1"/>
        <v>196310.39999999999</v>
      </c>
      <c r="AL36" s="141">
        <f t="shared" si="9"/>
        <v>5113473.4000000004</v>
      </c>
      <c r="AM36" s="159">
        <f t="shared" si="2"/>
        <v>0.40000000037252903</v>
      </c>
      <c r="AN36" s="222"/>
      <c r="AO36" s="142"/>
      <c r="AQ36" s="142"/>
    </row>
    <row r="37" spans="2:43" s="27" customFormat="1" ht="20.25" customHeight="1">
      <c r="B37" s="144">
        <v>32</v>
      </c>
      <c r="C37" s="145" t="s">
        <v>201</v>
      </c>
      <c r="D37" s="48" t="s">
        <v>243</v>
      </c>
      <c r="E37" s="49" t="s">
        <v>244</v>
      </c>
      <c r="F37" s="47" t="s">
        <v>245</v>
      </c>
      <c r="G37" s="156" t="s">
        <v>316</v>
      </c>
      <c r="H37" s="50" t="s">
        <v>39</v>
      </c>
      <c r="I37" s="167" t="s">
        <v>17</v>
      </c>
      <c r="J37" s="92" t="str">
        <f t="shared" si="3"/>
        <v>TER A</v>
      </c>
      <c r="K37" s="52">
        <f t="shared" si="4"/>
        <v>4169500</v>
      </c>
      <c r="L37" s="52">
        <f t="shared" si="5"/>
        <v>34070.400000000001</v>
      </c>
      <c r="M37" s="52">
        <f>'[2]HARVESTING '!AQ21</f>
        <v>162240</v>
      </c>
      <c r="N37" s="150">
        <f>'[2]HARVESTING '!U21</f>
        <v>111000</v>
      </c>
      <c r="O37" s="52"/>
      <c r="P37" s="150"/>
      <c r="Q37" s="52"/>
      <c r="R37" s="52">
        <f>'[2]HARVESTING '!AA21</f>
        <v>180050</v>
      </c>
      <c r="S37" s="52">
        <f>'[2]HARVESTING '!AC21</f>
        <v>173307</v>
      </c>
      <c r="T37" s="52">
        <f>'[2]HARVESTING '!AD21</f>
        <v>208250</v>
      </c>
      <c r="U37" s="52"/>
      <c r="V37" s="52"/>
      <c r="W37" s="52"/>
      <c r="X37" s="150">
        <f>'[2]HARVESTING '!Z21</f>
        <v>21000</v>
      </c>
      <c r="Y37" s="52">
        <f>-'[2]HARVESTING '!AH21</f>
        <v>-53800</v>
      </c>
      <c r="Z37" s="52">
        <f>-'[2]HARVESTING '!BD21</f>
        <v>-134500</v>
      </c>
      <c r="AA37" s="52"/>
      <c r="AB37" s="52"/>
      <c r="AC37" s="153">
        <f t="shared" si="7"/>
        <v>4871117</v>
      </c>
      <c r="AD37" s="95">
        <f t="shared" si="0"/>
        <v>0</v>
      </c>
      <c r="AE37" s="155">
        <f t="shared" si="8"/>
        <v>0</v>
      </c>
      <c r="AF37" s="187"/>
      <c r="AG37" s="170"/>
      <c r="AH37" s="185"/>
      <c r="AI37" s="192"/>
      <c r="AJ37" s="158">
        <f>'[2]HARVESTING '!AL21</f>
        <v>4674807</v>
      </c>
      <c r="AK37" s="142">
        <f t="shared" si="1"/>
        <v>196310.39999999999</v>
      </c>
      <c r="AL37" s="141">
        <f t="shared" si="9"/>
        <v>4871117.4000000004</v>
      </c>
      <c r="AM37" s="159">
        <f t="shared" si="2"/>
        <v>0.40000000037252903</v>
      </c>
      <c r="AN37" s="222"/>
      <c r="AO37" s="142"/>
      <c r="AQ37" s="142"/>
    </row>
    <row r="38" spans="2:43" s="27" customFormat="1" ht="20.25" customHeight="1">
      <c r="B38" s="144">
        <v>33</v>
      </c>
      <c r="C38" s="145" t="s">
        <v>202</v>
      </c>
      <c r="D38" s="48" t="s">
        <v>246</v>
      </c>
      <c r="E38" s="49" t="s">
        <v>189</v>
      </c>
      <c r="F38" s="47" t="s">
        <v>247</v>
      </c>
      <c r="G38" s="156" t="s">
        <v>316</v>
      </c>
      <c r="H38" s="50" t="s">
        <v>39</v>
      </c>
      <c r="I38" s="167" t="s">
        <v>9</v>
      </c>
      <c r="J38" s="92" t="str">
        <f t="shared" si="3"/>
        <v>TER B</v>
      </c>
      <c r="K38" s="52">
        <f t="shared" si="4"/>
        <v>4169500</v>
      </c>
      <c r="L38" s="52">
        <f t="shared" si="5"/>
        <v>34020</v>
      </c>
      <c r="M38" s="52">
        <f>'[2]HARVESTING '!AQ22</f>
        <v>162000</v>
      </c>
      <c r="N38" s="150">
        <f>'[2]HARVESTING '!U22</f>
        <v>134850</v>
      </c>
      <c r="O38" s="52"/>
      <c r="P38" s="150"/>
      <c r="Q38" s="52"/>
      <c r="R38" s="52">
        <f>'[2]HARVESTING '!AA22</f>
        <v>222300</v>
      </c>
      <c r="S38" s="52">
        <f>'[2]HARVESTING '!AC22</f>
        <v>90176</v>
      </c>
      <c r="T38" s="52">
        <f>'[2]HARVESTING '!AD22</f>
        <v>199500</v>
      </c>
      <c r="U38" s="52"/>
      <c r="V38" s="52"/>
      <c r="W38" s="52"/>
      <c r="X38" s="150">
        <f>'[2]HARVESTING '!Z22</f>
        <v>15000</v>
      </c>
      <c r="Y38" s="52">
        <f>-'[2]HARVESTING '!AH22</f>
        <v>-110589</v>
      </c>
      <c r="Z38" s="52">
        <f>-'[2]HARVESTING '!BD22</f>
        <v>-269000</v>
      </c>
      <c r="AA38" s="52"/>
      <c r="AB38" s="52"/>
      <c r="AC38" s="153">
        <f t="shared" si="7"/>
        <v>4647757</v>
      </c>
      <c r="AD38" s="95">
        <f t="shared" si="0"/>
        <v>0</v>
      </c>
      <c r="AE38" s="155">
        <f t="shared" si="8"/>
        <v>0</v>
      </c>
      <c r="AF38" s="187"/>
      <c r="AG38" s="170"/>
      <c r="AH38" s="185"/>
      <c r="AI38" s="192"/>
      <c r="AJ38" s="158">
        <f>'[2]HARVESTING '!AL22</f>
        <v>4451737</v>
      </c>
      <c r="AK38" s="142">
        <f t="shared" si="1"/>
        <v>196020</v>
      </c>
      <c r="AL38" s="141">
        <f t="shared" si="9"/>
        <v>4647757</v>
      </c>
      <c r="AM38" s="159">
        <f t="shared" si="2"/>
        <v>0</v>
      </c>
      <c r="AN38" s="222"/>
      <c r="AO38" s="142"/>
      <c r="AQ38" s="142"/>
    </row>
    <row r="39" spans="2:43" s="214" customFormat="1" ht="20.25" customHeight="1">
      <c r="B39" s="144">
        <v>34</v>
      </c>
      <c r="C39" s="165" t="s">
        <v>217</v>
      </c>
      <c r="D39" s="215" t="s">
        <v>278</v>
      </c>
      <c r="E39" s="49" t="s">
        <v>279</v>
      </c>
      <c r="F39" s="216" t="s">
        <v>280</v>
      </c>
      <c r="G39" s="206" t="s">
        <v>316</v>
      </c>
      <c r="H39" s="217" t="s">
        <v>39</v>
      </c>
      <c r="I39" s="167" t="s">
        <v>9</v>
      </c>
      <c r="J39" s="92" t="str">
        <f t="shared" si="3"/>
        <v>TER B</v>
      </c>
      <c r="K39" s="52">
        <f t="shared" si="4"/>
        <v>4169500</v>
      </c>
      <c r="L39" s="52">
        <f t="shared" si="5"/>
        <v>33957</v>
      </c>
      <c r="M39" s="52">
        <f>'[2]HARVESTING '!AQ23</f>
        <v>161700</v>
      </c>
      <c r="N39" s="150">
        <f>'[2]HARVESTING '!U23</f>
        <v>144150</v>
      </c>
      <c r="O39" s="52"/>
      <c r="P39" s="150"/>
      <c r="Q39" s="52"/>
      <c r="R39" s="52">
        <f>'[2]HARVESTING '!AA23</f>
        <v>330200</v>
      </c>
      <c r="S39" s="52">
        <f>'[2]HARVESTING '!AC23</f>
        <v>420627</v>
      </c>
      <c r="T39" s="52">
        <f>'[2]HARVESTING '!AD23</f>
        <v>301000</v>
      </c>
      <c r="U39" s="52"/>
      <c r="V39" s="52"/>
      <c r="W39" s="52"/>
      <c r="X39" s="150">
        <f>'[2]HARVESTING '!Z23</f>
        <v>7500</v>
      </c>
      <c r="Y39" s="52">
        <f>-'[2]HARVESTING '!AH23</f>
        <v>0</v>
      </c>
      <c r="Z39" s="52">
        <f>-'[2]HARVESTING '!BD23</f>
        <v>0</v>
      </c>
      <c r="AA39" s="52"/>
      <c r="AB39" s="52"/>
      <c r="AC39" s="153">
        <f t="shared" si="7"/>
        <v>5568634</v>
      </c>
      <c r="AD39" s="95">
        <f t="shared" si="0"/>
        <v>0</v>
      </c>
      <c r="AE39" s="155">
        <f t="shared" si="8"/>
        <v>0</v>
      </c>
      <c r="AF39" s="208"/>
      <c r="AG39" s="209"/>
      <c r="AH39" s="210"/>
      <c r="AI39" s="211"/>
      <c r="AJ39" s="158">
        <f>'[2]HARVESTING '!AL23</f>
        <v>5372977</v>
      </c>
      <c r="AK39" s="212">
        <f t="shared" si="1"/>
        <v>195657</v>
      </c>
      <c r="AL39" s="213">
        <f t="shared" si="9"/>
        <v>5568634</v>
      </c>
      <c r="AM39" s="195">
        <f t="shared" si="2"/>
        <v>0</v>
      </c>
      <c r="AN39" s="221"/>
      <c r="AO39" s="212"/>
      <c r="AQ39" s="212"/>
    </row>
    <row r="40" spans="2:43" s="214" customFormat="1" ht="20.25" customHeight="1">
      <c r="B40" s="144">
        <v>35</v>
      </c>
      <c r="C40" s="165" t="s">
        <v>314</v>
      </c>
      <c r="D40" s="215" t="s">
        <v>281</v>
      </c>
      <c r="E40" s="49" t="s">
        <v>189</v>
      </c>
      <c r="F40" s="216" t="s">
        <v>282</v>
      </c>
      <c r="G40" s="206" t="s">
        <v>316</v>
      </c>
      <c r="H40" s="217" t="s">
        <v>39</v>
      </c>
      <c r="I40" s="167" t="s">
        <v>11</v>
      </c>
      <c r="J40" s="92" t="str">
        <f t="shared" si="3"/>
        <v>TER B</v>
      </c>
      <c r="K40" s="52">
        <f t="shared" si="4"/>
        <v>4169500</v>
      </c>
      <c r="L40" s="52">
        <f t="shared" si="5"/>
        <v>33957</v>
      </c>
      <c r="M40" s="52">
        <f>'[2]HARVESTING '!AQ24</f>
        <v>161700</v>
      </c>
      <c r="N40" s="150">
        <f>'[2]HARVESTING '!U24</f>
        <v>166500</v>
      </c>
      <c r="O40" s="52"/>
      <c r="P40" s="150"/>
      <c r="Q40" s="52"/>
      <c r="R40" s="52">
        <f>'[2]HARVESTING '!AA24</f>
        <v>510250</v>
      </c>
      <c r="S40" s="52">
        <f>'[2]HARVESTING '!AC24</f>
        <v>114129</v>
      </c>
      <c r="T40" s="52">
        <f>'[2]HARVESTING '!AD24</f>
        <v>227500</v>
      </c>
      <c r="U40" s="52"/>
      <c r="V40" s="52"/>
      <c r="W40" s="52"/>
      <c r="X40" s="150">
        <f>'[2]HARVESTING '!Z24</f>
        <v>7500</v>
      </c>
      <c r="Y40" s="52">
        <f>-'[2]HARVESTING '!AH24</f>
        <v>0</v>
      </c>
      <c r="Z40" s="52">
        <f>-'[2]HARVESTING '!BD24</f>
        <v>-134500</v>
      </c>
      <c r="AA40" s="52"/>
      <c r="AB40" s="52"/>
      <c r="AC40" s="153">
        <f t="shared" si="7"/>
        <v>5256536</v>
      </c>
      <c r="AD40" s="95">
        <f t="shared" si="0"/>
        <v>0</v>
      </c>
      <c r="AE40" s="155">
        <f t="shared" si="8"/>
        <v>0</v>
      </c>
      <c r="AF40" s="208"/>
      <c r="AG40" s="209"/>
      <c r="AH40" s="210"/>
      <c r="AI40" s="211"/>
      <c r="AJ40" s="158">
        <f>'[2]HARVESTING '!AL24</f>
        <v>5060879</v>
      </c>
      <c r="AK40" s="212">
        <f t="shared" si="1"/>
        <v>195657</v>
      </c>
      <c r="AL40" s="213">
        <f t="shared" si="9"/>
        <v>5256536</v>
      </c>
      <c r="AM40" s="195">
        <f t="shared" si="2"/>
        <v>0</v>
      </c>
      <c r="AN40" s="221"/>
      <c r="AO40" s="212"/>
      <c r="AQ40" s="212"/>
    </row>
    <row r="41" spans="2:43" s="27" customFormat="1" ht="20.25" customHeight="1">
      <c r="B41" s="144">
        <v>36</v>
      </c>
      <c r="C41" s="145" t="s">
        <v>203</v>
      </c>
      <c r="D41" s="48" t="s">
        <v>248</v>
      </c>
      <c r="E41" s="49" t="s">
        <v>189</v>
      </c>
      <c r="F41" s="47" t="s">
        <v>249</v>
      </c>
      <c r="G41" s="156" t="s">
        <v>316</v>
      </c>
      <c r="H41" s="50" t="s">
        <v>39</v>
      </c>
      <c r="I41" s="167" t="s">
        <v>17</v>
      </c>
      <c r="J41" s="92" t="str">
        <f t="shared" si="3"/>
        <v>TER A</v>
      </c>
      <c r="K41" s="52">
        <f t="shared" si="4"/>
        <v>4169500</v>
      </c>
      <c r="L41" s="52">
        <f t="shared" si="5"/>
        <v>33957</v>
      </c>
      <c r="M41" s="52">
        <f>'[2]HARVESTING '!AQ25</f>
        <v>161700</v>
      </c>
      <c r="N41" s="150">
        <f>'[2]HARVESTING '!U25</f>
        <v>67500</v>
      </c>
      <c r="O41" s="52"/>
      <c r="P41" s="150"/>
      <c r="Q41" s="52"/>
      <c r="R41" s="52">
        <f>'[2]HARVESTING '!AA25</f>
        <v>130000</v>
      </c>
      <c r="S41" s="52">
        <f>'[2]HARVESTING '!AC25</f>
        <v>118356</v>
      </c>
      <c r="T41" s="52">
        <f>'[2]HARVESTING '!AD25</f>
        <v>210000</v>
      </c>
      <c r="U41" s="52"/>
      <c r="V41" s="52"/>
      <c r="W41" s="52"/>
      <c r="X41" s="150">
        <f>'[2]HARVESTING '!Z25</f>
        <v>7500</v>
      </c>
      <c r="Y41" s="52">
        <f>-'[2]HARVESTING '!AH25</f>
        <v>0</v>
      </c>
      <c r="Z41" s="52">
        <f>-'[2]HARVESTING '!BD25</f>
        <v>-134500</v>
      </c>
      <c r="AA41" s="52"/>
      <c r="AB41" s="52"/>
      <c r="AC41" s="153">
        <f t="shared" si="7"/>
        <v>4764013</v>
      </c>
      <c r="AD41" s="95">
        <f t="shared" si="0"/>
        <v>0</v>
      </c>
      <c r="AE41" s="155">
        <f t="shared" si="8"/>
        <v>0</v>
      </c>
      <c r="AF41" s="187"/>
      <c r="AG41" s="170"/>
      <c r="AH41" s="185"/>
      <c r="AI41" s="192"/>
      <c r="AJ41" s="158">
        <f>'[2]HARVESTING '!AL25</f>
        <v>4568356</v>
      </c>
      <c r="AK41" s="142">
        <f t="shared" si="1"/>
        <v>195657</v>
      </c>
      <c r="AL41" s="141">
        <f t="shared" si="9"/>
        <v>4764013</v>
      </c>
      <c r="AM41" s="159">
        <f t="shared" si="2"/>
        <v>0</v>
      </c>
      <c r="AN41" s="222"/>
      <c r="AO41" s="142"/>
      <c r="AQ41" s="142"/>
    </row>
    <row r="42" spans="2:43" s="27" customFormat="1" ht="20.25" customHeight="1">
      <c r="B42" s="144">
        <v>37</v>
      </c>
      <c r="C42" s="145" t="s">
        <v>204</v>
      </c>
      <c r="D42" s="48" t="s">
        <v>250</v>
      </c>
      <c r="E42" s="49" t="s">
        <v>189</v>
      </c>
      <c r="F42" s="47" t="s">
        <v>251</v>
      </c>
      <c r="G42" s="156" t="s">
        <v>316</v>
      </c>
      <c r="H42" s="50" t="s">
        <v>39</v>
      </c>
      <c r="I42" s="167" t="s">
        <v>11</v>
      </c>
      <c r="J42" s="92" t="str">
        <f t="shared" si="3"/>
        <v>TER B</v>
      </c>
      <c r="K42" s="52">
        <f>134500*18</f>
        <v>2421000</v>
      </c>
      <c r="L42" s="52">
        <f t="shared" si="5"/>
        <v>33936</v>
      </c>
      <c r="M42" s="52">
        <f>'[2]HARVESTING '!AQ26</f>
        <v>161600</v>
      </c>
      <c r="N42" s="150">
        <f>'[2]HARVESTING '!U26</f>
        <v>83250</v>
      </c>
      <c r="O42" s="52"/>
      <c r="P42" s="150"/>
      <c r="Q42" s="52"/>
      <c r="R42" s="52">
        <f>'[2]HARVESTING '!AA26</f>
        <v>0</v>
      </c>
      <c r="S42" s="52">
        <f>'[2]HARVESTING '!AC26</f>
        <v>35225</v>
      </c>
      <c r="T42" s="52">
        <f>'[2]HARVESTING '!AD26</f>
        <v>110250</v>
      </c>
      <c r="U42" s="52"/>
      <c r="V42" s="52"/>
      <c r="W42" s="52"/>
      <c r="X42" s="150">
        <f>'[2]HARVESTING '!Z26</f>
        <v>5000</v>
      </c>
      <c r="Y42" s="52">
        <f>-'[2]HARVESTING '!AH26</f>
        <v>-203244</v>
      </c>
      <c r="Z42" s="52">
        <f>-'[2]HARVESTING '!BD26</f>
        <v>-403500</v>
      </c>
      <c r="AA42" s="52"/>
      <c r="AB42" s="52"/>
      <c r="AC42" s="153">
        <f t="shared" si="7"/>
        <v>2243517</v>
      </c>
      <c r="AD42" s="95">
        <f t="shared" si="0"/>
        <v>0</v>
      </c>
      <c r="AE42" s="155">
        <f t="shared" si="8"/>
        <v>0</v>
      </c>
      <c r="AF42" s="187"/>
      <c r="AG42" s="170"/>
      <c r="AH42" s="185"/>
      <c r="AI42" s="192"/>
      <c r="AJ42" s="158">
        <f>'[2]HARVESTING '!AL26</f>
        <v>2047981</v>
      </c>
      <c r="AK42" s="142">
        <f t="shared" si="1"/>
        <v>195536</v>
      </c>
      <c r="AL42" s="141">
        <f t="shared" si="9"/>
        <v>2243517</v>
      </c>
      <c r="AM42" s="159">
        <f t="shared" si="2"/>
        <v>0</v>
      </c>
      <c r="AN42" s="222"/>
      <c r="AO42" s="142"/>
      <c r="AQ42" s="142"/>
    </row>
    <row r="43" spans="2:43" s="214" customFormat="1" ht="20.25" customHeight="1">
      <c r="B43" s="144">
        <v>38</v>
      </c>
      <c r="C43" s="165" t="s">
        <v>218</v>
      </c>
      <c r="D43" s="215" t="s">
        <v>283</v>
      </c>
      <c r="E43" s="49" t="s">
        <v>189</v>
      </c>
      <c r="F43" s="216" t="s">
        <v>284</v>
      </c>
      <c r="G43" s="156" t="s">
        <v>316</v>
      </c>
      <c r="H43" s="217" t="s">
        <v>39</v>
      </c>
      <c r="I43" s="167" t="s">
        <v>7</v>
      </c>
      <c r="J43" s="92" t="str">
        <f t="shared" si="3"/>
        <v>TER A</v>
      </c>
      <c r="K43" s="52">
        <f t="shared" si="4"/>
        <v>4169500</v>
      </c>
      <c r="L43" s="52">
        <f t="shared" si="5"/>
        <v>33999</v>
      </c>
      <c r="M43" s="52">
        <f>'[2]HARVESTING '!AQ27</f>
        <v>161900</v>
      </c>
      <c r="N43" s="150">
        <f>'[2]HARVESTING '!U27</f>
        <v>67500</v>
      </c>
      <c r="O43" s="52"/>
      <c r="P43" s="150"/>
      <c r="Q43" s="52"/>
      <c r="R43" s="52">
        <f>'[2]HARVESTING '!AA27</f>
        <v>139100</v>
      </c>
      <c r="S43" s="52">
        <f>'[2]HARVESTING '!AC27</f>
        <v>235129</v>
      </c>
      <c r="T43" s="52">
        <f>'[2]HARVESTING '!AD27</f>
        <v>245000</v>
      </c>
      <c r="U43" s="52"/>
      <c r="V43" s="52"/>
      <c r="W43" s="52"/>
      <c r="X43" s="150">
        <f>'[2]HARVESTING '!Z27</f>
        <v>12500</v>
      </c>
      <c r="Y43" s="52">
        <f>-'[2]HARVESTING '!AH27</f>
        <v>0</v>
      </c>
      <c r="Z43" s="52">
        <f>-'[2]HARVESTING '!BD27</f>
        <v>-134500</v>
      </c>
      <c r="AA43" s="52"/>
      <c r="AB43" s="52"/>
      <c r="AC43" s="153">
        <f t="shared" si="7"/>
        <v>4930128</v>
      </c>
      <c r="AD43" s="95">
        <f t="shared" si="0"/>
        <v>0</v>
      </c>
      <c r="AE43" s="155">
        <f t="shared" si="8"/>
        <v>0</v>
      </c>
      <c r="AF43" s="208"/>
      <c r="AG43" s="209"/>
      <c r="AH43" s="210"/>
      <c r="AI43" s="211"/>
      <c r="AJ43" s="158">
        <f>'[2]HARVESTING '!AL27</f>
        <v>4734229</v>
      </c>
      <c r="AK43" s="212">
        <f t="shared" si="1"/>
        <v>195899</v>
      </c>
      <c r="AL43" s="213">
        <f t="shared" si="9"/>
        <v>4930128</v>
      </c>
      <c r="AM43" s="195">
        <f t="shared" si="2"/>
        <v>0</v>
      </c>
      <c r="AN43" s="221"/>
      <c r="AO43" s="212"/>
      <c r="AQ43" s="212"/>
    </row>
    <row r="44" spans="2:43" s="214" customFormat="1" ht="20.25" customHeight="1">
      <c r="B44" s="144">
        <v>39</v>
      </c>
      <c r="C44" s="165" t="s">
        <v>205</v>
      </c>
      <c r="D44" s="215" t="s">
        <v>252</v>
      </c>
      <c r="E44" s="49" t="s">
        <v>189</v>
      </c>
      <c r="F44" s="216" t="s">
        <v>253</v>
      </c>
      <c r="G44" s="156" t="s">
        <v>316</v>
      </c>
      <c r="H44" s="217" t="s">
        <v>39</v>
      </c>
      <c r="I44" s="167" t="s">
        <v>11</v>
      </c>
      <c r="J44" s="92" t="str">
        <f t="shared" si="3"/>
        <v>TER B</v>
      </c>
      <c r="K44" s="52">
        <f t="shared" si="4"/>
        <v>4169500</v>
      </c>
      <c r="L44" s="52">
        <f t="shared" si="5"/>
        <v>33936</v>
      </c>
      <c r="M44" s="52">
        <f>'[2]HARVESTING '!AQ28</f>
        <v>161600</v>
      </c>
      <c r="N44" s="150">
        <f>'[2]HARVESTING '!U28</f>
        <v>172050</v>
      </c>
      <c r="O44" s="52"/>
      <c r="P44" s="150"/>
      <c r="Q44" s="52">
        <v>518000</v>
      </c>
      <c r="R44" s="52">
        <f>'[2]HARVESTING '!AA28</f>
        <v>172250</v>
      </c>
      <c r="S44" s="52">
        <f>'[2]HARVESTING '!AC28</f>
        <v>125401</v>
      </c>
      <c r="T44" s="52">
        <f>'[2]HARVESTING '!AD28</f>
        <v>211750</v>
      </c>
      <c r="U44" s="52"/>
      <c r="V44" s="52"/>
      <c r="W44" s="52"/>
      <c r="X44" s="150">
        <f>'[2]HARVESTING '!Z28</f>
        <v>5000</v>
      </c>
      <c r="Y44" s="52">
        <f>-'[2]HARVESTING '!AH28</f>
        <v>0</v>
      </c>
      <c r="Z44" s="52">
        <f>-'[2]HARVESTING '!BD28</f>
        <v>0</v>
      </c>
      <c r="AA44" s="52"/>
      <c r="AB44" s="52"/>
      <c r="AC44" s="153">
        <f t="shared" si="7"/>
        <v>5569487</v>
      </c>
      <c r="AD44" s="95">
        <f t="shared" si="0"/>
        <v>0</v>
      </c>
      <c r="AE44" s="155">
        <f t="shared" si="8"/>
        <v>0</v>
      </c>
      <c r="AF44" s="208"/>
      <c r="AG44" s="209"/>
      <c r="AH44" s="210"/>
      <c r="AI44" s="211"/>
      <c r="AJ44" s="158">
        <f>'[2]HARVESTING '!AL28</f>
        <v>5373951</v>
      </c>
      <c r="AK44" s="212">
        <f t="shared" si="1"/>
        <v>195536</v>
      </c>
      <c r="AL44" s="213">
        <f t="shared" si="9"/>
        <v>5569487</v>
      </c>
      <c r="AM44" s="195">
        <f t="shared" si="2"/>
        <v>0</v>
      </c>
      <c r="AN44" s="221"/>
      <c r="AO44" s="212"/>
      <c r="AQ44" s="212"/>
    </row>
    <row r="45" spans="2:43" s="214" customFormat="1" ht="20.25" customHeight="1">
      <c r="B45" s="144">
        <v>40</v>
      </c>
      <c r="C45" s="165" t="s">
        <v>208</v>
      </c>
      <c r="D45" s="215" t="s">
        <v>258</v>
      </c>
      <c r="E45" s="49" t="s">
        <v>189</v>
      </c>
      <c r="F45" s="216" t="s">
        <v>259</v>
      </c>
      <c r="G45" s="206" t="s">
        <v>316</v>
      </c>
      <c r="H45" s="217" t="s">
        <v>39</v>
      </c>
      <c r="I45" s="167" t="s">
        <v>11</v>
      </c>
      <c r="J45" s="92" t="str">
        <f t="shared" si="3"/>
        <v>TER B</v>
      </c>
      <c r="K45" s="52">
        <f t="shared" si="4"/>
        <v>4169500</v>
      </c>
      <c r="L45" s="52">
        <f t="shared" si="5"/>
        <v>33936</v>
      </c>
      <c r="M45" s="52">
        <f>'[2]HARVESTING '!AQ29</f>
        <v>161600</v>
      </c>
      <c r="N45" s="150">
        <f>'[2]HARVESTING '!U29</f>
        <v>172050</v>
      </c>
      <c r="O45" s="52"/>
      <c r="P45" s="150"/>
      <c r="Q45" s="52"/>
      <c r="R45" s="52">
        <f>'[2]HARVESTING '!AA29</f>
        <v>724100</v>
      </c>
      <c r="S45" s="52">
        <f>'[2]HARVESTING '!AC29</f>
        <v>152172</v>
      </c>
      <c r="T45" s="52">
        <f>'[2]HARVESTING '!AD29</f>
        <v>218750</v>
      </c>
      <c r="U45" s="52"/>
      <c r="V45" s="52"/>
      <c r="W45" s="52"/>
      <c r="X45" s="150">
        <f>'[2]HARVESTING '!Z29</f>
        <v>5000</v>
      </c>
      <c r="Y45" s="52">
        <f>-'[2]HARVESTING '!AH29</f>
        <v>0</v>
      </c>
      <c r="Z45" s="52">
        <f>-'[2]HARVESTING '!BD29</f>
        <v>0</v>
      </c>
      <c r="AA45" s="52"/>
      <c r="AB45" s="52"/>
      <c r="AC45" s="153">
        <f t="shared" si="7"/>
        <v>5637108</v>
      </c>
      <c r="AD45" s="95">
        <f t="shared" si="0"/>
        <v>0</v>
      </c>
      <c r="AE45" s="155">
        <f t="shared" si="8"/>
        <v>0</v>
      </c>
      <c r="AF45" s="208"/>
      <c r="AG45" s="209"/>
      <c r="AH45" s="210"/>
      <c r="AI45" s="211"/>
      <c r="AJ45" s="158">
        <f>'[2]HARVESTING '!AL29</f>
        <v>5441572</v>
      </c>
      <c r="AK45" s="212">
        <f t="shared" si="1"/>
        <v>195536</v>
      </c>
      <c r="AL45" s="213">
        <f t="shared" si="9"/>
        <v>5637108</v>
      </c>
      <c r="AM45" s="195">
        <f t="shared" si="2"/>
        <v>0</v>
      </c>
      <c r="AN45" s="221"/>
      <c r="AO45" s="212"/>
      <c r="AQ45" s="212"/>
    </row>
    <row r="46" spans="2:43" s="214" customFormat="1" ht="20.25" customHeight="1">
      <c r="B46" s="144">
        <v>41</v>
      </c>
      <c r="C46" s="165" t="s">
        <v>206</v>
      </c>
      <c r="D46" s="215" t="s">
        <v>254</v>
      </c>
      <c r="E46" s="49" t="s">
        <v>189</v>
      </c>
      <c r="F46" s="216" t="s">
        <v>255</v>
      </c>
      <c r="G46" s="156" t="s">
        <v>316</v>
      </c>
      <c r="H46" s="217" t="s">
        <v>39</v>
      </c>
      <c r="I46" s="167" t="s">
        <v>9</v>
      </c>
      <c r="J46" s="92" t="str">
        <f t="shared" si="3"/>
        <v>TER B</v>
      </c>
      <c r="K46" s="52">
        <f t="shared" si="4"/>
        <v>4169500</v>
      </c>
      <c r="L46" s="52">
        <f t="shared" si="5"/>
        <v>33936</v>
      </c>
      <c r="M46" s="52">
        <f>'[2]HARVESTING '!AQ30</f>
        <v>161600</v>
      </c>
      <c r="N46" s="150">
        <f>'[2]HARVESTING '!U30</f>
        <v>144150</v>
      </c>
      <c r="O46" s="52"/>
      <c r="P46" s="150"/>
      <c r="Q46" s="52"/>
      <c r="R46" s="52">
        <f>'[2]HARVESTING '!AA30</f>
        <v>140400</v>
      </c>
      <c r="S46" s="52">
        <f>'[2]HARVESTING '!AC30</f>
        <v>190215</v>
      </c>
      <c r="T46" s="52">
        <f>'[2]HARVESTING '!AD30</f>
        <v>215250</v>
      </c>
      <c r="U46" s="52"/>
      <c r="V46" s="52"/>
      <c r="W46" s="52"/>
      <c r="X46" s="150">
        <f>'[2]HARVESTING '!Z30</f>
        <v>5000</v>
      </c>
      <c r="Y46" s="52">
        <f>-'[2]HARVESTING '!AH30</f>
        <v>-65756</v>
      </c>
      <c r="Z46" s="52">
        <f>-'[2]HARVESTING '!BD30</f>
        <v>0</v>
      </c>
      <c r="AA46" s="52"/>
      <c r="AB46" s="52"/>
      <c r="AC46" s="153">
        <f t="shared" si="7"/>
        <v>4994295</v>
      </c>
      <c r="AD46" s="95">
        <f t="shared" si="0"/>
        <v>0</v>
      </c>
      <c r="AE46" s="155">
        <f t="shared" si="8"/>
        <v>0</v>
      </c>
      <c r="AF46" s="208"/>
      <c r="AG46" s="209"/>
      <c r="AH46" s="210"/>
      <c r="AI46" s="211"/>
      <c r="AJ46" s="158">
        <f>'[2]HARVESTING '!AL30</f>
        <v>4798759</v>
      </c>
      <c r="AK46" s="212">
        <f t="shared" si="1"/>
        <v>195536</v>
      </c>
      <c r="AL46" s="213">
        <f t="shared" si="9"/>
        <v>4994295</v>
      </c>
      <c r="AM46" s="195">
        <f t="shared" si="2"/>
        <v>0</v>
      </c>
      <c r="AN46" s="221"/>
      <c r="AO46" s="212"/>
      <c r="AQ46" s="212"/>
    </row>
    <row r="47" spans="2:43" s="214" customFormat="1" ht="20.25" customHeight="1">
      <c r="B47" s="144">
        <v>42</v>
      </c>
      <c r="C47" s="165" t="s">
        <v>207</v>
      </c>
      <c r="D47" s="215" t="s">
        <v>256</v>
      </c>
      <c r="E47" s="49" t="s">
        <v>189</v>
      </c>
      <c r="F47" s="216" t="s">
        <v>257</v>
      </c>
      <c r="G47" s="156" t="s">
        <v>316</v>
      </c>
      <c r="H47" s="217" t="s">
        <v>39</v>
      </c>
      <c r="I47" s="167" t="s">
        <v>17</v>
      </c>
      <c r="J47" s="92" t="str">
        <f t="shared" si="3"/>
        <v>TER A</v>
      </c>
      <c r="K47" s="52">
        <f t="shared" si="4"/>
        <v>4169500</v>
      </c>
      <c r="L47" s="52">
        <f t="shared" si="5"/>
        <v>33936</v>
      </c>
      <c r="M47" s="52">
        <f>'[2]HARVESTING '!AQ31</f>
        <v>161600</v>
      </c>
      <c r="N47" s="150">
        <f>'[2]HARVESTING '!U31</f>
        <v>69750</v>
      </c>
      <c r="O47" s="52"/>
      <c r="P47" s="150"/>
      <c r="Q47" s="52"/>
      <c r="R47" s="52">
        <f>'[2]HARVESTING '!AA31</f>
        <v>382200</v>
      </c>
      <c r="S47" s="52">
        <f>'[2]HARVESTING '!AC31</f>
        <v>212759</v>
      </c>
      <c r="T47" s="52">
        <f>'[2]HARVESTING '!AD31</f>
        <v>351750</v>
      </c>
      <c r="U47" s="52"/>
      <c r="V47" s="52"/>
      <c r="W47" s="52"/>
      <c r="X47" s="150">
        <f>'[2]HARVESTING '!Z31</f>
        <v>5000</v>
      </c>
      <c r="Y47" s="52">
        <f>-'[2]HARVESTING '!AH31</f>
        <v>0</v>
      </c>
      <c r="Z47" s="52">
        <f>-'[2]HARVESTING '!BD31</f>
        <v>0</v>
      </c>
      <c r="AA47" s="52"/>
      <c r="AB47" s="52"/>
      <c r="AC47" s="153">
        <f t="shared" si="7"/>
        <v>5386495</v>
      </c>
      <c r="AD47" s="95">
        <f t="shared" si="0"/>
        <v>0</v>
      </c>
      <c r="AE47" s="155">
        <f t="shared" si="8"/>
        <v>0</v>
      </c>
      <c r="AF47" s="208"/>
      <c r="AG47" s="209"/>
      <c r="AH47" s="210"/>
      <c r="AI47" s="211"/>
      <c r="AJ47" s="158">
        <f>'[2]HARVESTING '!AL31</f>
        <v>5190959</v>
      </c>
      <c r="AK47" s="212">
        <f t="shared" si="1"/>
        <v>195536</v>
      </c>
      <c r="AL47" s="213">
        <f t="shared" si="9"/>
        <v>5386495</v>
      </c>
      <c r="AM47" s="195">
        <f t="shared" si="2"/>
        <v>0</v>
      </c>
      <c r="AN47" s="221"/>
      <c r="AO47" s="212"/>
      <c r="AQ47" s="212"/>
    </row>
    <row r="48" spans="2:43" s="214" customFormat="1" ht="20.25" customHeight="1">
      <c r="B48" s="144">
        <v>43</v>
      </c>
      <c r="C48" s="165" t="s">
        <v>215</v>
      </c>
      <c r="D48" s="215" t="s">
        <v>274</v>
      </c>
      <c r="E48" s="49" t="s">
        <v>189</v>
      </c>
      <c r="F48" s="216" t="s">
        <v>275</v>
      </c>
      <c r="G48" s="156" t="s">
        <v>316</v>
      </c>
      <c r="H48" s="217" t="s">
        <v>39</v>
      </c>
      <c r="I48" s="167" t="s">
        <v>12</v>
      </c>
      <c r="J48" s="92" t="str">
        <f t="shared" si="3"/>
        <v>TER C</v>
      </c>
      <c r="K48" s="52">
        <f t="shared" si="4"/>
        <v>4169500</v>
      </c>
      <c r="L48" s="52">
        <f t="shared" si="5"/>
        <v>33936</v>
      </c>
      <c r="M48" s="52">
        <f>'[2]HARVESTING '!AQ32</f>
        <v>161600</v>
      </c>
      <c r="N48" s="150">
        <f>'[2]HARVESTING '!U32</f>
        <v>144150</v>
      </c>
      <c r="O48" s="52"/>
      <c r="P48" s="150"/>
      <c r="Q48" s="52"/>
      <c r="R48" s="52">
        <f>'[2]HARVESTING '!AA32</f>
        <v>194350</v>
      </c>
      <c r="S48" s="52">
        <f>'[2]HARVESTING '!AC32</f>
        <v>356545</v>
      </c>
      <c r="T48" s="52">
        <f>'[2]HARVESTING '!AD32</f>
        <v>189000</v>
      </c>
      <c r="U48" s="52"/>
      <c r="V48" s="52"/>
      <c r="W48" s="52"/>
      <c r="X48" s="150">
        <f>'[2]HARVESTING '!Z32</f>
        <v>5000</v>
      </c>
      <c r="Y48" s="52">
        <f>-'[2]HARVESTING '!AH32</f>
        <v>0</v>
      </c>
      <c r="Z48" s="52">
        <f>-'[2]HARVESTING '!BD32</f>
        <v>0</v>
      </c>
      <c r="AA48" s="52"/>
      <c r="AB48" s="52"/>
      <c r="AC48" s="153">
        <f t="shared" si="7"/>
        <v>5254081</v>
      </c>
      <c r="AD48" s="95">
        <f t="shared" si="0"/>
        <v>0</v>
      </c>
      <c r="AE48" s="155">
        <f t="shared" si="8"/>
        <v>0</v>
      </c>
      <c r="AF48" s="208"/>
      <c r="AG48" s="209"/>
      <c r="AH48" s="218"/>
      <c r="AI48" s="219"/>
      <c r="AJ48" s="158">
        <f>'[2]HARVESTING '!AL32</f>
        <v>5058545</v>
      </c>
      <c r="AK48" s="212">
        <f t="shared" si="1"/>
        <v>195536</v>
      </c>
      <c r="AL48" s="213">
        <f t="shared" si="9"/>
        <v>5254081</v>
      </c>
      <c r="AM48" s="195">
        <f t="shared" si="2"/>
        <v>0</v>
      </c>
      <c r="AN48" s="221"/>
      <c r="AO48" s="212"/>
      <c r="AQ48" s="212"/>
    </row>
    <row r="49" spans="2:43" s="214" customFormat="1" ht="20.25" customHeight="1">
      <c r="B49" s="144">
        <v>44</v>
      </c>
      <c r="C49" s="165" t="s">
        <v>219</v>
      </c>
      <c r="D49" s="215" t="s">
        <v>285</v>
      </c>
      <c r="E49" s="49" t="s">
        <v>189</v>
      </c>
      <c r="F49" s="216" t="s">
        <v>286</v>
      </c>
      <c r="G49" s="156" t="s">
        <v>316</v>
      </c>
      <c r="H49" s="217" t="s">
        <v>39</v>
      </c>
      <c r="I49" s="167" t="s">
        <v>11</v>
      </c>
      <c r="J49" s="92" t="str">
        <f t="shared" si="3"/>
        <v>TER B</v>
      </c>
      <c r="K49" s="52">
        <f t="shared" si="4"/>
        <v>4169500</v>
      </c>
      <c r="L49" s="52">
        <f t="shared" si="5"/>
        <v>33957</v>
      </c>
      <c r="M49" s="52">
        <f>'[2]HARVESTING '!AQ33</f>
        <v>161700</v>
      </c>
      <c r="N49" s="150">
        <f>'[2]HARVESTING '!U33</f>
        <v>172050</v>
      </c>
      <c r="O49" s="52"/>
      <c r="P49" s="150"/>
      <c r="Q49" s="52"/>
      <c r="R49" s="52">
        <f>'[2]HARVESTING '!AA33</f>
        <v>149500</v>
      </c>
      <c r="S49" s="52">
        <f>'[2]HARVESTING '!AC33</f>
        <v>218395</v>
      </c>
      <c r="T49" s="52">
        <f>'[2]HARVESTING '!AD33</f>
        <v>229250</v>
      </c>
      <c r="U49" s="52"/>
      <c r="V49" s="52"/>
      <c r="W49" s="52"/>
      <c r="X49" s="150">
        <f>'[2]HARVESTING '!Z33</f>
        <v>7500</v>
      </c>
      <c r="Y49" s="52">
        <f>-'[2]HARVESTING '!AH33</f>
        <v>0</v>
      </c>
      <c r="Z49" s="52">
        <f>-'[2]HARVESTING '!BD33</f>
        <v>0</v>
      </c>
      <c r="AA49" s="52"/>
      <c r="AB49" s="52"/>
      <c r="AC49" s="153">
        <f t="shared" si="7"/>
        <v>5141852</v>
      </c>
      <c r="AD49" s="95">
        <f t="shared" si="0"/>
        <v>0</v>
      </c>
      <c r="AE49" s="155">
        <f t="shared" si="8"/>
        <v>0</v>
      </c>
      <c r="AF49" s="208"/>
      <c r="AG49" s="209"/>
      <c r="AH49" s="210"/>
      <c r="AI49" s="211"/>
      <c r="AJ49" s="158">
        <f>'[2]HARVESTING '!AL33</f>
        <v>4946195</v>
      </c>
      <c r="AK49" s="212">
        <f t="shared" si="1"/>
        <v>195657</v>
      </c>
      <c r="AL49" s="213">
        <f t="shared" si="9"/>
        <v>5141852</v>
      </c>
      <c r="AM49" s="195">
        <f t="shared" si="2"/>
        <v>0</v>
      </c>
      <c r="AN49" s="221"/>
      <c r="AO49" s="212"/>
      <c r="AQ49" s="212"/>
    </row>
    <row r="50" spans="2:43" s="214" customFormat="1" ht="20.25" customHeight="1">
      <c r="B50" s="144">
        <v>45</v>
      </c>
      <c r="C50" s="165" t="s">
        <v>213</v>
      </c>
      <c r="D50" s="215" t="s">
        <v>270</v>
      </c>
      <c r="E50" s="49" t="s">
        <v>189</v>
      </c>
      <c r="F50" s="216" t="s">
        <v>271</v>
      </c>
      <c r="G50" s="156" t="s">
        <v>316</v>
      </c>
      <c r="H50" s="217" t="s">
        <v>39</v>
      </c>
      <c r="I50" s="167" t="s">
        <v>11</v>
      </c>
      <c r="J50" s="92" t="str">
        <f t="shared" si="3"/>
        <v>TER B</v>
      </c>
      <c r="K50" s="52">
        <f t="shared" si="4"/>
        <v>4169500</v>
      </c>
      <c r="L50" s="52">
        <f t="shared" si="5"/>
        <v>34020</v>
      </c>
      <c r="M50" s="52">
        <f>'[2]HARVESTING '!AQ34</f>
        <v>162000</v>
      </c>
      <c r="N50" s="150">
        <f>'[2]HARVESTING '!U34</f>
        <v>172050</v>
      </c>
      <c r="O50" s="52"/>
      <c r="P50" s="150"/>
      <c r="Q50" s="52"/>
      <c r="R50" s="52">
        <f>'[2]HARVESTING '!AA34</f>
        <v>152750</v>
      </c>
      <c r="S50" s="52">
        <f>'[2]HARVESTING '!AC34</f>
        <v>180352</v>
      </c>
      <c r="T50" s="52">
        <f>'[2]HARVESTING '!AD34</f>
        <v>241500</v>
      </c>
      <c r="U50" s="52"/>
      <c r="V50" s="52"/>
      <c r="W50" s="52"/>
      <c r="X50" s="150">
        <f>'[2]HARVESTING '!Z34</f>
        <v>15000</v>
      </c>
      <c r="Y50" s="52">
        <f>-'[2]HARVESTING '!AH34</f>
        <v>0</v>
      </c>
      <c r="Z50" s="52">
        <f>-'[2]HARVESTING '!BD34</f>
        <v>0</v>
      </c>
      <c r="AA50" s="52"/>
      <c r="AB50" s="52"/>
      <c r="AC50" s="153">
        <f t="shared" si="7"/>
        <v>5127172</v>
      </c>
      <c r="AD50" s="95">
        <f t="shared" si="0"/>
        <v>0</v>
      </c>
      <c r="AE50" s="155">
        <f t="shared" si="8"/>
        <v>0</v>
      </c>
      <c r="AF50" s="208"/>
      <c r="AG50" s="209"/>
      <c r="AH50" s="210"/>
      <c r="AI50" s="211"/>
      <c r="AJ50" s="158">
        <f>'[2]HARVESTING '!AL34</f>
        <v>4931152</v>
      </c>
      <c r="AK50" s="212">
        <f t="shared" si="1"/>
        <v>196020</v>
      </c>
      <c r="AL50" s="213">
        <f t="shared" si="9"/>
        <v>5127172</v>
      </c>
      <c r="AM50" s="195">
        <f t="shared" si="2"/>
        <v>0</v>
      </c>
      <c r="AN50" s="221"/>
      <c r="AO50" s="212"/>
      <c r="AQ50" s="212"/>
    </row>
    <row r="51" spans="2:43" s="214" customFormat="1" ht="20.25" customHeight="1">
      <c r="B51" s="144">
        <v>46</v>
      </c>
      <c r="C51" s="165" t="s">
        <v>214</v>
      </c>
      <c r="D51" s="215" t="s">
        <v>272</v>
      </c>
      <c r="E51" s="49" t="s">
        <v>189</v>
      </c>
      <c r="F51" s="216" t="s">
        <v>273</v>
      </c>
      <c r="G51" s="156" t="s">
        <v>316</v>
      </c>
      <c r="H51" s="217" t="s">
        <v>39</v>
      </c>
      <c r="I51" s="167" t="s">
        <v>17</v>
      </c>
      <c r="J51" s="92" t="str">
        <f t="shared" si="3"/>
        <v>TER A</v>
      </c>
      <c r="K51" s="52">
        <f t="shared" si="4"/>
        <v>4169500</v>
      </c>
      <c r="L51" s="52">
        <f t="shared" si="5"/>
        <v>33936</v>
      </c>
      <c r="M51" s="52">
        <f>'[2]HARVESTING '!AQ35</f>
        <v>161600</v>
      </c>
      <c r="N51" s="150">
        <f>'[2]HARVESTING '!U35</f>
        <v>114700</v>
      </c>
      <c r="O51" s="52"/>
      <c r="P51" s="150"/>
      <c r="Q51" s="52"/>
      <c r="R51" s="52">
        <f>'[2]HARVESTING '!AA35</f>
        <v>130000</v>
      </c>
      <c r="S51" s="52">
        <f>'[2]HARVESTING '!AC35</f>
        <v>176125</v>
      </c>
      <c r="T51" s="52">
        <f>'[2]HARVESTING '!AD35</f>
        <v>253750</v>
      </c>
      <c r="U51" s="52"/>
      <c r="V51" s="52"/>
      <c r="W51" s="52"/>
      <c r="X51" s="150">
        <f>'[2]HARVESTING '!Z35</f>
        <v>5000</v>
      </c>
      <c r="Y51" s="52">
        <f>-'[2]HARVESTING '!AH35</f>
        <v>0</v>
      </c>
      <c r="Z51" s="52">
        <f>-'[2]HARVESTING '!BD35</f>
        <v>0</v>
      </c>
      <c r="AA51" s="52"/>
      <c r="AB51" s="52"/>
      <c r="AC51" s="153">
        <f t="shared" si="7"/>
        <v>5044611</v>
      </c>
      <c r="AD51" s="95">
        <f t="shared" si="0"/>
        <v>0</v>
      </c>
      <c r="AE51" s="155">
        <f t="shared" si="8"/>
        <v>0</v>
      </c>
      <c r="AF51" s="208"/>
      <c r="AG51" s="209"/>
      <c r="AH51" s="210"/>
      <c r="AI51" s="211"/>
      <c r="AJ51" s="158">
        <f>'[2]HARVESTING '!AL35</f>
        <v>4849075</v>
      </c>
      <c r="AK51" s="212">
        <f t="shared" si="1"/>
        <v>195536</v>
      </c>
      <c r="AL51" s="213">
        <f t="shared" si="9"/>
        <v>5044611</v>
      </c>
      <c r="AM51" s="195">
        <f t="shared" si="2"/>
        <v>0</v>
      </c>
      <c r="AN51" s="221"/>
      <c r="AO51" s="212"/>
      <c r="AQ51" s="212"/>
    </row>
    <row r="52" spans="2:43" s="214" customFormat="1" ht="20.25" customHeight="1">
      <c r="B52" s="144">
        <v>47</v>
      </c>
      <c r="C52" s="165" t="s">
        <v>216</v>
      </c>
      <c r="D52" s="215" t="s">
        <v>276</v>
      </c>
      <c r="E52" s="49" t="s">
        <v>189</v>
      </c>
      <c r="F52" s="216" t="s">
        <v>277</v>
      </c>
      <c r="G52" s="156" t="s">
        <v>316</v>
      </c>
      <c r="H52" s="217" t="s">
        <v>39</v>
      </c>
      <c r="I52" s="167" t="s">
        <v>11</v>
      </c>
      <c r="J52" s="92" t="str">
        <f t="shared" si="3"/>
        <v>TER B</v>
      </c>
      <c r="K52" s="52">
        <f t="shared" si="4"/>
        <v>4169500</v>
      </c>
      <c r="L52" s="52">
        <f t="shared" si="5"/>
        <v>33999</v>
      </c>
      <c r="M52" s="52">
        <f>'[2]HARVESTING '!AQ36</f>
        <v>161900</v>
      </c>
      <c r="N52" s="150">
        <f>'[2]HARVESTING '!U36</f>
        <v>155400</v>
      </c>
      <c r="O52" s="52"/>
      <c r="P52" s="150"/>
      <c r="Q52" s="52"/>
      <c r="R52" s="52">
        <f>'[2]HARVESTING '!AA36</f>
        <v>421200</v>
      </c>
      <c r="S52" s="52">
        <f>'[2]HARVESTING '!AC36</f>
        <v>0</v>
      </c>
      <c r="T52" s="52">
        <f>'[2]HARVESTING '!AD36</f>
        <v>43750</v>
      </c>
      <c r="U52" s="52"/>
      <c r="V52" s="52"/>
      <c r="W52" s="52"/>
      <c r="X52" s="150">
        <f>'[2]HARVESTING '!Z36</f>
        <v>12500</v>
      </c>
      <c r="Y52" s="52">
        <f>-'[2]HARVESTING '!AH36</f>
        <v>0</v>
      </c>
      <c r="Z52" s="52">
        <f>-'[2]HARVESTING '!BD36</f>
        <v>-403500</v>
      </c>
      <c r="AA52" s="52"/>
      <c r="AB52" s="52"/>
      <c r="AC52" s="153">
        <f t="shared" si="7"/>
        <v>4594749</v>
      </c>
      <c r="AD52" s="95">
        <f t="shared" si="0"/>
        <v>0</v>
      </c>
      <c r="AE52" s="155">
        <f t="shared" si="8"/>
        <v>0</v>
      </c>
      <c r="AF52" s="208"/>
      <c r="AG52" s="209"/>
      <c r="AH52" s="210"/>
      <c r="AI52" s="211"/>
      <c r="AJ52" s="158">
        <f>'[2]HARVESTING '!AL36</f>
        <v>4398850</v>
      </c>
      <c r="AK52" s="212">
        <f t="shared" si="1"/>
        <v>195899</v>
      </c>
      <c r="AL52" s="213">
        <f t="shared" si="9"/>
        <v>4594749</v>
      </c>
      <c r="AM52" s="195">
        <f t="shared" si="2"/>
        <v>0</v>
      </c>
      <c r="AN52" s="221"/>
      <c r="AO52" s="212"/>
      <c r="AQ52" s="212"/>
    </row>
    <row r="53" spans="2:43" s="214" customFormat="1" ht="20.25" customHeight="1">
      <c r="B53" s="144">
        <v>48</v>
      </c>
      <c r="C53" s="274" t="s">
        <v>209</v>
      </c>
      <c r="D53" s="275" t="s">
        <v>318</v>
      </c>
      <c r="E53" s="49" t="s">
        <v>189</v>
      </c>
      <c r="F53" s="216" t="s">
        <v>260</v>
      </c>
      <c r="G53" s="156" t="s">
        <v>316</v>
      </c>
      <c r="H53" s="217" t="s">
        <v>39</v>
      </c>
      <c r="I53" s="167" t="s">
        <v>9</v>
      </c>
      <c r="J53" s="92" t="str">
        <f t="shared" si="3"/>
        <v>TER B</v>
      </c>
      <c r="K53" s="52">
        <f t="shared" si="4"/>
        <v>4169500</v>
      </c>
      <c r="L53" s="52">
        <f t="shared" si="5"/>
        <v>33915</v>
      </c>
      <c r="M53" s="52">
        <f>'[2]HARVESTING '!AQ37</f>
        <v>161500</v>
      </c>
      <c r="N53" s="150">
        <f>'[2]HARVESTING '!U37</f>
        <v>144150</v>
      </c>
      <c r="O53" s="52"/>
      <c r="P53" s="150"/>
      <c r="Q53" s="52"/>
      <c r="R53" s="52">
        <f>'[2]HARVESTING '!AA37</f>
        <v>634400</v>
      </c>
      <c r="S53" s="52">
        <f>'[2]HARVESTING '!AC37</f>
        <v>233894</v>
      </c>
      <c r="T53" s="52">
        <f>'[2]HARVESTING '!AD37</f>
        <v>232750</v>
      </c>
      <c r="U53" s="52"/>
      <c r="V53" s="52"/>
      <c r="W53" s="52"/>
      <c r="X53" s="150">
        <f>'[2]HARVESTING '!Z37</f>
        <v>2500</v>
      </c>
      <c r="Y53" s="52">
        <f>-'[2]HARVESTING '!AH37</f>
        <v>0</v>
      </c>
      <c r="Z53" s="52">
        <f>-'[2]HARVESTING '!BD37</f>
        <v>0</v>
      </c>
      <c r="AA53" s="52"/>
      <c r="AB53" s="52"/>
      <c r="AC53" s="153">
        <f t="shared" si="7"/>
        <v>5612609</v>
      </c>
      <c r="AD53" s="95">
        <f t="shared" si="0"/>
        <v>0</v>
      </c>
      <c r="AE53" s="155">
        <f t="shared" si="8"/>
        <v>0</v>
      </c>
      <c r="AF53" s="208"/>
      <c r="AG53" s="209"/>
      <c r="AH53" s="210"/>
      <c r="AI53" s="211"/>
      <c r="AJ53" s="158">
        <f>'[2]HARVESTING '!AL37</f>
        <v>5417194</v>
      </c>
      <c r="AK53" s="212">
        <f t="shared" si="1"/>
        <v>195415</v>
      </c>
      <c r="AL53" s="213">
        <f t="shared" si="9"/>
        <v>5612609</v>
      </c>
      <c r="AM53" s="195">
        <f t="shared" si="2"/>
        <v>0</v>
      </c>
      <c r="AN53" s="221"/>
      <c r="AO53" s="212"/>
      <c r="AQ53" s="212"/>
    </row>
    <row r="54" spans="2:43" s="27" customFormat="1" ht="20.25" customHeight="1">
      <c r="B54" s="144">
        <v>49</v>
      </c>
      <c r="C54" s="145" t="s">
        <v>210</v>
      </c>
      <c r="D54" s="48" t="s">
        <v>261</v>
      </c>
      <c r="E54" s="49" t="s">
        <v>189</v>
      </c>
      <c r="F54" s="47" t="s">
        <v>262</v>
      </c>
      <c r="G54" s="156" t="s">
        <v>316</v>
      </c>
      <c r="H54" s="50" t="s">
        <v>39</v>
      </c>
      <c r="I54" s="167" t="s">
        <v>9</v>
      </c>
      <c r="J54" s="92" t="str">
        <f t="shared" si="3"/>
        <v>TER B</v>
      </c>
      <c r="K54" s="52">
        <f t="shared" si="4"/>
        <v>4169500</v>
      </c>
      <c r="L54" s="52">
        <f t="shared" si="5"/>
        <v>33915</v>
      </c>
      <c r="M54" s="52">
        <f>'[2]HARVESTING '!AQ38</f>
        <v>161500</v>
      </c>
      <c r="N54" s="150">
        <f>'[2]HARVESTING '!U38</f>
        <v>144150</v>
      </c>
      <c r="O54" s="52"/>
      <c r="P54" s="150"/>
      <c r="Q54" s="52"/>
      <c r="R54" s="52">
        <f>'[2]HARVESTING '!AA38</f>
        <v>393250</v>
      </c>
      <c r="S54" s="52">
        <f>'[2]HARVESTING '!AC38</f>
        <v>236712</v>
      </c>
      <c r="T54" s="52">
        <f>'[2]HARVESTING '!AD38</f>
        <v>197750</v>
      </c>
      <c r="U54" s="52"/>
      <c r="V54" s="52"/>
      <c r="W54" s="52"/>
      <c r="X54" s="150">
        <f>'[2]HARVESTING '!Z38</f>
        <v>2500</v>
      </c>
      <c r="Y54" s="52">
        <f>-'[2]HARVESTING '!AH38</f>
        <v>0</v>
      </c>
      <c r="Z54" s="52">
        <f>-'[2]HARVESTING '!BD38</f>
        <v>0</v>
      </c>
      <c r="AA54" s="52"/>
      <c r="AB54" s="52"/>
      <c r="AC54" s="153">
        <f t="shared" si="7"/>
        <v>5339277</v>
      </c>
      <c r="AD54" s="95">
        <f t="shared" si="0"/>
        <v>0</v>
      </c>
      <c r="AE54" s="155">
        <f t="shared" si="8"/>
        <v>0</v>
      </c>
      <c r="AF54" s="187"/>
      <c r="AG54" s="170"/>
      <c r="AH54" s="185"/>
      <c r="AI54" s="192"/>
      <c r="AJ54" s="158">
        <f>'[2]HARVESTING '!AL38</f>
        <v>5143862</v>
      </c>
      <c r="AK54" s="212">
        <f t="shared" si="1"/>
        <v>195415</v>
      </c>
      <c r="AL54" s="213">
        <f t="shared" si="9"/>
        <v>5339277</v>
      </c>
      <c r="AM54" s="195">
        <f t="shared" si="2"/>
        <v>0</v>
      </c>
      <c r="AN54" s="222"/>
      <c r="AO54" s="142"/>
      <c r="AQ54" s="142"/>
    </row>
    <row r="55" spans="2:43" s="27" customFormat="1" ht="20.25" customHeight="1">
      <c r="B55" s="144">
        <v>50</v>
      </c>
      <c r="C55" s="145" t="s">
        <v>220</v>
      </c>
      <c r="D55" s="48" t="s">
        <v>287</v>
      </c>
      <c r="E55" s="49" t="s">
        <v>189</v>
      </c>
      <c r="F55" s="47" t="s">
        <v>288</v>
      </c>
      <c r="G55" s="156" t="s">
        <v>316</v>
      </c>
      <c r="H55" s="50" t="s">
        <v>39</v>
      </c>
      <c r="I55" s="167" t="s">
        <v>9</v>
      </c>
      <c r="J55" s="92" t="str">
        <f t="shared" si="3"/>
        <v>TER B</v>
      </c>
      <c r="K55" s="52">
        <f t="shared" si="4"/>
        <v>4169500</v>
      </c>
      <c r="L55" s="52">
        <f t="shared" si="5"/>
        <v>34045.199999999997</v>
      </c>
      <c r="M55" s="52">
        <f>'[2]HARVESTING '!AQ39</f>
        <v>162120</v>
      </c>
      <c r="N55" s="150">
        <f>'[2]HARVESTING '!U39</f>
        <v>144150</v>
      </c>
      <c r="O55" s="52"/>
      <c r="P55" s="150"/>
      <c r="Q55" s="52"/>
      <c r="R55" s="52">
        <f>'[2]HARVESTING '!AA39</f>
        <v>188500</v>
      </c>
      <c r="S55" s="52">
        <f>'[2]HARVESTING '!AC39</f>
        <v>246575</v>
      </c>
      <c r="T55" s="52">
        <f>'[2]HARVESTING '!AD39</f>
        <v>234500</v>
      </c>
      <c r="U55" s="52"/>
      <c r="V55" s="52"/>
      <c r="W55" s="52"/>
      <c r="X55" s="150">
        <f>'[2]HARVESTING '!Z39</f>
        <v>18000</v>
      </c>
      <c r="Y55" s="52">
        <f>-'[2]HARVESTING '!AH39</f>
        <v>0</v>
      </c>
      <c r="Z55" s="52">
        <f>-'[2]HARVESTING '!BD39</f>
        <v>0</v>
      </c>
      <c r="AA55" s="52"/>
      <c r="AB55" s="52"/>
      <c r="AC55" s="153">
        <f t="shared" si="7"/>
        <v>5197390</v>
      </c>
      <c r="AD55" s="95">
        <f t="shared" si="0"/>
        <v>0</v>
      </c>
      <c r="AE55" s="155">
        <f t="shared" si="8"/>
        <v>0</v>
      </c>
      <c r="AF55" s="187"/>
      <c r="AG55" s="170"/>
      <c r="AH55" s="185"/>
      <c r="AI55" s="192"/>
      <c r="AJ55" s="158">
        <f>'[2]HARVESTING '!AL39</f>
        <v>5001225</v>
      </c>
      <c r="AK55" s="212">
        <f t="shared" si="1"/>
        <v>196165.2</v>
      </c>
      <c r="AL55" s="213">
        <f t="shared" si="9"/>
        <v>5197390.2</v>
      </c>
      <c r="AM55" s="195">
        <f t="shared" si="2"/>
        <v>0.20000000018626451</v>
      </c>
      <c r="AN55" s="222"/>
      <c r="AO55" s="142"/>
      <c r="AQ55" s="142"/>
    </row>
    <row r="56" spans="2:43" s="27" customFormat="1" ht="20.25" customHeight="1">
      <c r="B56" s="144">
        <v>51</v>
      </c>
      <c r="C56" s="145" t="s">
        <v>221</v>
      </c>
      <c r="D56" s="48" t="s">
        <v>289</v>
      </c>
      <c r="E56" s="49" t="s">
        <v>189</v>
      </c>
      <c r="F56" s="47" t="s">
        <v>290</v>
      </c>
      <c r="G56" s="156" t="s">
        <v>316</v>
      </c>
      <c r="H56" s="50" t="s">
        <v>39</v>
      </c>
      <c r="I56" s="167" t="s">
        <v>9</v>
      </c>
      <c r="J56" s="92" t="str">
        <f t="shared" si="3"/>
        <v>TER B</v>
      </c>
      <c r="K56" s="52">
        <f t="shared" si="4"/>
        <v>4169500</v>
      </c>
      <c r="L56" s="52">
        <f t="shared" si="5"/>
        <v>34020</v>
      </c>
      <c r="M56" s="52">
        <f>'[2]HARVESTING '!AQ40</f>
        <v>162000</v>
      </c>
      <c r="N56" s="150">
        <f>'[2]HARVESTING '!U40</f>
        <v>144150</v>
      </c>
      <c r="O56" s="52"/>
      <c r="P56" s="150"/>
      <c r="Q56" s="52"/>
      <c r="R56" s="52">
        <f>'[2]HARVESTING '!AA40</f>
        <v>0</v>
      </c>
      <c r="S56" s="52">
        <f>'[2]HARVESTING '!AC40</f>
        <v>174716</v>
      </c>
      <c r="T56" s="52">
        <f>'[2]HARVESTING '!AD40</f>
        <v>225750</v>
      </c>
      <c r="U56" s="52"/>
      <c r="V56" s="52"/>
      <c r="W56" s="52"/>
      <c r="X56" s="150">
        <f>'[2]HARVESTING '!Z40</f>
        <v>15000</v>
      </c>
      <c r="Y56" s="52">
        <f>-'[2]HARVESTING '!AH40</f>
        <v>-62767</v>
      </c>
      <c r="Z56" s="52">
        <f>-'[2]HARVESTING '!BD40</f>
        <v>0</v>
      </c>
      <c r="AA56" s="52"/>
      <c r="AB56" s="52"/>
      <c r="AC56" s="153">
        <f t="shared" si="7"/>
        <v>4862369</v>
      </c>
      <c r="AD56" s="95">
        <f t="shared" si="0"/>
        <v>0</v>
      </c>
      <c r="AE56" s="155">
        <f t="shared" si="8"/>
        <v>0</v>
      </c>
      <c r="AF56" s="187"/>
      <c r="AG56" s="170"/>
      <c r="AH56" s="185"/>
      <c r="AI56" s="192"/>
      <c r="AJ56" s="158">
        <f>'[2]HARVESTING '!AL40</f>
        <v>4666349</v>
      </c>
      <c r="AK56" s="212">
        <f t="shared" si="1"/>
        <v>196020</v>
      </c>
      <c r="AL56" s="213">
        <f t="shared" si="9"/>
        <v>4862369</v>
      </c>
      <c r="AM56" s="195">
        <f t="shared" si="2"/>
        <v>0</v>
      </c>
      <c r="AN56" s="222"/>
      <c r="AO56" s="142"/>
      <c r="AQ56" s="142"/>
    </row>
    <row r="57" spans="2:43" s="27" customFormat="1" ht="20.25" customHeight="1">
      <c r="B57" s="144">
        <v>52</v>
      </c>
      <c r="C57" s="165" t="s">
        <v>211</v>
      </c>
      <c r="D57" s="48" t="s">
        <v>266</v>
      </c>
      <c r="E57" s="49" t="s">
        <v>189</v>
      </c>
      <c r="F57" s="47" t="s">
        <v>267</v>
      </c>
      <c r="G57" s="156" t="s">
        <v>316</v>
      </c>
      <c r="H57" s="50" t="s">
        <v>39</v>
      </c>
      <c r="I57" s="167" t="s">
        <v>12</v>
      </c>
      <c r="J57" s="92" t="str">
        <f t="shared" si="3"/>
        <v>TER C</v>
      </c>
      <c r="K57" s="52">
        <f t="shared" si="4"/>
        <v>4169500</v>
      </c>
      <c r="L57" s="52">
        <f t="shared" si="5"/>
        <v>33915</v>
      </c>
      <c r="M57" s="52">
        <f>'[2]HARVESTING '!AQ41</f>
        <v>161500</v>
      </c>
      <c r="N57" s="150">
        <f>'[2]HARVESTING '!U41</f>
        <v>172050</v>
      </c>
      <c r="O57" s="52"/>
      <c r="P57" s="150"/>
      <c r="Q57" s="52"/>
      <c r="R57" s="52">
        <f>'[2]HARVESTING '!AA41</f>
        <v>404950</v>
      </c>
      <c r="S57" s="52">
        <f>'[2]HARVESTING '!AC41</f>
        <v>301526</v>
      </c>
      <c r="T57" s="52">
        <f>'[2]HARVESTING '!AD41</f>
        <v>355250</v>
      </c>
      <c r="U57" s="52"/>
      <c r="V57" s="52"/>
      <c r="W57" s="52"/>
      <c r="X57" s="150">
        <f>'[2]HARVESTING '!Z41</f>
        <v>2500</v>
      </c>
      <c r="Y57" s="52">
        <f>-'[2]HARVESTING '!AH41</f>
        <v>0</v>
      </c>
      <c r="Z57" s="52">
        <f>-'[2]HARVESTING '!BD41</f>
        <v>0</v>
      </c>
      <c r="AA57" s="52"/>
      <c r="AB57" s="52"/>
      <c r="AC57" s="153">
        <f t="shared" si="7"/>
        <v>5601191</v>
      </c>
      <c r="AD57" s="95">
        <f t="shared" si="0"/>
        <v>0</v>
      </c>
      <c r="AE57" s="155">
        <f t="shared" si="8"/>
        <v>0</v>
      </c>
      <c r="AF57" s="187"/>
      <c r="AG57" s="170"/>
      <c r="AH57" s="185"/>
      <c r="AI57" s="192"/>
      <c r="AJ57" s="158">
        <f>'[2]HARVESTING '!AL41</f>
        <v>5405776</v>
      </c>
      <c r="AK57" s="212">
        <f t="shared" si="1"/>
        <v>195415</v>
      </c>
      <c r="AL57" s="213">
        <f t="shared" si="9"/>
        <v>5601191</v>
      </c>
      <c r="AM57" s="195">
        <f t="shared" si="2"/>
        <v>0</v>
      </c>
      <c r="AN57" s="221"/>
      <c r="AO57" s="142"/>
      <c r="AQ57" s="142"/>
    </row>
    <row r="58" spans="2:43" s="27" customFormat="1" ht="20.25" customHeight="1">
      <c r="B58" s="144">
        <v>53</v>
      </c>
      <c r="C58" s="145" t="s">
        <v>223</v>
      </c>
      <c r="D58" s="48" t="s">
        <v>293</v>
      </c>
      <c r="E58" s="49" t="s">
        <v>189</v>
      </c>
      <c r="F58" s="47" t="s">
        <v>294</v>
      </c>
      <c r="G58" s="156" t="s">
        <v>316</v>
      </c>
      <c r="H58" s="50" t="s">
        <v>39</v>
      </c>
      <c r="I58" s="167" t="s">
        <v>9</v>
      </c>
      <c r="J58" s="92" t="str">
        <f t="shared" si="3"/>
        <v>TER B</v>
      </c>
      <c r="K58" s="52">
        <f t="shared" si="4"/>
        <v>4169500</v>
      </c>
      <c r="L58" s="52">
        <f t="shared" si="5"/>
        <v>33915</v>
      </c>
      <c r="M58" s="52">
        <f>'[2]HARVESTING '!AQ42</f>
        <v>161500</v>
      </c>
      <c r="N58" s="150">
        <f>'[2]HARVESTING '!U42</f>
        <v>144150</v>
      </c>
      <c r="O58" s="52"/>
      <c r="P58" s="150"/>
      <c r="Q58" s="52"/>
      <c r="R58" s="52">
        <f>'[2]HARVESTING '!AA42</f>
        <v>217750</v>
      </c>
      <c r="S58" s="52">
        <f>'[2]HARVESTING '!AC42</f>
        <v>190215</v>
      </c>
      <c r="T58" s="52">
        <f>'[2]HARVESTING '!AD42</f>
        <v>220500</v>
      </c>
      <c r="U58" s="52"/>
      <c r="V58" s="52"/>
      <c r="W58" s="52"/>
      <c r="X58" s="150">
        <f>'[2]HARVESTING '!Z42</f>
        <v>2500</v>
      </c>
      <c r="Y58" s="52">
        <f>-'[2]HARVESTING '!AH42</f>
        <v>0</v>
      </c>
      <c r="Z58" s="52">
        <f>-'[2]HARVESTING '!BD42</f>
        <v>0</v>
      </c>
      <c r="AA58" s="52"/>
      <c r="AB58" s="52"/>
      <c r="AC58" s="153">
        <f t="shared" si="7"/>
        <v>5140030</v>
      </c>
      <c r="AD58" s="95">
        <f t="shared" si="0"/>
        <v>0</v>
      </c>
      <c r="AE58" s="155">
        <f t="shared" si="8"/>
        <v>0</v>
      </c>
      <c r="AF58" s="187"/>
      <c r="AG58" s="170"/>
      <c r="AH58" s="189"/>
      <c r="AI58" s="193"/>
      <c r="AJ58" s="158">
        <f>'[2]HARVESTING '!AL42</f>
        <v>4944615</v>
      </c>
      <c r="AK58" s="212">
        <f t="shared" si="1"/>
        <v>195415</v>
      </c>
      <c r="AL58" s="213">
        <f t="shared" si="9"/>
        <v>5140030</v>
      </c>
      <c r="AM58" s="195">
        <f t="shared" si="2"/>
        <v>0</v>
      </c>
      <c r="AN58" s="221"/>
      <c r="AO58" s="142"/>
      <c r="AQ58" s="142"/>
    </row>
    <row r="59" spans="2:43" s="27" customFormat="1" ht="20.25" customHeight="1">
      <c r="B59" s="144">
        <v>54</v>
      </c>
      <c r="C59" s="145" t="s">
        <v>222</v>
      </c>
      <c r="D59" s="164" t="s">
        <v>291</v>
      </c>
      <c r="E59" s="49" t="s">
        <v>189</v>
      </c>
      <c r="F59" s="47" t="s">
        <v>292</v>
      </c>
      <c r="G59" s="156" t="s">
        <v>316</v>
      </c>
      <c r="H59" s="50" t="s">
        <v>39</v>
      </c>
      <c r="I59" s="167" t="s">
        <v>11</v>
      </c>
      <c r="J59" s="92" t="str">
        <f>IF(ISBLANK(I59),"",IF(OR(I59="TK/0",I59="TK/1",I59="K/0"),"TER A",IF(I59="K/3","TER C","TER B")))</f>
        <v>TER B</v>
      </c>
      <c r="K59" s="52">
        <f t="shared" si="4"/>
        <v>4169500</v>
      </c>
      <c r="L59" s="52">
        <f t="shared" si="5"/>
        <v>33915</v>
      </c>
      <c r="M59" s="52">
        <f>'[2]HARVESTING '!AQ43</f>
        <v>161500</v>
      </c>
      <c r="N59" s="150">
        <f>'[2]HARVESTING '!U43</f>
        <v>172050</v>
      </c>
      <c r="O59" s="52"/>
      <c r="P59" s="150"/>
      <c r="Q59" s="52"/>
      <c r="R59" s="52">
        <f>'[2]HARVESTING '!AA43</f>
        <v>171600</v>
      </c>
      <c r="S59" s="52">
        <f>'[2]HARVESTING '!AC43</f>
        <v>231076</v>
      </c>
      <c r="T59" s="52">
        <f>'[2]HARVESTING '!AD43</f>
        <v>269500</v>
      </c>
      <c r="U59" s="52"/>
      <c r="V59" s="52"/>
      <c r="W59" s="52"/>
      <c r="X59" s="150">
        <f>'[2]HARVESTING '!Z43</f>
        <v>2500</v>
      </c>
      <c r="Y59" s="52">
        <f>-'[2]HARVESTING '!AH43</f>
        <v>0</v>
      </c>
      <c r="Z59" s="52">
        <f>-'[2]HARVESTING '!BD43</f>
        <v>0</v>
      </c>
      <c r="AA59" s="52"/>
      <c r="AB59" s="52"/>
      <c r="AC59" s="153">
        <f t="shared" si="7"/>
        <v>5211641</v>
      </c>
      <c r="AD59" s="95">
        <f t="shared" si="0"/>
        <v>0</v>
      </c>
      <c r="AE59" s="155">
        <f t="shared" si="8"/>
        <v>0</v>
      </c>
      <c r="AF59" s="187"/>
      <c r="AG59" s="170"/>
      <c r="AH59" s="189"/>
      <c r="AI59" s="193"/>
      <c r="AJ59" s="158">
        <f>'[2]HARVESTING '!AL43</f>
        <v>5016226</v>
      </c>
      <c r="AK59" s="212">
        <f t="shared" si="1"/>
        <v>195415</v>
      </c>
      <c r="AL59" s="213">
        <f t="shared" si="9"/>
        <v>5211641</v>
      </c>
      <c r="AM59" s="195">
        <f t="shared" si="2"/>
        <v>0</v>
      </c>
      <c r="AN59" s="221"/>
      <c r="AO59" s="142"/>
      <c r="AQ59" s="142"/>
    </row>
    <row r="60" spans="2:43" s="27" customFormat="1" ht="20.25" customHeight="1">
      <c r="B60" s="144">
        <v>55</v>
      </c>
      <c r="C60" s="145" t="s">
        <v>295</v>
      </c>
      <c r="D60" s="164" t="s">
        <v>299</v>
      </c>
      <c r="E60" s="49" t="s">
        <v>300</v>
      </c>
      <c r="F60" s="47" t="s">
        <v>301</v>
      </c>
      <c r="G60" s="156" t="s">
        <v>98</v>
      </c>
      <c r="H60" s="50" t="s">
        <v>39</v>
      </c>
      <c r="I60" s="167" t="s">
        <v>9</v>
      </c>
      <c r="J60" s="92" t="str">
        <f t="shared" si="3"/>
        <v>TER B</v>
      </c>
      <c r="K60" s="52">
        <f t="shared" si="4"/>
        <v>4169500</v>
      </c>
      <c r="L60" s="52">
        <f t="shared" si="5"/>
        <v>34641.599999999999</v>
      </c>
      <c r="M60" s="52">
        <f>[2]TRANSPORT!AI11</f>
        <v>164960</v>
      </c>
      <c r="N60" s="52">
        <f>[2]TRANSPORT!S11</f>
        <v>139500</v>
      </c>
      <c r="O60" s="52">
        <f>[2]TRANSPORT!V11</f>
        <v>80500</v>
      </c>
      <c r="P60" s="52">
        <f>[2]TRANSPORT!Z11</f>
        <v>1224478</v>
      </c>
      <c r="Q60" s="52">
        <f>[2]TRANSPORT!Y11</f>
        <v>1073795</v>
      </c>
      <c r="R60" s="52"/>
      <c r="S60" s="52"/>
      <c r="T60" s="52"/>
      <c r="U60" s="52"/>
      <c r="V60" s="52"/>
      <c r="W60" s="52"/>
      <c r="X60" s="150">
        <f>[2]TRANSPORT!X11</f>
        <v>89000</v>
      </c>
      <c r="Y60" s="52"/>
      <c r="Z60" s="52">
        <f>-[2]TRANSPORT!AY11</f>
        <v>-134500</v>
      </c>
      <c r="AA60" s="52"/>
      <c r="AB60" s="52"/>
      <c r="AC60" s="153">
        <f t="shared" si="7"/>
        <v>6841875</v>
      </c>
      <c r="AD60" s="95">
        <f t="shared" si="0"/>
        <v>5.0000000000000001E-3</v>
      </c>
      <c r="AE60" s="155">
        <f t="shared" si="8"/>
        <v>34209</v>
      </c>
      <c r="AF60" s="187"/>
      <c r="AG60" s="170"/>
      <c r="AH60" s="189"/>
      <c r="AI60" s="193"/>
      <c r="AJ60" s="158">
        <f>[2]TRANSPORT!AD11</f>
        <v>6642273</v>
      </c>
      <c r="AK60" s="212">
        <f t="shared" si="1"/>
        <v>199601.6</v>
      </c>
      <c r="AL60" s="213">
        <f t="shared" si="9"/>
        <v>6841874.5999999996</v>
      </c>
      <c r="AM60" s="195">
        <f t="shared" si="2"/>
        <v>-0.40000000037252903</v>
      </c>
      <c r="AN60" s="221"/>
      <c r="AO60" s="142"/>
      <c r="AQ60" s="142"/>
    </row>
    <row r="61" spans="2:43" s="214" customFormat="1" ht="20.25" customHeight="1">
      <c r="B61" s="144">
        <v>56</v>
      </c>
      <c r="C61" s="165" t="s">
        <v>296</v>
      </c>
      <c r="D61" s="215" t="s">
        <v>302</v>
      </c>
      <c r="E61" s="49" t="s">
        <v>303</v>
      </c>
      <c r="F61" s="216" t="s">
        <v>146</v>
      </c>
      <c r="G61" s="206" t="s">
        <v>99</v>
      </c>
      <c r="H61" s="217" t="s">
        <v>39</v>
      </c>
      <c r="I61" s="167" t="s">
        <v>11</v>
      </c>
      <c r="J61" s="92" t="str">
        <f t="shared" si="3"/>
        <v>TER B</v>
      </c>
      <c r="K61" s="52">
        <f t="shared" si="4"/>
        <v>4169500</v>
      </c>
      <c r="L61" s="52">
        <f t="shared" si="5"/>
        <v>34171.199999999997</v>
      </c>
      <c r="M61" s="52">
        <f>[2]TRANSPORT!AI12</f>
        <v>162720</v>
      </c>
      <c r="N61" s="52">
        <f>[2]TRANSPORT!S12</f>
        <v>172050</v>
      </c>
      <c r="O61" s="52">
        <f>[2]TRANSPORT!V12</f>
        <v>62500</v>
      </c>
      <c r="P61" s="52">
        <f>[2]TRANSPORT!Z12</f>
        <v>1294448</v>
      </c>
      <c r="Q61" s="52">
        <f>[2]TRANSPORT!Y12</f>
        <v>1366420</v>
      </c>
      <c r="R61" s="52"/>
      <c r="S61" s="52"/>
      <c r="T61" s="52"/>
      <c r="U61" s="52"/>
      <c r="V61" s="52"/>
      <c r="W61" s="52"/>
      <c r="X61" s="150">
        <f>[2]TRANSPORT!X12</f>
        <v>33000</v>
      </c>
      <c r="Y61" s="52"/>
      <c r="Z61" s="52">
        <f>-[2]TRANSPORT!AY12</f>
        <v>0</v>
      </c>
      <c r="AA61" s="52"/>
      <c r="AB61" s="52"/>
      <c r="AC61" s="153">
        <f t="shared" si="7"/>
        <v>7294809</v>
      </c>
      <c r="AD61" s="95">
        <f t="shared" si="0"/>
        <v>7.4999999999999997E-3</v>
      </c>
      <c r="AE61" s="155">
        <f t="shared" si="8"/>
        <v>54711</v>
      </c>
      <c r="AF61" s="208"/>
      <c r="AG61" s="209"/>
      <c r="AH61" s="218"/>
      <c r="AI61" s="219"/>
      <c r="AJ61" s="158">
        <f>[2]TRANSPORT!AD12</f>
        <v>7097918</v>
      </c>
      <c r="AK61" s="212">
        <f t="shared" si="1"/>
        <v>196891.2</v>
      </c>
      <c r="AL61" s="213">
        <f t="shared" si="9"/>
        <v>7294809.2000000002</v>
      </c>
      <c r="AM61" s="195">
        <f t="shared" si="2"/>
        <v>0.20000000018626451</v>
      </c>
      <c r="AN61" s="221"/>
      <c r="AO61" s="212"/>
      <c r="AQ61" s="212"/>
    </row>
    <row r="62" spans="2:43" s="27" customFormat="1" ht="20.25" customHeight="1">
      <c r="B62" s="144">
        <v>57</v>
      </c>
      <c r="C62" s="145" t="s">
        <v>297</v>
      </c>
      <c r="D62" s="48" t="s">
        <v>304</v>
      </c>
      <c r="E62" s="49" t="s">
        <v>305</v>
      </c>
      <c r="F62" s="47" t="s">
        <v>306</v>
      </c>
      <c r="G62" s="156" t="s">
        <v>98</v>
      </c>
      <c r="H62" s="50" t="s">
        <v>39</v>
      </c>
      <c r="I62" s="51" t="s">
        <v>9</v>
      </c>
      <c r="J62" s="92" t="str">
        <f t="shared" si="3"/>
        <v>TER B</v>
      </c>
      <c r="K62" s="52">
        <f t="shared" si="4"/>
        <v>4169500</v>
      </c>
      <c r="L62" s="52">
        <f t="shared" si="5"/>
        <v>34641.599999999999</v>
      </c>
      <c r="M62" s="52">
        <f>[2]TRANSPORT!AI13</f>
        <v>164960</v>
      </c>
      <c r="N62" s="52">
        <f>[2]TRANSPORT!S13</f>
        <v>100750</v>
      </c>
      <c r="O62" s="52">
        <f>[2]TRANSPORT!V13</f>
        <v>87500</v>
      </c>
      <c r="P62" s="52">
        <f>[2]TRANSPORT!Z13</f>
        <v>1481036</v>
      </c>
      <c r="Q62" s="52">
        <f>[2]TRANSPORT!Y13</f>
        <v>1621395</v>
      </c>
      <c r="R62" s="52"/>
      <c r="S62" s="52"/>
      <c r="T62" s="52"/>
      <c r="U62" s="52"/>
      <c r="V62" s="52"/>
      <c r="W62" s="52"/>
      <c r="X62" s="150">
        <f>[2]TRANSPORT!X13</f>
        <v>89000</v>
      </c>
      <c r="Y62" s="52"/>
      <c r="Z62" s="52">
        <f>-[2]TRANSPORT!AY13</f>
        <v>0</v>
      </c>
      <c r="AA62" s="52"/>
      <c r="AB62" s="52"/>
      <c r="AC62" s="153">
        <f t="shared" si="7"/>
        <v>7748783</v>
      </c>
      <c r="AD62" s="95">
        <f t="shared" si="0"/>
        <v>0.01</v>
      </c>
      <c r="AE62" s="155">
        <f t="shared" si="8"/>
        <v>77488</v>
      </c>
      <c r="AF62" s="187"/>
      <c r="AG62" s="170"/>
      <c r="AH62" s="189"/>
      <c r="AI62" s="193"/>
      <c r="AJ62" s="158">
        <f>[2]TRANSPORT!AD13</f>
        <v>7549181</v>
      </c>
      <c r="AK62" s="212">
        <f t="shared" si="1"/>
        <v>199601.6</v>
      </c>
      <c r="AL62" s="213">
        <f t="shared" si="9"/>
        <v>7748782.5999999996</v>
      </c>
      <c r="AM62" s="195">
        <f t="shared" si="2"/>
        <v>-0.40000000037252903</v>
      </c>
      <c r="AN62" s="222"/>
      <c r="AO62" s="142"/>
      <c r="AQ62" s="142"/>
    </row>
    <row r="63" spans="2:43" s="27" customFormat="1" ht="20.25" customHeight="1" thickBot="1">
      <c r="B63" s="144">
        <v>58</v>
      </c>
      <c r="C63" s="145" t="s">
        <v>298</v>
      </c>
      <c r="D63" s="164" t="s">
        <v>307</v>
      </c>
      <c r="E63" s="49" t="s">
        <v>189</v>
      </c>
      <c r="F63" s="47" t="s">
        <v>308</v>
      </c>
      <c r="G63" s="156" t="s">
        <v>99</v>
      </c>
      <c r="H63" s="50" t="s">
        <v>39</v>
      </c>
      <c r="I63" s="51" t="s">
        <v>11</v>
      </c>
      <c r="J63" s="92" t="str">
        <f t="shared" si="3"/>
        <v>TER B</v>
      </c>
      <c r="K63" s="52">
        <f t="shared" si="4"/>
        <v>4169500</v>
      </c>
      <c r="L63" s="52">
        <f t="shared" si="5"/>
        <v>34020</v>
      </c>
      <c r="M63" s="52">
        <f>[2]TRANSPORT!AI14</f>
        <v>162000</v>
      </c>
      <c r="N63" s="52">
        <f>[2]TRANSPORT!S14</f>
        <v>160950</v>
      </c>
      <c r="O63" s="52">
        <f>[2]TRANSPORT!V14</f>
        <v>57500</v>
      </c>
      <c r="P63" s="52">
        <f>[2]TRANSPORT!Z14</f>
        <v>1142846</v>
      </c>
      <c r="Q63" s="52">
        <f>[2]TRANSPORT!Y14</f>
        <v>1199460</v>
      </c>
      <c r="R63" s="52"/>
      <c r="S63" s="52"/>
      <c r="T63" s="52"/>
      <c r="U63" s="52"/>
      <c r="V63" s="52"/>
      <c r="W63" s="52"/>
      <c r="X63" s="150">
        <f>[2]TRANSPORT!X14</f>
        <v>15000</v>
      </c>
      <c r="Y63" s="52"/>
      <c r="Z63" s="52">
        <f>-[2]TRANSPORT!AY14</f>
        <v>-269000</v>
      </c>
      <c r="AA63" s="52"/>
      <c r="AB63" s="52"/>
      <c r="AC63" s="153">
        <f t="shared" si="7"/>
        <v>6672276</v>
      </c>
      <c r="AD63" s="95">
        <f t="shared" si="0"/>
        <v>5.0000000000000001E-3</v>
      </c>
      <c r="AE63" s="155">
        <f t="shared" si="8"/>
        <v>33361</v>
      </c>
      <c r="AF63" s="187"/>
      <c r="AG63" s="170"/>
      <c r="AH63" s="189"/>
      <c r="AI63" s="193"/>
      <c r="AJ63" s="158">
        <f>[2]TRANSPORT!AD14</f>
        <v>6476256</v>
      </c>
      <c r="AK63" s="212">
        <f t="shared" si="1"/>
        <v>196020</v>
      </c>
      <c r="AL63" s="213">
        <f t="shared" si="9"/>
        <v>6672276</v>
      </c>
      <c r="AM63" s="195">
        <f t="shared" si="2"/>
        <v>0</v>
      </c>
      <c r="AN63" s="222"/>
      <c r="AO63" s="142"/>
      <c r="AQ63" s="142"/>
    </row>
    <row r="64" spans="2:43" s="27" customFormat="1" ht="15.75" hidden="1" customHeight="1">
      <c r="B64" s="144"/>
      <c r="C64" s="145"/>
      <c r="D64" s="164"/>
      <c r="E64" s="49"/>
      <c r="F64" s="166"/>
      <c r="G64" s="156"/>
      <c r="H64" s="50"/>
      <c r="I64" s="51"/>
      <c r="J64" s="92" t="str">
        <f t="shared" si="3"/>
        <v/>
      </c>
      <c r="K64" s="52"/>
      <c r="L64" s="52"/>
      <c r="M64" s="52"/>
      <c r="N64" s="52"/>
      <c r="O64" s="52">
        <f>[2]TRANSPORT!V15</f>
        <v>288000</v>
      </c>
      <c r="P64" s="52"/>
      <c r="Q64" s="52"/>
      <c r="R64" s="52"/>
      <c r="S64" s="52"/>
      <c r="T64" s="52"/>
      <c r="U64" s="52"/>
      <c r="V64" s="52"/>
      <c r="W64" s="52"/>
      <c r="X64" s="150"/>
      <c r="Y64" s="52"/>
      <c r="Z64" s="52"/>
      <c r="AA64" s="52"/>
      <c r="AB64" s="52"/>
      <c r="AC64" s="153"/>
      <c r="AD64" s="95"/>
      <c r="AE64" s="155"/>
      <c r="AF64" s="187"/>
      <c r="AG64" s="170"/>
      <c r="AH64" s="189"/>
      <c r="AI64" s="193"/>
      <c r="AJ64" s="158"/>
      <c r="AK64" s="142"/>
      <c r="AL64" s="213"/>
      <c r="AM64" s="159"/>
      <c r="AN64" s="159"/>
      <c r="AO64" s="142"/>
      <c r="AQ64" s="142"/>
    </row>
    <row r="65" spans="2:43" s="27" customFormat="1" ht="15.75" hidden="1" customHeight="1">
      <c r="B65" s="144"/>
      <c r="C65" s="145"/>
      <c r="D65" s="48"/>
      <c r="E65" s="49"/>
      <c r="F65" s="47"/>
      <c r="G65" s="156"/>
      <c r="H65" s="50"/>
      <c r="I65" s="51"/>
      <c r="J65" s="92" t="str">
        <f t="shared" si="3"/>
        <v/>
      </c>
      <c r="K65" s="52"/>
      <c r="L65" s="52"/>
      <c r="M65" s="52"/>
      <c r="N65" s="52"/>
      <c r="O65" s="52">
        <f>[2]TRANSPORT!V16</f>
        <v>0</v>
      </c>
      <c r="P65" s="52"/>
      <c r="Q65" s="52"/>
      <c r="R65" s="52"/>
      <c r="S65" s="52"/>
      <c r="T65" s="52"/>
      <c r="U65" s="52"/>
      <c r="V65" s="52"/>
      <c r="W65" s="52"/>
      <c r="X65" s="150"/>
      <c r="Y65" s="52"/>
      <c r="Z65" s="52"/>
      <c r="AA65" s="52"/>
      <c r="AB65" s="52"/>
      <c r="AC65" s="153"/>
      <c r="AD65" s="95"/>
      <c r="AE65" s="155"/>
      <c r="AF65" s="187"/>
      <c r="AG65" s="170"/>
      <c r="AH65" s="189"/>
      <c r="AI65" s="193"/>
      <c r="AJ65" s="158"/>
      <c r="AK65" s="142"/>
      <c r="AL65" s="213"/>
      <c r="AM65" s="159"/>
      <c r="AN65" s="159"/>
      <c r="AO65" s="142"/>
      <c r="AQ65" s="142"/>
    </row>
    <row r="66" spans="2:43" s="27" customFormat="1" ht="15.75" hidden="1" customHeight="1">
      <c r="B66" s="144"/>
      <c r="C66" s="165"/>
      <c r="D66" s="48"/>
      <c r="E66" s="49"/>
      <c r="F66" s="47"/>
      <c r="G66" s="156"/>
      <c r="H66" s="50"/>
      <c r="I66" s="51"/>
      <c r="J66" s="92" t="str">
        <f t="shared" si="3"/>
        <v/>
      </c>
      <c r="K66" s="52"/>
      <c r="L66" s="52"/>
      <c r="M66" s="52"/>
      <c r="N66" s="52"/>
      <c r="O66" s="52">
        <f>[2]TRANSPORT!V17</f>
        <v>0</v>
      </c>
      <c r="P66" s="52"/>
      <c r="Q66" s="52"/>
      <c r="R66" s="52"/>
      <c r="S66" s="52"/>
      <c r="T66" s="52"/>
      <c r="U66" s="52"/>
      <c r="V66" s="52"/>
      <c r="W66" s="52"/>
      <c r="X66" s="150"/>
      <c r="Y66" s="52"/>
      <c r="Z66" s="52"/>
      <c r="AA66" s="52"/>
      <c r="AB66" s="52"/>
      <c r="AC66" s="153"/>
      <c r="AD66" s="95"/>
      <c r="AE66" s="155"/>
      <c r="AF66" s="187"/>
      <c r="AG66" s="170"/>
      <c r="AH66" s="189"/>
      <c r="AI66" s="193"/>
      <c r="AJ66" s="158"/>
      <c r="AK66" s="142"/>
      <c r="AL66" s="213"/>
      <c r="AM66" s="159"/>
      <c r="AN66" s="159"/>
      <c r="AO66" s="142"/>
      <c r="AQ66" s="142"/>
    </row>
    <row r="67" spans="2:43" s="27" customFormat="1" ht="15.75" hidden="1" customHeight="1">
      <c r="B67" s="144"/>
      <c r="C67" s="145"/>
      <c r="D67" s="48"/>
      <c r="E67" s="49"/>
      <c r="F67" s="47"/>
      <c r="G67" s="156"/>
      <c r="H67" s="50"/>
      <c r="I67" s="51"/>
      <c r="J67" s="92" t="str">
        <f t="shared" ref="J67:J79" si="10">IF(ISBLANK(I67),"",IF(OR(I67="TK/0",I67="TK/1",I67="K/0"),"TER A",IF(I67="K/3","TER C","TER B")))</f>
        <v/>
      </c>
      <c r="K67" s="52"/>
      <c r="L67" s="52"/>
      <c r="M67" s="52"/>
      <c r="N67" s="52"/>
      <c r="O67" s="52">
        <f>[2]TRANSPORT!V18</f>
        <v>0</v>
      </c>
      <c r="P67" s="52"/>
      <c r="Q67" s="52"/>
      <c r="R67" s="52"/>
      <c r="S67" s="52"/>
      <c r="T67" s="52"/>
      <c r="U67" s="52"/>
      <c r="V67" s="52"/>
      <c r="W67" s="52"/>
      <c r="X67" s="150"/>
      <c r="Y67" s="52"/>
      <c r="Z67" s="52"/>
      <c r="AA67" s="52"/>
      <c r="AB67" s="52"/>
      <c r="AC67" s="153"/>
      <c r="AD67" s="95"/>
      <c r="AE67" s="155"/>
      <c r="AF67" s="187"/>
      <c r="AG67" s="170"/>
      <c r="AH67" s="189"/>
      <c r="AI67" s="193"/>
      <c r="AJ67" s="158"/>
      <c r="AK67" s="142"/>
      <c r="AL67" s="213"/>
      <c r="AM67" s="159"/>
      <c r="AN67" s="159"/>
      <c r="AO67" s="142"/>
      <c r="AQ67" s="142"/>
    </row>
    <row r="68" spans="2:43" s="27" customFormat="1" ht="15.75" hidden="1" customHeight="1">
      <c r="B68" s="144"/>
      <c r="C68" s="145"/>
      <c r="D68" s="48"/>
      <c r="E68" s="49"/>
      <c r="F68" s="47"/>
      <c r="G68" s="156"/>
      <c r="H68" s="50"/>
      <c r="I68" s="51"/>
      <c r="J68" s="92" t="str">
        <f t="shared" si="10"/>
        <v/>
      </c>
      <c r="K68" s="52"/>
      <c r="L68" s="52"/>
      <c r="M68" s="52"/>
      <c r="N68" s="52"/>
      <c r="O68" s="52">
        <f>[2]TRANSPORT!V19</f>
        <v>0</v>
      </c>
      <c r="P68" s="52"/>
      <c r="Q68" s="52"/>
      <c r="R68" s="52"/>
      <c r="S68" s="52"/>
      <c r="T68" s="52"/>
      <c r="U68" s="52"/>
      <c r="V68" s="52"/>
      <c r="W68" s="52"/>
      <c r="X68" s="150"/>
      <c r="Y68" s="52"/>
      <c r="Z68" s="52"/>
      <c r="AA68" s="52"/>
      <c r="AB68" s="52"/>
      <c r="AC68" s="153"/>
      <c r="AD68" s="95"/>
      <c r="AE68" s="155"/>
      <c r="AF68" s="187"/>
      <c r="AG68" s="170"/>
      <c r="AH68" s="189"/>
      <c r="AI68" s="193"/>
      <c r="AJ68" s="158"/>
      <c r="AK68" s="142"/>
      <c r="AL68" s="213"/>
      <c r="AM68" s="159"/>
      <c r="AN68" s="159"/>
      <c r="AO68" s="142"/>
      <c r="AQ68" s="142"/>
    </row>
    <row r="69" spans="2:43" s="27" customFormat="1" ht="15.75" hidden="1" customHeight="1">
      <c r="B69" s="144"/>
      <c r="C69" s="145"/>
      <c r="D69" s="48"/>
      <c r="E69" s="49"/>
      <c r="F69" s="47"/>
      <c r="G69" s="156"/>
      <c r="H69" s="50"/>
      <c r="I69" s="51"/>
      <c r="J69" s="92" t="str">
        <f t="shared" si="10"/>
        <v/>
      </c>
      <c r="K69" s="52"/>
      <c r="L69" s="52"/>
      <c r="M69" s="52"/>
      <c r="N69" s="52"/>
      <c r="O69" s="52">
        <f>[2]TRANSPORT!V20</f>
        <v>0</v>
      </c>
      <c r="P69" s="52"/>
      <c r="Q69" s="52"/>
      <c r="R69" s="52"/>
      <c r="S69" s="52"/>
      <c r="T69" s="52"/>
      <c r="U69" s="52"/>
      <c r="V69" s="52"/>
      <c r="W69" s="52"/>
      <c r="X69" s="150"/>
      <c r="Y69" s="52"/>
      <c r="Z69" s="52"/>
      <c r="AA69" s="52"/>
      <c r="AB69" s="52"/>
      <c r="AC69" s="153"/>
      <c r="AD69" s="95"/>
      <c r="AE69" s="155"/>
      <c r="AF69" s="187"/>
      <c r="AG69" s="170"/>
      <c r="AH69" s="189"/>
      <c r="AI69" s="193"/>
      <c r="AJ69" s="158"/>
      <c r="AK69" s="142"/>
      <c r="AL69" s="213"/>
      <c r="AM69" s="159"/>
      <c r="AN69" s="159"/>
      <c r="AO69" s="142"/>
      <c r="AQ69" s="142"/>
    </row>
    <row r="70" spans="2:43" s="27" customFormat="1" ht="15.75" hidden="1" customHeight="1">
      <c r="B70" s="144"/>
      <c r="C70" s="145"/>
      <c r="D70" s="48"/>
      <c r="E70" s="49"/>
      <c r="F70" s="47"/>
      <c r="G70" s="156"/>
      <c r="H70" s="50"/>
      <c r="I70" s="51"/>
      <c r="J70" s="92" t="str">
        <f t="shared" si="10"/>
        <v/>
      </c>
      <c r="K70" s="52"/>
      <c r="L70" s="52"/>
      <c r="M70" s="52"/>
      <c r="N70" s="52"/>
      <c r="O70" s="52">
        <f>[2]TRANSPORT!V21</f>
        <v>0</v>
      </c>
      <c r="P70" s="52"/>
      <c r="Q70" s="52"/>
      <c r="R70" s="52"/>
      <c r="S70" s="52"/>
      <c r="T70" s="52"/>
      <c r="U70" s="52"/>
      <c r="V70" s="52"/>
      <c r="W70" s="52"/>
      <c r="X70" s="150"/>
      <c r="Y70" s="52"/>
      <c r="Z70" s="52"/>
      <c r="AA70" s="52"/>
      <c r="AB70" s="52"/>
      <c r="AC70" s="153"/>
      <c r="AD70" s="95"/>
      <c r="AE70" s="155"/>
      <c r="AF70" s="171"/>
      <c r="AG70" s="170"/>
      <c r="AH70" s="190"/>
      <c r="AI70" s="192"/>
      <c r="AJ70" s="158"/>
      <c r="AK70" s="142"/>
      <c r="AL70" s="213"/>
      <c r="AM70" s="159"/>
      <c r="AN70" s="159"/>
      <c r="AO70" s="142"/>
      <c r="AQ70" s="142"/>
    </row>
    <row r="71" spans="2:43" s="27" customFormat="1" ht="15.75" hidden="1" customHeight="1">
      <c r="B71" s="144"/>
      <c r="C71" s="145"/>
      <c r="D71" s="48"/>
      <c r="E71" s="49"/>
      <c r="F71" s="47"/>
      <c r="G71" s="156"/>
      <c r="H71" s="50"/>
      <c r="I71" s="51"/>
      <c r="J71" s="92" t="str">
        <f t="shared" si="10"/>
        <v/>
      </c>
      <c r="K71" s="52"/>
      <c r="L71" s="52"/>
      <c r="M71" s="52"/>
      <c r="N71" s="52"/>
      <c r="O71" s="52">
        <f>[2]TRANSPORT!V22</f>
        <v>0</v>
      </c>
      <c r="P71" s="52"/>
      <c r="Q71" s="52"/>
      <c r="R71" s="52"/>
      <c r="S71" s="52"/>
      <c r="T71" s="52"/>
      <c r="U71" s="52"/>
      <c r="V71" s="52"/>
      <c r="W71" s="52"/>
      <c r="X71" s="150"/>
      <c r="Y71" s="52"/>
      <c r="Z71" s="52"/>
      <c r="AA71" s="52"/>
      <c r="AB71" s="52"/>
      <c r="AC71" s="153"/>
      <c r="AD71" s="95"/>
      <c r="AE71" s="155"/>
      <c r="AF71" s="171"/>
      <c r="AG71" s="170"/>
      <c r="AH71" s="185"/>
      <c r="AI71" s="192"/>
      <c r="AJ71" s="158"/>
      <c r="AK71" s="142"/>
      <c r="AL71" s="213"/>
      <c r="AM71" s="159"/>
      <c r="AN71" s="159"/>
      <c r="AO71" s="142"/>
      <c r="AQ71" s="142"/>
    </row>
    <row r="72" spans="2:43" s="214" customFormat="1" ht="15.75" hidden="1" customHeight="1">
      <c r="B72" s="144"/>
      <c r="C72" s="165"/>
      <c r="D72" s="215"/>
      <c r="E72" s="49"/>
      <c r="F72" s="216"/>
      <c r="G72" s="206"/>
      <c r="H72" s="217"/>
      <c r="I72" s="167"/>
      <c r="J72" s="92" t="str">
        <f t="shared" si="10"/>
        <v/>
      </c>
      <c r="K72" s="52"/>
      <c r="L72" s="52"/>
      <c r="M72" s="52"/>
      <c r="N72" s="52"/>
      <c r="O72" s="52">
        <f>[2]TRANSPORT!V23</f>
        <v>0</v>
      </c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153"/>
      <c r="AD72" s="95"/>
      <c r="AE72" s="155"/>
      <c r="AF72" s="220"/>
      <c r="AG72" s="209"/>
      <c r="AH72" s="210"/>
      <c r="AI72" s="211"/>
      <c r="AJ72" s="158"/>
      <c r="AK72" s="212"/>
      <c r="AL72" s="213"/>
      <c r="AM72" s="195"/>
      <c r="AN72" s="195"/>
      <c r="AO72" s="212"/>
      <c r="AQ72" s="212"/>
    </row>
    <row r="73" spans="2:43" s="27" customFormat="1" ht="15.75" hidden="1" customHeight="1">
      <c r="B73" s="144"/>
      <c r="C73" s="145"/>
      <c r="D73" s="48"/>
      <c r="E73" s="49"/>
      <c r="F73" s="47"/>
      <c r="G73" s="156"/>
      <c r="H73" s="50"/>
      <c r="I73" s="51"/>
      <c r="J73" s="92" t="str">
        <f t="shared" si="10"/>
        <v/>
      </c>
      <c r="K73" s="52"/>
      <c r="L73" s="52"/>
      <c r="M73" s="52"/>
      <c r="N73" s="52"/>
      <c r="O73" s="52">
        <f>[2]TRANSPORT!V24</f>
        <v>0</v>
      </c>
      <c r="P73" s="52"/>
      <c r="Q73" s="52"/>
      <c r="R73" s="52"/>
      <c r="S73" s="52"/>
      <c r="T73" s="52"/>
      <c r="U73" s="52"/>
      <c r="V73" s="52"/>
      <c r="W73" s="52"/>
      <c r="X73" s="150"/>
      <c r="Y73" s="52"/>
      <c r="Z73" s="52"/>
      <c r="AA73" s="52"/>
      <c r="AB73" s="52"/>
      <c r="AC73" s="153"/>
      <c r="AD73" s="95"/>
      <c r="AE73" s="155"/>
      <c r="AF73" s="171"/>
      <c r="AG73" s="170"/>
      <c r="AH73" s="185"/>
      <c r="AI73" s="192"/>
      <c r="AJ73" s="158"/>
      <c r="AK73" s="142"/>
      <c r="AL73" s="213"/>
      <c r="AM73" s="159"/>
      <c r="AN73" s="159"/>
      <c r="AO73" s="142"/>
      <c r="AQ73" s="142"/>
    </row>
    <row r="74" spans="2:43" s="27" customFormat="1" ht="15.75" hidden="1" customHeight="1">
      <c r="B74" s="144"/>
      <c r="C74" s="145"/>
      <c r="D74" s="48"/>
      <c r="E74" s="49"/>
      <c r="F74" s="47"/>
      <c r="G74" s="156"/>
      <c r="H74" s="50"/>
      <c r="I74" s="51"/>
      <c r="J74" s="92" t="str">
        <f t="shared" si="10"/>
        <v/>
      </c>
      <c r="K74" s="52"/>
      <c r="L74" s="52"/>
      <c r="M74" s="52"/>
      <c r="N74" s="52"/>
      <c r="O74" s="52">
        <f>[2]TRANSPORT!V25</f>
        <v>0</v>
      </c>
      <c r="P74" s="52"/>
      <c r="Q74" s="52"/>
      <c r="R74" s="52"/>
      <c r="S74" s="52"/>
      <c r="T74" s="52"/>
      <c r="U74" s="52"/>
      <c r="V74" s="52"/>
      <c r="W74" s="52"/>
      <c r="X74" s="150"/>
      <c r="Y74" s="52"/>
      <c r="Z74" s="52"/>
      <c r="AA74" s="52"/>
      <c r="AB74" s="52"/>
      <c r="AC74" s="153"/>
      <c r="AD74" s="95"/>
      <c r="AE74" s="155"/>
      <c r="AF74" s="171"/>
      <c r="AG74" s="170"/>
      <c r="AH74" s="185"/>
      <c r="AI74" s="192"/>
      <c r="AJ74" s="158"/>
      <c r="AK74" s="142"/>
      <c r="AL74" s="213"/>
      <c r="AM74" s="159"/>
      <c r="AN74" s="159"/>
      <c r="AO74" s="142"/>
      <c r="AQ74" s="142"/>
    </row>
    <row r="75" spans="2:43" s="27" customFormat="1" ht="15.75" hidden="1" customHeight="1">
      <c r="B75" s="144"/>
      <c r="C75" s="145"/>
      <c r="D75" s="48"/>
      <c r="E75" s="49"/>
      <c r="F75" s="47"/>
      <c r="G75" s="156"/>
      <c r="H75" s="50"/>
      <c r="I75" s="51"/>
      <c r="J75" s="92" t="str">
        <f t="shared" si="10"/>
        <v/>
      </c>
      <c r="K75" s="52"/>
      <c r="L75" s="52"/>
      <c r="M75" s="52"/>
      <c r="N75" s="52"/>
      <c r="O75" s="52">
        <f>[2]TRANSPORT!V26</f>
        <v>0</v>
      </c>
      <c r="P75" s="52"/>
      <c r="Q75" s="52"/>
      <c r="R75" s="52"/>
      <c r="S75" s="52"/>
      <c r="T75" s="52"/>
      <c r="U75" s="52"/>
      <c r="V75" s="52"/>
      <c r="W75" s="52"/>
      <c r="X75" s="150"/>
      <c r="Y75" s="52"/>
      <c r="Z75" s="52"/>
      <c r="AA75" s="52"/>
      <c r="AB75" s="52"/>
      <c r="AC75" s="153"/>
      <c r="AD75" s="95"/>
      <c r="AE75" s="155"/>
      <c r="AF75" s="171"/>
      <c r="AG75" s="170"/>
      <c r="AH75" s="185"/>
      <c r="AI75" s="192"/>
      <c r="AJ75" s="158"/>
      <c r="AK75" s="142"/>
      <c r="AL75" s="213"/>
      <c r="AM75" s="159"/>
      <c r="AN75" s="159"/>
      <c r="AO75" s="142"/>
      <c r="AQ75" s="142"/>
    </row>
    <row r="76" spans="2:43" s="27" customFormat="1" ht="15.75" hidden="1" customHeight="1">
      <c r="B76" s="144"/>
      <c r="C76" s="145"/>
      <c r="D76" s="48"/>
      <c r="E76" s="49"/>
      <c r="F76" s="47"/>
      <c r="G76" s="156"/>
      <c r="H76" s="50"/>
      <c r="I76" s="51"/>
      <c r="J76" s="92" t="str">
        <f t="shared" si="10"/>
        <v/>
      </c>
      <c r="K76" s="52"/>
      <c r="L76" s="52"/>
      <c r="M76" s="52"/>
      <c r="N76" s="52"/>
      <c r="O76" s="52">
        <f>[2]TRANSPORT!V27</f>
        <v>0</v>
      </c>
      <c r="P76" s="52"/>
      <c r="Q76" s="52"/>
      <c r="R76" s="52"/>
      <c r="S76" s="52"/>
      <c r="T76" s="52"/>
      <c r="U76" s="52"/>
      <c r="V76" s="52"/>
      <c r="W76" s="52"/>
      <c r="X76" s="150"/>
      <c r="Y76" s="52"/>
      <c r="Z76" s="52"/>
      <c r="AA76" s="52"/>
      <c r="AB76" s="52"/>
      <c r="AC76" s="153"/>
      <c r="AD76" s="95"/>
      <c r="AE76" s="155"/>
      <c r="AF76" s="171"/>
      <c r="AG76" s="170"/>
      <c r="AH76" s="185"/>
      <c r="AI76" s="192"/>
      <c r="AJ76" s="158"/>
      <c r="AK76" s="142"/>
      <c r="AL76" s="213"/>
      <c r="AM76" s="159"/>
      <c r="AN76" s="159"/>
      <c r="AO76" s="142"/>
      <c r="AQ76" s="142"/>
    </row>
    <row r="77" spans="2:43" s="214" customFormat="1" ht="15.75" hidden="1" customHeight="1">
      <c r="B77" s="144"/>
      <c r="C77" s="165"/>
      <c r="D77" s="215"/>
      <c r="E77" s="49"/>
      <c r="F77" s="216"/>
      <c r="G77" s="206"/>
      <c r="H77" s="217"/>
      <c r="I77" s="167"/>
      <c r="J77" s="92" t="str">
        <f t="shared" si="10"/>
        <v/>
      </c>
      <c r="K77" s="52"/>
      <c r="L77" s="52"/>
      <c r="M77" s="52"/>
      <c r="N77" s="52"/>
      <c r="O77" s="52">
        <f>[2]TRANSPORT!V28</f>
        <v>0</v>
      </c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153"/>
      <c r="AD77" s="95"/>
      <c r="AE77" s="155"/>
      <c r="AF77" s="220" t="e">
        <f>#REF!</f>
        <v>#REF!</v>
      </c>
      <c r="AG77" s="209"/>
      <c r="AH77" s="210"/>
      <c r="AI77" s="211"/>
      <c r="AJ77" s="158"/>
      <c r="AK77" s="212"/>
      <c r="AL77" s="213"/>
      <c r="AM77" s="195"/>
      <c r="AN77" s="195"/>
      <c r="AO77" s="212"/>
      <c r="AQ77" s="212"/>
    </row>
    <row r="78" spans="2:43" s="27" customFormat="1" ht="15.75" hidden="1" customHeight="1">
      <c r="B78" s="144"/>
      <c r="C78" s="145"/>
      <c r="D78" s="48"/>
      <c r="E78" s="49"/>
      <c r="F78" s="47"/>
      <c r="G78" s="156"/>
      <c r="H78" s="50"/>
      <c r="I78" s="51"/>
      <c r="J78" s="92" t="str">
        <f t="shared" si="10"/>
        <v/>
      </c>
      <c r="K78" s="52"/>
      <c r="L78" s="52"/>
      <c r="M78" s="52"/>
      <c r="N78" s="52"/>
      <c r="O78" s="52">
        <f>[2]TRANSPORT!V29</f>
        <v>0</v>
      </c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94"/>
      <c r="AD78" s="95"/>
      <c r="AE78" s="157"/>
      <c r="AF78" s="171" t="e">
        <f>#REF!</f>
        <v>#REF!</v>
      </c>
      <c r="AG78" s="170"/>
      <c r="AH78" s="185"/>
      <c r="AI78" s="192"/>
      <c r="AJ78" s="158"/>
      <c r="AK78" s="142"/>
      <c r="AL78" s="213"/>
      <c r="AM78" s="159"/>
      <c r="AN78" s="159"/>
      <c r="AO78" s="142"/>
      <c r="AQ78" s="142"/>
    </row>
    <row r="79" spans="2:43" s="27" customFormat="1" ht="15.75" hidden="1" customHeight="1">
      <c r="B79" s="144"/>
      <c r="C79" s="145"/>
      <c r="D79" s="48"/>
      <c r="E79" s="49"/>
      <c r="F79" s="47"/>
      <c r="G79" s="156"/>
      <c r="H79" s="50"/>
      <c r="I79" s="51"/>
      <c r="J79" s="92" t="str">
        <f t="shared" si="10"/>
        <v/>
      </c>
      <c r="K79" s="52"/>
      <c r="L79" s="52"/>
      <c r="M79" s="52"/>
      <c r="N79" s="52"/>
      <c r="O79" s="52">
        <f>[2]TRANSPORT!V30</f>
        <v>0</v>
      </c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94"/>
      <c r="AD79" s="95"/>
      <c r="AE79" s="157"/>
      <c r="AF79" s="171" t="e">
        <f>#REF!</f>
        <v>#REF!</v>
      </c>
      <c r="AG79" s="170"/>
      <c r="AH79" s="185"/>
      <c r="AI79" s="192"/>
      <c r="AJ79" s="158"/>
      <c r="AK79" s="142"/>
      <c r="AL79" s="213"/>
      <c r="AM79" s="159"/>
      <c r="AN79" s="159"/>
      <c r="AO79" s="142"/>
      <c r="AQ79" s="142"/>
    </row>
    <row r="80" spans="2:43" s="27" customFormat="1" ht="15.75" hidden="1" customHeight="1" thickBot="1">
      <c r="B80" s="144"/>
      <c r="C80" s="145"/>
      <c r="D80" s="48"/>
      <c r="E80" s="49"/>
      <c r="F80" s="47"/>
      <c r="G80" s="156"/>
      <c r="H80" s="50"/>
      <c r="I80" s="51"/>
      <c r="J80" s="92"/>
      <c r="K80" s="52"/>
      <c r="L80" s="52"/>
      <c r="M80" s="52"/>
      <c r="N80" s="52"/>
      <c r="O80" s="52">
        <f>[2]TRANSPORT!V31</f>
        <v>0</v>
      </c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94"/>
      <c r="AD80" s="95"/>
      <c r="AE80" s="157"/>
      <c r="AF80" s="171" t="e">
        <f>#REF!</f>
        <v>#REF!</v>
      </c>
      <c r="AG80" s="170"/>
      <c r="AH80" s="185"/>
      <c r="AI80" s="192"/>
      <c r="AJ80" s="158"/>
      <c r="AK80" s="142"/>
      <c r="AL80" s="213"/>
      <c r="AM80" s="159"/>
      <c r="AN80" s="159"/>
      <c r="AO80" s="142"/>
      <c r="AQ80" s="142"/>
    </row>
    <row r="81" spans="2:54" s="59" customFormat="1" ht="22.5" customHeight="1" thickBot="1">
      <c r="B81" s="131"/>
      <c r="C81" s="132"/>
      <c r="D81" s="132"/>
      <c r="E81" s="132"/>
      <c r="F81" s="132"/>
      <c r="G81" s="132"/>
      <c r="H81" s="132"/>
      <c r="I81" s="132"/>
      <c r="J81" s="132"/>
      <c r="K81" s="133">
        <f t="shared" ref="K81:AH81" si="11">SUM(K6:K80)</f>
        <v>240082500</v>
      </c>
      <c r="L81" s="133">
        <f t="shared" si="11"/>
        <v>1979619.5999999999</v>
      </c>
      <c r="M81" s="133">
        <f t="shared" si="11"/>
        <v>9426760</v>
      </c>
      <c r="N81" s="133">
        <f t="shared" si="11"/>
        <v>6929300</v>
      </c>
      <c r="O81" s="133">
        <f t="shared" si="11"/>
        <v>850500</v>
      </c>
      <c r="P81" s="133">
        <f t="shared" si="11"/>
        <v>8373102</v>
      </c>
      <c r="Q81" s="133">
        <f t="shared" si="11"/>
        <v>5779070</v>
      </c>
      <c r="R81" s="133">
        <f t="shared" si="11"/>
        <v>7658300</v>
      </c>
      <c r="S81" s="133">
        <f t="shared" si="11"/>
        <v>5660592</v>
      </c>
      <c r="T81" s="133">
        <f t="shared" si="11"/>
        <v>6965000</v>
      </c>
      <c r="U81" s="133">
        <f t="shared" si="11"/>
        <v>0</v>
      </c>
      <c r="V81" s="133">
        <f t="shared" si="11"/>
        <v>2955000</v>
      </c>
      <c r="W81" s="133">
        <f t="shared" si="11"/>
        <v>0</v>
      </c>
      <c r="X81" s="133">
        <f t="shared" si="11"/>
        <v>1639000</v>
      </c>
      <c r="Y81" s="133">
        <f t="shared" si="11"/>
        <v>-638129</v>
      </c>
      <c r="Z81" s="133">
        <f t="shared" si="11"/>
        <v>-4438500</v>
      </c>
      <c r="AA81" s="133">
        <f t="shared" si="11"/>
        <v>0</v>
      </c>
      <c r="AB81" s="133">
        <f t="shared" si="11"/>
        <v>0</v>
      </c>
      <c r="AC81" s="133">
        <f t="shared" si="11"/>
        <v>292934119</v>
      </c>
      <c r="AD81" s="133">
        <f t="shared" si="11"/>
        <v>0.04</v>
      </c>
      <c r="AE81" s="133">
        <f t="shared" si="11"/>
        <v>280442</v>
      </c>
      <c r="AF81" s="133" t="e">
        <f t="shared" si="11"/>
        <v>#REF!</v>
      </c>
      <c r="AG81" s="133">
        <f t="shared" si="11"/>
        <v>0</v>
      </c>
      <c r="AH81" s="133">
        <f t="shared" si="11"/>
        <v>0</v>
      </c>
      <c r="AI81" s="194"/>
      <c r="AJ81" s="160">
        <f>SUM(AJ6:AJ80)</f>
        <v>281527735</v>
      </c>
      <c r="AK81" s="160">
        <f>SUM(AK6:AK80)</f>
        <v>11406379.599999996</v>
      </c>
      <c r="AL81" s="160">
        <f>SUM(AL6:AL80)</f>
        <v>292934114.59999996</v>
      </c>
      <c r="AM81" s="160">
        <f>SUM(AM6:AM80)</f>
        <v>-4.400000003632158</v>
      </c>
      <c r="AN81" s="160"/>
      <c r="AO81" s="160"/>
      <c r="AP81" s="160"/>
      <c r="AQ81" s="160"/>
    </row>
    <row r="82" spans="2:54" s="234" customFormat="1" ht="15" customHeight="1">
      <c r="B82" s="223"/>
      <c r="C82" s="224"/>
      <c r="D82" s="225"/>
      <c r="E82" s="226"/>
      <c r="F82" s="224"/>
      <c r="G82" s="227"/>
      <c r="H82" s="228"/>
      <c r="I82" s="228"/>
      <c r="J82" s="228"/>
      <c r="K82" s="224"/>
      <c r="L82" s="224"/>
      <c r="M82" s="224">
        <f>[2]TRANSPORT!$AI$15+'[2]HARVESTING '!$AQ$44+[2]MAINTENANCE!$AN$30</f>
        <v>9426760</v>
      </c>
      <c r="N82" s="224">
        <f>[2]TRANSPORT!$S$15+'[2]HARVESTING '!$U$44+[2]MAINTENANCE!$W$30</f>
        <v>6929300</v>
      </c>
      <c r="O82" s="224">
        <f>[2]TRANSPORT!$V$15+'[2]HARVESTING '!$X$44+[2]MAINTENANCE!$Z$30</f>
        <v>562500</v>
      </c>
      <c r="P82" s="224">
        <f>[2]TRANSPORT!$Z$15+'[2]HARVESTING '!$AE$44+[2]MAINTENANCE!$AG$30</f>
        <v>8373102</v>
      </c>
      <c r="Q82" s="224">
        <f>[2]TRANSPORT!$Y$15+'[2]HARVESTING '!$AB$44</f>
        <v>5779070</v>
      </c>
      <c r="R82" s="224">
        <f>'[2]HARVESTING '!$AA$44</f>
        <v>7658300</v>
      </c>
      <c r="S82" s="224">
        <f>'[2]HARVESTING '!$AC$44</f>
        <v>5660592</v>
      </c>
      <c r="T82" s="224">
        <f>'[2]HARVESTING '!$AD$44</f>
        <v>6965000</v>
      </c>
      <c r="U82" s="224"/>
      <c r="V82" s="224">
        <f>'[2]HARVESTING '!$AG$44</f>
        <v>2955000</v>
      </c>
      <c r="W82" s="224"/>
      <c r="X82" s="224">
        <f>[2]TRANSPORT!$X$15+'[2]HARVESTING '!$Z$44+[2]MAINTENANCE!$AB$30</f>
        <v>1639000</v>
      </c>
      <c r="Y82" s="224"/>
      <c r="Z82" s="224">
        <f>[2]MAINTENANCE!$BB$30+'[2]HARVESTING '!$BD$44+[2]TRANSPORT!$AY$15</f>
        <v>4438500</v>
      </c>
      <c r="AA82" s="224"/>
      <c r="AB82" s="224"/>
      <c r="AC82" s="224"/>
      <c r="AD82" s="229"/>
      <c r="AE82" s="224">
        <f>[2]MAINTENANCE!$AS$30+'[2]HARVESTING '!$AV$44+[2]TRANSPORT!$AN$15</f>
        <v>280442</v>
      </c>
      <c r="AF82" s="224"/>
      <c r="AG82" s="224"/>
      <c r="AH82" s="230"/>
      <c r="AI82" s="230"/>
      <c r="AJ82" s="230">
        <f>[2]TRANSPORT!$AD$15+'[2]HARVESTING '!$AL$44+[2]MAINTENANCE!$AI$30</f>
        <v>281527735</v>
      </c>
      <c r="AK82" s="231"/>
      <c r="AL82" s="232"/>
      <c r="AM82" s="233"/>
      <c r="AN82" s="233"/>
    </row>
    <row r="83" spans="2:54" ht="15" hidden="1" customHeight="1">
      <c r="B83" s="58" t="s">
        <v>47</v>
      </c>
      <c r="M83" s="62"/>
      <c r="N83" s="62"/>
      <c r="O83" s="62"/>
      <c r="P83" s="62"/>
      <c r="Q83" s="62"/>
      <c r="R83" s="62"/>
    </row>
    <row r="84" spans="2:54" ht="15" hidden="1" customHeight="1">
      <c r="B84" s="27" t="s">
        <v>48</v>
      </c>
      <c r="M84" s="62"/>
      <c r="N84" s="62"/>
      <c r="O84" s="62"/>
      <c r="P84" s="62"/>
      <c r="Q84" s="62"/>
      <c r="R84" s="62"/>
    </row>
    <row r="85" spans="2:54" ht="15" hidden="1" customHeight="1">
      <c r="B85" s="27" t="s">
        <v>56</v>
      </c>
      <c r="M85" s="62"/>
      <c r="N85" s="62"/>
      <c r="O85" s="62"/>
      <c r="P85" s="62"/>
      <c r="Q85" s="62"/>
      <c r="R85" s="62"/>
    </row>
    <row r="86" spans="2:54" ht="15" hidden="1" customHeight="1">
      <c r="B86" s="27" t="s">
        <v>49</v>
      </c>
      <c r="M86" s="62"/>
      <c r="N86" s="62"/>
      <c r="O86" s="62"/>
      <c r="P86" s="62"/>
      <c r="Q86" s="62"/>
      <c r="R86" s="62"/>
    </row>
    <row r="87" spans="2:54" s="33" customFormat="1" ht="15" hidden="1" customHeight="1">
      <c r="B87" s="27" t="s">
        <v>57</v>
      </c>
      <c r="C87" s="28"/>
      <c r="D87" s="202"/>
      <c r="E87" s="30"/>
      <c r="F87" s="28"/>
      <c r="G87" s="31"/>
      <c r="H87" s="32"/>
      <c r="I87" s="32"/>
      <c r="J87" s="32"/>
      <c r="K87" s="28"/>
      <c r="L87" s="28"/>
      <c r="M87" s="62"/>
      <c r="N87" s="62"/>
      <c r="O87" s="62"/>
      <c r="P87" s="62"/>
      <c r="Q87" s="62"/>
      <c r="R87" s="62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90"/>
      <c r="AE87" s="28"/>
      <c r="AF87" s="28"/>
      <c r="AG87" s="28"/>
      <c r="AH87" s="27"/>
      <c r="AI87" s="27"/>
      <c r="AJ87" s="27"/>
      <c r="AK87" s="27"/>
      <c r="AL87" s="60"/>
      <c r="AM87" s="59"/>
      <c r="AN87" s="59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</row>
    <row r="88" spans="2:54" s="33" customFormat="1" ht="15" hidden="1" customHeight="1">
      <c r="B88" s="27" t="s">
        <v>50</v>
      </c>
      <c r="C88" s="28"/>
      <c r="D88" s="202"/>
      <c r="E88" s="30"/>
      <c r="F88" s="28"/>
      <c r="G88" s="31"/>
      <c r="H88" s="32"/>
      <c r="I88" s="32"/>
      <c r="J88" s="32"/>
      <c r="K88" s="28"/>
      <c r="L88" s="28"/>
      <c r="M88" s="62"/>
      <c r="N88" s="62"/>
      <c r="O88" s="62"/>
      <c r="P88" s="62"/>
      <c r="Q88" s="62"/>
      <c r="R88" s="62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90"/>
      <c r="AE88" s="28"/>
      <c r="AF88" s="28"/>
      <c r="AG88" s="28"/>
      <c r="AH88" s="27"/>
      <c r="AI88" s="27"/>
      <c r="AJ88" s="27"/>
      <c r="AK88" s="27"/>
      <c r="AL88" s="60"/>
      <c r="AM88" s="59"/>
      <c r="AN88" s="59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</row>
    <row r="89" spans="2:54" s="33" customFormat="1" ht="15" hidden="1" customHeight="1">
      <c r="B89" s="27" t="s">
        <v>51</v>
      </c>
      <c r="C89" s="28"/>
      <c r="D89" s="202"/>
      <c r="E89" s="30"/>
      <c r="F89" s="28"/>
      <c r="G89" s="31"/>
      <c r="H89" s="32"/>
      <c r="I89" s="32"/>
      <c r="J89" s="32"/>
      <c r="K89" s="28"/>
      <c r="L89" s="28"/>
      <c r="M89" s="62"/>
      <c r="N89" s="62"/>
      <c r="O89" s="62"/>
      <c r="P89" s="62"/>
      <c r="Q89" s="62"/>
      <c r="R89" s="62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90"/>
      <c r="AE89" s="28"/>
      <c r="AF89" s="28"/>
      <c r="AG89" s="28"/>
      <c r="AH89" s="27"/>
      <c r="AI89" s="27"/>
      <c r="AJ89" s="27"/>
      <c r="AK89" s="27"/>
      <c r="AL89" s="60"/>
      <c r="AM89" s="59"/>
      <c r="AN89" s="59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</row>
    <row r="90" spans="2:54" s="33" customFormat="1" ht="15" hidden="1" customHeight="1">
      <c r="B90" s="27" t="s">
        <v>52</v>
      </c>
      <c r="C90" s="28"/>
      <c r="D90" s="202"/>
      <c r="E90" s="30"/>
      <c r="F90" s="28"/>
      <c r="G90" s="31"/>
      <c r="H90" s="32"/>
      <c r="I90" s="32"/>
      <c r="J90" s="32"/>
      <c r="K90" s="28"/>
      <c r="L90" s="28"/>
      <c r="M90" s="62"/>
      <c r="N90" s="62"/>
      <c r="O90" s="62"/>
      <c r="P90" s="62"/>
      <c r="Q90" s="62"/>
      <c r="R90" s="62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90"/>
      <c r="AE90" s="28"/>
      <c r="AF90" s="28"/>
      <c r="AG90" s="28"/>
      <c r="AH90" s="27"/>
      <c r="AI90" s="27"/>
      <c r="AJ90" s="27"/>
      <c r="AK90" s="27"/>
      <c r="AL90" s="60"/>
      <c r="AM90" s="59"/>
      <c r="AN90" s="59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</row>
    <row r="91" spans="2:54" s="33" customFormat="1" ht="15" hidden="1" customHeight="1">
      <c r="B91" s="27" t="s">
        <v>58</v>
      </c>
      <c r="C91" s="28"/>
      <c r="D91" s="202"/>
      <c r="E91" s="30"/>
      <c r="F91" s="28"/>
      <c r="G91" s="31"/>
      <c r="H91" s="32"/>
      <c r="I91" s="32"/>
      <c r="J91" s="32"/>
      <c r="K91" s="28"/>
      <c r="L91" s="28"/>
      <c r="M91" s="62"/>
      <c r="N91" s="62"/>
      <c r="O91" s="62"/>
      <c r="P91" s="62"/>
      <c r="Q91" s="62"/>
      <c r="R91" s="62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90"/>
      <c r="AE91" s="28"/>
      <c r="AF91" s="28"/>
      <c r="AG91" s="28"/>
      <c r="AH91" s="27"/>
      <c r="AI91" s="27"/>
      <c r="AJ91" s="27"/>
      <c r="AK91" s="27"/>
      <c r="AL91" s="60"/>
      <c r="AM91" s="59"/>
      <c r="AN91" s="59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</row>
    <row r="92" spans="2:54" s="33" customFormat="1" ht="15" hidden="1" customHeight="1">
      <c r="B92" s="27" t="s">
        <v>59</v>
      </c>
      <c r="C92" s="28"/>
      <c r="D92" s="202"/>
      <c r="E92" s="30"/>
      <c r="F92" s="28"/>
      <c r="G92" s="31"/>
      <c r="H92" s="32"/>
      <c r="I92" s="32"/>
      <c r="J92" s="32"/>
      <c r="K92" s="28"/>
      <c r="L92" s="28"/>
      <c r="M92" s="62"/>
      <c r="N92" s="62"/>
      <c r="O92" s="62"/>
      <c r="P92" s="62"/>
      <c r="Q92" s="62"/>
      <c r="R92" s="62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90"/>
      <c r="AE92" s="28"/>
      <c r="AF92" s="28"/>
      <c r="AG92" s="28"/>
      <c r="AH92" s="27"/>
      <c r="AI92" s="27"/>
      <c r="AJ92" s="27"/>
      <c r="AK92" s="27"/>
      <c r="AL92" s="60"/>
      <c r="AM92" s="59"/>
      <c r="AN92" s="59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</row>
    <row r="93" spans="2:54" s="33" customFormat="1" ht="15" hidden="1" customHeight="1">
      <c r="B93" s="27" t="s">
        <v>65</v>
      </c>
      <c r="C93" s="28"/>
      <c r="D93" s="202"/>
      <c r="E93" s="30"/>
      <c r="F93" s="28"/>
      <c r="G93" s="31"/>
      <c r="H93" s="32"/>
      <c r="I93" s="32"/>
      <c r="J93" s="32"/>
      <c r="K93" s="28"/>
      <c r="L93" s="28"/>
      <c r="M93" s="62"/>
      <c r="N93" s="62"/>
      <c r="O93" s="62"/>
      <c r="P93" s="62"/>
      <c r="Q93" s="62"/>
      <c r="R93" s="62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90"/>
      <c r="AE93" s="28"/>
      <c r="AF93" s="28"/>
      <c r="AG93" s="28"/>
      <c r="AH93" s="27"/>
      <c r="AI93" s="27"/>
      <c r="AJ93" s="27"/>
      <c r="AK93" s="27"/>
      <c r="AL93" s="60"/>
      <c r="AM93" s="59"/>
      <c r="AN93" s="59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</row>
    <row r="94" spans="2:54" s="33" customFormat="1" ht="15" hidden="1" customHeight="1">
      <c r="B94" s="27"/>
      <c r="C94" s="28"/>
      <c r="D94" s="202"/>
      <c r="E94" s="30"/>
      <c r="F94" s="28"/>
      <c r="G94" s="31"/>
      <c r="H94" s="32"/>
      <c r="I94" s="32"/>
      <c r="J94" s="32"/>
      <c r="K94" s="28"/>
      <c r="L94" s="28"/>
      <c r="M94" s="62"/>
      <c r="N94" s="62"/>
      <c r="O94" s="62"/>
      <c r="P94" s="62"/>
      <c r="Q94" s="62"/>
      <c r="R94" s="62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90"/>
      <c r="AE94" s="28"/>
      <c r="AF94" s="28"/>
      <c r="AG94" s="28"/>
      <c r="AH94" s="27"/>
      <c r="AI94" s="27"/>
      <c r="AJ94" s="27"/>
      <c r="AK94" s="27"/>
      <c r="AL94" s="60"/>
      <c r="AM94" s="59"/>
      <c r="AN94" s="59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</row>
    <row r="95" spans="2:54" s="33" customFormat="1" ht="15" hidden="1" customHeight="1">
      <c r="B95" s="27"/>
      <c r="C95" s="28"/>
      <c r="D95" s="202"/>
      <c r="E95" s="30"/>
      <c r="F95" s="28"/>
      <c r="G95" s="31"/>
      <c r="H95" s="32"/>
      <c r="I95" s="32"/>
      <c r="J95" s="32"/>
      <c r="K95" s="28"/>
      <c r="L95" s="28"/>
      <c r="M95" s="62"/>
      <c r="N95" s="62"/>
      <c r="O95" s="62"/>
      <c r="P95" s="62"/>
      <c r="Q95" s="62"/>
      <c r="R95" s="62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90"/>
      <c r="AE95" s="28"/>
      <c r="AF95" s="28"/>
      <c r="AG95" s="28"/>
      <c r="AH95" s="27"/>
      <c r="AI95" s="27"/>
      <c r="AJ95" s="27"/>
      <c r="AK95" s="27"/>
      <c r="AL95" s="60"/>
      <c r="AM95" s="59"/>
      <c r="AN95" s="59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</row>
    <row r="96" spans="2:54" s="33" customFormat="1" ht="15" customHeight="1">
      <c r="B96" s="268" t="s">
        <v>115</v>
      </c>
      <c r="C96" s="268"/>
      <c r="D96" s="173"/>
      <c r="E96" s="173"/>
      <c r="F96" s="28"/>
      <c r="G96" s="174"/>
      <c r="H96" s="268" t="s">
        <v>113</v>
      </c>
      <c r="I96" s="268"/>
      <c r="J96" s="268"/>
      <c r="K96" s="268"/>
      <c r="L96" s="268"/>
      <c r="M96" s="268"/>
      <c r="N96" s="268"/>
      <c r="O96" s="268"/>
      <c r="P96" s="28"/>
      <c r="Q96" s="176"/>
      <c r="R96" s="176"/>
      <c r="S96" s="28"/>
      <c r="T96" s="268" t="s">
        <v>311</v>
      </c>
      <c r="U96" s="268"/>
      <c r="V96" s="268"/>
      <c r="W96" s="268"/>
      <c r="X96" s="268"/>
      <c r="Y96" s="173"/>
      <c r="Z96" s="173"/>
      <c r="AA96" s="269" t="s">
        <v>120</v>
      </c>
      <c r="AB96" s="269"/>
      <c r="AC96" s="269"/>
      <c r="AD96" s="269"/>
      <c r="AE96" s="269"/>
      <c r="AF96" s="269"/>
      <c r="AG96" s="269"/>
      <c r="AH96" s="177"/>
      <c r="AI96" s="177"/>
      <c r="AJ96" s="178">
        <f>AJ81-AJ82</f>
        <v>0</v>
      </c>
      <c r="AK96" s="177"/>
      <c r="AL96" s="179"/>
      <c r="AM96" s="163"/>
      <c r="AN96" s="163"/>
      <c r="AO96" s="179"/>
      <c r="AP96" s="179"/>
      <c r="AQ96" s="179"/>
      <c r="AR96" s="179"/>
      <c r="AS96" s="179"/>
      <c r="AT96" s="179"/>
      <c r="AU96" s="179"/>
      <c r="AV96" s="179"/>
      <c r="AW96" s="179"/>
      <c r="AX96" s="179"/>
      <c r="AY96" s="179"/>
      <c r="AZ96" s="179"/>
      <c r="BA96" s="179"/>
      <c r="BB96" s="179"/>
    </row>
    <row r="97" spans="2:40" s="179" customFormat="1" ht="15">
      <c r="B97" s="177"/>
      <c r="C97" s="201"/>
      <c r="D97" s="201"/>
      <c r="E97" s="201"/>
      <c r="F97" s="28"/>
      <c r="G97" s="174"/>
      <c r="H97" s="175"/>
      <c r="I97" s="175"/>
      <c r="J97" s="175"/>
      <c r="K97" s="28"/>
      <c r="L97" s="203"/>
      <c r="M97" s="203"/>
      <c r="N97" s="203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01"/>
      <c r="Z97" s="201"/>
      <c r="AA97" s="201"/>
      <c r="AB97" s="28"/>
      <c r="AC97" s="28"/>
      <c r="AD97" s="90"/>
      <c r="AE97" s="28"/>
      <c r="AF97" s="28"/>
      <c r="AG97" s="28"/>
      <c r="AH97" s="177"/>
      <c r="AI97" s="177"/>
      <c r="AJ97" s="177"/>
      <c r="AK97" s="177"/>
      <c r="AM97" s="163">
        <f>AA81</f>
        <v>0</v>
      </c>
      <c r="AN97" s="163"/>
    </row>
    <row r="98" spans="2:40" s="179" customFormat="1" ht="15">
      <c r="B98" s="177"/>
      <c r="C98" s="180"/>
      <c r="D98" s="180"/>
      <c r="E98" s="180"/>
      <c r="F98" s="28"/>
      <c r="G98" s="174"/>
      <c r="H98" s="175"/>
      <c r="I98" s="175"/>
      <c r="J98" s="175"/>
      <c r="K98" s="28"/>
      <c r="L98" s="180"/>
      <c r="M98" s="180"/>
      <c r="N98" s="180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180"/>
      <c r="Z98" s="180"/>
      <c r="AA98" s="180"/>
      <c r="AB98" s="28"/>
      <c r="AC98" s="28"/>
      <c r="AD98" s="90"/>
      <c r="AE98" s="28"/>
      <c r="AF98" s="28"/>
      <c r="AG98" s="28"/>
      <c r="AH98" s="177"/>
      <c r="AI98" s="177"/>
      <c r="AJ98" s="177"/>
      <c r="AK98" s="177"/>
      <c r="AM98" s="59"/>
      <c r="AN98" s="59"/>
    </row>
    <row r="99" spans="2:40" s="179" customFormat="1" ht="19.5">
      <c r="B99" s="270" t="s">
        <v>317</v>
      </c>
      <c r="C99" s="270"/>
      <c r="D99" s="181"/>
      <c r="E99" s="181"/>
      <c r="F99" s="28"/>
      <c r="G99" s="174"/>
      <c r="H99" s="270" t="s">
        <v>130</v>
      </c>
      <c r="I99" s="270"/>
      <c r="J99" s="270"/>
      <c r="K99" s="270"/>
      <c r="L99" s="181"/>
      <c r="M99" s="181"/>
      <c r="N99" s="270" t="s">
        <v>309</v>
      </c>
      <c r="O99" s="270"/>
      <c r="P99" s="270"/>
      <c r="Q99" s="270"/>
      <c r="R99" s="28"/>
      <c r="S99" s="28"/>
      <c r="T99" s="270"/>
      <c r="U99" s="270"/>
      <c r="V99" s="270"/>
      <c r="W99" s="270"/>
      <c r="X99" s="270"/>
      <c r="Y99" s="181"/>
      <c r="Z99" s="181"/>
      <c r="AA99" s="271" t="s">
        <v>121</v>
      </c>
      <c r="AB99" s="271"/>
      <c r="AC99" s="271"/>
      <c r="AD99" s="271"/>
      <c r="AE99" s="271"/>
      <c r="AF99" s="271"/>
      <c r="AG99" s="271"/>
      <c r="AH99" s="177"/>
      <c r="AI99" s="177"/>
      <c r="AJ99" s="177"/>
      <c r="AK99" s="177"/>
      <c r="AM99" s="59"/>
      <c r="AN99" s="59"/>
    </row>
    <row r="100" spans="2:40" s="179" customFormat="1" ht="15" customHeight="1">
      <c r="B100" s="272" t="s">
        <v>116</v>
      </c>
      <c r="C100" s="272"/>
      <c r="D100" s="182"/>
      <c r="E100" s="182"/>
      <c r="F100" s="28"/>
      <c r="G100" s="174"/>
      <c r="H100" s="272" t="s">
        <v>129</v>
      </c>
      <c r="I100" s="272"/>
      <c r="J100" s="272"/>
      <c r="K100" s="272"/>
      <c r="L100" s="182"/>
      <c r="M100" s="182"/>
      <c r="N100" s="272" t="s">
        <v>310</v>
      </c>
      <c r="O100" s="272"/>
      <c r="P100" s="272"/>
      <c r="Q100" s="272"/>
      <c r="R100" s="28"/>
      <c r="S100" s="28"/>
      <c r="T100" s="272" t="s">
        <v>114</v>
      </c>
      <c r="U100" s="272"/>
      <c r="V100" s="272"/>
      <c r="W100" s="272"/>
      <c r="X100" s="272"/>
      <c r="Y100" s="182"/>
      <c r="Z100" s="182"/>
      <c r="AA100" s="273" t="s">
        <v>122</v>
      </c>
      <c r="AB100" s="273"/>
      <c r="AC100" s="273"/>
      <c r="AD100" s="273"/>
      <c r="AE100" s="273"/>
      <c r="AF100" s="273"/>
      <c r="AG100" s="273"/>
      <c r="AH100" s="177"/>
      <c r="AI100" s="177"/>
      <c r="AJ100" s="177"/>
      <c r="AK100" s="177"/>
      <c r="AM100" s="59"/>
      <c r="AN100" s="59"/>
    </row>
  </sheetData>
  <mergeCells count="14">
    <mergeCell ref="N100:Q100"/>
    <mergeCell ref="N99:Q99"/>
    <mergeCell ref="B100:C100"/>
    <mergeCell ref="T100:X100"/>
    <mergeCell ref="AA100:AG100"/>
    <mergeCell ref="H100:K100"/>
    <mergeCell ref="B96:C96"/>
    <mergeCell ref="T96:X96"/>
    <mergeCell ref="AA96:AG96"/>
    <mergeCell ref="B99:C99"/>
    <mergeCell ref="T99:X99"/>
    <mergeCell ref="AA99:AG99"/>
    <mergeCell ref="H96:O96"/>
    <mergeCell ref="H99:K99"/>
  </mergeCells>
  <dataValidations count="2">
    <dataValidation type="list" allowBlank="1" showInputMessage="1" showErrorMessage="1" sqref="H6:H80">
      <formula1>"L,P"</formula1>
    </dataValidation>
    <dataValidation type="list" allowBlank="1" showInputMessage="1" showErrorMessage="1" sqref="I6:I80">
      <formula1>"TK/0,TK/1,TK/2,TK/3,K/0,K/1,K/2,K/3"</formula1>
    </dataValidation>
  </dataValidations>
  <pageMargins left="0.11811023622047245" right="0.11811023622047245" top="0.15748031496062992" bottom="0.15748031496062992" header="0.31496062992125984" footer="0.31496062992125984"/>
  <pageSetup paperSize="10000" scale="43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TARIF</vt:lpstr>
      <vt:lpstr>Des</vt:lpstr>
      <vt:lpstr>JANUARI'26</vt:lpstr>
      <vt:lpstr>Ter_A</vt:lpstr>
      <vt:lpstr>Ter_B</vt:lpstr>
      <vt:lpstr>Ter_C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Octavianus Tommy Santoso</dc:creator>
  <cp:lastModifiedBy>PG1A</cp:lastModifiedBy>
  <cp:lastPrinted>2026-02-03T03:41:21Z</cp:lastPrinted>
  <dcterms:created xsi:type="dcterms:W3CDTF">2023-11-09T03:35:36Z</dcterms:created>
  <dcterms:modified xsi:type="dcterms:W3CDTF">2026-02-10T03:40:52Z</dcterms:modified>
</cp:coreProperties>
</file>